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24795" windowHeight="15585"/>
  </bookViews>
  <sheets>
    <sheet name="Instructions" sheetId="2" r:id="rId1"/>
    <sheet name="Source_Input (1)" sheetId="1" r:id="rId2"/>
    <sheet name="Source_Input (2)" sheetId="5" r:id="rId3"/>
    <sheet name="Source_Input (3)" sheetId="6" r:id="rId4"/>
    <sheet name="Source_Input (4)" sheetId="7" r:id="rId5"/>
    <sheet name="Source_Input (5)" sheetId="8" r:id="rId6"/>
  </sheets>
  <calcPr calcId="125725" calcMode="autoNoTable" iterate="1" iterateCount="1" iterateDelta="0"/>
</workbook>
</file>

<file path=xl/calcChain.xml><?xml version="1.0" encoding="utf-8"?>
<calcChain xmlns="http://schemas.openxmlformats.org/spreadsheetml/2006/main">
  <c r="AA1021" i="8"/>
  <c r="Z1021"/>
  <c r="S1021"/>
  <c r="R1021"/>
  <c r="Q1021"/>
  <c r="C1021"/>
  <c r="F1021" s="1"/>
  <c r="AA1020"/>
  <c r="Z1020"/>
  <c r="S1020"/>
  <c r="R1020"/>
  <c r="Q1020"/>
  <c r="C1020"/>
  <c r="F1020" s="1"/>
  <c r="AA1019"/>
  <c r="Z1019"/>
  <c r="S1019"/>
  <c r="R1019"/>
  <c r="Q1019"/>
  <c r="C1019"/>
  <c r="F1019" s="1"/>
  <c r="AA1018"/>
  <c r="Z1018"/>
  <c r="S1018"/>
  <c r="R1018"/>
  <c r="Q1018"/>
  <c r="C1018"/>
  <c r="F1018" s="1"/>
  <c r="AA1017"/>
  <c r="Z1017"/>
  <c r="S1017"/>
  <c r="R1017"/>
  <c r="Q1017"/>
  <c r="C1017"/>
  <c r="F1017" s="1"/>
  <c r="AA1015"/>
  <c r="Z1015"/>
  <c r="S1015"/>
  <c r="R1015"/>
  <c r="Q1015"/>
  <c r="F1015"/>
  <c r="E1015" s="1"/>
  <c r="E1023" s="1"/>
  <c r="C1015"/>
  <c r="N1017" s="1"/>
  <c r="AF1012"/>
  <c r="V1012"/>
  <c r="O1012"/>
  <c r="W1012" s="1"/>
  <c r="G1012"/>
  <c r="H1012" s="1"/>
  <c r="AF1011"/>
  <c r="V1011"/>
  <c r="O1011"/>
  <c r="W1011" s="1"/>
  <c r="G1011"/>
  <c r="H1011" s="1"/>
  <c r="AF1010"/>
  <c r="V1010"/>
  <c r="O1010"/>
  <c r="W1010" s="1"/>
  <c r="G1010"/>
  <c r="H1010" s="1"/>
  <c r="AF1009"/>
  <c r="V1009"/>
  <c r="O1009"/>
  <c r="W1009" s="1"/>
  <c r="G1009"/>
  <c r="H1009" s="1"/>
  <c r="AF1008"/>
  <c r="V1008"/>
  <c r="O1008"/>
  <c r="W1008" s="1"/>
  <c r="G1008"/>
  <c r="H1008" s="1"/>
  <c r="AF1007"/>
  <c r="O1007"/>
  <c r="W1007" s="1"/>
  <c r="G1007"/>
  <c r="H1007" s="1"/>
  <c r="AF1006"/>
  <c r="V1006"/>
  <c r="O1006"/>
  <c r="W1006" s="1"/>
  <c r="G1006"/>
  <c r="H1006" s="1"/>
  <c r="AF1005"/>
  <c r="O1005"/>
  <c r="W1005" s="1"/>
  <c r="G1005"/>
  <c r="H1005" s="1"/>
  <c r="AF1004"/>
  <c r="V1004"/>
  <c r="O1004"/>
  <c r="W1004" s="1"/>
  <c r="G1004"/>
  <c r="H1004" s="1"/>
  <c r="AF1003"/>
  <c r="O1003"/>
  <c r="W1003" s="1"/>
  <c r="G1003"/>
  <c r="H1003" s="1"/>
  <c r="AF1002"/>
  <c r="V1002"/>
  <c r="O1002"/>
  <c r="W1002" s="1"/>
  <c r="G1002"/>
  <c r="H1002" s="1"/>
  <c r="AF1001"/>
  <c r="O1001"/>
  <c r="W1001" s="1"/>
  <c r="G1001"/>
  <c r="H1001" s="1"/>
  <c r="AF1000"/>
  <c r="V1000"/>
  <c r="O1000"/>
  <c r="W1000" s="1"/>
  <c r="G1000"/>
  <c r="H1000" s="1"/>
  <c r="AF999"/>
  <c r="O999"/>
  <c r="W999" s="1"/>
  <c r="G999"/>
  <c r="H999" s="1"/>
  <c r="AF998"/>
  <c r="V998"/>
  <c r="O998"/>
  <c r="W998" s="1"/>
  <c r="G998"/>
  <c r="H998" s="1"/>
  <c r="AF997"/>
  <c r="O997"/>
  <c r="W997" s="1"/>
  <c r="G997"/>
  <c r="H997" s="1"/>
  <c r="AF996"/>
  <c r="V996"/>
  <c r="O996"/>
  <c r="W996" s="1"/>
  <c r="G996"/>
  <c r="H996" s="1"/>
  <c r="AF995"/>
  <c r="O995"/>
  <c r="W995" s="1"/>
  <c r="G995"/>
  <c r="H995" s="1"/>
  <c r="AF994"/>
  <c r="V994"/>
  <c r="O994"/>
  <c r="W994" s="1"/>
  <c r="G994"/>
  <c r="H994" s="1"/>
  <c r="AF993"/>
  <c r="O993"/>
  <c r="W993" s="1"/>
  <c r="G993"/>
  <c r="H993" s="1"/>
  <c r="AF992"/>
  <c r="V992"/>
  <c r="O992"/>
  <c r="W992" s="1"/>
  <c r="G992"/>
  <c r="H992" s="1"/>
  <c r="AF991"/>
  <c r="O991"/>
  <c r="W991" s="1"/>
  <c r="G991"/>
  <c r="H991" s="1"/>
  <c r="AF990"/>
  <c r="V990"/>
  <c r="O990"/>
  <c r="W990" s="1"/>
  <c r="G990"/>
  <c r="H990" s="1"/>
  <c r="AF989"/>
  <c r="O989"/>
  <c r="W989" s="1"/>
  <c r="G989"/>
  <c r="H989" s="1"/>
  <c r="AF988"/>
  <c r="V988"/>
  <c r="O988"/>
  <c r="W988" s="1"/>
  <c r="G988"/>
  <c r="H988" s="1"/>
  <c r="AF987"/>
  <c r="O987"/>
  <c r="W987" s="1"/>
  <c r="G987"/>
  <c r="H987" s="1"/>
  <c r="AF986"/>
  <c r="V986"/>
  <c r="O986"/>
  <c r="W986" s="1"/>
  <c r="G986"/>
  <c r="H986" s="1"/>
  <c r="AF985"/>
  <c r="O985"/>
  <c r="W985" s="1"/>
  <c r="G985"/>
  <c r="H985" s="1"/>
  <c r="AF984"/>
  <c r="V984"/>
  <c r="O984"/>
  <c r="W984" s="1"/>
  <c r="G984"/>
  <c r="H984" s="1"/>
  <c r="AF983"/>
  <c r="O983"/>
  <c r="W983" s="1"/>
  <c r="G983"/>
  <c r="H983" s="1"/>
  <c r="AF982"/>
  <c r="V982"/>
  <c r="O982"/>
  <c r="W982" s="1"/>
  <c r="G982"/>
  <c r="H982" s="1"/>
  <c r="AF981"/>
  <c r="O981"/>
  <c r="W981" s="1"/>
  <c r="G981"/>
  <c r="H981" s="1"/>
  <c r="AF980"/>
  <c r="V980"/>
  <c r="O980"/>
  <c r="W980" s="1"/>
  <c r="G980"/>
  <c r="H980" s="1"/>
  <c r="AF979"/>
  <c r="O979"/>
  <c r="W979" s="1"/>
  <c r="G979"/>
  <c r="H979" s="1"/>
  <c r="AF978"/>
  <c r="V978"/>
  <c r="O978"/>
  <c r="W978" s="1"/>
  <c r="G978"/>
  <c r="H978" s="1"/>
  <c r="AF977"/>
  <c r="O977"/>
  <c r="W977" s="1"/>
  <c r="G977"/>
  <c r="H977" s="1"/>
  <c r="AF976"/>
  <c r="V976"/>
  <c r="O976"/>
  <c r="W976" s="1"/>
  <c r="G976"/>
  <c r="H976" s="1"/>
  <c r="AF975"/>
  <c r="O975"/>
  <c r="W975" s="1"/>
  <c r="G975"/>
  <c r="H975" s="1"/>
  <c r="AF974"/>
  <c r="V974"/>
  <c r="O974"/>
  <c r="W974" s="1"/>
  <c r="G974"/>
  <c r="H974" s="1"/>
  <c r="AF973"/>
  <c r="O973"/>
  <c r="W973" s="1"/>
  <c r="G973"/>
  <c r="H973" s="1"/>
  <c r="AF972"/>
  <c r="V972"/>
  <c r="O972"/>
  <c r="W972" s="1"/>
  <c r="G972"/>
  <c r="H972" s="1"/>
  <c r="AF971"/>
  <c r="O971"/>
  <c r="W971" s="1"/>
  <c r="G971"/>
  <c r="H971" s="1"/>
  <c r="AF970"/>
  <c r="V970"/>
  <c r="O970"/>
  <c r="W970" s="1"/>
  <c r="G970"/>
  <c r="H970" s="1"/>
  <c r="AF969"/>
  <c r="O969"/>
  <c r="W969" s="1"/>
  <c r="G969"/>
  <c r="H969" s="1"/>
  <c r="AF968"/>
  <c r="V968"/>
  <c r="O968"/>
  <c r="W968" s="1"/>
  <c r="G968"/>
  <c r="H968" s="1"/>
  <c r="AF967"/>
  <c r="O967"/>
  <c r="W967" s="1"/>
  <c r="G967"/>
  <c r="H967" s="1"/>
  <c r="AF966"/>
  <c r="V966"/>
  <c r="O966"/>
  <c r="W966" s="1"/>
  <c r="G966"/>
  <c r="H966" s="1"/>
  <c r="AF965"/>
  <c r="O965"/>
  <c r="W965" s="1"/>
  <c r="G965"/>
  <c r="H965" s="1"/>
  <c r="AF964"/>
  <c r="V964"/>
  <c r="O964"/>
  <c r="W964" s="1"/>
  <c r="G964"/>
  <c r="H964" s="1"/>
  <c r="AF963"/>
  <c r="O963"/>
  <c r="W963" s="1"/>
  <c r="G963"/>
  <c r="H963" s="1"/>
  <c r="AF962"/>
  <c r="V962"/>
  <c r="O962"/>
  <c r="W962" s="1"/>
  <c r="G962"/>
  <c r="H962" s="1"/>
  <c r="AF961"/>
  <c r="O961"/>
  <c r="W961" s="1"/>
  <c r="G961"/>
  <c r="H961" s="1"/>
  <c r="AF960"/>
  <c r="V960"/>
  <c r="O960"/>
  <c r="W960" s="1"/>
  <c r="G960"/>
  <c r="H960" s="1"/>
  <c r="AF959"/>
  <c r="O959"/>
  <c r="W959" s="1"/>
  <c r="G959"/>
  <c r="H959" s="1"/>
  <c r="AF958"/>
  <c r="V958"/>
  <c r="O958"/>
  <c r="W958" s="1"/>
  <c r="G958"/>
  <c r="H958" s="1"/>
  <c r="AF957"/>
  <c r="O957"/>
  <c r="W957" s="1"/>
  <c r="G957"/>
  <c r="H957" s="1"/>
  <c r="AF956"/>
  <c r="V956"/>
  <c r="O956"/>
  <c r="W956" s="1"/>
  <c r="G956"/>
  <c r="H956" s="1"/>
  <c r="AF955"/>
  <c r="O955"/>
  <c r="W955" s="1"/>
  <c r="G955"/>
  <c r="H955" s="1"/>
  <c r="AF954"/>
  <c r="V954"/>
  <c r="O954"/>
  <c r="W954" s="1"/>
  <c r="G954"/>
  <c r="H954" s="1"/>
  <c r="AF953"/>
  <c r="O953"/>
  <c r="W953" s="1"/>
  <c r="G953"/>
  <c r="H953" s="1"/>
  <c r="AF952"/>
  <c r="V952"/>
  <c r="O952"/>
  <c r="W952" s="1"/>
  <c r="G952"/>
  <c r="H952" s="1"/>
  <c r="AF951"/>
  <c r="O951"/>
  <c r="W951" s="1"/>
  <c r="G951"/>
  <c r="H951" s="1"/>
  <c r="AF950"/>
  <c r="V950"/>
  <c r="O950"/>
  <c r="W950" s="1"/>
  <c r="G950"/>
  <c r="H950" s="1"/>
  <c r="AF949"/>
  <c r="O949"/>
  <c r="W949" s="1"/>
  <c r="G949"/>
  <c r="H949" s="1"/>
  <c r="AF948"/>
  <c r="V948"/>
  <c r="O948"/>
  <c r="W948" s="1"/>
  <c r="G948"/>
  <c r="H948" s="1"/>
  <c r="AF947"/>
  <c r="O947"/>
  <c r="W947" s="1"/>
  <c r="G947"/>
  <c r="H947" s="1"/>
  <c r="AF946"/>
  <c r="V946"/>
  <c r="O946"/>
  <c r="W946" s="1"/>
  <c r="G946"/>
  <c r="H946" s="1"/>
  <c r="AF945"/>
  <c r="O945"/>
  <c r="W945" s="1"/>
  <c r="G945"/>
  <c r="H945" s="1"/>
  <c r="AF944"/>
  <c r="V944"/>
  <c r="O944"/>
  <c r="W944" s="1"/>
  <c r="G944"/>
  <c r="H944" s="1"/>
  <c r="AF943"/>
  <c r="O943"/>
  <c r="W943" s="1"/>
  <c r="G943"/>
  <c r="H943" s="1"/>
  <c r="AF942"/>
  <c r="V942"/>
  <c r="O942"/>
  <c r="W942" s="1"/>
  <c r="G942"/>
  <c r="H942" s="1"/>
  <c r="AF941"/>
  <c r="O941"/>
  <c r="W941" s="1"/>
  <c r="G941"/>
  <c r="H941" s="1"/>
  <c r="AF940"/>
  <c r="V940"/>
  <c r="O940"/>
  <c r="W940" s="1"/>
  <c r="G940"/>
  <c r="H940" s="1"/>
  <c r="AF939"/>
  <c r="O939"/>
  <c r="W939" s="1"/>
  <c r="G939"/>
  <c r="H939" s="1"/>
  <c r="AF938"/>
  <c r="V938"/>
  <c r="O938"/>
  <c r="W938" s="1"/>
  <c r="G938"/>
  <c r="H938" s="1"/>
  <c r="AF937"/>
  <c r="V937"/>
  <c r="O937"/>
  <c r="W937" s="1"/>
  <c r="G937"/>
  <c r="H937" s="1"/>
  <c r="AF936"/>
  <c r="O936"/>
  <c r="V936" s="1"/>
  <c r="G936"/>
  <c r="H936" s="1"/>
  <c r="AF935"/>
  <c r="V935"/>
  <c r="O935"/>
  <c r="W935" s="1"/>
  <c r="G935"/>
  <c r="H935" s="1"/>
  <c r="AF934"/>
  <c r="O934"/>
  <c r="V934" s="1"/>
  <c r="G934"/>
  <c r="H934" s="1"/>
  <c r="AF933"/>
  <c r="V933"/>
  <c r="O933"/>
  <c r="W933" s="1"/>
  <c r="G933"/>
  <c r="H933" s="1"/>
  <c r="AF932"/>
  <c r="O932"/>
  <c r="V932" s="1"/>
  <c r="G932"/>
  <c r="H932" s="1"/>
  <c r="AF931"/>
  <c r="V931"/>
  <c r="O931"/>
  <c r="W931" s="1"/>
  <c r="G931"/>
  <c r="H931" s="1"/>
  <c r="AF930"/>
  <c r="O930"/>
  <c r="V930" s="1"/>
  <c r="G930"/>
  <c r="H930" s="1"/>
  <c r="AF929"/>
  <c r="V929"/>
  <c r="O929"/>
  <c r="W929" s="1"/>
  <c r="G929"/>
  <c r="H929" s="1"/>
  <c r="AF928"/>
  <c r="O928"/>
  <c r="V928" s="1"/>
  <c r="G928"/>
  <c r="H928" s="1"/>
  <c r="AF927"/>
  <c r="V927"/>
  <c r="O927"/>
  <c r="W927" s="1"/>
  <c r="G927"/>
  <c r="H927" s="1"/>
  <c r="AF926"/>
  <c r="O926"/>
  <c r="V926" s="1"/>
  <c r="G926"/>
  <c r="H926" s="1"/>
  <c r="AF925"/>
  <c r="V925"/>
  <c r="O925"/>
  <c r="W925" s="1"/>
  <c r="G925"/>
  <c r="H925" s="1"/>
  <c r="AF924"/>
  <c r="O924"/>
  <c r="W924" s="1"/>
  <c r="G924"/>
  <c r="H924" s="1"/>
  <c r="AF923"/>
  <c r="V923"/>
  <c r="O923"/>
  <c r="W923" s="1"/>
  <c r="G923"/>
  <c r="H923" s="1"/>
  <c r="AF922"/>
  <c r="O922"/>
  <c r="W922" s="1"/>
  <c r="G922"/>
  <c r="H922" s="1"/>
  <c r="AF921"/>
  <c r="V921"/>
  <c r="O921"/>
  <c r="W921" s="1"/>
  <c r="G921"/>
  <c r="H921" s="1"/>
  <c r="AF920"/>
  <c r="O920"/>
  <c r="W920" s="1"/>
  <c r="G920"/>
  <c r="H920" s="1"/>
  <c r="AF919"/>
  <c r="V919"/>
  <c r="O919"/>
  <c r="W919" s="1"/>
  <c r="G919"/>
  <c r="H919" s="1"/>
  <c r="AF918"/>
  <c r="O918"/>
  <c r="W918" s="1"/>
  <c r="G918"/>
  <c r="H918" s="1"/>
  <c r="AF917"/>
  <c r="V917"/>
  <c r="O917"/>
  <c r="W917" s="1"/>
  <c r="G917"/>
  <c r="H917" s="1"/>
  <c r="AF916"/>
  <c r="O916"/>
  <c r="W916" s="1"/>
  <c r="G916"/>
  <c r="H916" s="1"/>
  <c r="AF915"/>
  <c r="V915"/>
  <c r="O915"/>
  <c r="W915" s="1"/>
  <c r="G915"/>
  <c r="H915" s="1"/>
  <c r="AF914"/>
  <c r="O914"/>
  <c r="W914" s="1"/>
  <c r="G914"/>
  <c r="H914" s="1"/>
  <c r="AF913"/>
  <c r="V913"/>
  <c r="O913"/>
  <c r="W913" s="1"/>
  <c r="G913"/>
  <c r="H913" s="1"/>
  <c r="AF912"/>
  <c r="O912"/>
  <c r="W912" s="1"/>
  <c r="G912"/>
  <c r="H912" s="1"/>
  <c r="AF911"/>
  <c r="V911"/>
  <c r="O911"/>
  <c r="W911" s="1"/>
  <c r="G911"/>
  <c r="H911" s="1"/>
  <c r="AF910"/>
  <c r="O910"/>
  <c r="W910" s="1"/>
  <c r="G910"/>
  <c r="H910" s="1"/>
  <c r="AF909"/>
  <c r="V909"/>
  <c r="O909"/>
  <c r="W909" s="1"/>
  <c r="G909"/>
  <c r="H909" s="1"/>
  <c r="AF908"/>
  <c r="O908"/>
  <c r="W908" s="1"/>
  <c r="G908"/>
  <c r="H908" s="1"/>
  <c r="AF907"/>
  <c r="V907"/>
  <c r="O907"/>
  <c r="W907" s="1"/>
  <c r="G907"/>
  <c r="H907" s="1"/>
  <c r="AF906"/>
  <c r="O906"/>
  <c r="W906" s="1"/>
  <c r="G906"/>
  <c r="H906" s="1"/>
  <c r="AF905"/>
  <c r="V905"/>
  <c r="O905"/>
  <c r="W905" s="1"/>
  <c r="G905"/>
  <c r="H905" s="1"/>
  <c r="AF904"/>
  <c r="O904"/>
  <c r="W904" s="1"/>
  <c r="G904"/>
  <c r="H904" s="1"/>
  <c r="AF903"/>
  <c r="V903"/>
  <c r="O903"/>
  <c r="W903" s="1"/>
  <c r="G903"/>
  <c r="H903" s="1"/>
  <c r="AF902"/>
  <c r="O902"/>
  <c r="W902" s="1"/>
  <c r="G902"/>
  <c r="H902" s="1"/>
  <c r="AF901"/>
  <c r="V901"/>
  <c r="O901"/>
  <c r="W901" s="1"/>
  <c r="G901"/>
  <c r="H901" s="1"/>
  <c r="AF900"/>
  <c r="O900"/>
  <c r="W900" s="1"/>
  <c r="G900"/>
  <c r="H900" s="1"/>
  <c r="AF899"/>
  <c r="V899"/>
  <c r="O899"/>
  <c r="W899" s="1"/>
  <c r="G899"/>
  <c r="H899" s="1"/>
  <c r="AF898"/>
  <c r="O898"/>
  <c r="W898" s="1"/>
  <c r="G898"/>
  <c r="H898" s="1"/>
  <c r="AF897"/>
  <c r="V897"/>
  <c r="O897"/>
  <c r="W897" s="1"/>
  <c r="G897"/>
  <c r="H897" s="1"/>
  <c r="AF896"/>
  <c r="O896"/>
  <c r="W896" s="1"/>
  <c r="G896"/>
  <c r="H896" s="1"/>
  <c r="AF895"/>
  <c r="V895"/>
  <c r="O895"/>
  <c r="W895" s="1"/>
  <c r="G895"/>
  <c r="H895" s="1"/>
  <c r="AF894"/>
  <c r="O894"/>
  <c r="W894" s="1"/>
  <c r="G894"/>
  <c r="H894" s="1"/>
  <c r="AF893"/>
  <c r="V893"/>
  <c r="O893"/>
  <c r="W893" s="1"/>
  <c r="G893"/>
  <c r="H893" s="1"/>
  <c r="AF892"/>
  <c r="O892"/>
  <c r="W892" s="1"/>
  <c r="G892"/>
  <c r="H892" s="1"/>
  <c r="AF891"/>
  <c r="V891"/>
  <c r="O891"/>
  <c r="W891" s="1"/>
  <c r="G891"/>
  <c r="H891" s="1"/>
  <c r="AF890"/>
  <c r="O890"/>
  <c r="W890" s="1"/>
  <c r="G890"/>
  <c r="H890" s="1"/>
  <c r="AF889"/>
  <c r="V889"/>
  <c r="O889"/>
  <c r="W889" s="1"/>
  <c r="G889"/>
  <c r="H889" s="1"/>
  <c r="AF888"/>
  <c r="O888"/>
  <c r="W888" s="1"/>
  <c r="G888"/>
  <c r="H888" s="1"/>
  <c r="AF887"/>
  <c r="V887"/>
  <c r="O887"/>
  <c r="W887" s="1"/>
  <c r="G887"/>
  <c r="H887" s="1"/>
  <c r="AF886"/>
  <c r="O886"/>
  <c r="W886" s="1"/>
  <c r="G886"/>
  <c r="H886" s="1"/>
  <c r="AF885"/>
  <c r="V885"/>
  <c r="O885"/>
  <c r="W885" s="1"/>
  <c r="G885"/>
  <c r="H885" s="1"/>
  <c r="AF884"/>
  <c r="O884"/>
  <c r="W884" s="1"/>
  <c r="G884"/>
  <c r="H884" s="1"/>
  <c r="AF883"/>
  <c r="V883"/>
  <c r="O883"/>
  <c r="W883" s="1"/>
  <c r="G883"/>
  <c r="H883" s="1"/>
  <c r="AF882"/>
  <c r="O882"/>
  <c r="W882" s="1"/>
  <c r="G882"/>
  <c r="H882" s="1"/>
  <c r="AF881"/>
  <c r="V881"/>
  <c r="O881"/>
  <c r="W881" s="1"/>
  <c r="G881"/>
  <c r="H881" s="1"/>
  <c r="AF880"/>
  <c r="O880"/>
  <c r="W880" s="1"/>
  <c r="G880"/>
  <c r="H880" s="1"/>
  <c r="AF879"/>
  <c r="V879"/>
  <c r="O879"/>
  <c r="W879" s="1"/>
  <c r="G879"/>
  <c r="H879" s="1"/>
  <c r="AF878"/>
  <c r="O878"/>
  <c r="W878" s="1"/>
  <c r="G878"/>
  <c r="H878" s="1"/>
  <c r="AF877"/>
  <c r="V877"/>
  <c r="O877"/>
  <c r="W877" s="1"/>
  <c r="G877"/>
  <c r="H877" s="1"/>
  <c r="AF876"/>
  <c r="O876"/>
  <c r="W876" s="1"/>
  <c r="G876"/>
  <c r="H876" s="1"/>
  <c r="AF875"/>
  <c r="V875"/>
  <c r="O875"/>
  <c r="W875" s="1"/>
  <c r="G875"/>
  <c r="H875" s="1"/>
  <c r="AF874"/>
  <c r="O874"/>
  <c r="W874" s="1"/>
  <c r="G874"/>
  <c r="H874" s="1"/>
  <c r="AF873"/>
  <c r="V873"/>
  <c r="O873"/>
  <c r="W873" s="1"/>
  <c r="G873"/>
  <c r="H873" s="1"/>
  <c r="AF872"/>
  <c r="O872"/>
  <c r="W872" s="1"/>
  <c r="G872"/>
  <c r="H872" s="1"/>
  <c r="AF871"/>
  <c r="V871"/>
  <c r="O871"/>
  <c r="W871" s="1"/>
  <c r="G871"/>
  <c r="H871" s="1"/>
  <c r="AF870"/>
  <c r="O870"/>
  <c r="W870" s="1"/>
  <c r="G870"/>
  <c r="H870" s="1"/>
  <c r="AF869"/>
  <c r="V869"/>
  <c r="O869"/>
  <c r="W869" s="1"/>
  <c r="G869"/>
  <c r="H869" s="1"/>
  <c r="AF868"/>
  <c r="O868"/>
  <c r="W868" s="1"/>
  <c r="G868"/>
  <c r="H868" s="1"/>
  <c r="AF867"/>
  <c r="V867"/>
  <c r="O867"/>
  <c r="W867" s="1"/>
  <c r="G867"/>
  <c r="H867" s="1"/>
  <c r="AF866"/>
  <c r="O866"/>
  <c r="W866" s="1"/>
  <c r="G866"/>
  <c r="H866" s="1"/>
  <c r="AF865"/>
  <c r="V865"/>
  <c r="O865"/>
  <c r="W865" s="1"/>
  <c r="G865"/>
  <c r="H865" s="1"/>
  <c r="AF864"/>
  <c r="O864"/>
  <c r="W864" s="1"/>
  <c r="G864"/>
  <c r="H864" s="1"/>
  <c r="AF863"/>
  <c r="V863"/>
  <c r="O863"/>
  <c r="W863" s="1"/>
  <c r="G863"/>
  <c r="H863" s="1"/>
  <c r="AF862"/>
  <c r="O862"/>
  <c r="W862" s="1"/>
  <c r="G862"/>
  <c r="H862" s="1"/>
  <c r="AF861"/>
  <c r="V861"/>
  <c r="O861"/>
  <c r="W861" s="1"/>
  <c r="G861"/>
  <c r="H861" s="1"/>
  <c r="AF860"/>
  <c r="O860"/>
  <c r="W860" s="1"/>
  <c r="G860"/>
  <c r="H860" s="1"/>
  <c r="AF859"/>
  <c r="V859"/>
  <c r="O859"/>
  <c r="W859" s="1"/>
  <c r="G859"/>
  <c r="H859" s="1"/>
  <c r="AF858"/>
  <c r="O858"/>
  <c r="W858" s="1"/>
  <c r="G858"/>
  <c r="H858" s="1"/>
  <c r="AF857"/>
  <c r="V857"/>
  <c r="O857"/>
  <c r="W857" s="1"/>
  <c r="G857"/>
  <c r="H857" s="1"/>
  <c r="AF856"/>
  <c r="O856"/>
  <c r="W856" s="1"/>
  <c r="G856"/>
  <c r="H856" s="1"/>
  <c r="AF855"/>
  <c r="V855"/>
  <c r="O855"/>
  <c r="W855" s="1"/>
  <c r="G855"/>
  <c r="H855" s="1"/>
  <c r="AF854"/>
  <c r="O854"/>
  <c r="W854" s="1"/>
  <c r="G854"/>
  <c r="H854" s="1"/>
  <c r="AF853"/>
  <c r="V853"/>
  <c r="O853"/>
  <c r="W853" s="1"/>
  <c r="G853"/>
  <c r="H853" s="1"/>
  <c r="AF852"/>
  <c r="O852"/>
  <c r="W852" s="1"/>
  <c r="G852"/>
  <c r="H852" s="1"/>
  <c r="AF851"/>
  <c r="V851"/>
  <c r="O851"/>
  <c r="W851" s="1"/>
  <c r="G851"/>
  <c r="H851" s="1"/>
  <c r="AF850"/>
  <c r="O850"/>
  <c r="W850" s="1"/>
  <c r="G850"/>
  <c r="H850" s="1"/>
  <c r="AF849"/>
  <c r="V849"/>
  <c r="O849"/>
  <c r="W849" s="1"/>
  <c r="G849"/>
  <c r="H849" s="1"/>
  <c r="AF848"/>
  <c r="O848"/>
  <c r="W848" s="1"/>
  <c r="G848"/>
  <c r="H848" s="1"/>
  <c r="AF847"/>
  <c r="V847"/>
  <c r="O847"/>
  <c r="W847" s="1"/>
  <c r="G847"/>
  <c r="H847" s="1"/>
  <c r="AF846"/>
  <c r="O846"/>
  <c r="W846" s="1"/>
  <c r="G846"/>
  <c r="H846" s="1"/>
  <c r="AF845"/>
  <c r="V845"/>
  <c r="O845"/>
  <c r="W845" s="1"/>
  <c r="G845"/>
  <c r="H845" s="1"/>
  <c r="AF844"/>
  <c r="O844"/>
  <c r="W844" s="1"/>
  <c r="G844"/>
  <c r="H844" s="1"/>
  <c r="AF843"/>
  <c r="V843"/>
  <c r="O843"/>
  <c r="W843" s="1"/>
  <c r="G843"/>
  <c r="H843" s="1"/>
  <c r="AF842"/>
  <c r="O842"/>
  <c r="W842" s="1"/>
  <c r="G842"/>
  <c r="H842" s="1"/>
  <c r="AF841"/>
  <c r="V841"/>
  <c r="O841"/>
  <c r="W841" s="1"/>
  <c r="G841"/>
  <c r="H841" s="1"/>
  <c r="AF840"/>
  <c r="O840"/>
  <c r="W840" s="1"/>
  <c r="G840"/>
  <c r="H840" s="1"/>
  <c r="AF839"/>
  <c r="V839"/>
  <c r="O839"/>
  <c r="W839" s="1"/>
  <c r="G839"/>
  <c r="H839" s="1"/>
  <c r="AF838"/>
  <c r="O838"/>
  <c r="W838" s="1"/>
  <c r="G838"/>
  <c r="H838" s="1"/>
  <c r="AF837"/>
  <c r="V837"/>
  <c r="O837"/>
  <c r="W837" s="1"/>
  <c r="G837"/>
  <c r="H837" s="1"/>
  <c r="AF836"/>
  <c r="O836"/>
  <c r="W836" s="1"/>
  <c r="G836"/>
  <c r="H836" s="1"/>
  <c r="AF835"/>
  <c r="V835"/>
  <c r="O835"/>
  <c r="W835" s="1"/>
  <c r="G835"/>
  <c r="H835" s="1"/>
  <c r="AF834"/>
  <c r="O834"/>
  <c r="W834" s="1"/>
  <c r="G834"/>
  <c r="H834" s="1"/>
  <c r="AF833"/>
  <c r="V833"/>
  <c r="O833"/>
  <c r="W833" s="1"/>
  <c r="G833"/>
  <c r="H833" s="1"/>
  <c r="AF832"/>
  <c r="O832"/>
  <c r="W832" s="1"/>
  <c r="G832"/>
  <c r="H832" s="1"/>
  <c r="AF831"/>
  <c r="V831"/>
  <c r="O831"/>
  <c r="W831" s="1"/>
  <c r="G831"/>
  <c r="H831" s="1"/>
  <c r="AF830"/>
  <c r="O830"/>
  <c r="W830" s="1"/>
  <c r="G830"/>
  <c r="H830" s="1"/>
  <c r="AF829"/>
  <c r="V829"/>
  <c r="O829"/>
  <c r="W829" s="1"/>
  <c r="G829"/>
  <c r="H829" s="1"/>
  <c r="AF828"/>
  <c r="O828"/>
  <c r="W828" s="1"/>
  <c r="G828"/>
  <c r="H828" s="1"/>
  <c r="AF827"/>
  <c r="V827"/>
  <c r="O827"/>
  <c r="W827" s="1"/>
  <c r="G827"/>
  <c r="H827" s="1"/>
  <c r="AF826"/>
  <c r="O826"/>
  <c r="W826" s="1"/>
  <c r="G826"/>
  <c r="H826" s="1"/>
  <c r="AF825"/>
  <c r="V825"/>
  <c r="O825"/>
  <c r="W825" s="1"/>
  <c r="G825"/>
  <c r="H825" s="1"/>
  <c r="AF824"/>
  <c r="O824"/>
  <c r="W824" s="1"/>
  <c r="G824"/>
  <c r="H824" s="1"/>
  <c r="AF823"/>
  <c r="V823"/>
  <c r="O823"/>
  <c r="W823" s="1"/>
  <c r="G823"/>
  <c r="H823" s="1"/>
  <c r="AF822"/>
  <c r="O822"/>
  <c r="W822" s="1"/>
  <c r="G822"/>
  <c r="H822" s="1"/>
  <c r="AF821"/>
  <c r="V821"/>
  <c r="O821"/>
  <c r="W821" s="1"/>
  <c r="G821"/>
  <c r="H821" s="1"/>
  <c r="AF820"/>
  <c r="O820"/>
  <c r="W820" s="1"/>
  <c r="G820"/>
  <c r="H820" s="1"/>
  <c r="AF819"/>
  <c r="V819"/>
  <c r="O819"/>
  <c r="W819" s="1"/>
  <c r="G819"/>
  <c r="H819" s="1"/>
  <c r="AF818"/>
  <c r="O818"/>
  <c r="W818" s="1"/>
  <c r="G818"/>
  <c r="H818" s="1"/>
  <c r="AF817"/>
  <c r="V817"/>
  <c r="O817"/>
  <c r="W817" s="1"/>
  <c r="G817"/>
  <c r="H817" s="1"/>
  <c r="AF816"/>
  <c r="O816"/>
  <c r="W816" s="1"/>
  <c r="G816"/>
  <c r="H816" s="1"/>
  <c r="AF815"/>
  <c r="V815"/>
  <c r="O815"/>
  <c r="W815" s="1"/>
  <c r="G815"/>
  <c r="H815" s="1"/>
  <c r="AF814"/>
  <c r="O814"/>
  <c r="V814" s="1"/>
  <c r="G814"/>
  <c r="H814" s="1"/>
  <c r="AF813"/>
  <c r="V813"/>
  <c r="O813"/>
  <c r="W813" s="1"/>
  <c r="G813"/>
  <c r="H813" s="1"/>
  <c r="AF812"/>
  <c r="O812"/>
  <c r="V812" s="1"/>
  <c r="G812"/>
  <c r="H812" s="1"/>
  <c r="AF811"/>
  <c r="V811"/>
  <c r="O811"/>
  <c r="W811" s="1"/>
  <c r="G811"/>
  <c r="H811" s="1"/>
  <c r="AF810"/>
  <c r="O810"/>
  <c r="V810" s="1"/>
  <c r="G810"/>
  <c r="H810" s="1"/>
  <c r="AF809"/>
  <c r="V809"/>
  <c r="O809"/>
  <c r="W809" s="1"/>
  <c r="G809"/>
  <c r="H809" s="1"/>
  <c r="AF808"/>
  <c r="O808"/>
  <c r="V808" s="1"/>
  <c r="G808"/>
  <c r="H808" s="1"/>
  <c r="AF807"/>
  <c r="O807"/>
  <c r="W807" s="1"/>
  <c r="G807"/>
  <c r="H807" s="1"/>
  <c r="AF806"/>
  <c r="W806"/>
  <c r="O806"/>
  <c r="V806" s="1"/>
  <c r="G806"/>
  <c r="H806" s="1"/>
  <c r="AF805"/>
  <c r="V805"/>
  <c r="O805"/>
  <c r="W805" s="1"/>
  <c r="H805"/>
  <c r="G805"/>
  <c r="AF804"/>
  <c r="O804"/>
  <c r="V804" s="1"/>
  <c r="G804"/>
  <c r="H804" s="1"/>
  <c r="AF803"/>
  <c r="O803"/>
  <c r="W803" s="1"/>
  <c r="G803"/>
  <c r="H803" s="1"/>
  <c r="AF802"/>
  <c r="W802"/>
  <c r="O802"/>
  <c r="V802" s="1"/>
  <c r="G802"/>
  <c r="H802" s="1"/>
  <c r="AF801"/>
  <c r="V801"/>
  <c r="O801"/>
  <c r="W801" s="1"/>
  <c r="G801"/>
  <c r="H801" s="1"/>
  <c r="AF800"/>
  <c r="O800"/>
  <c r="V800" s="1"/>
  <c r="G800"/>
  <c r="H800" s="1"/>
  <c r="AF799"/>
  <c r="O799"/>
  <c r="W799" s="1"/>
  <c r="G799"/>
  <c r="H799" s="1"/>
  <c r="AF798"/>
  <c r="W798"/>
  <c r="O798"/>
  <c r="V798" s="1"/>
  <c r="G798"/>
  <c r="H798" s="1"/>
  <c r="AF797"/>
  <c r="V797"/>
  <c r="O797"/>
  <c r="W797" s="1"/>
  <c r="H797"/>
  <c r="G797"/>
  <c r="AF796"/>
  <c r="O796"/>
  <c r="V796" s="1"/>
  <c r="G796"/>
  <c r="H796" s="1"/>
  <c r="AF795"/>
  <c r="O795"/>
  <c r="W795" s="1"/>
  <c r="G795"/>
  <c r="H795" s="1"/>
  <c r="AF794"/>
  <c r="W794"/>
  <c r="O794"/>
  <c r="V794" s="1"/>
  <c r="G794"/>
  <c r="H794" s="1"/>
  <c r="AF793"/>
  <c r="V793"/>
  <c r="O793"/>
  <c r="W793" s="1"/>
  <c r="G793"/>
  <c r="H793" s="1"/>
  <c r="AF792"/>
  <c r="O792"/>
  <c r="V792" s="1"/>
  <c r="G792"/>
  <c r="H792" s="1"/>
  <c r="AF791"/>
  <c r="O791"/>
  <c r="W791" s="1"/>
  <c r="G791"/>
  <c r="H791" s="1"/>
  <c r="AF790"/>
  <c r="W790"/>
  <c r="O790"/>
  <c r="V790" s="1"/>
  <c r="G790"/>
  <c r="H790" s="1"/>
  <c r="AF789"/>
  <c r="V789"/>
  <c r="O789"/>
  <c r="W789" s="1"/>
  <c r="H789"/>
  <c r="G789"/>
  <c r="AF788"/>
  <c r="O788"/>
  <c r="V788" s="1"/>
  <c r="G788"/>
  <c r="H788" s="1"/>
  <c r="AF787"/>
  <c r="O787"/>
  <c r="W787" s="1"/>
  <c r="G787"/>
  <c r="H787" s="1"/>
  <c r="AF786"/>
  <c r="W786"/>
  <c r="O786"/>
  <c r="V786" s="1"/>
  <c r="G786"/>
  <c r="H786" s="1"/>
  <c r="AF785"/>
  <c r="O785"/>
  <c r="W785" s="1"/>
  <c r="G785"/>
  <c r="H785" s="1"/>
  <c r="AF784"/>
  <c r="O784"/>
  <c r="W784" s="1"/>
  <c r="G784"/>
  <c r="H784" s="1"/>
  <c r="AF783"/>
  <c r="O783"/>
  <c r="W783" s="1"/>
  <c r="G783"/>
  <c r="H783" s="1"/>
  <c r="AF782"/>
  <c r="O782"/>
  <c r="W782" s="1"/>
  <c r="G782"/>
  <c r="H782" s="1"/>
  <c r="AF781"/>
  <c r="O781"/>
  <c r="W781" s="1"/>
  <c r="G781"/>
  <c r="H781" s="1"/>
  <c r="AF780"/>
  <c r="O780"/>
  <c r="W780" s="1"/>
  <c r="G780"/>
  <c r="H780" s="1"/>
  <c r="AF779"/>
  <c r="O779"/>
  <c r="W779" s="1"/>
  <c r="G779"/>
  <c r="H779" s="1"/>
  <c r="AF778"/>
  <c r="O778"/>
  <c r="W778" s="1"/>
  <c r="G778"/>
  <c r="H778" s="1"/>
  <c r="AF777"/>
  <c r="O777"/>
  <c r="W777" s="1"/>
  <c r="G777"/>
  <c r="H777" s="1"/>
  <c r="AF776"/>
  <c r="O776"/>
  <c r="W776" s="1"/>
  <c r="G776"/>
  <c r="H776" s="1"/>
  <c r="AF775"/>
  <c r="O775"/>
  <c r="W775" s="1"/>
  <c r="G775"/>
  <c r="H775" s="1"/>
  <c r="AF774"/>
  <c r="O774"/>
  <c r="W774" s="1"/>
  <c r="G774"/>
  <c r="H774" s="1"/>
  <c r="AF773"/>
  <c r="O773"/>
  <c r="W773" s="1"/>
  <c r="G773"/>
  <c r="H773" s="1"/>
  <c r="AF772"/>
  <c r="O772"/>
  <c r="W772" s="1"/>
  <c r="G772"/>
  <c r="H772" s="1"/>
  <c r="AF771"/>
  <c r="O771"/>
  <c r="W771" s="1"/>
  <c r="G771"/>
  <c r="H771" s="1"/>
  <c r="AF770"/>
  <c r="O770"/>
  <c r="W770" s="1"/>
  <c r="G770"/>
  <c r="H770" s="1"/>
  <c r="AF769"/>
  <c r="O769"/>
  <c r="W769" s="1"/>
  <c r="G769"/>
  <c r="H769" s="1"/>
  <c r="AF768"/>
  <c r="O768"/>
  <c r="W768" s="1"/>
  <c r="G768"/>
  <c r="H768" s="1"/>
  <c r="AF767"/>
  <c r="O767"/>
  <c r="W767" s="1"/>
  <c r="G767"/>
  <c r="H767" s="1"/>
  <c r="AF766"/>
  <c r="O766"/>
  <c r="W766" s="1"/>
  <c r="G766"/>
  <c r="H766" s="1"/>
  <c r="AF765"/>
  <c r="O765"/>
  <c r="W765" s="1"/>
  <c r="G765"/>
  <c r="H765" s="1"/>
  <c r="AF764"/>
  <c r="O764"/>
  <c r="W764" s="1"/>
  <c r="G764"/>
  <c r="H764" s="1"/>
  <c r="AF763"/>
  <c r="O763"/>
  <c r="W763" s="1"/>
  <c r="G763"/>
  <c r="H763" s="1"/>
  <c r="AF762"/>
  <c r="O762"/>
  <c r="W762" s="1"/>
  <c r="G762"/>
  <c r="H762" s="1"/>
  <c r="AF761"/>
  <c r="O761"/>
  <c r="W761" s="1"/>
  <c r="G761"/>
  <c r="H761" s="1"/>
  <c r="AF760"/>
  <c r="O760"/>
  <c r="W760" s="1"/>
  <c r="G760"/>
  <c r="H760" s="1"/>
  <c r="AF759"/>
  <c r="O759"/>
  <c r="W759" s="1"/>
  <c r="G759"/>
  <c r="H759" s="1"/>
  <c r="AF758"/>
  <c r="O758"/>
  <c r="W758" s="1"/>
  <c r="G758"/>
  <c r="H758" s="1"/>
  <c r="AF757"/>
  <c r="O757"/>
  <c r="W757" s="1"/>
  <c r="G757"/>
  <c r="H757" s="1"/>
  <c r="AF756"/>
  <c r="O756"/>
  <c r="W756" s="1"/>
  <c r="G756"/>
  <c r="H756" s="1"/>
  <c r="AF755"/>
  <c r="O755"/>
  <c r="W755" s="1"/>
  <c r="G755"/>
  <c r="H755" s="1"/>
  <c r="AF754"/>
  <c r="O754"/>
  <c r="W754" s="1"/>
  <c r="G754"/>
  <c r="H754" s="1"/>
  <c r="AF753"/>
  <c r="O753"/>
  <c r="W753" s="1"/>
  <c r="G753"/>
  <c r="H753" s="1"/>
  <c r="AF752"/>
  <c r="O752"/>
  <c r="W752" s="1"/>
  <c r="G752"/>
  <c r="H752" s="1"/>
  <c r="AF751"/>
  <c r="O751"/>
  <c r="W751" s="1"/>
  <c r="G751"/>
  <c r="H751" s="1"/>
  <c r="AF750"/>
  <c r="O750"/>
  <c r="W750" s="1"/>
  <c r="G750"/>
  <c r="H750" s="1"/>
  <c r="AF749"/>
  <c r="O749"/>
  <c r="W749" s="1"/>
  <c r="G749"/>
  <c r="H749" s="1"/>
  <c r="AF748"/>
  <c r="O748"/>
  <c r="W748" s="1"/>
  <c r="G748"/>
  <c r="H748" s="1"/>
  <c r="AF747"/>
  <c r="O747"/>
  <c r="W747" s="1"/>
  <c r="G747"/>
  <c r="H747" s="1"/>
  <c r="AF746"/>
  <c r="O746"/>
  <c r="W746" s="1"/>
  <c r="G746"/>
  <c r="H746" s="1"/>
  <c r="AF745"/>
  <c r="O745"/>
  <c r="W745" s="1"/>
  <c r="G745"/>
  <c r="H745" s="1"/>
  <c r="AF744"/>
  <c r="O744"/>
  <c r="W744" s="1"/>
  <c r="G744"/>
  <c r="H744" s="1"/>
  <c r="AF743"/>
  <c r="O743"/>
  <c r="W743" s="1"/>
  <c r="G743"/>
  <c r="H743" s="1"/>
  <c r="AF742"/>
  <c r="O742"/>
  <c r="W742" s="1"/>
  <c r="G742"/>
  <c r="H742" s="1"/>
  <c r="AF741"/>
  <c r="O741"/>
  <c r="W741" s="1"/>
  <c r="G741"/>
  <c r="H741" s="1"/>
  <c r="AF740"/>
  <c r="O740"/>
  <c r="W740" s="1"/>
  <c r="G740"/>
  <c r="H740" s="1"/>
  <c r="AF739"/>
  <c r="O739"/>
  <c r="W739" s="1"/>
  <c r="G739"/>
  <c r="H739" s="1"/>
  <c r="AF738"/>
  <c r="O738"/>
  <c r="W738" s="1"/>
  <c r="G738"/>
  <c r="H738" s="1"/>
  <c r="AF737"/>
  <c r="O737"/>
  <c r="W737" s="1"/>
  <c r="G737"/>
  <c r="H737" s="1"/>
  <c r="AF736"/>
  <c r="O736"/>
  <c r="W736" s="1"/>
  <c r="G736"/>
  <c r="H736" s="1"/>
  <c r="AF735"/>
  <c r="O735"/>
  <c r="W735" s="1"/>
  <c r="G735"/>
  <c r="H735" s="1"/>
  <c r="AF734"/>
  <c r="O734"/>
  <c r="W734" s="1"/>
  <c r="G734"/>
  <c r="H734" s="1"/>
  <c r="AF733"/>
  <c r="O733"/>
  <c r="W733" s="1"/>
  <c r="G733"/>
  <c r="H733" s="1"/>
  <c r="AF732"/>
  <c r="O732"/>
  <c r="W732" s="1"/>
  <c r="G732"/>
  <c r="H732" s="1"/>
  <c r="AF731"/>
  <c r="O731"/>
  <c r="W731" s="1"/>
  <c r="G731"/>
  <c r="H731" s="1"/>
  <c r="AF730"/>
  <c r="O730"/>
  <c r="W730" s="1"/>
  <c r="G730"/>
  <c r="H730" s="1"/>
  <c r="AF729"/>
  <c r="O729"/>
  <c r="W729" s="1"/>
  <c r="G729"/>
  <c r="H729" s="1"/>
  <c r="AF728"/>
  <c r="O728"/>
  <c r="W728" s="1"/>
  <c r="G728"/>
  <c r="H728" s="1"/>
  <c r="AF727"/>
  <c r="O727"/>
  <c r="W727" s="1"/>
  <c r="G727"/>
  <c r="H727" s="1"/>
  <c r="AF726"/>
  <c r="O726"/>
  <c r="W726" s="1"/>
  <c r="G726"/>
  <c r="H726" s="1"/>
  <c r="AF725"/>
  <c r="O725"/>
  <c r="W725" s="1"/>
  <c r="G725"/>
  <c r="H725" s="1"/>
  <c r="AF724"/>
  <c r="O724"/>
  <c r="W724" s="1"/>
  <c r="G724"/>
  <c r="H724" s="1"/>
  <c r="AF723"/>
  <c r="O723"/>
  <c r="W723" s="1"/>
  <c r="G723"/>
  <c r="H723" s="1"/>
  <c r="AF722"/>
  <c r="O722"/>
  <c r="W722" s="1"/>
  <c r="G722"/>
  <c r="H722" s="1"/>
  <c r="AF721"/>
  <c r="O721"/>
  <c r="W721" s="1"/>
  <c r="G721"/>
  <c r="H721" s="1"/>
  <c r="AF720"/>
  <c r="O720"/>
  <c r="W720" s="1"/>
  <c r="G720"/>
  <c r="H720" s="1"/>
  <c r="AF719"/>
  <c r="O719"/>
  <c r="W719" s="1"/>
  <c r="G719"/>
  <c r="H719" s="1"/>
  <c r="AF718"/>
  <c r="O718"/>
  <c r="W718" s="1"/>
  <c r="G718"/>
  <c r="H718" s="1"/>
  <c r="AF717"/>
  <c r="O717"/>
  <c r="W717" s="1"/>
  <c r="G717"/>
  <c r="H717" s="1"/>
  <c r="AF716"/>
  <c r="O716"/>
  <c r="W716" s="1"/>
  <c r="G716"/>
  <c r="H716" s="1"/>
  <c r="AF715"/>
  <c r="O715"/>
  <c r="W715" s="1"/>
  <c r="G715"/>
  <c r="H715" s="1"/>
  <c r="AF714"/>
  <c r="O714"/>
  <c r="W714" s="1"/>
  <c r="G714"/>
  <c r="H714" s="1"/>
  <c r="AF713"/>
  <c r="O713"/>
  <c r="W713" s="1"/>
  <c r="G713"/>
  <c r="H713" s="1"/>
  <c r="AF712"/>
  <c r="O712"/>
  <c r="W712" s="1"/>
  <c r="G712"/>
  <c r="H712" s="1"/>
  <c r="AF711"/>
  <c r="O711"/>
  <c r="W711" s="1"/>
  <c r="G711"/>
  <c r="H711" s="1"/>
  <c r="AF710"/>
  <c r="O710"/>
  <c r="W710" s="1"/>
  <c r="G710"/>
  <c r="H710" s="1"/>
  <c r="AF709"/>
  <c r="O709"/>
  <c r="W709" s="1"/>
  <c r="G709"/>
  <c r="H709" s="1"/>
  <c r="AF708"/>
  <c r="O708"/>
  <c r="W708" s="1"/>
  <c r="G708"/>
  <c r="H708" s="1"/>
  <c r="AF707"/>
  <c r="O707"/>
  <c r="W707" s="1"/>
  <c r="G707"/>
  <c r="H707" s="1"/>
  <c r="AF706"/>
  <c r="O706"/>
  <c r="W706" s="1"/>
  <c r="G706"/>
  <c r="H706" s="1"/>
  <c r="AF705"/>
  <c r="O705"/>
  <c r="W705" s="1"/>
  <c r="G705"/>
  <c r="H705" s="1"/>
  <c r="AF704"/>
  <c r="O704"/>
  <c r="W704" s="1"/>
  <c r="G704"/>
  <c r="H704" s="1"/>
  <c r="AF703"/>
  <c r="O703"/>
  <c r="W703" s="1"/>
  <c r="G703"/>
  <c r="H703" s="1"/>
  <c r="AF702"/>
  <c r="O702"/>
  <c r="W702" s="1"/>
  <c r="G702"/>
  <c r="H702" s="1"/>
  <c r="AF701"/>
  <c r="O701"/>
  <c r="W701" s="1"/>
  <c r="G701"/>
  <c r="H701" s="1"/>
  <c r="AF700"/>
  <c r="O700"/>
  <c r="W700" s="1"/>
  <c r="G700"/>
  <c r="H700" s="1"/>
  <c r="AF699"/>
  <c r="O699"/>
  <c r="W699" s="1"/>
  <c r="G699"/>
  <c r="H699" s="1"/>
  <c r="AF698"/>
  <c r="O698"/>
  <c r="W698" s="1"/>
  <c r="G698"/>
  <c r="H698" s="1"/>
  <c r="AF697"/>
  <c r="O697"/>
  <c r="W697" s="1"/>
  <c r="G697"/>
  <c r="H697" s="1"/>
  <c r="AF696"/>
  <c r="O696"/>
  <c r="W696" s="1"/>
  <c r="G696"/>
  <c r="H696" s="1"/>
  <c r="AF695"/>
  <c r="O695"/>
  <c r="W695" s="1"/>
  <c r="G695"/>
  <c r="H695" s="1"/>
  <c r="AF694"/>
  <c r="O694"/>
  <c r="W694" s="1"/>
  <c r="G694"/>
  <c r="H694" s="1"/>
  <c r="AF693"/>
  <c r="O693"/>
  <c r="W693" s="1"/>
  <c r="G693"/>
  <c r="H693" s="1"/>
  <c r="AF692"/>
  <c r="O692"/>
  <c r="W692" s="1"/>
  <c r="G692"/>
  <c r="H692" s="1"/>
  <c r="AF691"/>
  <c r="O691"/>
  <c r="W691" s="1"/>
  <c r="G691"/>
  <c r="H691" s="1"/>
  <c r="AF690"/>
  <c r="O690"/>
  <c r="W690" s="1"/>
  <c r="G690"/>
  <c r="H690" s="1"/>
  <c r="AF689"/>
  <c r="O689"/>
  <c r="W689" s="1"/>
  <c r="G689"/>
  <c r="H689" s="1"/>
  <c r="AF688"/>
  <c r="O688"/>
  <c r="W688" s="1"/>
  <c r="G688"/>
  <c r="H688" s="1"/>
  <c r="AF687"/>
  <c r="O687"/>
  <c r="W687" s="1"/>
  <c r="G687"/>
  <c r="H687" s="1"/>
  <c r="AF686"/>
  <c r="O686"/>
  <c r="W686" s="1"/>
  <c r="G686"/>
  <c r="H686" s="1"/>
  <c r="AF685"/>
  <c r="O685"/>
  <c r="W685" s="1"/>
  <c r="G685"/>
  <c r="H685" s="1"/>
  <c r="AF684"/>
  <c r="O684"/>
  <c r="W684" s="1"/>
  <c r="G684"/>
  <c r="H684" s="1"/>
  <c r="AF683"/>
  <c r="O683"/>
  <c r="W683" s="1"/>
  <c r="G683"/>
  <c r="H683" s="1"/>
  <c r="AF682"/>
  <c r="O682"/>
  <c r="W682" s="1"/>
  <c r="G682"/>
  <c r="H682" s="1"/>
  <c r="AF681"/>
  <c r="O681"/>
  <c r="W681" s="1"/>
  <c r="G681"/>
  <c r="H681" s="1"/>
  <c r="AF680"/>
  <c r="O680"/>
  <c r="W680" s="1"/>
  <c r="G680"/>
  <c r="H680" s="1"/>
  <c r="AF679"/>
  <c r="O679"/>
  <c r="W679" s="1"/>
  <c r="G679"/>
  <c r="H679" s="1"/>
  <c r="AF678"/>
  <c r="O678"/>
  <c r="W678" s="1"/>
  <c r="G678"/>
  <c r="H678" s="1"/>
  <c r="AF677"/>
  <c r="O677"/>
  <c r="W677" s="1"/>
  <c r="G677"/>
  <c r="H677" s="1"/>
  <c r="AF676"/>
  <c r="O676"/>
  <c r="W676" s="1"/>
  <c r="G676"/>
  <c r="H676" s="1"/>
  <c r="AF675"/>
  <c r="O675"/>
  <c r="W675" s="1"/>
  <c r="G675"/>
  <c r="H675" s="1"/>
  <c r="AF674"/>
  <c r="O674"/>
  <c r="W674" s="1"/>
  <c r="G674"/>
  <c r="H674" s="1"/>
  <c r="AF673"/>
  <c r="W673"/>
  <c r="O673"/>
  <c r="V673" s="1"/>
  <c r="G673"/>
  <c r="H673" s="1"/>
  <c r="AF672"/>
  <c r="V672"/>
  <c r="O672"/>
  <c r="W672" s="1"/>
  <c r="G672"/>
  <c r="H672" s="1"/>
  <c r="AF671"/>
  <c r="O671"/>
  <c r="V671" s="1"/>
  <c r="G671"/>
  <c r="H671" s="1"/>
  <c r="AF670"/>
  <c r="O670"/>
  <c r="W670" s="1"/>
  <c r="G670"/>
  <c r="H670" s="1"/>
  <c r="AF669"/>
  <c r="W669"/>
  <c r="O669"/>
  <c r="V669" s="1"/>
  <c r="G669"/>
  <c r="H669" s="1"/>
  <c r="AF668"/>
  <c r="V668"/>
  <c r="O668"/>
  <c r="W668" s="1"/>
  <c r="H668"/>
  <c r="G668"/>
  <c r="AF667"/>
  <c r="O667"/>
  <c r="V667" s="1"/>
  <c r="G667"/>
  <c r="H667" s="1"/>
  <c r="AF666"/>
  <c r="O666"/>
  <c r="W666" s="1"/>
  <c r="G666"/>
  <c r="H666" s="1"/>
  <c r="AF665"/>
  <c r="W665"/>
  <c r="O665"/>
  <c r="V665" s="1"/>
  <c r="G665"/>
  <c r="H665" s="1"/>
  <c r="AF664"/>
  <c r="V664"/>
  <c r="O664"/>
  <c r="W664" s="1"/>
  <c r="G664"/>
  <c r="H664" s="1"/>
  <c r="AF663"/>
  <c r="O663"/>
  <c r="V663" s="1"/>
  <c r="G663"/>
  <c r="H663" s="1"/>
  <c r="AF662"/>
  <c r="O662"/>
  <c r="W662" s="1"/>
  <c r="G662"/>
  <c r="H662" s="1"/>
  <c r="AF661"/>
  <c r="W661"/>
  <c r="O661"/>
  <c r="V661" s="1"/>
  <c r="G661"/>
  <c r="H661" s="1"/>
  <c r="AF660"/>
  <c r="V660"/>
  <c r="O660"/>
  <c r="W660" s="1"/>
  <c r="H660"/>
  <c r="G660"/>
  <c r="AF659"/>
  <c r="O659"/>
  <c r="V659" s="1"/>
  <c r="G659"/>
  <c r="H659" s="1"/>
  <c r="AF658"/>
  <c r="O658"/>
  <c r="W658" s="1"/>
  <c r="G658"/>
  <c r="H658" s="1"/>
  <c r="AF657"/>
  <c r="W657"/>
  <c r="O657"/>
  <c r="V657" s="1"/>
  <c r="G657"/>
  <c r="H657" s="1"/>
  <c r="AF656"/>
  <c r="V656"/>
  <c r="O656"/>
  <c r="W656" s="1"/>
  <c r="G656"/>
  <c r="H656" s="1"/>
  <c r="AF655"/>
  <c r="O655"/>
  <c r="V655" s="1"/>
  <c r="G655"/>
  <c r="H655" s="1"/>
  <c r="AF654"/>
  <c r="O654"/>
  <c r="W654" s="1"/>
  <c r="G654"/>
  <c r="H654" s="1"/>
  <c r="AF653"/>
  <c r="W653"/>
  <c r="O653"/>
  <c r="V653" s="1"/>
  <c r="G653"/>
  <c r="H653" s="1"/>
  <c r="AF652"/>
  <c r="V652"/>
  <c r="O652"/>
  <c r="W652" s="1"/>
  <c r="H652"/>
  <c r="G652"/>
  <c r="AF651"/>
  <c r="O651"/>
  <c r="V651" s="1"/>
  <c r="G651"/>
  <c r="H651" s="1"/>
  <c r="AF650"/>
  <c r="O650"/>
  <c r="W650" s="1"/>
  <c r="G650"/>
  <c r="H650" s="1"/>
  <c r="AF649"/>
  <c r="W649"/>
  <c r="O649"/>
  <c r="V649" s="1"/>
  <c r="G649"/>
  <c r="H649" s="1"/>
  <c r="AF648"/>
  <c r="V648"/>
  <c r="O648"/>
  <c r="W648" s="1"/>
  <c r="G648"/>
  <c r="H648" s="1"/>
  <c r="AF647"/>
  <c r="O647"/>
  <c r="G647"/>
  <c r="H647" s="1"/>
  <c r="AF646"/>
  <c r="O646"/>
  <c r="G646"/>
  <c r="H646" s="1"/>
  <c r="AF645"/>
  <c r="W645"/>
  <c r="O645"/>
  <c r="V645" s="1"/>
  <c r="G645"/>
  <c r="H645" s="1"/>
  <c r="AF644"/>
  <c r="V644"/>
  <c r="O644"/>
  <c r="W644" s="1"/>
  <c r="H644"/>
  <c r="G644"/>
  <c r="AF643"/>
  <c r="O643"/>
  <c r="G643"/>
  <c r="H643" s="1"/>
  <c r="AF642"/>
  <c r="O642"/>
  <c r="W642" s="1"/>
  <c r="G642"/>
  <c r="H642" s="1"/>
  <c r="AF641"/>
  <c r="O641"/>
  <c r="G641"/>
  <c r="H641" s="1"/>
  <c r="AF640"/>
  <c r="O640"/>
  <c r="W640" s="1"/>
  <c r="G640"/>
  <c r="H640" s="1"/>
  <c r="AF639"/>
  <c r="O639"/>
  <c r="G639"/>
  <c r="H639" s="1"/>
  <c r="AF638"/>
  <c r="O638"/>
  <c r="W638" s="1"/>
  <c r="G638"/>
  <c r="H638" s="1"/>
  <c r="AF637"/>
  <c r="O637"/>
  <c r="G637"/>
  <c r="H637" s="1"/>
  <c r="AF636"/>
  <c r="O636"/>
  <c r="W636" s="1"/>
  <c r="G636"/>
  <c r="H636" s="1"/>
  <c r="AF635"/>
  <c r="O635"/>
  <c r="G635"/>
  <c r="H635" s="1"/>
  <c r="AF634"/>
  <c r="O634"/>
  <c r="W634" s="1"/>
  <c r="G634"/>
  <c r="H634" s="1"/>
  <c r="AF633"/>
  <c r="O633"/>
  <c r="G633"/>
  <c r="H633" s="1"/>
  <c r="AF632"/>
  <c r="O632"/>
  <c r="W632" s="1"/>
  <c r="G632"/>
  <c r="H632" s="1"/>
  <c r="AF631"/>
  <c r="O631"/>
  <c r="G631"/>
  <c r="H631" s="1"/>
  <c r="AF630"/>
  <c r="O630"/>
  <c r="W630" s="1"/>
  <c r="G630"/>
  <c r="H630" s="1"/>
  <c r="AF629"/>
  <c r="O629"/>
  <c r="G629"/>
  <c r="H629" s="1"/>
  <c r="AF628"/>
  <c r="O628"/>
  <c r="W628" s="1"/>
  <c r="G628"/>
  <c r="H628" s="1"/>
  <c r="AF627"/>
  <c r="O627"/>
  <c r="G627"/>
  <c r="H627" s="1"/>
  <c r="AF626"/>
  <c r="O626"/>
  <c r="W626" s="1"/>
  <c r="G626"/>
  <c r="H626" s="1"/>
  <c r="AF625"/>
  <c r="O625"/>
  <c r="G625"/>
  <c r="H625" s="1"/>
  <c r="AF624"/>
  <c r="O624"/>
  <c r="W624" s="1"/>
  <c r="G624"/>
  <c r="H624" s="1"/>
  <c r="AF623"/>
  <c r="O623"/>
  <c r="G623"/>
  <c r="H623" s="1"/>
  <c r="AF622"/>
  <c r="O622"/>
  <c r="W622" s="1"/>
  <c r="G622"/>
  <c r="H622" s="1"/>
  <c r="AF621"/>
  <c r="O621"/>
  <c r="G621"/>
  <c r="H621" s="1"/>
  <c r="AF620"/>
  <c r="O620"/>
  <c r="W620" s="1"/>
  <c r="G620"/>
  <c r="H620" s="1"/>
  <c r="AF619"/>
  <c r="O619"/>
  <c r="G619"/>
  <c r="H619" s="1"/>
  <c r="AF618"/>
  <c r="O618"/>
  <c r="W618" s="1"/>
  <c r="G618"/>
  <c r="H618" s="1"/>
  <c r="AF617"/>
  <c r="O617"/>
  <c r="G617"/>
  <c r="H617" s="1"/>
  <c r="AF616"/>
  <c r="O616"/>
  <c r="W616" s="1"/>
  <c r="G616"/>
  <c r="H616" s="1"/>
  <c r="AF615"/>
  <c r="O615"/>
  <c r="G615"/>
  <c r="H615" s="1"/>
  <c r="AF614"/>
  <c r="O614"/>
  <c r="W614" s="1"/>
  <c r="G614"/>
  <c r="H614" s="1"/>
  <c r="AF613"/>
  <c r="O613"/>
  <c r="G613"/>
  <c r="H613" s="1"/>
  <c r="AF612"/>
  <c r="O612"/>
  <c r="W612" s="1"/>
  <c r="G612"/>
  <c r="H612" s="1"/>
  <c r="AF611"/>
  <c r="O611"/>
  <c r="G611"/>
  <c r="H611" s="1"/>
  <c r="AF610"/>
  <c r="O610"/>
  <c r="W610" s="1"/>
  <c r="G610"/>
  <c r="H610" s="1"/>
  <c r="AF609"/>
  <c r="O609"/>
  <c r="G609"/>
  <c r="H609" s="1"/>
  <c r="AF608"/>
  <c r="O608"/>
  <c r="W608" s="1"/>
  <c r="G608"/>
  <c r="H608" s="1"/>
  <c r="AF607"/>
  <c r="O607"/>
  <c r="G607"/>
  <c r="H607" s="1"/>
  <c r="AF606"/>
  <c r="O606"/>
  <c r="W606" s="1"/>
  <c r="G606"/>
  <c r="H606" s="1"/>
  <c r="AF605"/>
  <c r="O605"/>
  <c r="G605"/>
  <c r="H605" s="1"/>
  <c r="AF604"/>
  <c r="O604"/>
  <c r="W604" s="1"/>
  <c r="G604"/>
  <c r="H604" s="1"/>
  <c r="AF603"/>
  <c r="O603"/>
  <c r="G603"/>
  <c r="H603" s="1"/>
  <c r="AF602"/>
  <c r="O602"/>
  <c r="W602" s="1"/>
  <c r="G602"/>
  <c r="H602" s="1"/>
  <c r="AF601"/>
  <c r="O601"/>
  <c r="G601"/>
  <c r="H601" s="1"/>
  <c r="AF600"/>
  <c r="O600"/>
  <c r="W600" s="1"/>
  <c r="G600"/>
  <c r="H600" s="1"/>
  <c r="AF599"/>
  <c r="O599"/>
  <c r="G599"/>
  <c r="H599" s="1"/>
  <c r="AF598"/>
  <c r="O598"/>
  <c r="W598" s="1"/>
  <c r="G598"/>
  <c r="H598" s="1"/>
  <c r="AF597"/>
  <c r="O597"/>
  <c r="G597"/>
  <c r="H597" s="1"/>
  <c r="AF596"/>
  <c r="O596"/>
  <c r="W596" s="1"/>
  <c r="G596"/>
  <c r="H596" s="1"/>
  <c r="AF595"/>
  <c r="O595"/>
  <c r="G595"/>
  <c r="H595" s="1"/>
  <c r="AF594"/>
  <c r="O594"/>
  <c r="W594" s="1"/>
  <c r="G594"/>
  <c r="H594" s="1"/>
  <c r="AF593"/>
  <c r="O593"/>
  <c r="G593"/>
  <c r="H593" s="1"/>
  <c r="AF592"/>
  <c r="O592"/>
  <c r="W592" s="1"/>
  <c r="G592"/>
  <c r="H592" s="1"/>
  <c r="AF591"/>
  <c r="O591"/>
  <c r="G591"/>
  <c r="H591" s="1"/>
  <c r="AF590"/>
  <c r="O590"/>
  <c r="W590" s="1"/>
  <c r="G590"/>
  <c r="H590" s="1"/>
  <c r="AF589"/>
  <c r="O589"/>
  <c r="G589"/>
  <c r="H589" s="1"/>
  <c r="AF588"/>
  <c r="O588"/>
  <c r="W588" s="1"/>
  <c r="G588"/>
  <c r="H588" s="1"/>
  <c r="AF587"/>
  <c r="O587"/>
  <c r="G587"/>
  <c r="H587" s="1"/>
  <c r="AF586"/>
  <c r="O586"/>
  <c r="W586" s="1"/>
  <c r="G586"/>
  <c r="H586" s="1"/>
  <c r="AF585"/>
  <c r="O585"/>
  <c r="G585"/>
  <c r="H585" s="1"/>
  <c r="AF584"/>
  <c r="O584"/>
  <c r="W584" s="1"/>
  <c r="G584"/>
  <c r="H584" s="1"/>
  <c r="AF583"/>
  <c r="O583"/>
  <c r="G583"/>
  <c r="H583" s="1"/>
  <c r="AF582"/>
  <c r="O582"/>
  <c r="W582" s="1"/>
  <c r="G582"/>
  <c r="H582" s="1"/>
  <c r="AF581"/>
  <c r="O581"/>
  <c r="G581"/>
  <c r="H581" s="1"/>
  <c r="AF580"/>
  <c r="O580"/>
  <c r="W580" s="1"/>
  <c r="G580"/>
  <c r="H580" s="1"/>
  <c r="AF579"/>
  <c r="O579"/>
  <c r="G579"/>
  <c r="H579" s="1"/>
  <c r="AF578"/>
  <c r="O578"/>
  <c r="W578" s="1"/>
  <c r="G578"/>
  <c r="H578" s="1"/>
  <c r="AF577"/>
  <c r="O577"/>
  <c r="G577"/>
  <c r="H577" s="1"/>
  <c r="AF576"/>
  <c r="O576"/>
  <c r="W576" s="1"/>
  <c r="G576"/>
  <c r="H576" s="1"/>
  <c r="AF575"/>
  <c r="O575"/>
  <c r="G575"/>
  <c r="H575" s="1"/>
  <c r="AF574"/>
  <c r="O574"/>
  <c r="W574" s="1"/>
  <c r="G574"/>
  <c r="H574" s="1"/>
  <c r="AF573"/>
  <c r="O573"/>
  <c r="G573"/>
  <c r="H573" s="1"/>
  <c r="AF572"/>
  <c r="O572"/>
  <c r="W572" s="1"/>
  <c r="G572"/>
  <c r="H572" s="1"/>
  <c r="AF571"/>
  <c r="O571"/>
  <c r="G571"/>
  <c r="H571" s="1"/>
  <c r="AF570"/>
  <c r="O570"/>
  <c r="W570" s="1"/>
  <c r="G570"/>
  <c r="H570" s="1"/>
  <c r="AF569"/>
  <c r="O569"/>
  <c r="G569"/>
  <c r="H569" s="1"/>
  <c r="AF568"/>
  <c r="O568"/>
  <c r="W568" s="1"/>
  <c r="G568"/>
  <c r="H568" s="1"/>
  <c r="AF567"/>
  <c r="O567"/>
  <c r="G567"/>
  <c r="H567" s="1"/>
  <c r="AF566"/>
  <c r="O566"/>
  <c r="W566" s="1"/>
  <c r="G566"/>
  <c r="H566" s="1"/>
  <c r="AF565"/>
  <c r="O565"/>
  <c r="G565"/>
  <c r="H565" s="1"/>
  <c r="AF564"/>
  <c r="O564"/>
  <c r="W564" s="1"/>
  <c r="G564"/>
  <c r="H564" s="1"/>
  <c r="AF563"/>
  <c r="O563"/>
  <c r="G563"/>
  <c r="H563" s="1"/>
  <c r="AF562"/>
  <c r="O562"/>
  <c r="W562" s="1"/>
  <c r="G562"/>
  <c r="H562" s="1"/>
  <c r="AF561"/>
  <c r="O561"/>
  <c r="G561"/>
  <c r="H561" s="1"/>
  <c r="AF560"/>
  <c r="O560"/>
  <c r="W560" s="1"/>
  <c r="G560"/>
  <c r="H560" s="1"/>
  <c r="AF559"/>
  <c r="O559"/>
  <c r="G559"/>
  <c r="H559" s="1"/>
  <c r="AF558"/>
  <c r="O558"/>
  <c r="W558" s="1"/>
  <c r="G558"/>
  <c r="H558" s="1"/>
  <c r="AF557"/>
  <c r="O557"/>
  <c r="G557"/>
  <c r="H557" s="1"/>
  <c r="AF556"/>
  <c r="O556"/>
  <c r="W556" s="1"/>
  <c r="G556"/>
  <c r="H556" s="1"/>
  <c r="AF555"/>
  <c r="O555"/>
  <c r="G555"/>
  <c r="H555" s="1"/>
  <c r="AF554"/>
  <c r="O554"/>
  <c r="W554" s="1"/>
  <c r="G554"/>
  <c r="H554" s="1"/>
  <c r="AF553"/>
  <c r="O553"/>
  <c r="G553"/>
  <c r="H553" s="1"/>
  <c r="AF552"/>
  <c r="O552"/>
  <c r="W552" s="1"/>
  <c r="G552"/>
  <c r="H552" s="1"/>
  <c r="AF551"/>
  <c r="O551"/>
  <c r="G551"/>
  <c r="H551" s="1"/>
  <c r="AF550"/>
  <c r="O550"/>
  <c r="W550" s="1"/>
  <c r="G550"/>
  <c r="H550" s="1"/>
  <c r="AF549"/>
  <c r="O549"/>
  <c r="G549"/>
  <c r="H549" s="1"/>
  <c r="AF548"/>
  <c r="O548"/>
  <c r="W548" s="1"/>
  <c r="G548"/>
  <c r="H548" s="1"/>
  <c r="AF547"/>
  <c r="O547"/>
  <c r="G547"/>
  <c r="H547" s="1"/>
  <c r="AF546"/>
  <c r="O546"/>
  <c r="W546" s="1"/>
  <c r="G546"/>
  <c r="H546" s="1"/>
  <c r="AF545"/>
  <c r="O545"/>
  <c r="G545"/>
  <c r="H545" s="1"/>
  <c r="AF544"/>
  <c r="O544"/>
  <c r="W544" s="1"/>
  <c r="G544"/>
  <c r="H544" s="1"/>
  <c r="AF543"/>
  <c r="O543"/>
  <c r="G543"/>
  <c r="H543" s="1"/>
  <c r="AF542"/>
  <c r="O542"/>
  <c r="W542" s="1"/>
  <c r="G542"/>
  <c r="H542" s="1"/>
  <c r="AF541"/>
  <c r="O541"/>
  <c r="G541"/>
  <c r="H541" s="1"/>
  <c r="AF540"/>
  <c r="O540"/>
  <c r="W540" s="1"/>
  <c r="G540"/>
  <c r="H540" s="1"/>
  <c r="AF539"/>
  <c r="O539"/>
  <c r="W539" s="1"/>
  <c r="G539"/>
  <c r="H539" s="1"/>
  <c r="AF538"/>
  <c r="O538"/>
  <c r="W538" s="1"/>
  <c r="G538"/>
  <c r="H538" s="1"/>
  <c r="AF537"/>
  <c r="O537"/>
  <c r="W537" s="1"/>
  <c r="G537"/>
  <c r="H537" s="1"/>
  <c r="AF536"/>
  <c r="O536"/>
  <c r="W536" s="1"/>
  <c r="G536"/>
  <c r="H536" s="1"/>
  <c r="AF535"/>
  <c r="O535"/>
  <c r="W535" s="1"/>
  <c r="G535"/>
  <c r="H535" s="1"/>
  <c r="AF534"/>
  <c r="O534"/>
  <c r="W534" s="1"/>
  <c r="G534"/>
  <c r="H534" s="1"/>
  <c r="AF533"/>
  <c r="O533"/>
  <c r="W533" s="1"/>
  <c r="G533"/>
  <c r="H533" s="1"/>
  <c r="AF532"/>
  <c r="O532"/>
  <c r="W532" s="1"/>
  <c r="G532"/>
  <c r="H532" s="1"/>
  <c r="AF531"/>
  <c r="O531"/>
  <c r="W531" s="1"/>
  <c r="G531"/>
  <c r="H531" s="1"/>
  <c r="AF530"/>
  <c r="O530"/>
  <c r="W530" s="1"/>
  <c r="G530"/>
  <c r="H530" s="1"/>
  <c r="AF529"/>
  <c r="O529"/>
  <c r="W529" s="1"/>
  <c r="G529"/>
  <c r="H529" s="1"/>
  <c r="AF528"/>
  <c r="O528"/>
  <c r="W528" s="1"/>
  <c r="G528"/>
  <c r="H528" s="1"/>
  <c r="AF527"/>
  <c r="O527"/>
  <c r="W527" s="1"/>
  <c r="G527"/>
  <c r="H527" s="1"/>
  <c r="AF526"/>
  <c r="O526"/>
  <c r="W526" s="1"/>
  <c r="G526"/>
  <c r="H526" s="1"/>
  <c r="AF525"/>
  <c r="O525"/>
  <c r="W525" s="1"/>
  <c r="G525"/>
  <c r="H525" s="1"/>
  <c r="AF524"/>
  <c r="O524"/>
  <c r="W524" s="1"/>
  <c r="G524"/>
  <c r="H524" s="1"/>
  <c r="AF523"/>
  <c r="O523"/>
  <c r="W523" s="1"/>
  <c r="G523"/>
  <c r="H523" s="1"/>
  <c r="AF522"/>
  <c r="O522"/>
  <c r="W522" s="1"/>
  <c r="G522"/>
  <c r="H522" s="1"/>
  <c r="AF521"/>
  <c r="O521"/>
  <c r="W521" s="1"/>
  <c r="G521"/>
  <c r="H521" s="1"/>
  <c r="AF520"/>
  <c r="O520"/>
  <c r="W520" s="1"/>
  <c r="G520"/>
  <c r="H520" s="1"/>
  <c r="AF519"/>
  <c r="O519"/>
  <c r="W519" s="1"/>
  <c r="G519"/>
  <c r="H519" s="1"/>
  <c r="AF518"/>
  <c r="O518"/>
  <c r="W518" s="1"/>
  <c r="G518"/>
  <c r="H518" s="1"/>
  <c r="AF517"/>
  <c r="O517"/>
  <c r="W517" s="1"/>
  <c r="G517"/>
  <c r="H517" s="1"/>
  <c r="AF516"/>
  <c r="O516"/>
  <c r="W516" s="1"/>
  <c r="G516"/>
  <c r="H516" s="1"/>
  <c r="AF515"/>
  <c r="O515"/>
  <c r="W515" s="1"/>
  <c r="G515"/>
  <c r="H515" s="1"/>
  <c r="AF514"/>
  <c r="O514"/>
  <c r="W514" s="1"/>
  <c r="G514"/>
  <c r="H514" s="1"/>
  <c r="AF513"/>
  <c r="O513"/>
  <c r="W513" s="1"/>
  <c r="G513"/>
  <c r="H513" s="1"/>
  <c r="AF512"/>
  <c r="O512"/>
  <c r="W512" s="1"/>
  <c r="G512"/>
  <c r="H512" s="1"/>
  <c r="AF511"/>
  <c r="O511"/>
  <c r="W511" s="1"/>
  <c r="G511"/>
  <c r="H511" s="1"/>
  <c r="AF510"/>
  <c r="O510"/>
  <c r="W510" s="1"/>
  <c r="G510"/>
  <c r="H510" s="1"/>
  <c r="AF509"/>
  <c r="O509"/>
  <c r="W509" s="1"/>
  <c r="G509"/>
  <c r="H509" s="1"/>
  <c r="AF508"/>
  <c r="O508"/>
  <c r="W508" s="1"/>
  <c r="G508"/>
  <c r="H508" s="1"/>
  <c r="AF507"/>
  <c r="O507"/>
  <c r="W507" s="1"/>
  <c r="G507"/>
  <c r="H507" s="1"/>
  <c r="AF506"/>
  <c r="O506"/>
  <c r="W506" s="1"/>
  <c r="G506"/>
  <c r="H506" s="1"/>
  <c r="AF505"/>
  <c r="O505"/>
  <c r="W505" s="1"/>
  <c r="G505"/>
  <c r="H505" s="1"/>
  <c r="AF504"/>
  <c r="O504"/>
  <c r="W504" s="1"/>
  <c r="G504"/>
  <c r="H504" s="1"/>
  <c r="AF503"/>
  <c r="O503"/>
  <c r="W503" s="1"/>
  <c r="G503"/>
  <c r="H503" s="1"/>
  <c r="AF502"/>
  <c r="O502"/>
  <c r="W502" s="1"/>
  <c r="G502"/>
  <c r="H502" s="1"/>
  <c r="AF501"/>
  <c r="O501"/>
  <c r="W501" s="1"/>
  <c r="G501"/>
  <c r="H501" s="1"/>
  <c r="AF500"/>
  <c r="O500"/>
  <c r="W500" s="1"/>
  <c r="G500"/>
  <c r="H500" s="1"/>
  <c r="AF499"/>
  <c r="O499"/>
  <c r="W499" s="1"/>
  <c r="G499"/>
  <c r="H499" s="1"/>
  <c r="AF498"/>
  <c r="O498"/>
  <c r="W498" s="1"/>
  <c r="G498"/>
  <c r="H498" s="1"/>
  <c r="AF497"/>
  <c r="O497"/>
  <c r="W497" s="1"/>
  <c r="G497"/>
  <c r="H497" s="1"/>
  <c r="AF496"/>
  <c r="O496"/>
  <c r="W496" s="1"/>
  <c r="G496"/>
  <c r="H496" s="1"/>
  <c r="AF495"/>
  <c r="O495"/>
  <c r="W495" s="1"/>
  <c r="G495"/>
  <c r="H495" s="1"/>
  <c r="AF494"/>
  <c r="O494"/>
  <c r="W494" s="1"/>
  <c r="G494"/>
  <c r="H494" s="1"/>
  <c r="AF493"/>
  <c r="O493"/>
  <c r="W493" s="1"/>
  <c r="G493"/>
  <c r="H493" s="1"/>
  <c r="AF492"/>
  <c r="O492"/>
  <c r="W492" s="1"/>
  <c r="G492"/>
  <c r="H492" s="1"/>
  <c r="AF491"/>
  <c r="O491"/>
  <c r="W491" s="1"/>
  <c r="G491"/>
  <c r="H491" s="1"/>
  <c r="AF490"/>
  <c r="O490"/>
  <c r="W490" s="1"/>
  <c r="G490"/>
  <c r="H490" s="1"/>
  <c r="AF489"/>
  <c r="O489"/>
  <c r="W489" s="1"/>
  <c r="G489"/>
  <c r="H489" s="1"/>
  <c r="AF488"/>
  <c r="O488"/>
  <c r="W488" s="1"/>
  <c r="G488"/>
  <c r="H488" s="1"/>
  <c r="AF487"/>
  <c r="O487"/>
  <c r="W487" s="1"/>
  <c r="G487"/>
  <c r="H487" s="1"/>
  <c r="AF486"/>
  <c r="O486"/>
  <c r="W486" s="1"/>
  <c r="G486"/>
  <c r="H486" s="1"/>
  <c r="AF485"/>
  <c r="O485"/>
  <c r="W485" s="1"/>
  <c r="G485"/>
  <c r="H485" s="1"/>
  <c r="AF484"/>
  <c r="O484"/>
  <c r="W484" s="1"/>
  <c r="G484"/>
  <c r="H484" s="1"/>
  <c r="AF483"/>
  <c r="O483"/>
  <c r="W483" s="1"/>
  <c r="G483"/>
  <c r="H483" s="1"/>
  <c r="AF482"/>
  <c r="O482"/>
  <c r="W482" s="1"/>
  <c r="G482"/>
  <c r="H482" s="1"/>
  <c r="AF481"/>
  <c r="O481"/>
  <c r="W481" s="1"/>
  <c r="G481"/>
  <c r="H481" s="1"/>
  <c r="AF480"/>
  <c r="O480"/>
  <c r="W480" s="1"/>
  <c r="G480"/>
  <c r="H480" s="1"/>
  <c r="AF479"/>
  <c r="O479"/>
  <c r="W479" s="1"/>
  <c r="G479"/>
  <c r="H479" s="1"/>
  <c r="AF478"/>
  <c r="O478"/>
  <c r="W478" s="1"/>
  <c r="G478"/>
  <c r="H478" s="1"/>
  <c r="AF477"/>
  <c r="O477"/>
  <c r="W477" s="1"/>
  <c r="G477"/>
  <c r="H477" s="1"/>
  <c r="AF476"/>
  <c r="O476"/>
  <c r="W476" s="1"/>
  <c r="G476"/>
  <c r="H476" s="1"/>
  <c r="AF475"/>
  <c r="O475"/>
  <c r="W475" s="1"/>
  <c r="G475"/>
  <c r="H475" s="1"/>
  <c r="AF474"/>
  <c r="O474"/>
  <c r="W474" s="1"/>
  <c r="G474"/>
  <c r="H474" s="1"/>
  <c r="AF473"/>
  <c r="O473"/>
  <c r="W473" s="1"/>
  <c r="G473"/>
  <c r="H473" s="1"/>
  <c r="AF472"/>
  <c r="O472"/>
  <c r="W472" s="1"/>
  <c r="G472"/>
  <c r="H472" s="1"/>
  <c r="AF471"/>
  <c r="O471"/>
  <c r="W471" s="1"/>
  <c r="G471"/>
  <c r="H471" s="1"/>
  <c r="AF470"/>
  <c r="O470"/>
  <c r="W470" s="1"/>
  <c r="G470"/>
  <c r="H470" s="1"/>
  <c r="AF469"/>
  <c r="O469"/>
  <c r="W469" s="1"/>
  <c r="G469"/>
  <c r="H469" s="1"/>
  <c r="AF468"/>
  <c r="O468"/>
  <c r="W468" s="1"/>
  <c r="G468"/>
  <c r="H468" s="1"/>
  <c r="AF467"/>
  <c r="O467"/>
  <c r="W467" s="1"/>
  <c r="G467"/>
  <c r="H467" s="1"/>
  <c r="AF466"/>
  <c r="O466"/>
  <c r="W466" s="1"/>
  <c r="G466"/>
  <c r="H466" s="1"/>
  <c r="AF465"/>
  <c r="O465"/>
  <c r="W465" s="1"/>
  <c r="G465"/>
  <c r="H465" s="1"/>
  <c r="AF464"/>
  <c r="O464"/>
  <c r="W464" s="1"/>
  <c r="G464"/>
  <c r="H464" s="1"/>
  <c r="AF463"/>
  <c r="O463"/>
  <c r="W463" s="1"/>
  <c r="G463"/>
  <c r="H463" s="1"/>
  <c r="AF462"/>
  <c r="O462"/>
  <c r="G462"/>
  <c r="H462" s="1"/>
  <c r="AF461"/>
  <c r="O461"/>
  <c r="W461" s="1"/>
  <c r="G461"/>
  <c r="H461" s="1"/>
  <c r="AF460"/>
  <c r="O460"/>
  <c r="V460" s="1"/>
  <c r="G460"/>
  <c r="H460" s="1"/>
  <c r="AF459"/>
  <c r="O459"/>
  <c r="W459" s="1"/>
  <c r="G459"/>
  <c r="H459" s="1"/>
  <c r="AF458"/>
  <c r="O458"/>
  <c r="V458" s="1"/>
  <c r="G458"/>
  <c r="H458" s="1"/>
  <c r="AF457"/>
  <c r="O457"/>
  <c r="W457" s="1"/>
  <c r="G457"/>
  <c r="H457" s="1"/>
  <c r="AF456"/>
  <c r="O456"/>
  <c r="V456" s="1"/>
  <c r="G456"/>
  <c r="H456" s="1"/>
  <c r="AF455"/>
  <c r="O455"/>
  <c r="W455" s="1"/>
  <c r="G455"/>
  <c r="H455" s="1"/>
  <c r="AF454"/>
  <c r="O454"/>
  <c r="V454" s="1"/>
  <c r="G454"/>
  <c r="H454" s="1"/>
  <c r="AF453"/>
  <c r="O453"/>
  <c r="W453" s="1"/>
  <c r="G453"/>
  <c r="H453" s="1"/>
  <c r="AF452"/>
  <c r="O452"/>
  <c r="V452" s="1"/>
  <c r="G452"/>
  <c r="H452" s="1"/>
  <c r="AF451"/>
  <c r="O451"/>
  <c r="W451" s="1"/>
  <c r="G451"/>
  <c r="H451" s="1"/>
  <c r="AF450"/>
  <c r="O450"/>
  <c r="V450" s="1"/>
  <c r="G450"/>
  <c r="H450" s="1"/>
  <c r="AF449"/>
  <c r="O449"/>
  <c r="W449" s="1"/>
  <c r="G449"/>
  <c r="H449" s="1"/>
  <c r="AF448"/>
  <c r="O448"/>
  <c r="V448" s="1"/>
  <c r="G448"/>
  <c r="H448" s="1"/>
  <c r="AF447"/>
  <c r="O447"/>
  <c r="W447" s="1"/>
  <c r="G447"/>
  <c r="H447" s="1"/>
  <c r="AF446"/>
  <c r="O446"/>
  <c r="V446" s="1"/>
  <c r="G446"/>
  <c r="H446" s="1"/>
  <c r="AF445"/>
  <c r="O445"/>
  <c r="W445" s="1"/>
  <c r="G445"/>
  <c r="H445" s="1"/>
  <c r="AF444"/>
  <c r="O444"/>
  <c r="V444" s="1"/>
  <c r="G444"/>
  <c r="H444" s="1"/>
  <c r="AF443"/>
  <c r="O443"/>
  <c r="W443" s="1"/>
  <c r="G443"/>
  <c r="H443" s="1"/>
  <c r="AF442"/>
  <c r="O442"/>
  <c r="V442" s="1"/>
  <c r="G442"/>
  <c r="H442" s="1"/>
  <c r="AF441"/>
  <c r="O441"/>
  <c r="W441" s="1"/>
  <c r="G441"/>
  <c r="H441" s="1"/>
  <c r="AF440"/>
  <c r="O440"/>
  <c r="V440" s="1"/>
  <c r="G440"/>
  <c r="H440" s="1"/>
  <c r="AF439"/>
  <c r="O439"/>
  <c r="W439" s="1"/>
  <c r="G439"/>
  <c r="H439" s="1"/>
  <c r="AF438"/>
  <c r="W438"/>
  <c r="O438"/>
  <c r="V438" s="1"/>
  <c r="G438"/>
  <c r="H438" s="1"/>
  <c r="AF437"/>
  <c r="V437"/>
  <c r="O437"/>
  <c r="W437" s="1"/>
  <c r="H437"/>
  <c r="G437"/>
  <c r="AF436"/>
  <c r="O436"/>
  <c r="V436" s="1"/>
  <c r="G436"/>
  <c r="H436" s="1"/>
  <c r="AF435"/>
  <c r="O435"/>
  <c r="W435" s="1"/>
  <c r="G435"/>
  <c r="H435" s="1"/>
  <c r="AF434"/>
  <c r="W434"/>
  <c r="O434"/>
  <c r="V434" s="1"/>
  <c r="G434"/>
  <c r="H434" s="1"/>
  <c r="AF433"/>
  <c r="V433"/>
  <c r="O433"/>
  <c r="W433" s="1"/>
  <c r="G433"/>
  <c r="H433" s="1"/>
  <c r="AF432"/>
  <c r="O432"/>
  <c r="V432" s="1"/>
  <c r="G432"/>
  <c r="H432" s="1"/>
  <c r="AF431"/>
  <c r="O431"/>
  <c r="W431" s="1"/>
  <c r="G431"/>
  <c r="H431" s="1"/>
  <c r="AF430"/>
  <c r="W430"/>
  <c r="O430"/>
  <c r="V430" s="1"/>
  <c r="G430"/>
  <c r="H430" s="1"/>
  <c r="AF429"/>
  <c r="V429"/>
  <c r="O429"/>
  <c r="W429" s="1"/>
  <c r="H429"/>
  <c r="G429"/>
  <c r="AF428"/>
  <c r="O428"/>
  <c r="V428" s="1"/>
  <c r="G428"/>
  <c r="H428" s="1"/>
  <c r="AF427"/>
  <c r="O427"/>
  <c r="W427" s="1"/>
  <c r="G427"/>
  <c r="H427" s="1"/>
  <c r="AF426"/>
  <c r="W426"/>
  <c r="O426"/>
  <c r="V426" s="1"/>
  <c r="G426"/>
  <c r="H426" s="1"/>
  <c r="AF425"/>
  <c r="V425"/>
  <c r="O425"/>
  <c r="W425" s="1"/>
  <c r="G425"/>
  <c r="H425" s="1"/>
  <c r="AF424"/>
  <c r="O424"/>
  <c r="V424" s="1"/>
  <c r="G424"/>
  <c r="H424" s="1"/>
  <c r="AF423"/>
  <c r="O423"/>
  <c r="W423" s="1"/>
  <c r="G423"/>
  <c r="H423" s="1"/>
  <c r="AF422"/>
  <c r="W422"/>
  <c r="O422"/>
  <c r="V422" s="1"/>
  <c r="G422"/>
  <c r="H422" s="1"/>
  <c r="AF421"/>
  <c r="V421"/>
  <c r="O421"/>
  <c r="W421" s="1"/>
  <c r="H421"/>
  <c r="G421"/>
  <c r="AF420"/>
  <c r="O420"/>
  <c r="V420" s="1"/>
  <c r="G420"/>
  <c r="H420" s="1"/>
  <c r="AF419"/>
  <c r="O419"/>
  <c r="W419" s="1"/>
  <c r="G419"/>
  <c r="H419" s="1"/>
  <c r="AF418"/>
  <c r="W418"/>
  <c r="O418"/>
  <c r="V418" s="1"/>
  <c r="G418"/>
  <c r="H418" s="1"/>
  <c r="AF417"/>
  <c r="V417"/>
  <c r="O417"/>
  <c r="W417" s="1"/>
  <c r="G417"/>
  <c r="H417" s="1"/>
  <c r="AF416"/>
  <c r="O416"/>
  <c r="V416" s="1"/>
  <c r="G416"/>
  <c r="H416" s="1"/>
  <c r="AF415"/>
  <c r="O415"/>
  <c r="W415" s="1"/>
  <c r="G415"/>
  <c r="H415" s="1"/>
  <c r="AF414"/>
  <c r="W414"/>
  <c r="O414"/>
  <c r="V414" s="1"/>
  <c r="G414"/>
  <c r="H414" s="1"/>
  <c r="AF413"/>
  <c r="V413"/>
  <c r="O413"/>
  <c r="W413" s="1"/>
  <c r="H413"/>
  <c r="G413"/>
  <c r="AF412"/>
  <c r="O412"/>
  <c r="V412" s="1"/>
  <c r="G412"/>
  <c r="H412" s="1"/>
  <c r="AF411"/>
  <c r="O411"/>
  <c r="W411" s="1"/>
  <c r="G411"/>
  <c r="H411" s="1"/>
  <c r="AF410"/>
  <c r="W410"/>
  <c r="O410"/>
  <c r="V410" s="1"/>
  <c r="G410"/>
  <c r="H410" s="1"/>
  <c r="AF409"/>
  <c r="V409"/>
  <c r="O409"/>
  <c r="W409" s="1"/>
  <c r="G409"/>
  <c r="H409" s="1"/>
  <c r="AF408"/>
  <c r="O408"/>
  <c r="V408" s="1"/>
  <c r="G408"/>
  <c r="H408" s="1"/>
  <c r="AF407"/>
  <c r="O407"/>
  <c r="W407" s="1"/>
  <c r="G407"/>
  <c r="H407" s="1"/>
  <c r="AF406"/>
  <c r="W406"/>
  <c r="O406"/>
  <c r="V406" s="1"/>
  <c r="G406"/>
  <c r="H406" s="1"/>
  <c r="AF405"/>
  <c r="V405"/>
  <c r="O405"/>
  <c r="W405" s="1"/>
  <c r="H405"/>
  <c r="G405"/>
  <c r="AF404"/>
  <c r="O404"/>
  <c r="V404" s="1"/>
  <c r="G404"/>
  <c r="H404" s="1"/>
  <c r="AF403"/>
  <c r="O403"/>
  <c r="W403" s="1"/>
  <c r="G403"/>
  <c r="H403" s="1"/>
  <c r="AF402"/>
  <c r="W402"/>
  <c r="O402"/>
  <c r="V402" s="1"/>
  <c r="G402"/>
  <c r="H402" s="1"/>
  <c r="AF401"/>
  <c r="V401"/>
  <c r="O401"/>
  <c r="W401" s="1"/>
  <c r="G401"/>
  <c r="H401" s="1"/>
  <c r="AF400"/>
  <c r="O400"/>
  <c r="V400" s="1"/>
  <c r="G400"/>
  <c r="H400" s="1"/>
  <c r="AF399"/>
  <c r="O399"/>
  <c r="W399" s="1"/>
  <c r="G399"/>
  <c r="H399" s="1"/>
  <c r="AF398"/>
  <c r="V398"/>
  <c r="O398"/>
  <c r="W398" s="1"/>
  <c r="H398"/>
  <c r="G398"/>
  <c r="AF397"/>
  <c r="O397"/>
  <c r="V397" s="1"/>
  <c r="G397"/>
  <c r="H397" s="1"/>
  <c r="AF396"/>
  <c r="V396"/>
  <c r="O396"/>
  <c r="W396" s="1"/>
  <c r="H396"/>
  <c r="G396"/>
  <c r="AF395"/>
  <c r="O395"/>
  <c r="V395" s="1"/>
  <c r="G395"/>
  <c r="H395" s="1"/>
  <c r="AF394"/>
  <c r="V394"/>
  <c r="O394"/>
  <c r="W394" s="1"/>
  <c r="H394"/>
  <c r="G394"/>
  <c r="AF393"/>
  <c r="O393"/>
  <c r="V393" s="1"/>
  <c r="G393"/>
  <c r="H393" s="1"/>
  <c r="AF392"/>
  <c r="V392"/>
  <c r="O392"/>
  <c r="W392" s="1"/>
  <c r="H392"/>
  <c r="G392"/>
  <c r="AF391"/>
  <c r="O391"/>
  <c r="V391" s="1"/>
  <c r="G391"/>
  <c r="H391" s="1"/>
  <c r="AF390"/>
  <c r="V390"/>
  <c r="O390"/>
  <c r="W390" s="1"/>
  <c r="H390"/>
  <c r="G390"/>
  <c r="AF389"/>
  <c r="O389"/>
  <c r="V389" s="1"/>
  <c r="G389"/>
  <c r="H389" s="1"/>
  <c r="AF388"/>
  <c r="V388"/>
  <c r="O388"/>
  <c r="W388" s="1"/>
  <c r="H388"/>
  <c r="G388"/>
  <c r="AF387"/>
  <c r="O387"/>
  <c r="V387" s="1"/>
  <c r="G387"/>
  <c r="H387" s="1"/>
  <c r="AF386"/>
  <c r="V386"/>
  <c r="O386"/>
  <c r="W386" s="1"/>
  <c r="H386"/>
  <c r="G386"/>
  <c r="AF385"/>
  <c r="O385"/>
  <c r="V385" s="1"/>
  <c r="G385"/>
  <c r="H385" s="1"/>
  <c r="AF384"/>
  <c r="V384"/>
  <c r="O384"/>
  <c r="W384" s="1"/>
  <c r="H384"/>
  <c r="G384"/>
  <c r="AF383"/>
  <c r="O383"/>
  <c r="V383" s="1"/>
  <c r="G383"/>
  <c r="H383" s="1"/>
  <c r="AF382"/>
  <c r="V382"/>
  <c r="O382"/>
  <c r="W382" s="1"/>
  <c r="H382"/>
  <c r="G382"/>
  <c r="AF381"/>
  <c r="O381"/>
  <c r="V381" s="1"/>
  <c r="G381"/>
  <c r="H381" s="1"/>
  <c r="AF380"/>
  <c r="V380"/>
  <c r="O380"/>
  <c r="W380" s="1"/>
  <c r="H380"/>
  <c r="G380"/>
  <c r="AF379"/>
  <c r="O379"/>
  <c r="V379" s="1"/>
  <c r="G379"/>
  <c r="H379" s="1"/>
  <c r="AF378"/>
  <c r="V378"/>
  <c r="O378"/>
  <c r="W378" s="1"/>
  <c r="H378"/>
  <c r="G378"/>
  <c r="AF377"/>
  <c r="O377"/>
  <c r="V377" s="1"/>
  <c r="G377"/>
  <c r="H377" s="1"/>
  <c r="AF376"/>
  <c r="V376"/>
  <c r="O376"/>
  <c r="W376" s="1"/>
  <c r="H376"/>
  <c r="G376"/>
  <c r="AF375"/>
  <c r="O375"/>
  <c r="V375" s="1"/>
  <c r="G375"/>
  <c r="H375" s="1"/>
  <c r="AF374"/>
  <c r="V374"/>
  <c r="O374"/>
  <c r="W374" s="1"/>
  <c r="H374"/>
  <c r="G374"/>
  <c r="AF373"/>
  <c r="O373"/>
  <c r="V373" s="1"/>
  <c r="G373"/>
  <c r="H373" s="1"/>
  <c r="AF372"/>
  <c r="V372"/>
  <c r="O372"/>
  <c r="W372" s="1"/>
  <c r="H372"/>
  <c r="G372"/>
  <c r="AF371"/>
  <c r="O371"/>
  <c r="V371" s="1"/>
  <c r="G371"/>
  <c r="H371" s="1"/>
  <c r="AF370"/>
  <c r="V370"/>
  <c r="O370"/>
  <c r="W370" s="1"/>
  <c r="H370"/>
  <c r="G370"/>
  <c r="AF369"/>
  <c r="O369"/>
  <c r="V369" s="1"/>
  <c r="G369"/>
  <c r="H369" s="1"/>
  <c r="AF368"/>
  <c r="V368"/>
  <c r="O368"/>
  <c r="W368" s="1"/>
  <c r="H368"/>
  <c r="G368"/>
  <c r="AF367"/>
  <c r="O367"/>
  <c r="V367" s="1"/>
  <c r="G367"/>
  <c r="H367" s="1"/>
  <c r="AF366"/>
  <c r="V366"/>
  <c r="O366"/>
  <c r="W366" s="1"/>
  <c r="H366"/>
  <c r="G366"/>
  <c r="AF365"/>
  <c r="O365"/>
  <c r="V365" s="1"/>
  <c r="G365"/>
  <c r="H365" s="1"/>
  <c r="AF364"/>
  <c r="V364"/>
  <c r="O364"/>
  <c r="W364" s="1"/>
  <c r="H364"/>
  <c r="G364"/>
  <c r="AF363"/>
  <c r="O363"/>
  <c r="V363" s="1"/>
  <c r="G363"/>
  <c r="H363" s="1"/>
  <c r="AF362"/>
  <c r="V362"/>
  <c r="O362"/>
  <c r="W362" s="1"/>
  <c r="H362"/>
  <c r="G362"/>
  <c r="AF361"/>
  <c r="O361"/>
  <c r="V361" s="1"/>
  <c r="G361"/>
  <c r="H361" s="1"/>
  <c r="AF360"/>
  <c r="V360"/>
  <c r="O360"/>
  <c r="W360" s="1"/>
  <c r="H360"/>
  <c r="G360"/>
  <c r="AF359"/>
  <c r="O359"/>
  <c r="V359" s="1"/>
  <c r="G359"/>
  <c r="H359" s="1"/>
  <c r="AF358"/>
  <c r="V358"/>
  <c r="O358"/>
  <c r="W358" s="1"/>
  <c r="H358"/>
  <c r="G358"/>
  <c r="AF357"/>
  <c r="O357"/>
  <c r="V357" s="1"/>
  <c r="G357"/>
  <c r="H357" s="1"/>
  <c r="AF356"/>
  <c r="V356"/>
  <c r="O356"/>
  <c r="W356" s="1"/>
  <c r="H356"/>
  <c r="G356"/>
  <c r="AF355"/>
  <c r="O355"/>
  <c r="V355" s="1"/>
  <c r="G355"/>
  <c r="H355" s="1"/>
  <c r="AF354"/>
  <c r="V354"/>
  <c r="O354"/>
  <c r="W354" s="1"/>
  <c r="H354"/>
  <c r="G354"/>
  <c r="AF353"/>
  <c r="O353"/>
  <c r="V353" s="1"/>
  <c r="G353"/>
  <c r="H353" s="1"/>
  <c r="AF352"/>
  <c r="V352"/>
  <c r="O352"/>
  <c r="W352" s="1"/>
  <c r="H352"/>
  <c r="G352"/>
  <c r="AF351"/>
  <c r="O351"/>
  <c r="V351" s="1"/>
  <c r="G351"/>
  <c r="H351" s="1"/>
  <c r="AF350"/>
  <c r="V350"/>
  <c r="O350"/>
  <c r="W350" s="1"/>
  <c r="H350"/>
  <c r="G350"/>
  <c r="AF349"/>
  <c r="O349"/>
  <c r="V349" s="1"/>
  <c r="G349"/>
  <c r="H349" s="1"/>
  <c r="AF348"/>
  <c r="V348"/>
  <c r="O348"/>
  <c r="W348" s="1"/>
  <c r="H348"/>
  <c r="G348"/>
  <c r="AF347"/>
  <c r="O347"/>
  <c r="V347" s="1"/>
  <c r="G347"/>
  <c r="H347" s="1"/>
  <c r="AF346"/>
  <c r="V346"/>
  <c r="O346"/>
  <c r="W346" s="1"/>
  <c r="H346"/>
  <c r="G346"/>
  <c r="AF345"/>
  <c r="O345"/>
  <c r="V345" s="1"/>
  <c r="G345"/>
  <c r="H345" s="1"/>
  <c r="AF344"/>
  <c r="V344"/>
  <c r="O344"/>
  <c r="W344" s="1"/>
  <c r="H344"/>
  <c r="G344"/>
  <c r="AF343"/>
  <c r="O343"/>
  <c r="V343" s="1"/>
  <c r="G343"/>
  <c r="H343" s="1"/>
  <c r="AF342"/>
  <c r="V342"/>
  <c r="O342"/>
  <c r="W342" s="1"/>
  <c r="H342"/>
  <c r="G342"/>
  <c r="AF341"/>
  <c r="O341"/>
  <c r="V341" s="1"/>
  <c r="G341"/>
  <c r="H341" s="1"/>
  <c r="AF340"/>
  <c r="V340"/>
  <c r="O340"/>
  <c r="W340" s="1"/>
  <c r="H340"/>
  <c r="G340"/>
  <c r="AF339"/>
  <c r="O339"/>
  <c r="V339" s="1"/>
  <c r="G339"/>
  <c r="H339" s="1"/>
  <c r="AF338"/>
  <c r="V338"/>
  <c r="O338"/>
  <c r="W338" s="1"/>
  <c r="H338"/>
  <c r="G338"/>
  <c r="AF337"/>
  <c r="O337"/>
  <c r="V337" s="1"/>
  <c r="G337"/>
  <c r="H337" s="1"/>
  <c r="AF336"/>
  <c r="V336"/>
  <c r="O336"/>
  <c r="W336" s="1"/>
  <c r="H336"/>
  <c r="G336"/>
  <c r="AF335"/>
  <c r="O335"/>
  <c r="V335" s="1"/>
  <c r="G335"/>
  <c r="H335" s="1"/>
  <c r="AF334"/>
  <c r="V334"/>
  <c r="O334"/>
  <c r="W334" s="1"/>
  <c r="H334"/>
  <c r="G334"/>
  <c r="AF333"/>
  <c r="O333"/>
  <c r="V333" s="1"/>
  <c r="G333"/>
  <c r="H333" s="1"/>
  <c r="AF332"/>
  <c r="V332"/>
  <c r="O332"/>
  <c r="W332" s="1"/>
  <c r="H332"/>
  <c r="G332"/>
  <c r="AF331"/>
  <c r="O331"/>
  <c r="V331" s="1"/>
  <c r="G331"/>
  <c r="H331" s="1"/>
  <c r="AF330"/>
  <c r="V330"/>
  <c r="O330"/>
  <c r="W330" s="1"/>
  <c r="H330"/>
  <c r="G330"/>
  <c r="AF329"/>
  <c r="O329"/>
  <c r="V329" s="1"/>
  <c r="G329"/>
  <c r="H329" s="1"/>
  <c r="AF328"/>
  <c r="V328"/>
  <c r="O328"/>
  <c r="W328" s="1"/>
  <c r="H328"/>
  <c r="G328"/>
  <c r="AF327"/>
  <c r="O327"/>
  <c r="V327" s="1"/>
  <c r="G327"/>
  <c r="H327" s="1"/>
  <c r="AF326"/>
  <c r="V326"/>
  <c r="O326"/>
  <c r="W326" s="1"/>
  <c r="H326"/>
  <c r="G326"/>
  <c r="AF325"/>
  <c r="O325"/>
  <c r="V325" s="1"/>
  <c r="G325"/>
  <c r="H325" s="1"/>
  <c r="AF324"/>
  <c r="V324"/>
  <c r="O324"/>
  <c r="W324" s="1"/>
  <c r="H324"/>
  <c r="G324"/>
  <c r="AF323"/>
  <c r="O323"/>
  <c r="V323" s="1"/>
  <c r="G323"/>
  <c r="H323" s="1"/>
  <c r="AF322"/>
  <c r="V322"/>
  <c r="O322"/>
  <c r="W322" s="1"/>
  <c r="H322"/>
  <c r="G322"/>
  <c r="AF321"/>
  <c r="O321"/>
  <c r="V321" s="1"/>
  <c r="G321"/>
  <c r="H321" s="1"/>
  <c r="AF320"/>
  <c r="V320"/>
  <c r="O320"/>
  <c r="W320" s="1"/>
  <c r="H320"/>
  <c r="G320"/>
  <c r="AF319"/>
  <c r="O319"/>
  <c r="V319" s="1"/>
  <c r="G319"/>
  <c r="H319" s="1"/>
  <c r="AF318"/>
  <c r="V318"/>
  <c r="O318"/>
  <c r="W318" s="1"/>
  <c r="H318"/>
  <c r="G318"/>
  <c r="AF317"/>
  <c r="O317"/>
  <c r="V317" s="1"/>
  <c r="G317"/>
  <c r="H317" s="1"/>
  <c r="AF316"/>
  <c r="V316"/>
  <c r="O316"/>
  <c r="W316" s="1"/>
  <c r="H316"/>
  <c r="G316"/>
  <c r="AF315"/>
  <c r="O315"/>
  <c r="V315" s="1"/>
  <c r="G315"/>
  <c r="H315" s="1"/>
  <c r="AF314"/>
  <c r="V314"/>
  <c r="O314"/>
  <c r="W314" s="1"/>
  <c r="H314"/>
  <c r="G314"/>
  <c r="AF313"/>
  <c r="O313"/>
  <c r="V313" s="1"/>
  <c r="G313"/>
  <c r="H313" s="1"/>
  <c r="AF312"/>
  <c r="V312"/>
  <c r="O312"/>
  <c r="W312" s="1"/>
  <c r="H312"/>
  <c r="G312"/>
  <c r="AF311"/>
  <c r="O311"/>
  <c r="V311" s="1"/>
  <c r="G311"/>
  <c r="H311" s="1"/>
  <c r="AF310"/>
  <c r="V310"/>
  <c r="O310"/>
  <c r="W310" s="1"/>
  <c r="H310"/>
  <c r="G310"/>
  <c r="AF309"/>
  <c r="O309"/>
  <c r="V309" s="1"/>
  <c r="G309"/>
  <c r="H309" s="1"/>
  <c r="AF308"/>
  <c r="V308"/>
  <c r="O308"/>
  <c r="W308" s="1"/>
  <c r="H308"/>
  <c r="G308"/>
  <c r="AF307"/>
  <c r="O307"/>
  <c r="V307" s="1"/>
  <c r="G307"/>
  <c r="H307" s="1"/>
  <c r="AF306"/>
  <c r="V306"/>
  <c r="O306"/>
  <c r="W306" s="1"/>
  <c r="H306"/>
  <c r="G306"/>
  <c r="AF305"/>
  <c r="O305"/>
  <c r="V305" s="1"/>
  <c r="G305"/>
  <c r="H305" s="1"/>
  <c r="AF304"/>
  <c r="V304"/>
  <c r="O304"/>
  <c r="W304" s="1"/>
  <c r="H304"/>
  <c r="G304"/>
  <c r="AF303"/>
  <c r="O303"/>
  <c r="V303" s="1"/>
  <c r="G303"/>
  <c r="H303" s="1"/>
  <c r="AF302"/>
  <c r="V302"/>
  <c r="O302"/>
  <c r="W302" s="1"/>
  <c r="H302"/>
  <c r="G302"/>
  <c r="AF301"/>
  <c r="O301"/>
  <c r="V301" s="1"/>
  <c r="G301"/>
  <c r="H301" s="1"/>
  <c r="AF300"/>
  <c r="V300"/>
  <c r="O300"/>
  <c r="W300" s="1"/>
  <c r="H300"/>
  <c r="G300"/>
  <c r="AF299"/>
  <c r="O299"/>
  <c r="V299" s="1"/>
  <c r="G299"/>
  <c r="H299" s="1"/>
  <c r="AF298"/>
  <c r="V298"/>
  <c r="O298"/>
  <c r="W298" s="1"/>
  <c r="H298"/>
  <c r="G298"/>
  <c r="AF297"/>
  <c r="O297"/>
  <c r="V297" s="1"/>
  <c r="G297"/>
  <c r="H297" s="1"/>
  <c r="AF296"/>
  <c r="V296"/>
  <c r="O296"/>
  <c r="W296" s="1"/>
  <c r="H296"/>
  <c r="G296"/>
  <c r="AF295"/>
  <c r="O295"/>
  <c r="V295" s="1"/>
  <c r="G295"/>
  <c r="H295" s="1"/>
  <c r="AF294"/>
  <c r="V294"/>
  <c r="O294"/>
  <c r="W294" s="1"/>
  <c r="H294"/>
  <c r="G294"/>
  <c r="AF293"/>
  <c r="O293"/>
  <c r="V293" s="1"/>
  <c r="G293"/>
  <c r="H293" s="1"/>
  <c r="AF292"/>
  <c r="V292"/>
  <c r="O292"/>
  <c r="W292" s="1"/>
  <c r="H292"/>
  <c r="G292"/>
  <c r="AF291"/>
  <c r="O291"/>
  <c r="V291" s="1"/>
  <c r="G291"/>
  <c r="H291" s="1"/>
  <c r="AF290"/>
  <c r="V290"/>
  <c r="O290"/>
  <c r="W290" s="1"/>
  <c r="H290"/>
  <c r="G290"/>
  <c r="AF289"/>
  <c r="O289"/>
  <c r="V289" s="1"/>
  <c r="G289"/>
  <c r="H289" s="1"/>
  <c r="AF288"/>
  <c r="V288"/>
  <c r="O288"/>
  <c r="W288" s="1"/>
  <c r="H288"/>
  <c r="G288"/>
  <c r="AF287"/>
  <c r="O287"/>
  <c r="V287" s="1"/>
  <c r="G287"/>
  <c r="H287" s="1"/>
  <c r="AF286"/>
  <c r="V286"/>
  <c r="O286"/>
  <c r="W286" s="1"/>
  <c r="H286"/>
  <c r="G286"/>
  <c r="AF285"/>
  <c r="O285"/>
  <c r="V285" s="1"/>
  <c r="G285"/>
  <c r="H285" s="1"/>
  <c r="AF284"/>
  <c r="V284"/>
  <c r="O284"/>
  <c r="W284" s="1"/>
  <c r="H284"/>
  <c r="G284"/>
  <c r="AF283"/>
  <c r="O283"/>
  <c r="V283" s="1"/>
  <c r="G283"/>
  <c r="H283" s="1"/>
  <c r="AF282"/>
  <c r="V282"/>
  <c r="O282"/>
  <c r="W282" s="1"/>
  <c r="H282"/>
  <c r="G282"/>
  <c r="AF281"/>
  <c r="O281"/>
  <c r="V281" s="1"/>
  <c r="G281"/>
  <c r="H281" s="1"/>
  <c r="AF280"/>
  <c r="V280"/>
  <c r="O280"/>
  <c r="W280" s="1"/>
  <c r="H280"/>
  <c r="G280"/>
  <c r="AF279"/>
  <c r="O279"/>
  <c r="V279" s="1"/>
  <c r="G279"/>
  <c r="H279" s="1"/>
  <c r="AF278"/>
  <c r="V278"/>
  <c r="O278"/>
  <c r="W278" s="1"/>
  <c r="H278"/>
  <c r="G278"/>
  <c r="AF277"/>
  <c r="O277"/>
  <c r="V277" s="1"/>
  <c r="G277"/>
  <c r="H277" s="1"/>
  <c r="AF276"/>
  <c r="V276"/>
  <c r="O276"/>
  <c r="W276" s="1"/>
  <c r="H276"/>
  <c r="G276"/>
  <c r="AF275"/>
  <c r="O275"/>
  <c r="V275" s="1"/>
  <c r="G275"/>
  <c r="H275" s="1"/>
  <c r="AF274"/>
  <c r="V274"/>
  <c r="O274"/>
  <c r="W274" s="1"/>
  <c r="H274"/>
  <c r="G274"/>
  <c r="AF273"/>
  <c r="O273"/>
  <c r="V273" s="1"/>
  <c r="G273"/>
  <c r="H273" s="1"/>
  <c r="AF272"/>
  <c r="V272"/>
  <c r="O272"/>
  <c r="W272" s="1"/>
  <c r="H272"/>
  <c r="G272"/>
  <c r="AF271"/>
  <c r="O271"/>
  <c r="V271" s="1"/>
  <c r="G271"/>
  <c r="H271" s="1"/>
  <c r="AF270"/>
  <c r="V270"/>
  <c r="O270"/>
  <c r="W270" s="1"/>
  <c r="H270"/>
  <c r="G270"/>
  <c r="AF269"/>
  <c r="O269"/>
  <c r="V269" s="1"/>
  <c r="G269"/>
  <c r="H269" s="1"/>
  <c r="AF268"/>
  <c r="V268"/>
  <c r="O268"/>
  <c r="W268" s="1"/>
  <c r="H268"/>
  <c r="G268"/>
  <c r="AF267"/>
  <c r="O267"/>
  <c r="V267" s="1"/>
  <c r="G267"/>
  <c r="H267" s="1"/>
  <c r="AF266"/>
  <c r="V266"/>
  <c r="O266"/>
  <c r="W266" s="1"/>
  <c r="H266"/>
  <c r="G266"/>
  <c r="AF265"/>
  <c r="O265"/>
  <c r="V265" s="1"/>
  <c r="G265"/>
  <c r="H265" s="1"/>
  <c r="AF264"/>
  <c r="V264"/>
  <c r="O264"/>
  <c r="W264" s="1"/>
  <c r="H264"/>
  <c r="G264"/>
  <c r="AF263"/>
  <c r="O263"/>
  <c r="V263" s="1"/>
  <c r="G263"/>
  <c r="H263" s="1"/>
  <c r="AF262"/>
  <c r="V262"/>
  <c r="O262"/>
  <c r="W262" s="1"/>
  <c r="H262"/>
  <c r="G262"/>
  <c r="AF261"/>
  <c r="O261"/>
  <c r="V261" s="1"/>
  <c r="G261"/>
  <c r="H261" s="1"/>
  <c r="AF260"/>
  <c r="V260"/>
  <c r="O260"/>
  <c r="W260" s="1"/>
  <c r="H260"/>
  <c r="G260"/>
  <c r="AF259"/>
  <c r="O259"/>
  <c r="V259" s="1"/>
  <c r="G259"/>
  <c r="H259" s="1"/>
  <c r="AF258"/>
  <c r="V258"/>
  <c r="O258"/>
  <c r="W258" s="1"/>
  <c r="H258"/>
  <c r="G258"/>
  <c r="AF257"/>
  <c r="O257"/>
  <c r="V257" s="1"/>
  <c r="G257"/>
  <c r="H257" s="1"/>
  <c r="AF256"/>
  <c r="V256"/>
  <c r="O256"/>
  <c r="W256" s="1"/>
  <c r="H256"/>
  <c r="G256"/>
  <c r="AF255"/>
  <c r="O255"/>
  <c r="V255" s="1"/>
  <c r="G255"/>
  <c r="H255" s="1"/>
  <c r="AF254"/>
  <c r="V254"/>
  <c r="O254"/>
  <c r="W254" s="1"/>
  <c r="H254"/>
  <c r="G254"/>
  <c r="AF253"/>
  <c r="O253"/>
  <c r="V253" s="1"/>
  <c r="G253"/>
  <c r="H253" s="1"/>
  <c r="AF252"/>
  <c r="V252"/>
  <c r="O252"/>
  <c r="W252" s="1"/>
  <c r="H252"/>
  <c r="G252"/>
  <c r="AF251"/>
  <c r="O251"/>
  <c r="V251" s="1"/>
  <c r="G251"/>
  <c r="H251" s="1"/>
  <c r="AF250"/>
  <c r="V250"/>
  <c r="O250"/>
  <c r="W250" s="1"/>
  <c r="H250"/>
  <c r="G250"/>
  <c r="AF249"/>
  <c r="O249"/>
  <c r="V249" s="1"/>
  <c r="G249"/>
  <c r="H249" s="1"/>
  <c r="AF248"/>
  <c r="V248"/>
  <c r="O248"/>
  <c r="W248" s="1"/>
  <c r="H248"/>
  <c r="G248"/>
  <c r="AF247"/>
  <c r="O247"/>
  <c r="V247" s="1"/>
  <c r="G247"/>
  <c r="H247" s="1"/>
  <c r="AF246"/>
  <c r="V246"/>
  <c r="O246"/>
  <c r="W246" s="1"/>
  <c r="H246"/>
  <c r="G246"/>
  <c r="AF245"/>
  <c r="O245"/>
  <c r="V245" s="1"/>
  <c r="G245"/>
  <c r="H245" s="1"/>
  <c r="AF244"/>
  <c r="V244"/>
  <c r="O244"/>
  <c r="W244" s="1"/>
  <c r="H244"/>
  <c r="G244"/>
  <c r="AF243"/>
  <c r="O243"/>
  <c r="V243" s="1"/>
  <c r="G243"/>
  <c r="H243" s="1"/>
  <c r="AF242"/>
  <c r="V242"/>
  <c r="O242"/>
  <c r="W242" s="1"/>
  <c r="H242"/>
  <c r="G242"/>
  <c r="AF241"/>
  <c r="O241"/>
  <c r="V241" s="1"/>
  <c r="G241"/>
  <c r="H241" s="1"/>
  <c r="AF240"/>
  <c r="V240"/>
  <c r="O240"/>
  <c r="W240" s="1"/>
  <c r="H240"/>
  <c r="G240"/>
  <c r="AF239"/>
  <c r="O239"/>
  <c r="V239" s="1"/>
  <c r="G239"/>
  <c r="H239" s="1"/>
  <c r="AF238"/>
  <c r="V238"/>
  <c r="O238"/>
  <c r="W238" s="1"/>
  <c r="H238"/>
  <c r="G238"/>
  <c r="AF237"/>
  <c r="O237"/>
  <c r="V237" s="1"/>
  <c r="G237"/>
  <c r="H237" s="1"/>
  <c r="AF236"/>
  <c r="V236"/>
  <c r="O236"/>
  <c r="W236" s="1"/>
  <c r="H236"/>
  <c r="G236"/>
  <c r="AF235"/>
  <c r="O235"/>
  <c r="V235" s="1"/>
  <c r="G235"/>
  <c r="H235" s="1"/>
  <c r="AF234"/>
  <c r="V234"/>
  <c r="O234"/>
  <c r="W234" s="1"/>
  <c r="H234"/>
  <c r="G234"/>
  <c r="AF233"/>
  <c r="O233"/>
  <c r="V233" s="1"/>
  <c r="G233"/>
  <c r="H233" s="1"/>
  <c r="AF232"/>
  <c r="V232"/>
  <c r="O232"/>
  <c r="W232" s="1"/>
  <c r="H232"/>
  <c r="G232"/>
  <c r="AF231"/>
  <c r="O231"/>
  <c r="V231" s="1"/>
  <c r="G231"/>
  <c r="H231" s="1"/>
  <c r="AF230"/>
  <c r="V230"/>
  <c r="O230"/>
  <c r="W230" s="1"/>
  <c r="H230"/>
  <c r="G230"/>
  <c r="AF229"/>
  <c r="O229"/>
  <c r="V229" s="1"/>
  <c r="G229"/>
  <c r="H229" s="1"/>
  <c r="AF228"/>
  <c r="V228"/>
  <c r="O228"/>
  <c r="W228" s="1"/>
  <c r="H228"/>
  <c r="G228"/>
  <c r="AF227"/>
  <c r="O227"/>
  <c r="V227" s="1"/>
  <c r="G227"/>
  <c r="H227" s="1"/>
  <c r="AF226"/>
  <c r="V226"/>
  <c r="O226"/>
  <c r="W226" s="1"/>
  <c r="H226"/>
  <c r="G226"/>
  <c r="AF225"/>
  <c r="O225"/>
  <c r="V225" s="1"/>
  <c r="G225"/>
  <c r="H225" s="1"/>
  <c r="AF224"/>
  <c r="V224"/>
  <c r="O224"/>
  <c r="W224" s="1"/>
  <c r="H224"/>
  <c r="G224"/>
  <c r="AF223"/>
  <c r="O223"/>
  <c r="V223" s="1"/>
  <c r="G223"/>
  <c r="H223" s="1"/>
  <c r="AF222"/>
  <c r="V222"/>
  <c r="O222"/>
  <c r="W222" s="1"/>
  <c r="H222"/>
  <c r="G222"/>
  <c r="AF221"/>
  <c r="O221"/>
  <c r="V221" s="1"/>
  <c r="G221"/>
  <c r="H221" s="1"/>
  <c r="AF220"/>
  <c r="V220"/>
  <c r="O220"/>
  <c r="W220" s="1"/>
  <c r="H220"/>
  <c r="G220"/>
  <c r="AF219"/>
  <c r="O219"/>
  <c r="V219" s="1"/>
  <c r="G219"/>
  <c r="H219" s="1"/>
  <c r="AF218"/>
  <c r="V218"/>
  <c r="O218"/>
  <c r="W218" s="1"/>
  <c r="H218"/>
  <c r="G218"/>
  <c r="AF217"/>
  <c r="O217"/>
  <c r="V217" s="1"/>
  <c r="G217"/>
  <c r="H217" s="1"/>
  <c r="AF216"/>
  <c r="V216"/>
  <c r="O216"/>
  <c r="W216" s="1"/>
  <c r="H216"/>
  <c r="G216"/>
  <c r="AF215"/>
  <c r="O215"/>
  <c r="V215" s="1"/>
  <c r="G215"/>
  <c r="H215" s="1"/>
  <c r="AF214"/>
  <c r="V214"/>
  <c r="O214"/>
  <c r="W214" s="1"/>
  <c r="H214"/>
  <c r="G214"/>
  <c r="AF213"/>
  <c r="O213"/>
  <c r="V213" s="1"/>
  <c r="G213"/>
  <c r="H213" s="1"/>
  <c r="AF212"/>
  <c r="V212"/>
  <c r="O212"/>
  <c r="W212" s="1"/>
  <c r="H212"/>
  <c r="G212"/>
  <c r="AF211"/>
  <c r="O211"/>
  <c r="V211" s="1"/>
  <c r="G211"/>
  <c r="H211" s="1"/>
  <c r="AF210"/>
  <c r="V210"/>
  <c r="O210"/>
  <c r="W210" s="1"/>
  <c r="H210"/>
  <c r="G210"/>
  <c r="AF209"/>
  <c r="O209"/>
  <c r="V209" s="1"/>
  <c r="G209"/>
  <c r="H209" s="1"/>
  <c r="AF208"/>
  <c r="V208"/>
  <c r="O208"/>
  <c r="W208" s="1"/>
  <c r="H208"/>
  <c r="G208"/>
  <c r="AF207"/>
  <c r="O207"/>
  <c r="V207" s="1"/>
  <c r="G207"/>
  <c r="H207" s="1"/>
  <c r="AF206"/>
  <c r="V206"/>
  <c r="O206"/>
  <c r="W206" s="1"/>
  <c r="H206"/>
  <c r="G206"/>
  <c r="AF205"/>
  <c r="O205"/>
  <c r="V205" s="1"/>
  <c r="G205"/>
  <c r="H205" s="1"/>
  <c r="AF204"/>
  <c r="V204"/>
  <c r="O204"/>
  <c r="W204" s="1"/>
  <c r="H204"/>
  <c r="G204"/>
  <c r="AF203"/>
  <c r="O203"/>
  <c r="V203" s="1"/>
  <c r="G203"/>
  <c r="H203" s="1"/>
  <c r="AF202"/>
  <c r="V202"/>
  <c r="O202"/>
  <c r="W202" s="1"/>
  <c r="H202"/>
  <c r="G202"/>
  <c r="AF201"/>
  <c r="O201"/>
  <c r="V201" s="1"/>
  <c r="G201"/>
  <c r="H201" s="1"/>
  <c r="AF200"/>
  <c r="V200"/>
  <c r="O200"/>
  <c r="W200" s="1"/>
  <c r="H200"/>
  <c r="G200"/>
  <c r="AF199"/>
  <c r="O199"/>
  <c r="V199" s="1"/>
  <c r="G199"/>
  <c r="H199" s="1"/>
  <c r="AF198"/>
  <c r="V198"/>
  <c r="O198"/>
  <c r="W198" s="1"/>
  <c r="H198"/>
  <c r="G198"/>
  <c r="AF197"/>
  <c r="O197"/>
  <c r="V197" s="1"/>
  <c r="G197"/>
  <c r="H197" s="1"/>
  <c r="AF196"/>
  <c r="V196"/>
  <c r="O196"/>
  <c r="W196" s="1"/>
  <c r="H196"/>
  <c r="G196"/>
  <c r="AF195"/>
  <c r="O195"/>
  <c r="V195" s="1"/>
  <c r="G195"/>
  <c r="H195" s="1"/>
  <c r="AF194"/>
  <c r="V194"/>
  <c r="O194"/>
  <c r="W194" s="1"/>
  <c r="H194"/>
  <c r="G194"/>
  <c r="AF193"/>
  <c r="O193"/>
  <c r="V193" s="1"/>
  <c r="G193"/>
  <c r="H193" s="1"/>
  <c r="AF192"/>
  <c r="V192"/>
  <c r="O192"/>
  <c r="W192" s="1"/>
  <c r="H192"/>
  <c r="G192"/>
  <c r="AF191"/>
  <c r="O191"/>
  <c r="V191" s="1"/>
  <c r="G191"/>
  <c r="H191" s="1"/>
  <c r="AF190"/>
  <c r="V190"/>
  <c r="O190"/>
  <c r="W190" s="1"/>
  <c r="H190"/>
  <c r="G190"/>
  <c r="AF189"/>
  <c r="O189"/>
  <c r="V189" s="1"/>
  <c r="G189"/>
  <c r="H189" s="1"/>
  <c r="AF188"/>
  <c r="V188"/>
  <c r="O188"/>
  <c r="W188" s="1"/>
  <c r="H188"/>
  <c r="G188"/>
  <c r="AF187"/>
  <c r="O187"/>
  <c r="V187" s="1"/>
  <c r="G187"/>
  <c r="H187" s="1"/>
  <c r="AF186"/>
  <c r="V186"/>
  <c r="O186"/>
  <c r="W186" s="1"/>
  <c r="H186"/>
  <c r="G186"/>
  <c r="AF185"/>
  <c r="O185"/>
  <c r="V185" s="1"/>
  <c r="G185"/>
  <c r="H185" s="1"/>
  <c r="AF184"/>
  <c r="V184"/>
  <c r="O184"/>
  <c r="W184" s="1"/>
  <c r="H184"/>
  <c r="G184"/>
  <c r="AF183"/>
  <c r="O183"/>
  <c r="V183" s="1"/>
  <c r="G183"/>
  <c r="H183" s="1"/>
  <c r="AF182"/>
  <c r="V182"/>
  <c r="O182"/>
  <c r="W182" s="1"/>
  <c r="H182"/>
  <c r="G182"/>
  <c r="AF181"/>
  <c r="O181"/>
  <c r="V181" s="1"/>
  <c r="G181"/>
  <c r="H181" s="1"/>
  <c r="AF180"/>
  <c r="V180"/>
  <c r="O180"/>
  <c r="W180" s="1"/>
  <c r="H180"/>
  <c r="G180"/>
  <c r="AF179"/>
  <c r="O179"/>
  <c r="V179" s="1"/>
  <c r="G179"/>
  <c r="H179" s="1"/>
  <c r="AF178"/>
  <c r="V178"/>
  <c r="O178"/>
  <c r="W178" s="1"/>
  <c r="H178"/>
  <c r="G178"/>
  <c r="AF177"/>
  <c r="O177"/>
  <c r="V177" s="1"/>
  <c r="G177"/>
  <c r="H177" s="1"/>
  <c r="AF176"/>
  <c r="V176"/>
  <c r="O176"/>
  <c r="W176" s="1"/>
  <c r="H176"/>
  <c r="G176"/>
  <c r="AF175"/>
  <c r="O175"/>
  <c r="V175" s="1"/>
  <c r="G175"/>
  <c r="H175" s="1"/>
  <c r="AF174"/>
  <c r="V174"/>
  <c r="O174"/>
  <c r="W174" s="1"/>
  <c r="H174"/>
  <c r="G174"/>
  <c r="AF173"/>
  <c r="O173"/>
  <c r="V173" s="1"/>
  <c r="G173"/>
  <c r="H173" s="1"/>
  <c r="AF172"/>
  <c r="V172"/>
  <c r="O172"/>
  <c r="W172" s="1"/>
  <c r="H172"/>
  <c r="G172"/>
  <c r="AF171"/>
  <c r="O171"/>
  <c r="V171" s="1"/>
  <c r="G171"/>
  <c r="H171" s="1"/>
  <c r="AF170"/>
  <c r="V170"/>
  <c r="O170"/>
  <c r="W170" s="1"/>
  <c r="H170"/>
  <c r="G170"/>
  <c r="AF169"/>
  <c r="O169"/>
  <c r="V169" s="1"/>
  <c r="G169"/>
  <c r="H169" s="1"/>
  <c r="AF168"/>
  <c r="V168"/>
  <c r="O168"/>
  <c r="W168" s="1"/>
  <c r="H168"/>
  <c r="G168"/>
  <c r="AF167"/>
  <c r="O167"/>
  <c r="V167" s="1"/>
  <c r="G167"/>
  <c r="H167" s="1"/>
  <c r="AF166"/>
  <c r="V166"/>
  <c r="O166"/>
  <c r="W166" s="1"/>
  <c r="H166"/>
  <c r="G166"/>
  <c r="AF165"/>
  <c r="O165"/>
  <c r="V165" s="1"/>
  <c r="G165"/>
  <c r="H165" s="1"/>
  <c r="AF164"/>
  <c r="V164"/>
  <c r="O164"/>
  <c r="W164" s="1"/>
  <c r="H164"/>
  <c r="G164"/>
  <c r="AF163"/>
  <c r="O163"/>
  <c r="V163" s="1"/>
  <c r="G163"/>
  <c r="H163" s="1"/>
  <c r="AF162"/>
  <c r="V162"/>
  <c r="O162"/>
  <c r="W162" s="1"/>
  <c r="H162"/>
  <c r="G162"/>
  <c r="AF161"/>
  <c r="O161"/>
  <c r="V161" s="1"/>
  <c r="G161"/>
  <c r="H161" s="1"/>
  <c r="AF160"/>
  <c r="V160"/>
  <c r="O160"/>
  <c r="W160" s="1"/>
  <c r="H160"/>
  <c r="G160"/>
  <c r="AF159"/>
  <c r="O159"/>
  <c r="V159" s="1"/>
  <c r="G159"/>
  <c r="H159" s="1"/>
  <c r="AF158"/>
  <c r="V158"/>
  <c r="O158"/>
  <c r="W158" s="1"/>
  <c r="H158"/>
  <c r="G158"/>
  <c r="AF157"/>
  <c r="O157"/>
  <c r="V157" s="1"/>
  <c r="G157"/>
  <c r="H157" s="1"/>
  <c r="AF156"/>
  <c r="V156"/>
  <c r="O156"/>
  <c r="W156" s="1"/>
  <c r="H156"/>
  <c r="G156"/>
  <c r="AF155"/>
  <c r="O155"/>
  <c r="V155" s="1"/>
  <c r="G155"/>
  <c r="H155" s="1"/>
  <c r="AF154"/>
  <c r="V154"/>
  <c r="O154"/>
  <c r="W154" s="1"/>
  <c r="H154"/>
  <c r="G154"/>
  <c r="AF153"/>
  <c r="O153"/>
  <c r="V153" s="1"/>
  <c r="G153"/>
  <c r="H153" s="1"/>
  <c r="AF152"/>
  <c r="V152"/>
  <c r="O152"/>
  <c r="W152" s="1"/>
  <c r="H152"/>
  <c r="G152"/>
  <c r="AF151"/>
  <c r="O151"/>
  <c r="V151" s="1"/>
  <c r="G151"/>
  <c r="H151" s="1"/>
  <c r="AF150"/>
  <c r="V150"/>
  <c r="O150"/>
  <c r="W150" s="1"/>
  <c r="H150"/>
  <c r="G150"/>
  <c r="AF149"/>
  <c r="O149"/>
  <c r="V149" s="1"/>
  <c r="G149"/>
  <c r="H149" s="1"/>
  <c r="AF148"/>
  <c r="V148"/>
  <c r="O148"/>
  <c r="W148" s="1"/>
  <c r="H148"/>
  <c r="G148"/>
  <c r="AF147"/>
  <c r="O147"/>
  <c r="V147" s="1"/>
  <c r="G147"/>
  <c r="H147" s="1"/>
  <c r="AF146"/>
  <c r="V146"/>
  <c r="O146"/>
  <c r="W146" s="1"/>
  <c r="H146"/>
  <c r="G146"/>
  <c r="AF145"/>
  <c r="O145"/>
  <c r="V145" s="1"/>
  <c r="G145"/>
  <c r="H145" s="1"/>
  <c r="AF144"/>
  <c r="V144"/>
  <c r="O144"/>
  <c r="W144" s="1"/>
  <c r="H144"/>
  <c r="G144"/>
  <c r="AF143"/>
  <c r="O143"/>
  <c r="V143" s="1"/>
  <c r="G143"/>
  <c r="H143" s="1"/>
  <c r="AF142"/>
  <c r="V142"/>
  <c r="O142"/>
  <c r="W142" s="1"/>
  <c r="H142"/>
  <c r="G142"/>
  <c r="AF141"/>
  <c r="O141"/>
  <c r="V141" s="1"/>
  <c r="G141"/>
  <c r="H141" s="1"/>
  <c r="AF140"/>
  <c r="V140"/>
  <c r="O140"/>
  <c r="W140" s="1"/>
  <c r="AE140" s="1"/>
  <c r="H140"/>
  <c r="G140"/>
  <c r="AF139"/>
  <c r="O139"/>
  <c r="V139" s="1"/>
  <c r="G139"/>
  <c r="H139" s="1"/>
  <c r="AF138"/>
  <c r="V138"/>
  <c r="O138"/>
  <c r="W138" s="1"/>
  <c r="AE138" s="1"/>
  <c r="H138"/>
  <c r="G138"/>
  <c r="AF137"/>
  <c r="O137"/>
  <c r="V137" s="1"/>
  <c r="G137"/>
  <c r="H137" s="1"/>
  <c r="AF136"/>
  <c r="V136"/>
  <c r="O136"/>
  <c r="W136" s="1"/>
  <c r="AE136" s="1"/>
  <c r="H136"/>
  <c r="G136"/>
  <c r="AF135"/>
  <c r="O135"/>
  <c r="V135" s="1"/>
  <c r="G135"/>
  <c r="H135" s="1"/>
  <c r="AF134"/>
  <c r="V134"/>
  <c r="O134"/>
  <c r="W134" s="1"/>
  <c r="AE134" s="1"/>
  <c r="H134"/>
  <c r="G134"/>
  <c r="AF133"/>
  <c r="O133"/>
  <c r="V133" s="1"/>
  <c r="G133"/>
  <c r="H133" s="1"/>
  <c r="AF132"/>
  <c r="V132"/>
  <c r="O132"/>
  <c r="W132" s="1"/>
  <c r="AE132" s="1"/>
  <c r="H132"/>
  <c r="G132"/>
  <c r="AF131"/>
  <c r="O131"/>
  <c r="V131" s="1"/>
  <c r="G131"/>
  <c r="H131" s="1"/>
  <c r="AF130"/>
  <c r="V130"/>
  <c r="O130"/>
  <c r="W130" s="1"/>
  <c r="AE130" s="1"/>
  <c r="H130"/>
  <c r="G130"/>
  <c r="AF129"/>
  <c r="O129"/>
  <c r="V129" s="1"/>
  <c r="G129"/>
  <c r="H129" s="1"/>
  <c r="AF128"/>
  <c r="V128"/>
  <c r="O128"/>
  <c r="W128" s="1"/>
  <c r="AE128" s="1"/>
  <c r="H128"/>
  <c r="G128"/>
  <c r="AF127"/>
  <c r="O127"/>
  <c r="V127" s="1"/>
  <c r="G127"/>
  <c r="H127" s="1"/>
  <c r="AF126"/>
  <c r="V126"/>
  <c r="O126"/>
  <c r="W126" s="1"/>
  <c r="AE126" s="1"/>
  <c r="H126"/>
  <c r="G126"/>
  <c r="AF125"/>
  <c r="O125"/>
  <c r="V125" s="1"/>
  <c r="G125"/>
  <c r="H125" s="1"/>
  <c r="AF124"/>
  <c r="V124"/>
  <c r="O124"/>
  <c r="W124" s="1"/>
  <c r="AE124" s="1"/>
  <c r="H124"/>
  <c r="G124"/>
  <c r="AF123"/>
  <c r="O123"/>
  <c r="V123" s="1"/>
  <c r="G123"/>
  <c r="H123" s="1"/>
  <c r="AF122"/>
  <c r="V122"/>
  <c r="O122"/>
  <c r="W122" s="1"/>
  <c r="AE122" s="1"/>
  <c r="H122"/>
  <c r="G122"/>
  <c r="AF121"/>
  <c r="O121"/>
  <c r="V121" s="1"/>
  <c r="G121"/>
  <c r="H121" s="1"/>
  <c r="AF120"/>
  <c r="V120"/>
  <c r="O120"/>
  <c r="W120" s="1"/>
  <c r="AE120" s="1"/>
  <c r="H120"/>
  <c r="G120"/>
  <c r="AF119"/>
  <c r="O119"/>
  <c r="V119" s="1"/>
  <c r="G119"/>
  <c r="H119" s="1"/>
  <c r="AF118"/>
  <c r="V118"/>
  <c r="O118"/>
  <c r="W118" s="1"/>
  <c r="AE118" s="1"/>
  <c r="H118"/>
  <c r="G118"/>
  <c r="AF117"/>
  <c r="O117"/>
  <c r="V117" s="1"/>
  <c r="G117"/>
  <c r="H117" s="1"/>
  <c r="AF116"/>
  <c r="V116"/>
  <c r="O116"/>
  <c r="W116" s="1"/>
  <c r="AE116" s="1"/>
  <c r="H116"/>
  <c r="G116"/>
  <c r="AF115"/>
  <c r="O115"/>
  <c r="V115" s="1"/>
  <c r="G115"/>
  <c r="H115" s="1"/>
  <c r="AF114"/>
  <c r="V114"/>
  <c r="O114"/>
  <c r="W114" s="1"/>
  <c r="AE114" s="1"/>
  <c r="H114"/>
  <c r="G114"/>
  <c r="AF113"/>
  <c r="O113"/>
  <c r="V113" s="1"/>
  <c r="G113"/>
  <c r="H113" s="1"/>
  <c r="AF112"/>
  <c r="V112"/>
  <c r="O112"/>
  <c r="W112" s="1"/>
  <c r="AE112" s="1"/>
  <c r="H112"/>
  <c r="G112"/>
  <c r="AF111"/>
  <c r="O111"/>
  <c r="V111" s="1"/>
  <c r="G111"/>
  <c r="H111" s="1"/>
  <c r="AF110"/>
  <c r="V110"/>
  <c r="O110"/>
  <c r="W110" s="1"/>
  <c r="AE110" s="1"/>
  <c r="H110"/>
  <c r="G110"/>
  <c r="AF109"/>
  <c r="O109"/>
  <c r="V109" s="1"/>
  <c r="G109"/>
  <c r="H109" s="1"/>
  <c r="AF108"/>
  <c r="V108"/>
  <c r="O108"/>
  <c r="W108" s="1"/>
  <c r="AE108" s="1"/>
  <c r="H108"/>
  <c r="G108"/>
  <c r="AF107"/>
  <c r="O107"/>
  <c r="V107" s="1"/>
  <c r="G107"/>
  <c r="H107" s="1"/>
  <c r="AF106"/>
  <c r="V106"/>
  <c r="O106"/>
  <c r="W106" s="1"/>
  <c r="AE106" s="1"/>
  <c r="H106"/>
  <c r="G106"/>
  <c r="AF105"/>
  <c r="O105"/>
  <c r="V105" s="1"/>
  <c r="G105"/>
  <c r="H105" s="1"/>
  <c r="AF104"/>
  <c r="V104"/>
  <c r="O104"/>
  <c r="W104" s="1"/>
  <c r="AE104" s="1"/>
  <c r="H104"/>
  <c r="G104"/>
  <c r="AF103"/>
  <c r="O103"/>
  <c r="V103" s="1"/>
  <c r="G103"/>
  <c r="H103" s="1"/>
  <c r="AF102"/>
  <c r="V102"/>
  <c r="O102"/>
  <c r="W102" s="1"/>
  <c r="AE102" s="1"/>
  <c r="H102"/>
  <c r="G102"/>
  <c r="AF101"/>
  <c r="O101"/>
  <c r="V101" s="1"/>
  <c r="G101"/>
  <c r="H101" s="1"/>
  <c r="AF100"/>
  <c r="V100"/>
  <c r="O100"/>
  <c r="W100" s="1"/>
  <c r="AE100" s="1"/>
  <c r="H100"/>
  <c r="G100"/>
  <c r="AF99"/>
  <c r="O99"/>
  <c r="V99" s="1"/>
  <c r="G99"/>
  <c r="H99" s="1"/>
  <c r="AF98"/>
  <c r="V98"/>
  <c r="O98"/>
  <c r="W98" s="1"/>
  <c r="AE98" s="1"/>
  <c r="H98"/>
  <c r="G98"/>
  <c r="AF97"/>
  <c r="O97"/>
  <c r="V97" s="1"/>
  <c r="G97"/>
  <c r="H97" s="1"/>
  <c r="AF96"/>
  <c r="V96"/>
  <c r="O96"/>
  <c r="W96" s="1"/>
  <c r="AE96" s="1"/>
  <c r="H96"/>
  <c r="G96"/>
  <c r="AF95"/>
  <c r="O95"/>
  <c r="V95" s="1"/>
  <c r="G95"/>
  <c r="H95" s="1"/>
  <c r="AF94"/>
  <c r="V94"/>
  <c r="O94"/>
  <c r="W94" s="1"/>
  <c r="AE94" s="1"/>
  <c r="H94"/>
  <c r="G94"/>
  <c r="AF93"/>
  <c r="O93"/>
  <c r="V93" s="1"/>
  <c r="G93"/>
  <c r="H93" s="1"/>
  <c r="AF92"/>
  <c r="V92"/>
  <c r="O92"/>
  <c r="W92" s="1"/>
  <c r="AE92" s="1"/>
  <c r="H92"/>
  <c r="G92"/>
  <c r="AF91"/>
  <c r="O91"/>
  <c r="V91" s="1"/>
  <c r="G91"/>
  <c r="H91" s="1"/>
  <c r="AF90"/>
  <c r="V90"/>
  <c r="O90"/>
  <c r="W90" s="1"/>
  <c r="AE90" s="1"/>
  <c r="H90"/>
  <c r="G90"/>
  <c r="AF89"/>
  <c r="O89"/>
  <c r="V89" s="1"/>
  <c r="G89"/>
  <c r="H89" s="1"/>
  <c r="AF88"/>
  <c r="V88"/>
  <c r="O88"/>
  <c r="W88" s="1"/>
  <c r="AE88" s="1"/>
  <c r="H88"/>
  <c r="G88"/>
  <c r="AF87"/>
  <c r="O87"/>
  <c r="V87" s="1"/>
  <c r="G87"/>
  <c r="H87" s="1"/>
  <c r="AF86"/>
  <c r="V86"/>
  <c r="O86"/>
  <c r="W86" s="1"/>
  <c r="AE86" s="1"/>
  <c r="H86"/>
  <c r="G86"/>
  <c r="AF85"/>
  <c r="O85"/>
  <c r="V85" s="1"/>
  <c r="G85"/>
  <c r="H85" s="1"/>
  <c r="AF84"/>
  <c r="V84"/>
  <c r="O84"/>
  <c r="W84" s="1"/>
  <c r="AE84" s="1"/>
  <c r="H84"/>
  <c r="G84"/>
  <c r="AF83"/>
  <c r="O83"/>
  <c r="V83" s="1"/>
  <c r="G83"/>
  <c r="H83" s="1"/>
  <c r="AF82"/>
  <c r="V82"/>
  <c r="O82"/>
  <c r="W82" s="1"/>
  <c r="AE82" s="1"/>
  <c r="H82"/>
  <c r="G82"/>
  <c r="AF81"/>
  <c r="O81"/>
  <c r="V81" s="1"/>
  <c r="G81"/>
  <c r="H81" s="1"/>
  <c r="AF80"/>
  <c r="V80"/>
  <c r="O80"/>
  <c r="W80" s="1"/>
  <c r="AE80" s="1"/>
  <c r="H80"/>
  <c r="G80"/>
  <c r="AF79"/>
  <c r="O79"/>
  <c r="V79" s="1"/>
  <c r="G79"/>
  <c r="H79" s="1"/>
  <c r="AF78"/>
  <c r="V78"/>
  <c r="O78"/>
  <c r="W78" s="1"/>
  <c r="AE78" s="1"/>
  <c r="H78"/>
  <c r="G78"/>
  <c r="AF77"/>
  <c r="O77"/>
  <c r="V77" s="1"/>
  <c r="G77"/>
  <c r="H77" s="1"/>
  <c r="AF76"/>
  <c r="V76"/>
  <c r="O76"/>
  <c r="W76" s="1"/>
  <c r="AE76" s="1"/>
  <c r="H76"/>
  <c r="G76"/>
  <c r="AF75"/>
  <c r="O75"/>
  <c r="V75" s="1"/>
  <c r="G75"/>
  <c r="H75" s="1"/>
  <c r="AF74"/>
  <c r="V74"/>
  <c r="O74"/>
  <c r="W74" s="1"/>
  <c r="AE74" s="1"/>
  <c r="H74"/>
  <c r="G74"/>
  <c r="AF73"/>
  <c r="O73"/>
  <c r="V73" s="1"/>
  <c r="G73"/>
  <c r="H73" s="1"/>
  <c r="AF72"/>
  <c r="V72"/>
  <c r="O72"/>
  <c r="W72" s="1"/>
  <c r="AE72" s="1"/>
  <c r="H72"/>
  <c r="G72"/>
  <c r="AF71"/>
  <c r="O71"/>
  <c r="V71" s="1"/>
  <c r="G71"/>
  <c r="H71" s="1"/>
  <c r="AF70"/>
  <c r="V70"/>
  <c r="O70"/>
  <c r="W70" s="1"/>
  <c r="AE70" s="1"/>
  <c r="H70"/>
  <c r="G70"/>
  <c r="AF69"/>
  <c r="O69"/>
  <c r="V69" s="1"/>
  <c r="G69"/>
  <c r="H69" s="1"/>
  <c r="AF68"/>
  <c r="V68"/>
  <c r="O68"/>
  <c r="W68" s="1"/>
  <c r="AE68" s="1"/>
  <c r="H68"/>
  <c r="G68"/>
  <c r="AF67"/>
  <c r="O67"/>
  <c r="V67" s="1"/>
  <c r="G67"/>
  <c r="H67" s="1"/>
  <c r="AF66"/>
  <c r="V66"/>
  <c r="O66"/>
  <c r="W66" s="1"/>
  <c r="AE66" s="1"/>
  <c r="H66"/>
  <c r="G66"/>
  <c r="AF65"/>
  <c r="O65"/>
  <c r="V65" s="1"/>
  <c r="G65"/>
  <c r="H65" s="1"/>
  <c r="AF64"/>
  <c r="V64"/>
  <c r="O64"/>
  <c r="W64" s="1"/>
  <c r="AE64" s="1"/>
  <c r="H64"/>
  <c r="G64"/>
  <c r="AF63"/>
  <c r="O63"/>
  <c r="V63" s="1"/>
  <c r="G63"/>
  <c r="H63" s="1"/>
  <c r="AF62"/>
  <c r="V62"/>
  <c r="O62"/>
  <c r="W62" s="1"/>
  <c r="AE62" s="1"/>
  <c r="H62"/>
  <c r="G62"/>
  <c r="AF61"/>
  <c r="O61"/>
  <c r="V61" s="1"/>
  <c r="G61"/>
  <c r="H61" s="1"/>
  <c r="AF60"/>
  <c r="V60"/>
  <c r="O60"/>
  <c r="W60" s="1"/>
  <c r="AE60" s="1"/>
  <c r="H60"/>
  <c r="G60"/>
  <c r="AF59"/>
  <c r="O59"/>
  <c r="V59" s="1"/>
  <c r="G59"/>
  <c r="H59" s="1"/>
  <c r="AF58"/>
  <c r="V58"/>
  <c r="O58"/>
  <c r="W58" s="1"/>
  <c r="AE58" s="1"/>
  <c r="H58"/>
  <c r="G58"/>
  <c r="AF57"/>
  <c r="O57"/>
  <c r="V57" s="1"/>
  <c r="G57"/>
  <c r="H57" s="1"/>
  <c r="AF56"/>
  <c r="V56"/>
  <c r="O56"/>
  <c r="W56" s="1"/>
  <c r="AE56" s="1"/>
  <c r="H56"/>
  <c r="G56"/>
  <c r="AF55"/>
  <c r="O55"/>
  <c r="V55" s="1"/>
  <c r="G55"/>
  <c r="H55" s="1"/>
  <c r="AF54"/>
  <c r="V54"/>
  <c r="O54"/>
  <c r="W54" s="1"/>
  <c r="AE54" s="1"/>
  <c r="H54"/>
  <c r="G54"/>
  <c r="AF53"/>
  <c r="O53"/>
  <c r="V53" s="1"/>
  <c r="G53"/>
  <c r="H53" s="1"/>
  <c r="AF52"/>
  <c r="V52"/>
  <c r="O52"/>
  <c r="W52" s="1"/>
  <c r="AE52" s="1"/>
  <c r="H52"/>
  <c r="G52"/>
  <c r="AF51"/>
  <c r="O51"/>
  <c r="V51" s="1"/>
  <c r="G51"/>
  <c r="H51" s="1"/>
  <c r="AF50"/>
  <c r="V50"/>
  <c r="O50"/>
  <c r="W50" s="1"/>
  <c r="AE50" s="1"/>
  <c r="H50"/>
  <c r="G50"/>
  <c r="AF49"/>
  <c r="O49"/>
  <c r="V49" s="1"/>
  <c r="G49"/>
  <c r="H49" s="1"/>
  <c r="BG48"/>
  <c r="BF48"/>
  <c r="AF48"/>
  <c r="V48"/>
  <c r="O48"/>
  <c r="W48" s="1"/>
  <c r="AE48" s="1"/>
  <c r="H48"/>
  <c r="G48"/>
  <c r="BG47"/>
  <c r="BF47"/>
  <c r="AF47"/>
  <c r="O47"/>
  <c r="V47" s="1"/>
  <c r="G47"/>
  <c r="H47" s="1"/>
  <c r="BG46"/>
  <c r="BF46"/>
  <c r="AF46"/>
  <c r="V46"/>
  <c r="O46"/>
  <c r="W46" s="1"/>
  <c r="AE46" s="1"/>
  <c r="H46"/>
  <c r="G46"/>
  <c r="BG45"/>
  <c r="BF45"/>
  <c r="AF45"/>
  <c r="O45"/>
  <c r="V45" s="1"/>
  <c r="G45"/>
  <c r="H45" s="1"/>
  <c r="BG44"/>
  <c r="BF44"/>
  <c r="AF44"/>
  <c r="V44"/>
  <c r="O44"/>
  <c r="W44" s="1"/>
  <c r="AE44" s="1"/>
  <c r="H44"/>
  <c r="G44"/>
  <c r="BG43"/>
  <c r="BF43"/>
  <c r="AF43"/>
  <c r="O43"/>
  <c r="V43" s="1"/>
  <c r="G43"/>
  <c r="H43" s="1"/>
  <c r="AF42"/>
  <c r="V42"/>
  <c r="O42"/>
  <c r="W42" s="1"/>
  <c r="AE42" s="1"/>
  <c r="H42"/>
  <c r="G42"/>
  <c r="AF41"/>
  <c r="O41"/>
  <c r="W41" s="1"/>
  <c r="AE41" s="1"/>
  <c r="G41"/>
  <c r="H41" s="1"/>
  <c r="AF40"/>
  <c r="V40"/>
  <c r="O40"/>
  <c r="W40" s="1"/>
  <c r="AE40" s="1"/>
  <c r="H40"/>
  <c r="G40"/>
  <c r="AF39"/>
  <c r="O39"/>
  <c r="W39" s="1"/>
  <c r="AE39" s="1"/>
  <c r="G39"/>
  <c r="H39" s="1"/>
  <c r="AF38"/>
  <c r="V38"/>
  <c r="O38"/>
  <c r="W38" s="1"/>
  <c r="AE38" s="1"/>
  <c r="H38"/>
  <c r="G38"/>
  <c r="AF37"/>
  <c r="O37"/>
  <c r="W37" s="1"/>
  <c r="AE37" s="1"/>
  <c r="G37"/>
  <c r="H37" s="1"/>
  <c r="AF36"/>
  <c r="V36"/>
  <c r="O36"/>
  <c r="W36" s="1"/>
  <c r="AE36" s="1"/>
  <c r="H36"/>
  <c r="G36"/>
  <c r="AF35"/>
  <c r="O35"/>
  <c r="W35" s="1"/>
  <c r="AE35" s="1"/>
  <c r="G35"/>
  <c r="H35" s="1"/>
  <c r="BA34"/>
  <c r="AZ34"/>
  <c r="AX34"/>
  <c r="AW34"/>
  <c r="AV34"/>
  <c r="AF34"/>
  <c r="O34"/>
  <c r="W34" s="1"/>
  <c r="AE34" s="1"/>
  <c r="G34"/>
  <c r="H34" s="1"/>
  <c r="AF33"/>
  <c r="O33"/>
  <c r="V33" s="1"/>
  <c r="G33"/>
  <c r="H33" s="1"/>
  <c r="AF32"/>
  <c r="O32"/>
  <c r="V32" s="1"/>
  <c r="G32"/>
  <c r="H32" s="1"/>
  <c r="BA31"/>
  <c r="AZ31"/>
  <c r="AX31"/>
  <c r="AW31"/>
  <c r="AV31"/>
  <c r="AF31"/>
  <c r="O31"/>
  <c r="V31" s="1"/>
  <c r="G31"/>
  <c r="H31" s="1"/>
  <c r="AF30"/>
  <c r="V30"/>
  <c r="O30"/>
  <c r="W30" s="1"/>
  <c r="AE30" s="1"/>
  <c r="H30"/>
  <c r="G30"/>
  <c r="AF29"/>
  <c r="O29"/>
  <c r="W29" s="1"/>
  <c r="AE29" s="1"/>
  <c r="G29"/>
  <c r="H29" s="1"/>
  <c r="BA28"/>
  <c r="AZ28"/>
  <c r="AX28"/>
  <c r="AW28"/>
  <c r="AV28"/>
  <c r="AF28"/>
  <c r="O28"/>
  <c r="W28" s="1"/>
  <c r="AE28" s="1"/>
  <c r="G28"/>
  <c r="H28" s="1"/>
  <c r="AF27"/>
  <c r="O27"/>
  <c r="V27" s="1"/>
  <c r="G27"/>
  <c r="H27" s="1"/>
  <c r="AF26"/>
  <c r="O26"/>
  <c r="V26" s="1"/>
  <c r="G26"/>
  <c r="H26" s="1"/>
  <c r="BA25"/>
  <c r="AZ25"/>
  <c r="AX25"/>
  <c r="AW25"/>
  <c r="AV25"/>
  <c r="AF25"/>
  <c r="O25"/>
  <c r="V25" s="1"/>
  <c r="G25"/>
  <c r="H25" s="1"/>
  <c r="AF24"/>
  <c r="V24"/>
  <c r="O24"/>
  <c r="W24" s="1"/>
  <c r="AE24" s="1"/>
  <c r="H24"/>
  <c r="G24"/>
  <c r="AF23"/>
  <c r="O23"/>
  <c r="W23" s="1"/>
  <c r="AE23" s="1"/>
  <c r="G23"/>
  <c r="H23" s="1"/>
  <c r="BA22"/>
  <c r="AZ22"/>
  <c r="AX22"/>
  <c r="AW22"/>
  <c r="AV22"/>
  <c r="AF22"/>
  <c r="O22"/>
  <c r="W22" s="1"/>
  <c r="G22"/>
  <c r="H22" s="1"/>
  <c r="O21"/>
  <c r="V21" s="1"/>
  <c r="G21"/>
  <c r="H21" s="1"/>
  <c r="AF20"/>
  <c r="O20"/>
  <c r="W20" s="1"/>
  <c r="AE20" s="1"/>
  <c r="H20"/>
  <c r="G20"/>
  <c r="AF19"/>
  <c r="O19"/>
  <c r="W19" s="1"/>
  <c r="G19"/>
  <c r="H19" s="1"/>
  <c r="BA18"/>
  <c r="AZ18"/>
  <c r="AX18"/>
  <c r="AW18"/>
  <c r="AV18"/>
  <c r="O18"/>
  <c r="W18" s="1"/>
  <c r="AE18" s="1"/>
  <c r="H18"/>
  <c r="G18"/>
  <c r="O17"/>
  <c r="V17" s="1"/>
  <c r="V1020" s="1"/>
  <c r="AU31" s="1"/>
  <c r="G17"/>
  <c r="H17" s="1"/>
  <c r="AF16"/>
  <c r="O16"/>
  <c r="W16" s="1"/>
  <c r="G16"/>
  <c r="H16" s="1"/>
  <c r="O15"/>
  <c r="V15" s="1"/>
  <c r="G15"/>
  <c r="H15" s="1"/>
  <c r="AU14"/>
  <c r="O14"/>
  <c r="V14" s="1"/>
  <c r="G14"/>
  <c r="H14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O13"/>
  <c r="W13" s="1"/>
  <c r="G13"/>
  <c r="H13" s="1"/>
  <c r="AR11"/>
  <c r="F9"/>
  <c r="F8"/>
  <c r="O7"/>
  <c r="AF21" s="1"/>
  <c r="N7"/>
  <c r="AF17" s="1"/>
  <c r="M7"/>
  <c r="L7"/>
  <c r="AF14" s="1"/>
  <c r="K7"/>
  <c r="AF15" s="1"/>
  <c r="B2"/>
  <c r="AA1021" i="7"/>
  <c r="Z1021"/>
  <c r="S1021"/>
  <c r="R1021"/>
  <c r="Q1021"/>
  <c r="C1021"/>
  <c r="F1021" s="1"/>
  <c r="AA1020"/>
  <c r="Z1020"/>
  <c r="S1020"/>
  <c r="R1020"/>
  <c r="Q1020"/>
  <c r="C1020"/>
  <c r="F1020" s="1"/>
  <c r="AA1019"/>
  <c r="Z1019"/>
  <c r="S1019"/>
  <c r="R1019"/>
  <c r="Q1019"/>
  <c r="C1019"/>
  <c r="F1019" s="1"/>
  <c r="AA1018"/>
  <c r="Z1018"/>
  <c r="S1018"/>
  <c r="R1018"/>
  <c r="Q1018"/>
  <c r="C1018"/>
  <c r="F1018" s="1"/>
  <c r="AA1017"/>
  <c r="Z1017"/>
  <c r="S1017"/>
  <c r="R1017"/>
  <c r="Q1017"/>
  <c r="C1017"/>
  <c r="F1017" s="1"/>
  <c r="AA1015"/>
  <c r="Z1015"/>
  <c r="S1015"/>
  <c r="R1015"/>
  <c r="Q1015"/>
  <c r="F1015"/>
  <c r="E1015" s="1"/>
  <c r="E1023" s="1"/>
  <c r="C1015"/>
  <c r="M1017" s="1"/>
  <c r="AF1012"/>
  <c r="O1012"/>
  <c r="W1012" s="1"/>
  <c r="G1012"/>
  <c r="H1012" s="1"/>
  <c r="AF1011"/>
  <c r="O1011"/>
  <c r="W1011" s="1"/>
  <c r="G1011"/>
  <c r="H1011" s="1"/>
  <c r="AF1010"/>
  <c r="O1010"/>
  <c r="W1010" s="1"/>
  <c r="G1010"/>
  <c r="H1010" s="1"/>
  <c r="AF1009"/>
  <c r="O1009"/>
  <c r="W1009" s="1"/>
  <c r="G1009"/>
  <c r="H1009" s="1"/>
  <c r="AF1008"/>
  <c r="O1008"/>
  <c r="W1008" s="1"/>
  <c r="G1008"/>
  <c r="H1008" s="1"/>
  <c r="AF1007"/>
  <c r="O1007"/>
  <c r="W1007" s="1"/>
  <c r="G1007"/>
  <c r="H1007" s="1"/>
  <c r="AF1006"/>
  <c r="O1006"/>
  <c r="W1006" s="1"/>
  <c r="G1006"/>
  <c r="H1006" s="1"/>
  <c r="AF1005"/>
  <c r="O1005"/>
  <c r="W1005" s="1"/>
  <c r="G1005"/>
  <c r="H1005" s="1"/>
  <c r="AF1004"/>
  <c r="O1004"/>
  <c r="W1004" s="1"/>
  <c r="G1004"/>
  <c r="H1004" s="1"/>
  <c r="AF1003"/>
  <c r="O1003"/>
  <c r="W1003" s="1"/>
  <c r="G1003"/>
  <c r="H1003" s="1"/>
  <c r="AF1002"/>
  <c r="O1002"/>
  <c r="W1002" s="1"/>
  <c r="G1002"/>
  <c r="H1002" s="1"/>
  <c r="AF1001"/>
  <c r="O1001"/>
  <c r="W1001" s="1"/>
  <c r="G1001"/>
  <c r="H1001" s="1"/>
  <c r="AF1000"/>
  <c r="O1000"/>
  <c r="W1000" s="1"/>
  <c r="G1000"/>
  <c r="H1000" s="1"/>
  <c r="AF999"/>
  <c r="O999"/>
  <c r="W999" s="1"/>
  <c r="G999"/>
  <c r="H999" s="1"/>
  <c r="AF998"/>
  <c r="O998"/>
  <c r="W998" s="1"/>
  <c r="G998"/>
  <c r="H998" s="1"/>
  <c r="AF997"/>
  <c r="O997"/>
  <c r="W997" s="1"/>
  <c r="G997"/>
  <c r="H997" s="1"/>
  <c r="AF996"/>
  <c r="O996"/>
  <c r="W996" s="1"/>
  <c r="G996"/>
  <c r="H996" s="1"/>
  <c r="AF995"/>
  <c r="O995"/>
  <c r="W995" s="1"/>
  <c r="G995"/>
  <c r="H995" s="1"/>
  <c r="AF994"/>
  <c r="O994"/>
  <c r="W994" s="1"/>
  <c r="G994"/>
  <c r="H994" s="1"/>
  <c r="AF993"/>
  <c r="O993"/>
  <c r="W993" s="1"/>
  <c r="G993"/>
  <c r="H993" s="1"/>
  <c r="AF992"/>
  <c r="O992"/>
  <c r="W992" s="1"/>
  <c r="G992"/>
  <c r="H992" s="1"/>
  <c r="AF991"/>
  <c r="O991"/>
  <c r="W991" s="1"/>
  <c r="G991"/>
  <c r="H991" s="1"/>
  <c r="AF990"/>
  <c r="O990"/>
  <c r="W990" s="1"/>
  <c r="G990"/>
  <c r="H990" s="1"/>
  <c r="AF989"/>
  <c r="O989"/>
  <c r="W989" s="1"/>
  <c r="G989"/>
  <c r="H989" s="1"/>
  <c r="AF988"/>
  <c r="O988"/>
  <c r="W988" s="1"/>
  <c r="G988"/>
  <c r="H988" s="1"/>
  <c r="AF987"/>
  <c r="O987"/>
  <c r="W987" s="1"/>
  <c r="G987"/>
  <c r="H987" s="1"/>
  <c r="AF986"/>
  <c r="O986"/>
  <c r="W986" s="1"/>
  <c r="G986"/>
  <c r="H986" s="1"/>
  <c r="AF985"/>
  <c r="O985"/>
  <c r="W985" s="1"/>
  <c r="G985"/>
  <c r="H985" s="1"/>
  <c r="AF984"/>
  <c r="O984"/>
  <c r="W984" s="1"/>
  <c r="G984"/>
  <c r="H984" s="1"/>
  <c r="AF983"/>
  <c r="O983"/>
  <c r="W983" s="1"/>
  <c r="G983"/>
  <c r="H983" s="1"/>
  <c r="AF982"/>
  <c r="O982"/>
  <c r="W982" s="1"/>
  <c r="G982"/>
  <c r="H982" s="1"/>
  <c r="AF981"/>
  <c r="O981"/>
  <c r="W981" s="1"/>
  <c r="G981"/>
  <c r="H981" s="1"/>
  <c r="AF980"/>
  <c r="O980"/>
  <c r="W980" s="1"/>
  <c r="G980"/>
  <c r="H980" s="1"/>
  <c r="AF979"/>
  <c r="O979"/>
  <c r="W979" s="1"/>
  <c r="G979"/>
  <c r="H979" s="1"/>
  <c r="AF978"/>
  <c r="O978"/>
  <c r="W978" s="1"/>
  <c r="G978"/>
  <c r="H978" s="1"/>
  <c r="AF977"/>
  <c r="O977"/>
  <c r="W977" s="1"/>
  <c r="G977"/>
  <c r="H977" s="1"/>
  <c r="AF976"/>
  <c r="O976"/>
  <c r="W976" s="1"/>
  <c r="G976"/>
  <c r="H976" s="1"/>
  <c r="AF975"/>
  <c r="O975"/>
  <c r="W975" s="1"/>
  <c r="G975"/>
  <c r="H975" s="1"/>
  <c r="AF974"/>
  <c r="O974"/>
  <c r="W974" s="1"/>
  <c r="G974"/>
  <c r="H974" s="1"/>
  <c r="AF973"/>
  <c r="O973"/>
  <c r="W973" s="1"/>
  <c r="G973"/>
  <c r="H973" s="1"/>
  <c r="AF972"/>
  <c r="O972"/>
  <c r="W972" s="1"/>
  <c r="G972"/>
  <c r="H972" s="1"/>
  <c r="AF971"/>
  <c r="O971"/>
  <c r="W971" s="1"/>
  <c r="G971"/>
  <c r="H971" s="1"/>
  <c r="AF970"/>
  <c r="O970"/>
  <c r="W970" s="1"/>
  <c r="G970"/>
  <c r="H970" s="1"/>
  <c r="AF969"/>
  <c r="O969"/>
  <c r="W969" s="1"/>
  <c r="G969"/>
  <c r="H969" s="1"/>
  <c r="AF968"/>
  <c r="O968"/>
  <c r="W968" s="1"/>
  <c r="G968"/>
  <c r="H968" s="1"/>
  <c r="AF967"/>
  <c r="O967"/>
  <c r="W967" s="1"/>
  <c r="G967"/>
  <c r="H967" s="1"/>
  <c r="AF966"/>
  <c r="O966"/>
  <c r="W966" s="1"/>
  <c r="G966"/>
  <c r="H966" s="1"/>
  <c r="AF965"/>
  <c r="O965"/>
  <c r="W965" s="1"/>
  <c r="G965"/>
  <c r="H965" s="1"/>
  <c r="AF964"/>
  <c r="O964"/>
  <c r="W964" s="1"/>
  <c r="G964"/>
  <c r="H964" s="1"/>
  <c r="AF963"/>
  <c r="O963"/>
  <c r="W963" s="1"/>
  <c r="G963"/>
  <c r="H963" s="1"/>
  <c r="AF962"/>
  <c r="O962"/>
  <c r="W962" s="1"/>
  <c r="G962"/>
  <c r="H962" s="1"/>
  <c r="AF961"/>
  <c r="O961"/>
  <c r="W961" s="1"/>
  <c r="G961"/>
  <c r="H961" s="1"/>
  <c r="AF960"/>
  <c r="O960"/>
  <c r="W960" s="1"/>
  <c r="G960"/>
  <c r="H960" s="1"/>
  <c r="AF959"/>
  <c r="O959"/>
  <c r="W959" s="1"/>
  <c r="G959"/>
  <c r="H959" s="1"/>
  <c r="AF958"/>
  <c r="O958"/>
  <c r="W958" s="1"/>
  <c r="G958"/>
  <c r="H958" s="1"/>
  <c r="AF957"/>
  <c r="O957"/>
  <c r="W957" s="1"/>
  <c r="G957"/>
  <c r="H957" s="1"/>
  <c r="AF956"/>
  <c r="O956"/>
  <c r="W956" s="1"/>
  <c r="G956"/>
  <c r="H956" s="1"/>
  <c r="AF955"/>
  <c r="O955"/>
  <c r="W955" s="1"/>
  <c r="G955"/>
  <c r="H955" s="1"/>
  <c r="AF954"/>
  <c r="O954"/>
  <c r="W954" s="1"/>
  <c r="G954"/>
  <c r="H954" s="1"/>
  <c r="AF953"/>
  <c r="O953"/>
  <c r="W953" s="1"/>
  <c r="G953"/>
  <c r="H953" s="1"/>
  <c r="AF952"/>
  <c r="O952"/>
  <c r="W952" s="1"/>
  <c r="G952"/>
  <c r="H952" s="1"/>
  <c r="AF951"/>
  <c r="O951"/>
  <c r="W951" s="1"/>
  <c r="G951"/>
  <c r="H951" s="1"/>
  <c r="AF950"/>
  <c r="O950"/>
  <c r="W950" s="1"/>
  <c r="G950"/>
  <c r="H950" s="1"/>
  <c r="AF949"/>
  <c r="O949"/>
  <c r="W949" s="1"/>
  <c r="G949"/>
  <c r="H949" s="1"/>
  <c r="AF948"/>
  <c r="O948"/>
  <c r="W948" s="1"/>
  <c r="G948"/>
  <c r="H948" s="1"/>
  <c r="AF947"/>
  <c r="O947"/>
  <c r="W947" s="1"/>
  <c r="G947"/>
  <c r="H947" s="1"/>
  <c r="AF946"/>
  <c r="O946"/>
  <c r="W946" s="1"/>
  <c r="G946"/>
  <c r="H946" s="1"/>
  <c r="AF945"/>
  <c r="O945"/>
  <c r="V945" s="1"/>
  <c r="G945"/>
  <c r="H945" s="1"/>
  <c r="AF944"/>
  <c r="O944"/>
  <c r="W944" s="1"/>
  <c r="G944"/>
  <c r="H944" s="1"/>
  <c r="AF943"/>
  <c r="O943"/>
  <c r="V943" s="1"/>
  <c r="G943"/>
  <c r="H943" s="1"/>
  <c r="AF942"/>
  <c r="O942"/>
  <c r="W942" s="1"/>
  <c r="G942"/>
  <c r="H942" s="1"/>
  <c r="AF941"/>
  <c r="O941"/>
  <c r="V941" s="1"/>
  <c r="G941"/>
  <c r="H941" s="1"/>
  <c r="AF940"/>
  <c r="O940"/>
  <c r="W940" s="1"/>
  <c r="G940"/>
  <c r="H940" s="1"/>
  <c r="AF939"/>
  <c r="O939"/>
  <c r="V939" s="1"/>
  <c r="G939"/>
  <c r="H939" s="1"/>
  <c r="AF938"/>
  <c r="O938"/>
  <c r="W938" s="1"/>
  <c r="G938"/>
  <c r="H938" s="1"/>
  <c r="AF937"/>
  <c r="V937"/>
  <c r="O937"/>
  <c r="W937" s="1"/>
  <c r="G937"/>
  <c r="H937" s="1"/>
  <c r="AF936"/>
  <c r="O936"/>
  <c r="W936" s="1"/>
  <c r="G936"/>
  <c r="H936" s="1"/>
  <c r="AF935"/>
  <c r="V935"/>
  <c r="O935"/>
  <c r="W935" s="1"/>
  <c r="G935"/>
  <c r="H935" s="1"/>
  <c r="AF934"/>
  <c r="O934"/>
  <c r="W934" s="1"/>
  <c r="G934"/>
  <c r="H934" s="1"/>
  <c r="AF933"/>
  <c r="V933"/>
  <c r="O933"/>
  <c r="W933" s="1"/>
  <c r="G933"/>
  <c r="H933" s="1"/>
  <c r="AF932"/>
  <c r="O932"/>
  <c r="W932" s="1"/>
  <c r="G932"/>
  <c r="H932" s="1"/>
  <c r="AF931"/>
  <c r="O931"/>
  <c r="W931" s="1"/>
  <c r="G931"/>
  <c r="H931" s="1"/>
  <c r="AF930"/>
  <c r="O930"/>
  <c r="W930" s="1"/>
  <c r="G930"/>
  <c r="H930" s="1"/>
  <c r="AF929"/>
  <c r="O929"/>
  <c r="W929" s="1"/>
  <c r="G929"/>
  <c r="H929" s="1"/>
  <c r="AF928"/>
  <c r="O928"/>
  <c r="W928" s="1"/>
  <c r="G928"/>
  <c r="H928" s="1"/>
  <c r="AF927"/>
  <c r="O927"/>
  <c r="W927" s="1"/>
  <c r="G927"/>
  <c r="H927" s="1"/>
  <c r="AF926"/>
  <c r="O926"/>
  <c r="W926" s="1"/>
  <c r="G926"/>
  <c r="H926" s="1"/>
  <c r="AF925"/>
  <c r="O925"/>
  <c r="W925" s="1"/>
  <c r="G925"/>
  <c r="H925" s="1"/>
  <c r="AF924"/>
  <c r="O924"/>
  <c r="W924" s="1"/>
  <c r="G924"/>
  <c r="H924" s="1"/>
  <c r="AF923"/>
  <c r="O923"/>
  <c r="W923" s="1"/>
  <c r="G923"/>
  <c r="H923" s="1"/>
  <c r="AF922"/>
  <c r="O922"/>
  <c r="W922" s="1"/>
  <c r="G922"/>
  <c r="H922" s="1"/>
  <c r="AF921"/>
  <c r="V921"/>
  <c r="O921"/>
  <c r="W921" s="1"/>
  <c r="G921"/>
  <c r="H921" s="1"/>
  <c r="AF920"/>
  <c r="V920"/>
  <c r="O920"/>
  <c r="W920" s="1"/>
  <c r="G920"/>
  <c r="H920" s="1"/>
  <c r="AF919"/>
  <c r="V919"/>
  <c r="O919"/>
  <c r="W919" s="1"/>
  <c r="G919"/>
  <c r="H919" s="1"/>
  <c r="AF918"/>
  <c r="V918"/>
  <c r="O918"/>
  <c r="W918" s="1"/>
  <c r="G918"/>
  <c r="H918" s="1"/>
  <c r="AF917"/>
  <c r="V917"/>
  <c r="O917"/>
  <c r="W917" s="1"/>
  <c r="G917"/>
  <c r="H917" s="1"/>
  <c r="AF916"/>
  <c r="V916"/>
  <c r="O916"/>
  <c r="W916" s="1"/>
  <c r="G916"/>
  <c r="H916" s="1"/>
  <c r="AF915"/>
  <c r="V915"/>
  <c r="O915"/>
  <c r="W915" s="1"/>
  <c r="G915"/>
  <c r="H915" s="1"/>
  <c r="AF914"/>
  <c r="V914"/>
  <c r="O914"/>
  <c r="W914" s="1"/>
  <c r="G914"/>
  <c r="H914" s="1"/>
  <c r="AF913"/>
  <c r="V913"/>
  <c r="O913"/>
  <c r="W913" s="1"/>
  <c r="G913"/>
  <c r="H913" s="1"/>
  <c r="AF912"/>
  <c r="V912"/>
  <c r="O912"/>
  <c r="W912" s="1"/>
  <c r="G912"/>
  <c r="H912" s="1"/>
  <c r="AF911"/>
  <c r="V911"/>
  <c r="O911"/>
  <c r="W911" s="1"/>
  <c r="G911"/>
  <c r="H911" s="1"/>
  <c r="AF910"/>
  <c r="V910"/>
  <c r="O910"/>
  <c r="W910" s="1"/>
  <c r="G910"/>
  <c r="H910" s="1"/>
  <c r="AF909"/>
  <c r="V909"/>
  <c r="O909"/>
  <c r="W909" s="1"/>
  <c r="G909"/>
  <c r="H909" s="1"/>
  <c r="AF908"/>
  <c r="V908"/>
  <c r="O908"/>
  <c r="W908" s="1"/>
  <c r="G908"/>
  <c r="H908" s="1"/>
  <c r="AF907"/>
  <c r="V907"/>
  <c r="O907"/>
  <c r="W907" s="1"/>
  <c r="G907"/>
  <c r="H907" s="1"/>
  <c r="AF906"/>
  <c r="V906"/>
  <c r="O906"/>
  <c r="W906" s="1"/>
  <c r="G906"/>
  <c r="H906" s="1"/>
  <c r="AF905"/>
  <c r="V905"/>
  <c r="O905"/>
  <c r="W905" s="1"/>
  <c r="G905"/>
  <c r="H905" s="1"/>
  <c r="AF904"/>
  <c r="V904"/>
  <c r="O904"/>
  <c r="W904" s="1"/>
  <c r="G904"/>
  <c r="H904" s="1"/>
  <c r="AF903"/>
  <c r="V903"/>
  <c r="O903"/>
  <c r="W903" s="1"/>
  <c r="G903"/>
  <c r="H903" s="1"/>
  <c r="AF902"/>
  <c r="V902"/>
  <c r="O902"/>
  <c r="W902" s="1"/>
  <c r="G902"/>
  <c r="H902" s="1"/>
  <c r="AF901"/>
  <c r="V901"/>
  <c r="O901"/>
  <c r="W901" s="1"/>
  <c r="G901"/>
  <c r="H901" s="1"/>
  <c r="AF900"/>
  <c r="V900"/>
  <c r="O900"/>
  <c r="W900" s="1"/>
  <c r="G900"/>
  <c r="H900" s="1"/>
  <c r="AF899"/>
  <c r="V899"/>
  <c r="O899"/>
  <c r="W899" s="1"/>
  <c r="G899"/>
  <c r="H899" s="1"/>
  <c r="AF898"/>
  <c r="V898"/>
  <c r="O898"/>
  <c r="W898" s="1"/>
  <c r="G898"/>
  <c r="H898" s="1"/>
  <c r="AF897"/>
  <c r="V897"/>
  <c r="O897"/>
  <c r="W897" s="1"/>
  <c r="G897"/>
  <c r="H897" s="1"/>
  <c r="AF896"/>
  <c r="V896"/>
  <c r="O896"/>
  <c r="W896" s="1"/>
  <c r="H896"/>
  <c r="G896"/>
  <c r="AF895"/>
  <c r="O895"/>
  <c r="V895" s="1"/>
  <c r="G895"/>
  <c r="H895" s="1"/>
  <c r="AF894"/>
  <c r="V894"/>
  <c r="O894"/>
  <c r="W894" s="1"/>
  <c r="H894"/>
  <c r="G894"/>
  <c r="AF893"/>
  <c r="O893"/>
  <c r="V893" s="1"/>
  <c r="G893"/>
  <c r="H893" s="1"/>
  <c r="AF892"/>
  <c r="V892"/>
  <c r="O892"/>
  <c r="W892" s="1"/>
  <c r="H892"/>
  <c r="G892"/>
  <c r="AF891"/>
  <c r="O891"/>
  <c r="V891" s="1"/>
  <c r="G891"/>
  <c r="H891" s="1"/>
  <c r="AF890"/>
  <c r="V890"/>
  <c r="O890"/>
  <c r="W890" s="1"/>
  <c r="H890"/>
  <c r="G890"/>
  <c r="AF889"/>
  <c r="O889"/>
  <c r="V889" s="1"/>
  <c r="G889"/>
  <c r="H889" s="1"/>
  <c r="AF888"/>
  <c r="V888"/>
  <c r="O888"/>
  <c r="W888" s="1"/>
  <c r="H888"/>
  <c r="G888"/>
  <c r="AF887"/>
  <c r="O887"/>
  <c r="V887" s="1"/>
  <c r="G887"/>
  <c r="H887" s="1"/>
  <c r="AF886"/>
  <c r="V886"/>
  <c r="O886"/>
  <c r="W886" s="1"/>
  <c r="H886"/>
  <c r="G886"/>
  <c r="AF885"/>
  <c r="O885"/>
  <c r="V885" s="1"/>
  <c r="G885"/>
  <c r="H885" s="1"/>
  <c r="AF884"/>
  <c r="V884"/>
  <c r="O884"/>
  <c r="W884" s="1"/>
  <c r="H884"/>
  <c r="G884"/>
  <c r="AF883"/>
  <c r="O883"/>
  <c r="V883" s="1"/>
  <c r="G883"/>
  <c r="H883" s="1"/>
  <c r="AF882"/>
  <c r="V882"/>
  <c r="O882"/>
  <c r="W882" s="1"/>
  <c r="H882"/>
  <c r="G882"/>
  <c r="AF881"/>
  <c r="O881"/>
  <c r="V881" s="1"/>
  <c r="G881"/>
  <c r="H881" s="1"/>
  <c r="AF880"/>
  <c r="V880"/>
  <c r="O880"/>
  <c r="W880" s="1"/>
  <c r="H880"/>
  <c r="G880"/>
  <c r="AF879"/>
  <c r="O879"/>
  <c r="V879" s="1"/>
  <c r="G879"/>
  <c r="H879" s="1"/>
  <c r="AF878"/>
  <c r="V878"/>
  <c r="O878"/>
  <c r="W878" s="1"/>
  <c r="H878"/>
  <c r="G878"/>
  <c r="AF877"/>
  <c r="O877"/>
  <c r="V877" s="1"/>
  <c r="G877"/>
  <c r="H877" s="1"/>
  <c r="AF876"/>
  <c r="V876"/>
  <c r="O876"/>
  <c r="W876" s="1"/>
  <c r="H876"/>
  <c r="G876"/>
  <c r="AF875"/>
  <c r="O875"/>
  <c r="V875" s="1"/>
  <c r="G875"/>
  <c r="H875" s="1"/>
  <c r="AF874"/>
  <c r="V874"/>
  <c r="O874"/>
  <c r="W874" s="1"/>
  <c r="H874"/>
  <c r="G874"/>
  <c r="AF873"/>
  <c r="O873"/>
  <c r="V873" s="1"/>
  <c r="G873"/>
  <c r="H873" s="1"/>
  <c r="AF872"/>
  <c r="V872"/>
  <c r="O872"/>
  <c r="W872" s="1"/>
  <c r="H872"/>
  <c r="G872"/>
  <c r="AF871"/>
  <c r="O871"/>
  <c r="V871" s="1"/>
  <c r="G871"/>
  <c r="H871" s="1"/>
  <c r="AF870"/>
  <c r="V870"/>
  <c r="O870"/>
  <c r="W870" s="1"/>
  <c r="H870"/>
  <c r="G870"/>
  <c r="AF869"/>
  <c r="O869"/>
  <c r="W869" s="1"/>
  <c r="G869"/>
  <c r="H869" s="1"/>
  <c r="AF868"/>
  <c r="O868"/>
  <c r="W868" s="1"/>
  <c r="G868"/>
  <c r="H868" s="1"/>
  <c r="AF867"/>
  <c r="O867"/>
  <c r="W867" s="1"/>
  <c r="G867"/>
  <c r="H867" s="1"/>
  <c r="AF866"/>
  <c r="O866"/>
  <c r="W866" s="1"/>
  <c r="G866"/>
  <c r="H866" s="1"/>
  <c r="AF865"/>
  <c r="O865"/>
  <c r="W865" s="1"/>
  <c r="G865"/>
  <c r="H865" s="1"/>
  <c r="AF864"/>
  <c r="O864"/>
  <c r="W864" s="1"/>
  <c r="G864"/>
  <c r="H864" s="1"/>
  <c r="AF863"/>
  <c r="O863"/>
  <c r="W863" s="1"/>
  <c r="G863"/>
  <c r="H863" s="1"/>
  <c r="AF862"/>
  <c r="O862"/>
  <c r="W862" s="1"/>
  <c r="G862"/>
  <c r="H862" s="1"/>
  <c r="AF861"/>
  <c r="O861"/>
  <c r="W861" s="1"/>
  <c r="G861"/>
  <c r="H861" s="1"/>
  <c r="AF860"/>
  <c r="O860"/>
  <c r="W860" s="1"/>
  <c r="G860"/>
  <c r="H860" s="1"/>
  <c r="AF859"/>
  <c r="O859"/>
  <c r="W859" s="1"/>
  <c r="G859"/>
  <c r="H859" s="1"/>
  <c r="AF858"/>
  <c r="O858"/>
  <c r="W858" s="1"/>
  <c r="G858"/>
  <c r="H858" s="1"/>
  <c r="AF857"/>
  <c r="O857"/>
  <c r="W857" s="1"/>
  <c r="G857"/>
  <c r="H857" s="1"/>
  <c r="AF856"/>
  <c r="O856"/>
  <c r="W856" s="1"/>
  <c r="G856"/>
  <c r="H856" s="1"/>
  <c r="AF855"/>
  <c r="O855"/>
  <c r="W855" s="1"/>
  <c r="G855"/>
  <c r="H855" s="1"/>
  <c r="AF854"/>
  <c r="O854"/>
  <c r="W854" s="1"/>
  <c r="G854"/>
  <c r="H854" s="1"/>
  <c r="AF853"/>
  <c r="O853"/>
  <c r="W853" s="1"/>
  <c r="G853"/>
  <c r="H853" s="1"/>
  <c r="AF852"/>
  <c r="O852"/>
  <c r="W852" s="1"/>
  <c r="G852"/>
  <c r="H852" s="1"/>
  <c r="AF851"/>
  <c r="O851"/>
  <c r="W851" s="1"/>
  <c r="G851"/>
  <c r="H851" s="1"/>
  <c r="AF850"/>
  <c r="O850"/>
  <c r="W850" s="1"/>
  <c r="G850"/>
  <c r="H850" s="1"/>
  <c r="AF849"/>
  <c r="O849"/>
  <c r="W849" s="1"/>
  <c r="G849"/>
  <c r="H849" s="1"/>
  <c r="AF848"/>
  <c r="O848"/>
  <c r="W848" s="1"/>
  <c r="G848"/>
  <c r="H848" s="1"/>
  <c r="AF847"/>
  <c r="O847"/>
  <c r="W847" s="1"/>
  <c r="G847"/>
  <c r="H847" s="1"/>
  <c r="AF846"/>
  <c r="O846"/>
  <c r="W846" s="1"/>
  <c r="G846"/>
  <c r="H846" s="1"/>
  <c r="AF845"/>
  <c r="O845"/>
  <c r="W845" s="1"/>
  <c r="G845"/>
  <c r="H845" s="1"/>
  <c r="AF844"/>
  <c r="O844"/>
  <c r="W844" s="1"/>
  <c r="G844"/>
  <c r="H844" s="1"/>
  <c r="AF843"/>
  <c r="O843"/>
  <c r="W843" s="1"/>
  <c r="G843"/>
  <c r="H843" s="1"/>
  <c r="AF842"/>
  <c r="O842"/>
  <c r="W842" s="1"/>
  <c r="G842"/>
  <c r="H842" s="1"/>
  <c r="AF841"/>
  <c r="O841"/>
  <c r="W841" s="1"/>
  <c r="G841"/>
  <c r="H841" s="1"/>
  <c r="AF840"/>
  <c r="O840"/>
  <c r="W840" s="1"/>
  <c r="G840"/>
  <c r="H840" s="1"/>
  <c r="AF839"/>
  <c r="O839"/>
  <c r="W839" s="1"/>
  <c r="G839"/>
  <c r="H839" s="1"/>
  <c r="AF838"/>
  <c r="O838"/>
  <c r="W838" s="1"/>
  <c r="G838"/>
  <c r="H838" s="1"/>
  <c r="AF837"/>
  <c r="O837"/>
  <c r="W837" s="1"/>
  <c r="G837"/>
  <c r="H837" s="1"/>
  <c r="AF836"/>
  <c r="O836"/>
  <c r="W836" s="1"/>
  <c r="G836"/>
  <c r="H836" s="1"/>
  <c r="AF835"/>
  <c r="O835"/>
  <c r="W835" s="1"/>
  <c r="G835"/>
  <c r="H835" s="1"/>
  <c r="AF834"/>
  <c r="O834"/>
  <c r="W834" s="1"/>
  <c r="G834"/>
  <c r="H834" s="1"/>
  <c r="AF833"/>
  <c r="O833"/>
  <c r="W833" s="1"/>
  <c r="G833"/>
  <c r="H833" s="1"/>
  <c r="AF832"/>
  <c r="O832"/>
  <c r="W832" s="1"/>
  <c r="G832"/>
  <c r="H832" s="1"/>
  <c r="AF831"/>
  <c r="O831"/>
  <c r="W831" s="1"/>
  <c r="G831"/>
  <c r="H831" s="1"/>
  <c r="AF830"/>
  <c r="O830"/>
  <c r="W830" s="1"/>
  <c r="G830"/>
  <c r="H830" s="1"/>
  <c r="AF829"/>
  <c r="O829"/>
  <c r="W829" s="1"/>
  <c r="G829"/>
  <c r="H829" s="1"/>
  <c r="AF828"/>
  <c r="O828"/>
  <c r="W828" s="1"/>
  <c r="G828"/>
  <c r="H828" s="1"/>
  <c r="AF827"/>
  <c r="O827"/>
  <c r="W827" s="1"/>
  <c r="G827"/>
  <c r="H827" s="1"/>
  <c r="AF826"/>
  <c r="O826"/>
  <c r="W826" s="1"/>
  <c r="G826"/>
  <c r="H826" s="1"/>
  <c r="AF825"/>
  <c r="O825"/>
  <c r="W825" s="1"/>
  <c r="G825"/>
  <c r="H825" s="1"/>
  <c r="AF824"/>
  <c r="O824"/>
  <c r="W824" s="1"/>
  <c r="G824"/>
  <c r="H824" s="1"/>
  <c r="AF823"/>
  <c r="O823"/>
  <c r="W823" s="1"/>
  <c r="G823"/>
  <c r="H823" s="1"/>
  <c r="AF822"/>
  <c r="O822"/>
  <c r="W822" s="1"/>
  <c r="G822"/>
  <c r="H822" s="1"/>
  <c r="AF821"/>
  <c r="O821"/>
  <c r="W821" s="1"/>
  <c r="G821"/>
  <c r="H821" s="1"/>
  <c r="AF820"/>
  <c r="O820"/>
  <c r="W820" s="1"/>
  <c r="G820"/>
  <c r="H820" s="1"/>
  <c r="AF819"/>
  <c r="O819"/>
  <c r="W819" s="1"/>
  <c r="G819"/>
  <c r="H819" s="1"/>
  <c r="AF818"/>
  <c r="O818"/>
  <c r="W818" s="1"/>
  <c r="G818"/>
  <c r="H818" s="1"/>
  <c r="AF817"/>
  <c r="O817"/>
  <c r="W817" s="1"/>
  <c r="G817"/>
  <c r="H817" s="1"/>
  <c r="AF816"/>
  <c r="O816"/>
  <c r="W816" s="1"/>
  <c r="G816"/>
  <c r="H816" s="1"/>
  <c r="AF815"/>
  <c r="O815"/>
  <c r="W815" s="1"/>
  <c r="G815"/>
  <c r="H815" s="1"/>
  <c r="AF814"/>
  <c r="O814"/>
  <c r="W814" s="1"/>
  <c r="G814"/>
  <c r="H814" s="1"/>
  <c r="AF813"/>
  <c r="O813"/>
  <c r="W813" s="1"/>
  <c r="G813"/>
  <c r="H813" s="1"/>
  <c r="AF812"/>
  <c r="O812"/>
  <c r="W812" s="1"/>
  <c r="G812"/>
  <c r="H812" s="1"/>
  <c r="AF811"/>
  <c r="O811"/>
  <c r="W811" s="1"/>
  <c r="G811"/>
  <c r="H811" s="1"/>
  <c r="AF810"/>
  <c r="O810"/>
  <c r="W810" s="1"/>
  <c r="G810"/>
  <c r="H810" s="1"/>
  <c r="AF809"/>
  <c r="O809"/>
  <c r="W809" s="1"/>
  <c r="G809"/>
  <c r="H809" s="1"/>
  <c r="AF808"/>
  <c r="O808"/>
  <c r="W808" s="1"/>
  <c r="G808"/>
  <c r="H808" s="1"/>
  <c r="AF807"/>
  <c r="O807"/>
  <c r="W807" s="1"/>
  <c r="G807"/>
  <c r="H807" s="1"/>
  <c r="AF806"/>
  <c r="O806"/>
  <c r="W806" s="1"/>
  <c r="G806"/>
  <c r="H806" s="1"/>
  <c r="AF805"/>
  <c r="O805"/>
  <c r="W805" s="1"/>
  <c r="G805"/>
  <c r="H805" s="1"/>
  <c r="AF804"/>
  <c r="O804"/>
  <c r="W804" s="1"/>
  <c r="G804"/>
  <c r="H804" s="1"/>
  <c r="AF803"/>
  <c r="O803"/>
  <c r="W803" s="1"/>
  <c r="G803"/>
  <c r="H803" s="1"/>
  <c r="AF802"/>
  <c r="O802"/>
  <c r="W802" s="1"/>
  <c r="G802"/>
  <c r="H802" s="1"/>
  <c r="AF801"/>
  <c r="O801"/>
  <c r="W801" s="1"/>
  <c r="G801"/>
  <c r="H801" s="1"/>
  <c r="AF800"/>
  <c r="O800"/>
  <c r="W800" s="1"/>
  <c r="G800"/>
  <c r="H800" s="1"/>
  <c r="AF799"/>
  <c r="O799"/>
  <c r="W799" s="1"/>
  <c r="G799"/>
  <c r="H799" s="1"/>
  <c r="AF798"/>
  <c r="O798"/>
  <c r="W798" s="1"/>
  <c r="G798"/>
  <c r="H798" s="1"/>
  <c r="AF797"/>
  <c r="O797"/>
  <c r="W797" s="1"/>
  <c r="G797"/>
  <c r="H797" s="1"/>
  <c r="AF796"/>
  <c r="O796"/>
  <c r="W796" s="1"/>
  <c r="G796"/>
  <c r="H796" s="1"/>
  <c r="AF795"/>
  <c r="O795"/>
  <c r="W795" s="1"/>
  <c r="G795"/>
  <c r="H795" s="1"/>
  <c r="AF794"/>
  <c r="O794"/>
  <c r="W794" s="1"/>
  <c r="G794"/>
  <c r="H794" s="1"/>
  <c r="AF793"/>
  <c r="O793"/>
  <c r="W793" s="1"/>
  <c r="G793"/>
  <c r="H793" s="1"/>
  <c r="AF792"/>
  <c r="O792"/>
  <c r="W792" s="1"/>
  <c r="G792"/>
  <c r="H792" s="1"/>
  <c r="AF791"/>
  <c r="O791"/>
  <c r="W791" s="1"/>
  <c r="G791"/>
  <c r="H791" s="1"/>
  <c r="AF790"/>
  <c r="O790"/>
  <c r="W790" s="1"/>
  <c r="G790"/>
  <c r="H790" s="1"/>
  <c r="AF789"/>
  <c r="O789"/>
  <c r="W789" s="1"/>
  <c r="G789"/>
  <c r="H789" s="1"/>
  <c r="AF788"/>
  <c r="O788"/>
  <c r="W788" s="1"/>
  <c r="G788"/>
  <c r="H788" s="1"/>
  <c r="AF787"/>
  <c r="O787"/>
  <c r="W787" s="1"/>
  <c r="G787"/>
  <c r="H787" s="1"/>
  <c r="AF786"/>
  <c r="O786"/>
  <c r="W786" s="1"/>
  <c r="G786"/>
  <c r="H786" s="1"/>
  <c r="AF785"/>
  <c r="O785"/>
  <c r="W785" s="1"/>
  <c r="G785"/>
  <c r="H785" s="1"/>
  <c r="AF784"/>
  <c r="O784"/>
  <c r="W784" s="1"/>
  <c r="G784"/>
  <c r="H784" s="1"/>
  <c r="AF783"/>
  <c r="O783"/>
  <c r="W783" s="1"/>
  <c r="G783"/>
  <c r="H783" s="1"/>
  <c r="AF782"/>
  <c r="O782"/>
  <c r="W782" s="1"/>
  <c r="G782"/>
  <c r="H782" s="1"/>
  <c r="AF781"/>
  <c r="O781"/>
  <c r="W781" s="1"/>
  <c r="G781"/>
  <c r="H781" s="1"/>
  <c r="AF780"/>
  <c r="O780"/>
  <c r="W780" s="1"/>
  <c r="G780"/>
  <c r="H780" s="1"/>
  <c r="AF779"/>
  <c r="O779"/>
  <c r="W779" s="1"/>
  <c r="G779"/>
  <c r="H779" s="1"/>
  <c r="AF778"/>
  <c r="O778"/>
  <c r="W778" s="1"/>
  <c r="G778"/>
  <c r="H778" s="1"/>
  <c r="AF777"/>
  <c r="O777"/>
  <c r="W777" s="1"/>
  <c r="G777"/>
  <c r="H777" s="1"/>
  <c r="AF776"/>
  <c r="O776"/>
  <c r="W776" s="1"/>
  <c r="G776"/>
  <c r="H776" s="1"/>
  <c r="AF775"/>
  <c r="O775"/>
  <c r="W775" s="1"/>
  <c r="G775"/>
  <c r="H775" s="1"/>
  <c r="AF774"/>
  <c r="O774"/>
  <c r="W774" s="1"/>
  <c r="G774"/>
  <c r="H774" s="1"/>
  <c r="AF773"/>
  <c r="O773"/>
  <c r="W773" s="1"/>
  <c r="G773"/>
  <c r="H773" s="1"/>
  <c r="AF772"/>
  <c r="O772"/>
  <c r="W772" s="1"/>
  <c r="G772"/>
  <c r="H772" s="1"/>
  <c r="AF771"/>
  <c r="O771"/>
  <c r="W771" s="1"/>
  <c r="G771"/>
  <c r="H771" s="1"/>
  <c r="AF770"/>
  <c r="O770"/>
  <c r="W770" s="1"/>
  <c r="G770"/>
  <c r="H770" s="1"/>
  <c r="AF769"/>
  <c r="O769"/>
  <c r="W769" s="1"/>
  <c r="G769"/>
  <c r="H769" s="1"/>
  <c r="AF768"/>
  <c r="O768"/>
  <c r="W768" s="1"/>
  <c r="G768"/>
  <c r="H768" s="1"/>
  <c r="AF767"/>
  <c r="O767"/>
  <c r="W767" s="1"/>
  <c r="G767"/>
  <c r="H767" s="1"/>
  <c r="AF766"/>
  <c r="O766"/>
  <c r="W766" s="1"/>
  <c r="G766"/>
  <c r="H766" s="1"/>
  <c r="AF765"/>
  <c r="O765"/>
  <c r="W765" s="1"/>
  <c r="G765"/>
  <c r="H765" s="1"/>
  <c r="AF764"/>
  <c r="O764"/>
  <c r="W764" s="1"/>
  <c r="G764"/>
  <c r="H764" s="1"/>
  <c r="AF763"/>
  <c r="O763"/>
  <c r="W763" s="1"/>
  <c r="G763"/>
  <c r="H763" s="1"/>
  <c r="AF762"/>
  <c r="O762"/>
  <c r="W762" s="1"/>
  <c r="G762"/>
  <c r="H762" s="1"/>
  <c r="AF761"/>
  <c r="O761"/>
  <c r="W761" s="1"/>
  <c r="G761"/>
  <c r="H761" s="1"/>
  <c r="AF760"/>
  <c r="O760"/>
  <c r="W760" s="1"/>
  <c r="G760"/>
  <c r="H760" s="1"/>
  <c r="AF759"/>
  <c r="O759"/>
  <c r="W759" s="1"/>
  <c r="G759"/>
  <c r="H759" s="1"/>
  <c r="AF758"/>
  <c r="O758"/>
  <c r="W758" s="1"/>
  <c r="G758"/>
  <c r="H758" s="1"/>
  <c r="AF757"/>
  <c r="O757"/>
  <c r="W757" s="1"/>
  <c r="G757"/>
  <c r="H757" s="1"/>
  <c r="AF756"/>
  <c r="O756"/>
  <c r="W756" s="1"/>
  <c r="G756"/>
  <c r="H756" s="1"/>
  <c r="AF755"/>
  <c r="O755"/>
  <c r="W755" s="1"/>
  <c r="G755"/>
  <c r="H755" s="1"/>
  <c r="AF754"/>
  <c r="O754"/>
  <c r="W754" s="1"/>
  <c r="G754"/>
  <c r="H754" s="1"/>
  <c r="AF753"/>
  <c r="O753"/>
  <c r="W753" s="1"/>
  <c r="G753"/>
  <c r="H753" s="1"/>
  <c r="AF752"/>
  <c r="O752"/>
  <c r="W752" s="1"/>
  <c r="G752"/>
  <c r="H752" s="1"/>
  <c r="AF751"/>
  <c r="O751"/>
  <c r="W751" s="1"/>
  <c r="G751"/>
  <c r="H751" s="1"/>
  <c r="AF750"/>
  <c r="O750"/>
  <c r="W750" s="1"/>
  <c r="G750"/>
  <c r="H750" s="1"/>
  <c r="AF749"/>
  <c r="O749"/>
  <c r="W749" s="1"/>
  <c r="G749"/>
  <c r="H749" s="1"/>
  <c r="AF748"/>
  <c r="O748"/>
  <c r="W748" s="1"/>
  <c r="G748"/>
  <c r="H748" s="1"/>
  <c r="AF747"/>
  <c r="O747"/>
  <c r="W747" s="1"/>
  <c r="G747"/>
  <c r="H747" s="1"/>
  <c r="AF746"/>
  <c r="O746"/>
  <c r="W746" s="1"/>
  <c r="G746"/>
  <c r="H746" s="1"/>
  <c r="AF745"/>
  <c r="O745"/>
  <c r="W745" s="1"/>
  <c r="G745"/>
  <c r="H745" s="1"/>
  <c r="AF744"/>
  <c r="O744"/>
  <c r="W744" s="1"/>
  <c r="G744"/>
  <c r="H744" s="1"/>
  <c r="AF743"/>
  <c r="O743"/>
  <c r="W743" s="1"/>
  <c r="G743"/>
  <c r="H743" s="1"/>
  <c r="AF742"/>
  <c r="O742"/>
  <c r="W742" s="1"/>
  <c r="G742"/>
  <c r="H742" s="1"/>
  <c r="AF741"/>
  <c r="O741"/>
  <c r="W741" s="1"/>
  <c r="G741"/>
  <c r="H741" s="1"/>
  <c r="AF740"/>
  <c r="O740"/>
  <c r="V740" s="1"/>
  <c r="G740"/>
  <c r="H740" s="1"/>
  <c r="AF739"/>
  <c r="O739"/>
  <c r="W739" s="1"/>
  <c r="G739"/>
  <c r="H739" s="1"/>
  <c r="AF738"/>
  <c r="O738"/>
  <c r="V738" s="1"/>
  <c r="G738"/>
  <c r="H738" s="1"/>
  <c r="AF737"/>
  <c r="O737"/>
  <c r="W737" s="1"/>
  <c r="G737"/>
  <c r="H737" s="1"/>
  <c r="AF736"/>
  <c r="O736"/>
  <c r="V736" s="1"/>
  <c r="G736"/>
  <c r="H736" s="1"/>
  <c r="AF735"/>
  <c r="O735"/>
  <c r="W735" s="1"/>
  <c r="G735"/>
  <c r="H735" s="1"/>
  <c r="AF734"/>
  <c r="O734"/>
  <c r="V734" s="1"/>
  <c r="G734"/>
  <c r="H734" s="1"/>
  <c r="AF733"/>
  <c r="O733"/>
  <c r="W733" s="1"/>
  <c r="G733"/>
  <c r="H733" s="1"/>
  <c r="AF732"/>
  <c r="O732"/>
  <c r="V732" s="1"/>
  <c r="G732"/>
  <c r="H732" s="1"/>
  <c r="AF731"/>
  <c r="O731"/>
  <c r="W731" s="1"/>
  <c r="G731"/>
  <c r="H731" s="1"/>
  <c r="AF730"/>
  <c r="O730"/>
  <c r="V730" s="1"/>
  <c r="G730"/>
  <c r="H730" s="1"/>
  <c r="AF729"/>
  <c r="O729"/>
  <c r="W729" s="1"/>
  <c r="G729"/>
  <c r="H729" s="1"/>
  <c r="AF728"/>
  <c r="O728"/>
  <c r="V728" s="1"/>
  <c r="G728"/>
  <c r="H728" s="1"/>
  <c r="AF727"/>
  <c r="O727"/>
  <c r="W727" s="1"/>
  <c r="G727"/>
  <c r="H727" s="1"/>
  <c r="AF726"/>
  <c r="O726"/>
  <c r="V726" s="1"/>
  <c r="G726"/>
  <c r="H726" s="1"/>
  <c r="AF725"/>
  <c r="O725"/>
  <c r="W725" s="1"/>
  <c r="G725"/>
  <c r="H725" s="1"/>
  <c r="AF724"/>
  <c r="O724"/>
  <c r="V724" s="1"/>
  <c r="G724"/>
  <c r="H724" s="1"/>
  <c r="AF723"/>
  <c r="O723"/>
  <c r="W723" s="1"/>
  <c r="G723"/>
  <c r="H723" s="1"/>
  <c r="AF722"/>
  <c r="O722"/>
  <c r="V722" s="1"/>
  <c r="G722"/>
  <c r="H722" s="1"/>
  <c r="AF721"/>
  <c r="O721"/>
  <c r="W721" s="1"/>
  <c r="G721"/>
  <c r="H721" s="1"/>
  <c r="AF720"/>
  <c r="W720"/>
  <c r="O720"/>
  <c r="V720" s="1"/>
  <c r="G720"/>
  <c r="H720" s="1"/>
  <c r="AF719"/>
  <c r="V719"/>
  <c r="O719"/>
  <c r="W719" s="1"/>
  <c r="H719"/>
  <c r="G719"/>
  <c r="AF718"/>
  <c r="O718"/>
  <c r="V718" s="1"/>
  <c r="G718"/>
  <c r="H718" s="1"/>
  <c r="AF717"/>
  <c r="O717"/>
  <c r="W717" s="1"/>
  <c r="G717"/>
  <c r="H717" s="1"/>
  <c r="AF716"/>
  <c r="W716"/>
  <c r="O716"/>
  <c r="V716" s="1"/>
  <c r="G716"/>
  <c r="H716" s="1"/>
  <c r="AF715"/>
  <c r="V715"/>
  <c r="O715"/>
  <c r="W715" s="1"/>
  <c r="G715"/>
  <c r="H715" s="1"/>
  <c r="AF714"/>
  <c r="O714"/>
  <c r="V714" s="1"/>
  <c r="G714"/>
  <c r="H714" s="1"/>
  <c r="AF713"/>
  <c r="O713"/>
  <c r="W713" s="1"/>
  <c r="G713"/>
  <c r="H713" s="1"/>
  <c r="AF712"/>
  <c r="W712"/>
  <c r="O712"/>
  <c r="V712" s="1"/>
  <c r="G712"/>
  <c r="H712" s="1"/>
  <c r="AF711"/>
  <c r="V711"/>
  <c r="O711"/>
  <c r="W711" s="1"/>
  <c r="H711"/>
  <c r="G711"/>
  <c r="AF710"/>
  <c r="O710"/>
  <c r="V710" s="1"/>
  <c r="G710"/>
  <c r="H710" s="1"/>
  <c r="AF709"/>
  <c r="O709"/>
  <c r="W709" s="1"/>
  <c r="G709"/>
  <c r="H709" s="1"/>
  <c r="AF708"/>
  <c r="W708"/>
  <c r="O708"/>
  <c r="V708" s="1"/>
  <c r="G708"/>
  <c r="H708" s="1"/>
  <c r="AF707"/>
  <c r="V707"/>
  <c r="O707"/>
  <c r="W707" s="1"/>
  <c r="G707"/>
  <c r="H707" s="1"/>
  <c r="AF706"/>
  <c r="O706"/>
  <c r="V706" s="1"/>
  <c r="G706"/>
  <c r="H706" s="1"/>
  <c r="AF705"/>
  <c r="O705"/>
  <c r="W705" s="1"/>
  <c r="G705"/>
  <c r="H705" s="1"/>
  <c r="AF704"/>
  <c r="W704"/>
  <c r="O704"/>
  <c r="V704" s="1"/>
  <c r="G704"/>
  <c r="H704" s="1"/>
  <c r="AF703"/>
  <c r="V703"/>
  <c r="O703"/>
  <c r="W703" s="1"/>
  <c r="H703"/>
  <c r="G703"/>
  <c r="AF702"/>
  <c r="O702"/>
  <c r="V702" s="1"/>
  <c r="G702"/>
  <c r="H702" s="1"/>
  <c r="AF701"/>
  <c r="O701"/>
  <c r="W701" s="1"/>
  <c r="G701"/>
  <c r="H701" s="1"/>
  <c r="AF700"/>
  <c r="V700"/>
  <c r="O700"/>
  <c r="W700" s="1"/>
  <c r="G700"/>
  <c r="H700" s="1"/>
  <c r="AF699"/>
  <c r="O699"/>
  <c r="W699" s="1"/>
  <c r="G699"/>
  <c r="H699" s="1"/>
  <c r="AF698"/>
  <c r="V698"/>
  <c r="O698"/>
  <c r="W698" s="1"/>
  <c r="G698"/>
  <c r="H698" s="1"/>
  <c r="AF697"/>
  <c r="O697"/>
  <c r="W697" s="1"/>
  <c r="G697"/>
  <c r="H697" s="1"/>
  <c r="AF696"/>
  <c r="V696"/>
  <c r="O696"/>
  <c r="W696" s="1"/>
  <c r="G696"/>
  <c r="H696" s="1"/>
  <c r="AF695"/>
  <c r="O695"/>
  <c r="W695" s="1"/>
  <c r="G695"/>
  <c r="H695" s="1"/>
  <c r="AF694"/>
  <c r="V694"/>
  <c r="O694"/>
  <c r="W694" s="1"/>
  <c r="G694"/>
  <c r="H694" s="1"/>
  <c r="AF693"/>
  <c r="O693"/>
  <c r="W693" s="1"/>
  <c r="G693"/>
  <c r="H693" s="1"/>
  <c r="AF692"/>
  <c r="V692"/>
  <c r="O692"/>
  <c r="W692" s="1"/>
  <c r="G692"/>
  <c r="H692" s="1"/>
  <c r="AF691"/>
  <c r="O691"/>
  <c r="W691" s="1"/>
  <c r="G691"/>
  <c r="H691" s="1"/>
  <c r="AF690"/>
  <c r="V690"/>
  <c r="O690"/>
  <c r="W690" s="1"/>
  <c r="G690"/>
  <c r="H690" s="1"/>
  <c r="AF689"/>
  <c r="O689"/>
  <c r="W689" s="1"/>
  <c r="G689"/>
  <c r="H689" s="1"/>
  <c r="AF688"/>
  <c r="V688"/>
  <c r="O688"/>
  <c r="W688" s="1"/>
  <c r="G688"/>
  <c r="H688" s="1"/>
  <c r="AF687"/>
  <c r="O687"/>
  <c r="W687" s="1"/>
  <c r="G687"/>
  <c r="H687" s="1"/>
  <c r="AF686"/>
  <c r="V686"/>
  <c r="O686"/>
  <c r="W686" s="1"/>
  <c r="G686"/>
  <c r="H686" s="1"/>
  <c r="AF685"/>
  <c r="O685"/>
  <c r="W685" s="1"/>
  <c r="G685"/>
  <c r="H685" s="1"/>
  <c r="AF684"/>
  <c r="V684"/>
  <c r="O684"/>
  <c r="W684" s="1"/>
  <c r="G684"/>
  <c r="H684" s="1"/>
  <c r="AF683"/>
  <c r="O683"/>
  <c r="W683" s="1"/>
  <c r="G683"/>
  <c r="H683" s="1"/>
  <c r="AF682"/>
  <c r="V682"/>
  <c r="O682"/>
  <c r="W682" s="1"/>
  <c r="G682"/>
  <c r="H682" s="1"/>
  <c r="AF681"/>
  <c r="O681"/>
  <c r="W681" s="1"/>
  <c r="G681"/>
  <c r="H681" s="1"/>
  <c r="AF680"/>
  <c r="V680"/>
  <c r="O680"/>
  <c r="W680" s="1"/>
  <c r="G680"/>
  <c r="H680" s="1"/>
  <c r="AF679"/>
  <c r="O679"/>
  <c r="W679" s="1"/>
  <c r="G679"/>
  <c r="H679" s="1"/>
  <c r="AF678"/>
  <c r="V678"/>
  <c r="O678"/>
  <c r="W678" s="1"/>
  <c r="G678"/>
  <c r="H678" s="1"/>
  <c r="AF677"/>
  <c r="O677"/>
  <c r="W677" s="1"/>
  <c r="G677"/>
  <c r="H677" s="1"/>
  <c r="AF676"/>
  <c r="V676"/>
  <c r="O676"/>
  <c r="W676" s="1"/>
  <c r="G676"/>
  <c r="H676" s="1"/>
  <c r="AF675"/>
  <c r="O675"/>
  <c r="W675" s="1"/>
  <c r="G675"/>
  <c r="H675" s="1"/>
  <c r="AF674"/>
  <c r="V674"/>
  <c r="O674"/>
  <c r="W674" s="1"/>
  <c r="G674"/>
  <c r="H674" s="1"/>
  <c r="AF673"/>
  <c r="O673"/>
  <c r="W673" s="1"/>
  <c r="G673"/>
  <c r="H673" s="1"/>
  <c r="AF672"/>
  <c r="V672"/>
  <c r="O672"/>
  <c r="W672" s="1"/>
  <c r="G672"/>
  <c r="H672" s="1"/>
  <c r="AF671"/>
  <c r="O671"/>
  <c r="W671" s="1"/>
  <c r="G671"/>
  <c r="H671" s="1"/>
  <c r="AF670"/>
  <c r="V670"/>
  <c r="O670"/>
  <c r="W670" s="1"/>
  <c r="G670"/>
  <c r="H670" s="1"/>
  <c r="AF669"/>
  <c r="O669"/>
  <c r="W669" s="1"/>
  <c r="G669"/>
  <c r="H669" s="1"/>
  <c r="AF668"/>
  <c r="V668"/>
  <c r="O668"/>
  <c r="W668" s="1"/>
  <c r="G668"/>
  <c r="H668" s="1"/>
  <c r="AF667"/>
  <c r="O667"/>
  <c r="W667" s="1"/>
  <c r="G667"/>
  <c r="H667" s="1"/>
  <c r="AF666"/>
  <c r="V666"/>
  <c r="O666"/>
  <c r="W666" s="1"/>
  <c r="G666"/>
  <c r="H666" s="1"/>
  <c r="AF665"/>
  <c r="O665"/>
  <c r="W665" s="1"/>
  <c r="G665"/>
  <c r="H665" s="1"/>
  <c r="AF664"/>
  <c r="V664"/>
  <c r="O664"/>
  <c r="W664" s="1"/>
  <c r="G664"/>
  <c r="H664" s="1"/>
  <c r="AF663"/>
  <c r="O663"/>
  <c r="W663" s="1"/>
  <c r="G663"/>
  <c r="H663" s="1"/>
  <c r="AF662"/>
  <c r="V662"/>
  <c r="O662"/>
  <c r="W662" s="1"/>
  <c r="G662"/>
  <c r="H662" s="1"/>
  <c r="AF661"/>
  <c r="O661"/>
  <c r="W661" s="1"/>
  <c r="G661"/>
  <c r="H661" s="1"/>
  <c r="AF660"/>
  <c r="V660"/>
  <c r="O660"/>
  <c r="W660" s="1"/>
  <c r="G660"/>
  <c r="H660" s="1"/>
  <c r="AF659"/>
  <c r="O659"/>
  <c r="W659" s="1"/>
  <c r="G659"/>
  <c r="H659" s="1"/>
  <c r="AF658"/>
  <c r="V658"/>
  <c r="O658"/>
  <c r="W658" s="1"/>
  <c r="G658"/>
  <c r="H658" s="1"/>
  <c r="AF657"/>
  <c r="O657"/>
  <c r="W657" s="1"/>
  <c r="G657"/>
  <c r="H657" s="1"/>
  <c r="AF656"/>
  <c r="V656"/>
  <c r="O656"/>
  <c r="W656" s="1"/>
  <c r="G656"/>
  <c r="H656" s="1"/>
  <c r="AF655"/>
  <c r="O655"/>
  <c r="W655" s="1"/>
  <c r="G655"/>
  <c r="H655" s="1"/>
  <c r="AF654"/>
  <c r="V654"/>
  <c r="O654"/>
  <c r="W654" s="1"/>
  <c r="G654"/>
  <c r="H654" s="1"/>
  <c r="AF653"/>
  <c r="O653"/>
  <c r="W653" s="1"/>
  <c r="G653"/>
  <c r="H653" s="1"/>
  <c r="AF652"/>
  <c r="V652"/>
  <c r="O652"/>
  <c r="W652" s="1"/>
  <c r="G652"/>
  <c r="H652" s="1"/>
  <c r="AF651"/>
  <c r="O651"/>
  <c r="W651" s="1"/>
  <c r="G651"/>
  <c r="H651" s="1"/>
  <c r="AF650"/>
  <c r="V650"/>
  <c r="O650"/>
  <c r="W650" s="1"/>
  <c r="G650"/>
  <c r="H650" s="1"/>
  <c r="AF649"/>
  <c r="O649"/>
  <c r="W649" s="1"/>
  <c r="G649"/>
  <c r="H649" s="1"/>
  <c r="AF648"/>
  <c r="V648"/>
  <c r="O648"/>
  <c r="W648" s="1"/>
  <c r="G648"/>
  <c r="H648" s="1"/>
  <c r="AF647"/>
  <c r="O647"/>
  <c r="W647" s="1"/>
  <c r="G647"/>
  <c r="H647" s="1"/>
  <c r="AF646"/>
  <c r="V646"/>
  <c r="O646"/>
  <c r="W646" s="1"/>
  <c r="G646"/>
  <c r="H646" s="1"/>
  <c r="AF645"/>
  <c r="O645"/>
  <c r="W645" s="1"/>
  <c r="G645"/>
  <c r="H645" s="1"/>
  <c r="AF644"/>
  <c r="V644"/>
  <c r="O644"/>
  <c r="W644" s="1"/>
  <c r="G644"/>
  <c r="H644" s="1"/>
  <c r="AF643"/>
  <c r="O643"/>
  <c r="W643" s="1"/>
  <c r="G643"/>
  <c r="H643" s="1"/>
  <c r="AF642"/>
  <c r="V642"/>
  <c r="O642"/>
  <c r="W642" s="1"/>
  <c r="G642"/>
  <c r="H642" s="1"/>
  <c r="AF641"/>
  <c r="O641"/>
  <c r="W641" s="1"/>
  <c r="G641"/>
  <c r="H641" s="1"/>
  <c r="AF640"/>
  <c r="V640"/>
  <c r="O640"/>
  <c r="W640" s="1"/>
  <c r="G640"/>
  <c r="H640" s="1"/>
  <c r="AF639"/>
  <c r="O639"/>
  <c r="W639" s="1"/>
  <c r="G639"/>
  <c r="H639" s="1"/>
  <c r="AF638"/>
  <c r="V638"/>
  <c r="O638"/>
  <c r="W638" s="1"/>
  <c r="G638"/>
  <c r="H638" s="1"/>
  <c r="AF637"/>
  <c r="O637"/>
  <c r="W637" s="1"/>
  <c r="G637"/>
  <c r="H637" s="1"/>
  <c r="AF636"/>
  <c r="V636"/>
  <c r="O636"/>
  <c r="W636" s="1"/>
  <c r="G636"/>
  <c r="H636" s="1"/>
  <c r="AF635"/>
  <c r="O635"/>
  <c r="W635" s="1"/>
  <c r="G635"/>
  <c r="H635" s="1"/>
  <c r="AF634"/>
  <c r="V634"/>
  <c r="O634"/>
  <c r="W634" s="1"/>
  <c r="G634"/>
  <c r="H634" s="1"/>
  <c r="AF633"/>
  <c r="O633"/>
  <c r="W633" s="1"/>
  <c r="G633"/>
  <c r="H633" s="1"/>
  <c r="AF632"/>
  <c r="V632"/>
  <c r="O632"/>
  <c r="W632" s="1"/>
  <c r="G632"/>
  <c r="H632" s="1"/>
  <c r="AF631"/>
  <c r="O631"/>
  <c r="W631" s="1"/>
  <c r="G631"/>
  <c r="H631" s="1"/>
  <c r="AF630"/>
  <c r="V630"/>
  <c r="O630"/>
  <c r="W630" s="1"/>
  <c r="G630"/>
  <c r="H630" s="1"/>
  <c r="AF629"/>
  <c r="O629"/>
  <c r="W629" s="1"/>
  <c r="G629"/>
  <c r="H629" s="1"/>
  <c r="AF628"/>
  <c r="V628"/>
  <c r="O628"/>
  <c r="W628" s="1"/>
  <c r="G628"/>
  <c r="H628" s="1"/>
  <c r="AF627"/>
  <c r="O627"/>
  <c r="W627" s="1"/>
  <c r="G627"/>
  <c r="H627" s="1"/>
  <c r="AF626"/>
  <c r="V626"/>
  <c r="O626"/>
  <c r="W626" s="1"/>
  <c r="G626"/>
  <c r="H626" s="1"/>
  <c r="AF625"/>
  <c r="O625"/>
  <c r="W625" s="1"/>
  <c r="G625"/>
  <c r="H625" s="1"/>
  <c r="AF624"/>
  <c r="V624"/>
  <c r="O624"/>
  <c r="W624" s="1"/>
  <c r="G624"/>
  <c r="H624" s="1"/>
  <c r="AF623"/>
  <c r="O623"/>
  <c r="W623" s="1"/>
  <c r="G623"/>
  <c r="H623" s="1"/>
  <c r="AF622"/>
  <c r="V622"/>
  <c r="O622"/>
  <c r="W622" s="1"/>
  <c r="G622"/>
  <c r="H622" s="1"/>
  <c r="AF621"/>
  <c r="O621"/>
  <c r="W621" s="1"/>
  <c r="G621"/>
  <c r="H621" s="1"/>
  <c r="AF620"/>
  <c r="V620"/>
  <c r="O620"/>
  <c r="W620" s="1"/>
  <c r="G620"/>
  <c r="H620" s="1"/>
  <c r="AF619"/>
  <c r="O619"/>
  <c r="W619" s="1"/>
  <c r="G619"/>
  <c r="H619" s="1"/>
  <c r="AF618"/>
  <c r="V618"/>
  <c r="O618"/>
  <c r="W618" s="1"/>
  <c r="G618"/>
  <c r="H618" s="1"/>
  <c r="AF617"/>
  <c r="O617"/>
  <c r="W617" s="1"/>
  <c r="G617"/>
  <c r="H617" s="1"/>
  <c r="AF616"/>
  <c r="V616"/>
  <c r="O616"/>
  <c r="W616" s="1"/>
  <c r="G616"/>
  <c r="H616" s="1"/>
  <c r="AF615"/>
  <c r="O615"/>
  <c r="W615" s="1"/>
  <c r="G615"/>
  <c r="H615" s="1"/>
  <c r="AF614"/>
  <c r="V614"/>
  <c r="O614"/>
  <c r="W614" s="1"/>
  <c r="G614"/>
  <c r="H614" s="1"/>
  <c r="AF613"/>
  <c r="O613"/>
  <c r="W613" s="1"/>
  <c r="G613"/>
  <c r="H613" s="1"/>
  <c r="AF612"/>
  <c r="V612"/>
  <c r="O612"/>
  <c r="W612" s="1"/>
  <c r="G612"/>
  <c r="H612" s="1"/>
  <c r="AF611"/>
  <c r="O611"/>
  <c r="W611" s="1"/>
  <c r="G611"/>
  <c r="H611" s="1"/>
  <c r="AF610"/>
  <c r="V610"/>
  <c r="O610"/>
  <c r="W610" s="1"/>
  <c r="G610"/>
  <c r="H610" s="1"/>
  <c r="AF609"/>
  <c r="O609"/>
  <c r="W609" s="1"/>
  <c r="G609"/>
  <c r="H609" s="1"/>
  <c r="AF608"/>
  <c r="V608"/>
  <c r="O608"/>
  <c r="W608" s="1"/>
  <c r="G608"/>
  <c r="H608" s="1"/>
  <c r="AF607"/>
  <c r="O607"/>
  <c r="W607" s="1"/>
  <c r="G607"/>
  <c r="H607" s="1"/>
  <c r="AF606"/>
  <c r="V606"/>
  <c r="O606"/>
  <c r="W606" s="1"/>
  <c r="G606"/>
  <c r="H606" s="1"/>
  <c r="AF605"/>
  <c r="O605"/>
  <c r="W605" s="1"/>
  <c r="G605"/>
  <c r="H605" s="1"/>
  <c r="AF604"/>
  <c r="V604"/>
  <c r="O604"/>
  <c r="W604" s="1"/>
  <c r="G604"/>
  <c r="H604" s="1"/>
  <c r="AF603"/>
  <c r="O603"/>
  <c r="W603" s="1"/>
  <c r="G603"/>
  <c r="H603" s="1"/>
  <c r="AF602"/>
  <c r="V602"/>
  <c r="O602"/>
  <c r="W602" s="1"/>
  <c r="G602"/>
  <c r="H602" s="1"/>
  <c r="AF601"/>
  <c r="O601"/>
  <c r="W601" s="1"/>
  <c r="G601"/>
  <c r="H601" s="1"/>
  <c r="AF600"/>
  <c r="V600"/>
  <c r="O600"/>
  <c r="W600" s="1"/>
  <c r="G600"/>
  <c r="H600" s="1"/>
  <c r="AF599"/>
  <c r="O599"/>
  <c r="W599" s="1"/>
  <c r="G599"/>
  <c r="H599" s="1"/>
  <c r="AF598"/>
  <c r="V598"/>
  <c r="O598"/>
  <c r="W598" s="1"/>
  <c r="G598"/>
  <c r="H598" s="1"/>
  <c r="AF597"/>
  <c r="O597"/>
  <c r="W597" s="1"/>
  <c r="G597"/>
  <c r="H597" s="1"/>
  <c r="AF596"/>
  <c r="V596"/>
  <c r="O596"/>
  <c r="W596" s="1"/>
  <c r="G596"/>
  <c r="H596" s="1"/>
  <c r="AF595"/>
  <c r="O595"/>
  <c r="W595" s="1"/>
  <c r="G595"/>
  <c r="H595" s="1"/>
  <c r="AF594"/>
  <c r="V594"/>
  <c r="O594"/>
  <c r="W594" s="1"/>
  <c r="G594"/>
  <c r="H594" s="1"/>
  <c r="AF593"/>
  <c r="O593"/>
  <c r="W593" s="1"/>
  <c r="G593"/>
  <c r="H593" s="1"/>
  <c r="AF592"/>
  <c r="V592"/>
  <c r="O592"/>
  <c r="W592" s="1"/>
  <c r="G592"/>
  <c r="H592" s="1"/>
  <c r="AF591"/>
  <c r="O591"/>
  <c r="W591" s="1"/>
  <c r="G591"/>
  <c r="H591" s="1"/>
  <c r="AF590"/>
  <c r="V590"/>
  <c r="O590"/>
  <c r="W590" s="1"/>
  <c r="G590"/>
  <c r="H590" s="1"/>
  <c r="AF589"/>
  <c r="O589"/>
  <c r="W589" s="1"/>
  <c r="G589"/>
  <c r="H589" s="1"/>
  <c r="AF588"/>
  <c r="V588"/>
  <c r="O588"/>
  <c r="W588" s="1"/>
  <c r="G588"/>
  <c r="H588" s="1"/>
  <c r="AF587"/>
  <c r="O587"/>
  <c r="W587" s="1"/>
  <c r="G587"/>
  <c r="H587" s="1"/>
  <c r="AF586"/>
  <c r="V586"/>
  <c r="O586"/>
  <c r="W586" s="1"/>
  <c r="G586"/>
  <c r="H586" s="1"/>
  <c r="AF585"/>
  <c r="O585"/>
  <c r="W585" s="1"/>
  <c r="G585"/>
  <c r="H585" s="1"/>
  <c r="AF584"/>
  <c r="V584"/>
  <c r="O584"/>
  <c r="W584" s="1"/>
  <c r="G584"/>
  <c r="H584" s="1"/>
  <c r="AF583"/>
  <c r="O583"/>
  <c r="W583" s="1"/>
  <c r="G583"/>
  <c r="H583" s="1"/>
  <c r="AF582"/>
  <c r="V582"/>
  <c r="O582"/>
  <c r="W582" s="1"/>
  <c r="G582"/>
  <c r="H582" s="1"/>
  <c r="AF581"/>
  <c r="O581"/>
  <c r="W581" s="1"/>
  <c r="G581"/>
  <c r="H581" s="1"/>
  <c r="AF580"/>
  <c r="V580"/>
  <c r="O580"/>
  <c r="W580" s="1"/>
  <c r="G580"/>
  <c r="H580" s="1"/>
  <c r="AF579"/>
  <c r="O579"/>
  <c r="W579" s="1"/>
  <c r="G579"/>
  <c r="H579" s="1"/>
  <c r="AF578"/>
  <c r="V578"/>
  <c r="O578"/>
  <c r="W578" s="1"/>
  <c r="G578"/>
  <c r="H578" s="1"/>
  <c r="AF577"/>
  <c r="O577"/>
  <c r="W577" s="1"/>
  <c r="G577"/>
  <c r="H577" s="1"/>
  <c r="AF576"/>
  <c r="V576"/>
  <c r="O576"/>
  <c r="W576" s="1"/>
  <c r="G576"/>
  <c r="H576" s="1"/>
  <c r="AF575"/>
  <c r="O575"/>
  <c r="W575" s="1"/>
  <c r="G575"/>
  <c r="H575" s="1"/>
  <c r="AF574"/>
  <c r="V574"/>
  <c r="O574"/>
  <c r="W574" s="1"/>
  <c r="G574"/>
  <c r="H574" s="1"/>
  <c r="AF573"/>
  <c r="O573"/>
  <c r="W573" s="1"/>
  <c r="G573"/>
  <c r="H573" s="1"/>
  <c r="AF572"/>
  <c r="V572"/>
  <c r="O572"/>
  <c r="W572" s="1"/>
  <c r="G572"/>
  <c r="H572" s="1"/>
  <c r="AF571"/>
  <c r="O571"/>
  <c r="W571" s="1"/>
  <c r="G571"/>
  <c r="H571" s="1"/>
  <c r="AF570"/>
  <c r="V570"/>
  <c r="O570"/>
  <c r="W570" s="1"/>
  <c r="G570"/>
  <c r="H570" s="1"/>
  <c r="AF569"/>
  <c r="O569"/>
  <c r="W569" s="1"/>
  <c r="G569"/>
  <c r="H569" s="1"/>
  <c r="AF568"/>
  <c r="V568"/>
  <c r="O568"/>
  <c r="W568" s="1"/>
  <c r="G568"/>
  <c r="H568" s="1"/>
  <c r="AF567"/>
  <c r="O567"/>
  <c r="W567" s="1"/>
  <c r="G567"/>
  <c r="H567" s="1"/>
  <c r="AF566"/>
  <c r="V566"/>
  <c r="O566"/>
  <c r="W566" s="1"/>
  <c r="G566"/>
  <c r="H566" s="1"/>
  <c r="AF565"/>
  <c r="O565"/>
  <c r="W565" s="1"/>
  <c r="G565"/>
  <c r="H565" s="1"/>
  <c r="AF564"/>
  <c r="V564"/>
  <c r="O564"/>
  <c r="W564" s="1"/>
  <c r="G564"/>
  <c r="H564" s="1"/>
  <c r="AF563"/>
  <c r="O563"/>
  <c r="W563" s="1"/>
  <c r="G563"/>
  <c r="H563" s="1"/>
  <c r="AF562"/>
  <c r="V562"/>
  <c r="O562"/>
  <c r="W562" s="1"/>
  <c r="G562"/>
  <c r="H562" s="1"/>
  <c r="AF561"/>
  <c r="O561"/>
  <c r="W561" s="1"/>
  <c r="G561"/>
  <c r="H561" s="1"/>
  <c r="AF560"/>
  <c r="V560"/>
  <c r="O560"/>
  <c r="W560" s="1"/>
  <c r="G560"/>
  <c r="H560" s="1"/>
  <c r="AF559"/>
  <c r="O559"/>
  <c r="W559" s="1"/>
  <c r="G559"/>
  <c r="H559" s="1"/>
  <c r="AF558"/>
  <c r="V558"/>
  <c r="O558"/>
  <c r="W558" s="1"/>
  <c r="G558"/>
  <c r="H558" s="1"/>
  <c r="AF557"/>
  <c r="O557"/>
  <c r="W557" s="1"/>
  <c r="G557"/>
  <c r="H557" s="1"/>
  <c r="AF556"/>
  <c r="V556"/>
  <c r="O556"/>
  <c r="W556" s="1"/>
  <c r="G556"/>
  <c r="H556" s="1"/>
  <c r="AF555"/>
  <c r="O555"/>
  <c r="W555" s="1"/>
  <c r="G555"/>
  <c r="H555" s="1"/>
  <c r="AF554"/>
  <c r="V554"/>
  <c r="O554"/>
  <c r="W554" s="1"/>
  <c r="G554"/>
  <c r="H554" s="1"/>
  <c r="AF553"/>
  <c r="O553"/>
  <c r="W553" s="1"/>
  <c r="G553"/>
  <c r="H553" s="1"/>
  <c r="AF552"/>
  <c r="V552"/>
  <c r="O552"/>
  <c r="W552" s="1"/>
  <c r="G552"/>
  <c r="H552" s="1"/>
  <c r="AF551"/>
  <c r="O551"/>
  <c r="W551" s="1"/>
  <c r="G551"/>
  <c r="H551" s="1"/>
  <c r="AF550"/>
  <c r="V550"/>
  <c r="O550"/>
  <c r="W550" s="1"/>
  <c r="G550"/>
  <c r="H550" s="1"/>
  <c r="AF549"/>
  <c r="O549"/>
  <c r="W549" s="1"/>
  <c r="G549"/>
  <c r="H549" s="1"/>
  <c r="AF548"/>
  <c r="V548"/>
  <c r="O548"/>
  <c r="W548" s="1"/>
  <c r="G548"/>
  <c r="H548" s="1"/>
  <c r="AF547"/>
  <c r="O547"/>
  <c r="W547" s="1"/>
  <c r="G547"/>
  <c r="H547" s="1"/>
  <c r="AF546"/>
  <c r="V546"/>
  <c r="O546"/>
  <c r="W546" s="1"/>
  <c r="G546"/>
  <c r="H546" s="1"/>
  <c r="AF545"/>
  <c r="O545"/>
  <c r="W545" s="1"/>
  <c r="G545"/>
  <c r="H545" s="1"/>
  <c r="AF544"/>
  <c r="V544"/>
  <c r="O544"/>
  <c r="W544" s="1"/>
  <c r="G544"/>
  <c r="H544" s="1"/>
  <c r="AF543"/>
  <c r="O543"/>
  <c r="W543" s="1"/>
  <c r="G543"/>
  <c r="H543" s="1"/>
  <c r="AF542"/>
  <c r="V542"/>
  <c r="O542"/>
  <c r="W542" s="1"/>
  <c r="G542"/>
  <c r="H542" s="1"/>
  <c r="AF541"/>
  <c r="O541"/>
  <c r="W541" s="1"/>
  <c r="G541"/>
  <c r="H541" s="1"/>
  <c r="AF540"/>
  <c r="V540"/>
  <c r="O540"/>
  <c r="W540" s="1"/>
  <c r="G540"/>
  <c r="H540" s="1"/>
  <c r="AF539"/>
  <c r="O539"/>
  <c r="W539" s="1"/>
  <c r="G539"/>
  <c r="H539" s="1"/>
  <c r="AF538"/>
  <c r="V538"/>
  <c r="O538"/>
  <c r="W538" s="1"/>
  <c r="G538"/>
  <c r="H538" s="1"/>
  <c r="AF537"/>
  <c r="O537"/>
  <c r="W537" s="1"/>
  <c r="G537"/>
  <c r="H537" s="1"/>
  <c r="AF536"/>
  <c r="V536"/>
  <c r="O536"/>
  <c r="W536" s="1"/>
  <c r="G536"/>
  <c r="H536" s="1"/>
  <c r="AF535"/>
  <c r="O535"/>
  <c r="W535" s="1"/>
  <c r="G535"/>
  <c r="H535" s="1"/>
  <c r="AF534"/>
  <c r="V534"/>
  <c r="O534"/>
  <c r="W534" s="1"/>
  <c r="G534"/>
  <c r="H534" s="1"/>
  <c r="AF533"/>
  <c r="O533"/>
  <c r="W533" s="1"/>
  <c r="G533"/>
  <c r="H533" s="1"/>
  <c r="AF532"/>
  <c r="V532"/>
  <c r="O532"/>
  <c r="W532" s="1"/>
  <c r="G532"/>
  <c r="H532" s="1"/>
  <c r="AF531"/>
  <c r="O531"/>
  <c r="W531" s="1"/>
  <c r="G531"/>
  <c r="H531" s="1"/>
  <c r="AF530"/>
  <c r="V530"/>
  <c r="O530"/>
  <c r="W530" s="1"/>
  <c r="G530"/>
  <c r="H530" s="1"/>
  <c r="AF529"/>
  <c r="O529"/>
  <c r="W529" s="1"/>
  <c r="G529"/>
  <c r="H529" s="1"/>
  <c r="AF528"/>
  <c r="V528"/>
  <c r="O528"/>
  <c r="W528" s="1"/>
  <c r="G528"/>
  <c r="H528" s="1"/>
  <c r="AF527"/>
  <c r="O527"/>
  <c r="W527" s="1"/>
  <c r="G527"/>
  <c r="H527" s="1"/>
  <c r="AF526"/>
  <c r="V526"/>
  <c r="O526"/>
  <c r="W526" s="1"/>
  <c r="G526"/>
  <c r="H526" s="1"/>
  <c r="AF525"/>
  <c r="O525"/>
  <c r="W525" s="1"/>
  <c r="G525"/>
  <c r="H525" s="1"/>
  <c r="AF524"/>
  <c r="V524"/>
  <c r="O524"/>
  <c r="W524" s="1"/>
  <c r="G524"/>
  <c r="H524" s="1"/>
  <c r="AF523"/>
  <c r="O523"/>
  <c r="W523" s="1"/>
  <c r="G523"/>
  <c r="H523" s="1"/>
  <c r="AF522"/>
  <c r="V522"/>
  <c r="O522"/>
  <c r="W522" s="1"/>
  <c r="G522"/>
  <c r="H522" s="1"/>
  <c r="AF521"/>
  <c r="O521"/>
  <c r="W521" s="1"/>
  <c r="G521"/>
  <c r="H521" s="1"/>
  <c r="AF520"/>
  <c r="V520"/>
  <c r="O520"/>
  <c r="W520" s="1"/>
  <c r="G520"/>
  <c r="H520" s="1"/>
  <c r="AF519"/>
  <c r="O519"/>
  <c r="W519" s="1"/>
  <c r="G519"/>
  <c r="H519" s="1"/>
  <c r="AF518"/>
  <c r="V518"/>
  <c r="O518"/>
  <c r="W518" s="1"/>
  <c r="G518"/>
  <c r="H518" s="1"/>
  <c r="AF517"/>
  <c r="O517"/>
  <c r="W517" s="1"/>
  <c r="G517"/>
  <c r="H517" s="1"/>
  <c r="AF516"/>
  <c r="V516"/>
  <c r="O516"/>
  <c r="W516" s="1"/>
  <c r="G516"/>
  <c r="H516" s="1"/>
  <c r="AF515"/>
  <c r="O515"/>
  <c r="W515" s="1"/>
  <c r="G515"/>
  <c r="H515" s="1"/>
  <c r="AF514"/>
  <c r="V514"/>
  <c r="O514"/>
  <c r="W514" s="1"/>
  <c r="G514"/>
  <c r="H514" s="1"/>
  <c r="AF513"/>
  <c r="O513"/>
  <c r="W513" s="1"/>
  <c r="G513"/>
  <c r="H513" s="1"/>
  <c r="AF512"/>
  <c r="V512"/>
  <c r="O512"/>
  <c r="W512" s="1"/>
  <c r="G512"/>
  <c r="H512" s="1"/>
  <c r="AF511"/>
  <c r="O511"/>
  <c r="W511" s="1"/>
  <c r="G511"/>
  <c r="H511" s="1"/>
  <c r="AF510"/>
  <c r="V510"/>
  <c r="O510"/>
  <c r="W510" s="1"/>
  <c r="G510"/>
  <c r="H510" s="1"/>
  <c r="AF509"/>
  <c r="O509"/>
  <c r="W509" s="1"/>
  <c r="G509"/>
  <c r="H509" s="1"/>
  <c r="AF508"/>
  <c r="V508"/>
  <c r="O508"/>
  <c r="W508" s="1"/>
  <c r="G508"/>
  <c r="H508" s="1"/>
  <c r="AF507"/>
  <c r="O507"/>
  <c r="W507" s="1"/>
  <c r="G507"/>
  <c r="H507" s="1"/>
  <c r="AF506"/>
  <c r="V506"/>
  <c r="O506"/>
  <c r="W506" s="1"/>
  <c r="G506"/>
  <c r="H506" s="1"/>
  <c r="AF505"/>
  <c r="O505"/>
  <c r="W505" s="1"/>
  <c r="G505"/>
  <c r="H505" s="1"/>
  <c r="AF504"/>
  <c r="V504"/>
  <c r="O504"/>
  <c r="W504" s="1"/>
  <c r="G504"/>
  <c r="H504" s="1"/>
  <c r="AF503"/>
  <c r="O503"/>
  <c r="V503" s="1"/>
  <c r="G503"/>
  <c r="H503" s="1"/>
  <c r="AF502"/>
  <c r="V502"/>
  <c r="O502"/>
  <c r="W502" s="1"/>
  <c r="G502"/>
  <c r="H502" s="1"/>
  <c r="AF501"/>
  <c r="O501"/>
  <c r="V501" s="1"/>
  <c r="G501"/>
  <c r="H501" s="1"/>
  <c r="AF500"/>
  <c r="V500"/>
  <c r="O500"/>
  <c r="W500" s="1"/>
  <c r="G500"/>
  <c r="H500" s="1"/>
  <c r="AF499"/>
  <c r="O499"/>
  <c r="V499" s="1"/>
  <c r="G499"/>
  <c r="H499" s="1"/>
  <c r="AF498"/>
  <c r="V498"/>
  <c r="O498"/>
  <c r="W498" s="1"/>
  <c r="G498"/>
  <c r="H498" s="1"/>
  <c r="AF497"/>
  <c r="O497"/>
  <c r="V497" s="1"/>
  <c r="G497"/>
  <c r="H497" s="1"/>
  <c r="AF496"/>
  <c r="V496"/>
  <c r="O496"/>
  <c r="W496" s="1"/>
  <c r="G496"/>
  <c r="H496" s="1"/>
  <c r="AF495"/>
  <c r="O495"/>
  <c r="V495" s="1"/>
  <c r="G495"/>
  <c r="H495" s="1"/>
  <c r="AF494"/>
  <c r="V494"/>
  <c r="O494"/>
  <c r="W494" s="1"/>
  <c r="G494"/>
  <c r="H494" s="1"/>
  <c r="AF493"/>
  <c r="O493"/>
  <c r="V493" s="1"/>
  <c r="G493"/>
  <c r="H493" s="1"/>
  <c r="AF492"/>
  <c r="V492"/>
  <c r="O492"/>
  <c r="W492" s="1"/>
  <c r="G492"/>
  <c r="H492" s="1"/>
  <c r="AF491"/>
  <c r="O491"/>
  <c r="V491" s="1"/>
  <c r="G491"/>
  <c r="H491" s="1"/>
  <c r="AF490"/>
  <c r="V490"/>
  <c r="O490"/>
  <c r="W490" s="1"/>
  <c r="G490"/>
  <c r="H490" s="1"/>
  <c r="AF489"/>
  <c r="O489"/>
  <c r="V489" s="1"/>
  <c r="G489"/>
  <c r="H489" s="1"/>
  <c r="AF488"/>
  <c r="V488"/>
  <c r="O488"/>
  <c r="W488" s="1"/>
  <c r="G488"/>
  <c r="H488" s="1"/>
  <c r="AF487"/>
  <c r="O487"/>
  <c r="V487" s="1"/>
  <c r="G487"/>
  <c r="H487" s="1"/>
  <c r="AF486"/>
  <c r="V486"/>
  <c r="O486"/>
  <c r="W486" s="1"/>
  <c r="G486"/>
  <c r="H486" s="1"/>
  <c r="AF485"/>
  <c r="O485"/>
  <c r="V485" s="1"/>
  <c r="G485"/>
  <c r="H485" s="1"/>
  <c r="AF484"/>
  <c r="V484"/>
  <c r="O484"/>
  <c r="W484" s="1"/>
  <c r="G484"/>
  <c r="H484" s="1"/>
  <c r="AF483"/>
  <c r="O483"/>
  <c r="V483" s="1"/>
  <c r="G483"/>
  <c r="H483" s="1"/>
  <c r="AF482"/>
  <c r="V482"/>
  <c r="O482"/>
  <c r="W482" s="1"/>
  <c r="G482"/>
  <c r="H482" s="1"/>
  <c r="AF481"/>
  <c r="O481"/>
  <c r="V481" s="1"/>
  <c r="G481"/>
  <c r="H481" s="1"/>
  <c r="AF480"/>
  <c r="V480"/>
  <c r="O480"/>
  <c r="W480" s="1"/>
  <c r="G480"/>
  <c r="H480" s="1"/>
  <c r="AF479"/>
  <c r="O479"/>
  <c r="V479" s="1"/>
  <c r="G479"/>
  <c r="H479" s="1"/>
  <c r="AF478"/>
  <c r="V478"/>
  <c r="O478"/>
  <c r="W478" s="1"/>
  <c r="G478"/>
  <c r="H478" s="1"/>
  <c r="AF477"/>
  <c r="O477"/>
  <c r="V477" s="1"/>
  <c r="G477"/>
  <c r="H477" s="1"/>
  <c r="AF476"/>
  <c r="V476"/>
  <c r="O476"/>
  <c r="W476" s="1"/>
  <c r="G476"/>
  <c r="H476" s="1"/>
  <c r="AF475"/>
  <c r="O475"/>
  <c r="V475" s="1"/>
  <c r="G475"/>
  <c r="H475" s="1"/>
  <c r="AF474"/>
  <c r="V474"/>
  <c r="O474"/>
  <c r="W474" s="1"/>
  <c r="G474"/>
  <c r="H474" s="1"/>
  <c r="AF473"/>
  <c r="O473"/>
  <c r="V473" s="1"/>
  <c r="G473"/>
  <c r="H473" s="1"/>
  <c r="AF472"/>
  <c r="V472"/>
  <c r="O472"/>
  <c r="W472" s="1"/>
  <c r="G472"/>
  <c r="H472" s="1"/>
  <c r="AF471"/>
  <c r="O471"/>
  <c r="V471" s="1"/>
  <c r="G471"/>
  <c r="H471" s="1"/>
  <c r="AF470"/>
  <c r="V470"/>
  <c r="O470"/>
  <c r="W470" s="1"/>
  <c r="G470"/>
  <c r="H470" s="1"/>
  <c r="AF469"/>
  <c r="O469"/>
  <c r="V469" s="1"/>
  <c r="G469"/>
  <c r="H469" s="1"/>
  <c r="AF468"/>
  <c r="V468"/>
  <c r="O468"/>
  <c r="W468" s="1"/>
  <c r="G468"/>
  <c r="H468" s="1"/>
  <c r="AF467"/>
  <c r="O467"/>
  <c r="V467" s="1"/>
  <c r="G467"/>
  <c r="H467" s="1"/>
  <c r="AF466"/>
  <c r="V466"/>
  <c r="O466"/>
  <c r="W466" s="1"/>
  <c r="G466"/>
  <c r="H466" s="1"/>
  <c r="AF465"/>
  <c r="O465"/>
  <c r="V465" s="1"/>
  <c r="G465"/>
  <c r="H465" s="1"/>
  <c r="AF464"/>
  <c r="V464"/>
  <c r="O464"/>
  <c r="W464" s="1"/>
  <c r="G464"/>
  <c r="H464" s="1"/>
  <c r="AF463"/>
  <c r="O463"/>
  <c r="V463" s="1"/>
  <c r="G463"/>
  <c r="H463" s="1"/>
  <c r="AF462"/>
  <c r="V462"/>
  <c r="O462"/>
  <c r="W462" s="1"/>
  <c r="G462"/>
  <c r="H462" s="1"/>
  <c r="AF461"/>
  <c r="O461"/>
  <c r="V461" s="1"/>
  <c r="G461"/>
  <c r="H461" s="1"/>
  <c r="AF460"/>
  <c r="V460"/>
  <c r="O460"/>
  <c r="W460" s="1"/>
  <c r="G460"/>
  <c r="H460" s="1"/>
  <c r="AF459"/>
  <c r="O459"/>
  <c r="V459" s="1"/>
  <c r="G459"/>
  <c r="H459" s="1"/>
  <c r="AF458"/>
  <c r="V458"/>
  <c r="O458"/>
  <c r="W458" s="1"/>
  <c r="G458"/>
  <c r="H458" s="1"/>
  <c r="AF457"/>
  <c r="O457"/>
  <c r="V457" s="1"/>
  <c r="G457"/>
  <c r="H457" s="1"/>
  <c r="AF456"/>
  <c r="V456"/>
  <c r="O456"/>
  <c r="W456" s="1"/>
  <c r="G456"/>
  <c r="H456" s="1"/>
  <c r="AF455"/>
  <c r="O455"/>
  <c r="V455" s="1"/>
  <c r="G455"/>
  <c r="H455" s="1"/>
  <c r="AF454"/>
  <c r="V454"/>
  <c r="O454"/>
  <c r="W454" s="1"/>
  <c r="G454"/>
  <c r="H454" s="1"/>
  <c r="AF453"/>
  <c r="O453"/>
  <c r="V453" s="1"/>
  <c r="G453"/>
  <c r="H453" s="1"/>
  <c r="AF452"/>
  <c r="V452"/>
  <c r="O452"/>
  <c r="W452" s="1"/>
  <c r="G452"/>
  <c r="H452" s="1"/>
  <c r="AF451"/>
  <c r="O451"/>
  <c r="V451" s="1"/>
  <c r="G451"/>
  <c r="H451" s="1"/>
  <c r="AF450"/>
  <c r="O450"/>
  <c r="W450" s="1"/>
  <c r="G450"/>
  <c r="H450" s="1"/>
  <c r="AF449"/>
  <c r="W449"/>
  <c r="O449"/>
  <c r="V449" s="1"/>
  <c r="G449"/>
  <c r="H449" s="1"/>
  <c r="AF448"/>
  <c r="V448"/>
  <c r="O448"/>
  <c r="W448" s="1"/>
  <c r="H448"/>
  <c r="G448"/>
  <c r="AF447"/>
  <c r="O447"/>
  <c r="V447" s="1"/>
  <c r="G447"/>
  <c r="H447" s="1"/>
  <c r="AF446"/>
  <c r="O446"/>
  <c r="W446" s="1"/>
  <c r="G446"/>
  <c r="H446" s="1"/>
  <c r="AF445"/>
  <c r="W445"/>
  <c r="O445"/>
  <c r="V445" s="1"/>
  <c r="G445"/>
  <c r="H445" s="1"/>
  <c r="AF444"/>
  <c r="V444"/>
  <c r="O444"/>
  <c r="W444" s="1"/>
  <c r="G444"/>
  <c r="H444" s="1"/>
  <c r="AF443"/>
  <c r="O443"/>
  <c r="V443" s="1"/>
  <c r="G443"/>
  <c r="H443" s="1"/>
  <c r="AF442"/>
  <c r="O442"/>
  <c r="W442" s="1"/>
  <c r="G442"/>
  <c r="H442" s="1"/>
  <c r="AF441"/>
  <c r="W441"/>
  <c r="O441"/>
  <c r="V441" s="1"/>
  <c r="G441"/>
  <c r="H441" s="1"/>
  <c r="AF440"/>
  <c r="V440"/>
  <c r="O440"/>
  <c r="W440" s="1"/>
  <c r="H440"/>
  <c r="G440"/>
  <c r="AF439"/>
  <c r="O439"/>
  <c r="V439" s="1"/>
  <c r="G439"/>
  <c r="H439" s="1"/>
  <c r="AF438"/>
  <c r="O438"/>
  <c r="W438" s="1"/>
  <c r="G438"/>
  <c r="H438" s="1"/>
  <c r="AF437"/>
  <c r="W437"/>
  <c r="O437"/>
  <c r="V437" s="1"/>
  <c r="G437"/>
  <c r="H437" s="1"/>
  <c r="AF436"/>
  <c r="V436"/>
  <c r="O436"/>
  <c r="W436" s="1"/>
  <c r="G436"/>
  <c r="H436" s="1"/>
  <c r="AF435"/>
  <c r="O435"/>
  <c r="V435" s="1"/>
  <c r="G435"/>
  <c r="H435" s="1"/>
  <c r="AF434"/>
  <c r="O434"/>
  <c r="W434" s="1"/>
  <c r="G434"/>
  <c r="H434" s="1"/>
  <c r="AF433"/>
  <c r="W433"/>
  <c r="O433"/>
  <c r="V433" s="1"/>
  <c r="G433"/>
  <c r="H433" s="1"/>
  <c r="AF432"/>
  <c r="V432"/>
  <c r="O432"/>
  <c r="W432" s="1"/>
  <c r="H432"/>
  <c r="G432"/>
  <c r="AF431"/>
  <c r="O431"/>
  <c r="V431" s="1"/>
  <c r="G431"/>
  <c r="H431" s="1"/>
  <c r="AF430"/>
  <c r="O430"/>
  <c r="W430" s="1"/>
  <c r="G430"/>
  <c r="H430" s="1"/>
  <c r="AF429"/>
  <c r="W429"/>
  <c r="O429"/>
  <c r="V429" s="1"/>
  <c r="G429"/>
  <c r="H429" s="1"/>
  <c r="AF428"/>
  <c r="V428"/>
  <c r="O428"/>
  <c r="W428" s="1"/>
  <c r="G428"/>
  <c r="H428" s="1"/>
  <c r="AF427"/>
  <c r="O427"/>
  <c r="V427" s="1"/>
  <c r="G427"/>
  <c r="H427" s="1"/>
  <c r="AF426"/>
  <c r="O426"/>
  <c r="W426" s="1"/>
  <c r="G426"/>
  <c r="H426" s="1"/>
  <c r="AF425"/>
  <c r="W425"/>
  <c r="O425"/>
  <c r="V425" s="1"/>
  <c r="G425"/>
  <c r="H425" s="1"/>
  <c r="AF424"/>
  <c r="V424"/>
  <c r="O424"/>
  <c r="W424" s="1"/>
  <c r="H424"/>
  <c r="G424"/>
  <c r="AF423"/>
  <c r="O423"/>
  <c r="V423" s="1"/>
  <c r="G423"/>
  <c r="H423" s="1"/>
  <c r="AF422"/>
  <c r="O422"/>
  <c r="W422" s="1"/>
  <c r="G422"/>
  <c r="H422" s="1"/>
  <c r="AF421"/>
  <c r="W421"/>
  <c r="O421"/>
  <c r="V421" s="1"/>
  <c r="G421"/>
  <c r="H421" s="1"/>
  <c r="AF420"/>
  <c r="V420"/>
  <c r="O420"/>
  <c r="W420" s="1"/>
  <c r="G420"/>
  <c r="H420" s="1"/>
  <c r="AF419"/>
  <c r="O419"/>
  <c r="V419" s="1"/>
  <c r="G419"/>
  <c r="H419" s="1"/>
  <c r="AF418"/>
  <c r="O418"/>
  <c r="W418" s="1"/>
  <c r="G418"/>
  <c r="H418" s="1"/>
  <c r="AF417"/>
  <c r="W417"/>
  <c r="O417"/>
  <c r="V417" s="1"/>
  <c r="G417"/>
  <c r="H417" s="1"/>
  <c r="AF416"/>
  <c r="V416"/>
  <c r="O416"/>
  <c r="W416" s="1"/>
  <c r="H416"/>
  <c r="G416"/>
  <c r="AF415"/>
  <c r="O415"/>
  <c r="V415" s="1"/>
  <c r="G415"/>
  <c r="H415" s="1"/>
  <c r="AF414"/>
  <c r="V414"/>
  <c r="O414"/>
  <c r="W414" s="1"/>
  <c r="H414"/>
  <c r="G414"/>
  <c r="AF413"/>
  <c r="O413"/>
  <c r="V413" s="1"/>
  <c r="G413"/>
  <c r="H413" s="1"/>
  <c r="AF412"/>
  <c r="V412"/>
  <c r="O412"/>
  <c r="W412" s="1"/>
  <c r="H412"/>
  <c r="G412"/>
  <c r="AF411"/>
  <c r="O411"/>
  <c r="V411" s="1"/>
  <c r="G411"/>
  <c r="H411" s="1"/>
  <c r="AF410"/>
  <c r="V410"/>
  <c r="O410"/>
  <c r="W410" s="1"/>
  <c r="H410"/>
  <c r="G410"/>
  <c r="AF409"/>
  <c r="O409"/>
  <c r="V409" s="1"/>
  <c r="G409"/>
  <c r="H409" s="1"/>
  <c r="AF408"/>
  <c r="V408"/>
  <c r="O408"/>
  <c r="W408" s="1"/>
  <c r="H408"/>
  <c r="G408"/>
  <c r="AF407"/>
  <c r="O407"/>
  <c r="V407" s="1"/>
  <c r="G407"/>
  <c r="H407" s="1"/>
  <c r="AF406"/>
  <c r="V406"/>
  <c r="O406"/>
  <c r="W406" s="1"/>
  <c r="H406"/>
  <c r="G406"/>
  <c r="AF405"/>
  <c r="O405"/>
  <c r="V405" s="1"/>
  <c r="G405"/>
  <c r="H405" s="1"/>
  <c r="AF404"/>
  <c r="V404"/>
  <c r="O404"/>
  <c r="W404" s="1"/>
  <c r="H404"/>
  <c r="G404"/>
  <c r="AF403"/>
  <c r="O403"/>
  <c r="V403" s="1"/>
  <c r="G403"/>
  <c r="H403" s="1"/>
  <c r="AF402"/>
  <c r="V402"/>
  <c r="O402"/>
  <c r="W402" s="1"/>
  <c r="H402"/>
  <c r="G402"/>
  <c r="AF401"/>
  <c r="O401"/>
  <c r="V401" s="1"/>
  <c r="G401"/>
  <c r="H401" s="1"/>
  <c r="AF400"/>
  <c r="V400"/>
  <c r="O400"/>
  <c r="W400" s="1"/>
  <c r="H400"/>
  <c r="G400"/>
  <c r="AF399"/>
  <c r="O399"/>
  <c r="V399" s="1"/>
  <c r="G399"/>
  <c r="H399" s="1"/>
  <c r="AF398"/>
  <c r="V398"/>
  <c r="O398"/>
  <c r="W398" s="1"/>
  <c r="H398"/>
  <c r="G398"/>
  <c r="AF397"/>
  <c r="O397"/>
  <c r="V397" s="1"/>
  <c r="G397"/>
  <c r="H397" s="1"/>
  <c r="AF396"/>
  <c r="V396"/>
  <c r="O396"/>
  <c r="W396" s="1"/>
  <c r="H396"/>
  <c r="G396"/>
  <c r="AF395"/>
  <c r="O395"/>
  <c r="V395" s="1"/>
  <c r="G395"/>
  <c r="H395" s="1"/>
  <c r="AF394"/>
  <c r="V394"/>
  <c r="O394"/>
  <c r="W394" s="1"/>
  <c r="H394"/>
  <c r="G394"/>
  <c r="AF393"/>
  <c r="O393"/>
  <c r="V393" s="1"/>
  <c r="G393"/>
  <c r="H393" s="1"/>
  <c r="AF392"/>
  <c r="V392"/>
  <c r="O392"/>
  <c r="W392" s="1"/>
  <c r="H392"/>
  <c r="G392"/>
  <c r="AF391"/>
  <c r="O391"/>
  <c r="V391" s="1"/>
  <c r="G391"/>
  <c r="H391" s="1"/>
  <c r="AF390"/>
  <c r="V390"/>
  <c r="O390"/>
  <c r="W390" s="1"/>
  <c r="H390"/>
  <c r="G390"/>
  <c r="AF389"/>
  <c r="O389"/>
  <c r="V389" s="1"/>
  <c r="G389"/>
  <c r="H389" s="1"/>
  <c r="AF388"/>
  <c r="V388"/>
  <c r="O388"/>
  <c r="W388" s="1"/>
  <c r="H388"/>
  <c r="G388"/>
  <c r="AF387"/>
  <c r="O387"/>
  <c r="V387" s="1"/>
  <c r="G387"/>
  <c r="H387" s="1"/>
  <c r="AF386"/>
  <c r="V386"/>
  <c r="O386"/>
  <c r="W386" s="1"/>
  <c r="H386"/>
  <c r="G386"/>
  <c r="AF385"/>
  <c r="O385"/>
  <c r="V385" s="1"/>
  <c r="G385"/>
  <c r="H385" s="1"/>
  <c r="AF384"/>
  <c r="V384"/>
  <c r="O384"/>
  <c r="W384" s="1"/>
  <c r="H384"/>
  <c r="G384"/>
  <c r="AF383"/>
  <c r="O383"/>
  <c r="V383" s="1"/>
  <c r="G383"/>
  <c r="H383" s="1"/>
  <c r="AF382"/>
  <c r="V382"/>
  <c r="O382"/>
  <c r="W382" s="1"/>
  <c r="H382"/>
  <c r="G382"/>
  <c r="AF381"/>
  <c r="O381"/>
  <c r="V381" s="1"/>
  <c r="G381"/>
  <c r="H381" s="1"/>
  <c r="AF380"/>
  <c r="V380"/>
  <c r="O380"/>
  <c r="W380" s="1"/>
  <c r="H380"/>
  <c r="G380"/>
  <c r="AF379"/>
  <c r="O379"/>
  <c r="V379" s="1"/>
  <c r="G379"/>
  <c r="H379" s="1"/>
  <c r="AF378"/>
  <c r="V378"/>
  <c r="O378"/>
  <c r="W378" s="1"/>
  <c r="H378"/>
  <c r="G378"/>
  <c r="AF377"/>
  <c r="O377"/>
  <c r="V377" s="1"/>
  <c r="G377"/>
  <c r="H377" s="1"/>
  <c r="AF376"/>
  <c r="V376"/>
  <c r="O376"/>
  <c r="W376" s="1"/>
  <c r="H376"/>
  <c r="G376"/>
  <c r="AF375"/>
  <c r="O375"/>
  <c r="V375" s="1"/>
  <c r="G375"/>
  <c r="H375" s="1"/>
  <c r="AF374"/>
  <c r="V374"/>
  <c r="O374"/>
  <c r="W374" s="1"/>
  <c r="H374"/>
  <c r="G374"/>
  <c r="AF373"/>
  <c r="O373"/>
  <c r="V373" s="1"/>
  <c r="G373"/>
  <c r="H373" s="1"/>
  <c r="AF372"/>
  <c r="V372"/>
  <c r="O372"/>
  <c r="W372" s="1"/>
  <c r="H372"/>
  <c r="G372"/>
  <c r="AF371"/>
  <c r="O371"/>
  <c r="V371" s="1"/>
  <c r="G371"/>
  <c r="H371" s="1"/>
  <c r="AF370"/>
  <c r="V370"/>
  <c r="O370"/>
  <c r="W370" s="1"/>
  <c r="H370"/>
  <c r="G370"/>
  <c r="AF369"/>
  <c r="O369"/>
  <c r="V369" s="1"/>
  <c r="G369"/>
  <c r="H369" s="1"/>
  <c r="AF368"/>
  <c r="V368"/>
  <c r="O368"/>
  <c r="W368" s="1"/>
  <c r="H368"/>
  <c r="G368"/>
  <c r="AF367"/>
  <c r="O367"/>
  <c r="V367" s="1"/>
  <c r="G367"/>
  <c r="H367" s="1"/>
  <c r="AF366"/>
  <c r="V366"/>
  <c r="O366"/>
  <c r="W366" s="1"/>
  <c r="H366"/>
  <c r="G366"/>
  <c r="AF365"/>
  <c r="O365"/>
  <c r="V365" s="1"/>
  <c r="G365"/>
  <c r="H365" s="1"/>
  <c r="AF364"/>
  <c r="V364"/>
  <c r="O364"/>
  <c r="W364" s="1"/>
  <c r="H364"/>
  <c r="G364"/>
  <c r="AF363"/>
  <c r="O363"/>
  <c r="V363" s="1"/>
  <c r="G363"/>
  <c r="H363" s="1"/>
  <c r="AF362"/>
  <c r="V362"/>
  <c r="O362"/>
  <c r="W362" s="1"/>
  <c r="H362"/>
  <c r="G362"/>
  <c r="AF361"/>
  <c r="O361"/>
  <c r="V361" s="1"/>
  <c r="G361"/>
  <c r="H361" s="1"/>
  <c r="AF360"/>
  <c r="V360"/>
  <c r="O360"/>
  <c r="W360" s="1"/>
  <c r="H360"/>
  <c r="G360"/>
  <c r="AF359"/>
  <c r="O359"/>
  <c r="V359" s="1"/>
  <c r="G359"/>
  <c r="H359" s="1"/>
  <c r="AF358"/>
  <c r="V358"/>
  <c r="O358"/>
  <c r="W358" s="1"/>
  <c r="H358"/>
  <c r="G358"/>
  <c r="AF357"/>
  <c r="O357"/>
  <c r="V357" s="1"/>
  <c r="G357"/>
  <c r="H357" s="1"/>
  <c r="AF356"/>
  <c r="V356"/>
  <c r="O356"/>
  <c r="W356" s="1"/>
  <c r="H356"/>
  <c r="G356"/>
  <c r="AF355"/>
  <c r="O355"/>
  <c r="V355" s="1"/>
  <c r="G355"/>
  <c r="H355" s="1"/>
  <c r="AF354"/>
  <c r="V354"/>
  <c r="O354"/>
  <c r="W354" s="1"/>
  <c r="H354"/>
  <c r="G354"/>
  <c r="AF353"/>
  <c r="O353"/>
  <c r="V353" s="1"/>
  <c r="G353"/>
  <c r="H353" s="1"/>
  <c r="AF352"/>
  <c r="V352"/>
  <c r="O352"/>
  <c r="W352" s="1"/>
  <c r="H352"/>
  <c r="G352"/>
  <c r="AF351"/>
  <c r="O351"/>
  <c r="V351" s="1"/>
  <c r="G351"/>
  <c r="H351" s="1"/>
  <c r="AF350"/>
  <c r="V350"/>
  <c r="O350"/>
  <c r="W350" s="1"/>
  <c r="H350"/>
  <c r="G350"/>
  <c r="AF349"/>
  <c r="O349"/>
  <c r="V349" s="1"/>
  <c r="G349"/>
  <c r="H349" s="1"/>
  <c r="AF348"/>
  <c r="V348"/>
  <c r="O348"/>
  <c r="W348" s="1"/>
  <c r="H348"/>
  <c r="G348"/>
  <c r="AF347"/>
  <c r="O347"/>
  <c r="V347" s="1"/>
  <c r="G347"/>
  <c r="H347" s="1"/>
  <c r="AF346"/>
  <c r="V346"/>
  <c r="O346"/>
  <c r="W346" s="1"/>
  <c r="H346"/>
  <c r="G346"/>
  <c r="AF345"/>
  <c r="O345"/>
  <c r="V345" s="1"/>
  <c r="G345"/>
  <c r="H345" s="1"/>
  <c r="AF344"/>
  <c r="V344"/>
  <c r="O344"/>
  <c r="W344" s="1"/>
  <c r="H344"/>
  <c r="G344"/>
  <c r="AF343"/>
  <c r="O343"/>
  <c r="V343" s="1"/>
  <c r="G343"/>
  <c r="H343" s="1"/>
  <c r="AF342"/>
  <c r="V342"/>
  <c r="O342"/>
  <c r="W342" s="1"/>
  <c r="H342"/>
  <c r="G342"/>
  <c r="AF341"/>
  <c r="O341"/>
  <c r="W341" s="1"/>
  <c r="G341"/>
  <c r="H341" s="1"/>
  <c r="AF340"/>
  <c r="V340"/>
  <c r="O340"/>
  <c r="W340" s="1"/>
  <c r="AE340" s="1"/>
  <c r="H340"/>
  <c r="G340"/>
  <c r="AF339"/>
  <c r="O339"/>
  <c r="W339" s="1"/>
  <c r="G339"/>
  <c r="H339" s="1"/>
  <c r="AF338"/>
  <c r="V338"/>
  <c r="O338"/>
  <c r="W338" s="1"/>
  <c r="AE338" s="1"/>
  <c r="H338"/>
  <c r="G338"/>
  <c r="AF337"/>
  <c r="O337"/>
  <c r="W337" s="1"/>
  <c r="G337"/>
  <c r="H337" s="1"/>
  <c r="AF336"/>
  <c r="V336"/>
  <c r="O336"/>
  <c r="W336" s="1"/>
  <c r="AE336" s="1"/>
  <c r="H336"/>
  <c r="G336"/>
  <c r="AF335"/>
  <c r="O335"/>
  <c r="W335" s="1"/>
  <c r="G335"/>
  <c r="H335" s="1"/>
  <c r="AF334"/>
  <c r="V334"/>
  <c r="O334"/>
  <c r="W334" s="1"/>
  <c r="AE334" s="1"/>
  <c r="H334"/>
  <c r="G334"/>
  <c r="AF333"/>
  <c r="O333"/>
  <c r="W333" s="1"/>
  <c r="G333"/>
  <c r="H333" s="1"/>
  <c r="AF332"/>
  <c r="V332"/>
  <c r="O332"/>
  <c r="W332" s="1"/>
  <c r="AE332" s="1"/>
  <c r="H332"/>
  <c r="G332"/>
  <c r="AF331"/>
  <c r="O331"/>
  <c r="W331" s="1"/>
  <c r="G331"/>
  <c r="H331" s="1"/>
  <c r="AF330"/>
  <c r="V330"/>
  <c r="O330"/>
  <c r="W330" s="1"/>
  <c r="AE330" s="1"/>
  <c r="H330"/>
  <c r="G330"/>
  <c r="AF329"/>
  <c r="O329"/>
  <c r="W329" s="1"/>
  <c r="G329"/>
  <c r="H329" s="1"/>
  <c r="AF328"/>
  <c r="V328"/>
  <c r="O328"/>
  <c r="W328" s="1"/>
  <c r="AE328" s="1"/>
  <c r="H328"/>
  <c r="G328"/>
  <c r="AF327"/>
  <c r="O327"/>
  <c r="W327" s="1"/>
  <c r="G327"/>
  <c r="H327" s="1"/>
  <c r="AF326"/>
  <c r="V326"/>
  <c r="O326"/>
  <c r="W326" s="1"/>
  <c r="AE326" s="1"/>
  <c r="H326"/>
  <c r="G326"/>
  <c r="AF325"/>
  <c r="O325"/>
  <c r="W325" s="1"/>
  <c r="G325"/>
  <c r="H325" s="1"/>
  <c r="AF324"/>
  <c r="V324"/>
  <c r="O324"/>
  <c r="W324" s="1"/>
  <c r="AE324" s="1"/>
  <c r="H324"/>
  <c r="G324"/>
  <c r="AF323"/>
  <c r="O323"/>
  <c r="W323" s="1"/>
  <c r="G323"/>
  <c r="H323" s="1"/>
  <c r="AF322"/>
  <c r="V322"/>
  <c r="O322"/>
  <c r="W322" s="1"/>
  <c r="AE322" s="1"/>
  <c r="H322"/>
  <c r="G322"/>
  <c r="AF321"/>
  <c r="O321"/>
  <c r="W321" s="1"/>
  <c r="G321"/>
  <c r="H321" s="1"/>
  <c r="AF320"/>
  <c r="V320"/>
  <c r="O320"/>
  <c r="W320" s="1"/>
  <c r="AE320" s="1"/>
  <c r="H320"/>
  <c r="G320"/>
  <c r="AF319"/>
  <c r="O319"/>
  <c r="W319" s="1"/>
  <c r="G319"/>
  <c r="H319" s="1"/>
  <c r="AF318"/>
  <c r="V318"/>
  <c r="O318"/>
  <c r="W318" s="1"/>
  <c r="AE318" s="1"/>
  <c r="H318"/>
  <c r="G318"/>
  <c r="AF317"/>
  <c r="O317"/>
  <c r="W317" s="1"/>
  <c r="G317"/>
  <c r="H317" s="1"/>
  <c r="AF316"/>
  <c r="V316"/>
  <c r="O316"/>
  <c r="W316" s="1"/>
  <c r="AE316" s="1"/>
  <c r="H316"/>
  <c r="G316"/>
  <c r="AF315"/>
  <c r="O315"/>
  <c r="W315" s="1"/>
  <c r="G315"/>
  <c r="H315" s="1"/>
  <c r="AF314"/>
  <c r="V314"/>
  <c r="O314"/>
  <c r="W314" s="1"/>
  <c r="AE314" s="1"/>
  <c r="H314"/>
  <c r="G314"/>
  <c r="AF313"/>
  <c r="O313"/>
  <c r="W313" s="1"/>
  <c r="G313"/>
  <c r="H313" s="1"/>
  <c r="AF312"/>
  <c r="V312"/>
  <c r="O312"/>
  <c r="W312" s="1"/>
  <c r="AE312" s="1"/>
  <c r="H312"/>
  <c r="G312"/>
  <c r="AF311"/>
  <c r="O311"/>
  <c r="W311" s="1"/>
  <c r="G311"/>
  <c r="H311" s="1"/>
  <c r="AF310"/>
  <c r="V310"/>
  <c r="O310"/>
  <c r="W310" s="1"/>
  <c r="AE310" s="1"/>
  <c r="H310"/>
  <c r="G310"/>
  <c r="AF309"/>
  <c r="O309"/>
  <c r="W309" s="1"/>
  <c r="G309"/>
  <c r="H309" s="1"/>
  <c r="AF308"/>
  <c r="V308"/>
  <c r="O308"/>
  <c r="W308" s="1"/>
  <c r="AE308" s="1"/>
  <c r="H308"/>
  <c r="G308"/>
  <c r="AF307"/>
  <c r="O307"/>
  <c r="W307" s="1"/>
  <c r="G307"/>
  <c r="H307" s="1"/>
  <c r="AF306"/>
  <c r="V306"/>
  <c r="O306"/>
  <c r="W306" s="1"/>
  <c r="AE306" s="1"/>
  <c r="H306"/>
  <c r="G306"/>
  <c r="AF305"/>
  <c r="O305"/>
  <c r="W305" s="1"/>
  <c r="G305"/>
  <c r="H305" s="1"/>
  <c r="AF304"/>
  <c r="V304"/>
  <c r="O304"/>
  <c r="W304" s="1"/>
  <c r="AE304" s="1"/>
  <c r="H304"/>
  <c r="G304"/>
  <c r="AF303"/>
  <c r="O303"/>
  <c r="W303" s="1"/>
  <c r="G303"/>
  <c r="H303" s="1"/>
  <c r="AF302"/>
  <c r="V302"/>
  <c r="O302"/>
  <c r="W302" s="1"/>
  <c r="AE302" s="1"/>
  <c r="H302"/>
  <c r="G302"/>
  <c r="AF301"/>
  <c r="O301"/>
  <c r="W301" s="1"/>
  <c r="G301"/>
  <c r="H301" s="1"/>
  <c r="AF300"/>
  <c r="V300"/>
  <c r="O300"/>
  <c r="W300" s="1"/>
  <c r="AE300" s="1"/>
  <c r="H300"/>
  <c r="G300"/>
  <c r="AF299"/>
  <c r="O299"/>
  <c r="W299" s="1"/>
  <c r="G299"/>
  <c r="H299" s="1"/>
  <c r="AF298"/>
  <c r="V298"/>
  <c r="O298"/>
  <c r="W298" s="1"/>
  <c r="AE298" s="1"/>
  <c r="H298"/>
  <c r="G298"/>
  <c r="AF297"/>
  <c r="O297"/>
  <c r="W297" s="1"/>
  <c r="G297"/>
  <c r="H297" s="1"/>
  <c r="AF296"/>
  <c r="V296"/>
  <c r="O296"/>
  <c r="W296" s="1"/>
  <c r="AE296" s="1"/>
  <c r="H296"/>
  <c r="G296"/>
  <c r="AF295"/>
  <c r="O295"/>
  <c r="W295" s="1"/>
  <c r="G295"/>
  <c r="H295" s="1"/>
  <c r="AF294"/>
  <c r="V294"/>
  <c r="O294"/>
  <c r="W294" s="1"/>
  <c r="AE294" s="1"/>
  <c r="H294"/>
  <c r="G294"/>
  <c r="AF293"/>
  <c r="O293"/>
  <c r="W293" s="1"/>
  <c r="G293"/>
  <c r="H293" s="1"/>
  <c r="AF292"/>
  <c r="V292"/>
  <c r="O292"/>
  <c r="W292" s="1"/>
  <c r="AE292" s="1"/>
  <c r="H292"/>
  <c r="G292"/>
  <c r="AF291"/>
  <c r="O291"/>
  <c r="W291" s="1"/>
  <c r="G291"/>
  <c r="H291" s="1"/>
  <c r="AF290"/>
  <c r="V290"/>
  <c r="O290"/>
  <c r="W290" s="1"/>
  <c r="AE290" s="1"/>
  <c r="H290"/>
  <c r="G290"/>
  <c r="AF289"/>
  <c r="O289"/>
  <c r="W289" s="1"/>
  <c r="G289"/>
  <c r="H289" s="1"/>
  <c r="AF288"/>
  <c r="V288"/>
  <c r="O288"/>
  <c r="W288" s="1"/>
  <c r="AE288" s="1"/>
  <c r="H288"/>
  <c r="G288"/>
  <c r="AF287"/>
  <c r="O287"/>
  <c r="W287" s="1"/>
  <c r="G287"/>
  <c r="H287" s="1"/>
  <c r="AF286"/>
  <c r="V286"/>
  <c r="O286"/>
  <c r="W286" s="1"/>
  <c r="AE286" s="1"/>
  <c r="H286"/>
  <c r="G286"/>
  <c r="AF285"/>
  <c r="O285"/>
  <c r="W285" s="1"/>
  <c r="G285"/>
  <c r="H285" s="1"/>
  <c r="AF284"/>
  <c r="V284"/>
  <c r="O284"/>
  <c r="W284" s="1"/>
  <c r="AE284" s="1"/>
  <c r="H284"/>
  <c r="G284"/>
  <c r="AF283"/>
  <c r="O283"/>
  <c r="W283" s="1"/>
  <c r="G283"/>
  <c r="H283" s="1"/>
  <c r="AF282"/>
  <c r="V282"/>
  <c r="O282"/>
  <c r="W282" s="1"/>
  <c r="AE282" s="1"/>
  <c r="H282"/>
  <c r="G282"/>
  <c r="AF281"/>
  <c r="O281"/>
  <c r="W281" s="1"/>
  <c r="G281"/>
  <c r="H281" s="1"/>
  <c r="AF280"/>
  <c r="V280"/>
  <c r="O280"/>
  <c r="W280" s="1"/>
  <c r="AE280" s="1"/>
  <c r="H280"/>
  <c r="G280"/>
  <c r="AF279"/>
  <c r="O279"/>
  <c r="W279" s="1"/>
  <c r="G279"/>
  <c r="H279" s="1"/>
  <c r="AF278"/>
  <c r="V278"/>
  <c r="O278"/>
  <c r="W278" s="1"/>
  <c r="AE278" s="1"/>
  <c r="H278"/>
  <c r="G278"/>
  <c r="AF277"/>
  <c r="O277"/>
  <c r="W277" s="1"/>
  <c r="G277"/>
  <c r="H277" s="1"/>
  <c r="AF276"/>
  <c r="V276"/>
  <c r="O276"/>
  <c r="W276" s="1"/>
  <c r="AE276" s="1"/>
  <c r="H276"/>
  <c r="G276"/>
  <c r="AF275"/>
  <c r="O275"/>
  <c r="W275" s="1"/>
  <c r="G275"/>
  <c r="H275" s="1"/>
  <c r="AF274"/>
  <c r="V274"/>
  <c r="O274"/>
  <c r="W274" s="1"/>
  <c r="AE274" s="1"/>
  <c r="H274"/>
  <c r="G274"/>
  <c r="AF273"/>
  <c r="O273"/>
  <c r="W273" s="1"/>
  <c r="G273"/>
  <c r="H273" s="1"/>
  <c r="AF272"/>
  <c r="V272"/>
  <c r="O272"/>
  <c r="W272" s="1"/>
  <c r="AE272" s="1"/>
  <c r="H272"/>
  <c r="G272"/>
  <c r="AF271"/>
  <c r="O271"/>
  <c r="W271" s="1"/>
  <c r="G271"/>
  <c r="H271" s="1"/>
  <c r="AF270"/>
  <c r="V270"/>
  <c r="O270"/>
  <c r="W270" s="1"/>
  <c r="AE270" s="1"/>
  <c r="H270"/>
  <c r="G270"/>
  <c r="AF269"/>
  <c r="O269"/>
  <c r="W269" s="1"/>
  <c r="G269"/>
  <c r="H269" s="1"/>
  <c r="AF268"/>
  <c r="V268"/>
  <c r="O268"/>
  <c r="W268" s="1"/>
  <c r="AE268" s="1"/>
  <c r="H268"/>
  <c r="G268"/>
  <c r="AF267"/>
  <c r="O267"/>
  <c r="W267" s="1"/>
  <c r="G267"/>
  <c r="H267" s="1"/>
  <c r="AF266"/>
  <c r="V266"/>
  <c r="O266"/>
  <c r="W266" s="1"/>
  <c r="AE266" s="1"/>
  <c r="H266"/>
  <c r="G266"/>
  <c r="AF265"/>
  <c r="O265"/>
  <c r="W265" s="1"/>
  <c r="G265"/>
  <c r="H265" s="1"/>
  <c r="AF264"/>
  <c r="V264"/>
  <c r="O264"/>
  <c r="W264" s="1"/>
  <c r="AE264" s="1"/>
  <c r="H264"/>
  <c r="G264"/>
  <c r="AF263"/>
  <c r="O263"/>
  <c r="W263" s="1"/>
  <c r="G263"/>
  <c r="H263" s="1"/>
  <c r="AF262"/>
  <c r="V262"/>
  <c r="O262"/>
  <c r="W262" s="1"/>
  <c r="AE262" s="1"/>
  <c r="H262"/>
  <c r="G262"/>
  <c r="AF261"/>
  <c r="O261"/>
  <c r="W261" s="1"/>
  <c r="G261"/>
  <c r="H261" s="1"/>
  <c r="AF260"/>
  <c r="V260"/>
  <c r="O260"/>
  <c r="W260" s="1"/>
  <c r="AE260" s="1"/>
  <c r="H260"/>
  <c r="G260"/>
  <c r="AF259"/>
  <c r="O259"/>
  <c r="W259" s="1"/>
  <c r="G259"/>
  <c r="H259" s="1"/>
  <c r="AF258"/>
  <c r="V258"/>
  <c r="O258"/>
  <c r="W258" s="1"/>
  <c r="AE258" s="1"/>
  <c r="H258"/>
  <c r="G258"/>
  <c r="AF257"/>
  <c r="O257"/>
  <c r="W257" s="1"/>
  <c r="G257"/>
  <c r="H257" s="1"/>
  <c r="AF256"/>
  <c r="V256"/>
  <c r="O256"/>
  <c r="W256" s="1"/>
  <c r="AE256" s="1"/>
  <c r="H256"/>
  <c r="G256"/>
  <c r="AF255"/>
  <c r="O255"/>
  <c r="W255" s="1"/>
  <c r="G255"/>
  <c r="H255" s="1"/>
  <c r="AF254"/>
  <c r="V254"/>
  <c r="O254"/>
  <c r="W254" s="1"/>
  <c r="AE254" s="1"/>
  <c r="H254"/>
  <c r="G254"/>
  <c r="AF253"/>
  <c r="O253"/>
  <c r="W253" s="1"/>
  <c r="G253"/>
  <c r="H253" s="1"/>
  <c r="AF252"/>
  <c r="V252"/>
  <c r="O252"/>
  <c r="W252" s="1"/>
  <c r="AE252" s="1"/>
  <c r="H252"/>
  <c r="G252"/>
  <c r="AF251"/>
  <c r="O251"/>
  <c r="W251" s="1"/>
  <c r="G251"/>
  <c r="H251" s="1"/>
  <c r="AF250"/>
  <c r="V250"/>
  <c r="O250"/>
  <c r="W250" s="1"/>
  <c r="AE250" s="1"/>
  <c r="H250"/>
  <c r="G250"/>
  <c r="AF249"/>
  <c r="O249"/>
  <c r="W249" s="1"/>
  <c r="G249"/>
  <c r="H249" s="1"/>
  <c r="AF248"/>
  <c r="V248"/>
  <c r="O248"/>
  <c r="W248" s="1"/>
  <c r="AE248" s="1"/>
  <c r="H248"/>
  <c r="G248"/>
  <c r="AF247"/>
  <c r="O247"/>
  <c r="W247" s="1"/>
  <c r="G247"/>
  <c r="H247" s="1"/>
  <c r="AF246"/>
  <c r="V246"/>
  <c r="O246"/>
  <c r="W246" s="1"/>
  <c r="AE246" s="1"/>
  <c r="H246"/>
  <c r="G246"/>
  <c r="AF245"/>
  <c r="O245"/>
  <c r="W245" s="1"/>
  <c r="G245"/>
  <c r="H245" s="1"/>
  <c r="AF244"/>
  <c r="V244"/>
  <c r="O244"/>
  <c r="W244" s="1"/>
  <c r="AE244" s="1"/>
  <c r="H244"/>
  <c r="G244"/>
  <c r="AF243"/>
  <c r="O243"/>
  <c r="W243" s="1"/>
  <c r="G243"/>
  <c r="H243" s="1"/>
  <c r="AF242"/>
  <c r="V242"/>
  <c r="O242"/>
  <c r="W242" s="1"/>
  <c r="AE242" s="1"/>
  <c r="H242"/>
  <c r="G242"/>
  <c r="AF241"/>
  <c r="O241"/>
  <c r="W241" s="1"/>
  <c r="G241"/>
  <c r="H241" s="1"/>
  <c r="AF240"/>
  <c r="V240"/>
  <c r="O240"/>
  <c r="W240" s="1"/>
  <c r="AE240" s="1"/>
  <c r="H240"/>
  <c r="G240"/>
  <c r="AF239"/>
  <c r="O239"/>
  <c r="W239" s="1"/>
  <c r="G239"/>
  <c r="H239" s="1"/>
  <c r="AF238"/>
  <c r="V238"/>
  <c r="O238"/>
  <c r="W238" s="1"/>
  <c r="AE238" s="1"/>
  <c r="H238"/>
  <c r="G238"/>
  <c r="AF237"/>
  <c r="O237"/>
  <c r="W237" s="1"/>
  <c r="G237"/>
  <c r="H237" s="1"/>
  <c r="AF236"/>
  <c r="V236"/>
  <c r="O236"/>
  <c r="W236" s="1"/>
  <c r="AE236" s="1"/>
  <c r="H236"/>
  <c r="G236"/>
  <c r="AF235"/>
  <c r="O235"/>
  <c r="W235" s="1"/>
  <c r="G235"/>
  <c r="H235" s="1"/>
  <c r="AF234"/>
  <c r="V234"/>
  <c r="O234"/>
  <c r="W234" s="1"/>
  <c r="AE234" s="1"/>
  <c r="H234"/>
  <c r="G234"/>
  <c r="AF233"/>
  <c r="O233"/>
  <c r="W233" s="1"/>
  <c r="G233"/>
  <c r="H233" s="1"/>
  <c r="AF232"/>
  <c r="V232"/>
  <c r="O232"/>
  <c r="W232" s="1"/>
  <c r="AE232" s="1"/>
  <c r="H232"/>
  <c r="G232"/>
  <c r="AF231"/>
  <c r="O231"/>
  <c r="W231" s="1"/>
  <c r="G231"/>
  <c r="H231" s="1"/>
  <c r="AF230"/>
  <c r="V230"/>
  <c r="O230"/>
  <c r="W230" s="1"/>
  <c r="AE230" s="1"/>
  <c r="H230"/>
  <c r="G230"/>
  <c r="AF229"/>
  <c r="O229"/>
  <c r="W229" s="1"/>
  <c r="G229"/>
  <c r="H229" s="1"/>
  <c r="AF228"/>
  <c r="V228"/>
  <c r="O228"/>
  <c r="W228" s="1"/>
  <c r="AE228" s="1"/>
  <c r="H228"/>
  <c r="G228"/>
  <c r="AF227"/>
  <c r="O227"/>
  <c r="W227" s="1"/>
  <c r="G227"/>
  <c r="H227" s="1"/>
  <c r="AF226"/>
  <c r="V226"/>
  <c r="O226"/>
  <c r="W226" s="1"/>
  <c r="AE226" s="1"/>
  <c r="H226"/>
  <c r="G226"/>
  <c r="AF225"/>
  <c r="O225"/>
  <c r="W225" s="1"/>
  <c r="G225"/>
  <c r="H225" s="1"/>
  <c r="AF224"/>
  <c r="V224"/>
  <c r="O224"/>
  <c r="W224" s="1"/>
  <c r="AE224" s="1"/>
  <c r="H224"/>
  <c r="G224"/>
  <c r="AF223"/>
  <c r="O223"/>
  <c r="W223" s="1"/>
  <c r="G223"/>
  <c r="H223" s="1"/>
  <c r="AF222"/>
  <c r="V222"/>
  <c r="O222"/>
  <c r="W222" s="1"/>
  <c r="AE222" s="1"/>
  <c r="H222"/>
  <c r="G222"/>
  <c r="AF221"/>
  <c r="O221"/>
  <c r="W221" s="1"/>
  <c r="G221"/>
  <c r="H221" s="1"/>
  <c r="AF220"/>
  <c r="V220"/>
  <c r="O220"/>
  <c r="W220" s="1"/>
  <c r="AE220" s="1"/>
  <c r="H220"/>
  <c r="G220"/>
  <c r="AF219"/>
  <c r="O219"/>
  <c r="W219" s="1"/>
  <c r="G219"/>
  <c r="H219" s="1"/>
  <c r="AF218"/>
  <c r="V218"/>
  <c r="O218"/>
  <c r="W218" s="1"/>
  <c r="AE218" s="1"/>
  <c r="H218"/>
  <c r="G218"/>
  <c r="AF217"/>
  <c r="O217"/>
  <c r="W217" s="1"/>
  <c r="G217"/>
  <c r="H217" s="1"/>
  <c r="AF216"/>
  <c r="V216"/>
  <c r="O216"/>
  <c r="W216" s="1"/>
  <c r="AE216" s="1"/>
  <c r="H216"/>
  <c r="G216"/>
  <c r="AF215"/>
  <c r="O215"/>
  <c r="W215" s="1"/>
  <c r="G215"/>
  <c r="H215" s="1"/>
  <c r="AF214"/>
  <c r="V214"/>
  <c r="O214"/>
  <c r="W214" s="1"/>
  <c r="AE214" s="1"/>
  <c r="H214"/>
  <c r="G214"/>
  <c r="AF213"/>
  <c r="O213"/>
  <c r="W213" s="1"/>
  <c r="G213"/>
  <c r="H213" s="1"/>
  <c r="AF212"/>
  <c r="V212"/>
  <c r="O212"/>
  <c r="W212" s="1"/>
  <c r="AE212" s="1"/>
  <c r="H212"/>
  <c r="G212"/>
  <c r="AF211"/>
  <c r="O211"/>
  <c r="W211" s="1"/>
  <c r="G211"/>
  <c r="H211" s="1"/>
  <c r="AF210"/>
  <c r="V210"/>
  <c r="O210"/>
  <c r="W210" s="1"/>
  <c r="AE210" s="1"/>
  <c r="H210"/>
  <c r="G210"/>
  <c r="AF209"/>
  <c r="O209"/>
  <c r="W209" s="1"/>
  <c r="G209"/>
  <c r="H209" s="1"/>
  <c r="AF208"/>
  <c r="V208"/>
  <c r="O208"/>
  <c r="W208" s="1"/>
  <c r="AE208" s="1"/>
  <c r="H208"/>
  <c r="G208"/>
  <c r="AF207"/>
  <c r="O207"/>
  <c r="W207" s="1"/>
  <c r="G207"/>
  <c r="H207" s="1"/>
  <c r="AF206"/>
  <c r="V206"/>
  <c r="O206"/>
  <c r="W206" s="1"/>
  <c r="AE206" s="1"/>
  <c r="H206"/>
  <c r="G206"/>
  <c r="AF205"/>
  <c r="O205"/>
  <c r="W205" s="1"/>
  <c r="G205"/>
  <c r="H205" s="1"/>
  <c r="AF204"/>
  <c r="V204"/>
  <c r="O204"/>
  <c r="W204" s="1"/>
  <c r="AE204" s="1"/>
  <c r="H204"/>
  <c r="G204"/>
  <c r="AF203"/>
  <c r="O203"/>
  <c r="W203" s="1"/>
  <c r="G203"/>
  <c r="H203" s="1"/>
  <c r="AF202"/>
  <c r="V202"/>
  <c r="O202"/>
  <c r="W202" s="1"/>
  <c r="AE202" s="1"/>
  <c r="H202"/>
  <c r="G202"/>
  <c r="AF201"/>
  <c r="O201"/>
  <c r="W201" s="1"/>
  <c r="G201"/>
  <c r="H201" s="1"/>
  <c r="AF200"/>
  <c r="V200"/>
  <c r="O200"/>
  <c r="W200" s="1"/>
  <c r="AE200" s="1"/>
  <c r="H200"/>
  <c r="G200"/>
  <c r="AF199"/>
  <c r="O199"/>
  <c r="W199" s="1"/>
  <c r="G199"/>
  <c r="H199" s="1"/>
  <c r="AF198"/>
  <c r="V198"/>
  <c r="O198"/>
  <c r="W198" s="1"/>
  <c r="AE198" s="1"/>
  <c r="H198"/>
  <c r="G198"/>
  <c r="AF197"/>
  <c r="O197"/>
  <c r="W197" s="1"/>
  <c r="G197"/>
  <c r="H197" s="1"/>
  <c r="AF196"/>
  <c r="V196"/>
  <c r="O196"/>
  <c r="W196" s="1"/>
  <c r="AE196" s="1"/>
  <c r="H196"/>
  <c r="G196"/>
  <c r="AF195"/>
  <c r="O195"/>
  <c r="W195" s="1"/>
  <c r="G195"/>
  <c r="H195" s="1"/>
  <c r="AF194"/>
  <c r="V194"/>
  <c r="O194"/>
  <c r="W194" s="1"/>
  <c r="AE194" s="1"/>
  <c r="H194"/>
  <c r="G194"/>
  <c r="AF193"/>
  <c r="O193"/>
  <c r="W193" s="1"/>
  <c r="G193"/>
  <c r="H193" s="1"/>
  <c r="AF192"/>
  <c r="V192"/>
  <c r="O192"/>
  <c r="W192" s="1"/>
  <c r="AE192" s="1"/>
  <c r="H192"/>
  <c r="G192"/>
  <c r="AF191"/>
  <c r="O191"/>
  <c r="W191" s="1"/>
  <c r="G191"/>
  <c r="H191" s="1"/>
  <c r="AF190"/>
  <c r="V190"/>
  <c r="O190"/>
  <c r="W190" s="1"/>
  <c r="AE190" s="1"/>
  <c r="H190"/>
  <c r="G190"/>
  <c r="AF189"/>
  <c r="O189"/>
  <c r="W189" s="1"/>
  <c r="G189"/>
  <c r="H189" s="1"/>
  <c r="AF188"/>
  <c r="V188"/>
  <c r="O188"/>
  <c r="W188" s="1"/>
  <c r="AE188" s="1"/>
  <c r="H188"/>
  <c r="G188"/>
  <c r="AF187"/>
  <c r="O187"/>
  <c r="W187" s="1"/>
  <c r="G187"/>
  <c r="H187" s="1"/>
  <c r="AF186"/>
  <c r="V186"/>
  <c r="O186"/>
  <c r="W186" s="1"/>
  <c r="AE186" s="1"/>
  <c r="H186"/>
  <c r="G186"/>
  <c r="AF185"/>
  <c r="O185"/>
  <c r="W185" s="1"/>
  <c r="G185"/>
  <c r="H185" s="1"/>
  <c r="AF184"/>
  <c r="V184"/>
  <c r="O184"/>
  <c r="W184" s="1"/>
  <c r="AE184" s="1"/>
  <c r="H184"/>
  <c r="G184"/>
  <c r="AF183"/>
  <c r="O183"/>
  <c r="W183" s="1"/>
  <c r="G183"/>
  <c r="H183" s="1"/>
  <c r="AF182"/>
  <c r="V182"/>
  <c r="O182"/>
  <c r="W182" s="1"/>
  <c r="AE182" s="1"/>
  <c r="H182"/>
  <c r="G182"/>
  <c r="AF181"/>
  <c r="O181"/>
  <c r="W181" s="1"/>
  <c r="G181"/>
  <c r="H181" s="1"/>
  <c r="AF180"/>
  <c r="V180"/>
  <c r="O180"/>
  <c r="W180" s="1"/>
  <c r="AE180" s="1"/>
  <c r="H180"/>
  <c r="G180"/>
  <c r="AF179"/>
  <c r="O179"/>
  <c r="W179" s="1"/>
  <c r="G179"/>
  <c r="H179" s="1"/>
  <c r="AF178"/>
  <c r="V178"/>
  <c r="O178"/>
  <c r="W178" s="1"/>
  <c r="AE178" s="1"/>
  <c r="H178"/>
  <c r="G178"/>
  <c r="AF177"/>
  <c r="O177"/>
  <c r="W177" s="1"/>
  <c r="G177"/>
  <c r="H177" s="1"/>
  <c r="AF176"/>
  <c r="V176"/>
  <c r="O176"/>
  <c r="W176" s="1"/>
  <c r="AE176" s="1"/>
  <c r="H176"/>
  <c r="G176"/>
  <c r="AF175"/>
  <c r="O175"/>
  <c r="W175" s="1"/>
  <c r="G175"/>
  <c r="H175" s="1"/>
  <c r="AF174"/>
  <c r="V174"/>
  <c r="O174"/>
  <c r="W174" s="1"/>
  <c r="AE174" s="1"/>
  <c r="H174"/>
  <c r="G174"/>
  <c r="AF173"/>
  <c r="O173"/>
  <c r="W173" s="1"/>
  <c r="G173"/>
  <c r="H173" s="1"/>
  <c r="AF172"/>
  <c r="V172"/>
  <c r="O172"/>
  <c r="W172" s="1"/>
  <c r="AE172" s="1"/>
  <c r="H172"/>
  <c r="G172"/>
  <c r="AF171"/>
  <c r="O171"/>
  <c r="W171" s="1"/>
  <c r="G171"/>
  <c r="H171" s="1"/>
  <c r="AF170"/>
  <c r="V170"/>
  <c r="O170"/>
  <c r="W170" s="1"/>
  <c r="AE170" s="1"/>
  <c r="H170"/>
  <c r="G170"/>
  <c r="AF169"/>
  <c r="O169"/>
  <c r="W169" s="1"/>
  <c r="G169"/>
  <c r="H169" s="1"/>
  <c r="AF168"/>
  <c r="V168"/>
  <c r="O168"/>
  <c r="W168" s="1"/>
  <c r="AE168" s="1"/>
  <c r="H168"/>
  <c r="G168"/>
  <c r="AF167"/>
  <c r="O167"/>
  <c r="W167" s="1"/>
  <c r="G167"/>
  <c r="H167" s="1"/>
  <c r="AF166"/>
  <c r="V166"/>
  <c r="O166"/>
  <c r="W166" s="1"/>
  <c r="AE166" s="1"/>
  <c r="H166"/>
  <c r="G166"/>
  <c r="AF165"/>
  <c r="O165"/>
  <c r="W165" s="1"/>
  <c r="G165"/>
  <c r="H165" s="1"/>
  <c r="AF164"/>
  <c r="V164"/>
  <c r="O164"/>
  <c r="W164" s="1"/>
  <c r="AE164" s="1"/>
  <c r="H164"/>
  <c r="G164"/>
  <c r="AF163"/>
  <c r="O163"/>
  <c r="W163" s="1"/>
  <c r="G163"/>
  <c r="H163" s="1"/>
  <c r="AF162"/>
  <c r="V162"/>
  <c r="O162"/>
  <c r="W162" s="1"/>
  <c r="AE162" s="1"/>
  <c r="H162"/>
  <c r="G162"/>
  <c r="AF161"/>
  <c r="O161"/>
  <c r="W161" s="1"/>
  <c r="G161"/>
  <c r="H161" s="1"/>
  <c r="AF160"/>
  <c r="V160"/>
  <c r="O160"/>
  <c r="W160" s="1"/>
  <c r="AE160" s="1"/>
  <c r="H160"/>
  <c r="G160"/>
  <c r="AF159"/>
  <c r="O159"/>
  <c r="W159" s="1"/>
  <c r="G159"/>
  <c r="H159" s="1"/>
  <c r="AF158"/>
  <c r="V158"/>
  <c r="O158"/>
  <c r="W158" s="1"/>
  <c r="AE158" s="1"/>
  <c r="H158"/>
  <c r="G158"/>
  <c r="AF157"/>
  <c r="O157"/>
  <c r="W157" s="1"/>
  <c r="G157"/>
  <c r="H157" s="1"/>
  <c r="AF156"/>
  <c r="V156"/>
  <c r="O156"/>
  <c r="W156" s="1"/>
  <c r="AE156" s="1"/>
  <c r="H156"/>
  <c r="G156"/>
  <c r="AF155"/>
  <c r="O155"/>
  <c r="W155" s="1"/>
  <c r="G155"/>
  <c r="H155" s="1"/>
  <c r="AF154"/>
  <c r="V154"/>
  <c r="O154"/>
  <c r="W154" s="1"/>
  <c r="AE154" s="1"/>
  <c r="H154"/>
  <c r="G154"/>
  <c r="AF153"/>
  <c r="O153"/>
  <c r="W153" s="1"/>
  <c r="G153"/>
  <c r="H153" s="1"/>
  <c r="AF152"/>
  <c r="V152"/>
  <c r="O152"/>
  <c r="W152" s="1"/>
  <c r="AE152" s="1"/>
  <c r="H152"/>
  <c r="G152"/>
  <c r="AF151"/>
  <c r="O151"/>
  <c r="W151" s="1"/>
  <c r="G151"/>
  <c r="H151" s="1"/>
  <c r="AF150"/>
  <c r="V150"/>
  <c r="O150"/>
  <c r="W150" s="1"/>
  <c r="AE150" s="1"/>
  <c r="H150"/>
  <c r="G150"/>
  <c r="AF149"/>
  <c r="O149"/>
  <c r="W149" s="1"/>
  <c r="G149"/>
  <c r="H149" s="1"/>
  <c r="AF148"/>
  <c r="V148"/>
  <c r="O148"/>
  <c r="W148" s="1"/>
  <c r="AE148" s="1"/>
  <c r="H148"/>
  <c r="G148"/>
  <c r="AF147"/>
  <c r="O147"/>
  <c r="W147" s="1"/>
  <c r="G147"/>
  <c r="H147" s="1"/>
  <c r="AF146"/>
  <c r="V146"/>
  <c r="O146"/>
  <c r="W146" s="1"/>
  <c r="AE146" s="1"/>
  <c r="H146"/>
  <c r="G146"/>
  <c r="AF145"/>
  <c r="O145"/>
  <c r="W145" s="1"/>
  <c r="G145"/>
  <c r="H145" s="1"/>
  <c r="AF144"/>
  <c r="V144"/>
  <c r="O144"/>
  <c r="W144" s="1"/>
  <c r="AE144" s="1"/>
  <c r="H144"/>
  <c r="G144"/>
  <c r="AF143"/>
  <c r="O143"/>
  <c r="W143" s="1"/>
  <c r="G143"/>
  <c r="H143" s="1"/>
  <c r="AF142"/>
  <c r="V142"/>
  <c r="O142"/>
  <c r="W142" s="1"/>
  <c r="AE142" s="1"/>
  <c r="H142"/>
  <c r="G142"/>
  <c r="AF141"/>
  <c r="O141"/>
  <c r="W141" s="1"/>
  <c r="G141"/>
  <c r="H141" s="1"/>
  <c r="AF140"/>
  <c r="V140"/>
  <c r="O140"/>
  <c r="W140" s="1"/>
  <c r="AE140" s="1"/>
  <c r="H140"/>
  <c r="G140"/>
  <c r="AF139"/>
  <c r="O139"/>
  <c r="W139" s="1"/>
  <c r="G139"/>
  <c r="H139" s="1"/>
  <c r="AF138"/>
  <c r="V138"/>
  <c r="O138"/>
  <c r="W138" s="1"/>
  <c r="AE138" s="1"/>
  <c r="H138"/>
  <c r="G138"/>
  <c r="AF137"/>
  <c r="O137"/>
  <c r="W137" s="1"/>
  <c r="G137"/>
  <c r="H137" s="1"/>
  <c r="AF136"/>
  <c r="V136"/>
  <c r="O136"/>
  <c r="W136" s="1"/>
  <c r="AE136" s="1"/>
  <c r="H136"/>
  <c r="G136"/>
  <c r="AF135"/>
  <c r="O135"/>
  <c r="W135" s="1"/>
  <c r="G135"/>
  <c r="H135" s="1"/>
  <c r="AF134"/>
  <c r="V134"/>
  <c r="O134"/>
  <c r="W134" s="1"/>
  <c r="AE134" s="1"/>
  <c r="H134"/>
  <c r="G134"/>
  <c r="AF133"/>
  <c r="O133"/>
  <c r="W133" s="1"/>
  <c r="G133"/>
  <c r="H133" s="1"/>
  <c r="AF132"/>
  <c r="V132"/>
  <c r="O132"/>
  <c r="W132" s="1"/>
  <c r="AE132" s="1"/>
  <c r="H132"/>
  <c r="G132"/>
  <c r="AF131"/>
  <c r="O131"/>
  <c r="W131" s="1"/>
  <c r="G131"/>
  <c r="H131" s="1"/>
  <c r="AF130"/>
  <c r="V130"/>
  <c r="O130"/>
  <c r="W130" s="1"/>
  <c r="AE130" s="1"/>
  <c r="H130"/>
  <c r="G130"/>
  <c r="AF129"/>
  <c r="O129"/>
  <c r="W129" s="1"/>
  <c r="G129"/>
  <c r="H129" s="1"/>
  <c r="AF128"/>
  <c r="V128"/>
  <c r="O128"/>
  <c r="W128" s="1"/>
  <c r="AE128" s="1"/>
  <c r="H128"/>
  <c r="G128"/>
  <c r="AF127"/>
  <c r="O127"/>
  <c r="W127" s="1"/>
  <c r="G127"/>
  <c r="H127" s="1"/>
  <c r="AF126"/>
  <c r="V126"/>
  <c r="O126"/>
  <c r="W126" s="1"/>
  <c r="AE126" s="1"/>
  <c r="H126"/>
  <c r="G126"/>
  <c r="AF125"/>
  <c r="O125"/>
  <c r="W125" s="1"/>
  <c r="G125"/>
  <c r="H125" s="1"/>
  <c r="AF124"/>
  <c r="V124"/>
  <c r="O124"/>
  <c r="W124" s="1"/>
  <c r="AE124" s="1"/>
  <c r="H124"/>
  <c r="G124"/>
  <c r="AF123"/>
  <c r="O123"/>
  <c r="W123" s="1"/>
  <c r="G123"/>
  <c r="H123" s="1"/>
  <c r="AF122"/>
  <c r="V122"/>
  <c r="O122"/>
  <c r="W122" s="1"/>
  <c r="AE122" s="1"/>
  <c r="H122"/>
  <c r="G122"/>
  <c r="AF121"/>
  <c r="O121"/>
  <c r="W121" s="1"/>
  <c r="G121"/>
  <c r="H121" s="1"/>
  <c r="AF120"/>
  <c r="V120"/>
  <c r="O120"/>
  <c r="W120" s="1"/>
  <c r="AE120" s="1"/>
  <c r="H120"/>
  <c r="G120"/>
  <c r="AF119"/>
  <c r="O119"/>
  <c r="W119" s="1"/>
  <c r="G119"/>
  <c r="H119" s="1"/>
  <c r="AF118"/>
  <c r="V118"/>
  <c r="O118"/>
  <c r="W118" s="1"/>
  <c r="AE118" s="1"/>
  <c r="H118"/>
  <c r="G118"/>
  <c r="AF117"/>
  <c r="O117"/>
  <c r="W117" s="1"/>
  <c r="G117"/>
  <c r="H117" s="1"/>
  <c r="AF116"/>
  <c r="V116"/>
  <c r="O116"/>
  <c r="W116" s="1"/>
  <c r="AE116" s="1"/>
  <c r="H116"/>
  <c r="G116"/>
  <c r="AF115"/>
  <c r="O115"/>
  <c r="W115" s="1"/>
  <c r="G115"/>
  <c r="H115" s="1"/>
  <c r="AF114"/>
  <c r="V114"/>
  <c r="O114"/>
  <c r="W114" s="1"/>
  <c r="AE114" s="1"/>
  <c r="H114"/>
  <c r="G114"/>
  <c r="AF113"/>
  <c r="O113"/>
  <c r="W113" s="1"/>
  <c r="G113"/>
  <c r="H113" s="1"/>
  <c r="AF112"/>
  <c r="V112"/>
  <c r="O112"/>
  <c r="W112" s="1"/>
  <c r="AE112" s="1"/>
  <c r="H112"/>
  <c r="G112"/>
  <c r="AF111"/>
  <c r="O111"/>
  <c r="W111" s="1"/>
  <c r="G111"/>
  <c r="H111" s="1"/>
  <c r="AF110"/>
  <c r="V110"/>
  <c r="O110"/>
  <c r="W110" s="1"/>
  <c r="AE110" s="1"/>
  <c r="H110"/>
  <c r="G110"/>
  <c r="AF109"/>
  <c r="O109"/>
  <c r="W109" s="1"/>
  <c r="G109"/>
  <c r="H109" s="1"/>
  <c r="AF108"/>
  <c r="V108"/>
  <c r="O108"/>
  <c r="W108" s="1"/>
  <c r="AE108" s="1"/>
  <c r="H108"/>
  <c r="G108"/>
  <c r="AF107"/>
  <c r="O107"/>
  <c r="W107" s="1"/>
  <c r="G107"/>
  <c r="H107" s="1"/>
  <c r="AF106"/>
  <c r="V106"/>
  <c r="O106"/>
  <c r="W106" s="1"/>
  <c r="AE106" s="1"/>
  <c r="H106"/>
  <c r="G106"/>
  <c r="AF105"/>
  <c r="O105"/>
  <c r="W105" s="1"/>
  <c r="G105"/>
  <c r="H105" s="1"/>
  <c r="AF104"/>
  <c r="V104"/>
  <c r="O104"/>
  <c r="W104" s="1"/>
  <c r="AE104" s="1"/>
  <c r="H104"/>
  <c r="G104"/>
  <c r="AF103"/>
  <c r="O103"/>
  <c r="W103" s="1"/>
  <c r="G103"/>
  <c r="H103" s="1"/>
  <c r="AF102"/>
  <c r="V102"/>
  <c r="O102"/>
  <c r="W102" s="1"/>
  <c r="AE102" s="1"/>
  <c r="H102"/>
  <c r="G102"/>
  <c r="AF101"/>
  <c r="O101"/>
  <c r="W101" s="1"/>
  <c r="G101"/>
  <c r="H101" s="1"/>
  <c r="AF100"/>
  <c r="V100"/>
  <c r="O100"/>
  <c r="W100" s="1"/>
  <c r="AE100" s="1"/>
  <c r="H100"/>
  <c r="G100"/>
  <c r="AF99"/>
  <c r="O99"/>
  <c r="W99" s="1"/>
  <c r="G99"/>
  <c r="H99" s="1"/>
  <c r="AF98"/>
  <c r="V98"/>
  <c r="O98"/>
  <c r="W98" s="1"/>
  <c r="AE98" s="1"/>
  <c r="H98"/>
  <c r="G98"/>
  <c r="AF97"/>
  <c r="O97"/>
  <c r="W97" s="1"/>
  <c r="G97"/>
  <c r="H97" s="1"/>
  <c r="AF96"/>
  <c r="V96"/>
  <c r="O96"/>
  <c r="W96" s="1"/>
  <c r="AE96" s="1"/>
  <c r="H96"/>
  <c r="G96"/>
  <c r="AF95"/>
  <c r="O95"/>
  <c r="W95" s="1"/>
  <c r="G95"/>
  <c r="H95" s="1"/>
  <c r="AF94"/>
  <c r="V94"/>
  <c r="O94"/>
  <c r="W94" s="1"/>
  <c r="AE94" s="1"/>
  <c r="H94"/>
  <c r="G94"/>
  <c r="AF93"/>
  <c r="O93"/>
  <c r="W93" s="1"/>
  <c r="G93"/>
  <c r="H93" s="1"/>
  <c r="AF92"/>
  <c r="V92"/>
  <c r="O92"/>
  <c r="W92" s="1"/>
  <c r="AE92" s="1"/>
  <c r="H92"/>
  <c r="G92"/>
  <c r="AF91"/>
  <c r="O91"/>
  <c r="W91" s="1"/>
  <c r="G91"/>
  <c r="H91" s="1"/>
  <c r="AF90"/>
  <c r="V90"/>
  <c r="O90"/>
  <c r="W90" s="1"/>
  <c r="AE90" s="1"/>
  <c r="H90"/>
  <c r="G90"/>
  <c r="AF89"/>
  <c r="O89"/>
  <c r="W89" s="1"/>
  <c r="G89"/>
  <c r="H89" s="1"/>
  <c r="AF88"/>
  <c r="V88"/>
  <c r="O88"/>
  <c r="W88" s="1"/>
  <c r="AE88" s="1"/>
  <c r="H88"/>
  <c r="G88"/>
  <c r="AF87"/>
  <c r="O87"/>
  <c r="W87" s="1"/>
  <c r="G87"/>
  <c r="H87" s="1"/>
  <c r="AF86"/>
  <c r="V86"/>
  <c r="O86"/>
  <c r="W86" s="1"/>
  <c r="AE86" s="1"/>
  <c r="H86"/>
  <c r="G86"/>
  <c r="AF85"/>
  <c r="O85"/>
  <c r="W85" s="1"/>
  <c r="G85"/>
  <c r="H85" s="1"/>
  <c r="AF84"/>
  <c r="V84"/>
  <c r="O84"/>
  <c r="W84" s="1"/>
  <c r="AE84" s="1"/>
  <c r="H84"/>
  <c r="G84"/>
  <c r="AF83"/>
  <c r="O83"/>
  <c r="W83" s="1"/>
  <c r="G83"/>
  <c r="H83" s="1"/>
  <c r="AF82"/>
  <c r="V82"/>
  <c r="O82"/>
  <c r="W82" s="1"/>
  <c r="AE82" s="1"/>
  <c r="H82"/>
  <c r="G82"/>
  <c r="AF81"/>
  <c r="O81"/>
  <c r="W81" s="1"/>
  <c r="G81"/>
  <c r="H81" s="1"/>
  <c r="AF80"/>
  <c r="V80"/>
  <c r="O80"/>
  <c r="W80" s="1"/>
  <c r="AE80" s="1"/>
  <c r="H80"/>
  <c r="G80"/>
  <c r="AF79"/>
  <c r="O79"/>
  <c r="W79" s="1"/>
  <c r="G79"/>
  <c r="H79" s="1"/>
  <c r="AF78"/>
  <c r="V78"/>
  <c r="O78"/>
  <c r="W78" s="1"/>
  <c r="AE78" s="1"/>
  <c r="H78"/>
  <c r="G78"/>
  <c r="AF77"/>
  <c r="O77"/>
  <c r="W77" s="1"/>
  <c r="G77"/>
  <c r="H77" s="1"/>
  <c r="AF76"/>
  <c r="V76"/>
  <c r="O76"/>
  <c r="W76" s="1"/>
  <c r="AE76" s="1"/>
  <c r="H76"/>
  <c r="G76"/>
  <c r="AF75"/>
  <c r="O75"/>
  <c r="W75" s="1"/>
  <c r="G75"/>
  <c r="H75" s="1"/>
  <c r="AF74"/>
  <c r="V74"/>
  <c r="O74"/>
  <c r="W74" s="1"/>
  <c r="AE74" s="1"/>
  <c r="H74"/>
  <c r="G74"/>
  <c r="AF73"/>
  <c r="O73"/>
  <c r="W73" s="1"/>
  <c r="G73"/>
  <c r="H73" s="1"/>
  <c r="AF72"/>
  <c r="V72"/>
  <c r="O72"/>
  <c r="W72" s="1"/>
  <c r="AE72" s="1"/>
  <c r="H72"/>
  <c r="G72"/>
  <c r="AF71"/>
  <c r="O71"/>
  <c r="W71" s="1"/>
  <c r="G71"/>
  <c r="H71" s="1"/>
  <c r="AF70"/>
  <c r="V70"/>
  <c r="O70"/>
  <c r="W70" s="1"/>
  <c r="AE70" s="1"/>
  <c r="H70"/>
  <c r="G70"/>
  <c r="AF69"/>
  <c r="O69"/>
  <c r="W69" s="1"/>
  <c r="G69"/>
  <c r="H69" s="1"/>
  <c r="AF68"/>
  <c r="V68"/>
  <c r="O68"/>
  <c r="W68" s="1"/>
  <c r="AE68" s="1"/>
  <c r="H68"/>
  <c r="G68"/>
  <c r="AF67"/>
  <c r="O67"/>
  <c r="W67" s="1"/>
  <c r="G67"/>
  <c r="H67" s="1"/>
  <c r="AF66"/>
  <c r="V66"/>
  <c r="O66"/>
  <c r="W66" s="1"/>
  <c r="AE66" s="1"/>
  <c r="H66"/>
  <c r="G66"/>
  <c r="AF65"/>
  <c r="O65"/>
  <c r="W65" s="1"/>
  <c r="G65"/>
  <c r="H65" s="1"/>
  <c r="AF64"/>
  <c r="V64"/>
  <c r="O64"/>
  <c r="W64" s="1"/>
  <c r="AE64" s="1"/>
  <c r="H64"/>
  <c r="G64"/>
  <c r="AF63"/>
  <c r="O63"/>
  <c r="W63" s="1"/>
  <c r="G63"/>
  <c r="H63" s="1"/>
  <c r="AF62"/>
  <c r="V62"/>
  <c r="O62"/>
  <c r="W62" s="1"/>
  <c r="AE62" s="1"/>
  <c r="H62"/>
  <c r="G62"/>
  <c r="AF61"/>
  <c r="O61"/>
  <c r="W61" s="1"/>
  <c r="G61"/>
  <c r="H61" s="1"/>
  <c r="AF60"/>
  <c r="V60"/>
  <c r="O60"/>
  <c r="W60" s="1"/>
  <c r="AE60" s="1"/>
  <c r="H60"/>
  <c r="G60"/>
  <c r="AF59"/>
  <c r="O59"/>
  <c r="W59" s="1"/>
  <c r="G59"/>
  <c r="H59" s="1"/>
  <c r="AF58"/>
  <c r="V58"/>
  <c r="O58"/>
  <c r="W58" s="1"/>
  <c r="AE58" s="1"/>
  <c r="H58"/>
  <c r="G58"/>
  <c r="AF57"/>
  <c r="O57"/>
  <c r="W57" s="1"/>
  <c r="G57"/>
  <c r="H57" s="1"/>
  <c r="AF56"/>
  <c r="O56"/>
  <c r="V56" s="1"/>
  <c r="G56"/>
  <c r="H56" s="1"/>
  <c r="AF55"/>
  <c r="O55"/>
  <c r="W55" s="1"/>
  <c r="AE55" s="1"/>
  <c r="G55"/>
  <c r="H55" s="1"/>
  <c r="AF54"/>
  <c r="O54"/>
  <c r="V54" s="1"/>
  <c r="G54"/>
  <c r="H54" s="1"/>
  <c r="AF53"/>
  <c r="O53"/>
  <c r="W53" s="1"/>
  <c r="AE53" s="1"/>
  <c r="G53"/>
  <c r="H53" s="1"/>
  <c r="AF52"/>
  <c r="O52"/>
  <c r="V52" s="1"/>
  <c r="G52"/>
  <c r="H52" s="1"/>
  <c r="AF51"/>
  <c r="O51"/>
  <c r="W51" s="1"/>
  <c r="AE51" s="1"/>
  <c r="G51"/>
  <c r="H51" s="1"/>
  <c r="AF50"/>
  <c r="O50"/>
  <c r="V50" s="1"/>
  <c r="G50"/>
  <c r="H50" s="1"/>
  <c r="AF49"/>
  <c r="O49"/>
  <c r="W49" s="1"/>
  <c r="AE49" s="1"/>
  <c r="G49"/>
  <c r="H49" s="1"/>
  <c r="BG48"/>
  <c r="BF48"/>
  <c r="AF48"/>
  <c r="O48"/>
  <c r="V48" s="1"/>
  <c r="G48"/>
  <c r="H48" s="1"/>
  <c r="BG47"/>
  <c r="BF47"/>
  <c r="AF47"/>
  <c r="O47"/>
  <c r="W47" s="1"/>
  <c r="AE47" s="1"/>
  <c r="G47"/>
  <c r="H47" s="1"/>
  <c r="BG46"/>
  <c r="BF46"/>
  <c r="AF46"/>
  <c r="O46"/>
  <c r="V46" s="1"/>
  <c r="G46"/>
  <c r="H46" s="1"/>
  <c r="BG45"/>
  <c r="BF45"/>
  <c r="AF45"/>
  <c r="O45"/>
  <c r="W45" s="1"/>
  <c r="AE45" s="1"/>
  <c r="G45"/>
  <c r="H45" s="1"/>
  <c r="BG44"/>
  <c r="BF44"/>
  <c r="AF44"/>
  <c r="O44"/>
  <c r="V44" s="1"/>
  <c r="G44"/>
  <c r="H44" s="1"/>
  <c r="BG43"/>
  <c r="BF43"/>
  <c r="AF43"/>
  <c r="O43"/>
  <c r="W43" s="1"/>
  <c r="AE43" s="1"/>
  <c r="G43"/>
  <c r="H43" s="1"/>
  <c r="AF42"/>
  <c r="O42"/>
  <c r="V42" s="1"/>
  <c r="G42"/>
  <c r="H42" s="1"/>
  <c r="AF41"/>
  <c r="O41"/>
  <c r="V41" s="1"/>
  <c r="G41"/>
  <c r="H41" s="1"/>
  <c r="AF40"/>
  <c r="O40"/>
  <c r="V40" s="1"/>
  <c r="G40"/>
  <c r="H40" s="1"/>
  <c r="AF39"/>
  <c r="O39"/>
  <c r="V39" s="1"/>
  <c r="G39"/>
  <c r="H39" s="1"/>
  <c r="AF38"/>
  <c r="O38"/>
  <c r="V38" s="1"/>
  <c r="G38"/>
  <c r="H38" s="1"/>
  <c r="AF37"/>
  <c r="O37"/>
  <c r="V37" s="1"/>
  <c r="G37"/>
  <c r="H37" s="1"/>
  <c r="AF36"/>
  <c r="O36"/>
  <c r="V36" s="1"/>
  <c r="G36"/>
  <c r="H36" s="1"/>
  <c r="AF35"/>
  <c r="O35"/>
  <c r="V35" s="1"/>
  <c r="G35"/>
  <c r="H35" s="1"/>
  <c r="BA34"/>
  <c r="AZ34"/>
  <c r="AX34"/>
  <c r="AW34"/>
  <c r="AV34"/>
  <c r="AF34"/>
  <c r="O34"/>
  <c r="V34" s="1"/>
  <c r="G34"/>
  <c r="H34" s="1"/>
  <c r="AF33"/>
  <c r="V33"/>
  <c r="O33"/>
  <c r="W33" s="1"/>
  <c r="AE33" s="1"/>
  <c r="H33"/>
  <c r="G33"/>
  <c r="AF32"/>
  <c r="O32"/>
  <c r="W32" s="1"/>
  <c r="AE32" s="1"/>
  <c r="G32"/>
  <c r="H32" s="1"/>
  <c r="BA31"/>
  <c r="AZ31"/>
  <c r="AX31"/>
  <c r="AW31"/>
  <c r="AV31"/>
  <c r="AF31"/>
  <c r="O31"/>
  <c r="W31" s="1"/>
  <c r="AE31" s="1"/>
  <c r="G31"/>
  <c r="H31" s="1"/>
  <c r="AF30"/>
  <c r="O30"/>
  <c r="V30" s="1"/>
  <c r="G30"/>
  <c r="H30" s="1"/>
  <c r="AF29"/>
  <c r="O29"/>
  <c r="V29" s="1"/>
  <c r="G29"/>
  <c r="H29" s="1"/>
  <c r="BA28"/>
  <c r="AZ28"/>
  <c r="AX28"/>
  <c r="AW28"/>
  <c r="AV28"/>
  <c r="AF28"/>
  <c r="O28"/>
  <c r="V28" s="1"/>
  <c r="G28"/>
  <c r="H28" s="1"/>
  <c r="AF27"/>
  <c r="V27"/>
  <c r="O27"/>
  <c r="W27" s="1"/>
  <c r="AE27" s="1"/>
  <c r="H27"/>
  <c r="G27"/>
  <c r="AF26"/>
  <c r="O26"/>
  <c r="W26" s="1"/>
  <c r="AE26" s="1"/>
  <c r="G26"/>
  <c r="H26" s="1"/>
  <c r="BA25"/>
  <c r="AZ25"/>
  <c r="AX25"/>
  <c r="AW25"/>
  <c r="AV25"/>
  <c r="AF25"/>
  <c r="O25"/>
  <c r="W25" s="1"/>
  <c r="AE25" s="1"/>
  <c r="G25"/>
  <c r="H25" s="1"/>
  <c r="AF24"/>
  <c r="O24"/>
  <c r="V24" s="1"/>
  <c r="G24"/>
  <c r="H24" s="1"/>
  <c r="AF23"/>
  <c r="O23"/>
  <c r="V23" s="1"/>
  <c r="G23"/>
  <c r="H23" s="1"/>
  <c r="BA22"/>
  <c r="AZ22"/>
  <c r="AX22"/>
  <c r="AW22"/>
  <c r="AV22"/>
  <c r="O22"/>
  <c r="V22" s="1"/>
  <c r="G22"/>
  <c r="H22" s="1"/>
  <c r="V21"/>
  <c r="O21"/>
  <c r="W21" s="1"/>
  <c r="H21"/>
  <c r="G21"/>
  <c r="O20"/>
  <c r="V20" s="1"/>
  <c r="G20"/>
  <c r="H20" s="1"/>
  <c r="O19"/>
  <c r="V19" s="1"/>
  <c r="V1019" s="1"/>
  <c r="AU28" s="1"/>
  <c r="G19"/>
  <c r="H19" s="1"/>
  <c r="BA18"/>
  <c r="AZ18"/>
  <c r="AX18"/>
  <c r="AW18"/>
  <c r="AV18"/>
  <c r="O18"/>
  <c r="V18" s="1"/>
  <c r="G18"/>
  <c r="H18" s="1"/>
  <c r="AF17"/>
  <c r="V17"/>
  <c r="O17"/>
  <c r="W17" s="1"/>
  <c r="H17"/>
  <c r="G17"/>
  <c r="O16"/>
  <c r="V16" s="1"/>
  <c r="G16"/>
  <c r="H16" s="1"/>
  <c r="V15"/>
  <c r="O15"/>
  <c r="W15" s="1"/>
  <c r="H15"/>
  <c r="G15"/>
  <c r="AU14"/>
  <c r="AF14"/>
  <c r="V14"/>
  <c r="O14"/>
  <c r="W14" s="1"/>
  <c r="AE14" s="1"/>
  <c r="H14"/>
  <c r="G14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O13"/>
  <c r="V13" s="1"/>
  <c r="G13"/>
  <c r="H13" s="1"/>
  <c r="AR11"/>
  <c r="F9"/>
  <c r="F8"/>
  <c r="O7"/>
  <c r="AF22" s="1"/>
  <c r="N7"/>
  <c r="AF18" s="1"/>
  <c r="M7"/>
  <c r="AF20" s="1"/>
  <c r="L7"/>
  <c r="AF13" s="1"/>
  <c r="K7"/>
  <c r="AF16" s="1"/>
  <c r="B2"/>
  <c r="AA1021" i="6"/>
  <c r="Z1021"/>
  <c r="S1021"/>
  <c r="R1021"/>
  <c r="Q1021"/>
  <c r="C1021"/>
  <c r="F1021" s="1"/>
  <c r="AA1020"/>
  <c r="Z1020"/>
  <c r="S1020"/>
  <c r="R1020"/>
  <c r="Q1020"/>
  <c r="C1020"/>
  <c r="F1020" s="1"/>
  <c r="AA1019"/>
  <c r="Z1019"/>
  <c r="S1019"/>
  <c r="R1019"/>
  <c r="Q1019"/>
  <c r="C1019"/>
  <c r="F1019" s="1"/>
  <c r="AA1018"/>
  <c r="Z1018"/>
  <c r="S1018"/>
  <c r="R1018"/>
  <c r="Q1018"/>
  <c r="C1018"/>
  <c r="F1018" s="1"/>
  <c r="AA1017"/>
  <c r="Z1017"/>
  <c r="S1017"/>
  <c r="R1017"/>
  <c r="Q1017"/>
  <c r="C1017"/>
  <c r="J1017" s="1"/>
  <c r="AA1015"/>
  <c r="Z1015"/>
  <c r="S1015"/>
  <c r="R1015"/>
  <c r="Q1015"/>
  <c r="F1015"/>
  <c r="E1015" s="1"/>
  <c r="C1015"/>
  <c r="N1017" s="1"/>
  <c r="AF1012"/>
  <c r="O1012"/>
  <c r="V1012" s="1"/>
  <c r="G1012"/>
  <c r="H1012" s="1"/>
  <c r="AF1011"/>
  <c r="V1011"/>
  <c r="O1011"/>
  <c r="W1011" s="1"/>
  <c r="H1011"/>
  <c r="G1011"/>
  <c r="AF1010"/>
  <c r="O1010"/>
  <c r="V1010" s="1"/>
  <c r="G1010"/>
  <c r="H1010" s="1"/>
  <c r="AF1009"/>
  <c r="V1009"/>
  <c r="O1009"/>
  <c r="W1009" s="1"/>
  <c r="H1009"/>
  <c r="G1009"/>
  <c r="AF1008"/>
  <c r="O1008"/>
  <c r="V1008" s="1"/>
  <c r="G1008"/>
  <c r="H1008" s="1"/>
  <c r="AF1007"/>
  <c r="V1007"/>
  <c r="O1007"/>
  <c r="W1007" s="1"/>
  <c r="H1007"/>
  <c r="G1007"/>
  <c r="AF1006"/>
  <c r="O1006"/>
  <c r="V1006" s="1"/>
  <c r="G1006"/>
  <c r="H1006" s="1"/>
  <c r="AF1005"/>
  <c r="V1005"/>
  <c r="O1005"/>
  <c r="W1005" s="1"/>
  <c r="H1005"/>
  <c r="G1005"/>
  <c r="AF1004"/>
  <c r="O1004"/>
  <c r="V1004" s="1"/>
  <c r="G1004"/>
  <c r="H1004" s="1"/>
  <c r="AF1003"/>
  <c r="V1003"/>
  <c r="O1003"/>
  <c r="W1003" s="1"/>
  <c r="H1003"/>
  <c r="G1003"/>
  <c r="AF1002"/>
  <c r="O1002"/>
  <c r="V1002" s="1"/>
  <c r="G1002"/>
  <c r="H1002" s="1"/>
  <c r="AF1001"/>
  <c r="V1001"/>
  <c r="O1001"/>
  <c r="W1001" s="1"/>
  <c r="H1001"/>
  <c r="G1001"/>
  <c r="AF1000"/>
  <c r="O1000"/>
  <c r="V1000" s="1"/>
  <c r="G1000"/>
  <c r="H1000" s="1"/>
  <c r="AF999"/>
  <c r="V999"/>
  <c r="O999"/>
  <c r="W999" s="1"/>
  <c r="H999"/>
  <c r="G999"/>
  <c r="AF998"/>
  <c r="O998"/>
  <c r="V998" s="1"/>
  <c r="G998"/>
  <c r="H998" s="1"/>
  <c r="AF997"/>
  <c r="V997"/>
  <c r="O997"/>
  <c r="W997" s="1"/>
  <c r="H997"/>
  <c r="G997"/>
  <c r="AF996"/>
  <c r="O996"/>
  <c r="V996" s="1"/>
  <c r="G996"/>
  <c r="H996" s="1"/>
  <c r="AF995"/>
  <c r="V995"/>
  <c r="O995"/>
  <c r="W995" s="1"/>
  <c r="H995"/>
  <c r="G995"/>
  <c r="AF994"/>
  <c r="O994"/>
  <c r="V994" s="1"/>
  <c r="G994"/>
  <c r="H994" s="1"/>
  <c r="AF993"/>
  <c r="V993"/>
  <c r="O993"/>
  <c r="W993" s="1"/>
  <c r="H993"/>
  <c r="G993"/>
  <c r="AF992"/>
  <c r="O992"/>
  <c r="V992" s="1"/>
  <c r="G992"/>
  <c r="H992" s="1"/>
  <c r="AF991"/>
  <c r="V991"/>
  <c r="O991"/>
  <c r="W991" s="1"/>
  <c r="H991"/>
  <c r="G991"/>
  <c r="AF990"/>
  <c r="O990"/>
  <c r="V990" s="1"/>
  <c r="G990"/>
  <c r="H990" s="1"/>
  <c r="AF989"/>
  <c r="V989"/>
  <c r="O989"/>
  <c r="W989" s="1"/>
  <c r="H989"/>
  <c r="G989"/>
  <c r="AF988"/>
  <c r="O988"/>
  <c r="V988" s="1"/>
  <c r="G988"/>
  <c r="H988" s="1"/>
  <c r="AF987"/>
  <c r="V987"/>
  <c r="O987"/>
  <c r="W987" s="1"/>
  <c r="H987"/>
  <c r="G987"/>
  <c r="AF986"/>
  <c r="O986"/>
  <c r="V986" s="1"/>
  <c r="G986"/>
  <c r="H986" s="1"/>
  <c r="AF985"/>
  <c r="V985"/>
  <c r="O985"/>
  <c r="W985" s="1"/>
  <c r="H985"/>
  <c r="G985"/>
  <c r="AF984"/>
  <c r="O984"/>
  <c r="V984" s="1"/>
  <c r="G984"/>
  <c r="H984" s="1"/>
  <c r="AF983"/>
  <c r="V983"/>
  <c r="O983"/>
  <c r="W983" s="1"/>
  <c r="H983"/>
  <c r="G983"/>
  <c r="AF982"/>
  <c r="O982"/>
  <c r="V982" s="1"/>
  <c r="G982"/>
  <c r="H982" s="1"/>
  <c r="AF981"/>
  <c r="V981"/>
  <c r="O981"/>
  <c r="W981" s="1"/>
  <c r="H981"/>
  <c r="G981"/>
  <c r="AF980"/>
  <c r="O980"/>
  <c r="V980" s="1"/>
  <c r="G980"/>
  <c r="H980" s="1"/>
  <c r="AF979"/>
  <c r="V979"/>
  <c r="O979"/>
  <c r="W979" s="1"/>
  <c r="H979"/>
  <c r="G979"/>
  <c r="AF978"/>
  <c r="O978"/>
  <c r="V978" s="1"/>
  <c r="G978"/>
  <c r="H978" s="1"/>
  <c r="AF977"/>
  <c r="V977"/>
  <c r="O977"/>
  <c r="W977" s="1"/>
  <c r="H977"/>
  <c r="G977"/>
  <c r="AF976"/>
  <c r="O976"/>
  <c r="V976" s="1"/>
  <c r="G976"/>
  <c r="H976" s="1"/>
  <c r="AF975"/>
  <c r="V975"/>
  <c r="O975"/>
  <c r="W975" s="1"/>
  <c r="H975"/>
  <c r="G975"/>
  <c r="AF974"/>
  <c r="O974"/>
  <c r="V974" s="1"/>
  <c r="G974"/>
  <c r="H974" s="1"/>
  <c r="AF973"/>
  <c r="V973"/>
  <c r="O973"/>
  <c r="W973" s="1"/>
  <c r="H973"/>
  <c r="G973"/>
  <c r="AF972"/>
  <c r="O972"/>
  <c r="V972" s="1"/>
  <c r="G972"/>
  <c r="H972" s="1"/>
  <c r="AF971"/>
  <c r="V971"/>
  <c r="O971"/>
  <c r="W971" s="1"/>
  <c r="H971"/>
  <c r="G971"/>
  <c r="AF970"/>
  <c r="O970"/>
  <c r="V970" s="1"/>
  <c r="G970"/>
  <c r="H970" s="1"/>
  <c r="AF969"/>
  <c r="V969"/>
  <c r="O969"/>
  <c r="W969" s="1"/>
  <c r="H969"/>
  <c r="G969"/>
  <c r="AF968"/>
  <c r="O968"/>
  <c r="V968" s="1"/>
  <c r="G968"/>
  <c r="H968" s="1"/>
  <c r="AF967"/>
  <c r="V967"/>
  <c r="O967"/>
  <c r="W967" s="1"/>
  <c r="H967"/>
  <c r="G967"/>
  <c r="AF966"/>
  <c r="O966"/>
  <c r="V966" s="1"/>
  <c r="G966"/>
  <c r="H966" s="1"/>
  <c r="AF965"/>
  <c r="V965"/>
  <c r="O965"/>
  <c r="W965" s="1"/>
  <c r="H965"/>
  <c r="G965"/>
  <c r="AF964"/>
  <c r="O964"/>
  <c r="V964" s="1"/>
  <c r="G964"/>
  <c r="H964" s="1"/>
  <c r="AF963"/>
  <c r="V963"/>
  <c r="O963"/>
  <c r="W963" s="1"/>
  <c r="H963"/>
  <c r="G963"/>
  <c r="AF962"/>
  <c r="O962"/>
  <c r="V962" s="1"/>
  <c r="G962"/>
  <c r="H962" s="1"/>
  <c r="AF961"/>
  <c r="V961"/>
  <c r="O961"/>
  <c r="W961" s="1"/>
  <c r="H961"/>
  <c r="G961"/>
  <c r="AF960"/>
  <c r="O960"/>
  <c r="V960" s="1"/>
  <c r="G960"/>
  <c r="H960" s="1"/>
  <c r="AF959"/>
  <c r="V959"/>
  <c r="O959"/>
  <c r="W959" s="1"/>
  <c r="H959"/>
  <c r="G959"/>
  <c r="AF958"/>
  <c r="O958"/>
  <c r="V958" s="1"/>
  <c r="G958"/>
  <c r="H958" s="1"/>
  <c r="AF957"/>
  <c r="V957"/>
  <c r="O957"/>
  <c r="W957" s="1"/>
  <c r="H957"/>
  <c r="G957"/>
  <c r="AF956"/>
  <c r="O956"/>
  <c r="V956" s="1"/>
  <c r="G956"/>
  <c r="H956" s="1"/>
  <c r="AF955"/>
  <c r="V955"/>
  <c r="O955"/>
  <c r="W955" s="1"/>
  <c r="H955"/>
  <c r="G955"/>
  <c r="AF954"/>
  <c r="O954"/>
  <c r="V954" s="1"/>
  <c r="G954"/>
  <c r="H954" s="1"/>
  <c r="AF953"/>
  <c r="V953"/>
  <c r="O953"/>
  <c r="W953" s="1"/>
  <c r="H953"/>
  <c r="G953"/>
  <c r="AF952"/>
  <c r="O952"/>
  <c r="V952" s="1"/>
  <c r="G952"/>
  <c r="H952" s="1"/>
  <c r="AF951"/>
  <c r="V951"/>
  <c r="O951"/>
  <c r="W951" s="1"/>
  <c r="H951"/>
  <c r="G951"/>
  <c r="AF950"/>
  <c r="O950"/>
  <c r="V950" s="1"/>
  <c r="G950"/>
  <c r="H950" s="1"/>
  <c r="AF949"/>
  <c r="O949"/>
  <c r="W949" s="1"/>
  <c r="G949"/>
  <c r="H949" s="1"/>
  <c r="AF948"/>
  <c r="W948"/>
  <c r="O948"/>
  <c r="V948" s="1"/>
  <c r="G948"/>
  <c r="H948" s="1"/>
  <c r="AF947"/>
  <c r="V947"/>
  <c r="O947"/>
  <c r="W947" s="1"/>
  <c r="G947"/>
  <c r="H947" s="1"/>
  <c r="AF946"/>
  <c r="O946"/>
  <c r="V946" s="1"/>
  <c r="G946"/>
  <c r="H946" s="1"/>
  <c r="AF945"/>
  <c r="O945"/>
  <c r="W945" s="1"/>
  <c r="G945"/>
  <c r="H945" s="1"/>
  <c r="AF944"/>
  <c r="W944"/>
  <c r="O944"/>
  <c r="V944" s="1"/>
  <c r="G944"/>
  <c r="H944" s="1"/>
  <c r="AF943"/>
  <c r="V943"/>
  <c r="O943"/>
  <c r="W943" s="1"/>
  <c r="H943"/>
  <c r="G943"/>
  <c r="AF942"/>
  <c r="O942"/>
  <c r="V942" s="1"/>
  <c r="G942"/>
  <c r="H942" s="1"/>
  <c r="AF941"/>
  <c r="O941"/>
  <c r="W941" s="1"/>
  <c r="G941"/>
  <c r="H941" s="1"/>
  <c r="AF940"/>
  <c r="W940"/>
  <c r="O940"/>
  <c r="V940" s="1"/>
  <c r="G940"/>
  <c r="H940" s="1"/>
  <c r="AF939"/>
  <c r="V939"/>
  <c r="O939"/>
  <c r="W939" s="1"/>
  <c r="G939"/>
  <c r="H939" s="1"/>
  <c r="AF938"/>
  <c r="O938"/>
  <c r="W938" s="1"/>
  <c r="G938"/>
  <c r="H938" s="1"/>
  <c r="AF937"/>
  <c r="V937"/>
  <c r="O937"/>
  <c r="W937" s="1"/>
  <c r="G937"/>
  <c r="H937" s="1"/>
  <c r="AF936"/>
  <c r="O936"/>
  <c r="W936" s="1"/>
  <c r="G936"/>
  <c r="H936" s="1"/>
  <c r="AF935"/>
  <c r="V935"/>
  <c r="O935"/>
  <c r="W935" s="1"/>
  <c r="G935"/>
  <c r="H935" s="1"/>
  <c r="AF934"/>
  <c r="O934"/>
  <c r="W934" s="1"/>
  <c r="G934"/>
  <c r="H934" s="1"/>
  <c r="AF933"/>
  <c r="V933"/>
  <c r="O933"/>
  <c r="W933" s="1"/>
  <c r="G933"/>
  <c r="H933" s="1"/>
  <c r="AF932"/>
  <c r="O932"/>
  <c r="W932" s="1"/>
  <c r="G932"/>
  <c r="H932" s="1"/>
  <c r="AF931"/>
  <c r="V931"/>
  <c r="O931"/>
  <c r="W931" s="1"/>
  <c r="G931"/>
  <c r="H931" s="1"/>
  <c r="AF930"/>
  <c r="O930"/>
  <c r="W930" s="1"/>
  <c r="G930"/>
  <c r="H930" s="1"/>
  <c r="AF929"/>
  <c r="V929"/>
  <c r="O929"/>
  <c r="W929" s="1"/>
  <c r="G929"/>
  <c r="H929" s="1"/>
  <c r="AF928"/>
  <c r="O928"/>
  <c r="W928" s="1"/>
  <c r="G928"/>
  <c r="H928" s="1"/>
  <c r="AF927"/>
  <c r="V927"/>
  <c r="O927"/>
  <c r="W927" s="1"/>
  <c r="G927"/>
  <c r="H927" s="1"/>
  <c r="AF926"/>
  <c r="O926"/>
  <c r="W926" s="1"/>
  <c r="G926"/>
  <c r="H926" s="1"/>
  <c r="AF925"/>
  <c r="V925"/>
  <c r="O925"/>
  <c r="W925" s="1"/>
  <c r="G925"/>
  <c r="H925" s="1"/>
  <c r="AF924"/>
  <c r="O924"/>
  <c r="W924" s="1"/>
  <c r="G924"/>
  <c r="H924" s="1"/>
  <c r="AF923"/>
  <c r="V923"/>
  <c r="O923"/>
  <c r="W923" s="1"/>
  <c r="G923"/>
  <c r="H923" s="1"/>
  <c r="AF922"/>
  <c r="O922"/>
  <c r="W922" s="1"/>
  <c r="G922"/>
  <c r="H922" s="1"/>
  <c r="AF921"/>
  <c r="V921"/>
  <c r="O921"/>
  <c r="W921" s="1"/>
  <c r="G921"/>
  <c r="H921" s="1"/>
  <c r="AF920"/>
  <c r="O920"/>
  <c r="W920" s="1"/>
  <c r="G920"/>
  <c r="H920" s="1"/>
  <c r="AF919"/>
  <c r="V919"/>
  <c r="O919"/>
  <c r="W919" s="1"/>
  <c r="G919"/>
  <c r="H919" s="1"/>
  <c r="AF918"/>
  <c r="O918"/>
  <c r="W918" s="1"/>
  <c r="G918"/>
  <c r="H918" s="1"/>
  <c r="AF917"/>
  <c r="O917"/>
  <c r="W917" s="1"/>
  <c r="G917"/>
  <c r="H917" s="1"/>
  <c r="AF916"/>
  <c r="O916"/>
  <c r="W916" s="1"/>
  <c r="G916"/>
  <c r="H916" s="1"/>
  <c r="AF915"/>
  <c r="O915"/>
  <c r="W915" s="1"/>
  <c r="G915"/>
  <c r="H915" s="1"/>
  <c r="AF914"/>
  <c r="O914"/>
  <c r="W914" s="1"/>
  <c r="G914"/>
  <c r="H914" s="1"/>
  <c r="AF913"/>
  <c r="O913"/>
  <c r="W913" s="1"/>
  <c r="G913"/>
  <c r="H913" s="1"/>
  <c r="AF912"/>
  <c r="O912"/>
  <c r="W912" s="1"/>
  <c r="G912"/>
  <c r="H912" s="1"/>
  <c r="AF911"/>
  <c r="O911"/>
  <c r="W911" s="1"/>
  <c r="G911"/>
  <c r="H911" s="1"/>
  <c r="AF910"/>
  <c r="O910"/>
  <c r="W910" s="1"/>
  <c r="G910"/>
  <c r="H910" s="1"/>
  <c r="AF909"/>
  <c r="O909"/>
  <c r="W909" s="1"/>
  <c r="G909"/>
  <c r="H909" s="1"/>
  <c r="AF908"/>
  <c r="W908"/>
  <c r="O908"/>
  <c r="V908" s="1"/>
  <c r="G908"/>
  <c r="H908" s="1"/>
  <c r="AF907"/>
  <c r="V907"/>
  <c r="O907"/>
  <c r="W907" s="1"/>
  <c r="G907"/>
  <c r="H907" s="1"/>
  <c r="AF906"/>
  <c r="O906"/>
  <c r="V906" s="1"/>
  <c r="G906"/>
  <c r="H906" s="1"/>
  <c r="AF905"/>
  <c r="O905"/>
  <c r="W905" s="1"/>
  <c r="G905"/>
  <c r="H905" s="1"/>
  <c r="AF904"/>
  <c r="W904"/>
  <c r="O904"/>
  <c r="V904" s="1"/>
  <c r="G904"/>
  <c r="H904" s="1"/>
  <c r="AF903"/>
  <c r="V903"/>
  <c r="O903"/>
  <c r="W903" s="1"/>
  <c r="H903"/>
  <c r="G903"/>
  <c r="AF902"/>
  <c r="O902"/>
  <c r="V902" s="1"/>
  <c r="G902"/>
  <c r="H902" s="1"/>
  <c r="AF901"/>
  <c r="O901"/>
  <c r="W901" s="1"/>
  <c r="G901"/>
  <c r="H901" s="1"/>
  <c r="AF900"/>
  <c r="W900"/>
  <c r="O900"/>
  <c r="V900" s="1"/>
  <c r="G900"/>
  <c r="H900" s="1"/>
  <c r="AF899"/>
  <c r="V899"/>
  <c r="O899"/>
  <c r="W899" s="1"/>
  <c r="G899"/>
  <c r="H899" s="1"/>
  <c r="AF898"/>
  <c r="O898"/>
  <c r="V898" s="1"/>
  <c r="G898"/>
  <c r="H898" s="1"/>
  <c r="AF897"/>
  <c r="O897"/>
  <c r="W897" s="1"/>
  <c r="G897"/>
  <c r="H897" s="1"/>
  <c r="AF896"/>
  <c r="W896"/>
  <c r="O896"/>
  <c r="V896" s="1"/>
  <c r="G896"/>
  <c r="H896" s="1"/>
  <c r="AF895"/>
  <c r="V895"/>
  <c r="O895"/>
  <c r="W895" s="1"/>
  <c r="H895"/>
  <c r="G895"/>
  <c r="AF894"/>
  <c r="O894"/>
  <c r="V894" s="1"/>
  <c r="G894"/>
  <c r="H894" s="1"/>
  <c r="AF893"/>
  <c r="O893"/>
  <c r="W893" s="1"/>
  <c r="G893"/>
  <c r="H893" s="1"/>
  <c r="AF892"/>
  <c r="W892"/>
  <c r="O892"/>
  <c r="V892" s="1"/>
  <c r="G892"/>
  <c r="H892" s="1"/>
  <c r="AF891"/>
  <c r="V891"/>
  <c r="O891"/>
  <c r="W891" s="1"/>
  <c r="G891"/>
  <c r="H891" s="1"/>
  <c r="AF890"/>
  <c r="O890"/>
  <c r="V890" s="1"/>
  <c r="G890"/>
  <c r="H890" s="1"/>
  <c r="AF889"/>
  <c r="O889"/>
  <c r="W889" s="1"/>
  <c r="G889"/>
  <c r="H889" s="1"/>
  <c r="AF888"/>
  <c r="W888"/>
  <c r="O888"/>
  <c r="V888" s="1"/>
  <c r="G888"/>
  <c r="H888" s="1"/>
  <c r="AF887"/>
  <c r="V887"/>
  <c r="O887"/>
  <c r="W887" s="1"/>
  <c r="H887"/>
  <c r="G887"/>
  <c r="AF886"/>
  <c r="O886"/>
  <c r="V886" s="1"/>
  <c r="G886"/>
  <c r="H886" s="1"/>
  <c r="AF885"/>
  <c r="O885"/>
  <c r="W885" s="1"/>
  <c r="G885"/>
  <c r="H885" s="1"/>
  <c r="AF884"/>
  <c r="W884"/>
  <c r="O884"/>
  <c r="V884" s="1"/>
  <c r="G884"/>
  <c r="H884" s="1"/>
  <c r="AF883"/>
  <c r="V883"/>
  <c r="O883"/>
  <c r="W883" s="1"/>
  <c r="G883"/>
  <c r="H883" s="1"/>
  <c r="AF882"/>
  <c r="O882"/>
  <c r="V882" s="1"/>
  <c r="G882"/>
  <c r="H882" s="1"/>
  <c r="AF881"/>
  <c r="O881"/>
  <c r="W881" s="1"/>
  <c r="G881"/>
  <c r="H881" s="1"/>
  <c r="AF880"/>
  <c r="W880"/>
  <c r="O880"/>
  <c r="V880" s="1"/>
  <c r="G880"/>
  <c r="H880" s="1"/>
  <c r="AF879"/>
  <c r="V879"/>
  <c r="O879"/>
  <c r="W879" s="1"/>
  <c r="H879"/>
  <c r="G879"/>
  <c r="AF878"/>
  <c r="O878"/>
  <c r="V878" s="1"/>
  <c r="G878"/>
  <c r="H878" s="1"/>
  <c r="AF877"/>
  <c r="O877"/>
  <c r="W877" s="1"/>
  <c r="G877"/>
  <c r="H877" s="1"/>
  <c r="AF876"/>
  <c r="W876"/>
  <c r="O876"/>
  <c r="V876" s="1"/>
  <c r="G876"/>
  <c r="H876" s="1"/>
  <c r="AF875"/>
  <c r="V875"/>
  <c r="O875"/>
  <c r="W875" s="1"/>
  <c r="G875"/>
  <c r="H875" s="1"/>
  <c r="AF874"/>
  <c r="O874"/>
  <c r="V874" s="1"/>
  <c r="G874"/>
  <c r="H874" s="1"/>
  <c r="AF873"/>
  <c r="O873"/>
  <c r="W873" s="1"/>
  <c r="G873"/>
  <c r="H873" s="1"/>
  <c r="AF872"/>
  <c r="W872"/>
  <c r="O872"/>
  <c r="V872" s="1"/>
  <c r="G872"/>
  <c r="H872" s="1"/>
  <c r="AF871"/>
  <c r="V871"/>
  <c r="O871"/>
  <c r="W871" s="1"/>
  <c r="H871"/>
  <c r="G871"/>
  <c r="AF870"/>
  <c r="O870"/>
  <c r="V870" s="1"/>
  <c r="G870"/>
  <c r="H870" s="1"/>
  <c r="AF869"/>
  <c r="O869"/>
  <c r="W869" s="1"/>
  <c r="G869"/>
  <c r="H869" s="1"/>
  <c r="AF868"/>
  <c r="W868"/>
  <c r="O868"/>
  <c r="V868" s="1"/>
  <c r="G868"/>
  <c r="H868" s="1"/>
  <c r="AF867"/>
  <c r="V867"/>
  <c r="O867"/>
  <c r="W867" s="1"/>
  <c r="G867"/>
  <c r="H867" s="1"/>
  <c r="AF866"/>
  <c r="O866"/>
  <c r="W866" s="1"/>
  <c r="G866"/>
  <c r="H866" s="1"/>
  <c r="AF865"/>
  <c r="V865"/>
  <c r="O865"/>
  <c r="W865" s="1"/>
  <c r="G865"/>
  <c r="H865" s="1"/>
  <c r="AF864"/>
  <c r="O864"/>
  <c r="W864" s="1"/>
  <c r="G864"/>
  <c r="H864" s="1"/>
  <c r="AF863"/>
  <c r="V863"/>
  <c r="O863"/>
  <c r="W863" s="1"/>
  <c r="G863"/>
  <c r="H863" s="1"/>
  <c r="AF862"/>
  <c r="O862"/>
  <c r="W862" s="1"/>
  <c r="G862"/>
  <c r="H862" s="1"/>
  <c r="AF861"/>
  <c r="V861"/>
  <c r="O861"/>
  <c r="W861" s="1"/>
  <c r="G861"/>
  <c r="H861" s="1"/>
  <c r="AF860"/>
  <c r="O860"/>
  <c r="W860" s="1"/>
  <c r="G860"/>
  <c r="H860" s="1"/>
  <c r="AF859"/>
  <c r="V859"/>
  <c r="O859"/>
  <c r="W859" s="1"/>
  <c r="G859"/>
  <c r="H859" s="1"/>
  <c r="AF858"/>
  <c r="O858"/>
  <c r="W858" s="1"/>
  <c r="G858"/>
  <c r="H858" s="1"/>
  <c r="AF857"/>
  <c r="V857"/>
  <c r="O857"/>
  <c r="W857" s="1"/>
  <c r="G857"/>
  <c r="H857" s="1"/>
  <c r="AF856"/>
  <c r="O856"/>
  <c r="W856" s="1"/>
  <c r="G856"/>
  <c r="H856" s="1"/>
  <c r="AF855"/>
  <c r="V855"/>
  <c r="O855"/>
  <c r="W855" s="1"/>
  <c r="G855"/>
  <c r="H855" s="1"/>
  <c r="AF854"/>
  <c r="O854"/>
  <c r="W854" s="1"/>
  <c r="G854"/>
  <c r="H854" s="1"/>
  <c r="AF853"/>
  <c r="V853"/>
  <c r="O853"/>
  <c r="W853" s="1"/>
  <c r="G853"/>
  <c r="H853" s="1"/>
  <c r="AF852"/>
  <c r="O852"/>
  <c r="W852" s="1"/>
  <c r="G852"/>
  <c r="H852" s="1"/>
  <c r="AF851"/>
  <c r="V851"/>
  <c r="O851"/>
  <c r="W851" s="1"/>
  <c r="G851"/>
  <c r="H851" s="1"/>
  <c r="AF850"/>
  <c r="O850"/>
  <c r="W850" s="1"/>
  <c r="G850"/>
  <c r="H850" s="1"/>
  <c r="AF849"/>
  <c r="V849"/>
  <c r="O849"/>
  <c r="W849" s="1"/>
  <c r="G849"/>
  <c r="H849" s="1"/>
  <c r="AF848"/>
  <c r="O848"/>
  <c r="W848" s="1"/>
  <c r="G848"/>
  <c r="H848" s="1"/>
  <c r="AF847"/>
  <c r="V847"/>
  <c r="O847"/>
  <c r="W847" s="1"/>
  <c r="G847"/>
  <c r="H847" s="1"/>
  <c r="AF846"/>
  <c r="O846"/>
  <c r="W846" s="1"/>
  <c r="G846"/>
  <c r="H846" s="1"/>
  <c r="AF845"/>
  <c r="V845"/>
  <c r="O845"/>
  <c r="W845" s="1"/>
  <c r="G845"/>
  <c r="H845" s="1"/>
  <c r="AF844"/>
  <c r="O844"/>
  <c r="W844" s="1"/>
  <c r="G844"/>
  <c r="H844" s="1"/>
  <c r="AF843"/>
  <c r="V843"/>
  <c r="O843"/>
  <c r="W843" s="1"/>
  <c r="G843"/>
  <c r="H843" s="1"/>
  <c r="AF842"/>
  <c r="O842"/>
  <c r="W842" s="1"/>
  <c r="G842"/>
  <c r="H842" s="1"/>
  <c r="AF841"/>
  <c r="V841"/>
  <c r="O841"/>
  <c r="W841" s="1"/>
  <c r="G841"/>
  <c r="H841" s="1"/>
  <c r="AF840"/>
  <c r="O840"/>
  <c r="W840" s="1"/>
  <c r="G840"/>
  <c r="H840" s="1"/>
  <c r="AF839"/>
  <c r="V839"/>
  <c r="O839"/>
  <c r="W839" s="1"/>
  <c r="G839"/>
  <c r="H839" s="1"/>
  <c r="AF838"/>
  <c r="O838"/>
  <c r="W838" s="1"/>
  <c r="G838"/>
  <c r="H838" s="1"/>
  <c r="AF837"/>
  <c r="V837"/>
  <c r="O837"/>
  <c r="W837" s="1"/>
  <c r="G837"/>
  <c r="H837" s="1"/>
  <c r="AF836"/>
  <c r="O836"/>
  <c r="W836" s="1"/>
  <c r="G836"/>
  <c r="H836" s="1"/>
  <c r="AF835"/>
  <c r="V835"/>
  <c r="O835"/>
  <c r="W835" s="1"/>
  <c r="G835"/>
  <c r="H835" s="1"/>
  <c r="AF834"/>
  <c r="O834"/>
  <c r="W834" s="1"/>
  <c r="G834"/>
  <c r="H834" s="1"/>
  <c r="AF833"/>
  <c r="V833"/>
  <c r="O833"/>
  <c r="W833" s="1"/>
  <c r="G833"/>
  <c r="H833" s="1"/>
  <c r="AF832"/>
  <c r="O832"/>
  <c r="W832" s="1"/>
  <c r="G832"/>
  <c r="H832" s="1"/>
  <c r="AF831"/>
  <c r="V831"/>
  <c r="O831"/>
  <c r="W831" s="1"/>
  <c r="G831"/>
  <c r="H831" s="1"/>
  <c r="AF830"/>
  <c r="O830"/>
  <c r="W830" s="1"/>
  <c r="G830"/>
  <c r="H830" s="1"/>
  <c r="AF829"/>
  <c r="V829"/>
  <c r="O829"/>
  <c r="W829" s="1"/>
  <c r="G829"/>
  <c r="H829" s="1"/>
  <c r="AF828"/>
  <c r="O828"/>
  <c r="W828" s="1"/>
  <c r="G828"/>
  <c r="H828" s="1"/>
  <c r="AF827"/>
  <c r="V827"/>
  <c r="O827"/>
  <c r="W827" s="1"/>
  <c r="G827"/>
  <c r="H827" s="1"/>
  <c r="AF826"/>
  <c r="O826"/>
  <c r="W826" s="1"/>
  <c r="G826"/>
  <c r="H826" s="1"/>
  <c r="AF825"/>
  <c r="V825"/>
  <c r="O825"/>
  <c r="W825" s="1"/>
  <c r="G825"/>
  <c r="H825" s="1"/>
  <c r="AF824"/>
  <c r="O824"/>
  <c r="W824" s="1"/>
  <c r="G824"/>
  <c r="H824" s="1"/>
  <c r="AF823"/>
  <c r="V823"/>
  <c r="O823"/>
  <c r="W823" s="1"/>
  <c r="G823"/>
  <c r="H823" s="1"/>
  <c r="AF822"/>
  <c r="O822"/>
  <c r="W822" s="1"/>
  <c r="G822"/>
  <c r="H822" s="1"/>
  <c r="AF821"/>
  <c r="V821"/>
  <c r="O821"/>
  <c r="W821" s="1"/>
  <c r="G821"/>
  <c r="H821" s="1"/>
  <c r="AF820"/>
  <c r="O820"/>
  <c r="W820" s="1"/>
  <c r="G820"/>
  <c r="H820" s="1"/>
  <c r="AF819"/>
  <c r="V819"/>
  <c r="O819"/>
  <c r="W819" s="1"/>
  <c r="G819"/>
  <c r="H819" s="1"/>
  <c r="AF818"/>
  <c r="O818"/>
  <c r="W818" s="1"/>
  <c r="G818"/>
  <c r="H818" s="1"/>
  <c r="AF817"/>
  <c r="V817"/>
  <c r="O817"/>
  <c r="W817" s="1"/>
  <c r="G817"/>
  <c r="H817" s="1"/>
  <c r="AF816"/>
  <c r="O816"/>
  <c r="W816" s="1"/>
  <c r="G816"/>
  <c r="H816" s="1"/>
  <c r="AF815"/>
  <c r="V815"/>
  <c r="O815"/>
  <c r="W815" s="1"/>
  <c r="G815"/>
  <c r="H815" s="1"/>
  <c r="AF814"/>
  <c r="O814"/>
  <c r="W814" s="1"/>
  <c r="G814"/>
  <c r="H814" s="1"/>
  <c r="AF813"/>
  <c r="V813"/>
  <c r="O813"/>
  <c r="W813" s="1"/>
  <c r="G813"/>
  <c r="H813" s="1"/>
  <c r="AF812"/>
  <c r="O812"/>
  <c r="V812" s="1"/>
  <c r="G812"/>
  <c r="H812" s="1"/>
  <c r="AF811"/>
  <c r="V811"/>
  <c r="O811"/>
  <c r="W811" s="1"/>
  <c r="G811"/>
  <c r="H811" s="1"/>
  <c r="AF810"/>
  <c r="O810"/>
  <c r="V810" s="1"/>
  <c r="G810"/>
  <c r="H810" s="1"/>
  <c r="AF809"/>
  <c r="V809"/>
  <c r="O809"/>
  <c r="W809" s="1"/>
  <c r="G809"/>
  <c r="H809" s="1"/>
  <c r="AF808"/>
  <c r="O808"/>
  <c r="V808" s="1"/>
  <c r="G808"/>
  <c r="H808" s="1"/>
  <c r="AF807"/>
  <c r="V807"/>
  <c r="O807"/>
  <c r="W807" s="1"/>
  <c r="G807"/>
  <c r="H807" s="1"/>
  <c r="AF806"/>
  <c r="O806"/>
  <c r="V806" s="1"/>
  <c r="G806"/>
  <c r="H806" s="1"/>
  <c r="AF805"/>
  <c r="V805"/>
  <c r="O805"/>
  <c r="W805" s="1"/>
  <c r="G805"/>
  <c r="H805" s="1"/>
  <c r="AF804"/>
  <c r="O804"/>
  <c r="V804" s="1"/>
  <c r="G804"/>
  <c r="H804" s="1"/>
  <c r="AF803"/>
  <c r="O803"/>
  <c r="W803" s="1"/>
  <c r="G803"/>
  <c r="H803" s="1"/>
  <c r="AF802"/>
  <c r="W802"/>
  <c r="O802"/>
  <c r="V802" s="1"/>
  <c r="G802"/>
  <c r="H802" s="1"/>
  <c r="AF801"/>
  <c r="V801"/>
  <c r="O801"/>
  <c r="W801" s="1"/>
  <c r="H801"/>
  <c r="G801"/>
  <c r="AF800"/>
  <c r="O800"/>
  <c r="V800" s="1"/>
  <c r="G800"/>
  <c r="H800" s="1"/>
  <c r="AF799"/>
  <c r="O799"/>
  <c r="W799" s="1"/>
  <c r="G799"/>
  <c r="H799" s="1"/>
  <c r="AF798"/>
  <c r="W798"/>
  <c r="O798"/>
  <c r="V798" s="1"/>
  <c r="G798"/>
  <c r="H798" s="1"/>
  <c r="AF797"/>
  <c r="V797"/>
  <c r="O797"/>
  <c r="W797" s="1"/>
  <c r="G797"/>
  <c r="H797" s="1"/>
  <c r="AF796"/>
  <c r="O796"/>
  <c r="V796" s="1"/>
  <c r="G796"/>
  <c r="H796" s="1"/>
  <c r="AF795"/>
  <c r="O795"/>
  <c r="W795" s="1"/>
  <c r="G795"/>
  <c r="H795" s="1"/>
  <c r="AF794"/>
  <c r="W794"/>
  <c r="O794"/>
  <c r="V794" s="1"/>
  <c r="G794"/>
  <c r="H794" s="1"/>
  <c r="AF793"/>
  <c r="V793"/>
  <c r="O793"/>
  <c r="W793" s="1"/>
  <c r="H793"/>
  <c r="G793"/>
  <c r="AF792"/>
  <c r="O792"/>
  <c r="V792" s="1"/>
  <c r="G792"/>
  <c r="H792" s="1"/>
  <c r="AF791"/>
  <c r="O791"/>
  <c r="W791" s="1"/>
  <c r="G791"/>
  <c r="H791" s="1"/>
  <c r="AF790"/>
  <c r="W790"/>
  <c r="O790"/>
  <c r="V790" s="1"/>
  <c r="G790"/>
  <c r="H790" s="1"/>
  <c r="AF789"/>
  <c r="V789"/>
  <c r="O789"/>
  <c r="W789" s="1"/>
  <c r="G789"/>
  <c r="H789" s="1"/>
  <c r="AF788"/>
  <c r="O788"/>
  <c r="V788" s="1"/>
  <c r="G788"/>
  <c r="H788" s="1"/>
  <c r="AF787"/>
  <c r="O787"/>
  <c r="W787" s="1"/>
  <c r="G787"/>
  <c r="H787" s="1"/>
  <c r="AF786"/>
  <c r="W786"/>
  <c r="O786"/>
  <c r="V786" s="1"/>
  <c r="G786"/>
  <c r="H786" s="1"/>
  <c r="AF785"/>
  <c r="V785"/>
  <c r="O785"/>
  <c r="W785" s="1"/>
  <c r="H785"/>
  <c r="G785"/>
  <c r="AF784"/>
  <c r="O784"/>
  <c r="V784" s="1"/>
  <c r="G784"/>
  <c r="H784" s="1"/>
  <c r="AF783"/>
  <c r="O783"/>
  <c r="W783" s="1"/>
  <c r="G783"/>
  <c r="H783" s="1"/>
  <c r="AF782"/>
  <c r="W782"/>
  <c r="O782"/>
  <c r="V782" s="1"/>
  <c r="G782"/>
  <c r="H782" s="1"/>
  <c r="AF781"/>
  <c r="V781"/>
  <c r="O781"/>
  <c r="W781" s="1"/>
  <c r="G781"/>
  <c r="H781" s="1"/>
  <c r="AF780"/>
  <c r="O780"/>
  <c r="V780" s="1"/>
  <c r="G780"/>
  <c r="H780" s="1"/>
  <c r="AF779"/>
  <c r="O779"/>
  <c r="W779" s="1"/>
  <c r="G779"/>
  <c r="H779" s="1"/>
  <c r="AF778"/>
  <c r="W778"/>
  <c r="O778"/>
  <c r="V778" s="1"/>
  <c r="G778"/>
  <c r="H778" s="1"/>
  <c r="AF777"/>
  <c r="V777"/>
  <c r="O777"/>
  <c r="W777" s="1"/>
  <c r="H777"/>
  <c r="G777"/>
  <c r="AF776"/>
  <c r="O776"/>
  <c r="V776" s="1"/>
  <c r="G776"/>
  <c r="H776" s="1"/>
  <c r="AF775"/>
  <c r="O775"/>
  <c r="W775" s="1"/>
  <c r="G775"/>
  <c r="H775" s="1"/>
  <c r="AF774"/>
  <c r="W774"/>
  <c r="O774"/>
  <c r="V774" s="1"/>
  <c r="G774"/>
  <c r="H774" s="1"/>
  <c r="AF773"/>
  <c r="V773"/>
  <c r="O773"/>
  <c r="W773" s="1"/>
  <c r="G773"/>
  <c r="H773" s="1"/>
  <c r="AF772"/>
  <c r="O772"/>
  <c r="V772" s="1"/>
  <c r="G772"/>
  <c r="H772" s="1"/>
  <c r="AF771"/>
  <c r="O771"/>
  <c r="W771" s="1"/>
  <c r="G771"/>
  <c r="H771" s="1"/>
  <c r="AF770"/>
  <c r="W770"/>
  <c r="O770"/>
  <c r="V770" s="1"/>
  <c r="G770"/>
  <c r="H770" s="1"/>
  <c r="AF769"/>
  <c r="V769"/>
  <c r="O769"/>
  <c r="W769" s="1"/>
  <c r="H769"/>
  <c r="G769"/>
  <c r="AF768"/>
  <c r="O768"/>
  <c r="V768" s="1"/>
  <c r="G768"/>
  <c r="H768" s="1"/>
  <c r="AF767"/>
  <c r="O767"/>
  <c r="W767" s="1"/>
  <c r="G767"/>
  <c r="H767" s="1"/>
  <c r="AF766"/>
  <c r="W766"/>
  <c r="O766"/>
  <c r="V766" s="1"/>
  <c r="G766"/>
  <c r="H766" s="1"/>
  <c r="AF765"/>
  <c r="V765"/>
  <c r="O765"/>
  <c r="W765" s="1"/>
  <c r="G765"/>
  <c r="H765" s="1"/>
  <c r="AF764"/>
  <c r="O764"/>
  <c r="V764" s="1"/>
  <c r="G764"/>
  <c r="H764" s="1"/>
  <c r="AF763"/>
  <c r="O763"/>
  <c r="W763" s="1"/>
  <c r="G763"/>
  <c r="H763" s="1"/>
  <c r="AF762"/>
  <c r="W762"/>
  <c r="O762"/>
  <c r="V762" s="1"/>
  <c r="G762"/>
  <c r="H762" s="1"/>
  <c r="AF761"/>
  <c r="V761"/>
  <c r="O761"/>
  <c r="W761" s="1"/>
  <c r="H761"/>
  <c r="G761"/>
  <c r="AF760"/>
  <c r="O760"/>
  <c r="V760" s="1"/>
  <c r="G760"/>
  <c r="H760" s="1"/>
  <c r="AF759"/>
  <c r="O759"/>
  <c r="W759" s="1"/>
  <c r="G759"/>
  <c r="H759" s="1"/>
  <c r="AF758"/>
  <c r="W758"/>
  <c r="O758"/>
  <c r="V758" s="1"/>
  <c r="G758"/>
  <c r="H758" s="1"/>
  <c r="AF757"/>
  <c r="V757"/>
  <c r="O757"/>
  <c r="W757" s="1"/>
  <c r="G757"/>
  <c r="H757" s="1"/>
  <c r="AF756"/>
  <c r="O756"/>
  <c r="V756" s="1"/>
  <c r="G756"/>
  <c r="H756" s="1"/>
  <c r="AF755"/>
  <c r="O755"/>
  <c r="W755" s="1"/>
  <c r="G755"/>
  <c r="H755" s="1"/>
  <c r="AF754"/>
  <c r="W754"/>
  <c r="O754"/>
  <c r="V754" s="1"/>
  <c r="G754"/>
  <c r="H754" s="1"/>
  <c r="AF753"/>
  <c r="V753"/>
  <c r="O753"/>
  <c r="W753" s="1"/>
  <c r="H753"/>
  <c r="G753"/>
  <c r="AF752"/>
  <c r="O752"/>
  <c r="V752" s="1"/>
  <c r="G752"/>
  <c r="H752" s="1"/>
  <c r="AF751"/>
  <c r="O751"/>
  <c r="W751" s="1"/>
  <c r="G751"/>
  <c r="H751" s="1"/>
  <c r="AF750"/>
  <c r="W750"/>
  <c r="O750"/>
  <c r="V750" s="1"/>
  <c r="G750"/>
  <c r="H750" s="1"/>
  <c r="AF749"/>
  <c r="V749"/>
  <c r="O749"/>
  <c r="W749" s="1"/>
  <c r="G749"/>
  <c r="H749" s="1"/>
  <c r="AF748"/>
  <c r="O748"/>
  <c r="V748" s="1"/>
  <c r="G748"/>
  <c r="H748" s="1"/>
  <c r="AF747"/>
  <c r="O747"/>
  <c r="W747" s="1"/>
  <c r="G747"/>
  <c r="H747" s="1"/>
  <c r="AF746"/>
  <c r="W746"/>
  <c r="O746"/>
  <c r="V746" s="1"/>
  <c r="G746"/>
  <c r="H746" s="1"/>
  <c r="AF745"/>
  <c r="V745"/>
  <c r="O745"/>
  <c r="W745" s="1"/>
  <c r="H745"/>
  <c r="G745"/>
  <c r="AF744"/>
  <c r="O744"/>
  <c r="V744" s="1"/>
  <c r="G744"/>
  <c r="H744" s="1"/>
  <c r="AF743"/>
  <c r="O743"/>
  <c r="W743" s="1"/>
  <c r="G743"/>
  <c r="H743" s="1"/>
  <c r="AF742"/>
  <c r="W742"/>
  <c r="O742"/>
  <c r="V742" s="1"/>
  <c r="G742"/>
  <c r="H742" s="1"/>
  <c r="AF741"/>
  <c r="V741"/>
  <c r="O741"/>
  <c r="W741" s="1"/>
  <c r="G741"/>
  <c r="H741" s="1"/>
  <c r="AF740"/>
  <c r="O740"/>
  <c r="V740" s="1"/>
  <c r="G740"/>
  <c r="H740" s="1"/>
  <c r="AF739"/>
  <c r="O739"/>
  <c r="W739" s="1"/>
  <c r="G739"/>
  <c r="H739" s="1"/>
  <c r="AF738"/>
  <c r="W738"/>
  <c r="O738"/>
  <c r="V738" s="1"/>
  <c r="G738"/>
  <c r="H738" s="1"/>
  <c r="AF737"/>
  <c r="V737"/>
  <c r="O737"/>
  <c r="W737" s="1"/>
  <c r="H737"/>
  <c r="G737"/>
  <c r="AF736"/>
  <c r="O736"/>
  <c r="V736" s="1"/>
  <c r="G736"/>
  <c r="H736" s="1"/>
  <c r="AF735"/>
  <c r="O735"/>
  <c r="W735" s="1"/>
  <c r="G735"/>
  <c r="H735" s="1"/>
  <c r="AF734"/>
  <c r="W734"/>
  <c r="O734"/>
  <c r="V734" s="1"/>
  <c r="G734"/>
  <c r="H734" s="1"/>
  <c r="AF733"/>
  <c r="V733"/>
  <c r="O733"/>
  <c r="W733" s="1"/>
  <c r="G733"/>
  <c r="H733" s="1"/>
  <c r="AF732"/>
  <c r="O732"/>
  <c r="V732" s="1"/>
  <c r="G732"/>
  <c r="H732" s="1"/>
  <c r="AF731"/>
  <c r="O731"/>
  <c r="W731" s="1"/>
  <c r="G731"/>
  <c r="H731" s="1"/>
  <c r="AF730"/>
  <c r="W730"/>
  <c r="O730"/>
  <c r="V730" s="1"/>
  <c r="G730"/>
  <c r="H730" s="1"/>
  <c r="AF729"/>
  <c r="V729"/>
  <c r="O729"/>
  <c r="W729" s="1"/>
  <c r="H729"/>
  <c r="G729"/>
  <c r="AF728"/>
  <c r="O728"/>
  <c r="V728" s="1"/>
  <c r="G728"/>
  <c r="H728" s="1"/>
  <c r="AF727"/>
  <c r="O727"/>
  <c r="W727" s="1"/>
  <c r="G727"/>
  <c r="H727" s="1"/>
  <c r="AF726"/>
  <c r="W726"/>
  <c r="O726"/>
  <c r="V726" s="1"/>
  <c r="G726"/>
  <c r="H726" s="1"/>
  <c r="AF725"/>
  <c r="V725"/>
  <c r="O725"/>
  <c r="W725" s="1"/>
  <c r="G725"/>
  <c r="H725" s="1"/>
  <c r="AF724"/>
  <c r="O724"/>
  <c r="V724" s="1"/>
  <c r="G724"/>
  <c r="H724" s="1"/>
  <c r="AF723"/>
  <c r="O723"/>
  <c r="W723" s="1"/>
  <c r="G723"/>
  <c r="H723" s="1"/>
  <c r="AF722"/>
  <c r="W722"/>
  <c r="O722"/>
  <c r="V722" s="1"/>
  <c r="G722"/>
  <c r="H722" s="1"/>
  <c r="AF721"/>
  <c r="V721"/>
  <c r="O721"/>
  <c r="W721" s="1"/>
  <c r="H721"/>
  <c r="G721"/>
  <c r="AF720"/>
  <c r="O720"/>
  <c r="V720" s="1"/>
  <c r="G720"/>
  <c r="H720" s="1"/>
  <c r="AF719"/>
  <c r="V719"/>
  <c r="O719"/>
  <c r="W719" s="1"/>
  <c r="H719"/>
  <c r="G719"/>
  <c r="AF718"/>
  <c r="O718"/>
  <c r="V718" s="1"/>
  <c r="G718"/>
  <c r="H718" s="1"/>
  <c r="AF717"/>
  <c r="V717"/>
  <c r="O717"/>
  <c r="W717" s="1"/>
  <c r="H717"/>
  <c r="G717"/>
  <c r="AF716"/>
  <c r="O716"/>
  <c r="V716" s="1"/>
  <c r="G716"/>
  <c r="H716" s="1"/>
  <c r="AF715"/>
  <c r="V715"/>
  <c r="O715"/>
  <c r="W715" s="1"/>
  <c r="H715"/>
  <c r="G715"/>
  <c r="AF714"/>
  <c r="O714"/>
  <c r="V714" s="1"/>
  <c r="G714"/>
  <c r="H714" s="1"/>
  <c r="AF713"/>
  <c r="V713"/>
  <c r="O713"/>
  <c r="W713" s="1"/>
  <c r="H713"/>
  <c r="G713"/>
  <c r="AF712"/>
  <c r="O712"/>
  <c r="V712" s="1"/>
  <c r="G712"/>
  <c r="H712" s="1"/>
  <c r="AF711"/>
  <c r="V711"/>
  <c r="O711"/>
  <c r="W711" s="1"/>
  <c r="H711"/>
  <c r="G711"/>
  <c r="AF710"/>
  <c r="O710"/>
  <c r="V710" s="1"/>
  <c r="G710"/>
  <c r="H710" s="1"/>
  <c r="AF709"/>
  <c r="V709"/>
  <c r="O709"/>
  <c r="W709" s="1"/>
  <c r="H709"/>
  <c r="G709"/>
  <c r="AF708"/>
  <c r="O708"/>
  <c r="V708" s="1"/>
  <c r="G708"/>
  <c r="H708" s="1"/>
  <c r="AF707"/>
  <c r="V707"/>
  <c r="O707"/>
  <c r="W707" s="1"/>
  <c r="H707"/>
  <c r="G707"/>
  <c r="AF706"/>
  <c r="O706"/>
  <c r="V706" s="1"/>
  <c r="G706"/>
  <c r="H706" s="1"/>
  <c r="AF705"/>
  <c r="V705"/>
  <c r="O705"/>
  <c r="W705" s="1"/>
  <c r="H705"/>
  <c r="G705"/>
  <c r="AF704"/>
  <c r="O704"/>
  <c r="V704" s="1"/>
  <c r="G704"/>
  <c r="H704" s="1"/>
  <c r="AF703"/>
  <c r="V703"/>
  <c r="O703"/>
  <c r="W703" s="1"/>
  <c r="H703"/>
  <c r="G703"/>
  <c r="AF702"/>
  <c r="O702"/>
  <c r="V702" s="1"/>
  <c r="G702"/>
  <c r="H702" s="1"/>
  <c r="AF701"/>
  <c r="V701"/>
  <c r="O701"/>
  <c r="W701" s="1"/>
  <c r="H701"/>
  <c r="G701"/>
  <c r="AF700"/>
  <c r="O700"/>
  <c r="V700" s="1"/>
  <c r="G700"/>
  <c r="H700" s="1"/>
  <c r="AF699"/>
  <c r="V699"/>
  <c r="O699"/>
  <c r="W699" s="1"/>
  <c r="H699"/>
  <c r="G699"/>
  <c r="AF698"/>
  <c r="O698"/>
  <c r="V698" s="1"/>
  <c r="G698"/>
  <c r="H698" s="1"/>
  <c r="AF697"/>
  <c r="V697"/>
  <c r="O697"/>
  <c r="W697" s="1"/>
  <c r="H697"/>
  <c r="G697"/>
  <c r="AF696"/>
  <c r="O696"/>
  <c r="V696" s="1"/>
  <c r="G696"/>
  <c r="H696" s="1"/>
  <c r="AF695"/>
  <c r="V695"/>
  <c r="O695"/>
  <c r="W695" s="1"/>
  <c r="H695"/>
  <c r="G695"/>
  <c r="AF694"/>
  <c r="O694"/>
  <c r="V694" s="1"/>
  <c r="G694"/>
  <c r="H694" s="1"/>
  <c r="AF693"/>
  <c r="V693"/>
  <c r="O693"/>
  <c r="W693" s="1"/>
  <c r="H693"/>
  <c r="G693"/>
  <c r="AF692"/>
  <c r="O692"/>
  <c r="V692" s="1"/>
  <c r="G692"/>
  <c r="H692" s="1"/>
  <c r="AF691"/>
  <c r="V691"/>
  <c r="O691"/>
  <c r="W691" s="1"/>
  <c r="H691"/>
  <c r="G691"/>
  <c r="AF690"/>
  <c r="O690"/>
  <c r="V690" s="1"/>
  <c r="G690"/>
  <c r="H690" s="1"/>
  <c r="AF689"/>
  <c r="V689"/>
  <c r="O689"/>
  <c r="W689" s="1"/>
  <c r="H689"/>
  <c r="G689"/>
  <c r="AF688"/>
  <c r="O688"/>
  <c r="V688" s="1"/>
  <c r="G688"/>
  <c r="H688" s="1"/>
  <c r="AF687"/>
  <c r="V687"/>
  <c r="O687"/>
  <c r="W687" s="1"/>
  <c r="H687"/>
  <c r="G687"/>
  <c r="AF686"/>
  <c r="O686"/>
  <c r="V686" s="1"/>
  <c r="G686"/>
  <c r="H686" s="1"/>
  <c r="AF685"/>
  <c r="V685"/>
  <c r="O685"/>
  <c r="W685" s="1"/>
  <c r="H685"/>
  <c r="G685"/>
  <c r="AF684"/>
  <c r="O684"/>
  <c r="V684" s="1"/>
  <c r="G684"/>
  <c r="H684" s="1"/>
  <c r="AF683"/>
  <c r="V683"/>
  <c r="O683"/>
  <c r="W683" s="1"/>
  <c r="H683"/>
  <c r="G683"/>
  <c r="AF682"/>
  <c r="O682"/>
  <c r="V682" s="1"/>
  <c r="G682"/>
  <c r="H682" s="1"/>
  <c r="AF681"/>
  <c r="V681"/>
  <c r="O681"/>
  <c r="W681" s="1"/>
  <c r="H681"/>
  <c r="G681"/>
  <c r="AF680"/>
  <c r="O680"/>
  <c r="V680" s="1"/>
  <c r="G680"/>
  <c r="H680" s="1"/>
  <c r="AF679"/>
  <c r="V679"/>
  <c r="O679"/>
  <c r="W679" s="1"/>
  <c r="H679"/>
  <c r="G679"/>
  <c r="AF678"/>
  <c r="O678"/>
  <c r="V678" s="1"/>
  <c r="G678"/>
  <c r="H678" s="1"/>
  <c r="AF677"/>
  <c r="V677"/>
  <c r="O677"/>
  <c r="W677" s="1"/>
  <c r="H677"/>
  <c r="G677"/>
  <c r="AF676"/>
  <c r="O676"/>
  <c r="V676" s="1"/>
  <c r="G676"/>
  <c r="H676" s="1"/>
  <c r="AF675"/>
  <c r="V675"/>
  <c r="O675"/>
  <c r="W675" s="1"/>
  <c r="H675"/>
  <c r="G675"/>
  <c r="AF674"/>
  <c r="O674"/>
  <c r="V674" s="1"/>
  <c r="G674"/>
  <c r="H674" s="1"/>
  <c r="AF673"/>
  <c r="V673"/>
  <c r="O673"/>
  <c r="W673" s="1"/>
  <c r="H673"/>
  <c r="G673"/>
  <c r="AF672"/>
  <c r="O672"/>
  <c r="V672" s="1"/>
  <c r="G672"/>
  <c r="H672" s="1"/>
  <c r="AF671"/>
  <c r="V671"/>
  <c r="O671"/>
  <c r="W671" s="1"/>
  <c r="H671"/>
  <c r="G671"/>
  <c r="AF670"/>
  <c r="O670"/>
  <c r="V670" s="1"/>
  <c r="G670"/>
  <c r="H670" s="1"/>
  <c r="AF669"/>
  <c r="V669"/>
  <c r="O669"/>
  <c r="W669" s="1"/>
  <c r="H669"/>
  <c r="G669"/>
  <c r="AF668"/>
  <c r="O668"/>
  <c r="V668" s="1"/>
  <c r="G668"/>
  <c r="H668" s="1"/>
  <c r="AF667"/>
  <c r="V667"/>
  <c r="O667"/>
  <c r="W667" s="1"/>
  <c r="H667"/>
  <c r="G667"/>
  <c r="AF666"/>
  <c r="O666"/>
  <c r="V666" s="1"/>
  <c r="G666"/>
  <c r="H666" s="1"/>
  <c r="AF665"/>
  <c r="V665"/>
  <c r="O665"/>
  <c r="W665" s="1"/>
  <c r="H665"/>
  <c r="G665"/>
  <c r="AF664"/>
  <c r="O664"/>
  <c r="V664" s="1"/>
  <c r="G664"/>
  <c r="H664" s="1"/>
  <c r="AF663"/>
  <c r="V663"/>
  <c r="O663"/>
  <c r="W663" s="1"/>
  <c r="H663"/>
  <c r="G663"/>
  <c r="AF662"/>
  <c r="O662"/>
  <c r="V662" s="1"/>
  <c r="G662"/>
  <c r="H662" s="1"/>
  <c r="AF661"/>
  <c r="V661"/>
  <c r="O661"/>
  <c r="W661" s="1"/>
  <c r="H661"/>
  <c r="G661"/>
  <c r="AF660"/>
  <c r="O660"/>
  <c r="V660" s="1"/>
  <c r="G660"/>
  <c r="H660" s="1"/>
  <c r="AF659"/>
  <c r="V659"/>
  <c r="O659"/>
  <c r="W659" s="1"/>
  <c r="H659"/>
  <c r="G659"/>
  <c r="AF658"/>
  <c r="O658"/>
  <c r="V658" s="1"/>
  <c r="G658"/>
  <c r="H658" s="1"/>
  <c r="AF657"/>
  <c r="V657"/>
  <c r="O657"/>
  <c r="W657" s="1"/>
  <c r="H657"/>
  <c r="G657"/>
  <c r="AF656"/>
  <c r="O656"/>
  <c r="V656" s="1"/>
  <c r="G656"/>
  <c r="H656" s="1"/>
  <c r="AF655"/>
  <c r="O655"/>
  <c r="W655" s="1"/>
  <c r="G655"/>
  <c r="H655" s="1"/>
  <c r="AF654"/>
  <c r="W654"/>
  <c r="O654"/>
  <c r="V654" s="1"/>
  <c r="G654"/>
  <c r="H654" s="1"/>
  <c r="AF653"/>
  <c r="V653"/>
  <c r="O653"/>
  <c r="W653" s="1"/>
  <c r="G653"/>
  <c r="H653" s="1"/>
  <c r="AF652"/>
  <c r="O652"/>
  <c r="V652" s="1"/>
  <c r="G652"/>
  <c r="H652" s="1"/>
  <c r="AF651"/>
  <c r="O651"/>
  <c r="W651" s="1"/>
  <c r="G651"/>
  <c r="H651" s="1"/>
  <c r="AF650"/>
  <c r="W650"/>
  <c r="O650"/>
  <c r="V650" s="1"/>
  <c r="G650"/>
  <c r="H650" s="1"/>
  <c r="AF649"/>
  <c r="V649"/>
  <c r="O649"/>
  <c r="W649" s="1"/>
  <c r="H649"/>
  <c r="G649"/>
  <c r="AF648"/>
  <c r="O648"/>
  <c r="V648" s="1"/>
  <c r="G648"/>
  <c r="H648" s="1"/>
  <c r="AF647"/>
  <c r="O647"/>
  <c r="W647" s="1"/>
  <c r="G647"/>
  <c r="H647" s="1"/>
  <c r="AF646"/>
  <c r="W646"/>
  <c r="O646"/>
  <c r="V646" s="1"/>
  <c r="G646"/>
  <c r="H646" s="1"/>
  <c r="AF645"/>
  <c r="V645"/>
  <c r="O645"/>
  <c r="W645" s="1"/>
  <c r="G645"/>
  <c r="H645" s="1"/>
  <c r="AF644"/>
  <c r="O644"/>
  <c r="V644" s="1"/>
  <c r="G644"/>
  <c r="H644" s="1"/>
  <c r="AF643"/>
  <c r="O643"/>
  <c r="W643" s="1"/>
  <c r="G643"/>
  <c r="H643" s="1"/>
  <c r="AF642"/>
  <c r="W642"/>
  <c r="O642"/>
  <c r="V642" s="1"/>
  <c r="G642"/>
  <c r="H642" s="1"/>
  <c r="AF641"/>
  <c r="V641"/>
  <c r="O641"/>
  <c r="W641" s="1"/>
  <c r="H641"/>
  <c r="G641"/>
  <c r="AF640"/>
  <c r="O640"/>
  <c r="V640" s="1"/>
  <c r="G640"/>
  <c r="H640" s="1"/>
  <c r="AF639"/>
  <c r="O639"/>
  <c r="W639" s="1"/>
  <c r="G639"/>
  <c r="H639" s="1"/>
  <c r="AF638"/>
  <c r="W638"/>
  <c r="O638"/>
  <c r="V638" s="1"/>
  <c r="G638"/>
  <c r="H638" s="1"/>
  <c r="AF637"/>
  <c r="V637"/>
  <c r="O637"/>
  <c r="W637" s="1"/>
  <c r="G637"/>
  <c r="H637" s="1"/>
  <c r="AF636"/>
  <c r="O636"/>
  <c r="V636" s="1"/>
  <c r="G636"/>
  <c r="H636" s="1"/>
  <c r="AF635"/>
  <c r="O635"/>
  <c r="W635" s="1"/>
  <c r="G635"/>
  <c r="H635" s="1"/>
  <c r="AF634"/>
  <c r="W634"/>
  <c r="O634"/>
  <c r="V634" s="1"/>
  <c r="G634"/>
  <c r="H634" s="1"/>
  <c r="AF633"/>
  <c r="V633"/>
  <c r="O633"/>
  <c r="W633" s="1"/>
  <c r="H633"/>
  <c r="G633"/>
  <c r="AF632"/>
  <c r="O632"/>
  <c r="V632" s="1"/>
  <c r="G632"/>
  <c r="H632" s="1"/>
  <c r="AF631"/>
  <c r="O631"/>
  <c r="W631" s="1"/>
  <c r="G631"/>
  <c r="H631" s="1"/>
  <c r="AF630"/>
  <c r="W630"/>
  <c r="O630"/>
  <c r="V630" s="1"/>
  <c r="G630"/>
  <c r="H630" s="1"/>
  <c r="AF629"/>
  <c r="V629"/>
  <c r="O629"/>
  <c r="W629" s="1"/>
  <c r="G629"/>
  <c r="H629" s="1"/>
  <c r="AF628"/>
  <c r="O628"/>
  <c r="V628" s="1"/>
  <c r="G628"/>
  <c r="H628" s="1"/>
  <c r="AF627"/>
  <c r="O627"/>
  <c r="W627" s="1"/>
  <c r="G627"/>
  <c r="H627" s="1"/>
  <c r="AF626"/>
  <c r="W626"/>
  <c r="O626"/>
  <c r="V626" s="1"/>
  <c r="G626"/>
  <c r="H626" s="1"/>
  <c r="AF625"/>
  <c r="V625"/>
  <c r="O625"/>
  <c r="W625" s="1"/>
  <c r="H625"/>
  <c r="G625"/>
  <c r="AF624"/>
  <c r="O624"/>
  <c r="V624" s="1"/>
  <c r="G624"/>
  <c r="H624" s="1"/>
  <c r="AF623"/>
  <c r="O623"/>
  <c r="W623" s="1"/>
  <c r="G623"/>
  <c r="H623" s="1"/>
  <c r="AF622"/>
  <c r="W622"/>
  <c r="O622"/>
  <c r="V622" s="1"/>
  <c r="G622"/>
  <c r="H622" s="1"/>
  <c r="AF621"/>
  <c r="V621"/>
  <c r="O621"/>
  <c r="W621" s="1"/>
  <c r="G621"/>
  <c r="H621" s="1"/>
  <c r="AF620"/>
  <c r="O620"/>
  <c r="V620" s="1"/>
  <c r="G620"/>
  <c r="H620" s="1"/>
  <c r="AF619"/>
  <c r="O619"/>
  <c r="W619" s="1"/>
  <c r="G619"/>
  <c r="H619" s="1"/>
  <c r="AF618"/>
  <c r="W618"/>
  <c r="O618"/>
  <c r="V618" s="1"/>
  <c r="G618"/>
  <c r="H618" s="1"/>
  <c r="AF617"/>
  <c r="V617"/>
  <c r="O617"/>
  <c r="W617" s="1"/>
  <c r="H617"/>
  <c r="G617"/>
  <c r="AF616"/>
  <c r="O616"/>
  <c r="V616" s="1"/>
  <c r="G616"/>
  <c r="H616" s="1"/>
  <c r="AF615"/>
  <c r="O615"/>
  <c r="W615" s="1"/>
  <c r="G615"/>
  <c r="H615" s="1"/>
  <c r="AF614"/>
  <c r="W614"/>
  <c r="O614"/>
  <c r="V614" s="1"/>
  <c r="G614"/>
  <c r="H614" s="1"/>
  <c r="AF613"/>
  <c r="V613"/>
  <c r="O613"/>
  <c r="W613" s="1"/>
  <c r="G613"/>
  <c r="H613" s="1"/>
  <c r="AF612"/>
  <c r="O612"/>
  <c r="V612" s="1"/>
  <c r="G612"/>
  <c r="H612" s="1"/>
  <c r="AF611"/>
  <c r="O611"/>
  <c r="W611" s="1"/>
  <c r="G611"/>
  <c r="H611" s="1"/>
  <c r="AF610"/>
  <c r="W610"/>
  <c r="O610"/>
  <c r="V610" s="1"/>
  <c r="G610"/>
  <c r="H610" s="1"/>
  <c r="AF609"/>
  <c r="V609"/>
  <c r="O609"/>
  <c r="W609" s="1"/>
  <c r="H609"/>
  <c r="G609"/>
  <c r="AF608"/>
  <c r="O608"/>
  <c r="V608" s="1"/>
  <c r="G608"/>
  <c r="H608" s="1"/>
  <c r="AF607"/>
  <c r="O607"/>
  <c r="W607" s="1"/>
  <c r="G607"/>
  <c r="H607" s="1"/>
  <c r="AF606"/>
  <c r="W606"/>
  <c r="O606"/>
  <c r="V606" s="1"/>
  <c r="G606"/>
  <c r="H606" s="1"/>
  <c r="AF605"/>
  <c r="V605"/>
  <c r="O605"/>
  <c r="W605" s="1"/>
  <c r="G605"/>
  <c r="H605" s="1"/>
  <c r="AF604"/>
  <c r="O604"/>
  <c r="V604" s="1"/>
  <c r="G604"/>
  <c r="H604" s="1"/>
  <c r="AF603"/>
  <c r="O603"/>
  <c r="W603" s="1"/>
  <c r="G603"/>
  <c r="H603" s="1"/>
  <c r="AF602"/>
  <c r="O602"/>
  <c r="V602" s="1"/>
  <c r="G602"/>
  <c r="H602" s="1"/>
  <c r="AF601"/>
  <c r="O601"/>
  <c r="W601" s="1"/>
  <c r="G601"/>
  <c r="H601" s="1"/>
  <c r="AF600"/>
  <c r="O600"/>
  <c r="V600" s="1"/>
  <c r="G600"/>
  <c r="H600" s="1"/>
  <c r="AF599"/>
  <c r="O599"/>
  <c r="W599" s="1"/>
  <c r="G599"/>
  <c r="H599" s="1"/>
  <c r="AF598"/>
  <c r="O598"/>
  <c r="V598" s="1"/>
  <c r="G598"/>
  <c r="H598" s="1"/>
  <c r="AF597"/>
  <c r="O597"/>
  <c r="W597" s="1"/>
  <c r="G597"/>
  <c r="H597" s="1"/>
  <c r="AF596"/>
  <c r="O596"/>
  <c r="V596" s="1"/>
  <c r="G596"/>
  <c r="H596" s="1"/>
  <c r="AF595"/>
  <c r="O595"/>
  <c r="W595" s="1"/>
  <c r="G595"/>
  <c r="H595" s="1"/>
  <c r="AF594"/>
  <c r="O594"/>
  <c r="V594" s="1"/>
  <c r="G594"/>
  <c r="H594" s="1"/>
  <c r="AF593"/>
  <c r="O593"/>
  <c r="W593" s="1"/>
  <c r="G593"/>
  <c r="H593" s="1"/>
  <c r="AF592"/>
  <c r="O592"/>
  <c r="V592" s="1"/>
  <c r="G592"/>
  <c r="H592" s="1"/>
  <c r="AF591"/>
  <c r="O591"/>
  <c r="W591" s="1"/>
  <c r="G591"/>
  <c r="H591" s="1"/>
  <c r="AF590"/>
  <c r="O590"/>
  <c r="V590" s="1"/>
  <c r="G590"/>
  <c r="H590" s="1"/>
  <c r="AF589"/>
  <c r="O589"/>
  <c r="W589" s="1"/>
  <c r="G589"/>
  <c r="H589" s="1"/>
  <c r="AF588"/>
  <c r="O588"/>
  <c r="V588" s="1"/>
  <c r="G588"/>
  <c r="H588" s="1"/>
  <c r="AF587"/>
  <c r="O587"/>
  <c r="W587" s="1"/>
  <c r="G587"/>
  <c r="H587" s="1"/>
  <c r="AF586"/>
  <c r="O586"/>
  <c r="V586" s="1"/>
  <c r="G586"/>
  <c r="H586" s="1"/>
  <c r="AF585"/>
  <c r="O585"/>
  <c r="W585" s="1"/>
  <c r="G585"/>
  <c r="H585" s="1"/>
  <c r="AF584"/>
  <c r="O584"/>
  <c r="V584" s="1"/>
  <c r="G584"/>
  <c r="H584" s="1"/>
  <c r="AF583"/>
  <c r="O583"/>
  <c r="W583" s="1"/>
  <c r="G583"/>
  <c r="H583" s="1"/>
  <c r="AF582"/>
  <c r="O582"/>
  <c r="V582" s="1"/>
  <c r="G582"/>
  <c r="H582" s="1"/>
  <c r="AF581"/>
  <c r="O581"/>
  <c r="G581"/>
  <c r="H581" s="1"/>
  <c r="AF580"/>
  <c r="O580"/>
  <c r="V580" s="1"/>
  <c r="G580"/>
  <c r="H580" s="1"/>
  <c r="AF579"/>
  <c r="O579"/>
  <c r="G579"/>
  <c r="H579" s="1"/>
  <c r="AF578"/>
  <c r="O578"/>
  <c r="V578" s="1"/>
  <c r="G578"/>
  <c r="H578" s="1"/>
  <c r="AF577"/>
  <c r="O577"/>
  <c r="G577"/>
  <c r="H577" s="1"/>
  <c r="AF576"/>
  <c r="O576"/>
  <c r="V576" s="1"/>
  <c r="G576"/>
  <c r="H576" s="1"/>
  <c r="AF575"/>
  <c r="O575"/>
  <c r="G575"/>
  <c r="H575" s="1"/>
  <c r="AF574"/>
  <c r="O574"/>
  <c r="V574" s="1"/>
  <c r="G574"/>
  <c r="H574" s="1"/>
  <c r="AF573"/>
  <c r="O573"/>
  <c r="G573"/>
  <c r="H573" s="1"/>
  <c r="AF572"/>
  <c r="O572"/>
  <c r="V572" s="1"/>
  <c r="G572"/>
  <c r="H572" s="1"/>
  <c r="AF571"/>
  <c r="O571"/>
  <c r="G571"/>
  <c r="H571" s="1"/>
  <c r="AF570"/>
  <c r="O570"/>
  <c r="V570" s="1"/>
  <c r="G570"/>
  <c r="H570" s="1"/>
  <c r="AF569"/>
  <c r="O569"/>
  <c r="G569"/>
  <c r="H569" s="1"/>
  <c r="AF568"/>
  <c r="O568"/>
  <c r="V568" s="1"/>
  <c r="G568"/>
  <c r="H568" s="1"/>
  <c r="AF567"/>
  <c r="O567"/>
  <c r="G567"/>
  <c r="H567" s="1"/>
  <c r="AF566"/>
  <c r="O566"/>
  <c r="V566" s="1"/>
  <c r="G566"/>
  <c r="H566" s="1"/>
  <c r="AF565"/>
  <c r="O565"/>
  <c r="G565"/>
  <c r="H565" s="1"/>
  <c r="AF564"/>
  <c r="O564"/>
  <c r="V564" s="1"/>
  <c r="G564"/>
  <c r="H564" s="1"/>
  <c r="AF563"/>
  <c r="O563"/>
  <c r="G563"/>
  <c r="H563" s="1"/>
  <c r="AF562"/>
  <c r="O562"/>
  <c r="V562" s="1"/>
  <c r="G562"/>
  <c r="H562" s="1"/>
  <c r="AF561"/>
  <c r="O561"/>
  <c r="G561"/>
  <c r="H561" s="1"/>
  <c r="AF560"/>
  <c r="O560"/>
  <c r="V560" s="1"/>
  <c r="G560"/>
  <c r="H560" s="1"/>
  <c r="AF559"/>
  <c r="O559"/>
  <c r="G559"/>
  <c r="H559" s="1"/>
  <c r="AF558"/>
  <c r="O558"/>
  <c r="V558" s="1"/>
  <c r="G558"/>
  <c r="H558" s="1"/>
  <c r="AF557"/>
  <c r="O557"/>
  <c r="G557"/>
  <c r="H557" s="1"/>
  <c r="AF556"/>
  <c r="O556"/>
  <c r="V556" s="1"/>
  <c r="G556"/>
  <c r="H556" s="1"/>
  <c r="AF555"/>
  <c r="O555"/>
  <c r="G555"/>
  <c r="H555" s="1"/>
  <c r="AF554"/>
  <c r="O554"/>
  <c r="V554" s="1"/>
  <c r="G554"/>
  <c r="H554" s="1"/>
  <c r="AF553"/>
  <c r="O553"/>
  <c r="G553"/>
  <c r="H553" s="1"/>
  <c r="AF552"/>
  <c r="O552"/>
  <c r="V552" s="1"/>
  <c r="G552"/>
  <c r="H552" s="1"/>
  <c r="AF551"/>
  <c r="O551"/>
  <c r="G551"/>
  <c r="H551" s="1"/>
  <c r="AF550"/>
  <c r="O550"/>
  <c r="V550" s="1"/>
  <c r="G550"/>
  <c r="H550" s="1"/>
  <c r="AF549"/>
  <c r="O549"/>
  <c r="G549"/>
  <c r="H549" s="1"/>
  <c r="AF548"/>
  <c r="O548"/>
  <c r="V548" s="1"/>
  <c r="G548"/>
  <c r="H548" s="1"/>
  <c r="AF547"/>
  <c r="O547"/>
  <c r="G547"/>
  <c r="H547" s="1"/>
  <c r="AF546"/>
  <c r="O546"/>
  <c r="V546" s="1"/>
  <c r="G546"/>
  <c r="H546" s="1"/>
  <c r="AF545"/>
  <c r="O545"/>
  <c r="G545"/>
  <c r="H545" s="1"/>
  <c r="AF544"/>
  <c r="O544"/>
  <c r="V544" s="1"/>
  <c r="G544"/>
  <c r="H544" s="1"/>
  <c r="AF543"/>
  <c r="O543"/>
  <c r="G543"/>
  <c r="H543" s="1"/>
  <c r="AF542"/>
  <c r="O542"/>
  <c r="V542" s="1"/>
  <c r="G542"/>
  <c r="H542" s="1"/>
  <c r="AF541"/>
  <c r="O541"/>
  <c r="G541"/>
  <c r="H541" s="1"/>
  <c r="AF540"/>
  <c r="O540"/>
  <c r="V540" s="1"/>
  <c r="G540"/>
  <c r="H540" s="1"/>
  <c r="AF539"/>
  <c r="O539"/>
  <c r="G539"/>
  <c r="H539" s="1"/>
  <c r="AF538"/>
  <c r="O538"/>
  <c r="V538" s="1"/>
  <c r="G538"/>
  <c r="H538" s="1"/>
  <c r="AF537"/>
  <c r="O537"/>
  <c r="G537"/>
  <c r="H537" s="1"/>
  <c r="AF536"/>
  <c r="O536"/>
  <c r="V536" s="1"/>
  <c r="G536"/>
  <c r="H536" s="1"/>
  <c r="AF535"/>
  <c r="O535"/>
  <c r="G535"/>
  <c r="H535" s="1"/>
  <c r="AF534"/>
  <c r="O534"/>
  <c r="V534" s="1"/>
  <c r="G534"/>
  <c r="H534" s="1"/>
  <c r="AF533"/>
  <c r="O533"/>
  <c r="G533"/>
  <c r="H533" s="1"/>
  <c r="AF532"/>
  <c r="O532"/>
  <c r="V532" s="1"/>
  <c r="G532"/>
  <c r="H532" s="1"/>
  <c r="AF531"/>
  <c r="O531"/>
  <c r="G531"/>
  <c r="H531" s="1"/>
  <c r="AF530"/>
  <c r="O530"/>
  <c r="V530" s="1"/>
  <c r="G530"/>
  <c r="H530" s="1"/>
  <c r="AF529"/>
  <c r="O529"/>
  <c r="G529"/>
  <c r="H529" s="1"/>
  <c r="AF528"/>
  <c r="O528"/>
  <c r="V528" s="1"/>
  <c r="G528"/>
  <c r="H528" s="1"/>
  <c r="AF527"/>
  <c r="O527"/>
  <c r="G527"/>
  <c r="H527" s="1"/>
  <c r="AF526"/>
  <c r="O526"/>
  <c r="V526" s="1"/>
  <c r="G526"/>
  <c r="H526" s="1"/>
  <c r="AF525"/>
  <c r="O525"/>
  <c r="G525"/>
  <c r="H525" s="1"/>
  <c r="AF524"/>
  <c r="O524"/>
  <c r="V524" s="1"/>
  <c r="G524"/>
  <c r="H524" s="1"/>
  <c r="AF523"/>
  <c r="O523"/>
  <c r="G523"/>
  <c r="H523" s="1"/>
  <c r="AF522"/>
  <c r="O522"/>
  <c r="V522" s="1"/>
  <c r="G522"/>
  <c r="H522" s="1"/>
  <c r="AF521"/>
  <c r="O521"/>
  <c r="G521"/>
  <c r="H521" s="1"/>
  <c r="AF520"/>
  <c r="O520"/>
  <c r="V520" s="1"/>
  <c r="G520"/>
  <c r="H520" s="1"/>
  <c r="AF519"/>
  <c r="O519"/>
  <c r="G519"/>
  <c r="H519" s="1"/>
  <c r="AF518"/>
  <c r="O518"/>
  <c r="V518" s="1"/>
  <c r="G518"/>
  <c r="H518" s="1"/>
  <c r="AF517"/>
  <c r="O517"/>
  <c r="G517"/>
  <c r="H517" s="1"/>
  <c r="AF516"/>
  <c r="O516"/>
  <c r="V516" s="1"/>
  <c r="G516"/>
  <c r="H516" s="1"/>
  <c r="AF515"/>
  <c r="O515"/>
  <c r="G515"/>
  <c r="H515" s="1"/>
  <c r="AF514"/>
  <c r="O514"/>
  <c r="V514" s="1"/>
  <c r="G514"/>
  <c r="H514" s="1"/>
  <c r="AF513"/>
  <c r="O513"/>
  <c r="G513"/>
  <c r="H513" s="1"/>
  <c r="AF512"/>
  <c r="O512"/>
  <c r="V512" s="1"/>
  <c r="G512"/>
  <c r="H512" s="1"/>
  <c r="AF511"/>
  <c r="O511"/>
  <c r="G511"/>
  <c r="H511" s="1"/>
  <c r="AF510"/>
  <c r="O510"/>
  <c r="V510" s="1"/>
  <c r="G510"/>
  <c r="H510" s="1"/>
  <c r="AF509"/>
  <c r="O509"/>
  <c r="G509"/>
  <c r="H509" s="1"/>
  <c r="AF508"/>
  <c r="O508"/>
  <c r="V508" s="1"/>
  <c r="G508"/>
  <c r="H508" s="1"/>
  <c r="AF507"/>
  <c r="O507"/>
  <c r="G507"/>
  <c r="H507" s="1"/>
  <c r="AF506"/>
  <c r="O506"/>
  <c r="V506" s="1"/>
  <c r="G506"/>
  <c r="H506" s="1"/>
  <c r="AF505"/>
  <c r="O505"/>
  <c r="G505"/>
  <c r="H505" s="1"/>
  <c r="AF504"/>
  <c r="O504"/>
  <c r="V504" s="1"/>
  <c r="G504"/>
  <c r="H504" s="1"/>
  <c r="AF503"/>
  <c r="O503"/>
  <c r="G503"/>
  <c r="H503" s="1"/>
  <c r="AF502"/>
  <c r="O502"/>
  <c r="V502" s="1"/>
  <c r="G502"/>
  <c r="H502" s="1"/>
  <c r="AF501"/>
  <c r="O501"/>
  <c r="G501"/>
  <c r="H501" s="1"/>
  <c r="AF500"/>
  <c r="O500"/>
  <c r="V500" s="1"/>
  <c r="G500"/>
  <c r="H500" s="1"/>
  <c r="AF499"/>
  <c r="O499"/>
  <c r="G499"/>
  <c r="H499" s="1"/>
  <c r="AF498"/>
  <c r="O498"/>
  <c r="V498" s="1"/>
  <c r="G498"/>
  <c r="H498" s="1"/>
  <c r="AF497"/>
  <c r="O497"/>
  <c r="G497"/>
  <c r="H497" s="1"/>
  <c r="AF496"/>
  <c r="O496"/>
  <c r="V496" s="1"/>
  <c r="G496"/>
  <c r="H496" s="1"/>
  <c r="AF495"/>
  <c r="O495"/>
  <c r="G495"/>
  <c r="H495" s="1"/>
  <c r="AF494"/>
  <c r="O494"/>
  <c r="V494" s="1"/>
  <c r="G494"/>
  <c r="H494" s="1"/>
  <c r="AF493"/>
  <c r="O493"/>
  <c r="W493" s="1"/>
  <c r="G493"/>
  <c r="H493" s="1"/>
  <c r="AF492"/>
  <c r="O492"/>
  <c r="V492" s="1"/>
  <c r="G492"/>
  <c r="H492" s="1"/>
  <c r="AF491"/>
  <c r="O491"/>
  <c r="W491" s="1"/>
  <c r="G491"/>
  <c r="H491" s="1"/>
  <c r="AF490"/>
  <c r="O490"/>
  <c r="V490" s="1"/>
  <c r="G490"/>
  <c r="H490" s="1"/>
  <c r="AF489"/>
  <c r="O489"/>
  <c r="W489" s="1"/>
  <c r="G489"/>
  <c r="H489" s="1"/>
  <c r="AF488"/>
  <c r="O488"/>
  <c r="V488" s="1"/>
  <c r="G488"/>
  <c r="H488" s="1"/>
  <c r="AF487"/>
  <c r="O487"/>
  <c r="W487" s="1"/>
  <c r="G487"/>
  <c r="H487" s="1"/>
  <c r="AF486"/>
  <c r="O486"/>
  <c r="V486" s="1"/>
  <c r="G486"/>
  <c r="H486" s="1"/>
  <c r="AF485"/>
  <c r="O485"/>
  <c r="W485" s="1"/>
  <c r="G485"/>
  <c r="H485" s="1"/>
  <c r="AF484"/>
  <c r="O484"/>
  <c r="V484" s="1"/>
  <c r="G484"/>
  <c r="H484" s="1"/>
  <c r="AF483"/>
  <c r="O483"/>
  <c r="W483" s="1"/>
  <c r="G483"/>
  <c r="H483" s="1"/>
  <c r="AF482"/>
  <c r="O482"/>
  <c r="V482" s="1"/>
  <c r="G482"/>
  <c r="H482" s="1"/>
  <c r="AF481"/>
  <c r="O481"/>
  <c r="W481" s="1"/>
  <c r="G481"/>
  <c r="H481" s="1"/>
  <c r="AF480"/>
  <c r="O480"/>
  <c r="V480" s="1"/>
  <c r="G480"/>
  <c r="H480" s="1"/>
  <c r="AF479"/>
  <c r="O479"/>
  <c r="W479" s="1"/>
  <c r="G479"/>
  <c r="H479" s="1"/>
  <c r="AF478"/>
  <c r="O478"/>
  <c r="V478" s="1"/>
  <c r="G478"/>
  <c r="H478" s="1"/>
  <c r="AF477"/>
  <c r="O477"/>
  <c r="W477" s="1"/>
  <c r="G477"/>
  <c r="H477" s="1"/>
  <c r="AF476"/>
  <c r="O476"/>
  <c r="V476" s="1"/>
  <c r="G476"/>
  <c r="H476" s="1"/>
  <c r="AF475"/>
  <c r="O475"/>
  <c r="W475" s="1"/>
  <c r="G475"/>
  <c r="H475" s="1"/>
  <c r="AF474"/>
  <c r="O474"/>
  <c r="V474" s="1"/>
  <c r="G474"/>
  <c r="H474" s="1"/>
  <c r="AF473"/>
  <c r="O473"/>
  <c r="W473" s="1"/>
  <c r="G473"/>
  <c r="H473" s="1"/>
  <c r="AF472"/>
  <c r="O472"/>
  <c r="V472" s="1"/>
  <c r="G472"/>
  <c r="H472" s="1"/>
  <c r="AF471"/>
  <c r="O471"/>
  <c r="W471" s="1"/>
  <c r="G471"/>
  <c r="H471" s="1"/>
  <c r="AF470"/>
  <c r="O470"/>
  <c r="V470" s="1"/>
  <c r="G470"/>
  <c r="H470" s="1"/>
  <c r="AF469"/>
  <c r="O469"/>
  <c r="W469" s="1"/>
  <c r="G469"/>
  <c r="H469" s="1"/>
  <c r="AF468"/>
  <c r="O468"/>
  <c r="V468" s="1"/>
  <c r="G468"/>
  <c r="H468" s="1"/>
  <c r="AF467"/>
  <c r="O467"/>
  <c r="W467" s="1"/>
  <c r="G467"/>
  <c r="H467" s="1"/>
  <c r="AF466"/>
  <c r="O466"/>
  <c r="V466" s="1"/>
  <c r="G466"/>
  <c r="H466" s="1"/>
  <c r="AF465"/>
  <c r="O465"/>
  <c r="W465" s="1"/>
  <c r="G465"/>
  <c r="H465" s="1"/>
  <c r="AF464"/>
  <c r="O464"/>
  <c r="V464" s="1"/>
  <c r="G464"/>
  <c r="H464" s="1"/>
  <c r="AF463"/>
  <c r="O463"/>
  <c r="W463" s="1"/>
  <c r="G463"/>
  <c r="H463" s="1"/>
  <c r="AF462"/>
  <c r="O462"/>
  <c r="V462" s="1"/>
  <c r="G462"/>
  <c r="H462" s="1"/>
  <c r="AF461"/>
  <c r="O461"/>
  <c r="W461" s="1"/>
  <c r="G461"/>
  <c r="H461" s="1"/>
  <c r="AF460"/>
  <c r="O460"/>
  <c r="V460" s="1"/>
  <c r="G460"/>
  <c r="H460" s="1"/>
  <c r="AF459"/>
  <c r="O459"/>
  <c r="W459" s="1"/>
  <c r="G459"/>
  <c r="H459" s="1"/>
  <c r="AF458"/>
  <c r="O458"/>
  <c r="V458" s="1"/>
  <c r="G458"/>
  <c r="H458" s="1"/>
  <c r="AF457"/>
  <c r="O457"/>
  <c r="W457" s="1"/>
  <c r="G457"/>
  <c r="H457" s="1"/>
  <c r="AF456"/>
  <c r="O456"/>
  <c r="V456" s="1"/>
  <c r="G456"/>
  <c r="H456" s="1"/>
  <c r="AF455"/>
  <c r="O455"/>
  <c r="W455" s="1"/>
  <c r="G455"/>
  <c r="H455" s="1"/>
  <c r="AF454"/>
  <c r="O454"/>
  <c r="V454" s="1"/>
  <c r="G454"/>
  <c r="H454" s="1"/>
  <c r="AF453"/>
  <c r="O453"/>
  <c r="W453" s="1"/>
  <c r="G453"/>
  <c r="H453" s="1"/>
  <c r="AF452"/>
  <c r="O452"/>
  <c r="V452" s="1"/>
  <c r="G452"/>
  <c r="H452" s="1"/>
  <c r="AF451"/>
  <c r="O451"/>
  <c r="W451" s="1"/>
  <c r="G451"/>
  <c r="H451" s="1"/>
  <c r="AF450"/>
  <c r="O450"/>
  <c r="V450" s="1"/>
  <c r="G450"/>
  <c r="H450" s="1"/>
  <c r="AF449"/>
  <c r="O449"/>
  <c r="W449" s="1"/>
  <c r="G449"/>
  <c r="H449" s="1"/>
  <c r="AF448"/>
  <c r="O448"/>
  <c r="V448" s="1"/>
  <c r="G448"/>
  <c r="H448" s="1"/>
  <c r="AF447"/>
  <c r="O447"/>
  <c r="W447" s="1"/>
  <c r="G447"/>
  <c r="H447" s="1"/>
  <c r="AF446"/>
  <c r="O446"/>
  <c r="V446" s="1"/>
  <c r="G446"/>
  <c r="H446" s="1"/>
  <c r="AF445"/>
  <c r="O445"/>
  <c r="W445" s="1"/>
  <c r="G445"/>
  <c r="H445" s="1"/>
  <c r="AF444"/>
  <c r="O444"/>
  <c r="V444" s="1"/>
  <c r="G444"/>
  <c r="H444" s="1"/>
  <c r="AF443"/>
  <c r="O443"/>
  <c r="W443" s="1"/>
  <c r="G443"/>
  <c r="H443" s="1"/>
  <c r="AF442"/>
  <c r="O442"/>
  <c r="V442" s="1"/>
  <c r="G442"/>
  <c r="H442" s="1"/>
  <c r="AF441"/>
  <c r="O441"/>
  <c r="W441" s="1"/>
  <c r="G441"/>
  <c r="H441" s="1"/>
  <c r="AF440"/>
  <c r="O440"/>
  <c r="V440" s="1"/>
  <c r="G440"/>
  <c r="H440" s="1"/>
  <c r="AF439"/>
  <c r="O439"/>
  <c r="W439" s="1"/>
  <c r="G439"/>
  <c r="H439" s="1"/>
  <c r="AF438"/>
  <c r="O438"/>
  <c r="V438" s="1"/>
  <c r="G438"/>
  <c r="H438" s="1"/>
  <c r="AF437"/>
  <c r="O437"/>
  <c r="W437" s="1"/>
  <c r="G437"/>
  <c r="H437" s="1"/>
  <c r="AF436"/>
  <c r="O436"/>
  <c r="V436" s="1"/>
  <c r="G436"/>
  <c r="H436" s="1"/>
  <c r="AF435"/>
  <c r="O435"/>
  <c r="W435" s="1"/>
  <c r="G435"/>
  <c r="H435" s="1"/>
  <c r="AF434"/>
  <c r="O434"/>
  <c r="V434" s="1"/>
  <c r="G434"/>
  <c r="H434" s="1"/>
  <c r="AF433"/>
  <c r="O433"/>
  <c r="W433" s="1"/>
  <c r="G433"/>
  <c r="H433" s="1"/>
  <c r="AF432"/>
  <c r="O432"/>
  <c r="V432" s="1"/>
  <c r="G432"/>
  <c r="H432" s="1"/>
  <c r="AF431"/>
  <c r="O431"/>
  <c r="W431" s="1"/>
  <c r="G431"/>
  <c r="H431" s="1"/>
  <c r="AF430"/>
  <c r="O430"/>
  <c r="V430" s="1"/>
  <c r="G430"/>
  <c r="H430" s="1"/>
  <c r="AF429"/>
  <c r="O429"/>
  <c r="W429" s="1"/>
  <c r="G429"/>
  <c r="H429" s="1"/>
  <c r="AF428"/>
  <c r="O428"/>
  <c r="V428" s="1"/>
  <c r="G428"/>
  <c r="H428" s="1"/>
  <c r="AF427"/>
  <c r="O427"/>
  <c r="W427" s="1"/>
  <c r="G427"/>
  <c r="H427" s="1"/>
  <c r="AF426"/>
  <c r="O426"/>
  <c r="V426" s="1"/>
  <c r="G426"/>
  <c r="H426" s="1"/>
  <c r="AF425"/>
  <c r="O425"/>
  <c r="W425" s="1"/>
  <c r="G425"/>
  <c r="H425" s="1"/>
  <c r="AF424"/>
  <c r="O424"/>
  <c r="V424" s="1"/>
  <c r="G424"/>
  <c r="H424" s="1"/>
  <c r="AF423"/>
  <c r="O423"/>
  <c r="W423" s="1"/>
  <c r="G423"/>
  <c r="H423" s="1"/>
  <c r="AF422"/>
  <c r="O422"/>
  <c r="V422" s="1"/>
  <c r="G422"/>
  <c r="H422" s="1"/>
  <c r="AF421"/>
  <c r="O421"/>
  <c r="W421" s="1"/>
  <c r="G421"/>
  <c r="H421" s="1"/>
  <c r="AF420"/>
  <c r="O420"/>
  <c r="V420" s="1"/>
  <c r="G420"/>
  <c r="H420" s="1"/>
  <c r="AF419"/>
  <c r="O419"/>
  <c r="W419" s="1"/>
  <c r="G419"/>
  <c r="H419" s="1"/>
  <c r="AF418"/>
  <c r="O418"/>
  <c r="V418" s="1"/>
  <c r="G418"/>
  <c r="H418" s="1"/>
  <c r="AF417"/>
  <c r="O417"/>
  <c r="W417" s="1"/>
  <c r="G417"/>
  <c r="H417" s="1"/>
  <c r="AF416"/>
  <c r="O416"/>
  <c r="V416" s="1"/>
  <c r="G416"/>
  <c r="H416" s="1"/>
  <c r="AF415"/>
  <c r="O415"/>
  <c r="W415" s="1"/>
  <c r="G415"/>
  <c r="H415" s="1"/>
  <c r="AF414"/>
  <c r="W414"/>
  <c r="O414"/>
  <c r="V414" s="1"/>
  <c r="G414"/>
  <c r="H414" s="1"/>
  <c r="AF413"/>
  <c r="V413"/>
  <c r="O413"/>
  <c r="W413" s="1"/>
  <c r="H413"/>
  <c r="G413"/>
  <c r="AF412"/>
  <c r="O412"/>
  <c r="V412" s="1"/>
  <c r="G412"/>
  <c r="H412" s="1"/>
  <c r="AF411"/>
  <c r="O411"/>
  <c r="W411" s="1"/>
  <c r="G411"/>
  <c r="H411" s="1"/>
  <c r="AF410"/>
  <c r="W410"/>
  <c r="O410"/>
  <c r="V410" s="1"/>
  <c r="G410"/>
  <c r="H410" s="1"/>
  <c r="AF409"/>
  <c r="V409"/>
  <c r="O409"/>
  <c r="W409" s="1"/>
  <c r="G409"/>
  <c r="H409" s="1"/>
  <c r="AF408"/>
  <c r="O408"/>
  <c r="V408" s="1"/>
  <c r="G408"/>
  <c r="H408" s="1"/>
  <c r="AF407"/>
  <c r="O407"/>
  <c r="W407" s="1"/>
  <c r="G407"/>
  <c r="H407" s="1"/>
  <c r="AF406"/>
  <c r="W406"/>
  <c r="O406"/>
  <c r="V406" s="1"/>
  <c r="G406"/>
  <c r="H406" s="1"/>
  <c r="AF405"/>
  <c r="V405"/>
  <c r="O405"/>
  <c r="W405" s="1"/>
  <c r="H405"/>
  <c r="G405"/>
  <c r="AF404"/>
  <c r="O404"/>
  <c r="V404" s="1"/>
  <c r="G404"/>
  <c r="H404" s="1"/>
  <c r="AF403"/>
  <c r="O403"/>
  <c r="W403" s="1"/>
  <c r="G403"/>
  <c r="H403" s="1"/>
  <c r="AF402"/>
  <c r="W402"/>
  <c r="O402"/>
  <c r="V402" s="1"/>
  <c r="G402"/>
  <c r="H402" s="1"/>
  <c r="AF401"/>
  <c r="V401"/>
  <c r="O401"/>
  <c r="W401" s="1"/>
  <c r="G401"/>
  <c r="H401" s="1"/>
  <c r="AF400"/>
  <c r="O400"/>
  <c r="V400" s="1"/>
  <c r="G400"/>
  <c r="H400" s="1"/>
  <c r="AF399"/>
  <c r="O399"/>
  <c r="W399" s="1"/>
  <c r="G399"/>
  <c r="H399" s="1"/>
  <c r="AF398"/>
  <c r="W398"/>
  <c r="O398"/>
  <c r="V398" s="1"/>
  <c r="G398"/>
  <c r="H398" s="1"/>
  <c r="AF397"/>
  <c r="V397"/>
  <c r="O397"/>
  <c r="W397" s="1"/>
  <c r="H397"/>
  <c r="G397"/>
  <c r="AF396"/>
  <c r="O396"/>
  <c r="V396" s="1"/>
  <c r="G396"/>
  <c r="H396" s="1"/>
  <c r="AF395"/>
  <c r="O395"/>
  <c r="W395" s="1"/>
  <c r="G395"/>
  <c r="H395" s="1"/>
  <c r="AF394"/>
  <c r="W394"/>
  <c r="O394"/>
  <c r="V394" s="1"/>
  <c r="G394"/>
  <c r="H394" s="1"/>
  <c r="AF393"/>
  <c r="V393"/>
  <c r="O393"/>
  <c r="W393" s="1"/>
  <c r="G393"/>
  <c r="H393" s="1"/>
  <c r="AF392"/>
  <c r="O392"/>
  <c r="V392" s="1"/>
  <c r="G392"/>
  <c r="H392" s="1"/>
  <c r="AF391"/>
  <c r="O391"/>
  <c r="W391" s="1"/>
  <c r="G391"/>
  <c r="H391" s="1"/>
  <c r="AF390"/>
  <c r="W390"/>
  <c r="O390"/>
  <c r="V390" s="1"/>
  <c r="G390"/>
  <c r="H390" s="1"/>
  <c r="AF389"/>
  <c r="V389"/>
  <c r="O389"/>
  <c r="W389" s="1"/>
  <c r="H389"/>
  <c r="G389"/>
  <c r="AF388"/>
  <c r="O388"/>
  <c r="V388" s="1"/>
  <c r="G388"/>
  <c r="H388" s="1"/>
  <c r="AF387"/>
  <c r="O387"/>
  <c r="W387" s="1"/>
  <c r="G387"/>
  <c r="H387" s="1"/>
  <c r="AF386"/>
  <c r="W386"/>
  <c r="O386"/>
  <c r="V386" s="1"/>
  <c r="G386"/>
  <c r="H386" s="1"/>
  <c r="AF385"/>
  <c r="V385"/>
  <c r="O385"/>
  <c r="W385" s="1"/>
  <c r="H385"/>
  <c r="G385"/>
  <c r="AF384"/>
  <c r="O384"/>
  <c r="V384" s="1"/>
  <c r="G384"/>
  <c r="H384" s="1"/>
  <c r="AF383"/>
  <c r="O383"/>
  <c r="W383" s="1"/>
  <c r="G383"/>
  <c r="H383" s="1"/>
  <c r="AF382"/>
  <c r="W382"/>
  <c r="O382"/>
  <c r="V382" s="1"/>
  <c r="G382"/>
  <c r="H382" s="1"/>
  <c r="AF381"/>
  <c r="V381"/>
  <c r="O381"/>
  <c r="W381" s="1"/>
  <c r="G381"/>
  <c r="H381" s="1"/>
  <c r="AF380"/>
  <c r="O380"/>
  <c r="V380" s="1"/>
  <c r="G380"/>
  <c r="H380" s="1"/>
  <c r="AF379"/>
  <c r="O379"/>
  <c r="W379" s="1"/>
  <c r="G379"/>
  <c r="H379" s="1"/>
  <c r="AF378"/>
  <c r="W378"/>
  <c r="O378"/>
  <c r="V378" s="1"/>
  <c r="G378"/>
  <c r="H378" s="1"/>
  <c r="AF377"/>
  <c r="V377"/>
  <c r="O377"/>
  <c r="W377" s="1"/>
  <c r="H377"/>
  <c r="G377"/>
  <c r="AF376"/>
  <c r="O376"/>
  <c r="V376" s="1"/>
  <c r="G376"/>
  <c r="H376" s="1"/>
  <c r="AF375"/>
  <c r="O375"/>
  <c r="W375" s="1"/>
  <c r="G375"/>
  <c r="H375" s="1"/>
  <c r="AF374"/>
  <c r="W374"/>
  <c r="O374"/>
  <c r="V374" s="1"/>
  <c r="G374"/>
  <c r="H374" s="1"/>
  <c r="AF373"/>
  <c r="V373"/>
  <c r="O373"/>
  <c r="W373" s="1"/>
  <c r="G373"/>
  <c r="H373" s="1"/>
  <c r="AF372"/>
  <c r="O372"/>
  <c r="V372" s="1"/>
  <c r="G372"/>
  <c r="H372" s="1"/>
  <c r="AF371"/>
  <c r="O371"/>
  <c r="W371" s="1"/>
  <c r="G371"/>
  <c r="H371" s="1"/>
  <c r="AF370"/>
  <c r="W370"/>
  <c r="O370"/>
  <c r="V370" s="1"/>
  <c r="G370"/>
  <c r="H370" s="1"/>
  <c r="AF369"/>
  <c r="V369"/>
  <c r="O369"/>
  <c r="W369" s="1"/>
  <c r="H369"/>
  <c r="G369"/>
  <c r="AF368"/>
  <c r="O368"/>
  <c r="V368" s="1"/>
  <c r="G368"/>
  <c r="H368" s="1"/>
  <c r="AF367"/>
  <c r="O367"/>
  <c r="W367" s="1"/>
  <c r="G367"/>
  <c r="H367" s="1"/>
  <c r="AF366"/>
  <c r="W366"/>
  <c r="O366"/>
  <c r="V366" s="1"/>
  <c r="G366"/>
  <c r="H366" s="1"/>
  <c r="AF365"/>
  <c r="V365"/>
  <c r="O365"/>
  <c r="W365" s="1"/>
  <c r="G365"/>
  <c r="H365" s="1"/>
  <c r="AF364"/>
  <c r="O364"/>
  <c r="V364" s="1"/>
  <c r="G364"/>
  <c r="H364" s="1"/>
  <c r="AF363"/>
  <c r="O363"/>
  <c r="W363" s="1"/>
  <c r="G363"/>
  <c r="H363" s="1"/>
  <c r="AF362"/>
  <c r="W362"/>
  <c r="O362"/>
  <c r="V362" s="1"/>
  <c r="G362"/>
  <c r="H362" s="1"/>
  <c r="AF361"/>
  <c r="V361"/>
  <c r="O361"/>
  <c r="W361" s="1"/>
  <c r="H361"/>
  <c r="G361"/>
  <c r="AF360"/>
  <c r="O360"/>
  <c r="V360" s="1"/>
  <c r="G360"/>
  <c r="H360" s="1"/>
  <c r="AF359"/>
  <c r="O359"/>
  <c r="W359" s="1"/>
  <c r="G359"/>
  <c r="H359" s="1"/>
  <c r="AF358"/>
  <c r="W358"/>
  <c r="O358"/>
  <c r="V358" s="1"/>
  <c r="G358"/>
  <c r="H358" s="1"/>
  <c r="AF357"/>
  <c r="V357"/>
  <c r="O357"/>
  <c r="W357" s="1"/>
  <c r="G357"/>
  <c r="H357" s="1"/>
  <c r="AF356"/>
  <c r="O356"/>
  <c r="V356" s="1"/>
  <c r="G356"/>
  <c r="H356" s="1"/>
  <c r="AF355"/>
  <c r="O355"/>
  <c r="W355" s="1"/>
  <c r="G355"/>
  <c r="H355" s="1"/>
  <c r="AF354"/>
  <c r="W354"/>
  <c r="O354"/>
  <c r="V354" s="1"/>
  <c r="G354"/>
  <c r="H354" s="1"/>
  <c r="AF353"/>
  <c r="V353"/>
  <c r="O353"/>
  <c r="W353" s="1"/>
  <c r="H353"/>
  <c r="G353"/>
  <c r="AF352"/>
  <c r="O352"/>
  <c r="V352" s="1"/>
  <c r="G352"/>
  <c r="H352" s="1"/>
  <c r="AF351"/>
  <c r="O351"/>
  <c r="W351" s="1"/>
  <c r="G351"/>
  <c r="H351" s="1"/>
  <c r="AF350"/>
  <c r="W350"/>
  <c r="O350"/>
  <c r="V350" s="1"/>
  <c r="G350"/>
  <c r="H350" s="1"/>
  <c r="AF349"/>
  <c r="V349"/>
  <c r="O349"/>
  <c r="W349" s="1"/>
  <c r="G349"/>
  <c r="H349" s="1"/>
  <c r="AF348"/>
  <c r="O348"/>
  <c r="V348" s="1"/>
  <c r="G348"/>
  <c r="H348" s="1"/>
  <c r="AF347"/>
  <c r="O347"/>
  <c r="W347" s="1"/>
  <c r="G347"/>
  <c r="H347" s="1"/>
  <c r="AF346"/>
  <c r="W346"/>
  <c r="O346"/>
  <c r="V346" s="1"/>
  <c r="G346"/>
  <c r="H346" s="1"/>
  <c r="AF345"/>
  <c r="V345"/>
  <c r="O345"/>
  <c r="W345" s="1"/>
  <c r="H345"/>
  <c r="G345"/>
  <c r="AF344"/>
  <c r="O344"/>
  <c r="V344" s="1"/>
  <c r="G344"/>
  <c r="H344" s="1"/>
  <c r="AF343"/>
  <c r="O343"/>
  <c r="W343" s="1"/>
  <c r="G343"/>
  <c r="H343" s="1"/>
  <c r="AF342"/>
  <c r="W342"/>
  <c r="O342"/>
  <c r="V342" s="1"/>
  <c r="G342"/>
  <c r="H342" s="1"/>
  <c r="AF341"/>
  <c r="V341"/>
  <c r="O341"/>
  <c r="W341" s="1"/>
  <c r="G341"/>
  <c r="H341" s="1"/>
  <c r="AF340"/>
  <c r="O340"/>
  <c r="V340" s="1"/>
  <c r="G340"/>
  <c r="H340" s="1"/>
  <c r="AF339"/>
  <c r="O339"/>
  <c r="W339" s="1"/>
  <c r="G339"/>
  <c r="H339" s="1"/>
  <c r="AF338"/>
  <c r="W338"/>
  <c r="O338"/>
  <c r="V338" s="1"/>
  <c r="G338"/>
  <c r="H338" s="1"/>
  <c r="AF337"/>
  <c r="V337"/>
  <c r="O337"/>
  <c r="W337" s="1"/>
  <c r="H337"/>
  <c r="G337"/>
  <c r="AF336"/>
  <c r="O336"/>
  <c r="V336" s="1"/>
  <c r="G336"/>
  <c r="H336" s="1"/>
  <c r="AF335"/>
  <c r="O335"/>
  <c r="W335" s="1"/>
  <c r="G335"/>
  <c r="H335" s="1"/>
  <c r="AF334"/>
  <c r="W334"/>
  <c r="O334"/>
  <c r="V334" s="1"/>
  <c r="G334"/>
  <c r="H334" s="1"/>
  <c r="AF333"/>
  <c r="V333"/>
  <c r="O333"/>
  <c r="W333" s="1"/>
  <c r="G333"/>
  <c r="H333" s="1"/>
  <c r="AF332"/>
  <c r="O332"/>
  <c r="V332" s="1"/>
  <c r="G332"/>
  <c r="H332" s="1"/>
  <c r="AF331"/>
  <c r="O331"/>
  <c r="W331" s="1"/>
  <c r="G331"/>
  <c r="H331" s="1"/>
  <c r="AF330"/>
  <c r="W330"/>
  <c r="O330"/>
  <c r="V330" s="1"/>
  <c r="G330"/>
  <c r="H330" s="1"/>
  <c r="AF329"/>
  <c r="V329"/>
  <c r="O329"/>
  <c r="W329" s="1"/>
  <c r="H329"/>
  <c r="G329"/>
  <c r="AF328"/>
  <c r="O328"/>
  <c r="V328" s="1"/>
  <c r="G328"/>
  <c r="H328" s="1"/>
  <c r="AF327"/>
  <c r="O327"/>
  <c r="W327" s="1"/>
  <c r="G327"/>
  <c r="H327" s="1"/>
  <c r="AF326"/>
  <c r="W326"/>
  <c r="O326"/>
  <c r="V326" s="1"/>
  <c r="G326"/>
  <c r="H326" s="1"/>
  <c r="AF325"/>
  <c r="V325"/>
  <c r="O325"/>
  <c r="W325" s="1"/>
  <c r="G325"/>
  <c r="H325" s="1"/>
  <c r="AF324"/>
  <c r="O324"/>
  <c r="V324" s="1"/>
  <c r="G324"/>
  <c r="H324" s="1"/>
  <c r="AF323"/>
  <c r="O323"/>
  <c r="W323" s="1"/>
  <c r="G323"/>
  <c r="H323" s="1"/>
  <c r="AF322"/>
  <c r="W322"/>
  <c r="O322"/>
  <c r="V322" s="1"/>
  <c r="G322"/>
  <c r="H322" s="1"/>
  <c r="AF321"/>
  <c r="V321"/>
  <c r="O321"/>
  <c r="W321" s="1"/>
  <c r="H321"/>
  <c r="G321"/>
  <c r="AF320"/>
  <c r="O320"/>
  <c r="V320" s="1"/>
  <c r="G320"/>
  <c r="H320" s="1"/>
  <c r="AF319"/>
  <c r="O319"/>
  <c r="W319" s="1"/>
  <c r="G319"/>
  <c r="H319" s="1"/>
  <c r="AF318"/>
  <c r="W318"/>
  <c r="O318"/>
  <c r="V318" s="1"/>
  <c r="G318"/>
  <c r="H318" s="1"/>
  <c r="AF317"/>
  <c r="V317"/>
  <c r="O317"/>
  <c r="W317" s="1"/>
  <c r="G317"/>
  <c r="H317" s="1"/>
  <c r="AF316"/>
  <c r="O316"/>
  <c r="V316" s="1"/>
  <c r="G316"/>
  <c r="H316" s="1"/>
  <c r="AF315"/>
  <c r="O315"/>
  <c r="W315" s="1"/>
  <c r="G315"/>
  <c r="H315" s="1"/>
  <c r="AF314"/>
  <c r="W314"/>
  <c r="O314"/>
  <c r="V314" s="1"/>
  <c r="G314"/>
  <c r="H314" s="1"/>
  <c r="AF313"/>
  <c r="V313"/>
  <c r="O313"/>
  <c r="W313" s="1"/>
  <c r="H313"/>
  <c r="G313"/>
  <c r="AF312"/>
  <c r="O312"/>
  <c r="V312" s="1"/>
  <c r="G312"/>
  <c r="H312" s="1"/>
  <c r="AF311"/>
  <c r="O311"/>
  <c r="W311" s="1"/>
  <c r="G311"/>
  <c r="H311" s="1"/>
  <c r="AF310"/>
  <c r="W310"/>
  <c r="O310"/>
  <c r="V310" s="1"/>
  <c r="G310"/>
  <c r="H310" s="1"/>
  <c r="AF309"/>
  <c r="V309"/>
  <c r="O309"/>
  <c r="W309" s="1"/>
  <c r="G309"/>
  <c r="H309" s="1"/>
  <c r="AF308"/>
  <c r="O308"/>
  <c r="V308" s="1"/>
  <c r="G308"/>
  <c r="H308" s="1"/>
  <c r="AF307"/>
  <c r="O307"/>
  <c r="W307" s="1"/>
  <c r="G307"/>
  <c r="H307" s="1"/>
  <c r="AF306"/>
  <c r="W306"/>
  <c r="O306"/>
  <c r="V306" s="1"/>
  <c r="G306"/>
  <c r="H306" s="1"/>
  <c r="AF305"/>
  <c r="V305"/>
  <c r="O305"/>
  <c r="W305" s="1"/>
  <c r="H305"/>
  <c r="G305"/>
  <c r="AF304"/>
  <c r="O304"/>
  <c r="V304" s="1"/>
  <c r="G304"/>
  <c r="H304" s="1"/>
  <c r="AF303"/>
  <c r="O303"/>
  <c r="W303" s="1"/>
  <c r="G303"/>
  <c r="H303" s="1"/>
  <c r="AF302"/>
  <c r="W302"/>
  <c r="O302"/>
  <c r="V302" s="1"/>
  <c r="G302"/>
  <c r="H302" s="1"/>
  <c r="AF301"/>
  <c r="V301"/>
  <c r="O301"/>
  <c r="W301" s="1"/>
  <c r="G301"/>
  <c r="H301" s="1"/>
  <c r="AF300"/>
  <c r="O300"/>
  <c r="V300" s="1"/>
  <c r="G300"/>
  <c r="H300" s="1"/>
  <c r="AF299"/>
  <c r="O299"/>
  <c r="W299" s="1"/>
  <c r="G299"/>
  <c r="H299" s="1"/>
  <c r="AF298"/>
  <c r="V298"/>
  <c r="O298"/>
  <c r="W298" s="1"/>
  <c r="H298"/>
  <c r="G298"/>
  <c r="AF297"/>
  <c r="O297"/>
  <c r="W297" s="1"/>
  <c r="G297"/>
  <c r="H297" s="1"/>
  <c r="AF296"/>
  <c r="V296"/>
  <c r="O296"/>
  <c r="W296" s="1"/>
  <c r="H296"/>
  <c r="G296"/>
  <c r="AF295"/>
  <c r="O295"/>
  <c r="W295" s="1"/>
  <c r="G295"/>
  <c r="H295" s="1"/>
  <c r="AF294"/>
  <c r="V294"/>
  <c r="O294"/>
  <c r="W294" s="1"/>
  <c r="H294"/>
  <c r="G294"/>
  <c r="AF293"/>
  <c r="O293"/>
  <c r="W293" s="1"/>
  <c r="G293"/>
  <c r="H293" s="1"/>
  <c r="AF292"/>
  <c r="V292"/>
  <c r="O292"/>
  <c r="W292" s="1"/>
  <c r="H292"/>
  <c r="G292"/>
  <c r="AF291"/>
  <c r="O291"/>
  <c r="W291" s="1"/>
  <c r="G291"/>
  <c r="H291" s="1"/>
  <c r="AF290"/>
  <c r="V290"/>
  <c r="O290"/>
  <c r="W290" s="1"/>
  <c r="H290"/>
  <c r="G290"/>
  <c r="AF289"/>
  <c r="O289"/>
  <c r="W289" s="1"/>
  <c r="G289"/>
  <c r="H289" s="1"/>
  <c r="AF288"/>
  <c r="V288"/>
  <c r="O288"/>
  <c r="W288" s="1"/>
  <c r="H288"/>
  <c r="G288"/>
  <c r="AF287"/>
  <c r="O287"/>
  <c r="W287" s="1"/>
  <c r="G287"/>
  <c r="H287" s="1"/>
  <c r="AF286"/>
  <c r="V286"/>
  <c r="O286"/>
  <c r="W286" s="1"/>
  <c r="H286"/>
  <c r="G286"/>
  <c r="AF285"/>
  <c r="O285"/>
  <c r="W285" s="1"/>
  <c r="G285"/>
  <c r="H285" s="1"/>
  <c r="AF284"/>
  <c r="V284"/>
  <c r="O284"/>
  <c r="W284" s="1"/>
  <c r="H284"/>
  <c r="G284"/>
  <c r="AF283"/>
  <c r="O283"/>
  <c r="W283" s="1"/>
  <c r="G283"/>
  <c r="H283" s="1"/>
  <c r="AF282"/>
  <c r="V282"/>
  <c r="O282"/>
  <c r="W282" s="1"/>
  <c r="H282"/>
  <c r="G282"/>
  <c r="AF281"/>
  <c r="O281"/>
  <c r="W281" s="1"/>
  <c r="G281"/>
  <c r="H281" s="1"/>
  <c r="AF280"/>
  <c r="V280"/>
  <c r="O280"/>
  <c r="W280" s="1"/>
  <c r="H280"/>
  <c r="G280"/>
  <c r="AF279"/>
  <c r="O279"/>
  <c r="W279" s="1"/>
  <c r="G279"/>
  <c r="H279" s="1"/>
  <c r="AF278"/>
  <c r="V278"/>
  <c r="O278"/>
  <c r="W278" s="1"/>
  <c r="H278"/>
  <c r="G278"/>
  <c r="AF277"/>
  <c r="O277"/>
  <c r="W277" s="1"/>
  <c r="G277"/>
  <c r="H277" s="1"/>
  <c r="AF276"/>
  <c r="V276"/>
  <c r="O276"/>
  <c r="W276" s="1"/>
  <c r="H276"/>
  <c r="G276"/>
  <c r="AF275"/>
  <c r="O275"/>
  <c r="W275" s="1"/>
  <c r="G275"/>
  <c r="H275" s="1"/>
  <c r="AF274"/>
  <c r="V274"/>
  <c r="O274"/>
  <c r="W274" s="1"/>
  <c r="H274"/>
  <c r="G274"/>
  <c r="AF273"/>
  <c r="O273"/>
  <c r="W273" s="1"/>
  <c r="G273"/>
  <c r="H273" s="1"/>
  <c r="AF272"/>
  <c r="V272"/>
  <c r="O272"/>
  <c r="W272" s="1"/>
  <c r="H272"/>
  <c r="G272"/>
  <c r="AF271"/>
  <c r="O271"/>
  <c r="W271" s="1"/>
  <c r="G271"/>
  <c r="H271" s="1"/>
  <c r="AF270"/>
  <c r="V270"/>
  <c r="O270"/>
  <c r="W270" s="1"/>
  <c r="H270"/>
  <c r="G270"/>
  <c r="AF269"/>
  <c r="O269"/>
  <c r="W269" s="1"/>
  <c r="G269"/>
  <c r="H269" s="1"/>
  <c r="AF268"/>
  <c r="V268"/>
  <c r="O268"/>
  <c r="W268" s="1"/>
  <c r="H268"/>
  <c r="G268"/>
  <c r="AF267"/>
  <c r="O267"/>
  <c r="W267" s="1"/>
  <c r="G267"/>
  <c r="H267" s="1"/>
  <c r="AF266"/>
  <c r="V266"/>
  <c r="O266"/>
  <c r="W266" s="1"/>
  <c r="H266"/>
  <c r="G266"/>
  <c r="AF265"/>
  <c r="O265"/>
  <c r="W265" s="1"/>
  <c r="G265"/>
  <c r="H265" s="1"/>
  <c r="AF264"/>
  <c r="V264"/>
  <c r="O264"/>
  <c r="W264" s="1"/>
  <c r="H264"/>
  <c r="G264"/>
  <c r="AF263"/>
  <c r="O263"/>
  <c r="W263" s="1"/>
  <c r="G263"/>
  <c r="H263" s="1"/>
  <c r="AF262"/>
  <c r="V262"/>
  <c r="O262"/>
  <c r="W262" s="1"/>
  <c r="H262"/>
  <c r="G262"/>
  <c r="AF261"/>
  <c r="O261"/>
  <c r="W261" s="1"/>
  <c r="G261"/>
  <c r="H261" s="1"/>
  <c r="AF260"/>
  <c r="V260"/>
  <c r="O260"/>
  <c r="W260" s="1"/>
  <c r="H260"/>
  <c r="G260"/>
  <c r="AF259"/>
  <c r="O259"/>
  <c r="W259" s="1"/>
  <c r="G259"/>
  <c r="H259" s="1"/>
  <c r="AF258"/>
  <c r="V258"/>
  <c r="O258"/>
  <c r="W258" s="1"/>
  <c r="H258"/>
  <c r="G258"/>
  <c r="AF257"/>
  <c r="O257"/>
  <c r="W257" s="1"/>
  <c r="G257"/>
  <c r="H257" s="1"/>
  <c r="AF256"/>
  <c r="V256"/>
  <c r="O256"/>
  <c r="W256" s="1"/>
  <c r="H256"/>
  <c r="G256"/>
  <c r="AF255"/>
  <c r="O255"/>
  <c r="W255" s="1"/>
  <c r="G255"/>
  <c r="H255" s="1"/>
  <c r="AF254"/>
  <c r="V254"/>
  <c r="O254"/>
  <c r="W254" s="1"/>
  <c r="H254"/>
  <c r="G254"/>
  <c r="AF253"/>
  <c r="O253"/>
  <c r="W253" s="1"/>
  <c r="G253"/>
  <c r="H253" s="1"/>
  <c r="AF252"/>
  <c r="V252"/>
  <c r="O252"/>
  <c r="W252" s="1"/>
  <c r="H252"/>
  <c r="G252"/>
  <c r="AF251"/>
  <c r="O251"/>
  <c r="W251" s="1"/>
  <c r="G251"/>
  <c r="H251" s="1"/>
  <c r="AF250"/>
  <c r="V250"/>
  <c r="O250"/>
  <c r="W250" s="1"/>
  <c r="H250"/>
  <c r="G250"/>
  <c r="AF249"/>
  <c r="O249"/>
  <c r="W249" s="1"/>
  <c r="G249"/>
  <c r="H249" s="1"/>
  <c r="AF248"/>
  <c r="V248"/>
  <c r="O248"/>
  <c r="W248" s="1"/>
  <c r="H248"/>
  <c r="G248"/>
  <c r="AF247"/>
  <c r="O247"/>
  <c r="W247" s="1"/>
  <c r="G247"/>
  <c r="H247" s="1"/>
  <c r="AF246"/>
  <c r="V246"/>
  <c r="O246"/>
  <c r="W246" s="1"/>
  <c r="H246"/>
  <c r="G246"/>
  <c r="AF245"/>
  <c r="O245"/>
  <c r="W245" s="1"/>
  <c r="G245"/>
  <c r="H245" s="1"/>
  <c r="AF244"/>
  <c r="V244"/>
  <c r="O244"/>
  <c r="W244" s="1"/>
  <c r="H244"/>
  <c r="G244"/>
  <c r="AF243"/>
  <c r="O243"/>
  <c r="W243" s="1"/>
  <c r="G243"/>
  <c r="H243" s="1"/>
  <c r="AF242"/>
  <c r="V242"/>
  <c r="O242"/>
  <c r="W242" s="1"/>
  <c r="H242"/>
  <c r="G242"/>
  <c r="AF241"/>
  <c r="O241"/>
  <c r="W241" s="1"/>
  <c r="G241"/>
  <c r="H241" s="1"/>
  <c r="AF240"/>
  <c r="V240"/>
  <c r="O240"/>
  <c r="W240" s="1"/>
  <c r="H240"/>
  <c r="G240"/>
  <c r="AF239"/>
  <c r="O239"/>
  <c r="W239" s="1"/>
  <c r="G239"/>
  <c r="H239" s="1"/>
  <c r="AF238"/>
  <c r="V238"/>
  <c r="O238"/>
  <c r="W238" s="1"/>
  <c r="H238"/>
  <c r="G238"/>
  <c r="AF237"/>
  <c r="O237"/>
  <c r="W237" s="1"/>
  <c r="G237"/>
  <c r="H237" s="1"/>
  <c r="AF236"/>
  <c r="V236"/>
  <c r="O236"/>
  <c r="W236" s="1"/>
  <c r="H236"/>
  <c r="G236"/>
  <c r="AF235"/>
  <c r="O235"/>
  <c r="W235" s="1"/>
  <c r="G235"/>
  <c r="H235" s="1"/>
  <c r="AF234"/>
  <c r="V234"/>
  <c r="O234"/>
  <c r="W234" s="1"/>
  <c r="H234"/>
  <c r="G234"/>
  <c r="AF233"/>
  <c r="O233"/>
  <c r="W233" s="1"/>
  <c r="G233"/>
  <c r="H233" s="1"/>
  <c r="AF232"/>
  <c r="V232"/>
  <c r="O232"/>
  <c r="W232" s="1"/>
  <c r="H232"/>
  <c r="G232"/>
  <c r="AF231"/>
  <c r="O231"/>
  <c r="W231" s="1"/>
  <c r="G231"/>
  <c r="H231" s="1"/>
  <c r="AF230"/>
  <c r="V230"/>
  <c r="O230"/>
  <c r="W230" s="1"/>
  <c r="H230"/>
  <c r="G230"/>
  <c r="AF229"/>
  <c r="O229"/>
  <c r="W229" s="1"/>
  <c r="G229"/>
  <c r="H229" s="1"/>
  <c r="AF228"/>
  <c r="V228"/>
  <c r="O228"/>
  <c r="W228" s="1"/>
  <c r="H228"/>
  <c r="G228"/>
  <c r="AF227"/>
  <c r="O227"/>
  <c r="W227" s="1"/>
  <c r="G227"/>
  <c r="H227" s="1"/>
  <c r="AF226"/>
  <c r="V226"/>
  <c r="O226"/>
  <c r="W226" s="1"/>
  <c r="H226"/>
  <c r="G226"/>
  <c r="AF225"/>
  <c r="O225"/>
  <c r="W225" s="1"/>
  <c r="G225"/>
  <c r="H225" s="1"/>
  <c r="AF224"/>
  <c r="V224"/>
  <c r="O224"/>
  <c r="W224" s="1"/>
  <c r="H224"/>
  <c r="G224"/>
  <c r="AF223"/>
  <c r="O223"/>
  <c r="W223" s="1"/>
  <c r="G223"/>
  <c r="H223" s="1"/>
  <c r="AF222"/>
  <c r="V222"/>
  <c r="O222"/>
  <c r="W222" s="1"/>
  <c r="H222"/>
  <c r="G222"/>
  <c r="AF221"/>
  <c r="O221"/>
  <c r="W221" s="1"/>
  <c r="G221"/>
  <c r="H221" s="1"/>
  <c r="AF220"/>
  <c r="V220"/>
  <c r="O220"/>
  <c r="W220" s="1"/>
  <c r="H220"/>
  <c r="G220"/>
  <c r="AF219"/>
  <c r="O219"/>
  <c r="W219" s="1"/>
  <c r="G219"/>
  <c r="H219" s="1"/>
  <c r="AF218"/>
  <c r="V218"/>
  <c r="O218"/>
  <c r="W218" s="1"/>
  <c r="H218"/>
  <c r="G218"/>
  <c r="AF217"/>
  <c r="O217"/>
  <c r="W217" s="1"/>
  <c r="G217"/>
  <c r="H217" s="1"/>
  <c r="AF216"/>
  <c r="V216"/>
  <c r="O216"/>
  <c r="W216" s="1"/>
  <c r="H216"/>
  <c r="G216"/>
  <c r="AF215"/>
  <c r="O215"/>
  <c r="W215" s="1"/>
  <c r="G215"/>
  <c r="H215" s="1"/>
  <c r="AF214"/>
  <c r="V214"/>
  <c r="O214"/>
  <c r="W214" s="1"/>
  <c r="H214"/>
  <c r="G214"/>
  <c r="AF213"/>
  <c r="O213"/>
  <c r="W213" s="1"/>
  <c r="G213"/>
  <c r="H213" s="1"/>
  <c r="AF212"/>
  <c r="V212"/>
  <c r="O212"/>
  <c r="W212" s="1"/>
  <c r="H212"/>
  <c r="G212"/>
  <c r="AF211"/>
  <c r="O211"/>
  <c r="W211" s="1"/>
  <c r="G211"/>
  <c r="H211" s="1"/>
  <c r="AF210"/>
  <c r="V210"/>
  <c r="O210"/>
  <c r="W210" s="1"/>
  <c r="H210"/>
  <c r="G210"/>
  <c r="AF209"/>
  <c r="O209"/>
  <c r="W209" s="1"/>
  <c r="G209"/>
  <c r="H209" s="1"/>
  <c r="AF208"/>
  <c r="V208"/>
  <c r="O208"/>
  <c r="W208" s="1"/>
  <c r="H208"/>
  <c r="G208"/>
  <c r="AF207"/>
  <c r="O207"/>
  <c r="W207" s="1"/>
  <c r="G207"/>
  <c r="H207" s="1"/>
  <c r="AF206"/>
  <c r="V206"/>
  <c r="O206"/>
  <c r="W206" s="1"/>
  <c r="H206"/>
  <c r="G206"/>
  <c r="AF205"/>
  <c r="O205"/>
  <c r="W205" s="1"/>
  <c r="G205"/>
  <c r="H205" s="1"/>
  <c r="AF204"/>
  <c r="V204"/>
  <c r="O204"/>
  <c r="W204" s="1"/>
  <c r="H204"/>
  <c r="G204"/>
  <c r="AF203"/>
  <c r="O203"/>
  <c r="W203" s="1"/>
  <c r="G203"/>
  <c r="H203" s="1"/>
  <c r="AF202"/>
  <c r="V202"/>
  <c r="O202"/>
  <c r="W202" s="1"/>
  <c r="H202"/>
  <c r="G202"/>
  <c r="AF201"/>
  <c r="O201"/>
  <c r="W201" s="1"/>
  <c r="G201"/>
  <c r="H201" s="1"/>
  <c r="AF200"/>
  <c r="V200"/>
  <c r="O200"/>
  <c r="W200" s="1"/>
  <c r="H200"/>
  <c r="G200"/>
  <c r="AF199"/>
  <c r="O199"/>
  <c r="W199" s="1"/>
  <c r="G199"/>
  <c r="H199" s="1"/>
  <c r="AF198"/>
  <c r="V198"/>
  <c r="O198"/>
  <c r="W198" s="1"/>
  <c r="H198"/>
  <c r="G198"/>
  <c r="AF197"/>
  <c r="O197"/>
  <c r="W197" s="1"/>
  <c r="G197"/>
  <c r="H197" s="1"/>
  <c r="AF196"/>
  <c r="V196"/>
  <c r="O196"/>
  <c r="W196" s="1"/>
  <c r="H196"/>
  <c r="G196"/>
  <c r="AF195"/>
  <c r="O195"/>
  <c r="W195" s="1"/>
  <c r="G195"/>
  <c r="H195" s="1"/>
  <c r="AF194"/>
  <c r="V194"/>
  <c r="O194"/>
  <c r="W194" s="1"/>
  <c r="H194"/>
  <c r="G194"/>
  <c r="AF193"/>
  <c r="O193"/>
  <c r="W193" s="1"/>
  <c r="G193"/>
  <c r="H193" s="1"/>
  <c r="AF192"/>
  <c r="V192"/>
  <c r="O192"/>
  <c r="W192" s="1"/>
  <c r="H192"/>
  <c r="G192"/>
  <c r="AF191"/>
  <c r="O191"/>
  <c r="W191" s="1"/>
  <c r="G191"/>
  <c r="H191" s="1"/>
  <c r="AF190"/>
  <c r="V190"/>
  <c r="O190"/>
  <c r="W190" s="1"/>
  <c r="H190"/>
  <c r="G190"/>
  <c r="AF189"/>
  <c r="O189"/>
  <c r="W189" s="1"/>
  <c r="G189"/>
  <c r="H189" s="1"/>
  <c r="AF188"/>
  <c r="V188"/>
  <c r="O188"/>
  <c r="W188" s="1"/>
  <c r="H188"/>
  <c r="G188"/>
  <c r="AF187"/>
  <c r="O187"/>
  <c r="W187" s="1"/>
  <c r="G187"/>
  <c r="H187" s="1"/>
  <c r="AF186"/>
  <c r="V186"/>
  <c r="O186"/>
  <c r="W186" s="1"/>
  <c r="H186"/>
  <c r="G186"/>
  <c r="AF185"/>
  <c r="O185"/>
  <c r="W185" s="1"/>
  <c r="G185"/>
  <c r="H185" s="1"/>
  <c r="AF184"/>
  <c r="V184"/>
  <c r="O184"/>
  <c r="W184" s="1"/>
  <c r="H184"/>
  <c r="G184"/>
  <c r="AF183"/>
  <c r="O183"/>
  <c r="W183" s="1"/>
  <c r="G183"/>
  <c r="H183" s="1"/>
  <c r="AF182"/>
  <c r="V182"/>
  <c r="O182"/>
  <c r="W182" s="1"/>
  <c r="H182"/>
  <c r="G182"/>
  <c r="AF181"/>
  <c r="O181"/>
  <c r="W181" s="1"/>
  <c r="G181"/>
  <c r="H181" s="1"/>
  <c r="AF180"/>
  <c r="V180"/>
  <c r="O180"/>
  <c r="W180" s="1"/>
  <c r="H180"/>
  <c r="G180"/>
  <c r="AF179"/>
  <c r="O179"/>
  <c r="W179" s="1"/>
  <c r="G179"/>
  <c r="H179" s="1"/>
  <c r="AF178"/>
  <c r="V178"/>
  <c r="O178"/>
  <c r="W178" s="1"/>
  <c r="H178"/>
  <c r="G178"/>
  <c r="AF177"/>
  <c r="O177"/>
  <c r="W177" s="1"/>
  <c r="G177"/>
  <c r="H177" s="1"/>
  <c r="AF176"/>
  <c r="V176"/>
  <c r="O176"/>
  <c r="W176" s="1"/>
  <c r="H176"/>
  <c r="G176"/>
  <c r="AF175"/>
  <c r="O175"/>
  <c r="W175" s="1"/>
  <c r="G175"/>
  <c r="H175" s="1"/>
  <c r="AF174"/>
  <c r="V174"/>
  <c r="O174"/>
  <c r="W174" s="1"/>
  <c r="H174"/>
  <c r="G174"/>
  <c r="AF173"/>
  <c r="O173"/>
  <c r="W173" s="1"/>
  <c r="G173"/>
  <c r="H173" s="1"/>
  <c r="AF172"/>
  <c r="V172"/>
  <c r="O172"/>
  <c r="W172" s="1"/>
  <c r="H172"/>
  <c r="G172"/>
  <c r="AF171"/>
  <c r="O171"/>
  <c r="W171" s="1"/>
  <c r="G171"/>
  <c r="H171" s="1"/>
  <c r="AF170"/>
  <c r="V170"/>
  <c r="O170"/>
  <c r="W170" s="1"/>
  <c r="H170"/>
  <c r="G170"/>
  <c r="AF169"/>
  <c r="O169"/>
  <c r="W169" s="1"/>
  <c r="G169"/>
  <c r="H169" s="1"/>
  <c r="AF168"/>
  <c r="V168"/>
  <c r="O168"/>
  <c r="W168" s="1"/>
  <c r="H168"/>
  <c r="G168"/>
  <c r="AF167"/>
  <c r="O167"/>
  <c r="W167" s="1"/>
  <c r="G167"/>
  <c r="H167" s="1"/>
  <c r="AF166"/>
  <c r="V166"/>
  <c r="O166"/>
  <c r="W166" s="1"/>
  <c r="H166"/>
  <c r="G166"/>
  <c r="AF165"/>
  <c r="O165"/>
  <c r="W165" s="1"/>
  <c r="G165"/>
  <c r="H165" s="1"/>
  <c r="AF164"/>
  <c r="V164"/>
  <c r="O164"/>
  <c r="W164" s="1"/>
  <c r="H164"/>
  <c r="G164"/>
  <c r="AF163"/>
  <c r="O163"/>
  <c r="W163" s="1"/>
  <c r="G163"/>
  <c r="H163" s="1"/>
  <c r="AF162"/>
  <c r="V162"/>
  <c r="O162"/>
  <c r="W162" s="1"/>
  <c r="H162"/>
  <c r="G162"/>
  <c r="AF161"/>
  <c r="O161"/>
  <c r="W161" s="1"/>
  <c r="G161"/>
  <c r="H161" s="1"/>
  <c r="AF160"/>
  <c r="V160"/>
  <c r="O160"/>
  <c r="W160" s="1"/>
  <c r="H160"/>
  <c r="G160"/>
  <c r="AF159"/>
  <c r="O159"/>
  <c r="W159" s="1"/>
  <c r="G159"/>
  <c r="H159" s="1"/>
  <c r="AF158"/>
  <c r="V158"/>
  <c r="O158"/>
  <c r="W158" s="1"/>
  <c r="H158"/>
  <c r="G158"/>
  <c r="AF157"/>
  <c r="O157"/>
  <c r="W157" s="1"/>
  <c r="G157"/>
  <c r="H157" s="1"/>
  <c r="AF156"/>
  <c r="V156"/>
  <c r="O156"/>
  <c r="W156" s="1"/>
  <c r="H156"/>
  <c r="G156"/>
  <c r="AF155"/>
  <c r="O155"/>
  <c r="W155" s="1"/>
  <c r="G155"/>
  <c r="H155" s="1"/>
  <c r="AF154"/>
  <c r="V154"/>
  <c r="O154"/>
  <c r="W154" s="1"/>
  <c r="H154"/>
  <c r="G154"/>
  <c r="AF153"/>
  <c r="O153"/>
  <c r="W153" s="1"/>
  <c r="G153"/>
  <c r="H153" s="1"/>
  <c r="AF152"/>
  <c r="V152"/>
  <c r="O152"/>
  <c r="W152" s="1"/>
  <c r="H152"/>
  <c r="G152"/>
  <c r="AF151"/>
  <c r="O151"/>
  <c r="W151" s="1"/>
  <c r="G151"/>
  <c r="H151" s="1"/>
  <c r="AF150"/>
  <c r="V150"/>
  <c r="O150"/>
  <c r="W150" s="1"/>
  <c r="H150"/>
  <c r="G150"/>
  <c r="AF149"/>
  <c r="O149"/>
  <c r="W149" s="1"/>
  <c r="G149"/>
  <c r="H149" s="1"/>
  <c r="AF148"/>
  <c r="V148"/>
  <c r="O148"/>
  <c r="W148" s="1"/>
  <c r="H148"/>
  <c r="G148"/>
  <c r="AF147"/>
  <c r="O147"/>
  <c r="W147" s="1"/>
  <c r="G147"/>
  <c r="H147" s="1"/>
  <c r="AF146"/>
  <c r="V146"/>
  <c r="O146"/>
  <c r="W146" s="1"/>
  <c r="H146"/>
  <c r="G146"/>
  <c r="AF145"/>
  <c r="O145"/>
  <c r="W145" s="1"/>
  <c r="G145"/>
  <c r="H145" s="1"/>
  <c r="AF144"/>
  <c r="V144"/>
  <c r="O144"/>
  <c r="W144" s="1"/>
  <c r="H144"/>
  <c r="G144"/>
  <c r="AF143"/>
  <c r="O143"/>
  <c r="W143" s="1"/>
  <c r="G143"/>
  <c r="H143" s="1"/>
  <c r="AF142"/>
  <c r="V142"/>
  <c r="O142"/>
  <c r="W142" s="1"/>
  <c r="H142"/>
  <c r="G142"/>
  <c r="AF141"/>
  <c r="O141"/>
  <c r="W141" s="1"/>
  <c r="G141"/>
  <c r="H141" s="1"/>
  <c r="AF140"/>
  <c r="V140"/>
  <c r="O140"/>
  <c r="W140" s="1"/>
  <c r="H140"/>
  <c r="G140"/>
  <c r="AF139"/>
  <c r="O139"/>
  <c r="W139" s="1"/>
  <c r="G139"/>
  <c r="H139" s="1"/>
  <c r="AF138"/>
  <c r="V138"/>
  <c r="O138"/>
  <c r="W138" s="1"/>
  <c r="H138"/>
  <c r="G138"/>
  <c r="AF137"/>
  <c r="O137"/>
  <c r="W137" s="1"/>
  <c r="G137"/>
  <c r="H137" s="1"/>
  <c r="AF136"/>
  <c r="V136"/>
  <c r="O136"/>
  <c r="W136" s="1"/>
  <c r="H136"/>
  <c r="G136"/>
  <c r="AF135"/>
  <c r="O135"/>
  <c r="W135" s="1"/>
  <c r="G135"/>
  <c r="H135" s="1"/>
  <c r="AF134"/>
  <c r="V134"/>
  <c r="O134"/>
  <c r="W134" s="1"/>
  <c r="H134"/>
  <c r="G134"/>
  <c r="AF133"/>
  <c r="O133"/>
  <c r="W133" s="1"/>
  <c r="G133"/>
  <c r="H133" s="1"/>
  <c r="AF132"/>
  <c r="V132"/>
  <c r="O132"/>
  <c r="W132" s="1"/>
  <c r="H132"/>
  <c r="G132"/>
  <c r="AF131"/>
  <c r="O131"/>
  <c r="W131" s="1"/>
  <c r="G131"/>
  <c r="H131" s="1"/>
  <c r="AF130"/>
  <c r="V130"/>
  <c r="O130"/>
  <c r="W130" s="1"/>
  <c r="H130"/>
  <c r="G130"/>
  <c r="AF129"/>
  <c r="O129"/>
  <c r="W129" s="1"/>
  <c r="G129"/>
  <c r="H129" s="1"/>
  <c r="AF128"/>
  <c r="V128"/>
  <c r="O128"/>
  <c r="W128" s="1"/>
  <c r="H128"/>
  <c r="G128"/>
  <c r="AF127"/>
  <c r="O127"/>
  <c r="W127" s="1"/>
  <c r="G127"/>
  <c r="H127" s="1"/>
  <c r="AF126"/>
  <c r="V126"/>
  <c r="O126"/>
  <c r="W126" s="1"/>
  <c r="H126"/>
  <c r="G126"/>
  <c r="AF125"/>
  <c r="O125"/>
  <c r="G125"/>
  <c r="H125" s="1"/>
  <c r="AF124"/>
  <c r="V124"/>
  <c r="O124"/>
  <c r="W124" s="1"/>
  <c r="H124"/>
  <c r="G124"/>
  <c r="AF123"/>
  <c r="O123"/>
  <c r="V123" s="1"/>
  <c r="G123"/>
  <c r="H123" s="1"/>
  <c r="AF122"/>
  <c r="V122"/>
  <c r="O122"/>
  <c r="W122" s="1"/>
  <c r="H122"/>
  <c r="G122"/>
  <c r="AF121"/>
  <c r="O121"/>
  <c r="V121" s="1"/>
  <c r="G121"/>
  <c r="H121" s="1"/>
  <c r="AF120"/>
  <c r="V120"/>
  <c r="O120"/>
  <c r="W120" s="1"/>
  <c r="H120"/>
  <c r="G120"/>
  <c r="AF119"/>
  <c r="O119"/>
  <c r="V119" s="1"/>
  <c r="G119"/>
  <c r="H119" s="1"/>
  <c r="AF118"/>
  <c r="V118"/>
  <c r="O118"/>
  <c r="W118" s="1"/>
  <c r="H118"/>
  <c r="G118"/>
  <c r="AF117"/>
  <c r="O117"/>
  <c r="V117" s="1"/>
  <c r="G117"/>
  <c r="H117" s="1"/>
  <c r="AF116"/>
  <c r="V116"/>
  <c r="O116"/>
  <c r="W116" s="1"/>
  <c r="H116"/>
  <c r="G116"/>
  <c r="AF115"/>
  <c r="O115"/>
  <c r="V115" s="1"/>
  <c r="G115"/>
  <c r="H115" s="1"/>
  <c r="AF114"/>
  <c r="V114"/>
  <c r="O114"/>
  <c r="W114" s="1"/>
  <c r="H114"/>
  <c r="G114"/>
  <c r="AF113"/>
  <c r="O113"/>
  <c r="V113" s="1"/>
  <c r="G113"/>
  <c r="H113" s="1"/>
  <c r="AF112"/>
  <c r="V112"/>
  <c r="O112"/>
  <c r="W112" s="1"/>
  <c r="H112"/>
  <c r="G112"/>
  <c r="AF111"/>
  <c r="O111"/>
  <c r="V111" s="1"/>
  <c r="G111"/>
  <c r="H111" s="1"/>
  <c r="AF110"/>
  <c r="V110"/>
  <c r="O110"/>
  <c r="W110" s="1"/>
  <c r="H110"/>
  <c r="G110"/>
  <c r="AF109"/>
  <c r="O109"/>
  <c r="V109" s="1"/>
  <c r="G109"/>
  <c r="H109" s="1"/>
  <c r="AF108"/>
  <c r="V108"/>
  <c r="O108"/>
  <c r="W108" s="1"/>
  <c r="H108"/>
  <c r="G108"/>
  <c r="AF107"/>
  <c r="O107"/>
  <c r="V107" s="1"/>
  <c r="G107"/>
  <c r="H107" s="1"/>
  <c r="AF106"/>
  <c r="V106"/>
  <c r="O106"/>
  <c r="W106" s="1"/>
  <c r="H106"/>
  <c r="G106"/>
  <c r="AF105"/>
  <c r="O105"/>
  <c r="V105" s="1"/>
  <c r="G105"/>
  <c r="H105" s="1"/>
  <c r="AF104"/>
  <c r="V104"/>
  <c r="O104"/>
  <c r="W104" s="1"/>
  <c r="H104"/>
  <c r="G104"/>
  <c r="AF103"/>
  <c r="O103"/>
  <c r="V103" s="1"/>
  <c r="G103"/>
  <c r="H103" s="1"/>
  <c r="AF102"/>
  <c r="V102"/>
  <c r="O102"/>
  <c r="W102" s="1"/>
  <c r="H102"/>
  <c r="G102"/>
  <c r="AF101"/>
  <c r="O101"/>
  <c r="V101" s="1"/>
  <c r="G101"/>
  <c r="H101" s="1"/>
  <c r="AF100"/>
  <c r="V100"/>
  <c r="O100"/>
  <c r="W100" s="1"/>
  <c r="H100"/>
  <c r="G100"/>
  <c r="AF99"/>
  <c r="O99"/>
  <c r="V99" s="1"/>
  <c r="G99"/>
  <c r="H99" s="1"/>
  <c r="AF98"/>
  <c r="V98"/>
  <c r="O98"/>
  <c r="W98" s="1"/>
  <c r="H98"/>
  <c r="G98"/>
  <c r="AF97"/>
  <c r="O97"/>
  <c r="V97" s="1"/>
  <c r="G97"/>
  <c r="H97" s="1"/>
  <c r="AF96"/>
  <c r="V96"/>
  <c r="O96"/>
  <c r="W96" s="1"/>
  <c r="H96"/>
  <c r="G96"/>
  <c r="AF95"/>
  <c r="O95"/>
  <c r="V95" s="1"/>
  <c r="G95"/>
  <c r="H95" s="1"/>
  <c r="AF94"/>
  <c r="V94"/>
  <c r="O94"/>
  <c r="W94" s="1"/>
  <c r="H94"/>
  <c r="G94"/>
  <c r="AF93"/>
  <c r="O93"/>
  <c r="V93" s="1"/>
  <c r="G93"/>
  <c r="H93" s="1"/>
  <c r="AF92"/>
  <c r="V92"/>
  <c r="O92"/>
  <c r="W92" s="1"/>
  <c r="H92"/>
  <c r="G92"/>
  <c r="AF91"/>
  <c r="O91"/>
  <c r="V91" s="1"/>
  <c r="G91"/>
  <c r="H91" s="1"/>
  <c r="AF90"/>
  <c r="V90"/>
  <c r="O90"/>
  <c r="W90" s="1"/>
  <c r="H90"/>
  <c r="G90"/>
  <c r="AF89"/>
  <c r="O89"/>
  <c r="V89" s="1"/>
  <c r="G89"/>
  <c r="H89" s="1"/>
  <c r="AF88"/>
  <c r="V88"/>
  <c r="O88"/>
  <c r="W88" s="1"/>
  <c r="H88"/>
  <c r="G88"/>
  <c r="AF87"/>
  <c r="O87"/>
  <c r="V87" s="1"/>
  <c r="G87"/>
  <c r="H87" s="1"/>
  <c r="AF86"/>
  <c r="V86"/>
  <c r="O86"/>
  <c r="W86" s="1"/>
  <c r="H86"/>
  <c r="G86"/>
  <c r="AF85"/>
  <c r="O85"/>
  <c r="V85" s="1"/>
  <c r="G85"/>
  <c r="H85" s="1"/>
  <c r="AF84"/>
  <c r="V84"/>
  <c r="O84"/>
  <c r="W84" s="1"/>
  <c r="H84"/>
  <c r="G84"/>
  <c r="AF83"/>
  <c r="O83"/>
  <c r="V83" s="1"/>
  <c r="G83"/>
  <c r="H83" s="1"/>
  <c r="AF82"/>
  <c r="V82"/>
  <c r="O82"/>
  <c r="W82" s="1"/>
  <c r="H82"/>
  <c r="G82"/>
  <c r="AF81"/>
  <c r="O81"/>
  <c r="V81" s="1"/>
  <c r="G81"/>
  <c r="H81" s="1"/>
  <c r="AF80"/>
  <c r="V80"/>
  <c r="O80"/>
  <c r="W80" s="1"/>
  <c r="H80"/>
  <c r="G80"/>
  <c r="AF79"/>
  <c r="O79"/>
  <c r="V79" s="1"/>
  <c r="G79"/>
  <c r="H79" s="1"/>
  <c r="AF78"/>
  <c r="V78"/>
  <c r="O78"/>
  <c r="W78" s="1"/>
  <c r="H78"/>
  <c r="G78"/>
  <c r="AF77"/>
  <c r="O77"/>
  <c r="V77" s="1"/>
  <c r="G77"/>
  <c r="H77" s="1"/>
  <c r="AF76"/>
  <c r="V76"/>
  <c r="O76"/>
  <c r="W76" s="1"/>
  <c r="H76"/>
  <c r="G76"/>
  <c r="AF75"/>
  <c r="O75"/>
  <c r="V75" s="1"/>
  <c r="G75"/>
  <c r="H75" s="1"/>
  <c r="AF74"/>
  <c r="V74"/>
  <c r="O74"/>
  <c r="W74" s="1"/>
  <c r="H74"/>
  <c r="G74"/>
  <c r="AF73"/>
  <c r="O73"/>
  <c r="V73" s="1"/>
  <c r="G73"/>
  <c r="H73" s="1"/>
  <c r="AF72"/>
  <c r="V72"/>
  <c r="O72"/>
  <c r="W72" s="1"/>
  <c r="H72"/>
  <c r="G72"/>
  <c r="AF71"/>
  <c r="O71"/>
  <c r="V71" s="1"/>
  <c r="G71"/>
  <c r="H71" s="1"/>
  <c r="AF70"/>
  <c r="V70"/>
  <c r="O70"/>
  <c r="W70" s="1"/>
  <c r="H70"/>
  <c r="G70"/>
  <c r="AF69"/>
  <c r="O69"/>
  <c r="V69" s="1"/>
  <c r="G69"/>
  <c r="H69" s="1"/>
  <c r="AF68"/>
  <c r="V68"/>
  <c r="O68"/>
  <c r="W68" s="1"/>
  <c r="H68"/>
  <c r="G68"/>
  <c r="AF67"/>
  <c r="O67"/>
  <c r="V67" s="1"/>
  <c r="G67"/>
  <c r="H67" s="1"/>
  <c r="AF66"/>
  <c r="V66"/>
  <c r="O66"/>
  <c r="W66" s="1"/>
  <c r="H66"/>
  <c r="G66"/>
  <c r="AF65"/>
  <c r="O65"/>
  <c r="V65" s="1"/>
  <c r="G65"/>
  <c r="H65" s="1"/>
  <c r="AF64"/>
  <c r="V64"/>
  <c r="O64"/>
  <c r="W64" s="1"/>
  <c r="H64"/>
  <c r="G64"/>
  <c r="AF63"/>
  <c r="O63"/>
  <c r="V63" s="1"/>
  <c r="G63"/>
  <c r="H63" s="1"/>
  <c r="AF62"/>
  <c r="V62"/>
  <c r="O62"/>
  <c r="W62" s="1"/>
  <c r="H62"/>
  <c r="G62"/>
  <c r="AF61"/>
  <c r="O61"/>
  <c r="V61" s="1"/>
  <c r="G61"/>
  <c r="H61" s="1"/>
  <c r="AF60"/>
  <c r="V60"/>
  <c r="O60"/>
  <c r="W60" s="1"/>
  <c r="H60"/>
  <c r="G60"/>
  <c r="AF59"/>
  <c r="O59"/>
  <c r="V59" s="1"/>
  <c r="G59"/>
  <c r="H59" s="1"/>
  <c r="AF58"/>
  <c r="V58"/>
  <c r="O58"/>
  <c r="W58" s="1"/>
  <c r="H58"/>
  <c r="G58"/>
  <c r="AF57"/>
  <c r="O57"/>
  <c r="V57" s="1"/>
  <c r="G57"/>
  <c r="H57" s="1"/>
  <c r="AF56"/>
  <c r="V56"/>
  <c r="O56"/>
  <c r="W56" s="1"/>
  <c r="H56"/>
  <c r="G56"/>
  <c r="AF55"/>
  <c r="O55"/>
  <c r="V55" s="1"/>
  <c r="G55"/>
  <c r="H55" s="1"/>
  <c r="AF54"/>
  <c r="V54"/>
  <c r="O54"/>
  <c r="W54" s="1"/>
  <c r="H54"/>
  <c r="G54"/>
  <c r="AF53"/>
  <c r="O53"/>
  <c r="V53" s="1"/>
  <c r="G53"/>
  <c r="H53" s="1"/>
  <c r="AF52"/>
  <c r="V52"/>
  <c r="O52"/>
  <c r="W52" s="1"/>
  <c r="H52"/>
  <c r="G52"/>
  <c r="AF51"/>
  <c r="O51"/>
  <c r="V51" s="1"/>
  <c r="G51"/>
  <c r="H51" s="1"/>
  <c r="AF50"/>
  <c r="V50"/>
  <c r="O50"/>
  <c r="W50" s="1"/>
  <c r="H50"/>
  <c r="G50"/>
  <c r="AF49"/>
  <c r="O49"/>
  <c r="V49" s="1"/>
  <c r="G49"/>
  <c r="H49" s="1"/>
  <c r="BG48"/>
  <c r="BF48"/>
  <c r="AF48"/>
  <c r="V48"/>
  <c r="O48"/>
  <c r="W48" s="1"/>
  <c r="H48"/>
  <c r="G48"/>
  <c r="BG47"/>
  <c r="BF47"/>
  <c r="AF47"/>
  <c r="O47"/>
  <c r="V47" s="1"/>
  <c r="G47"/>
  <c r="H47" s="1"/>
  <c r="BG46"/>
  <c r="BF46"/>
  <c r="AF46"/>
  <c r="V46"/>
  <c r="O46"/>
  <c r="W46" s="1"/>
  <c r="H46"/>
  <c r="G46"/>
  <c r="BG45"/>
  <c r="BF45"/>
  <c r="AF45"/>
  <c r="O45"/>
  <c r="V45" s="1"/>
  <c r="G45"/>
  <c r="H45" s="1"/>
  <c r="BG44"/>
  <c r="AF44"/>
  <c r="O44"/>
  <c r="W44" s="1"/>
  <c r="G44"/>
  <c r="H44" s="1"/>
  <c r="BG43"/>
  <c r="BF43"/>
  <c r="AF43"/>
  <c r="W43"/>
  <c r="AE43" s="1"/>
  <c r="O43"/>
  <c r="V43" s="1"/>
  <c r="G43"/>
  <c r="H43" s="1"/>
  <c r="AF42"/>
  <c r="V42"/>
  <c r="O42"/>
  <c r="W42" s="1"/>
  <c r="H42"/>
  <c r="G42"/>
  <c r="AF41"/>
  <c r="O41"/>
  <c r="W41" s="1"/>
  <c r="G41"/>
  <c r="H41" s="1"/>
  <c r="AF40"/>
  <c r="V40"/>
  <c r="O40"/>
  <c r="W40" s="1"/>
  <c r="H40"/>
  <c r="G40"/>
  <c r="AF39"/>
  <c r="O39"/>
  <c r="W39" s="1"/>
  <c r="G39"/>
  <c r="H39" s="1"/>
  <c r="AF38"/>
  <c r="V38"/>
  <c r="O38"/>
  <c r="W38" s="1"/>
  <c r="AE38" s="1"/>
  <c r="H38"/>
  <c r="G38"/>
  <c r="AF37"/>
  <c r="O37"/>
  <c r="W37" s="1"/>
  <c r="AE37" s="1"/>
  <c r="G37"/>
  <c r="H37" s="1"/>
  <c r="AF36"/>
  <c r="V36"/>
  <c r="O36"/>
  <c r="W36" s="1"/>
  <c r="AE36" s="1"/>
  <c r="H36"/>
  <c r="G36"/>
  <c r="AF35"/>
  <c r="O35"/>
  <c r="W35" s="1"/>
  <c r="AE35" s="1"/>
  <c r="G35"/>
  <c r="H35" s="1"/>
  <c r="BA34"/>
  <c r="AZ34"/>
  <c r="AX34"/>
  <c r="AW34"/>
  <c r="AV34"/>
  <c r="AF34"/>
  <c r="O34"/>
  <c r="W34" s="1"/>
  <c r="AE34" s="1"/>
  <c r="G34"/>
  <c r="H34" s="1"/>
  <c r="AF33"/>
  <c r="O33"/>
  <c r="W33" s="1"/>
  <c r="AE33" s="1"/>
  <c r="G33"/>
  <c r="H33" s="1"/>
  <c r="AF32"/>
  <c r="O32"/>
  <c r="W32" s="1"/>
  <c r="G32"/>
  <c r="H32" s="1"/>
  <c r="BA31"/>
  <c r="AZ31"/>
  <c r="AX31"/>
  <c r="AW31"/>
  <c r="AV31"/>
  <c r="AF31"/>
  <c r="O31"/>
  <c r="W31" s="1"/>
  <c r="G31"/>
  <c r="H31" s="1"/>
  <c r="AF30"/>
  <c r="V30"/>
  <c r="O30"/>
  <c r="W30" s="1"/>
  <c r="AE30" s="1"/>
  <c r="H30"/>
  <c r="G30"/>
  <c r="AF29"/>
  <c r="O29"/>
  <c r="W29" s="1"/>
  <c r="AE29" s="1"/>
  <c r="G29"/>
  <c r="H29" s="1"/>
  <c r="BA28"/>
  <c r="AZ28"/>
  <c r="AX28"/>
  <c r="AW28"/>
  <c r="AV28"/>
  <c r="AF28"/>
  <c r="O28"/>
  <c r="W28" s="1"/>
  <c r="AE28" s="1"/>
  <c r="G28"/>
  <c r="H28" s="1"/>
  <c r="AF27"/>
  <c r="O27"/>
  <c r="W27" s="1"/>
  <c r="AE27" s="1"/>
  <c r="G27"/>
  <c r="H27" s="1"/>
  <c r="AF26"/>
  <c r="O26"/>
  <c r="W26" s="1"/>
  <c r="G26"/>
  <c r="H26" s="1"/>
  <c r="BA25"/>
  <c r="AZ25"/>
  <c r="AX25"/>
  <c r="AW25"/>
  <c r="AV25"/>
  <c r="AF25"/>
  <c r="O25"/>
  <c r="W25" s="1"/>
  <c r="G25"/>
  <c r="H25" s="1"/>
  <c r="AF24"/>
  <c r="V24"/>
  <c r="O24"/>
  <c r="W24" s="1"/>
  <c r="AE24" s="1"/>
  <c r="H24"/>
  <c r="G24"/>
  <c r="AF23"/>
  <c r="O23"/>
  <c r="W23" s="1"/>
  <c r="AE23" s="1"/>
  <c r="G23"/>
  <c r="H23" s="1"/>
  <c r="BA22"/>
  <c r="AZ22"/>
  <c r="AX22"/>
  <c r="AW22"/>
  <c r="AV22"/>
  <c r="AF22"/>
  <c r="O22"/>
  <c r="W22" s="1"/>
  <c r="AE22" s="1"/>
  <c r="G22"/>
  <c r="H22" s="1"/>
  <c r="O21"/>
  <c r="W21" s="1"/>
  <c r="G21"/>
  <c r="H21" s="1"/>
  <c r="AF20"/>
  <c r="O20"/>
  <c r="W20" s="1"/>
  <c r="AE20" s="1"/>
  <c r="H20"/>
  <c r="G20"/>
  <c r="AF19"/>
  <c r="O19"/>
  <c r="W19" s="1"/>
  <c r="G19"/>
  <c r="H19" s="1"/>
  <c r="BA18"/>
  <c r="AZ18"/>
  <c r="AX18"/>
  <c r="AW18"/>
  <c r="AV18"/>
  <c r="O18"/>
  <c r="W18" s="1"/>
  <c r="AE18" s="1"/>
  <c r="H18"/>
  <c r="G18"/>
  <c r="O17"/>
  <c r="W17" s="1"/>
  <c r="G17"/>
  <c r="H17" s="1"/>
  <c r="AF16"/>
  <c r="O16"/>
  <c r="W16" s="1"/>
  <c r="AE16" s="1"/>
  <c r="G16"/>
  <c r="H16" s="1"/>
  <c r="O15"/>
  <c r="W15" s="1"/>
  <c r="G15"/>
  <c r="H15" s="1"/>
  <c r="AU14"/>
  <c r="O14"/>
  <c r="W14" s="1"/>
  <c r="AE14" s="1"/>
  <c r="G14"/>
  <c r="H14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O13"/>
  <c r="W13" s="1"/>
  <c r="G13"/>
  <c r="H13" s="1"/>
  <c r="AR11"/>
  <c r="F9"/>
  <c r="F8"/>
  <c r="O7"/>
  <c r="AF21" s="1"/>
  <c r="N7"/>
  <c r="AF18" s="1"/>
  <c r="M7"/>
  <c r="L7"/>
  <c r="AF13" s="1"/>
  <c r="K7"/>
  <c r="AF15" s="1"/>
  <c r="B2"/>
  <c r="K7" i="5"/>
  <c r="L7"/>
  <c r="M7"/>
  <c r="N7"/>
  <c r="O7"/>
  <c r="F8"/>
  <c r="F9"/>
  <c r="AA1021"/>
  <c r="Z1021"/>
  <c r="S1021"/>
  <c r="R1021"/>
  <c r="Q1021"/>
  <c r="C1021"/>
  <c r="F1021" s="1"/>
  <c r="AA1020"/>
  <c r="Z1020"/>
  <c r="S1020"/>
  <c r="R1020"/>
  <c r="Q1020"/>
  <c r="C1020"/>
  <c r="F1020" s="1"/>
  <c r="AA1019"/>
  <c r="Z1019"/>
  <c r="S1019"/>
  <c r="R1019"/>
  <c r="Q1019"/>
  <c r="C1019"/>
  <c r="F1019" s="1"/>
  <c r="AA1018"/>
  <c r="Z1018"/>
  <c r="S1018"/>
  <c r="R1018"/>
  <c r="Q1018"/>
  <c r="C1018"/>
  <c r="F1018" s="1"/>
  <c r="AA1017"/>
  <c r="Z1017"/>
  <c r="AZ22" s="1"/>
  <c r="S1017"/>
  <c r="R1017"/>
  <c r="AW22" s="1"/>
  <c r="Q1017"/>
  <c r="C1017"/>
  <c r="F1017" s="1"/>
  <c r="BF44" s="1"/>
  <c r="AA1015"/>
  <c r="Z1015"/>
  <c r="S1015"/>
  <c r="R1015"/>
  <c r="Q1015"/>
  <c r="F1015"/>
  <c r="E1015" s="1"/>
  <c r="E1023" s="1"/>
  <c r="C1015"/>
  <c r="M1017" s="1"/>
  <c r="AF1012"/>
  <c r="V1012"/>
  <c r="O1012"/>
  <c r="W1012" s="1"/>
  <c r="AE1012" s="1"/>
  <c r="H1012"/>
  <c r="G1012"/>
  <c r="AF1011"/>
  <c r="O1011"/>
  <c r="W1011" s="1"/>
  <c r="G1011"/>
  <c r="H1011" s="1"/>
  <c r="AF1010"/>
  <c r="V1010"/>
  <c r="O1010"/>
  <c r="W1010" s="1"/>
  <c r="AE1010" s="1"/>
  <c r="H1010"/>
  <c r="G1010"/>
  <c r="AF1009"/>
  <c r="O1009"/>
  <c r="W1009" s="1"/>
  <c r="G1009"/>
  <c r="H1009" s="1"/>
  <c r="AF1008"/>
  <c r="V1008"/>
  <c r="O1008"/>
  <c r="W1008" s="1"/>
  <c r="AE1008" s="1"/>
  <c r="H1008"/>
  <c r="G1008"/>
  <c r="AF1007"/>
  <c r="O1007"/>
  <c r="W1007" s="1"/>
  <c r="G1007"/>
  <c r="H1007" s="1"/>
  <c r="AF1006"/>
  <c r="V1006"/>
  <c r="O1006"/>
  <c r="W1006" s="1"/>
  <c r="AE1006" s="1"/>
  <c r="H1006"/>
  <c r="G1006"/>
  <c r="AF1005"/>
  <c r="O1005"/>
  <c r="W1005" s="1"/>
  <c r="AE1005" s="1"/>
  <c r="G1005"/>
  <c r="H1005" s="1"/>
  <c r="AF1004"/>
  <c r="V1004"/>
  <c r="O1004"/>
  <c r="W1004" s="1"/>
  <c r="AE1004" s="1"/>
  <c r="H1004"/>
  <c r="G1004"/>
  <c r="AF1003"/>
  <c r="O1003"/>
  <c r="W1003" s="1"/>
  <c r="AE1003" s="1"/>
  <c r="G1003"/>
  <c r="H1003" s="1"/>
  <c r="AF1002"/>
  <c r="V1002"/>
  <c r="O1002"/>
  <c r="W1002" s="1"/>
  <c r="AE1002" s="1"/>
  <c r="H1002"/>
  <c r="G1002"/>
  <c r="AF1001"/>
  <c r="O1001"/>
  <c r="W1001" s="1"/>
  <c r="AE1001" s="1"/>
  <c r="G1001"/>
  <c r="H1001" s="1"/>
  <c r="AF1000"/>
  <c r="V1000"/>
  <c r="O1000"/>
  <c r="W1000" s="1"/>
  <c r="AE1000" s="1"/>
  <c r="H1000"/>
  <c r="G1000"/>
  <c r="AF999"/>
  <c r="O999"/>
  <c r="W999" s="1"/>
  <c r="AE999" s="1"/>
  <c r="G999"/>
  <c r="H999" s="1"/>
  <c r="AF998"/>
  <c r="V998"/>
  <c r="O998"/>
  <c r="W998" s="1"/>
  <c r="AE998" s="1"/>
  <c r="H998"/>
  <c r="G998"/>
  <c r="AF997"/>
  <c r="O997"/>
  <c r="W997" s="1"/>
  <c r="AE997" s="1"/>
  <c r="G997"/>
  <c r="H997" s="1"/>
  <c r="AF996"/>
  <c r="V996"/>
  <c r="O996"/>
  <c r="W996" s="1"/>
  <c r="AE996" s="1"/>
  <c r="H996"/>
  <c r="G996"/>
  <c r="AF995"/>
  <c r="O995"/>
  <c r="W995" s="1"/>
  <c r="AE995" s="1"/>
  <c r="G995"/>
  <c r="H995" s="1"/>
  <c r="AF994"/>
  <c r="V994"/>
  <c r="O994"/>
  <c r="W994" s="1"/>
  <c r="AE994" s="1"/>
  <c r="H994"/>
  <c r="G994"/>
  <c r="AF993"/>
  <c r="O993"/>
  <c r="W993" s="1"/>
  <c r="AE993" s="1"/>
  <c r="G993"/>
  <c r="H993" s="1"/>
  <c r="AF992"/>
  <c r="V992"/>
  <c r="O992"/>
  <c r="W992" s="1"/>
  <c r="AE992" s="1"/>
  <c r="H992"/>
  <c r="G992"/>
  <c r="AF991"/>
  <c r="O991"/>
  <c r="W991" s="1"/>
  <c r="AE991" s="1"/>
  <c r="G991"/>
  <c r="H991" s="1"/>
  <c r="AF990"/>
  <c r="V990"/>
  <c r="O990"/>
  <c r="W990" s="1"/>
  <c r="AE990" s="1"/>
  <c r="H990"/>
  <c r="G990"/>
  <c r="AF989"/>
  <c r="O989"/>
  <c r="W989" s="1"/>
  <c r="AE989" s="1"/>
  <c r="G989"/>
  <c r="H989" s="1"/>
  <c r="AF988"/>
  <c r="V988"/>
  <c r="O988"/>
  <c r="W988" s="1"/>
  <c r="AE988" s="1"/>
  <c r="H988"/>
  <c r="G988"/>
  <c r="AF987"/>
  <c r="O987"/>
  <c r="W987" s="1"/>
  <c r="AE987" s="1"/>
  <c r="G987"/>
  <c r="H987" s="1"/>
  <c r="AF986"/>
  <c r="V986"/>
  <c r="O986"/>
  <c r="W986" s="1"/>
  <c r="AE986" s="1"/>
  <c r="H986"/>
  <c r="G986"/>
  <c r="AF985"/>
  <c r="O985"/>
  <c r="W985" s="1"/>
  <c r="AE985" s="1"/>
  <c r="G985"/>
  <c r="H985" s="1"/>
  <c r="AF984"/>
  <c r="V984"/>
  <c r="O984"/>
  <c r="W984" s="1"/>
  <c r="AE984" s="1"/>
  <c r="H984"/>
  <c r="G984"/>
  <c r="AF983"/>
  <c r="O983"/>
  <c r="W983" s="1"/>
  <c r="AE983" s="1"/>
  <c r="G983"/>
  <c r="H983" s="1"/>
  <c r="AF982"/>
  <c r="V982"/>
  <c r="O982"/>
  <c r="W982" s="1"/>
  <c r="AE982" s="1"/>
  <c r="H982"/>
  <c r="G982"/>
  <c r="AF981"/>
  <c r="O981"/>
  <c r="W981" s="1"/>
  <c r="AE981" s="1"/>
  <c r="G981"/>
  <c r="H981" s="1"/>
  <c r="AF980"/>
  <c r="V980"/>
  <c r="O980"/>
  <c r="W980" s="1"/>
  <c r="AE980" s="1"/>
  <c r="H980"/>
  <c r="G980"/>
  <c r="AF979"/>
  <c r="O979"/>
  <c r="W979" s="1"/>
  <c r="AE979" s="1"/>
  <c r="G979"/>
  <c r="H979" s="1"/>
  <c r="AF978"/>
  <c r="V978"/>
  <c r="O978"/>
  <c r="W978" s="1"/>
  <c r="AE978" s="1"/>
  <c r="H978"/>
  <c r="G978"/>
  <c r="AF977"/>
  <c r="O977"/>
  <c r="W977" s="1"/>
  <c r="AE977" s="1"/>
  <c r="G977"/>
  <c r="H977" s="1"/>
  <c r="AF976"/>
  <c r="V976"/>
  <c r="O976"/>
  <c r="W976" s="1"/>
  <c r="AE976" s="1"/>
  <c r="H976"/>
  <c r="G976"/>
  <c r="AF975"/>
  <c r="O975"/>
  <c r="W975" s="1"/>
  <c r="AE975" s="1"/>
  <c r="G975"/>
  <c r="H975" s="1"/>
  <c r="AF974"/>
  <c r="V974"/>
  <c r="O974"/>
  <c r="W974" s="1"/>
  <c r="AE974" s="1"/>
  <c r="H974"/>
  <c r="G974"/>
  <c r="AF973"/>
  <c r="O973"/>
  <c r="W973" s="1"/>
  <c r="AE973" s="1"/>
  <c r="G973"/>
  <c r="H973" s="1"/>
  <c r="AF972"/>
  <c r="V972"/>
  <c r="O972"/>
  <c r="W972" s="1"/>
  <c r="AE972" s="1"/>
  <c r="H972"/>
  <c r="G972"/>
  <c r="AF971"/>
  <c r="O971"/>
  <c r="W971" s="1"/>
  <c r="AE971" s="1"/>
  <c r="G971"/>
  <c r="H971" s="1"/>
  <c r="AF970"/>
  <c r="V970"/>
  <c r="O970"/>
  <c r="W970" s="1"/>
  <c r="AE970" s="1"/>
  <c r="H970"/>
  <c r="G970"/>
  <c r="AF969"/>
  <c r="O969"/>
  <c r="W969" s="1"/>
  <c r="AE969" s="1"/>
  <c r="G969"/>
  <c r="H969" s="1"/>
  <c r="AF968"/>
  <c r="V968"/>
  <c r="O968"/>
  <c r="W968" s="1"/>
  <c r="AE968" s="1"/>
  <c r="H968"/>
  <c r="G968"/>
  <c r="AF967"/>
  <c r="O967"/>
  <c r="W967" s="1"/>
  <c r="AE967" s="1"/>
  <c r="G967"/>
  <c r="H967" s="1"/>
  <c r="AF966"/>
  <c r="V966"/>
  <c r="O966"/>
  <c r="W966" s="1"/>
  <c r="AE966" s="1"/>
  <c r="H966"/>
  <c r="G966"/>
  <c r="AF965"/>
  <c r="O965"/>
  <c r="W965" s="1"/>
  <c r="AE965" s="1"/>
  <c r="G965"/>
  <c r="H965" s="1"/>
  <c r="AF964"/>
  <c r="V964"/>
  <c r="O964"/>
  <c r="W964" s="1"/>
  <c r="AE964" s="1"/>
  <c r="H964"/>
  <c r="G964"/>
  <c r="AF963"/>
  <c r="O963"/>
  <c r="W963" s="1"/>
  <c r="AE963" s="1"/>
  <c r="G963"/>
  <c r="H963" s="1"/>
  <c r="AF962"/>
  <c r="V962"/>
  <c r="O962"/>
  <c r="W962" s="1"/>
  <c r="AE962" s="1"/>
  <c r="H962"/>
  <c r="G962"/>
  <c r="AF961"/>
  <c r="O961"/>
  <c r="W961" s="1"/>
  <c r="AE961" s="1"/>
  <c r="G961"/>
  <c r="H961" s="1"/>
  <c r="AF960"/>
  <c r="V960"/>
  <c r="O960"/>
  <c r="W960" s="1"/>
  <c r="AE960" s="1"/>
  <c r="H960"/>
  <c r="G960"/>
  <c r="AF959"/>
  <c r="O959"/>
  <c r="W959" s="1"/>
  <c r="AE959" s="1"/>
  <c r="G959"/>
  <c r="H959" s="1"/>
  <c r="AF958"/>
  <c r="V958"/>
  <c r="O958"/>
  <c r="W958" s="1"/>
  <c r="AE958" s="1"/>
  <c r="H958"/>
  <c r="G958"/>
  <c r="AF957"/>
  <c r="O957"/>
  <c r="W957" s="1"/>
  <c r="AE957" s="1"/>
  <c r="G957"/>
  <c r="H957" s="1"/>
  <c r="AF956"/>
  <c r="V956"/>
  <c r="O956"/>
  <c r="W956" s="1"/>
  <c r="AE956" s="1"/>
  <c r="H956"/>
  <c r="G956"/>
  <c r="AF955"/>
  <c r="O955"/>
  <c r="W955" s="1"/>
  <c r="AE955" s="1"/>
  <c r="G955"/>
  <c r="H955" s="1"/>
  <c r="AF954"/>
  <c r="V954"/>
  <c r="O954"/>
  <c r="W954" s="1"/>
  <c r="AE954" s="1"/>
  <c r="H954"/>
  <c r="G954"/>
  <c r="AF953"/>
  <c r="O953"/>
  <c r="W953" s="1"/>
  <c r="AE953" s="1"/>
  <c r="G953"/>
  <c r="H953" s="1"/>
  <c r="AF952"/>
  <c r="V952"/>
  <c r="O952"/>
  <c r="W952" s="1"/>
  <c r="AE952" s="1"/>
  <c r="H952"/>
  <c r="G952"/>
  <c r="AF951"/>
  <c r="O951"/>
  <c r="W951" s="1"/>
  <c r="AE951" s="1"/>
  <c r="G951"/>
  <c r="H951" s="1"/>
  <c r="AF950"/>
  <c r="V950"/>
  <c r="O950"/>
  <c r="W950" s="1"/>
  <c r="AE950" s="1"/>
  <c r="H950"/>
  <c r="G950"/>
  <c r="AF949"/>
  <c r="O949"/>
  <c r="W949" s="1"/>
  <c r="AE949" s="1"/>
  <c r="G949"/>
  <c r="H949" s="1"/>
  <c r="AF948"/>
  <c r="V948"/>
  <c r="O948"/>
  <c r="W948" s="1"/>
  <c r="AE948" s="1"/>
  <c r="H948"/>
  <c r="G948"/>
  <c r="AF947"/>
  <c r="O947"/>
  <c r="W947" s="1"/>
  <c r="AE947" s="1"/>
  <c r="G947"/>
  <c r="H947" s="1"/>
  <c r="AF946"/>
  <c r="V946"/>
  <c r="O946"/>
  <c r="W946" s="1"/>
  <c r="AE946" s="1"/>
  <c r="H946"/>
  <c r="G946"/>
  <c r="AF945"/>
  <c r="O945"/>
  <c r="W945" s="1"/>
  <c r="AE945" s="1"/>
  <c r="G945"/>
  <c r="H945" s="1"/>
  <c r="AF944"/>
  <c r="V944"/>
  <c r="O944"/>
  <c r="W944" s="1"/>
  <c r="AE944" s="1"/>
  <c r="H944"/>
  <c r="G944"/>
  <c r="AF943"/>
  <c r="O943"/>
  <c r="W943" s="1"/>
  <c r="AE943" s="1"/>
  <c r="G943"/>
  <c r="H943" s="1"/>
  <c r="AF942"/>
  <c r="V942"/>
  <c r="O942"/>
  <c r="W942" s="1"/>
  <c r="H942"/>
  <c r="G942"/>
  <c r="AF941"/>
  <c r="O941"/>
  <c r="V941" s="1"/>
  <c r="G941"/>
  <c r="H941" s="1"/>
  <c r="AF940"/>
  <c r="V940"/>
  <c r="O940"/>
  <c r="W940" s="1"/>
  <c r="H940"/>
  <c r="G940"/>
  <c r="AF939"/>
  <c r="O939"/>
  <c r="V939" s="1"/>
  <c r="G939"/>
  <c r="H939" s="1"/>
  <c r="AF938"/>
  <c r="V938"/>
  <c r="O938"/>
  <c r="W938" s="1"/>
  <c r="H938"/>
  <c r="G938"/>
  <c r="AF937"/>
  <c r="V937"/>
  <c r="O937"/>
  <c r="W937" s="1"/>
  <c r="AE937" s="1"/>
  <c r="G937"/>
  <c r="H937" s="1"/>
  <c r="AF936"/>
  <c r="O936"/>
  <c r="W936" s="1"/>
  <c r="G936"/>
  <c r="H936" s="1"/>
  <c r="AF935"/>
  <c r="V935"/>
  <c r="O935"/>
  <c r="W935" s="1"/>
  <c r="AE935" s="1"/>
  <c r="G935"/>
  <c r="H935" s="1"/>
  <c r="AF934"/>
  <c r="O934"/>
  <c r="W934" s="1"/>
  <c r="G934"/>
  <c r="H934" s="1"/>
  <c r="AF933"/>
  <c r="V933"/>
  <c r="O933"/>
  <c r="W933" s="1"/>
  <c r="AE933" s="1"/>
  <c r="G933"/>
  <c r="H933" s="1"/>
  <c r="AF932"/>
  <c r="O932"/>
  <c r="W932" s="1"/>
  <c r="G932"/>
  <c r="H932" s="1"/>
  <c r="AF931"/>
  <c r="V931"/>
  <c r="O931"/>
  <c r="W931" s="1"/>
  <c r="AE931" s="1"/>
  <c r="G931"/>
  <c r="H931" s="1"/>
  <c r="AF930"/>
  <c r="O930"/>
  <c r="W930" s="1"/>
  <c r="G930"/>
  <c r="H930" s="1"/>
  <c r="AF929"/>
  <c r="V929"/>
  <c r="O929"/>
  <c r="W929" s="1"/>
  <c r="AE929" s="1"/>
  <c r="G929"/>
  <c r="H929" s="1"/>
  <c r="AF928"/>
  <c r="O928"/>
  <c r="W928" s="1"/>
  <c r="G928"/>
  <c r="H928" s="1"/>
  <c r="AF927"/>
  <c r="V927"/>
  <c r="O927"/>
  <c r="W927" s="1"/>
  <c r="AE927" s="1"/>
  <c r="G927"/>
  <c r="H927" s="1"/>
  <c r="AF926"/>
  <c r="O926"/>
  <c r="W926" s="1"/>
  <c r="G926"/>
  <c r="H926" s="1"/>
  <c r="AF925"/>
  <c r="V925"/>
  <c r="O925"/>
  <c r="W925" s="1"/>
  <c r="AE925" s="1"/>
  <c r="G925"/>
  <c r="H925" s="1"/>
  <c r="AF924"/>
  <c r="O924"/>
  <c r="W924" s="1"/>
  <c r="G924"/>
  <c r="H924" s="1"/>
  <c r="AF923"/>
  <c r="V923"/>
  <c r="O923"/>
  <c r="W923" s="1"/>
  <c r="AE923" s="1"/>
  <c r="G923"/>
  <c r="H923" s="1"/>
  <c r="AF922"/>
  <c r="O922"/>
  <c r="W922" s="1"/>
  <c r="G922"/>
  <c r="H922" s="1"/>
  <c r="AF921"/>
  <c r="V921"/>
  <c r="O921"/>
  <c r="W921" s="1"/>
  <c r="AE921" s="1"/>
  <c r="G921"/>
  <c r="H921" s="1"/>
  <c r="AF920"/>
  <c r="O920"/>
  <c r="W920" s="1"/>
  <c r="G920"/>
  <c r="H920" s="1"/>
  <c r="AF919"/>
  <c r="V919"/>
  <c r="O919"/>
  <c r="W919" s="1"/>
  <c r="AE919" s="1"/>
  <c r="G919"/>
  <c r="H919" s="1"/>
  <c r="AF918"/>
  <c r="O918"/>
  <c r="W918" s="1"/>
  <c r="G918"/>
  <c r="H918" s="1"/>
  <c r="AF917"/>
  <c r="V917"/>
  <c r="O917"/>
  <c r="W917" s="1"/>
  <c r="AE917" s="1"/>
  <c r="G917"/>
  <c r="H917" s="1"/>
  <c r="AF916"/>
  <c r="O916"/>
  <c r="W916" s="1"/>
  <c r="G916"/>
  <c r="H916" s="1"/>
  <c r="AF915"/>
  <c r="V915"/>
  <c r="O915"/>
  <c r="W915" s="1"/>
  <c r="AE915" s="1"/>
  <c r="G915"/>
  <c r="H915" s="1"/>
  <c r="AF914"/>
  <c r="O914"/>
  <c r="W914" s="1"/>
  <c r="G914"/>
  <c r="H914" s="1"/>
  <c r="AF913"/>
  <c r="V913"/>
  <c r="O913"/>
  <c r="W913" s="1"/>
  <c r="AE913" s="1"/>
  <c r="G913"/>
  <c r="H913" s="1"/>
  <c r="AF912"/>
  <c r="O912"/>
  <c r="W912" s="1"/>
  <c r="G912"/>
  <c r="H912" s="1"/>
  <c r="AF911"/>
  <c r="V911"/>
  <c r="O911"/>
  <c r="W911" s="1"/>
  <c r="AE911" s="1"/>
  <c r="G911"/>
  <c r="H911" s="1"/>
  <c r="AF910"/>
  <c r="O910"/>
  <c r="W910" s="1"/>
  <c r="G910"/>
  <c r="H910" s="1"/>
  <c r="AF909"/>
  <c r="V909"/>
  <c r="O909"/>
  <c r="W909" s="1"/>
  <c r="AE909" s="1"/>
  <c r="G909"/>
  <c r="H909" s="1"/>
  <c r="AF908"/>
  <c r="O908"/>
  <c r="W908" s="1"/>
  <c r="G908"/>
  <c r="H908" s="1"/>
  <c r="AF907"/>
  <c r="V907"/>
  <c r="O907"/>
  <c r="W907" s="1"/>
  <c r="AE907" s="1"/>
  <c r="G907"/>
  <c r="H907" s="1"/>
  <c r="AF906"/>
  <c r="O906"/>
  <c r="W906" s="1"/>
  <c r="G906"/>
  <c r="H906" s="1"/>
  <c r="AF905"/>
  <c r="V905"/>
  <c r="O905"/>
  <c r="W905" s="1"/>
  <c r="AE905" s="1"/>
  <c r="G905"/>
  <c r="H905" s="1"/>
  <c r="AF904"/>
  <c r="O904"/>
  <c r="W904" s="1"/>
  <c r="G904"/>
  <c r="H904" s="1"/>
  <c r="AF903"/>
  <c r="V903"/>
  <c r="O903"/>
  <c r="W903" s="1"/>
  <c r="AE903" s="1"/>
  <c r="G903"/>
  <c r="H903" s="1"/>
  <c r="AF902"/>
  <c r="O902"/>
  <c r="W902" s="1"/>
  <c r="G902"/>
  <c r="H902" s="1"/>
  <c r="AF901"/>
  <c r="V901"/>
  <c r="O901"/>
  <c r="W901" s="1"/>
  <c r="AE901" s="1"/>
  <c r="G901"/>
  <c r="H901" s="1"/>
  <c r="AF900"/>
  <c r="O900"/>
  <c r="W900" s="1"/>
  <c r="G900"/>
  <c r="H900" s="1"/>
  <c r="AF899"/>
  <c r="V899"/>
  <c r="O899"/>
  <c r="W899" s="1"/>
  <c r="AE899" s="1"/>
  <c r="G899"/>
  <c r="H899" s="1"/>
  <c r="AF898"/>
  <c r="O898"/>
  <c r="W898" s="1"/>
  <c r="G898"/>
  <c r="H898" s="1"/>
  <c r="AF897"/>
  <c r="V897"/>
  <c r="O897"/>
  <c r="W897" s="1"/>
  <c r="AE897" s="1"/>
  <c r="G897"/>
  <c r="H897" s="1"/>
  <c r="AF896"/>
  <c r="O896"/>
  <c r="W896" s="1"/>
  <c r="G896"/>
  <c r="H896" s="1"/>
  <c r="AF895"/>
  <c r="V895"/>
  <c r="O895"/>
  <c r="W895" s="1"/>
  <c r="AE895" s="1"/>
  <c r="G895"/>
  <c r="H895" s="1"/>
  <c r="AF894"/>
  <c r="O894"/>
  <c r="W894" s="1"/>
  <c r="G894"/>
  <c r="H894" s="1"/>
  <c r="AF893"/>
  <c r="V893"/>
  <c r="O893"/>
  <c r="W893" s="1"/>
  <c r="AE893" s="1"/>
  <c r="G893"/>
  <c r="H893" s="1"/>
  <c r="AF892"/>
  <c r="O892"/>
  <c r="W892" s="1"/>
  <c r="G892"/>
  <c r="H892" s="1"/>
  <c r="AF891"/>
  <c r="V891"/>
  <c r="O891"/>
  <c r="W891" s="1"/>
  <c r="AE891" s="1"/>
  <c r="G891"/>
  <c r="H891" s="1"/>
  <c r="AF890"/>
  <c r="O890"/>
  <c r="W890" s="1"/>
  <c r="G890"/>
  <c r="H890" s="1"/>
  <c r="AF889"/>
  <c r="V889"/>
  <c r="O889"/>
  <c r="W889" s="1"/>
  <c r="AE889" s="1"/>
  <c r="G889"/>
  <c r="H889" s="1"/>
  <c r="AF888"/>
  <c r="O888"/>
  <c r="W888" s="1"/>
  <c r="G888"/>
  <c r="H888" s="1"/>
  <c r="AF887"/>
  <c r="V887"/>
  <c r="O887"/>
  <c r="W887" s="1"/>
  <c r="AE887" s="1"/>
  <c r="G887"/>
  <c r="H887" s="1"/>
  <c r="AF886"/>
  <c r="O886"/>
  <c r="W886" s="1"/>
  <c r="G886"/>
  <c r="H886" s="1"/>
  <c r="AF885"/>
  <c r="V885"/>
  <c r="O885"/>
  <c r="W885" s="1"/>
  <c r="AE885" s="1"/>
  <c r="G885"/>
  <c r="H885" s="1"/>
  <c r="AF884"/>
  <c r="O884"/>
  <c r="W884" s="1"/>
  <c r="G884"/>
  <c r="H884" s="1"/>
  <c r="AF883"/>
  <c r="V883"/>
  <c r="O883"/>
  <c r="W883" s="1"/>
  <c r="AE883" s="1"/>
  <c r="G883"/>
  <c r="H883" s="1"/>
  <c r="AF882"/>
  <c r="O882"/>
  <c r="W882" s="1"/>
  <c r="G882"/>
  <c r="H882" s="1"/>
  <c r="AF881"/>
  <c r="V881"/>
  <c r="O881"/>
  <c r="W881" s="1"/>
  <c r="AE881" s="1"/>
  <c r="G881"/>
  <c r="H881" s="1"/>
  <c r="AF880"/>
  <c r="O880"/>
  <c r="W880" s="1"/>
  <c r="G880"/>
  <c r="H880" s="1"/>
  <c r="AF879"/>
  <c r="V879"/>
  <c r="O879"/>
  <c r="W879" s="1"/>
  <c r="AE879" s="1"/>
  <c r="G879"/>
  <c r="H879" s="1"/>
  <c r="AF878"/>
  <c r="O878"/>
  <c r="W878" s="1"/>
  <c r="G878"/>
  <c r="H878" s="1"/>
  <c r="AF877"/>
  <c r="V877"/>
  <c r="O877"/>
  <c r="W877" s="1"/>
  <c r="AE877" s="1"/>
  <c r="G877"/>
  <c r="H877" s="1"/>
  <c r="AF876"/>
  <c r="O876"/>
  <c r="W876" s="1"/>
  <c r="G876"/>
  <c r="H876" s="1"/>
  <c r="AF875"/>
  <c r="V875"/>
  <c r="O875"/>
  <c r="W875" s="1"/>
  <c r="AE875" s="1"/>
  <c r="G875"/>
  <c r="H875" s="1"/>
  <c r="AF874"/>
  <c r="O874"/>
  <c r="W874" s="1"/>
  <c r="G874"/>
  <c r="H874" s="1"/>
  <c r="AF873"/>
  <c r="V873"/>
  <c r="O873"/>
  <c r="W873" s="1"/>
  <c r="AE873" s="1"/>
  <c r="G873"/>
  <c r="H873" s="1"/>
  <c r="AF872"/>
  <c r="O872"/>
  <c r="W872" s="1"/>
  <c r="G872"/>
  <c r="H872" s="1"/>
  <c r="AF871"/>
  <c r="V871"/>
  <c r="O871"/>
  <c r="W871" s="1"/>
  <c r="AE871" s="1"/>
  <c r="G871"/>
  <c r="H871" s="1"/>
  <c r="AF870"/>
  <c r="O870"/>
  <c r="W870" s="1"/>
  <c r="G870"/>
  <c r="H870" s="1"/>
  <c r="AF869"/>
  <c r="V869"/>
  <c r="O869"/>
  <c r="W869" s="1"/>
  <c r="AE869" s="1"/>
  <c r="G869"/>
  <c r="H869" s="1"/>
  <c r="AF868"/>
  <c r="O868"/>
  <c r="W868" s="1"/>
  <c r="G868"/>
  <c r="H868" s="1"/>
  <c r="AF867"/>
  <c r="V867"/>
  <c r="O867"/>
  <c r="W867" s="1"/>
  <c r="AE867" s="1"/>
  <c r="G867"/>
  <c r="H867" s="1"/>
  <c r="AF866"/>
  <c r="O866"/>
  <c r="W866" s="1"/>
  <c r="G866"/>
  <c r="H866" s="1"/>
  <c r="AF865"/>
  <c r="V865"/>
  <c r="O865"/>
  <c r="W865" s="1"/>
  <c r="AE865" s="1"/>
  <c r="G865"/>
  <c r="H865" s="1"/>
  <c r="AF864"/>
  <c r="O864"/>
  <c r="W864" s="1"/>
  <c r="G864"/>
  <c r="H864" s="1"/>
  <c r="AF863"/>
  <c r="V863"/>
  <c r="O863"/>
  <c r="W863" s="1"/>
  <c r="AE863" s="1"/>
  <c r="G863"/>
  <c r="H863" s="1"/>
  <c r="AF862"/>
  <c r="O862"/>
  <c r="W862" s="1"/>
  <c r="G862"/>
  <c r="H862" s="1"/>
  <c r="AF861"/>
  <c r="V861"/>
  <c r="O861"/>
  <c r="W861" s="1"/>
  <c r="AE861" s="1"/>
  <c r="G861"/>
  <c r="H861" s="1"/>
  <c r="AF860"/>
  <c r="O860"/>
  <c r="W860" s="1"/>
  <c r="G860"/>
  <c r="H860" s="1"/>
  <c r="AF859"/>
  <c r="V859"/>
  <c r="O859"/>
  <c r="W859" s="1"/>
  <c r="AE859" s="1"/>
  <c r="G859"/>
  <c r="H859" s="1"/>
  <c r="AF858"/>
  <c r="O858"/>
  <c r="W858" s="1"/>
  <c r="G858"/>
  <c r="H858" s="1"/>
  <c r="AF857"/>
  <c r="V857"/>
  <c r="O857"/>
  <c r="W857" s="1"/>
  <c r="AE857" s="1"/>
  <c r="G857"/>
  <c r="H857" s="1"/>
  <c r="AF856"/>
  <c r="O856"/>
  <c r="W856" s="1"/>
  <c r="G856"/>
  <c r="H856" s="1"/>
  <c r="AF855"/>
  <c r="V855"/>
  <c r="O855"/>
  <c r="W855" s="1"/>
  <c r="AE855" s="1"/>
  <c r="G855"/>
  <c r="H855" s="1"/>
  <c r="AF854"/>
  <c r="O854"/>
  <c r="W854" s="1"/>
  <c r="G854"/>
  <c r="H854" s="1"/>
  <c r="AF853"/>
  <c r="V853"/>
  <c r="O853"/>
  <c r="W853" s="1"/>
  <c r="AE853" s="1"/>
  <c r="G853"/>
  <c r="H853" s="1"/>
  <c r="AF852"/>
  <c r="O852"/>
  <c r="W852" s="1"/>
  <c r="G852"/>
  <c r="H852" s="1"/>
  <c r="AF851"/>
  <c r="V851"/>
  <c r="O851"/>
  <c r="W851" s="1"/>
  <c r="AE851" s="1"/>
  <c r="G851"/>
  <c r="H851" s="1"/>
  <c r="AF850"/>
  <c r="O850"/>
  <c r="W850" s="1"/>
  <c r="G850"/>
  <c r="H850" s="1"/>
  <c r="AF849"/>
  <c r="V849"/>
  <c r="O849"/>
  <c r="W849" s="1"/>
  <c r="AE849" s="1"/>
  <c r="G849"/>
  <c r="H849" s="1"/>
  <c r="AF848"/>
  <c r="O848"/>
  <c r="W848" s="1"/>
  <c r="G848"/>
  <c r="H848" s="1"/>
  <c r="AF847"/>
  <c r="V847"/>
  <c r="O847"/>
  <c r="W847" s="1"/>
  <c r="AE847" s="1"/>
  <c r="G847"/>
  <c r="H847" s="1"/>
  <c r="AF846"/>
  <c r="O846"/>
  <c r="W846" s="1"/>
  <c r="G846"/>
  <c r="H846" s="1"/>
  <c r="AF845"/>
  <c r="V845"/>
  <c r="O845"/>
  <c r="W845" s="1"/>
  <c r="AE845" s="1"/>
  <c r="G845"/>
  <c r="H845" s="1"/>
  <c r="AF844"/>
  <c r="O844"/>
  <c r="W844" s="1"/>
  <c r="G844"/>
  <c r="H844" s="1"/>
  <c r="AF843"/>
  <c r="V843"/>
  <c r="O843"/>
  <c r="W843" s="1"/>
  <c r="AE843" s="1"/>
  <c r="G843"/>
  <c r="H843" s="1"/>
  <c r="AF842"/>
  <c r="O842"/>
  <c r="W842" s="1"/>
  <c r="AE842" s="1"/>
  <c r="G842"/>
  <c r="H842" s="1"/>
  <c r="AF841"/>
  <c r="V841"/>
  <c r="O841"/>
  <c r="W841" s="1"/>
  <c r="AE841" s="1"/>
  <c r="G841"/>
  <c r="H841" s="1"/>
  <c r="AF840"/>
  <c r="O840"/>
  <c r="W840" s="1"/>
  <c r="AE840" s="1"/>
  <c r="G840"/>
  <c r="H840" s="1"/>
  <c r="AF839"/>
  <c r="V839"/>
  <c r="O839"/>
  <c r="W839" s="1"/>
  <c r="AE839" s="1"/>
  <c r="G839"/>
  <c r="H839" s="1"/>
  <c r="AF838"/>
  <c r="O838"/>
  <c r="W838" s="1"/>
  <c r="AE838" s="1"/>
  <c r="G838"/>
  <c r="H838" s="1"/>
  <c r="AF837"/>
  <c r="V837"/>
  <c r="O837"/>
  <c r="W837" s="1"/>
  <c r="AE837" s="1"/>
  <c r="G837"/>
  <c r="H837" s="1"/>
  <c r="AF836"/>
  <c r="O836"/>
  <c r="W836" s="1"/>
  <c r="AE836" s="1"/>
  <c r="G836"/>
  <c r="H836" s="1"/>
  <c r="AF835"/>
  <c r="V835"/>
  <c r="O835"/>
  <c r="W835" s="1"/>
  <c r="AE835" s="1"/>
  <c r="G835"/>
  <c r="H835" s="1"/>
  <c r="AF834"/>
  <c r="O834"/>
  <c r="W834" s="1"/>
  <c r="AE834" s="1"/>
  <c r="G834"/>
  <c r="H834" s="1"/>
  <c r="AF833"/>
  <c r="V833"/>
  <c r="O833"/>
  <c r="W833" s="1"/>
  <c r="AE833" s="1"/>
  <c r="G833"/>
  <c r="H833" s="1"/>
  <c r="AF832"/>
  <c r="O832"/>
  <c r="W832" s="1"/>
  <c r="AE832" s="1"/>
  <c r="G832"/>
  <c r="H832" s="1"/>
  <c r="AF831"/>
  <c r="V831"/>
  <c r="O831"/>
  <c r="W831" s="1"/>
  <c r="AE831" s="1"/>
  <c r="G831"/>
  <c r="H831" s="1"/>
  <c r="AF830"/>
  <c r="O830"/>
  <c r="W830" s="1"/>
  <c r="AE830" s="1"/>
  <c r="G830"/>
  <c r="H830" s="1"/>
  <c r="AF829"/>
  <c r="V829"/>
  <c r="O829"/>
  <c r="W829" s="1"/>
  <c r="AE829" s="1"/>
  <c r="G829"/>
  <c r="H829" s="1"/>
  <c r="AF828"/>
  <c r="O828"/>
  <c r="W828" s="1"/>
  <c r="AE828" s="1"/>
  <c r="G828"/>
  <c r="H828" s="1"/>
  <c r="AF827"/>
  <c r="V827"/>
  <c r="O827"/>
  <c r="W827" s="1"/>
  <c r="AE827" s="1"/>
  <c r="G827"/>
  <c r="H827" s="1"/>
  <c r="AF826"/>
  <c r="O826"/>
  <c r="W826" s="1"/>
  <c r="AE826" s="1"/>
  <c r="G826"/>
  <c r="H826" s="1"/>
  <c r="AF825"/>
  <c r="V825"/>
  <c r="O825"/>
  <c r="W825" s="1"/>
  <c r="AE825" s="1"/>
  <c r="G825"/>
  <c r="H825" s="1"/>
  <c r="AF824"/>
  <c r="O824"/>
  <c r="W824" s="1"/>
  <c r="AE824" s="1"/>
  <c r="G824"/>
  <c r="H824" s="1"/>
  <c r="AF823"/>
  <c r="V823"/>
  <c r="O823"/>
  <c r="W823" s="1"/>
  <c r="AE823" s="1"/>
  <c r="G823"/>
  <c r="H823" s="1"/>
  <c r="AF822"/>
  <c r="O822"/>
  <c r="W822" s="1"/>
  <c r="AE822" s="1"/>
  <c r="G822"/>
  <c r="H822" s="1"/>
  <c r="AF821"/>
  <c r="V821"/>
  <c r="O821"/>
  <c r="W821" s="1"/>
  <c r="AE821" s="1"/>
  <c r="G821"/>
  <c r="H821" s="1"/>
  <c r="AF820"/>
  <c r="O820"/>
  <c r="W820" s="1"/>
  <c r="AE820" s="1"/>
  <c r="G820"/>
  <c r="H820" s="1"/>
  <c r="AF819"/>
  <c r="V819"/>
  <c r="O819"/>
  <c r="W819" s="1"/>
  <c r="AE819" s="1"/>
  <c r="H819"/>
  <c r="G819"/>
  <c r="AF818"/>
  <c r="O818"/>
  <c r="W818" s="1"/>
  <c r="AE818" s="1"/>
  <c r="G818"/>
  <c r="H818" s="1"/>
  <c r="AF817"/>
  <c r="V817"/>
  <c r="O817"/>
  <c r="W817" s="1"/>
  <c r="AE817" s="1"/>
  <c r="H817"/>
  <c r="G817"/>
  <c r="AF816"/>
  <c r="O816"/>
  <c r="W816" s="1"/>
  <c r="AE816" s="1"/>
  <c r="G816"/>
  <c r="H816" s="1"/>
  <c r="AF815"/>
  <c r="V815"/>
  <c r="O815"/>
  <c r="W815" s="1"/>
  <c r="AE815" s="1"/>
  <c r="H815"/>
  <c r="G815"/>
  <c r="AF814"/>
  <c r="O814"/>
  <c r="W814" s="1"/>
  <c r="AE814" s="1"/>
  <c r="G814"/>
  <c r="H814" s="1"/>
  <c r="AF813"/>
  <c r="V813"/>
  <c r="O813"/>
  <c r="W813" s="1"/>
  <c r="H813"/>
  <c r="G813"/>
  <c r="AF812"/>
  <c r="O812"/>
  <c r="V812" s="1"/>
  <c r="G812"/>
  <c r="H812" s="1"/>
  <c r="AF811"/>
  <c r="V811"/>
  <c r="O811"/>
  <c r="W811" s="1"/>
  <c r="H811"/>
  <c r="G811"/>
  <c r="AF810"/>
  <c r="O810"/>
  <c r="V810" s="1"/>
  <c r="G810"/>
  <c r="H810" s="1"/>
  <c r="AF809"/>
  <c r="V809"/>
  <c r="O809"/>
  <c r="W809" s="1"/>
  <c r="H809"/>
  <c r="G809"/>
  <c r="AF808"/>
  <c r="O808"/>
  <c r="V808" s="1"/>
  <c r="G808"/>
  <c r="H808" s="1"/>
  <c r="AF807"/>
  <c r="V807"/>
  <c r="O807"/>
  <c r="W807" s="1"/>
  <c r="H807"/>
  <c r="G807"/>
  <c r="AF806"/>
  <c r="O806"/>
  <c r="V806" s="1"/>
  <c r="G806"/>
  <c r="H806" s="1"/>
  <c r="AF805"/>
  <c r="V805"/>
  <c r="O805"/>
  <c r="W805" s="1"/>
  <c r="H805"/>
  <c r="G805"/>
  <c r="AF804"/>
  <c r="O804"/>
  <c r="V804" s="1"/>
  <c r="G804"/>
  <c r="H804" s="1"/>
  <c r="AF803"/>
  <c r="V803"/>
  <c r="O803"/>
  <c r="W803" s="1"/>
  <c r="H803"/>
  <c r="G803"/>
  <c r="AF802"/>
  <c r="O802"/>
  <c r="V802" s="1"/>
  <c r="G802"/>
  <c r="H802" s="1"/>
  <c r="AF801"/>
  <c r="V801"/>
  <c r="O801"/>
  <c r="W801" s="1"/>
  <c r="H801"/>
  <c r="G801"/>
  <c r="AF800"/>
  <c r="O800"/>
  <c r="V800" s="1"/>
  <c r="G800"/>
  <c r="H800" s="1"/>
  <c r="AF799"/>
  <c r="V799"/>
  <c r="O799"/>
  <c r="W799" s="1"/>
  <c r="H799"/>
  <c r="G799"/>
  <c r="AF798"/>
  <c r="O798"/>
  <c r="V798" s="1"/>
  <c r="G798"/>
  <c r="H798" s="1"/>
  <c r="AF797"/>
  <c r="V797"/>
  <c r="O797"/>
  <c r="W797" s="1"/>
  <c r="H797"/>
  <c r="G797"/>
  <c r="AF796"/>
  <c r="O796"/>
  <c r="V796" s="1"/>
  <c r="G796"/>
  <c r="H796" s="1"/>
  <c r="AF795"/>
  <c r="V795"/>
  <c r="O795"/>
  <c r="W795" s="1"/>
  <c r="H795"/>
  <c r="G795"/>
  <c r="AF794"/>
  <c r="O794"/>
  <c r="V794" s="1"/>
  <c r="G794"/>
  <c r="H794" s="1"/>
  <c r="AF793"/>
  <c r="V793"/>
  <c r="O793"/>
  <c r="W793" s="1"/>
  <c r="AE793" s="1"/>
  <c r="H793"/>
  <c r="G793"/>
  <c r="AF792"/>
  <c r="W792"/>
  <c r="AE792" s="1"/>
  <c r="O792"/>
  <c r="V792" s="1"/>
  <c r="G792"/>
  <c r="H792" s="1"/>
  <c r="AF791"/>
  <c r="V791"/>
  <c r="O791"/>
  <c r="W791" s="1"/>
  <c r="AE791" s="1"/>
  <c r="G791"/>
  <c r="H791" s="1"/>
  <c r="AF790"/>
  <c r="W790"/>
  <c r="O790"/>
  <c r="V790" s="1"/>
  <c r="G790"/>
  <c r="H790" s="1"/>
  <c r="AF789"/>
  <c r="V789"/>
  <c r="O789"/>
  <c r="W789" s="1"/>
  <c r="AE789" s="1"/>
  <c r="H789"/>
  <c r="G789"/>
  <c r="AF788"/>
  <c r="W788"/>
  <c r="AE788" s="1"/>
  <c r="O788"/>
  <c r="V788" s="1"/>
  <c r="G788"/>
  <c r="H788" s="1"/>
  <c r="AF787"/>
  <c r="V787"/>
  <c r="O787"/>
  <c r="W787" s="1"/>
  <c r="AE787" s="1"/>
  <c r="G787"/>
  <c r="H787" s="1"/>
  <c r="AF786"/>
  <c r="W786"/>
  <c r="O786"/>
  <c r="V786" s="1"/>
  <c r="G786"/>
  <c r="H786" s="1"/>
  <c r="AF785"/>
  <c r="V785"/>
  <c r="O785"/>
  <c r="W785" s="1"/>
  <c r="AE785" s="1"/>
  <c r="H785"/>
  <c r="G785"/>
  <c r="AF784"/>
  <c r="W784"/>
  <c r="AE784" s="1"/>
  <c r="O784"/>
  <c r="V784" s="1"/>
  <c r="G784"/>
  <c r="H784" s="1"/>
  <c r="AF783"/>
  <c r="V783"/>
  <c r="O783"/>
  <c r="W783" s="1"/>
  <c r="AE783" s="1"/>
  <c r="G783"/>
  <c r="H783" s="1"/>
  <c r="AF782"/>
  <c r="W782"/>
  <c r="O782"/>
  <c r="V782" s="1"/>
  <c r="G782"/>
  <c r="H782" s="1"/>
  <c r="AF781"/>
  <c r="V781"/>
  <c r="O781"/>
  <c r="W781" s="1"/>
  <c r="AE781" s="1"/>
  <c r="H781"/>
  <c r="G781"/>
  <c r="AF780"/>
  <c r="W780"/>
  <c r="AE780" s="1"/>
  <c r="O780"/>
  <c r="V780" s="1"/>
  <c r="G780"/>
  <c r="H780" s="1"/>
  <c r="AF779"/>
  <c r="V779"/>
  <c r="O779"/>
  <c r="W779" s="1"/>
  <c r="AE779" s="1"/>
  <c r="G779"/>
  <c r="H779" s="1"/>
  <c r="AF778"/>
  <c r="W778"/>
  <c r="O778"/>
  <c r="V778" s="1"/>
  <c r="G778"/>
  <c r="H778" s="1"/>
  <c r="AF777"/>
  <c r="V777"/>
  <c r="O777"/>
  <c r="W777" s="1"/>
  <c r="AE777" s="1"/>
  <c r="H777"/>
  <c r="G777"/>
  <c r="AF776"/>
  <c r="W776"/>
  <c r="AE776" s="1"/>
  <c r="O776"/>
  <c r="V776" s="1"/>
  <c r="G776"/>
  <c r="H776" s="1"/>
  <c r="AF775"/>
  <c r="V775"/>
  <c r="O775"/>
  <c r="W775" s="1"/>
  <c r="AE775" s="1"/>
  <c r="G775"/>
  <c r="H775" s="1"/>
  <c r="AF774"/>
  <c r="W774"/>
  <c r="O774"/>
  <c r="V774" s="1"/>
  <c r="G774"/>
  <c r="H774" s="1"/>
  <c r="AF773"/>
  <c r="V773"/>
  <c r="O773"/>
  <c r="W773" s="1"/>
  <c r="AE773" s="1"/>
  <c r="H773"/>
  <c r="G773"/>
  <c r="AF772"/>
  <c r="W772"/>
  <c r="AE772" s="1"/>
  <c r="O772"/>
  <c r="V772" s="1"/>
  <c r="G772"/>
  <c r="H772" s="1"/>
  <c r="AF771"/>
  <c r="V771"/>
  <c r="O771"/>
  <c r="W771" s="1"/>
  <c r="AE771" s="1"/>
  <c r="G771"/>
  <c r="H771" s="1"/>
  <c r="AF770"/>
  <c r="W770"/>
  <c r="O770"/>
  <c r="V770" s="1"/>
  <c r="G770"/>
  <c r="H770" s="1"/>
  <c r="AF769"/>
  <c r="O769"/>
  <c r="W769" s="1"/>
  <c r="G769"/>
  <c r="H769" s="1"/>
  <c r="AF768"/>
  <c r="V768"/>
  <c r="O768"/>
  <c r="W768" s="1"/>
  <c r="AE768" s="1"/>
  <c r="G768"/>
  <c r="H768" s="1"/>
  <c r="AF767"/>
  <c r="O767"/>
  <c r="W767" s="1"/>
  <c r="G767"/>
  <c r="H767" s="1"/>
  <c r="AF766"/>
  <c r="V766"/>
  <c r="O766"/>
  <c r="W766" s="1"/>
  <c r="AE766" s="1"/>
  <c r="G766"/>
  <c r="H766" s="1"/>
  <c r="AF765"/>
  <c r="O765"/>
  <c r="W765" s="1"/>
  <c r="G765"/>
  <c r="H765" s="1"/>
  <c r="AF764"/>
  <c r="V764"/>
  <c r="O764"/>
  <c r="W764" s="1"/>
  <c r="AE764" s="1"/>
  <c r="G764"/>
  <c r="H764" s="1"/>
  <c r="AF763"/>
  <c r="O763"/>
  <c r="W763" s="1"/>
  <c r="G763"/>
  <c r="H763" s="1"/>
  <c r="AF762"/>
  <c r="V762"/>
  <c r="O762"/>
  <c r="W762" s="1"/>
  <c r="AE762" s="1"/>
  <c r="G762"/>
  <c r="H762" s="1"/>
  <c r="AF761"/>
  <c r="O761"/>
  <c r="W761" s="1"/>
  <c r="G761"/>
  <c r="H761" s="1"/>
  <c r="AF760"/>
  <c r="V760"/>
  <c r="O760"/>
  <c r="W760" s="1"/>
  <c r="AE760" s="1"/>
  <c r="G760"/>
  <c r="H760" s="1"/>
  <c r="AF759"/>
  <c r="O759"/>
  <c r="W759" s="1"/>
  <c r="G759"/>
  <c r="H759" s="1"/>
  <c r="AF758"/>
  <c r="V758"/>
  <c r="O758"/>
  <c r="W758" s="1"/>
  <c r="AE758" s="1"/>
  <c r="G758"/>
  <c r="H758" s="1"/>
  <c r="AF757"/>
  <c r="O757"/>
  <c r="W757" s="1"/>
  <c r="G757"/>
  <c r="H757" s="1"/>
  <c r="AF756"/>
  <c r="V756"/>
  <c r="O756"/>
  <c r="W756" s="1"/>
  <c r="AE756" s="1"/>
  <c r="G756"/>
  <c r="H756" s="1"/>
  <c r="AF755"/>
  <c r="O755"/>
  <c r="W755" s="1"/>
  <c r="G755"/>
  <c r="H755" s="1"/>
  <c r="AF754"/>
  <c r="V754"/>
  <c r="O754"/>
  <c r="W754" s="1"/>
  <c r="AE754" s="1"/>
  <c r="G754"/>
  <c r="H754" s="1"/>
  <c r="AF753"/>
  <c r="O753"/>
  <c r="W753" s="1"/>
  <c r="G753"/>
  <c r="H753" s="1"/>
  <c r="AF752"/>
  <c r="V752"/>
  <c r="O752"/>
  <c r="W752" s="1"/>
  <c r="AE752" s="1"/>
  <c r="G752"/>
  <c r="H752" s="1"/>
  <c r="AF751"/>
  <c r="O751"/>
  <c r="W751" s="1"/>
  <c r="G751"/>
  <c r="H751" s="1"/>
  <c r="AF750"/>
  <c r="V750"/>
  <c r="O750"/>
  <c r="W750" s="1"/>
  <c r="AE750" s="1"/>
  <c r="G750"/>
  <c r="H750" s="1"/>
  <c r="AF749"/>
  <c r="O749"/>
  <c r="W749" s="1"/>
  <c r="G749"/>
  <c r="H749" s="1"/>
  <c r="AF748"/>
  <c r="V748"/>
  <c r="O748"/>
  <c r="W748" s="1"/>
  <c r="AE748" s="1"/>
  <c r="G748"/>
  <c r="H748" s="1"/>
  <c r="AF747"/>
  <c r="O747"/>
  <c r="W747" s="1"/>
  <c r="G747"/>
  <c r="H747" s="1"/>
  <c r="AF746"/>
  <c r="V746"/>
  <c r="O746"/>
  <c r="W746" s="1"/>
  <c r="AE746" s="1"/>
  <c r="G746"/>
  <c r="H746" s="1"/>
  <c r="AF745"/>
  <c r="O745"/>
  <c r="W745" s="1"/>
  <c r="G745"/>
  <c r="H745" s="1"/>
  <c r="AF744"/>
  <c r="V744"/>
  <c r="O744"/>
  <c r="W744" s="1"/>
  <c r="AE744" s="1"/>
  <c r="G744"/>
  <c r="H744" s="1"/>
  <c r="AF743"/>
  <c r="O743"/>
  <c r="W743" s="1"/>
  <c r="G743"/>
  <c r="H743" s="1"/>
  <c r="AF742"/>
  <c r="V742"/>
  <c r="O742"/>
  <c r="W742" s="1"/>
  <c r="AE742" s="1"/>
  <c r="G742"/>
  <c r="H742" s="1"/>
  <c r="AF741"/>
  <c r="O741"/>
  <c r="W741" s="1"/>
  <c r="G741"/>
  <c r="H741" s="1"/>
  <c r="AF740"/>
  <c r="V740"/>
  <c r="O740"/>
  <c r="W740" s="1"/>
  <c r="AE740" s="1"/>
  <c r="G740"/>
  <c r="H740" s="1"/>
  <c r="AF739"/>
  <c r="O739"/>
  <c r="W739" s="1"/>
  <c r="G739"/>
  <c r="H739" s="1"/>
  <c r="AF738"/>
  <c r="V738"/>
  <c r="O738"/>
  <c r="W738" s="1"/>
  <c r="AE738" s="1"/>
  <c r="G738"/>
  <c r="H738" s="1"/>
  <c r="AF737"/>
  <c r="O737"/>
  <c r="W737" s="1"/>
  <c r="G737"/>
  <c r="H737" s="1"/>
  <c r="AF736"/>
  <c r="V736"/>
  <c r="O736"/>
  <c r="W736" s="1"/>
  <c r="AE736" s="1"/>
  <c r="G736"/>
  <c r="H736" s="1"/>
  <c r="AF735"/>
  <c r="O735"/>
  <c r="W735" s="1"/>
  <c r="G735"/>
  <c r="H735" s="1"/>
  <c r="AF734"/>
  <c r="V734"/>
  <c r="O734"/>
  <c r="W734" s="1"/>
  <c r="AE734" s="1"/>
  <c r="G734"/>
  <c r="H734" s="1"/>
  <c r="AF733"/>
  <c r="O733"/>
  <c r="W733" s="1"/>
  <c r="G733"/>
  <c r="H733" s="1"/>
  <c r="AF732"/>
  <c r="V732"/>
  <c r="O732"/>
  <c r="W732" s="1"/>
  <c r="AE732" s="1"/>
  <c r="G732"/>
  <c r="H732" s="1"/>
  <c r="AF731"/>
  <c r="O731"/>
  <c r="W731" s="1"/>
  <c r="G731"/>
  <c r="H731" s="1"/>
  <c r="AF730"/>
  <c r="V730"/>
  <c r="O730"/>
  <c r="W730" s="1"/>
  <c r="AE730" s="1"/>
  <c r="G730"/>
  <c r="H730" s="1"/>
  <c r="AF729"/>
  <c r="O729"/>
  <c r="W729" s="1"/>
  <c r="G729"/>
  <c r="H729" s="1"/>
  <c r="AF728"/>
  <c r="V728"/>
  <c r="O728"/>
  <c r="W728" s="1"/>
  <c r="AE728" s="1"/>
  <c r="G728"/>
  <c r="H728" s="1"/>
  <c r="AF727"/>
  <c r="O727"/>
  <c r="W727" s="1"/>
  <c r="G727"/>
  <c r="H727" s="1"/>
  <c r="AF726"/>
  <c r="V726"/>
  <c r="O726"/>
  <c r="W726" s="1"/>
  <c r="AE726" s="1"/>
  <c r="G726"/>
  <c r="H726" s="1"/>
  <c r="AF725"/>
  <c r="O725"/>
  <c r="W725" s="1"/>
  <c r="G725"/>
  <c r="H725" s="1"/>
  <c r="AF724"/>
  <c r="V724"/>
  <c r="O724"/>
  <c r="W724" s="1"/>
  <c r="AE724" s="1"/>
  <c r="G724"/>
  <c r="H724" s="1"/>
  <c r="AF723"/>
  <c r="O723"/>
  <c r="W723" s="1"/>
  <c r="G723"/>
  <c r="H723" s="1"/>
  <c r="AF722"/>
  <c r="V722"/>
  <c r="O722"/>
  <c r="W722" s="1"/>
  <c r="AE722" s="1"/>
  <c r="G722"/>
  <c r="H722" s="1"/>
  <c r="AF721"/>
  <c r="O721"/>
  <c r="W721" s="1"/>
  <c r="G721"/>
  <c r="H721" s="1"/>
  <c r="AF720"/>
  <c r="V720"/>
  <c r="O720"/>
  <c r="W720" s="1"/>
  <c r="AE720" s="1"/>
  <c r="G720"/>
  <c r="H720" s="1"/>
  <c r="AF719"/>
  <c r="O719"/>
  <c r="W719" s="1"/>
  <c r="G719"/>
  <c r="H719" s="1"/>
  <c r="AF718"/>
  <c r="V718"/>
  <c r="O718"/>
  <c r="W718" s="1"/>
  <c r="AE718" s="1"/>
  <c r="G718"/>
  <c r="H718" s="1"/>
  <c r="AF717"/>
  <c r="O717"/>
  <c r="W717" s="1"/>
  <c r="G717"/>
  <c r="H717" s="1"/>
  <c r="AF716"/>
  <c r="V716"/>
  <c r="O716"/>
  <c r="W716" s="1"/>
  <c r="AE716" s="1"/>
  <c r="G716"/>
  <c r="H716" s="1"/>
  <c r="AF715"/>
  <c r="O715"/>
  <c r="W715" s="1"/>
  <c r="G715"/>
  <c r="H715" s="1"/>
  <c r="AF714"/>
  <c r="V714"/>
  <c r="O714"/>
  <c r="W714" s="1"/>
  <c r="AE714" s="1"/>
  <c r="G714"/>
  <c r="H714" s="1"/>
  <c r="AF713"/>
  <c r="O713"/>
  <c r="W713" s="1"/>
  <c r="G713"/>
  <c r="H713" s="1"/>
  <c r="AF712"/>
  <c r="V712"/>
  <c r="O712"/>
  <c r="W712" s="1"/>
  <c r="AE712" s="1"/>
  <c r="G712"/>
  <c r="H712" s="1"/>
  <c r="AF711"/>
  <c r="O711"/>
  <c r="W711" s="1"/>
  <c r="G711"/>
  <c r="H711" s="1"/>
  <c r="AF710"/>
  <c r="V710"/>
  <c r="O710"/>
  <c r="W710" s="1"/>
  <c r="AE710" s="1"/>
  <c r="G710"/>
  <c r="H710" s="1"/>
  <c r="AF709"/>
  <c r="O709"/>
  <c r="W709" s="1"/>
  <c r="G709"/>
  <c r="H709" s="1"/>
  <c r="AF708"/>
  <c r="V708"/>
  <c r="O708"/>
  <c r="W708" s="1"/>
  <c r="AE708" s="1"/>
  <c r="G708"/>
  <c r="H708" s="1"/>
  <c r="AF707"/>
  <c r="O707"/>
  <c r="W707" s="1"/>
  <c r="G707"/>
  <c r="H707" s="1"/>
  <c r="AF706"/>
  <c r="V706"/>
  <c r="O706"/>
  <c r="W706" s="1"/>
  <c r="AE706" s="1"/>
  <c r="G706"/>
  <c r="H706" s="1"/>
  <c r="AF705"/>
  <c r="O705"/>
  <c r="W705" s="1"/>
  <c r="G705"/>
  <c r="H705" s="1"/>
  <c r="AF704"/>
  <c r="V704"/>
  <c r="O704"/>
  <c r="W704" s="1"/>
  <c r="AE704" s="1"/>
  <c r="G704"/>
  <c r="H704" s="1"/>
  <c r="AF703"/>
  <c r="O703"/>
  <c r="W703" s="1"/>
  <c r="G703"/>
  <c r="H703" s="1"/>
  <c r="AF702"/>
  <c r="V702"/>
  <c r="O702"/>
  <c r="W702" s="1"/>
  <c r="AE702" s="1"/>
  <c r="G702"/>
  <c r="H702" s="1"/>
  <c r="AF701"/>
  <c r="O701"/>
  <c r="W701" s="1"/>
  <c r="G701"/>
  <c r="H701" s="1"/>
  <c r="AF700"/>
  <c r="V700"/>
  <c r="O700"/>
  <c r="W700" s="1"/>
  <c r="AE700" s="1"/>
  <c r="G700"/>
  <c r="H700" s="1"/>
  <c r="AF699"/>
  <c r="O699"/>
  <c r="W699" s="1"/>
  <c r="G699"/>
  <c r="H699" s="1"/>
  <c r="AF698"/>
  <c r="V698"/>
  <c r="O698"/>
  <c r="W698" s="1"/>
  <c r="AE698" s="1"/>
  <c r="G698"/>
  <c r="H698" s="1"/>
  <c r="AF697"/>
  <c r="O697"/>
  <c r="W697" s="1"/>
  <c r="G697"/>
  <c r="H697" s="1"/>
  <c r="AF696"/>
  <c r="V696"/>
  <c r="O696"/>
  <c r="W696" s="1"/>
  <c r="AE696" s="1"/>
  <c r="G696"/>
  <c r="H696" s="1"/>
  <c r="AF695"/>
  <c r="O695"/>
  <c r="W695" s="1"/>
  <c r="G695"/>
  <c r="H695" s="1"/>
  <c r="AF694"/>
  <c r="V694"/>
  <c r="O694"/>
  <c r="W694" s="1"/>
  <c r="AE694" s="1"/>
  <c r="G694"/>
  <c r="H694" s="1"/>
  <c r="AF693"/>
  <c r="O693"/>
  <c r="W693" s="1"/>
  <c r="G693"/>
  <c r="H693" s="1"/>
  <c r="AF692"/>
  <c r="V692"/>
  <c r="O692"/>
  <c r="W692" s="1"/>
  <c r="AE692" s="1"/>
  <c r="G692"/>
  <c r="H692" s="1"/>
  <c r="AF691"/>
  <c r="O691"/>
  <c r="W691" s="1"/>
  <c r="G691"/>
  <c r="H691" s="1"/>
  <c r="AF690"/>
  <c r="V690"/>
  <c r="O690"/>
  <c r="W690" s="1"/>
  <c r="AE690" s="1"/>
  <c r="G690"/>
  <c r="H690" s="1"/>
  <c r="AF689"/>
  <c r="O689"/>
  <c r="W689" s="1"/>
  <c r="AE689" s="1"/>
  <c r="G689"/>
  <c r="H689" s="1"/>
  <c r="AF688"/>
  <c r="V688"/>
  <c r="O688"/>
  <c r="W688" s="1"/>
  <c r="AE688" s="1"/>
  <c r="G688"/>
  <c r="H688" s="1"/>
  <c r="AF687"/>
  <c r="O687"/>
  <c r="W687" s="1"/>
  <c r="AE687" s="1"/>
  <c r="G687"/>
  <c r="H687" s="1"/>
  <c r="AF686"/>
  <c r="V686"/>
  <c r="O686"/>
  <c r="W686" s="1"/>
  <c r="AE686" s="1"/>
  <c r="G686"/>
  <c r="H686" s="1"/>
  <c r="AF685"/>
  <c r="O685"/>
  <c r="W685" s="1"/>
  <c r="AE685" s="1"/>
  <c r="G685"/>
  <c r="H685" s="1"/>
  <c r="AF684"/>
  <c r="V684"/>
  <c r="O684"/>
  <c r="W684" s="1"/>
  <c r="AE684" s="1"/>
  <c r="G684"/>
  <c r="H684" s="1"/>
  <c r="AF683"/>
  <c r="O683"/>
  <c r="W683" s="1"/>
  <c r="AE683" s="1"/>
  <c r="G683"/>
  <c r="H683" s="1"/>
  <c r="AF682"/>
  <c r="V682"/>
  <c r="O682"/>
  <c r="W682" s="1"/>
  <c r="AE682" s="1"/>
  <c r="G682"/>
  <c r="H682" s="1"/>
  <c r="AF681"/>
  <c r="O681"/>
  <c r="W681" s="1"/>
  <c r="AE681" s="1"/>
  <c r="G681"/>
  <c r="H681" s="1"/>
  <c r="AF680"/>
  <c r="V680"/>
  <c r="O680"/>
  <c r="W680" s="1"/>
  <c r="AE680" s="1"/>
  <c r="G680"/>
  <c r="H680" s="1"/>
  <c r="AF679"/>
  <c r="O679"/>
  <c r="W679" s="1"/>
  <c r="AE679" s="1"/>
  <c r="G679"/>
  <c r="H679" s="1"/>
  <c r="AF678"/>
  <c r="V678"/>
  <c r="O678"/>
  <c r="W678" s="1"/>
  <c r="AE678" s="1"/>
  <c r="G678"/>
  <c r="H678" s="1"/>
  <c r="AF677"/>
  <c r="O677"/>
  <c r="W677" s="1"/>
  <c r="AE677" s="1"/>
  <c r="G677"/>
  <c r="H677" s="1"/>
  <c r="AF676"/>
  <c r="V676"/>
  <c r="O676"/>
  <c r="W676" s="1"/>
  <c r="AE676" s="1"/>
  <c r="G676"/>
  <c r="H676" s="1"/>
  <c r="AF675"/>
  <c r="O675"/>
  <c r="W675" s="1"/>
  <c r="AE675" s="1"/>
  <c r="G675"/>
  <c r="H675" s="1"/>
  <c r="AF674"/>
  <c r="V674"/>
  <c r="O674"/>
  <c r="W674" s="1"/>
  <c r="AE674" s="1"/>
  <c r="G674"/>
  <c r="H674" s="1"/>
  <c r="AF673"/>
  <c r="O673"/>
  <c r="W673" s="1"/>
  <c r="AE673" s="1"/>
  <c r="G673"/>
  <c r="H673" s="1"/>
  <c r="AF672"/>
  <c r="V672"/>
  <c r="O672"/>
  <c r="W672" s="1"/>
  <c r="AE672" s="1"/>
  <c r="H672"/>
  <c r="G672"/>
  <c r="AF671"/>
  <c r="O671"/>
  <c r="W671" s="1"/>
  <c r="AE671" s="1"/>
  <c r="G671"/>
  <c r="H671" s="1"/>
  <c r="AF670"/>
  <c r="V670"/>
  <c r="O670"/>
  <c r="W670" s="1"/>
  <c r="AE670" s="1"/>
  <c r="H670"/>
  <c r="G670"/>
  <c r="AF669"/>
  <c r="O669"/>
  <c r="W669" s="1"/>
  <c r="AE669" s="1"/>
  <c r="G669"/>
  <c r="H669" s="1"/>
  <c r="AF668"/>
  <c r="V668"/>
  <c r="O668"/>
  <c r="W668" s="1"/>
  <c r="AE668" s="1"/>
  <c r="H668"/>
  <c r="G668"/>
  <c r="AF667"/>
  <c r="O667"/>
  <c r="W667" s="1"/>
  <c r="AE667" s="1"/>
  <c r="G667"/>
  <c r="H667" s="1"/>
  <c r="AF666"/>
  <c r="V666"/>
  <c r="O666"/>
  <c r="W666" s="1"/>
  <c r="AE666" s="1"/>
  <c r="H666"/>
  <c r="G666"/>
  <c r="AF665"/>
  <c r="O665"/>
  <c r="W665" s="1"/>
  <c r="AE665" s="1"/>
  <c r="G665"/>
  <c r="H665" s="1"/>
  <c r="AF664"/>
  <c r="V664"/>
  <c r="O664"/>
  <c r="W664" s="1"/>
  <c r="AE664" s="1"/>
  <c r="H664"/>
  <c r="G664"/>
  <c r="AF663"/>
  <c r="O663"/>
  <c r="G663"/>
  <c r="H663" s="1"/>
  <c r="AF662"/>
  <c r="V662"/>
  <c r="O662"/>
  <c r="W662" s="1"/>
  <c r="AE662" s="1"/>
  <c r="H662"/>
  <c r="G662"/>
  <c r="AF661"/>
  <c r="W661"/>
  <c r="AE661" s="1"/>
  <c r="O661"/>
  <c r="V661" s="1"/>
  <c r="G661"/>
  <c r="H661" s="1"/>
  <c r="AF660"/>
  <c r="V660"/>
  <c r="O660"/>
  <c r="W660" s="1"/>
  <c r="AE660" s="1"/>
  <c r="G660"/>
  <c r="H660" s="1"/>
  <c r="AF659"/>
  <c r="W659"/>
  <c r="O659"/>
  <c r="V659" s="1"/>
  <c r="G659"/>
  <c r="H659" s="1"/>
  <c r="AF658"/>
  <c r="V658"/>
  <c r="O658"/>
  <c r="W658" s="1"/>
  <c r="AE658" s="1"/>
  <c r="H658"/>
  <c r="G658"/>
  <c r="AF657"/>
  <c r="W657"/>
  <c r="AE657" s="1"/>
  <c r="O657"/>
  <c r="V657" s="1"/>
  <c r="G657"/>
  <c r="H657" s="1"/>
  <c r="AF656"/>
  <c r="V656"/>
  <c r="O656"/>
  <c r="W656" s="1"/>
  <c r="AE656" s="1"/>
  <c r="G656"/>
  <c r="H656" s="1"/>
  <c r="AF655"/>
  <c r="W655"/>
  <c r="O655"/>
  <c r="V655" s="1"/>
  <c r="G655"/>
  <c r="H655" s="1"/>
  <c r="AF654"/>
  <c r="V654"/>
  <c r="O654"/>
  <c r="W654" s="1"/>
  <c r="AE654" s="1"/>
  <c r="H654"/>
  <c r="G654"/>
  <c r="AF653"/>
  <c r="W653"/>
  <c r="AE653" s="1"/>
  <c r="O653"/>
  <c r="V653" s="1"/>
  <c r="G653"/>
  <c r="H653" s="1"/>
  <c r="AF652"/>
  <c r="V652"/>
  <c r="O652"/>
  <c r="W652" s="1"/>
  <c r="AE652" s="1"/>
  <c r="G652"/>
  <c r="H652" s="1"/>
  <c r="AF651"/>
  <c r="W651"/>
  <c r="O651"/>
  <c r="V651" s="1"/>
  <c r="G651"/>
  <c r="H651" s="1"/>
  <c r="AF650"/>
  <c r="V650"/>
  <c r="O650"/>
  <c r="W650" s="1"/>
  <c r="AE650" s="1"/>
  <c r="H650"/>
  <c r="G650"/>
  <c r="AF649"/>
  <c r="W649"/>
  <c r="AE649" s="1"/>
  <c r="O649"/>
  <c r="V649" s="1"/>
  <c r="G649"/>
  <c r="H649" s="1"/>
  <c r="AF648"/>
  <c r="V648"/>
  <c r="O648"/>
  <c r="W648" s="1"/>
  <c r="AE648" s="1"/>
  <c r="G648"/>
  <c r="H648" s="1"/>
  <c r="AF647"/>
  <c r="W647"/>
  <c r="O647"/>
  <c r="V647" s="1"/>
  <c r="G647"/>
  <c r="H647" s="1"/>
  <c r="AF646"/>
  <c r="V646"/>
  <c r="O646"/>
  <c r="W646" s="1"/>
  <c r="AE646" s="1"/>
  <c r="H646"/>
  <c r="G646"/>
  <c r="AF645"/>
  <c r="W645"/>
  <c r="AE645" s="1"/>
  <c r="O645"/>
  <c r="V645" s="1"/>
  <c r="G645"/>
  <c r="H645" s="1"/>
  <c r="AF644"/>
  <c r="V644"/>
  <c r="O644"/>
  <c r="W644" s="1"/>
  <c r="AE644" s="1"/>
  <c r="G644"/>
  <c r="H644" s="1"/>
  <c r="AF643"/>
  <c r="W643"/>
  <c r="O643"/>
  <c r="V643" s="1"/>
  <c r="G643"/>
  <c r="H643" s="1"/>
  <c r="AF642"/>
  <c r="V642"/>
  <c r="O642"/>
  <c r="W642" s="1"/>
  <c r="AE642" s="1"/>
  <c r="H642"/>
  <c r="G642"/>
  <c r="AF641"/>
  <c r="W641"/>
  <c r="AE641" s="1"/>
  <c r="O641"/>
  <c r="V641" s="1"/>
  <c r="G641"/>
  <c r="H641" s="1"/>
  <c r="AF640"/>
  <c r="V640"/>
  <c r="O640"/>
  <c r="W640" s="1"/>
  <c r="AE640" s="1"/>
  <c r="G640"/>
  <c r="H640" s="1"/>
  <c r="AF639"/>
  <c r="W639"/>
  <c r="O639"/>
  <c r="V639" s="1"/>
  <c r="G639"/>
  <c r="H639" s="1"/>
  <c r="AF638"/>
  <c r="V638"/>
  <c r="O638"/>
  <c r="W638" s="1"/>
  <c r="AE638" s="1"/>
  <c r="H638"/>
  <c r="G638"/>
  <c r="AF637"/>
  <c r="W637"/>
  <c r="AE637" s="1"/>
  <c r="O637"/>
  <c r="V637" s="1"/>
  <c r="G637"/>
  <c r="H637" s="1"/>
  <c r="AF636"/>
  <c r="V636"/>
  <c r="O636"/>
  <c r="W636" s="1"/>
  <c r="AE636" s="1"/>
  <c r="G636"/>
  <c r="H636" s="1"/>
  <c r="AF635"/>
  <c r="V635"/>
  <c r="O635"/>
  <c r="W635" s="1"/>
  <c r="AE635" s="1"/>
  <c r="H635"/>
  <c r="G635"/>
  <c r="AF634"/>
  <c r="O634"/>
  <c r="V634" s="1"/>
  <c r="G634"/>
  <c r="H634" s="1"/>
  <c r="AF633"/>
  <c r="V633"/>
  <c r="O633"/>
  <c r="W633" s="1"/>
  <c r="AE633" s="1"/>
  <c r="H633"/>
  <c r="G633"/>
  <c r="AF632"/>
  <c r="O632"/>
  <c r="V632" s="1"/>
  <c r="G632"/>
  <c r="H632" s="1"/>
  <c r="AF631"/>
  <c r="V631"/>
  <c r="O631"/>
  <c r="W631" s="1"/>
  <c r="AE631" s="1"/>
  <c r="H631"/>
  <c r="G631"/>
  <c r="AF630"/>
  <c r="O630"/>
  <c r="V630" s="1"/>
  <c r="G630"/>
  <c r="H630" s="1"/>
  <c r="AF629"/>
  <c r="V629"/>
  <c r="O629"/>
  <c r="W629" s="1"/>
  <c r="AE629" s="1"/>
  <c r="H629"/>
  <c r="G629"/>
  <c r="AF628"/>
  <c r="O628"/>
  <c r="V628" s="1"/>
  <c r="G628"/>
  <c r="H628" s="1"/>
  <c r="AF627"/>
  <c r="V627"/>
  <c r="O627"/>
  <c r="W627" s="1"/>
  <c r="AE627" s="1"/>
  <c r="H627"/>
  <c r="G627"/>
  <c r="AF626"/>
  <c r="O626"/>
  <c r="V626" s="1"/>
  <c r="G626"/>
  <c r="H626" s="1"/>
  <c r="AF625"/>
  <c r="V625"/>
  <c r="O625"/>
  <c r="W625" s="1"/>
  <c r="AE625" s="1"/>
  <c r="H625"/>
  <c r="G625"/>
  <c r="AF624"/>
  <c r="O624"/>
  <c r="V624" s="1"/>
  <c r="G624"/>
  <c r="H624" s="1"/>
  <c r="AF623"/>
  <c r="V623"/>
  <c r="O623"/>
  <c r="W623" s="1"/>
  <c r="AE623" s="1"/>
  <c r="H623"/>
  <c r="G623"/>
  <c r="AF622"/>
  <c r="O622"/>
  <c r="V622" s="1"/>
  <c r="G622"/>
  <c r="H622" s="1"/>
  <c r="AF621"/>
  <c r="V621"/>
  <c r="O621"/>
  <c r="W621" s="1"/>
  <c r="AE621" s="1"/>
  <c r="H621"/>
  <c r="G621"/>
  <c r="AF620"/>
  <c r="O620"/>
  <c r="V620" s="1"/>
  <c r="G620"/>
  <c r="H620" s="1"/>
  <c r="AF619"/>
  <c r="V619"/>
  <c r="O619"/>
  <c r="W619" s="1"/>
  <c r="AE619" s="1"/>
  <c r="H619"/>
  <c r="G619"/>
  <c r="AF618"/>
  <c r="O618"/>
  <c r="V618" s="1"/>
  <c r="G618"/>
  <c r="H618" s="1"/>
  <c r="AF617"/>
  <c r="V617"/>
  <c r="O617"/>
  <c r="W617" s="1"/>
  <c r="AE617" s="1"/>
  <c r="H617"/>
  <c r="G617"/>
  <c r="AF616"/>
  <c r="O616"/>
  <c r="V616" s="1"/>
  <c r="G616"/>
  <c r="H616" s="1"/>
  <c r="AF615"/>
  <c r="V615"/>
  <c r="O615"/>
  <c r="W615" s="1"/>
  <c r="AE615" s="1"/>
  <c r="H615"/>
  <c r="G615"/>
  <c r="AF614"/>
  <c r="O614"/>
  <c r="V614" s="1"/>
  <c r="G614"/>
  <c r="H614" s="1"/>
  <c r="AF613"/>
  <c r="V613"/>
  <c r="O613"/>
  <c r="W613" s="1"/>
  <c r="AE613" s="1"/>
  <c r="H613"/>
  <c r="G613"/>
  <c r="AF612"/>
  <c r="O612"/>
  <c r="V612" s="1"/>
  <c r="G612"/>
  <c r="H612" s="1"/>
  <c r="AF611"/>
  <c r="V611"/>
  <c r="O611"/>
  <c r="W611" s="1"/>
  <c r="AE611" s="1"/>
  <c r="H611"/>
  <c r="G611"/>
  <c r="AF610"/>
  <c r="O610"/>
  <c r="V610" s="1"/>
  <c r="G610"/>
  <c r="H610" s="1"/>
  <c r="AF609"/>
  <c r="V609"/>
  <c r="O609"/>
  <c r="W609" s="1"/>
  <c r="AE609" s="1"/>
  <c r="H609"/>
  <c r="G609"/>
  <c r="AF608"/>
  <c r="O608"/>
  <c r="V608" s="1"/>
  <c r="G608"/>
  <c r="H608" s="1"/>
  <c r="AF607"/>
  <c r="V607"/>
  <c r="O607"/>
  <c r="W607" s="1"/>
  <c r="AE607" s="1"/>
  <c r="H607"/>
  <c r="G607"/>
  <c r="AF606"/>
  <c r="O606"/>
  <c r="V606" s="1"/>
  <c r="G606"/>
  <c r="H606" s="1"/>
  <c r="AF605"/>
  <c r="V605"/>
  <c r="O605"/>
  <c r="W605" s="1"/>
  <c r="AE605" s="1"/>
  <c r="H605"/>
  <c r="G605"/>
  <c r="AF604"/>
  <c r="O604"/>
  <c r="V604" s="1"/>
  <c r="G604"/>
  <c r="H604" s="1"/>
  <c r="AF603"/>
  <c r="V603"/>
  <c r="O603"/>
  <c r="W603" s="1"/>
  <c r="AE603" s="1"/>
  <c r="H603"/>
  <c r="G603"/>
  <c r="AF602"/>
  <c r="O602"/>
  <c r="V602" s="1"/>
  <c r="G602"/>
  <c r="H602" s="1"/>
  <c r="AF601"/>
  <c r="V601"/>
  <c r="O601"/>
  <c r="W601" s="1"/>
  <c r="AE601" s="1"/>
  <c r="H601"/>
  <c r="G601"/>
  <c r="AF600"/>
  <c r="O600"/>
  <c r="V600" s="1"/>
  <c r="G600"/>
  <c r="H600" s="1"/>
  <c r="AF599"/>
  <c r="V599"/>
  <c r="O599"/>
  <c r="W599" s="1"/>
  <c r="AE599" s="1"/>
  <c r="H599"/>
  <c r="G599"/>
  <c r="AF598"/>
  <c r="O598"/>
  <c r="V598" s="1"/>
  <c r="G598"/>
  <c r="H598" s="1"/>
  <c r="AF597"/>
  <c r="V597"/>
  <c r="O597"/>
  <c r="W597" s="1"/>
  <c r="AE597" s="1"/>
  <c r="H597"/>
  <c r="G597"/>
  <c r="AF596"/>
  <c r="O596"/>
  <c r="V596" s="1"/>
  <c r="G596"/>
  <c r="H596" s="1"/>
  <c r="AF595"/>
  <c r="V595"/>
  <c r="O595"/>
  <c r="W595" s="1"/>
  <c r="AE595" s="1"/>
  <c r="H595"/>
  <c r="G595"/>
  <c r="AF594"/>
  <c r="O594"/>
  <c r="V594" s="1"/>
  <c r="G594"/>
  <c r="H594" s="1"/>
  <c r="AF593"/>
  <c r="V593"/>
  <c r="O593"/>
  <c r="W593" s="1"/>
  <c r="AE593" s="1"/>
  <c r="H593"/>
  <c r="G593"/>
  <c r="AF592"/>
  <c r="O592"/>
  <c r="V592" s="1"/>
  <c r="G592"/>
  <c r="H592" s="1"/>
  <c r="AF591"/>
  <c r="V591"/>
  <c r="O591"/>
  <c r="W591" s="1"/>
  <c r="AE591" s="1"/>
  <c r="H591"/>
  <c r="G591"/>
  <c r="AF590"/>
  <c r="O590"/>
  <c r="V590" s="1"/>
  <c r="G590"/>
  <c r="H590" s="1"/>
  <c r="AF589"/>
  <c r="V589"/>
  <c r="O589"/>
  <c r="W589" s="1"/>
  <c r="AE589" s="1"/>
  <c r="H589"/>
  <c r="G589"/>
  <c r="AF588"/>
  <c r="O588"/>
  <c r="V588" s="1"/>
  <c r="G588"/>
  <c r="H588" s="1"/>
  <c r="AF587"/>
  <c r="V587"/>
  <c r="O587"/>
  <c r="W587" s="1"/>
  <c r="AE587" s="1"/>
  <c r="H587"/>
  <c r="G587"/>
  <c r="AF586"/>
  <c r="O586"/>
  <c r="V586" s="1"/>
  <c r="G586"/>
  <c r="H586" s="1"/>
  <c r="AF585"/>
  <c r="V585"/>
  <c r="O585"/>
  <c r="W585" s="1"/>
  <c r="AE585" s="1"/>
  <c r="H585"/>
  <c r="G585"/>
  <c r="AF584"/>
  <c r="O584"/>
  <c r="V584" s="1"/>
  <c r="G584"/>
  <c r="H584" s="1"/>
  <c r="AF583"/>
  <c r="V583"/>
  <c r="O583"/>
  <c r="W583" s="1"/>
  <c r="AE583" s="1"/>
  <c r="H583"/>
  <c r="G583"/>
  <c r="AF582"/>
  <c r="O582"/>
  <c r="V582" s="1"/>
  <c r="G582"/>
  <c r="H582" s="1"/>
  <c r="AF581"/>
  <c r="V581"/>
  <c r="O581"/>
  <c r="W581" s="1"/>
  <c r="AE581" s="1"/>
  <c r="H581"/>
  <c r="G581"/>
  <c r="AF580"/>
  <c r="O580"/>
  <c r="V580" s="1"/>
  <c r="G580"/>
  <c r="H580" s="1"/>
  <c r="AF579"/>
  <c r="V579"/>
  <c r="O579"/>
  <c r="W579" s="1"/>
  <c r="AE579" s="1"/>
  <c r="H579"/>
  <c r="G579"/>
  <c r="AF578"/>
  <c r="O578"/>
  <c r="V578" s="1"/>
  <c r="G578"/>
  <c r="H578" s="1"/>
  <c r="AF577"/>
  <c r="V577"/>
  <c r="O577"/>
  <c r="W577" s="1"/>
  <c r="AE577" s="1"/>
  <c r="H577"/>
  <c r="G577"/>
  <c r="AF576"/>
  <c r="O576"/>
  <c r="V576" s="1"/>
  <c r="G576"/>
  <c r="H576" s="1"/>
  <c r="AF575"/>
  <c r="V575"/>
  <c r="O575"/>
  <c r="W575" s="1"/>
  <c r="AE575" s="1"/>
  <c r="H575"/>
  <c r="G575"/>
  <c r="AF574"/>
  <c r="O574"/>
  <c r="V574" s="1"/>
  <c r="G574"/>
  <c r="H574" s="1"/>
  <c r="AF573"/>
  <c r="V573"/>
  <c r="O573"/>
  <c r="W573" s="1"/>
  <c r="AE573" s="1"/>
  <c r="H573"/>
  <c r="G573"/>
  <c r="AF572"/>
  <c r="O572"/>
  <c r="V572" s="1"/>
  <c r="G572"/>
  <c r="H572" s="1"/>
  <c r="AF571"/>
  <c r="V571"/>
  <c r="O571"/>
  <c r="W571" s="1"/>
  <c r="AE571" s="1"/>
  <c r="H571"/>
  <c r="G571"/>
  <c r="AF570"/>
  <c r="O570"/>
  <c r="V570" s="1"/>
  <c r="G570"/>
  <c r="H570" s="1"/>
  <c r="AF569"/>
  <c r="V569"/>
  <c r="O569"/>
  <c r="W569" s="1"/>
  <c r="AE569" s="1"/>
  <c r="H569"/>
  <c r="G569"/>
  <c r="AF568"/>
  <c r="O568"/>
  <c r="V568" s="1"/>
  <c r="G568"/>
  <c r="H568" s="1"/>
  <c r="AF567"/>
  <c r="V567"/>
  <c r="O567"/>
  <c r="W567" s="1"/>
  <c r="AE567" s="1"/>
  <c r="H567"/>
  <c r="G567"/>
  <c r="AF566"/>
  <c r="O566"/>
  <c r="V566" s="1"/>
  <c r="G566"/>
  <c r="H566" s="1"/>
  <c r="AF565"/>
  <c r="V565"/>
  <c r="O565"/>
  <c r="W565" s="1"/>
  <c r="AE565" s="1"/>
  <c r="H565"/>
  <c r="G565"/>
  <c r="AF564"/>
  <c r="O564"/>
  <c r="V564" s="1"/>
  <c r="G564"/>
  <c r="H564" s="1"/>
  <c r="AF563"/>
  <c r="V563"/>
  <c r="O563"/>
  <c r="W563" s="1"/>
  <c r="AE563" s="1"/>
  <c r="H563"/>
  <c r="G563"/>
  <c r="AF562"/>
  <c r="O562"/>
  <c r="V562" s="1"/>
  <c r="G562"/>
  <c r="H562" s="1"/>
  <c r="AF561"/>
  <c r="V561"/>
  <c r="O561"/>
  <c r="W561" s="1"/>
  <c r="AE561" s="1"/>
  <c r="H561"/>
  <c r="G561"/>
  <c r="AF560"/>
  <c r="O560"/>
  <c r="V560" s="1"/>
  <c r="G560"/>
  <c r="H560" s="1"/>
  <c r="AF559"/>
  <c r="V559"/>
  <c r="O559"/>
  <c r="W559" s="1"/>
  <c r="AE559" s="1"/>
  <c r="H559"/>
  <c r="G559"/>
  <c r="AF558"/>
  <c r="O558"/>
  <c r="V558" s="1"/>
  <c r="G558"/>
  <c r="H558" s="1"/>
  <c r="AF557"/>
  <c r="V557"/>
  <c r="O557"/>
  <c r="W557" s="1"/>
  <c r="AE557" s="1"/>
  <c r="H557"/>
  <c r="G557"/>
  <c r="AF556"/>
  <c r="O556"/>
  <c r="V556" s="1"/>
  <c r="G556"/>
  <c r="H556" s="1"/>
  <c r="AF555"/>
  <c r="V555"/>
  <c r="O555"/>
  <c r="W555" s="1"/>
  <c r="AE555" s="1"/>
  <c r="H555"/>
  <c r="G555"/>
  <c r="AF554"/>
  <c r="O554"/>
  <c r="V554" s="1"/>
  <c r="G554"/>
  <c r="H554" s="1"/>
  <c r="AF553"/>
  <c r="V553"/>
  <c r="O553"/>
  <c r="W553" s="1"/>
  <c r="AE553" s="1"/>
  <c r="H553"/>
  <c r="G553"/>
  <c r="AF552"/>
  <c r="O552"/>
  <c r="V552" s="1"/>
  <c r="G552"/>
  <c r="H552" s="1"/>
  <c r="AF551"/>
  <c r="V551"/>
  <c r="O551"/>
  <c r="W551" s="1"/>
  <c r="AE551" s="1"/>
  <c r="H551"/>
  <c r="G551"/>
  <c r="AF550"/>
  <c r="O550"/>
  <c r="V550" s="1"/>
  <c r="G550"/>
  <c r="H550" s="1"/>
  <c r="AF549"/>
  <c r="V549"/>
  <c r="O549"/>
  <c r="W549" s="1"/>
  <c r="AE549" s="1"/>
  <c r="H549"/>
  <c r="G549"/>
  <c r="AF548"/>
  <c r="O548"/>
  <c r="V548" s="1"/>
  <c r="G548"/>
  <c r="H548" s="1"/>
  <c r="AF547"/>
  <c r="V547"/>
  <c r="O547"/>
  <c r="W547" s="1"/>
  <c r="AE547" s="1"/>
  <c r="H547"/>
  <c r="G547"/>
  <c r="AF546"/>
  <c r="O546"/>
  <c r="V546" s="1"/>
  <c r="G546"/>
  <c r="H546" s="1"/>
  <c r="AF545"/>
  <c r="V545"/>
  <c r="O545"/>
  <c r="W545" s="1"/>
  <c r="AE545" s="1"/>
  <c r="H545"/>
  <c r="G545"/>
  <c r="AF544"/>
  <c r="O544"/>
  <c r="V544" s="1"/>
  <c r="G544"/>
  <c r="H544" s="1"/>
  <c r="AF543"/>
  <c r="V543"/>
  <c r="O543"/>
  <c r="W543" s="1"/>
  <c r="AE543" s="1"/>
  <c r="H543"/>
  <c r="G543"/>
  <c r="AF542"/>
  <c r="O542"/>
  <c r="V542" s="1"/>
  <c r="G542"/>
  <c r="H542" s="1"/>
  <c r="AF541"/>
  <c r="V541"/>
  <c r="O541"/>
  <c r="W541" s="1"/>
  <c r="AE541" s="1"/>
  <c r="H541"/>
  <c r="G541"/>
  <c r="AF540"/>
  <c r="O540"/>
  <c r="V540" s="1"/>
  <c r="G540"/>
  <c r="H540" s="1"/>
  <c r="AF539"/>
  <c r="V539"/>
  <c r="O539"/>
  <c r="W539" s="1"/>
  <c r="AE539" s="1"/>
  <c r="H539"/>
  <c r="G539"/>
  <c r="AF538"/>
  <c r="O538"/>
  <c r="V538" s="1"/>
  <c r="G538"/>
  <c r="H538" s="1"/>
  <c r="AF537"/>
  <c r="V537"/>
  <c r="O537"/>
  <c r="W537" s="1"/>
  <c r="AE537" s="1"/>
  <c r="H537"/>
  <c r="G537"/>
  <c r="AF536"/>
  <c r="O536"/>
  <c r="V536" s="1"/>
  <c r="G536"/>
  <c r="H536" s="1"/>
  <c r="AF535"/>
  <c r="V535"/>
  <c r="O535"/>
  <c r="W535" s="1"/>
  <c r="AE535" s="1"/>
  <c r="H535"/>
  <c r="G535"/>
  <c r="AF534"/>
  <c r="O534"/>
  <c r="V534" s="1"/>
  <c r="G534"/>
  <c r="H534" s="1"/>
  <c r="AF533"/>
  <c r="V533"/>
  <c r="O533"/>
  <c r="W533" s="1"/>
  <c r="AE533" s="1"/>
  <c r="H533"/>
  <c r="G533"/>
  <c r="AF532"/>
  <c r="O532"/>
  <c r="V532" s="1"/>
  <c r="G532"/>
  <c r="H532" s="1"/>
  <c r="AF531"/>
  <c r="V531"/>
  <c r="O531"/>
  <c r="W531" s="1"/>
  <c r="AE531" s="1"/>
  <c r="H531"/>
  <c r="G531"/>
  <c r="AF530"/>
  <c r="O530"/>
  <c r="V530" s="1"/>
  <c r="G530"/>
  <c r="H530" s="1"/>
  <c r="AF529"/>
  <c r="V529"/>
  <c r="O529"/>
  <c r="W529" s="1"/>
  <c r="AE529" s="1"/>
  <c r="H529"/>
  <c r="G529"/>
  <c r="AF528"/>
  <c r="O528"/>
  <c r="V528" s="1"/>
  <c r="G528"/>
  <c r="H528" s="1"/>
  <c r="AF527"/>
  <c r="V527"/>
  <c r="O527"/>
  <c r="W527" s="1"/>
  <c r="AE527" s="1"/>
  <c r="H527"/>
  <c r="G527"/>
  <c r="AF526"/>
  <c r="O526"/>
  <c r="V526" s="1"/>
  <c r="G526"/>
  <c r="H526" s="1"/>
  <c r="AF525"/>
  <c r="V525"/>
  <c r="O525"/>
  <c r="W525" s="1"/>
  <c r="AE525" s="1"/>
  <c r="H525"/>
  <c r="G525"/>
  <c r="AF524"/>
  <c r="O524"/>
  <c r="V524" s="1"/>
  <c r="G524"/>
  <c r="H524" s="1"/>
  <c r="AF523"/>
  <c r="V523"/>
  <c r="O523"/>
  <c r="W523" s="1"/>
  <c r="AE523" s="1"/>
  <c r="H523"/>
  <c r="G523"/>
  <c r="AF522"/>
  <c r="O522"/>
  <c r="V522" s="1"/>
  <c r="G522"/>
  <c r="H522" s="1"/>
  <c r="AF521"/>
  <c r="V521"/>
  <c r="O521"/>
  <c r="W521" s="1"/>
  <c r="AE521" s="1"/>
  <c r="H521"/>
  <c r="G521"/>
  <c r="AF520"/>
  <c r="O520"/>
  <c r="V520" s="1"/>
  <c r="G520"/>
  <c r="H520" s="1"/>
  <c r="AF519"/>
  <c r="V519"/>
  <c r="O519"/>
  <c r="W519" s="1"/>
  <c r="AE519" s="1"/>
  <c r="H519"/>
  <c r="G519"/>
  <c r="AF518"/>
  <c r="O518"/>
  <c r="V518" s="1"/>
  <c r="G518"/>
  <c r="H518" s="1"/>
  <c r="AF517"/>
  <c r="V517"/>
  <c r="O517"/>
  <c r="W517" s="1"/>
  <c r="AE517" s="1"/>
  <c r="H517"/>
  <c r="G517"/>
  <c r="AF516"/>
  <c r="O516"/>
  <c r="V516" s="1"/>
  <c r="G516"/>
  <c r="H516" s="1"/>
  <c r="AF515"/>
  <c r="V515"/>
  <c r="O515"/>
  <c r="W515" s="1"/>
  <c r="AE515" s="1"/>
  <c r="H515"/>
  <c r="G515"/>
  <c r="AF514"/>
  <c r="O514"/>
  <c r="V514" s="1"/>
  <c r="G514"/>
  <c r="H514" s="1"/>
  <c r="AF513"/>
  <c r="V513"/>
  <c r="O513"/>
  <c r="W513" s="1"/>
  <c r="AE513" s="1"/>
  <c r="H513"/>
  <c r="G513"/>
  <c r="AF512"/>
  <c r="O512"/>
  <c r="V512" s="1"/>
  <c r="G512"/>
  <c r="H512" s="1"/>
  <c r="AF511"/>
  <c r="V511"/>
  <c r="O511"/>
  <c r="W511" s="1"/>
  <c r="AE511" s="1"/>
  <c r="H511"/>
  <c r="G511"/>
  <c r="AF510"/>
  <c r="O510"/>
  <c r="V510" s="1"/>
  <c r="G510"/>
  <c r="H510" s="1"/>
  <c r="AF509"/>
  <c r="V509"/>
  <c r="O509"/>
  <c r="W509" s="1"/>
  <c r="AE509" s="1"/>
  <c r="H509"/>
  <c r="G509"/>
  <c r="AF508"/>
  <c r="O508"/>
  <c r="V508" s="1"/>
  <c r="G508"/>
  <c r="H508" s="1"/>
  <c r="AF507"/>
  <c r="V507"/>
  <c r="O507"/>
  <c r="W507" s="1"/>
  <c r="H507"/>
  <c r="G507"/>
  <c r="AF506"/>
  <c r="O506"/>
  <c r="V506" s="1"/>
  <c r="G506"/>
  <c r="H506" s="1"/>
  <c r="AF505"/>
  <c r="V505"/>
  <c r="O505"/>
  <c r="W505" s="1"/>
  <c r="H505"/>
  <c r="G505"/>
  <c r="AF504"/>
  <c r="O504"/>
  <c r="V504" s="1"/>
  <c r="G504"/>
  <c r="H504" s="1"/>
  <c r="AF503"/>
  <c r="V503"/>
  <c r="O503"/>
  <c r="W503" s="1"/>
  <c r="H503"/>
  <c r="G503"/>
  <c r="AF502"/>
  <c r="O502"/>
  <c r="V502" s="1"/>
  <c r="G502"/>
  <c r="H502" s="1"/>
  <c r="AF501"/>
  <c r="V501"/>
  <c r="O501"/>
  <c r="W501" s="1"/>
  <c r="H501"/>
  <c r="G501"/>
  <c r="AF500"/>
  <c r="O500"/>
  <c r="V500" s="1"/>
  <c r="G500"/>
  <c r="H500" s="1"/>
  <c r="AF499"/>
  <c r="V499"/>
  <c r="O499"/>
  <c r="W499" s="1"/>
  <c r="H499"/>
  <c r="G499"/>
  <c r="AF498"/>
  <c r="O498"/>
  <c r="V498" s="1"/>
  <c r="G498"/>
  <c r="H498" s="1"/>
  <c r="AF497"/>
  <c r="V497"/>
  <c r="O497"/>
  <c r="W497" s="1"/>
  <c r="H497"/>
  <c r="G497"/>
  <c r="AF496"/>
  <c r="O496"/>
  <c r="V496" s="1"/>
  <c r="G496"/>
  <c r="H496" s="1"/>
  <c r="AF495"/>
  <c r="V495"/>
  <c r="O495"/>
  <c r="W495" s="1"/>
  <c r="H495"/>
  <c r="G495"/>
  <c r="AF494"/>
  <c r="O494"/>
  <c r="V494" s="1"/>
  <c r="G494"/>
  <c r="H494" s="1"/>
  <c r="AF493"/>
  <c r="V493"/>
  <c r="O493"/>
  <c r="W493" s="1"/>
  <c r="H493"/>
  <c r="G493"/>
  <c r="AF492"/>
  <c r="O492"/>
  <c r="V492" s="1"/>
  <c r="G492"/>
  <c r="H492" s="1"/>
  <c r="AF491"/>
  <c r="V491"/>
  <c r="O491"/>
  <c r="W491" s="1"/>
  <c r="H491"/>
  <c r="G491"/>
  <c r="AF490"/>
  <c r="O490"/>
  <c r="V490" s="1"/>
  <c r="G490"/>
  <c r="H490" s="1"/>
  <c r="AF489"/>
  <c r="V489"/>
  <c r="O489"/>
  <c r="W489" s="1"/>
  <c r="H489"/>
  <c r="G489"/>
  <c r="AF488"/>
  <c r="O488"/>
  <c r="V488" s="1"/>
  <c r="G488"/>
  <c r="H488" s="1"/>
  <c r="AF487"/>
  <c r="V487"/>
  <c r="O487"/>
  <c r="W487" s="1"/>
  <c r="H487"/>
  <c r="G487"/>
  <c r="AF486"/>
  <c r="O486"/>
  <c r="V486" s="1"/>
  <c r="G486"/>
  <c r="H486" s="1"/>
  <c r="AF485"/>
  <c r="V485"/>
  <c r="O485"/>
  <c r="W485" s="1"/>
  <c r="H485"/>
  <c r="G485"/>
  <c r="AF484"/>
  <c r="O484"/>
  <c r="V484" s="1"/>
  <c r="G484"/>
  <c r="H484" s="1"/>
  <c r="AF483"/>
  <c r="V483"/>
  <c r="O483"/>
  <c r="W483" s="1"/>
  <c r="H483"/>
  <c r="G483"/>
  <c r="AF482"/>
  <c r="O482"/>
  <c r="V482" s="1"/>
  <c r="G482"/>
  <c r="H482" s="1"/>
  <c r="AF481"/>
  <c r="V481"/>
  <c r="O481"/>
  <c r="W481" s="1"/>
  <c r="H481"/>
  <c r="G481"/>
  <c r="AF480"/>
  <c r="O480"/>
  <c r="V480" s="1"/>
  <c r="G480"/>
  <c r="H480" s="1"/>
  <c r="AF479"/>
  <c r="V479"/>
  <c r="O479"/>
  <c r="W479" s="1"/>
  <c r="AE479" s="1"/>
  <c r="H479"/>
  <c r="G479"/>
  <c r="AF478"/>
  <c r="W478"/>
  <c r="AE478" s="1"/>
  <c r="O478"/>
  <c r="V478" s="1"/>
  <c r="G478"/>
  <c r="H478" s="1"/>
  <c r="AF477"/>
  <c r="V477"/>
  <c r="O477"/>
  <c r="W477" s="1"/>
  <c r="AE477" s="1"/>
  <c r="G477"/>
  <c r="H477" s="1"/>
  <c r="AF476"/>
  <c r="W476"/>
  <c r="O476"/>
  <c r="V476" s="1"/>
  <c r="G476"/>
  <c r="H476" s="1"/>
  <c r="AF475"/>
  <c r="V475"/>
  <c r="O475"/>
  <c r="W475" s="1"/>
  <c r="AE475" s="1"/>
  <c r="H475"/>
  <c r="G475"/>
  <c r="AF474"/>
  <c r="W474"/>
  <c r="AE474" s="1"/>
  <c r="O474"/>
  <c r="V474" s="1"/>
  <c r="G474"/>
  <c r="H474" s="1"/>
  <c r="AF473"/>
  <c r="V473"/>
  <c r="O473"/>
  <c r="W473" s="1"/>
  <c r="AE473" s="1"/>
  <c r="G473"/>
  <c r="H473" s="1"/>
  <c r="AF472"/>
  <c r="V472"/>
  <c r="O472"/>
  <c r="W472" s="1"/>
  <c r="AE472" s="1"/>
  <c r="G472"/>
  <c r="H472" s="1"/>
  <c r="AF471"/>
  <c r="V471"/>
  <c r="O471"/>
  <c r="W471" s="1"/>
  <c r="AE471" s="1"/>
  <c r="G471"/>
  <c r="H471" s="1"/>
  <c r="AF470"/>
  <c r="V470"/>
  <c r="O470"/>
  <c r="W470" s="1"/>
  <c r="AE470" s="1"/>
  <c r="G470"/>
  <c r="H470" s="1"/>
  <c r="AF469"/>
  <c r="V469"/>
  <c r="O469"/>
  <c r="W469" s="1"/>
  <c r="AE469" s="1"/>
  <c r="G469"/>
  <c r="H469" s="1"/>
  <c r="AF468"/>
  <c r="V468"/>
  <c r="O468"/>
  <c r="W468" s="1"/>
  <c r="AE468" s="1"/>
  <c r="G468"/>
  <c r="H468" s="1"/>
  <c r="AF467"/>
  <c r="V467"/>
  <c r="O467"/>
  <c r="W467" s="1"/>
  <c r="AE467" s="1"/>
  <c r="G467"/>
  <c r="H467" s="1"/>
  <c r="AF466"/>
  <c r="V466"/>
  <c r="O466"/>
  <c r="W466" s="1"/>
  <c r="AE466" s="1"/>
  <c r="G466"/>
  <c r="H466" s="1"/>
  <c r="AF465"/>
  <c r="V465"/>
  <c r="O465"/>
  <c r="W465" s="1"/>
  <c r="AE465" s="1"/>
  <c r="G465"/>
  <c r="H465" s="1"/>
  <c r="AF464"/>
  <c r="V464"/>
  <c r="O464"/>
  <c r="W464" s="1"/>
  <c r="AE464" s="1"/>
  <c r="G464"/>
  <c r="H464" s="1"/>
  <c r="AF463"/>
  <c r="V463"/>
  <c r="O463"/>
  <c r="W463" s="1"/>
  <c r="AE463" s="1"/>
  <c r="G463"/>
  <c r="H463" s="1"/>
  <c r="AF462"/>
  <c r="V462"/>
  <c r="O462"/>
  <c r="W462" s="1"/>
  <c r="AE462" s="1"/>
  <c r="G462"/>
  <c r="H462" s="1"/>
  <c r="AF461"/>
  <c r="V461"/>
  <c r="O461"/>
  <c r="W461" s="1"/>
  <c r="AE461" s="1"/>
  <c r="G461"/>
  <c r="H461" s="1"/>
  <c r="AF460"/>
  <c r="V460"/>
  <c r="O460"/>
  <c r="W460" s="1"/>
  <c r="AE460" s="1"/>
  <c r="G460"/>
  <c r="H460" s="1"/>
  <c r="AF459"/>
  <c r="V459"/>
  <c r="O459"/>
  <c r="W459" s="1"/>
  <c r="AE459" s="1"/>
  <c r="G459"/>
  <c r="H459" s="1"/>
  <c r="AF458"/>
  <c r="V458"/>
  <c r="O458"/>
  <c r="W458" s="1"/>
  <c r="AE458" s="1"/>
  <c r="G458"/>
  <c r="H458" s="1"/>
  <c r="AF457"/>
  <c r="V457"/>
  <c r="O457"/>
  <c r="W457" s="1"/>
  <c r="AE457" s="1"/>
  <c r="G457"/>
  <c r="H457" s="1"/>
  <c r="AF456"/>
  <c r="V456"/>
  <c r="O456"/>
  <c r="W456" s="1"/>
  <c r="AE456" s="1"/>
  <c r="G456"/>
  <c r="H456" s="1"/>
  <c r="AF455"/>
  <c r="V455"/>
  <c r="O455"/>
  <c r="W455" s="1"/>
  <c r="AE455" s="1"/>
  <c r="G455"/>
  <c r="H455" s="1"/>
  <c r="AF454"/>
  <c r="V454"/>
  <c r="O454"/>
  <c r="W454" s="1"/>
  <c r="AE454" s="1"/>
  <c r="G454"/>
  <c r="H454" s="1"/>
  <c r="AF453"/>
  <c r="V453"/>
  <c r="O453"/>
  <c r="W453" s="1"/>
  <c r="AE453" s="1"/>
  <c r="G453"/>
  <c r="H453" s="1"/>
  <c r="AF452"/>
  <c r="V452"/>
  <c r="O452"/>
  <c r="W452" s="1"/>
  <c r="AE452" s="1"/>
  <c r="G452"/>
  <c r="H452" s="1"/>
  <c r="AF451"/>
  <c r="V451"/>
  <c r="O451"/>
  <c r="W451" s="1"/>
  <c r="AE451" s="1"/>
  <c r="G451"/>
  <c r="H451" s="1"/>
  <c r="AF450"/>
  <c r="V450"/>
  <c r="O450"/>
  <c r="W450" s="1"/>
  <c r="AE450" s="1"/>
  <c r="G450"/>
  <c r="H450" s="1"/>
  <c r="AF449"/>
  <c r="V449"/>
  <c r="O449"/>
  <c r="W449" s="1"/>
  <c r="AE449" s="1"/>
  <c r="G449"/>
  <c r="H449" s="1"/>
  <c r="AF448"/>
  <c r="V448"/>
  <c r="O448"/>
  <c r="W448" s="1"/>
  <c r="AE448" s="1"/>
  <c r="G448"/>
  <c r="H448" s="1"/>
  <c r="AF447"/>
  <c r="V447"/>
  <c r="O447"/>
  <c r="W447" s="1"/>
  <c r="AE447" s="1"/>
  <c r="G447"/>
  <c r="H447" s="1"/>
  <c r="AF446"/>
  <c r="V446"/>
  <c r="O446"/>
  <c r="W446" s="1"/>
  <c r="AE446" s="1"/>
  <c r="G446"/>
  <c r="H446" s="1"/>
  <c r="AF445"/>
  <c r="V445"/>
  <c r="O445"/>
  <c r="W445" s="1"/>
  <c r="AE445" s="1"/>
  <c r="G445"/>
  <c r="H445" s="1"/>
  <c r="AF444"/>
  <c r="V444"/>
  <c r="O444"/>
  <c r="W444" s="1"/>
  <c r="AE444" s="1"/>
  <c r="G444"/>
  <c r="H444" s="1"/>
  <c r="AF443"/>
  <c r="V443"/>
  <c r="O443"/>
  <c r="W443" s="1"/>
  <c r="AE443" s="1"/>
  <c r="G443"/>
  <c r="H443" s="1"/>
  <c r="AF442"/>
  <c r="V442"/>
  <c r="O442"/>
  <c r="W442" s="1"/>
  <c r="AE442" s="1"/>
  <c r="G442"/>
  <c r="H442" s="1"/>
  <c r="AF441"/>
  <c r="V441"/>
  <c r="O441"/>
  <c r="W441" s="1"/>
  <c r="AE441" s="1"/>
  <c r="G441"/>
  <c r="H441" s="1"/>
  <c r="AF440"/>
  <c r="V440"/>
  <c r="O440"/>
  <c r="W440" s="1"/>
  <c r="AE440" s="1"/>
  <c r="G440"/>
  <c r="H440" s="1"/>
  <c r="AF439"/>
  <c r="V439"/>
  <c r="O439"/>
  <c r="W439" s="1"/>
  <c r="AE439" s="1"/>
  <c r="G439"/>
  <c r="H439" s="1"/>
  <c r="AF438"/>
  <c r="V438"/>
  <c r="O438"/>
  <c r="W438" s="1"/>
  <c r="AE438" s="1"/>
  <c r="G438"/>
  <c r="H438" s="1"/>
  <c r="AF437"/>
  <c r="V437"/>
  <c r="O437"/>
  <c r="W437" s="1"/>
  <c r="AE437" s="1"/>
  <c r="G437"/>
  <c r="H437" s="1"/>
  <c r="AF436"/>
  <c r="V436"/>
  <c r="O436"/>
  <c r="W436" s="1"/>
  <c r="AE436" s="1"/>
  <c r="G436"/>
  <c r="H436" s="1"/>
  <c r="AF435"/>
  <c r="V435"/>
  <c r="O435"/>
  <c r="W435" s="1"/>
  <c r="AE435" s="1"/>
  <c r="G435"/>
  <c r="H435" s="1"/>
  <c r="AF434"/>
  <c r="V434"/>
  <c r="O434"/>
  <c r="W434" s="1"/>
  <c r="AE434" s="1"/>
  <c r="G434"/>
  <c r="H434" s="1"/>
  <c r="AF433"/>
  <c r="V433"/>
  <c r="O433"/>
  <c r="W433" s="1"/>
  <c r="AE433" s="1"/>
  <c r="G433"/>
  <c r="H433" s="1"/>
  <c r="AF432"/>
  <c r="V432"/>
  <c r="O432"/>
  <c r="W432" s="1"/>
  <c r="AE432" s="1"/>
  <c r="G432"/>
  <c r="H432" s="1"/>
  <c r="AF431"/>
  <c r="V431"/>
  <c r="O431"/>
  <c r="W431" s="1"/>
  <c r="AE431" s="1"/>
  <c r="G431"/>
  <c r="H431" s="1"/>
  <c r="AF430"/>
  <c r="V430"/>
  <c r="O430"/>
  <c r="W430" s="1"/>
  <c r="AE430" s="1"/>
  <c r="G430"/>
  <c r="H430" s="1"/>
  <c r="AF429"/>
  <c r="V429"/>
  <c r="O429"/>
  <c r="W429" s="1"/>
  <c r="AE429" s="1"/>
  <c r="G429"/>
  <c r="H429" s="1"/>
  <c r="AF428"/>
  <c r="V428"/>
  <c r="O428"/>
  <c r="W428" s="1"/>
  <c r="AE428" s="1"/>
  <c r="G428"/>
  <c r="H428" s="1"/>
  <c r="AF427"/>
  <c r="V427"/>
  <c r="O427"/>
  <c r="W427" s="1"/>
  <c r="AE427" s="1"/>
  <c r="G427"/>
  <c r="H427" s="1"/>
  <c r="AF426"/>
  <c r="V426"/>
  <c r="O426"/>
  <c r="W426" s="1"/>
  <c r="AE426" s="1"/>
  <c r="G426"/>
  <c r="H426" s="1"/>
  <c r="AF425"/>
  <c r="V425"/>
  <c r="O425"/>
  <c r="W425" s="1"/>
  <c r="AE425" s="1"/>
  <c r="G425"/>
  <c r="H425" s="1"/>
  <c r="AF424"/>
  <c r="V424"/>
  <c r="O424"/>
  <c r="W424" s="1"/>
  <c r="AE424" s="1"/>
  <c r="G424"/>
  <c r="H424" s="1"/>
  <c r="AF423"/>
  <c r="V423"/>
  <c r="O423"/>
  <c r="W423" s="1"/>
  <c r="AE423" s="1"/>
  <c r="G423"/>
  <c r="H423" s="1"/>
  <c r="AF422"/>
  <c r="V422"/>
  <c r="O422"/>
  <c r="W422" s="1"/>
  <c r="AE422" s="1"/>
  <c r="G422"/>
  <c r="H422" s="1"/>
  <c r="AF421"/>
  <c r="V421"/>
  <c r="O421"/>
  <c r="W421" s="1"/>
  <c r="AE421" s="1"/>
  <c r="G421"/>
  <c r="H421" s="1"/>
  <c r="AF420"/>
  <c r="V420"/>
  <c r="O420"/>
  <c r="W420" s="1"/>
  <c r="AE420" s="1"/>
  <c r="G420"/>
  <c r="H420" s="1"/>
  <c r="AF419"/>
  <c r="V419"/>
  <c r="O419"/>
  <c r="W419" s="1"/>
  <c r="AE419" s="1"/>
  <c r="G419"/>
  <c r="H419" s="1"/>
  <c r="AF418"/>
  <c r="V418"/>
  <c r="O418"/>
  <c r="W418" s="1"/>
  <c r="AE418" s="1"/>
  <c r="G418"/>
  <c r="H418" s="1"/>
  <c r="AF417"/>
  <c r="V417"/>
  <c r="O417"/>
  <c r="W417" s="1"/>
  <c r="AE417" s="1"/>
  <c r="G417"/>
  <c r="H417" s="1"/>
  <c r="AF416"/>
  <c r="V416"/>
  <c r="O416"/>
  <c r="W416" s="1"/>
  <c r="AE416" s="1"/>
  <c r="H416"/>
  <c r="G416"/>
  <c r="AF415"/>
  <c r="O415"/>
  <c r="W415" s="1"/>
  <c r="G415"/>
  <c r="H415" s="1"/>
  <c r="AF414"/>
  <c r="V414"/>
  <c r="O414"/>
  <c r="W414" s="1"/>
  <c r="AE414" s="1"/>
  <c r="H414"/>
  <c r="G414"/>
  <c r="AF413"/>
  <c r="O413"/>
  <c r="W413" s="1"/>
  <c r="G413"/>
  <c r="H413" s="1"/>
  <c r="AF412"/>
  <c r="V412"/>
  <c r="O412"/>
  <c r="W412" s="1"/>
  <c r="AE412" s="1"/>
  <c r="H412"/>
  <c r="G412"/>
  <c r="AF411"/>
  <c r="O411"/>
  <c r="W411" s="1"/>
  <c r="G411"/>
  <c r="H411" s="1"/>
  <c r="AF410"/>
  <c r="V410"/>
  <c r="O410"/>
  <c r="W410" s="1"/>
  <c r="AE410" s="1"/>
  <c r="H410"/>
  <c r="G410"/>
  <c r="AF409"/>
  <c r="O409"/>
  <c r="W409" s="1"/>
  <c r="G409"/>
  <c r="H409" s="1"/>
  <c r="AF408"/>
  <c r="V408"/>
  <c r="O408"/>
  <c r="W408" s="1"/>
  <c r="AE408" s="1"/>
  <c r="H408"/>
  <c r="G408"/>
  <c r="AF407"/>
  <c r="O407"/>
  <c r="W407" s="1"/>
  <c r="G407"/>
  <c r="H407" s="1"/>
  <c r="AF406"/>
  <c r="V406"/>
  <c r="O406"/>
  <c r="W406" s="1"/>
  <c r="AE406" s="1"/>
  <c r="H406"/>
  <c r="G406"/>
  <c r="AF405"/>
  <c r="O405"/>
  <c r="W405" s="1"/>
  <c r="G405"/>
  <c r="H405" s="1"/>
  <c r="AF404"/>
  <c r="V404"/>
  <c r="O404"/>
  <c r="W404" s="1"/>
  <c r="AE404" s="1"/>
  <c r="H404"/>
  <c r="G404"/>
  <c r="AF403"/>
  <c r="O403"/>
  <c r="W403" s="1"/>
  <c r="G403"/>
  <c r="H403" s="1"/>
  <c r="AF402"/>
  <c r="V402"/>
  <c r="O402"/>
  <c r="W402" s="1"/>
  <c r="AE402" s="1"/>
  <c r="H402"/>
  <c r="G402"/>
  <c r="AF401"/>
  <c r="O401"/>
  <c r="W401" s="1"/>
  <c r="G401"/>
  <c r="H401" s="1"/>
  <c r="AF400"/>
  <c r="V400"/>
  <c r="O400"/>
  <c r="W400" s="1"/>
  <c r="AE400" s="1"/>
  <c r="H400"/>
  <c r="G400"/>
  <c r="AF399"/>
  <c r="O399"/>
  <c r="W399" s="1"/>
  <c r="G399"/>
  <c r="H399" s="1"/>
  <c r="AF398"/>
  <c r="V398"/>
  <c r="O398"/>
  <c r="W398" s="1"/>
  <c r="AE398" s="1"/>
  <c r="H398"/>
  <c r="G398"/>
  <c r="AF397"/>
  <c r="O397"/>
  <c r="W397" s="1"/>
  <c r="G397"/>
  <c r="H397" s="1"/>
  <c r="AF396"/>
  <c r="V396"/>
  <c r="O396"/>
  <c r="W396" s="1"/>
  <c r="AE396" s="1"/>
  <c r="H396"/>
  <c r="G396"/>
  <c r="AF395"/>
  <c r="O395"/>
  <c r="W395" s="1"/>
  <c r="G395"/>
  <c r="H395" s="1"/>
  <c r="AF394"/>
  <c r="V394"/>
  <c r="O394"/>
  <c r="W394" s="1"/>
  <c r="AE394" s="1"/>
  <c r="H394"/>
  <c r="G394"/>
  <c r="AF393"/>
  <c r="O393"/>
  <c r="W393" s="1"/>
  <c r="G393"/>
  <c r="H393" s="1"/>
  <c r="AF392"/>
  <c r="V392"/>
  <c r="O392"/>
  <c r="W392" s="1"/>
  <c r="AE392" s="1"/>
  <c r="H392"/>
  <c r="G392"/>
  <c r="AF391"/>
  <c r="O391"/>
  <c r="W391" s="1"/>
  <c r="G391"/>
  <c r="H391" s="1"/>
  <c r="AF390"/>
  <c r="V390"/>
  <c r="O390"/>
  <c r="W390" s="1"/>
  <c r="AE390" s="1"/>
  <c r="H390"/>
  <c r="G390"/>
  <c r="AF389"/>
  <c r="O389"/>
  <c r="W389" s="1"/>
  <c r="G389"/>
  <c r="H389" s="1"/>
  <c r="AF388"/>
  <c r="V388"/>
  <c r="O388"/>
  <c r="W388" s="1"/>
  <c r="AE388" s="1"/>
  <c r="H388"/>
  <c r="G388"/>
  <c r="AF387"/>
  <c r="O387"/>
  <c r="W387" s="1"/>
  <c r="G387"/>
  <c r="H387" s="1"/>
  <c r="AF386"/>
  <c r="V386"/>
  <c r="O386"/>
  <c r="W386" s="1"/>
  <c r="AE386" s="1"/>
  <c r="H386"/>
  <c r="G386"/>
  <c r="AF385"/>
  <c r="O385"/>
  <c r="W385" s="1"/>
  <c r="G385"/>
  <c r="H385" s="1"/>
  <c r="AF384"/>
  <c r="V384"/>
  <c r="O384"/>
  <c r="W384" s="1"/>
  <c r="AE384" s="1"/>
  <c r="H384"/>
  <c r="G384"/>
  <c r="AF383"/>
  <c r="O383"/>
  <c r="W383" s="1"/>
  <c r="G383"/>
  <c r="H383" s="1"/>
  <c r="AF382"/>
  <c r="V382"/>
  <c r="O382"/>
  <c r="W382" s="1"/>
  <c r="AE382" s="1"/>
  <c r="H382"/>
  <c r="G382"/>
  <c r="AF381"/>
  <c r="O381"/>
  <c r="W381" s="1"/>
  <c r="G381"/>
  <c r="H381" s="1"/>
  <c r="AF380"/>
  <c r="V380"/>
  <c r="O380"/>
  <c r="W380" s="1"/>
  <c r="AE380" s="1"/>
  <c r="H380"/>
  <c r="G380"/>
  <c r="AF379"/>
  <c r="O379"/>
  <c r="W379" s="1"/>
  <c r="G379"/>
  <c r="H379" s="1"/>
  <c r="AF378"/>
  <c r="V378"/>
  <c r="O378"/>
  <c r="W378" s="1"/>
  <c r="AE378" s="1"/>
  <c r="H378"/>
  <c r="G378"/>
  <c r="AF377"/>
  <c r="O377"/>
  <c r="W377" s="1"/>
  <c r="AE377" s="1"/>
  <c r="G377"/>
  <c r="H377" s="1"/>
  <c r="AF376"/>
  <c r="V376"/>
  <c r="O376"/>
  <c r="W376" s="1"/>
  <c r="AE376" s="1"/>
  <c r="H376"/>
  <c r="G376"/>
  <c r="AF375"/>
  <c r="O375"/>
  <c r="W375" s="1"/>
  <c r="AE375" s="1"/>
  <c r="G375"/>
  <c r="H375" s="1"/>
  <c r="AF374"/>
  <c r="V374"/>
  <c r="O374"/>
  <c r="W374" s="1"/>
  <c r="AE374" s="1"/>
  <c r="H374"/>
  <c r="G374"/>
  <c r="AF373"/>
  <c r="O373"/>
  <c r="W373" s="1"/>
  <c r="AE373" s="1"/>
  <c r="G373"/>
  <c r="H373" s="1"/>
  <c r="AF372"/>
  <c r="V372"/>
  <c r="O372"/>
  <c r="W372" s="1"/>
  <c r="AE372" s="1"/>
  <c r="H372"/>
  <c r="G372"/>
  <c r="AF371"/>
  <c r="O371"/>
  <c r="W371" s="1"/>
  <c r="AE371" s="1"/>
  <c r="G371"/>
  <c r="H371" s="1"/>
  <c r="AF370"/>
  <c r="V370"/>
  <c r="O370"/>
  <c r="W370" s="1"/>
  <c r="AE370" s="1"/>
  <c r="H370"/>
  <c r="G370"/>
  <c r="AF369"/>
  <c r="O369"/>
  <c r="W369" s="1"/>
  <c r="AE369" s="1"/>
  <c r="G369"/>
  <c r="H369" s="1"/>
  <c r="AF368"/>
  <c r="V368"/>
  <c r="O368"/>
  <c r="W368" s="1"/>
  <c r="AE368" s="1"/>
  <c r="H368"/>
  <c r="G368"/>
  <c r="AF367"/>
  <c r="O367"/>
  <c r="W367" s="1"/>
  <c r="AE367" s="1"/>
  <c r="G367"/>
  <c r="H367" s="1"/>
  <c r="AF366"/>
  <c r="V366"/>
  <c r="O366"/>
  <c r="W366" s="1"/>
  <c r="AE366" s="1"/>
  <c r="H366"/>
  <c r="G366"/>
  <c r="AF365"/>
  <c r="O365"/>
  <c r="W365" s="1"/>
  <c r="AE365" s="1"/>
  <c r="G365"/>
  <c r="H365" s="1"/>
  <c r="AF364"/>
  <c r="V364"/>
  <c r="O364"/>
  <c r="W364" s="1"/>
  <c r="AE364" s="1"/>
  <c r="H364"/>
  <c r="G364"/>
  <c r="AF363"/>
  <c r="O363"/>
  <c r="W363" s="1"/>
  <c r="AE363" s="1"/>
  <c r="G363"/>
  <c r="H363" s="1"/>
  <c r="AF362"/>
  <c r="V362"/>
  <c r="O362"/>
  <c r="W362" s="1"/>
  <c r="AE362" s="1"/>
  <c r="H362"/>
  <c r="G362"/>
  <c r="AF361"/>
  <c r="O361"/>
  <c r="W361" s="1"/>
  <c r="AE361" s="1"/>
  <c r="G361"/>
  <c r="H361" s="1"/>
  <c r="AF360"/>
  <c r="V360"/>
  <c r="O360"/>
  <c r="W360" s="1"/>
  <c r="AE360" s="1"/>
  <c r="H360"/>
  <c r="G360"/>
  <c r="AF359"/>
  <c r="O359"/>
  <c r="W359" s="1"/>
  <c r="AE359" s="1"/>
  <c r="G359"/>
  <c r="H359" s="1"/>
  <c r="AF358"/>
  <c r="V358"/>
  <c r="O358"/>
  <c r="W358" s="1"/>
  <c r="AE358" s="1"/>
  <c r="H358"/>
  <c r="G358"/>
  <c r="AF357"/>
  <c r="O357"/>
  <c r="W357" s="1"/>
  <c r="AE357" s="1"/>
  <c r="G357"/>
  <c r="H357" s="1"/>
  <c r="AF356"/>
  <c r="V356"/>
  <c r="O356"/>
  <c r="W356" s="1"/>
  <c r="AE356" s="1"/>
  <c r="H356"/>
  <c r="G356"/>
  <c r="AF355"/>
  <c r="O355"/>
  <c r="W355" s="1"/>
  <c r="AE355" s="1"/>
  <c r="G355"/>
  <c r="H355" s="1"/>
  <c r="AF354"/>
  <c r="V354"/>
  <c r="O354"/>
  <c r="W354" s="1"/>
  <c r="AE354" s="1"/>
  <c r="H354"/>
  <c r="G354"/>
  <c r="AF353"/>
  <c r="O353"/>
  <c r="W353" s="1"/>
  <c r="AE353" s="1"/>
  <c r="G353"/>
  <c r="H353" s="1"/>
  <c r="AF352"/>
  <c r="V352"/>
  <c r="O352"/>
  <c r="W352" s="1"/>
  <c r="AE352" s="1"/>
  <c r="H352"/>
  <c r="G352"/>
  <c r="AF351"/>
  <c r="O351"/>
  <c r="W351" s="1"/>
  <c r="AE351" s="1"/>
  <c r="G351"/>
  <c r="H351" s="1"/>
  <c r="AF350"/>
  <c r="V350"/>
  <c r="O350"/>
  <c r="W350" s="1"/>
  <c r="AE350" s="1"/>
  <c r="H350"/>
  <c r="G350"/>
  <c r="AF349"/>
  <c r="O349"/>
  <c r="W349" s="1"/>
  <c r="AE349" s="1"/>
  <c r="G349"/>
  <c r="H349" s="1"/>
  <c r="AF348"/>
  <c r="V348"/>
  <c r="O348"/>
  <c r="W348" s="1"/>
  <c r="AE348" s="1"/>
  <c r="H348"/>
  <c r="G348"/>
  <c r="AF347"/>
  <c r="O347"/>
  <c r="W347" s="1"/>
  <c r="AE347" s="1"/>
  <c r="G347"/>
  <c r="H347" s="1"/>
  <c r="AF346"/>
  <c r="V346"/>
  <c r="O346"/>
  <c r="W346" s="1"/>
  <c r="AE346" s="1"/>
  <c r="H346"/>
  <c r="G346"/>
  <c r="AF345"/>
  <c r="O345"/>
  <c r="W345" s="1"/>
  <c r="AE345" s="1"/>
  <c r="G345"/>
  <c r="H345" s="1"/>
  <c r="AF344"/>
  <c r="V344"/>
  <c r="O344"/>
  <c r="W344" s="1"/>
  <c r="AE344" s="1"/>
  <c r="H344"/>
  <c r="G344"/>
  <c r="AF343"/>
  <c r="O343"/>
  <c r="W343" s="1"/>
  <c r="AE343" s="1"/>
  <c r="G343"/>
  <c r="H343" s="1"/>
  <c r="AF342"/>
  <c r="V342"/>
  <c r="O342"/>
  <c r="W342" s="1"/>
  <c r="AE342" s="1"/>
  <c r="H342"/>
  <c r="G342"/>
  <c r="AF341"/>
  <c r="O341"/>
  <c r="W341" s="1"/>
  <c r="AE341" s="1"/>
  <c r="G341"/>
  <c r="H341" s="1"/>
  <c r="AF340"/>
  <c r="V340"/>
  <c r="O340"/>
  <c r="W340" s="1"/>
  <c r="AE340" s="1"/>
  <c r="H340"/>
  <c r="G340"/>
  <c r="AF339"/>
  <c r="O339"/>
  <c r="W339" s="1"/>
  <c r="AE339" s="1"/>
  <c r="G339"/>
  <c r="H339" s="1"/>
  <c r="AF338"/>
  <c r="V338"/>
  <c r="O338"/>
  <c r="W338" s="1"/>
  <c r="AE338" s="1"/>
  <c r="H338"/>
  <c r="G338"/>
  <c r="AF337"/>
  <c r="O337"/>
  <c r="W337" s="1"/>
  <c r="AE337" s="1"/>
  <c r="G337"/>
  <c r="H337" s="1"/>
  <c r="AF336"/>
  <c r="V336"/>
  <c r="O336"/>
  <c r="W336" s="1"/>
  <c r="AE336" s="1"/>
  <c r="H336"/>
  <c r="G336"/>
  <c r="AF335"/>
  <c r="O335"/>
  <c r="W335" s="1"/>
  <c r="AE335" s="1"/>
  <c r="G335"/>
  <c r="H335" s="1"/>
  <c r="AF334"/>
  <c r="V334"/>
  <c r="O334"/>
  <c r="W334" s="1"/>
  <c r="AE334" s="1"/>
  <c r="H334"/>
  <c r="G334"/>
  <c r="AF333"/>
  <c r="O333"/>
  <c r="W333" s="1"/>
  <c r="AE333" s="1"/>
  <c r="G333"/>
  <c r="H333" s="1"/>
  <c r="AF332"/>
  <c r="V332"/>
  <c r="O332"/>
  <c r="W332" s="1"/>
  <c r="AE332" s="1"/>
  <c r="H332"/>
  <c r="G332"/>
  <c r="AF331"/>
  <c r="O331"/>
  <c r="W331" s="1"/>
  <c r="AE331" s="1"/>
  <c r="G331"/>
  <c r="H331" s="1"/>
  <c r="AF330"/>
  <c r="V330"/>
  <c r="O330"/>
  <c r="W330" s="1"/>
  <c r="AE330" s="1"/>
  <c r="H330"/>
  <c r="G330"/>
  <c r="AF329"/>
  <c r="O329"/>
  <c r="W329" s="1"/>
  <c r="AE329" s="1"/>
  <c r="G329"/>
  <c r="H329" s="1"/>
  <c r="AF328"/>
  <c r="V328"/>
  <c r="O328"/>
  <c r="W328" s="1"/>
  <c r="AE328" s="1"/>
  <c r="H328"/>
  <c r="G328"/>
  <c r="AF327"/>
  <c r="O327"/>
  <c r="W327" s="1"/>
  <c r="AE327" s="1"/>
  <c r="G327"/>
  <c r="H327" s="1"/>
  <c r="AF326"/>
  <c r="V326"/>
  <c r="O326"/>
  <c r="W326" s="1"/>
  <c r="AE326" s="1"/>
  <c r="H326"/>
  <c r="G326"/>
  <c r="AF325"/>
  <c r="O325"/>
  <c r="W325" s="1"/>
  <c r="AE325" s="1"/>
  <c r="G325"/>
  <c r="H325" s="1"/>
  <c r="AF324"/>
  <c r="V324"/>
  <c r="O324"/>
  <c r="W324" s="1"/>
  <c r="AE324" s="1"/>
  <c r="H324"/>
  <c r="G324"/>
  <c r="AF323"/>
  <c r="O323"/>
  <c r="W323" s="1"/>
  <c r="AE323" s="1"/>
  <c r="G323"/>
  <c r="H323" s="1"/>
  <c r="AF322"/>
  <c r="V322"/>
  <c r="O322"/>
  <c r="W322" s="1"/>
  <c r="AE322" s="1"/>
  <c r="H322"/>
  <c r="G322"/>
  <c r="AF321"/>
  <c r="O321"/>
  <c r="W321" s="1"/>
  <c r="AE321" s="1"/>
  <c r="G321"/>
  <c r="H321" s="1"/>
  <c r="AF320"/>
  <c r="V320"/>
  <c r="O320"/>
  <c r="W320" s="1"/>
  <c r="AE320" s="1"/>
  <c r="H320"/>
  <c r="G320"/>
  <c r="AF319"/>
  <c r="O319"/>
  <c r="W319" s="1"/>
  <c r="AE319" s="1"/>
  <c r="G319"/>
  <c r="H319" s="1"/>
  <c r="AF318"/>
  <c r="V318"/>
  <c r="O318"/>
  <c r="W318" s="1"/>
  <c r="AE318" s="1"/>
  <c r="H318"/>
  <c r="G318"/>
  <c r="AF317"/>
  <c r="O317"/>
  <c r="W317" s="1"/>
  <c r="AE317" s="1"/>
  <c r="G317"/>
  <c r="H317" s="1"/>
  <c r="AF316"/>
  <c r="V316"/>
  <c r="O316"/>
  <c r="W316" s="1"/>
  <c r="AE316" s="1"/>
  <c r="H316"/>
  <c r="G316"/>
  <c r="AF315"/>
  <c r="O315"/>
  <c r="W315" s="1"/>
  <c r="AE315" s="1"/>
  <c r="G315"/>
  <c r="H315" s="1"/>
  <c r="AF314"/>
  <c r="V314"/>
  <c r="O314"/>
  <c r="W314" s="1"/>
  <c r="AE314" s="1"/>
  <c r="H314"/>
  <c r="G314"/>
  <c r="AF313"/>
  <c r="O313"/>
  <c r="W313" s="1"/>
  <c r="AE313" s="1"/>
  <c r="G313"/>
  <c r="H313" s="1"/>
  <c r="AF312"/>
  <c r="V312"/>
  <c r="O312"/>
  <c r="W312" s="1"/>
  <c r="AE312" s="1"/>
  <c r="H312"/>
  <c r="G312"/>
  <c r="AF311"/>
  <c r="O311"/>
  <c r="W311" s="1"/>
  <c r="AE311" s="1"/>
  <c r="G311"/>
  <c r="H311" s="1"/>
  <c r="AF310"/>
  <c r="V310"/>
  <c r="O310"/>
  <c r="W310" s="1"/>
  <c r="AE310" s="1"/>
  <c r="H310"/>
  <c r="G310"/>
  <c r="AF309"/>
  <c r="O309"/>
  <c r="W309" s="1"/>
  <c r="AE309" s="1"/>
  <c r="G309"/>
  <c r="H309" s="1"/>
  <c r="AF308"/>
  <c r="V308"/>
  <c r="O308"/>
  <c r="W308" s="1"/>
  <c r="AE308" s="1"/>
  <c r="H308"/>
  <c r="G308"/>
  <c r="AF307"/>
  <c r="O307"/>
  <c r="W307" s="1"/>
  <c r="AE307" s="1"/>
  <c r="G307"/>
  <c r="H307" s="1"/>
  <c r="AF306"/>
  <c r="V306"/>
  <c r="O306"/>
  <c r="W306" s="1"/>
  <c r="AE306" s="1"/>
  <c r="H306"/>
  <c r="G306"/>
  <c r="AF305"/>
  <c r="O305"/>
  <c r="W305" s="1"/>
  <c r="AE305" s="1"/>
  <c r="G305"/>
  <c r="H305" s="1"/>
  <c r="AF304"/>
  <c r="V304"/>
  <c r="O304"/>
  <c r="W304" s="1"/>
  <c r="AE304" s="1"/>
  <c r="H304"/>
  <c r="G304"/>
  <c r="AF303"/>
  <c r="O303"/>
  <c r="W303" s="1"/>
  <c r="AE303" s="1"/>
  <c r="G303"/>
  <c r="H303" s="1"/>
  <c r="AF302"/>
  <c r="V302"/>
  <c r="O302"/>
  <c r="W302" s="1"/>
  <c r="AE302" s="1"/>
  <c r="H302"/>
  <c r="G302"/>
  <c r="AF301"/>
  <c r="O301"/>
  <c r="W301" s="1"/>
  <c r="AE301" s="1"/>
  <c r="G301"/>
  <c r="H301" s="1"/>
  <c r="AF300"/>
  <c r="V300"/>
  <c r="O300"/>
  <c r="W300" s="1"/>
  <c r="AE300" s="1"/>
  <c r="H300"/>
  <c r="G300"/>
  <c r="AF299"/>
  <c r="O299"/>
  <c r="W299" s="1"/>
  <c r="AE299" s="1"/>
  <c r="G299"/>
  <c r="H299" s="1"/>
  <c r="AF298"/>
  <c r="V298"/>
  <c r="O298"/>
  <c r="W298" s="1"/>
  <c r="AE298" s="1"/>
  <c r="H298"/>
  <c r="G298"/>
  <c r="AF297"/>
  <c r="O297"/>
  <c r="W297" s="1"/>
  <c r="AE297" s="1"/>
  <c r="G297"/>
  <c r="H297" s="1"/>
  <c r="AF296"/>
  <c r="V296"/>
  <c r="O296"/>
  <c r="W296" s="1"/>
  <c r="AE296" s="1"/>
  <c r="H296"/>
  <c r="G296"/>
  <c r="AF295"/>
  <c r="O295"/>
  <c r="W295" s="1"/>
  <c r="AE295" s="1"/>
  <c r="G295"/>
  <c r="H295" s="1"/>
  <c r="AF294"/>
  <c r="V294"/>
  <c r="O294"/>
  <c r="W294" s="1"/>
  <c r="AE294" s="1"/>
  <c r="H294"/>
  <c r="G294"/>
  <c r="AF293"/>
  <c r="O293"/>
  <c r="W293" s="1"/>
  <c r="AE293" s="1"/>
  <c r="G293"/>
  <c r="H293" s="1"/>
  <c r="AF292"/>
  <c r="V292"/>
  <c r="O292"/>
  <c r="W292" s="1"/>
  <c r="AE292" s="1"/>
  <c r="H292"/>
  <c r="G292"/>
  <c r="AF291"/>
  <c r="O291"/>
  <c r="W291" s="1"/>
  <c r="AE291" s="1"/>
  <c r="G291"/>
  <c r="H291" s="1"/>
  <c r="AF290"/>
  <c r="V290"/>
  <c r="O290"/>
  <c r="W290" s="1"/>
  <c r="AE290" s="1"/>
  <c r="H290"/>
  <c r="G290"/>
  <c r="AF289"/>
  <c r="O289"/>
  <c r="W289" s="1"/>
  <c r="AE289" s="1"/>
  <c r="G289"/>
  <c r="H289" s="1"/>
  <c r="AF288"/>
  <c r="V288"/>
  <c r="O288"/>
  <c r="W288" s="1"/>
  <c r="AE288" s="1"/>
  <c r="H288"/>
  <c r="G288"/>
  <c r="AF287"/>
  <c r="O287"/>
  <c r="W287" s="1"/>
  <c r="AE287" s="1"/>
  <c r="G287"/>
  <c r="H287" s="1"/>
  <c r="AF286"/>
  <c r="V286"/>
  <c r="O286"/>
  <c r="W286" s="1"/>
  <c r="AE286" s="1"/>
  <c r="H286"/>
  <c r="G286"/>
  <c r="AF285"/>
  <c r="O285"/>
  <c r="W285" s="1"/>
  <c r="AE285" s="1"/>
  <c r="G285"/>
  <c r="H285" s="1"/>
  <c r="AF284"/>
  <c r="V284"/>
  <c r="O284"/>
  <c r="W284" s="1"/>
  <c r="AE284" s="1"/>
  <c r="H284"/>
  <c r="G284"/>
  <c r="AF283"/>
  <c r="O283"/>
  <c r="W283" s="1"/>
  <c r="AE283" s="1"/>
  <c r="G283"/>
  <c r="H283" s="1"/>
  <c r="AF282"/>
  <c r="V282"/>
  <c r="O282"/>
  <c r="W282" s="1"/>
  <c r="AE282" s="1"/>
  <c r="H282"/>
  <c r="G282"/>
  <c r="AF281"/>
  <c r="O281"/>
  <c r="W281" s="1"/>
  <c r="AE281" s="1"/>
  <c r="G281"/>
  <c r="H281" s="1"/>
  <c r="AF280"/>
  <c r="V280"/>
  <c r="O280"/>
  <c r="W280" s="1"/>
  <c r="AE280" s="1"/>
  <c r="H280"/>
  <c r="G280"/>
  <c r="AF279"/>
  <c r="O279"/>
  <c r="W279" s="1"/>
  <c r="AE279" s="1"/>
  <c r="G279"/>
  <c r="H279" s="1"/>
  <c r="AF278"/>
  <c r="V278"/>
  <c r="O278"/>
  <c r="W278" s="1"/>
  <c r="AE278" s="1"/>
  <c r="H278"/>
  <c r="G278"/>
  <c r="AF277"/>
  <c r="O277"/>
  <c r="W277" s="1"/>
  <c r="AE277" s="1"/>
  <c r="G277"/>
  <c r="H277" s="1"/>
  <c r="AF276"/>
  <c r="V276"/>
  <c r="O276"/>
  <c r="W276" s="1"/>
  <c r="AE276" s="1"/>
  <c r="H276"/>
  <c r="G276"/>
  <c r="AF275"/>
  <c r="O275"/>
  <c r="W275" s="1"/>
  <c r="AE275" s="1"/>
  <c r="G275"/>
  <c r="H275" s="1"/>
  <c r="AF274"/>
  <c r="V274"/>
  <c r="O274"/>
  <c r="W274" s="1"/>
  <c r="AE274" s="1"/>
  <c r="H274"/>
  <c r="G274"/>
  <c r="AF273"/>
  <c r="O273"/>
  <c r="W273" s="1"/>
  <c r="AE273" s="1"/>
  <c r="G273"/>
  <c r="H273" s="1"/>
  <c r="AF272"/>
  <c r="V272"/>
  <c r="O272"/>
  <c r="W272" s="1"/>
  <c r="AE272" s="1"/>
  <c r="H272"/>
  <c r="G272"/>
  <c r="AF271"/>
  <c r="O271"/>
  <c r="W271" s="1"/>
  <c r="AE271" s="1"/>
  <c r="G271"/>
  <c r="H271" s="1"/>
  <c r="AF270"/>
  <c r="V270"/>
  <c r="O270"/>
  <c r="W270" s="1"/>
  <c r="AE270" s="1"/>
  <c r="H270"/>
  <c r="G270"/>
  <c r="AF269"/>
  <c r="O269"/>
  <c r="W269" s="1"/>
  <c r="AE269" s="1"/>
  <c r="G269"/>
  <c r="H269" s="1"/>
  <c r="AF268"/>
  <c r="V268"/>
  <c r="O268"/>
  <c r="W268" s="1"/>
  <c r="AE268" s="1"/>
  <c r="H268"/>
  <c r="G268"/>
  <c r="AF267"/>
  <c r="O267"/>
  <c r="W267" s="1"/>
  <c r="AE267" s="1"/>
  <c r="G267"/>
  <c r="H267" s="1"/>
  <c r="AF266"/>
  <c r="V266"/>
  <c r="O266"/>
  <c r="W266" s="1"/>
  <c r="AE266" s="1"/>
  <c r="H266"/>
  <c r="G266"/>
  <c r="AF265"/>
  <c r="O265"/>
  <c r="W265" s="1"/>
  <c r="AE265" s="1"/>
  <c r="G265"/>
  <c r="H265" s="1"/>
  <c r="AF264"/>
  <c r="V264"/>
  <c r="O264"/>
  <c r="W264" s="1"/>
  <c r="AE264" s="1"/>
  <c r="H264"/>
  <c r="G264"/>
  <c r="AF263"/>
  <c r="O263"/>
  <c r="W263" s="1"/>
  <c r="AE263" s="1"/>
  <c r="G263"/>
  <c r="H263" s="1"/>
  <c r="AF262"/>
  <c r="V262"/>
  <c r="O262"/>
  <c r="W262" s="1"/>
  <c r="AE262" s="1"/>
  <c r="H262"/>
  <c r="G262"/>
  <c r="AF261"/>
  <c r="O261"/>
  <c r="W261" s="1"/>
  <c r="AE261" s="1"/>
  <c r="G261"/>
  <c r="H261" s="1"/>
  <c r="AF260"/>
  <c r="V260"/>
  <c r="O260"/>
  <c r="W260" s="1"/>
  <c r="AE260" s="1"/>
  <c r="H260"/>
  <c r="G260"/>
  <c r="AF259"/>
  <c r="O259"/>
  <c r="W259" s="1"/>
  <c r="AE259" s="1"/>
  <c r="G259"/>
  <c r="H259" s="1"/>
  <c r="AF258"/>
  <c r="V258"/>
  <c r="O258"/>
  <c r="W258" s="1"/>
  <c r="AE258" s="1"/>
  <c r="H258"/>
  <c r="G258"/>
  <c r="AF257"/>
  <c r="O257"/>
  <c r="W257" s="1"/>
  <c r="AE257" s="1"/>
  <c r="G257"/>
  <c r="H257" s="1"/>
  <c r="AF256"/>
  <c r="V256"/>
  <c r="O256"/>
  <c r="W256" s="1"/>
  <c r="AE256" s="1"/>
  <c r="H256"/>
  <c r="G256"/>
  <c r="AF255"/>
  <c r="O255"/>
  <c r="W255" s="1"/>
  <c r="AE255" s="1"/>
  <c r="G255"/>
  <c r="H255" s="1"/>
  <c r="AF254"/>
  <c r="V254"/>
  <c r="O254"/>
  <c r="W254" s="1"/>
  <c r="AE254" s="1"/>
  <c r="H254"/>
  <c r="G254"/>
  <c r="AF253"/>
  <c r="O253"/>
  <c r="W253" s="1"/>
  <c r="AE253" s="1"/>
  <c r="G253"/>
  <c r="H253" s="1"/>
  <c r="AF252"/>
  <c r="V252"/>
  <c r="O252"/>
  <c r="W252" s="1"/>
  <c r="AE252" s="1"/>
  <c r="H252"/>
  <c r="G252"/>
  <c r="AF251"/>
  <c r="O251"/>
  <c r="W251" s="1"/>
  <c r="AE251" s="1"/>
  <c r="G251"/>
  <c r="H251" s="1"/>
  <c r="AF250"/>
  <c r="V250"/>
  <c r="O250"/>
  <c r="W250" s="1"/>
  <c r="AE250" s="1"/>
  <c r="H250"/>
  <c r="G250"/>
  <c r="AF249"/>
  <c r="O249"/>
  <c r="W249" s="1"/>
  <c r="AE249" s="1"/>
  <c r="G249"/>
  <c r="H249" s="1"/>
  <c r="AF248"/>
  <c r="V248"/>
  <c r="O248"/>
  <c r="W248" s="1"/>
  <c r="AE248" s="1"/>
  <c r="H248"/>
  <c r="G248"/>
  <c r="AF247"/>
  <c r="O247"/>
  <c r="W247" s="1"/>
  <c r="AE247" s="1"/>
  <c r="G247"/>
  <c r="H247" s="1"/>
  <c r="AF246"/>
  <c r="V246"/>
  <c r="O246"/>
  <c r="W246" s="1"/>
  <c r="AE246" s="1"/>
  <c r="H246"/>
  <c r="G246"/>
  <c r="AF245"/>
  <c r="O245"/>
  <c r="W245" s="1"/>
  <c r="AE245" s="1"/>
  <c r="G245"/>
  <c r="H245" s="1"/>
  <c r="AF244"/>
  <c r="V244"/>
  <c r="O244"/>
  <c r="W244" s="1"/>
  <c r="AE244" s="1"/>
  <c r="H244"/>
  <c r="G244"/>
  <c r="AF243"/>
  <c r="O243"/>
  <c r="W243" s="1"/>
  <c r="AE243" s="1"/>
  <c r="G243"/>
  <c r="H243" s="1"/>
  <c r="AF242"/>
  <c r="V242"/>
  <c r="O242"/>
  <c r="W242" s="1"/>
  <c r="AE242" s="1"/>
  <c r="H242"/>
  <c r="G242"/>
  <c r="AF241"/>
  <c r="O241"/>
  <c r="W241" s="1"/>
  <c r="AE241" s="1"/>
  <c r="G241"/>
  <c r="H241" s="1"/>
  <c r="AF240"/>
  <c r="V240"/>
  <c r="O240"/>
  <c r="W240" s="1"/>
  <c r="AE240" s="1"/>
  <c r="H240"/>
  <c r="G240"/>
  <c r="AF239"/>
  <c r="O239"/>
  <c r="W239" s="1"/>
  <c r="AE239" s="1"/>
  <c r="G239"/>
  <c r="H239" s="1"/>
  <c r="AF238"/>
  <c r="V238"/>
  <c r="O238"/>
  <c r="W238" s="1"/>
  <c r="AE238" s="1"/>
  <c r="H238"/>
  <c r="G238"/>
  <c r="AF237"/>
  <c r="O237"/>
  <c r="W237" s="1"/>
  <c r="AE237" s="1"/>
  <c r="G237"/>
  <c r="H237" s="1"/>
  <c r="AF236"/>
  <c r="V236"/>
  <c r="O236"/>
  <c r="W236" s="1"/>
  <c r="AE236" s="1"/>
  <c r="H236"/>
  <c r="G236"/>
  <c r="AF235"/>
  <c r="O235"/>
  <c r="W235" s="1"/>
  <c r="AE235" s="1"/>
  <c r="G235"/>
  <c r="H235" s="1"/>
  <c r="AF234"/>
  <c r="V234"/>
  <c r="O234"/>
  <c r="W234" s="1"/>
  <c r="AE234" s="1"/>
  <c r="H234"/>
  <c r="G234"/>
  <c r="AF233"/>
  <c r="O233"/>
  <c r="W233" s="1"/>
  <c r="AE233" s="1"/>
  <c r="G233"/>
  <c r="H233" s="1"/>
  <c r="AF232"/>
  <c r="V232"/>
  <c r="O232"/>
  <c r="W232" s="1"/>
  <c r="AE232" s="1"/>
  <c r="H232"/>
  <c r="G232"/>
  <c r="AF231"/>
  <c r="O231"/>
  <c r="W231" s="1"/>
  <c r="AE231" s="1"/>
  <c r="G231"/>
  <c r="H231" s="1"/>
  <c r="AF230"/>
  <c r="V230"/>
  <c r="O230"/>
  <c r="W230" s="1"/>
  <c r="AE230" s="1"/>
  <c r="H230"/>
  <c r="G230"/>
  <c r="AF229"/>
  <c r="O229"/>
  <c r="W229" s="1"/>
  <c r="AE229" s="1"/>
  <c r="G229"/>
  <c r="H229" s="1"/>
  <c r="AF228"/>
  <c r="V228"/>
  <c r="O228"/>
  <c r="W228" s="1"/>
  <c r="AE228" s="1"/>
  <c r="H228"/>
  <c r="G228"/>
  <c r="AF227"/>
  <c r="O227"/>
  <c r="W227" s="1"/>
  <c r="AE227" s="1"/>
  <c r="G227"/>
  <c r="H227" s="1"/>
  <c r="AF226"/>
  <c r="V226"/>
  <c r="O226"/>
  <c r="W226" s="1"/>
  <c r="AE226" s="1"/>
  <c r="H226"/>
  <c r="G226"/>
  <c r="AF225"/>
  <c r="O225"/>
  <c r="W225" s="1"/>
  <c r="AE225" s="1"/>
  <c r="G225"/>
  <c r="H225" s="1"/>
  <c r="AF224"/>
  <c r="V224"/>
  <c r="O224"/>
  <c r="W224" s="1"/>
  <c r="AE224" s="1"/>
  <c r="H224"/>
  <c r="G224"/>
  <c r="AF223"/>
  <c r="O223"/>
  <c r="W223" s="1"/>
  <c r="AE223" s="1"/>
  <c r="G223"/>
  <c r="H223" s="1"/>
  <c r="AF222"/>
  <c r="V222"/>
  <c r="O222"/>
  <c r="W222" s="1"/>
  <c r="H222"/>
  <c r="G222"/>
  <c r="AF221"/>
  <c r="O221"/>
  <c r="W221" s="1"/>
  <c r="AE221" s="1"/>
  <c r="G221"/>
  <c r="H221" s="1"/>
  <c r="AF220"/>
  <c r="V220"/>
  <c r="O220"/>
  <c r="W220" s="1"/>
  <c r="AE220" s="1"/>
  <c r="H220"/>
  <c r="G220"/>
  <c r="AF219"/>
  <c r="O219"/>
  <c r="W219" s="1"/>
  <c r="AE219" s="1"/>
  <c r="G219"/>
  <c r="H219" s="1"/>
  <c r="AF218"/>
  <c r="V218"/>
  <c r="O218"/>
  <c r="W218" s="1"/>
  <c r="AE218" s="1"/>
  <c r="H218"/>
  <c r="G218"/>
  <c r="AF217"/>
  <c r="O217"/>
  <c r="W217" s="1"/>
  <c r="AE217" s="1"/>
  <c r="G217"/>
  <c r="H217" s="1"/>
  <c r="AF216"/>
  <c r="V216"/>
  <c r="O216"/>
  <c r="W216" s="1"/>
  <c r="AE216" s="1"/>
  <c r="H216"/>
  <c r="G216"/>
  <c r="AF215"/>
  <c r="O215"/>
  <c r="W215" s="1"/>
  <c r="AE215" s="1"/>
  <c r="G215"/>
  <c r="H215" s="1"/>
  <c r="AF214"/>
  <c r="V214"/>
  <c r="O214"/>
  <c r="W214" s="1"/>
  <c r="AE214" s="1"/>
  <c r="H214"/>
  <c r="G214"/>
  <c r="AF213"/>
  <c r="O213"/>
  <c r="W213" s="1"/>
  <c r="AE213" s="1"/>
  <c r="G213"/>
  <c r="H213" s="1"/>
  <c r="AF212"/>
  <c r="V212"/>
  <c r="O212"/>
  <c r="W212" s="1"/>
  <c r="AE212" s="1"/>
  <c r="H212"/>
  <c r="G212"/>
  <c r="AF211"/>
  <c r="O211"/>
  <c r="W211" s="1"/>
  <c r="AE211" s="1"/>
  <c r="G211"/>
  <c r="H211" s="1"/>
  <c r="AF210"/>
  <c r="V210"/>
  <c r="O210"/>
  <c r="W210" s="1"/>
  <c r="AE210" s="1"/>
  <c r="H210"/>
  <c r="G210"/>
  <c r="AF209"/>
  <c r="O209"/>
  <c r="W209" s="1"/>
  <c r="AE209" s="1"/>
  <c r="G209"/>
  <c r="H209" s="1"/>
  <c r="AF208"/>
  <c r="V208"/>
  <c r="O208"/>
  <c r="W208" s="1"/>
  <c r="AE208" s="1"/>
  <c r="H208"/>
  <c r="G208"/>
  <c r="AF207"/>
  <c r="O207"/>
  <c r="W207" s="1"/>
  <c r="AE207" s="1"/>
  <c r="G207"/>
  <c r="H207" s="1"/>
  <c r="AF206"/>
  <c r="V206"/>
  <c r="O206"/>
  <c r="W206" s="1"/>
  <c r="AE206" s="1"/>
  <c r="H206"/>
  <c r="G206"/>
  <c r="AF205"/>
  <c r="O205"/>
  <c r="W205" s="1"/>
  <c r="AE205" s="1"/>
  <c r="G205"/>
  <c r="H205" s="1"/>
  <c r="AF204"/>
  <c r="V204"/>
  <c r="O204"/>
  <c r="W204" s="1"/>
  <c r="AE204" s="1"/>
  <c r="H204"/>
  <c r="G204"/>
  <c r="AF203"/>
  <c r="O203"/>
  <c r="W203" s="1"/>
  <c r="AE203" s="1"/>
  <c r="G203"/>
  <c r="H203" s="1"/>
  <c r="AF202"/>
  <c r="V202"/>
  <c r="O202"/>
  <c r="W202" s="1"/>
  <c r="AE202" s="1"/>
  <c r="H202"/>
  <c r="G202"/>
  <c r="AF201"/>
  <c r="O201"/>
  <c r="W201" s="1"/>
  <c r="AE201" s="1"/>
  <c r="G201"/>
  <c r="H201" s="1"/>
  <c r="AF200"/>
  <c r="V200"/>
  <c r="O200"/>
  <c r="W200" s="1"/>
  <c r="AE200" s="1"/>
  <c r="H200"/>
  <c r="G200"/>
  <c r="AF199"/>
  <c r="O199"/>
  <c r="W199" s="1"/>
  <c r="AE199" s="1"/>
  <c r="G199"/>
  <c r="H199" s="1"/>
  <c r="AF198"/>
  <c r="V198"/>
  <c r="O198"/>
  <c r="W198" s="1"/>
  <c r="AE198" s="1"/>
  <c r="H198"/>
  <c r="G198"/>
  <c r="AF197"/>
  <c r="O197"/>
  <c r="W197" s="1"/>
  <c r="AE197" s="1"/>
  <c r="G197"/>
  <c r="H197" s="1"/>
  <c r="AF196"/>
  <c r="V196"/>
  <c r="O196"/>
  <c r="W196" s="1"/>
  <c r="AE196" s="1"/>
  <c r="H196"/>
  <c r="G196"/>
  <c r="AF195"/>
  <c r="O195"/>
  <c r="W195" s="1"/>
  <c r="AE195" s="1"/>
  <c r="G195"/>
  <c r="H195" s="1"/>
  <c r="AF194"/>
  <c r="V194"/>
  <c r="O194"/>
  <c r="W194" s="1"/>
  <c r="AE194" s="1"/>
  <c r="H194"/>
  <c r="G194"/>
  <c r="AF193"/>
  <c r="O193"/>
  <c r="W193" s="1"/>
  <c r="AE193" s="1"/>
  <c r="G193"/>
  <c r="H193" s="1"/>
  <c r="AF192"/>
  <c r="V192"/>
  <c r="O192"/>
  <c r="W192" s="1"/>
  <c r="AE192" s="1"/>
  <c r="H192"/>
  <c r="G192"/>
  <c r="AF191"/>
  <c r="O191"/>
  <c r="W191" s="1"/>
  <c r="AE191" s="1"/>
  <c r="G191"/>
  <c r="H191" s="1"/>
  <c r="AF190"/>
  <c r="V190"/>
  <c r="O190"/>
  <c r="W190" s="1"/>
  <c r="AE190" s="1"/>
  <c r="H190"/>
  <c r="G190"/>
  <c r="AF189"/>
  <c r="O189"/>
  <c r="W189" s="1"/>
  <c r="AE189" s="1"/>
  <c r="G189"/>
  <c r="H189" s="1"/>
  <c r="AF188"/>
  <c r="V188"/>
  <c r="O188"/>
  <c r="W188" s="1"/>
  <c r="AE188" s="1"/>
  <c r="H188"/>
  <c r="G188"/>
  <c r="AF187"/>
  <c r="O187"/>
  <c r="W187" s="1"/>
  <c r="AE187" s="1"/>
  <c r="G187"/>
  <c r="H187" s="1"/>
  <c r="AF186"/>
  <c r="V186"/>
  <c r="O186"/>
  <c r="W186" s="1"/>
  <c r="AE186" s="1"/>
  <c r="H186"/>
  <c r="G186"/>
  <c r="AF185"/>
  <c r="O185"/>
  <c r="W185" s="1"/>
  <c r="AE185" s="1"/>
  <c r="G185"/>
  <c r="H185" s="1"/>
  <c r="AF184"/>
  <c r="V184"/>
  <c r="O184"/>
  <c r="W184" s="1"/>
  <c r="AE184" s="1"/>
  <c r="H184"/>
  <c r="G184"/>
  <c r="AF183"/>
  <c r="O183"/>
  <c r="W183" s="1"/>
  <c r="AE183" s="1"/>
  <c r="G183"/>
  <c r="H183" s="1"/>
  <c r="AF182"/>
  <c r="V182"/>
  <c r="O182"/>
  <c r="W182" s="1"/>
  <c r="AE182" s="1"/>
  <c r="H182"/>
  <c r="G182"/>
  <c r="AF181"/>
  <c r="O181"/>
  <c r="W181" s="1"/>
  <c r="AE181" s="1"/>
  <c r="G181"/>
  <c r="H181" s="1"/>
  <c r="AF180"/>
  <c r="V180"/>
  <c r="O180"/>
  <c r="W180" s="1"/>
  <c r="AE180" s="1"/>
  <c r="H180"/>
  <c r="G180"/>
  <c r="AF179"/>
  <c r="O179"/>
  <c r="W179" s="1"/>
  <c r="AE179" s="1"/>
  <c r="G179"/>
  <c r="H179" s="1"/>
  <c r="AF178"/>
  <c r="V178"/>
  <c r="O178"/>
  <c r="W178" s="1"/>
  <c r="H178"/>
  <c r="G178"/>
  <c r="AF177"/>
  <c r="O177"/>
  <c r="V177" s="1"/>
  <c r="G177"/>
  <c r="H177" s="1"/>
  <c r="AF176"/>
  <c r="V176"/>
  <c r="O176"/>
  <c r="W176" s="1"/>
  <c r="H176"/>
  <c r="G176"/>
  <c r="AF175"/>
  <c r="O175"/>
  <c r="V175" s="1"/>
  <c r="G175"/>
  <c r="H175" s="1"/>
  <c r="AF174"/>
  <c r="V174"/>
  <c r="O174"/>
  <c r="W174" s="1"/>
  <c r="H174"/>
  <c r="G174"/>
  <c r="AF173"/>
  <c r="O173"/>
  <c r="V173" s="1"/>
  <c r="G173"/>
  <c r="H173" s="1"/>
  <c r="AF172"/>
  <c r="V172"/>
  <c r="O172"/>
  <c r="W172" s="1"/>
  <c r="H172"/>
  <c r="G172"/>
  <c r="AF171"/>
  <c r="O171"/>
  <c r="V171" s="1"/>
  <c r="G171"/>
  <c r="H171" s="1"/>
  <c r="AF170"/>
  <c r="V170"/>
  <c r="O170"/>
  <c r="W170" s="1"/>
  <c r="H170"/>
  <c r="G170"/>
  <c r="AF169"/>
  <c r="O169"/>
  <c r="V169" s="1"/>
  <c r="G169"/>
  <c r="H169" s="1"/>
  <c r="AF168"/>
  <c r="V168"/>
  <c r="O168"/>
  <c r="W168" s="1"/>
  <c r="H168"/>
  <c r="G168"/>
  <c r="AF167"/>
  <c r="O167"/>
  <c r="V167" s="1"/>
  <c r="G167"/>
  <c r="H167" s="1"/>
  <c r="AF166"/>
  <c r="V166"/>
  <c r="O166"/>
  <c r="W166" s="1"/>
  <c r="H166"/>
  <c r="G166"/>
  <c r="AF165"/>
  <c r="O165"/>
  <c r="V165" s="1"/>
  <c r="G165"/>
  <c r="H165" s="1"/>
  <c r="AF164"/>
  <c r="V164"/>
  <c r="O164"/>
  <c r="W164" s="1"/>
  <c r="H164"/>
  <c r="G164"/>
  <c r="AF163"/>
  <c r="O163"/>
  <c r="V163" s="1"/>
  <c r="G163"/>
  <c r="H163" s="1"/>
  <c r="AF162"/>
  <c r="V162"/>
  <c r="O162"/>
  <c r="W162" s="1"/>
  <c r="H162"/>
  <c r="G162"/>
  <c r="AF161"/>
  <c r="O161"/>
  <c r="V161" s="1"/>
  <c r="G161"/>
  <c r="H161" s="1"/>
  <c r="AF160"/>
  <c r="V160"/>
  <c r="O160"/>
  <c r="W160" s="1"/>
  <c r="H160"/>
  <c r="G160"/>
  <c r="AF159"/>
  <c r="O159"/>
  <c r="V159" s="1"/>
  <c r="G159"/>
  <c r="H159" s="1"/>
  <c r="AF158"/>
  <c r="V158"/>
  <c r="O158"/>
  <c r="W158" s="1"/>
  <c r="H158"/>
  <c r="G158"/>
  <c r="AF157"/>
  <c r="O157"/>
  <c r="V157" s="1"/>
  <c r="G157"/>
  <c r="H157" s="1"/>
  <c r="AF156"/>
  <c r="V156"/>
  <c r="O156"/>
  <c r="W156" s="1"/>
  <c r="H156"/>
  <c r="G156"/>
  <c r="AF155"/>
  <c r="O155"/>
  <c r="V155" s="1"/>
  <c r="G155"/>
  <c r="H155" s="1"/>
  <c r="AF154"/>
  <c r="V154"/>
  <c r="O154"/>
  <c r="W154" s="1"/>
  <c r="H154"/>
  <c r="G154"/>
  <c r="AF153"/>
  <c r="O153"/>
  <c r="V153" s="1"/>
  <c r="G153"/>
  <c r="H153" s="1"/>
  <c r="AF152"/>
  <c r="V152"/>
  <c r="O152"/>
  <c r="W152" s="1"/>
  <c r="H152"/>
  <c r="G152"/>
  <c r="AF151"/>
  <c r="O151"/>
  <c r="V151" s="1"/>
  <c r="G151"/>
  <c r="H151" s="1"/>
  <c r="AF150"/>
  <c r="V150"/>
  <c r="O150"/>
  <c r="W150" s="1"/>
  <c r="H150"/>
  <c r="G150"/>
  <c r="AF149"/>
  <c r="O149"/>
  <c r="V149" s="1"/>
  <c r="G149"/>
  <c r="H149" s="1"/>
  <c r="AF148"/>
  <c r="V148"/>
  <c r="O148"/>
  <c r="W148" s="1"/>
  <c r="H148"/>
  <c r="G148"/>
  <c r="AF147"/>
  <c r="O147"/>
  <c r="V147" s="1"/>
  <c r="G147"/>
  <c r="H147" s="1"/>
  <c r="AF146"/>
  <c r="V146"/>
  <c r="O146"/>
  <c r="W146" s="1"/>
  <c r="H146"/>
  <c r="G146"/>
  <c r="AF145"/>
  <c r="O145"/>
  <c r="V145" s="1"/>
  <c r="G145"/>
  <c r="H145" s="1"/>
  <c r="AF144"/>
  <c r="V144"/>
  <c r="O144"/>
  <c r="W144" s="1"/>
  <c r="H144"/>
  <c r="G144"/>
  <c r="AF143"/>
  <c r="O143"/>
  <c r="V143" s="1"/>
  <c r="G143"/>
  <c r="H143" s="1"/>
  <c r="AF142"/>
  <c r="V142"/>
  <c r="O142"/>
  <c r="W142" s="1"/>
  <c r="H142"/>
  <c r="G142"/>
  <c r="AF141"/>
  <c r="O141"/>
  <c r="V141" s="1"/>
  <c r="G141"/>
  <c r="H141" s="1"/>
  <c r="AF140"/>
  <c r="V140"/>
  <c r="O140"/>
  <c r="W140" s="1"/>
  <c r="H140"/>
  <c r="G140"/>
  <c r="AF139"/>
  <c r="O139"/>
  <c r="V139" s="1"/>
  <c r="G139"/>
  <c r="H139" s="1"/>
  <c r="AF138"/>
  <c r="V138"/>
  <c r="O138"/>
  <c r="W138" s="1"/>
  <c r="H138"/>
  <c r="G138"/>
  <c r="AF137"/>
  <c r="O137"/>
  <c r="V137" s="1"/>
  <c r="G137"/>
  <c r="H137" s="1"/>
  <c r="AF136"/>
  <c r="V136"/>
  <c r="O136"/>
  <c r="W136" s="1"/>
  <c r="H136"/>
  <c r="G136"/>
  <c r="AF135"/>
  <c r="O135"/>
  <c r="V135" s="1"/>
  <c r="G135"/>
  <c r="H135" s="1"/>
  <c r="AF134"/>
  <c r="V134"/>
  <c r="O134"/>
  <c r="W134" s="1"/>
  <c r="AE134" s="1"/>
  <c r="H134"/>
  <c r="G134"/>
  <c r="AF133"/>
  <c r="O133"/>
  <c r="V133" s="1"/>
  <c r="G133"/>
  <c r="H133" s="1"/>
  <c r="AF132"/>
  <c r="V132"/>
  <c r="O132"/>
  <c r="W132" s="1"/>
  <c r="AE132" s="1"/>
  <c r="H132"/>
  <c r="G132"/>
  <c r="AF131"/>
  <c r="O131"/>
  <c r="V131" s="1"/>
  <c r="G131"/>
  <c r="H131" s="1"/>
  <c r="AF130"/>
  <c r="V130"/>
  <c r="O130"/>
  <c r="W130" s="1"/>
  <c r="AE130" s="1"/>
  <c r="H130"/>
  <c r="G130"/>
  <c r="AF129"/>
  <c r="O129"/>
  <c r="V129" s="1"/>
  <c r="G129"/>
  <c r="H129" s="1"/>
  <c r="AF128"/>
  <c r="V128"/>
  <c r="O128"/>
  <c r="W128" s="1"/>
  <c r="AE128" s="1"/>
  <c r="H128"/>
  <c r="G128"/>
  <c r="AF127"/>
  <c r="O127"/>
  <c r="V127" s="1"/>
  <c r="G127"/>
  <c r="H127" s="1"/>
  <c r="AF126"/>
  <c r="V126"/>
  <c r="O126"/>
  <c r="W126" s="1"/>
  <c r="AE126" s="1"/>
  <c r="H126"/>
  <c r="G126"/>
  <c r="AF125"/>
  <c r="O125"/>
  <c r="V125" s="1"/>
  <c r="G125"/>
  <c r="H125" s="1"/>
  <c r="AF124"/>
  <c r="V124"/>
  <c r="O124"/>
  <c r="W124" s="1"/>
  <c r="AE124" s="1"/>
  <c r="H124"/>
  <c r="G124"/>
  <c r="AF123"/>
  <c r="O123"/>
  <c r="V123" s="1"/>
  <c r="G123"/>
  <c r="H123" s="1"/>
  <c r="AF122"/>
  <c r="V122"/>
  <c r="O122"/>
  <c r="W122" s="1"/>
  <c r="AE122" s="1"/>
  <c r="H122"/>
  <c r="G122"/>
  <c r="AF121"/>
  <c r="O121"/>
  <c r="V121" s="1"/>
  <c r="G121"/>
  <c r="H121" s="1"/>
  <c r="AF120"/>
  <c r="V120"/>
  <c r="O120"/>
  <c r="W120" s="1"/>
  <c r="AE120" s="1"/>
  <c r="H120"/>
  <c r="G120"/>
  <c r="AF119"/>
  <c r="O119"/>
  <c r="V119" s="1"/>
  <c r="G119"/>
  <c r="H119" s="1"/>
  <c r="AF118"/>
  <c r="V118"/>
  <c r="O118"/>
  <c r="W118" s="1"/>
  <c r="AE118" s="1"/>
  <c r="H118"/>
  <c r="G118"/>
  <c r="AF117"/>
  <c r="O117"/>
  <c r="V117" s="1"/>
  <c r="G117"/>
  <c r="H117" s="1"/>
  <c r="AF116"/>
  <c r="V116"/>
  <c r="O116"/>
  <c r="W116" s="1"/>
  <c r="AE116" s="1"/>
  <c r="H116"/>
  <c r="G116"/>
  <c r="AF115"/>
  <c r="O115"/>
  <c r="V115" s="1"/>
  <c r="G115"/>
  <c r="H115" s="1"/>
  <c r="AF114"/>
  <c r="V114"/>
  <c r="O114"/>
  <c r="W114" s="1"/>
  <c r="AE114" s="1"/>
  <c r="H114"/>
  <c r="G114"/>
  <c r="AF113"/>
  <c r="O113"/>
  <c r="V113" s="1"/>
  <c r="G113"/>
  <c r="H113" s="1"/>
  <c r="AF112"/>
  <c r="V112"/>
  <c r="O112"/>
  <c r="W112" s="1"/>
  <c r="AE112" s="1"/>
  <c r="H112"/>
  <c r="G112"/>
  <c r="AF111"/>
  <c r="O111"/>
  <c r="V111" s="1"/>
  <c r="G111"/>
  <c r="H111" s="1"/>
  <c r="AF110"/>
  <c r="V110"/>
  <c r="O110"/>
  <c r="W110" s="1"/>
  <c r="AE110" s="1"/>
  <c r="H110"/>
  <c r="G110"/>
  <c r="AF109"/>
  <c r="O109"/>
  <c r="V109" s="1"/>
  <c r="G109"/>
  <c r="H109" s="1"/>
  <c r="AF108"/>
  <c r="V108"/>
  <c r="O108"/>
  <c r="W108" s="1"/>
  <c r="AE108" s="1"/>
  <c r="H108"/>
  <c r="G108"/>
  <c r="AF107"/>
  <c r="O107"/>
  <c r="V107" s="1"/>
  <c r="G107"/>
  <c r="H107" s="1"/>
  <c r="AF106"/>
  <c r="V106"/>
  <c r="O106"/>
  <c r="W106" s="1"/>
  <c r="AE106" s="1"/>
  <c r="H106"/>
  <c r="G106"/>
  <c r="AF105"/>
  <c r="O105"/>
  <c r="V105" s="1"/>
  <c r="G105"/>
  <c r="H105" s="1"/>
  <c r="AF104"/>
  <c r="V104"/>
  <c r="O104"/>
  <c r="W104" s="1"/>
  <c r="AE104" s="1"/>
  <c r="H104"/>
  <c r="G104"/>
  <c r="AF103"/>
  <c r="O103"/>
  <c r="V103" s="1"/>
  <c r="G103"/>
  <c r="H103" s="1"/>
  <c r="AF102"/>
  <c r="V102"/>
  <c r="O102"/>
  <c r="W102" s="1"/>
  <c r="AE102" s="1"/>
  <c r="H102"/>
  <c r="G102"/>
  <c r="AF101"/>
  <c r="O101"/>
  <c r="V101" s="1"/>
  <c r="G101"/>
  <c r="H101" s="1"/>
  <c r="AF100"/>
  <c r="V100"/>
  <c r="O100"/>
  <c r="W100" s="1"/>
  <c r="AE100" s="1"/>
  <c r="H100"/>
  <c r="G100"/>
  <c r="AF99"/>
  <c r="O99"/>
  <c r="V99" s="1"/>
  <c r="G99"/>
  <c r="H99" s="1"/>
  <c r="AF98"/>
  <c r="V98"/>
  <c r="O98"/>
  <c r="W98" s="1"/>
  <c r="AE98" s="1"/>
  <c r="H98"/>
  <c r="G98"/>
  <c r="AF97"/>
  <c r="O97"/>
  <c r="V97" s="1"/>
  <c r="G97"/>
  <c r="H97" s="1"/>
  <c r="AF96"/>
  <c r="V96"/>
  <c r="O96"/>
  <c r="W96" s="1"/>
  <c r="AE96" s="1"/>
  <c r="H96"/>
  <c r="G96"/>
  <c r="AF95"/>
  <c r="O95"/>
  <c r="V95" s="1"/>
  <c r="G95"/>
  <c r="H95" s="1"/>
  <c r="AF94"/>
  <c r="V94"/>
  <c r="O94"/>
  <c r="W94" s="1"/>
  <c r="AE94" s="1"/>
  <c r="H94"/>
  <c r="G94"/>
  <c r="AF93"/>
  <c r="O93"/>
  <c r="V93" s="1"/>
  <c r="G93"/>
  <c r="H93" s="1"/>
  <c r="AF92"/>
  <c r="V92"/>
  <c r="O92"/>
  <c r="W92" s="1"/>
  <c r="AE92" s="1"/>
  <c r="H92"/>
  <c r="G92"/>
  <c r="AF91"/>
  <c r="O91"/>
  <c r="V91" s="1"/>
  <c r="G91"/>
  <c r="H91" s="1"/>
  <c r="AF90"/>
  <c r="V90"/>
  <c r="O90"/>
  <c r="W90" s="1"/>
  <c r="AE90" s="1"/>
  <c r="H90"/>
  <c r="G90"/>
  <c r="AF89"/>
  <c r="O89"/>
  <c r="V89" s="1"/>
  <c r="G89"/>
  <c r="H89" s="1"/>
  <c r="AF88"/>
  <c r="V88"/>
  <c r="O88"/>
  <c r="W88" s="1"/>
  <c r="AE88" s="1"/>
  <c r="H88"/>
  <c r="G88"/>
  <c r="AF87"/>
  <c r="O87"/>
  <c r="V87" s="1"/>
  <c r="G87"/>
  <c r="H87" s="1"/>
  <c r="AF86"/>
  <c r="V86"/>
  <c r="O86"/>
  <c r="W86" s="1"/>
  <c r="AE86" s="1"/>
  <c r="H86"/>
  <c r="G86"/>
  <c r="AF85"/>
  <c r="O85"/>
  <c r="V85" s="1"/>
  <c r="G85"/>
  <c r="H85" s="1"/>
  <c r="AF84"/>
  <c r="V84"/>
  <c r="O84"/>
  <c r="W84" s="1"/>
  <c r="AE84" s="1"/>
  <c r="H84"/>
  <c r="G84"/>
  <c r="AF83"/>
  <c r="O83"/>
  <c r="V83" s="1"/>
  <c r="G83"/>
  <c r="H83" s="1"/>
  <c r="AF82"/>
  <c r="V82"/>
  <c r="O82"/>
  <c r="W82" s="1"/>
  <c r="AE82" s="1"/>
  <c r="H82"/>
  <c r="G82"/>
  <c r="AF81"/>
  <c r="O81"/>
  <c r="V81" s="1"/>
  <c r="G81"/>
  <c r="H81" s="1"/>
  <c r="AF80"/>
  <c r="V80"/>
  <c r="O80"/>
  <c r="W80" s="1"/>
  <c r="AE80" s="1"/>
  <c r="H80"/>
  <c r="G80"/>
  <c r="AF79"/>
  <c r="O79"/>
  <c r="V79" s="1"/>
  <c r="G79"/>
  <c r="H79" s="1"/>
  <c r="AF78"/>
  <c r="V78"/>
  <c r="O78"/>
  <c r="W78" s="1"/>
  <c r="AE78" s="1"/>
  <c r="H78"/>
  <c r="G78"/>
  <c r="AF77"/>
  <c r="O77"/>
  <c r="V77" s="1"/>
  <c r="G77"/>
  <c r="H77" s="1"/>
  <c r="AF76"/>
  <c r="V76"/>
  <c r="O76"/>
  <c r="W76" s="1"/>
  <c r="AE76" s="1"/>
  <c r="H76"/>
  <c r="G76"/>
  <c r="AF75"/>
  <c r="O75"/>
  <c r="V75" s="1"/>
  <c r="G75"/>
  <c r="H75" s="1"/>
  <c r="AF74"/>
  <c r="V74"/>
  <c r="O74"/>
  <c r="W74" s="1"/>
  <c r="AE74" s="1"/>
  <c r="H74"/>
  <c r="G74"/>
  <c r="AF73"/>
  <c r="O73"/>
  <c r="V73" s="1"/>
  <c r="G73"/>
  <c r="H73" s="1"/>
  <c r="AF72"/>
  <c r="V72"/>
  <c r="O72"/>
  <c r="W72" s="1"/>
  <c r="AE72" s="1"/>
  <c r="H72"/>
  <c r="G72"/>
  <c r="AF71"/>
  <c r="O71"/>
  <c r="V71" s="1"/>
  <c r="G71"/>
  <c r="H71" s="1"/>
  <c r="AF70"/>
  <c r="V70"/>
  <c r="O70"/>
  <c r="W70" s="1"/>
  <c r="AE70" s="1"/>
  <c r="H70"/>
  <c r="G70"/>
  <c r="AF69"/>
  <c r="O69"/>
  <c r="V69" s="1"/>
  <c r="G69"/>
  <c r="H69" s="1"/>
  <c r="AF68"/>
  <c r="V68"/>
  <c r="O68"/>
  <c r="W68" s="1"/>
  <c r="AE68" s="1"/>
  <c r="H68"/>
  <c r="G68"/>
  <c r="AF67"/>
  <c r="O67"/>
  <c r="V67" s="1"/>
  <c r="G67"/>
  <c r="H67" s="1"/>
  <c r="AF66"/>
  <c r="V66"/>
  <c r="O66"/>
  <c r="W66" s="1"/>
  <c r="AE66" s="1"/>
  <c r="H66"/>
  <c r="G66"/>
  <c r="AF65"/>
  <c r="O65"/>
  <c r="V65" s="1"/>
  <c r="G65"/>
  <c r="H65" s="1"/>
  <c r="AF64"/>
  <c r="V64"/>
  <c r="O64"/>
  <c r="W64" s="1"/>
  <c r="AE64" s="1"/>
  <c r="H64"/>
  <c r="G64"/>
  <c r="AF63"/>
  <c r="O63"/>
  <c r="V63" s="1"/>
  <c r="G63"/>
  <c r="H63" s="1"/>
  <c r="AF62"/>
  <c r="V62"/>
  <c r="O62"/>
  <c r="W62" s="1"/>
  <c r="AE62" s="1"/>
  <c r="H62"/>
  <c r="G62"/>
  <c r="AF61"/>
  <c r="O61"/>
  <c r="V61" s="1"/>
  <c r="G61"/>
  <c r="H61" s="1"/>
  <c r="AF60"/>
  <c r="V60"/>
  <c r="O60"/>
  <c r="W60" s="1"/>
  <c r="AE60" s="1"/>
  <c r="H60"/>
  <c r="G60"/>
  <c r="AF59"/>
  <c r="O59"/>
  <c r="V59" s="1"/>
  <c r="G59"/>
  <c r="H59" s="1"/>
  <c r="AF58"/>
  <c r="V58"/>
  <c r="O58"/>
  <c r="W58" s="1"/>
  <c r="AE58" s="1"/>
  <c r="H58"/>
  <c r="G58"/>
  <c r="AF57"/>
  <c r="O57"/>
  <c r="V57" s="1"/>
  <c r="G57"/>
  <c r="H57" s="1"/>
  <c r="AF56"/>
  <c r="V56"/>
  <c r="O56"/>
  <c r="W56" s="1"/>
  <c r="H56"/>
  <c r="G56"/>
  <c r="AF55"/>
  <c r="O55"/>
  <c r="V55" s="1"/>
  <c r="G55"/>
  <c r="H55" s="1"/>
  <c r="AF54"/>
  <c r="V54"/>
  <c r="O54"/>
  <c r="W54" s="1"/>
  <c r="AE54" s="1"/>
  <c r="H54"/>
  <c r="G54"/>
  <c r="AF53"/>
  <c r="O53"/>
  <c r="V53" s="1"/>
  <c r="G53"/>
  <c r="H53" s="1"/>
  <c r="AF52"/>
  <c r="V52"/>
  <c r="O52"/>
  <c r="W52" s="1"/>
  <c r="AE52" s="1"/>
  <c r="H52"/>
  <c r="G52"/>
  <c r="AF51"/>
  <c r="O51"/>
  <c r="V51" s="1"/>
  <c r="G51"/>
  <c r="H51" s="1"/>
  <c r="AF50"/>
  <c r="V50"/>
  <c r="O50"/>
  <c r="W50" s="1"/>
  <c r="AE50" s="1"/>
  <c r="H50"/>
  <c r="G50"/>
  <c r="AF49"/>
  <c r="O49"/>
  <c r="V49" s="1"/>
  <c r="G49"/>
  <c r="H49" s="1"/>
  <c r="BG48"/>
  <c r="BF48"/>
  <c r="AF48"/>
  <c r="V48"/>
  <c r="O48"/>
  <c r="W48" s="1"/>
  <c r="AE48" s="1"/>
  <c r="H48"/>
  <c r="G48"/>
  <c r="BG47"/>
  <c r="BF47"/>
  <c r="AF47"/>
  <c r="O47"/>
  <c r="V47" s="1"/>
  <c r="G47"/>
  <c r="H47" s="1"/>
  <c r="BG46"/>
  <c r="BF46"/>
  <c r="AF46"/>
  <c r="V46"/>
  <c r="O46"/>
  <c r="W46" s="1"/>
  <c r="AE46" s="1"/>
  <c r="H46"/>
  <c r="G46"/>
  <c r="BG45"/>
  <c r="BF45"/>
  <c r="AF45"/>
  <c r="O45"/>
  <c r="V45" s="1"/>
  <c r="G45"/>
  <c r="H45" s="1"/>
  <c r="BG44"/>
  <c r="AF44"/>
  <c r="V44"/>
  <c r="O44"/>
  <c r="W44" s="1"/>
  <c r="AE44" s="1"/>
  <c r="G44"/>
  <c r="H44" s="1"/>
  <c r="BG43"/>
  <c r="BF43"/>
  <c r="AF43"/>
  <c r="O43"/>
  <c r="V43" s="1"/>
  <c r="G43"/>
  <c r="H43" s="1"/>
  <c r="AF42"/>
  <c r="V42"/>
  <c r="O42"/>
  <c r="W42" s="1"/>
  <c r="AE42" s="1"/>
  <c r="G42"/>
  <c r="H42" s="1"/>
  <c r="AF41"/>
  <c r="V41"/>
  <c r="O41"/>
  <c r="W41" s="1"/>
  <c r="AE41" s="1"/>
  <c r="H41"/>
  <c r="G41"/>
  <c r="AF40"/>
  <c r="V40"/>
  <c r="O40"/>
  <c r="W40" s="1"/>
  <c r="AE40" s="1"/>
  <c r="G40"/>
  <c r="H40" s="1"/>
  <c r="AF39"/>
  <c r="V39"/>
  <c r="O39"/>
  <c r="W39" s="1"/>
  <c r="AE39" s="1"/>
  <c r="H39"/>
  <c r="G39"/>
  <c r="AF38"/>
  <c r="V38"/>
  <c r="O38"/>
  <c r="W38" s="1"/>
  <c r="AE38" s="1"/>
  <c r="G38"/>
  <c r="H38" s="1"/>
  <c r="AF37"/>
  <c r="V37"/>
  <c r="O37"/>
  <c r="W37" s="1"/>
  <c r="AE37" s="1"/>
  <c r="H37"/>
  <c r="G37"/>
  <c r="AF36"/>
  <c r="V36"/>
  <c r="O36"/>
  <c r="W36" s="1"/>
  <c r="AE36" s="1"/>
  <c r="G36"/>
  <c r="H36" s="1"/>
  <c r="AF35"/>
  <c r="V35"/>
  <c r="O35"/>
  <c r="W35" s="1"/>
  <c r="AE35" s="1"/>
  <c r="H35"/>
  <c r="G35"/>
  <c r="BA34"/>
  <c r="AZ34"/>
  <c r="AX34"/>
  <c r="AW34"/>
  <c r="AV34"/>
  <c r="AF34"/>
  <c r="V34"/>
  <c r="O34"/>
  <c r="W34" s="1"/>
  <c r="AE34" s="1"/>
  <c r="H34"/>
  <c r="G34"/>
  <c r="AF33"/>
  <c r="O33"/>
  <c r="V33" s="1"/>
  <c r="G33"/>
  <c r="H33" s="1"/>
  <c r="AF32"/>
  <c r="O32"/>
  <c r="V32" s="1"/>
  <c r="G32"/>
  <c r="H32" s="1"/>
  <c r="BA31"/>
  <c r="AZ31"/>
  <c r="AX31"/>
  <c r="AW31"/>
  <c r="AV31"/>
  <c r="AF31"/>
  <c r="O31"/>
  <c r="V31" s="1"/>
  <c r="G31"/>
  <c r="H31" s="1"/>
  <c r="AF30"/>
  <c r="V30"/>
  <c r="O30"/>
  <c r="W30" s="1"/>
  <c r="AE30" s="1"/>
  <c r="G30"/>
  <c r="H30" s="1"/>
  <c r="AF29"/>
  <c r="V29"/>
  <c r="O29"/>
  <c r="W29" s="1"/>
  <c r="AE29" s="1"/>
  <c r="H29"/>
  <c r="G29"/>
  <c r="BA28"/>
  <c r="AZ28"/>
  <c r="AX28"/>
  <c r="AW28"/>
  <c r="AV28"/>
  <c r="AF28"/>
  <c r="V28"/>
  <c r="O28"/>
  <c r="W28" s="1"/>
  <c r="AE28" s="1"/>
  <c r="H28"/>
  <c r="G28"/>
  <c r="AF27"/>
  <c r="O27"/>
  <c r="V27" s="1"/>
  <c r="G27"/>
  <c r="H27" s="1"/>
  <c r="AF26"/>
  <c r="O26"/>
  <c r="V26" s="1"/>
  <c r="G26"/>
  <c r="H26" s="1"/>
  <c r="BA25"/>
  <c r="AZ25"/>
  <c r="AX25"/>
  <c r="AW25"/>
  <c r="AV25"/>
  <c r="AF25"/>
  <c r="O25"/>
  <c r="V25" s="1"/>
  <c r="G25"/>
  <c r="H25" s="1"/>
  <c r="AF24"/>
  <c r="V24"/>
  <c r="O24"/>
  <c r="W24" s="1"/>
  <c r="AE24" s="1"/>
  <c r="G24"/>
  <c r="H24" s="1"/>
  <c r="AF23"/>
  <c r="V23"/>
  <c r="O23"/>
  <c r="W23" s="1"/>
  <c r="AE23" s="1"/>
  <c r="H23"/>
  <c r="G23"/>
  <c r="BA22"/>
  <c r="AX22"/>
  <c r="AV22"/>
  <c r="AF22"/>
  <c r="V22"/>
  <c r="O22"/>
  <c r="W22" s="1"/>
  <c r="AE22" s="1"/>
  <c r="H22"/>
  <c r="G22"/>
  <c r="AF21"/>
  <c r="O21"/>
  <c r="V21" s="1"/>
  <c r="V1021" s="1"/>
  <c r="AU34" s="1"/>
  <c r="G21"/>
  <c r="H21" s="1"/>
  <c r="AF20"/>
  <c r="O20"/>
  <c r="W20" s="1"/>
  <c r="AE20" s="1"/>
  <c r="H20"/>
  <c r="G20"/>
  <c r="AF19"/>
  <c r="V19"/>
  <c r="V1019" s="1"/>
  <c r="AU28" s="1"/>
  <c r="O19"/>
  <c r="W19" s="1"/>
  <c r="G19"/>
  <c r="H19" s="1"/>
  <c r="BA18"/>
  <c r="AZ18"/>
  <c r="AX18"/>
  <c r="AW18"/>
  <c r="AV18"/>
  <c r="AF18"/>
  <c r="O18"/>
  <c r="W18" s="1"/>
  <c r="AE18" s="1"/>
  <c r="G18"/>
  <c r="H18" s="1"/>
  <c r="AF17"/>
  <c r="O17"/>
  <c r="V17" s="1"/>
  <c r="V1020" s="1"/>
  <c r="AU31" s="1"/>
  <c r="G17"/>
  <c r="H17" s="1"/>
  <c r="AF16"/>
  <c r="V16"/>
  <c r="O16"/>
  <c r="W16" s="1"/>
  <c r="AE16" s="1"/>
  <c r="G16"/>
  <c r="H16" s="1"/>
  <c r="AF15"/>
  <c r="O15"/>
  <c r="V15" s="1"/>
  <c r="V1017" s="1"/>
  <c r="AU22" s="1"/>
  <c r="G15"/>
  <c r="H15" s="1"/>
  <c r="AU14"/>
  <c r="AF14"/>
  <c r="O14"/>
  <c r="V14" s="1"/>
  <c r="G14"/>
  <c r="H14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AF13"/>
  <c r="V13"/>
  <c r="O13"/>
  <c r="W13" s="1"/>
  <c r="H13"/>
  <c r="G13"/>
  <c r="AR11"/>
  <c r="B2"/>
  <c r="BF43" i="1"/>
  <c r="BF44"/>
  <c r="BF45"/>
  <c r="BF46"/>
  <c r="BF47"/>
  <c r="BF48"/>
  <c r="BG43"/>
  <c r="BG44"/>
  <c r="BG45"/>
  <c r="BG46"/>
  <c r="BG47"/>
  <c r="BG48"/>
  <c r="AR11"/>
  <c r="V18" i="8" l="1"/>
  <c r="V20"/>
  <c r="AE16"/>
  <c r="AE22"/>
  <c r="N1017" i="7"/>
  <c r="J1017"/>
  <c r="V18" i="6"/>
  <c r="V20"/>
  <c r="V18" i="5"/>
  <c r="V20"/>
  <c r="J1017"/>
  <c r="N1017"/>
  <c r="L1017"/>
  <c r="W495" i="6"/>
  <c r="V495"/>
  <c r="W497"/>
  <c r="V497"/>
  <c r="W499"/>
  <c r="V499"/>
  <c r="W501"/>
  <c r="V501"/>
  <c r="W503"/>
  <c r="V503"/>
  <c r="W505"/>
  <c r="V505"/>
  <c r="W507"/>
  <c r="V507"/>
  <c r="W509"/>
  <c r="V509"/>
  <c r="W511"/>
  <c r="V511"/>
  <c r="W513"/>
  <c r="V513"/>
  <c r="W515"/>
  <c r="V515"/>
  <c r="W517"/>
  <c r="V517"/>
  <c r="W519"/>
  <c r="V519"/>
  <c r="W521"/>
  <c r="V521"/>
  <c r="W523"/>
  <c r="V523"/>
  <c r="W525"/>
  <c r="V525"/>
  <c r="W527"/>
  <c r="V527"/>
  <c r="W529"/>
  <c r="V529"/>
  <c r="W531"/>
  <c r="V531"/>
  <c r="W533"/>
  <c r="V533"/>
  <c r="W535"/>
  <c r="V535"/>
  <c r="W537"/>
  <c r="V537"/>
  <c r="W539"/>
  <c r="V539"/>
  <c r="W541"/>
  <c r="V541"/>
  <c r="W543"/>
  <c r="V543"/>
  <c r="W545"/>
  <c r="V545"/>
  <c r="W547"/>
  <c r="V547"/>
  <c r="W549"/>
  <c r="V549"/>
  <c r="W551"/>
  <c r="V551"/>
  <c r="W553"/>
  <c r="V553"/>
  <c r="W555"/>
  <c r="V555"/>
  <c r="W557"/>
  <c r="V557"/>
  <c r="W559"/>
  <c r="V559"/>
  <c r="W561"/>
  <c r="V561"/>
  <c r="W563"/>
  <c r="V563"/>
  <c r="W565"/>
  <c r="V565"/>
  <c r="W567"/>
  <c r="V567"/>
  <c r="W569"/>
  <c r="V569"/>
  <c r="W571"/>
  <c r="V571"/>
  <c r="W573"/>
  <c r="V573"/>
  <c r="W575"/>
  <c r="V575"/>
  <c r="W577"/>
  <c r="V577"/>
  <c r="W579"/>
  <c r="V579"/>
  <c r="W581"/>
  <c r="V581"/>
  <c r="V13"/>
  <c r="V16"/>
  <c r="V19"/>
  <c r="V1019" s="1"/>
  <c r="AU28" s="1"/>
  <c r="V22"/>
  <c r="V23"/>
  <c r="V28"/>
  <c r="V29"/>
  <c r="V34"/>
  <c r="V35"/>
  <c r="V37"/>
  <c r="V39"/>
  <c r="V41"/>
  <c r="V44"/>
  <c r="W300"/>
  <c r="V303"/>
  <c r="W304"/>
  <c r="V307"/>
  <c r="W308"/>
  <c r="V311"/>
  <c r="W312"/>
  <c r="V315"/>
  <c r="W316"/>
  <c r="V319"/>
  <c r="W320"/>
  <c r="V323"/>
  <c r="W324"/>
  <c r="V327"/>
  <c r="W328"/>
  <c r="V331"/>
  <c r="W332"/>
  <c r="V335"/>
  <c r="W336"/>
  <c r="V339"/>
  <c r="W340"/>
  <c r="V343"/>
  <c r="W344"/>
  <c r="V347"/>
  <c r="W348"/>
  <c r="V351"/>
  <c r="W352"/>
  <c r="V355"/>
  <c r="W356"/>
  <c r="V359"/>
  <c r="W360"/>
  <c r="V363"/>
  <c r="W364"/>
  <c r="V367"/>
  <c r="W368"/>
  <c r="V371"/>
  <c r="W372"/>
  <c r="V375"/>
  <c r="W376"/>
  <c r="V379"/>
  <c r="W380"/>
  <c r="V383"/>
  <c r="W384"/>
  <c r="V387"/>
  <c r="W388"/>
  <c r="V391"/>
  <c r="W392"/>
  <c r="V395"/>
  <c r="W396"/>
  <c r="V399"/>
  <c r="W400"/>
  <c r="V403"/>
  <c r="W404"/>
  <c r="V407"/>
  <c r="W408"/>
  <c r="V411"/>
  <c r="W412"/>
  <c r="V415"/>
  <c r="V417"/>
  <c r="V419"/>
  <c r="V421"/>
  <c r="V423"/>
  <c r="V425"/>
  <c r="V427"/>
  <c r="V429"/>
  <c r="V431"/>
  <c r="V433"/>
  <c r="V435"/>
  <c r="V437"/>
  <c r="V439"/>
  <c r="V441"/>
  <c r="V443"/>
  <c r="V445"/>
  <c r="V447"/>
  <c r="V449"/>
  <c r="V451"/>
  <c r="V453"/>
  <c r="V455"/>
  <c r="V457"/>
  <c r="V459"/>
  <c r="V461"/>
  <c r="V463"/>
  <c r="V465"/>
  <c r="V467"/>
  <c r="V469"/>
  <c r="V471"/>
  <c r="V473"/>
  <c r="V475"/>
  <c r="V477"/>
  <c r="V479"/>
  <c r="V481"/>
  <c r="V483"/>
  <c r="V485"/>
  <c r="V487"/>
  <c r="V489"/>
  <c r="V491"/>
  <c r="V493"/>
  <c r="V583"/>
  <c r="V585"/>
  <c r="V587"/>
  <c r="V589"/>
  <c r="V591"/>
  <c r="V593"/>
  <c r="V595"/>
  <c r="V597"/>
  <c r="V599"/>
  <c r="V601"/>
  <c r="V603"/>
  <c r="W604"/>
  <c r="V607"/>
  <c r="W608"/>
  <c r="V611"/>
  <c r="W612"/>
  <c r="V615"/>
  <c r="W616"/>
  <c r="V619"/>
  <c r="W620"/>
  <c r="V623"/>
  <c r="W624"/>
  <c r="V627"/>
  <c r="W628"/>
  <c r="V631"/>
  <c r="W632"/>
  <c r="V635"/>
  <c r="W636"/>
  <c r="V639"/>
  <c r="W640"/>
  <c r="V643"/>
  <c r="W644"/>
  <c r="V647"/>
  <c r="W648"/>
  <c r="V651"/>
  <c r="W652"/>
  <c r="V655"/>
  <c r="W656"/>
  <c r="V723"/>
  <c r="W724"/>
  <c r="V727"/>
  <c r="W728"/>
  <c r="V731"/>
  <c r="W732"/>
  <c r="V735"/>
  <c r="W736"/>
  <c r="V739"/>
  <c r="W740"/>
  <c r="V743"/>
  <c r="W744"/>
  <c r="V747"/>
  <c r="W748"/>
  <c r="V751"/>
  <c r="W752"/>
  <c r="V755"/>
  <c r="W756"/>
  <c r="V759"/>
  <c r="W760"/>
  <c r="V763"/>
  <c r="W764"/>
  <c r="V767"/>
  <c r="W768"/>
  <c r="V771"/>
  <c r="W772"/>
  <c r="V775"/>
  <c r="W776"/>
  <c r="V779"/>
  <c r="W780"/>
  <c r="V783"/>
  <c r="W784"/>
  <c r="V787"/>
  <c r="W788"/>
  <c r="V791"/>
  <c r="W792"/>
  <c r="V795"/>
  <c r="W796"/>
  <c r="V799"/>
  <c r="W800"/>
  <c r="V803"/>
  <c r="W804"/>
  <c r="V869"/>
  <c r="W870"/>
  <c r="V873"/>
  <c r="W874"/>
  <c r="V877"/>
  <c r="W878"/>
  <c r="V881"/>
  <c r="W882"/>
  <c r="V885"/>
  <c r="W886"/>
  <c r="V889"/>
  <c r="W890"/>
  <c r="V893"/>
  <c r="W894"/>
  <c r="V897"/>
  <c r="W898"/>
  <c r="V901"/>
  <c r="W902"/>
  <c r="V905"/>
  <c r="W906"/>
  <c r="V909"/>
  <c r="V911"/>
  <c r="V913"/>
  <c r="V915"/>
  <c r="V917"/>
  <c r="V941"/>
  <c r="W942"/>
  <c r="V945"/>
  <c r="W946"/>
  <c r="V949"/>
  <c r="W950"/>
  <c r="V25" i="7"/>
  <c r="V26"/>
  <c r="V31"/>
  <c r="V32"/>
  <c r="V43"/>
  <c r="V45"/>
  <c r="V47"/>
  <c r="V49"/>
  <c r="V51"/>
  <c r="V53"/>
  <c r="V55"/>
  <c r="AE57"/>
  <c r="AE59"/>
  <c r="AE61"/>
  <c r="AE63"/>
  <c r="AE65"/>
  <c r="AE67"/>
  <c r="AE69"/>
  <c r="AE71"/>
  <c r="AE73"/>
  <c r="AE75"/>
  <c r="AE77"/>
  <c r="AE79"/>
  <c r="AE81"/>
  <c r="AE83"/>
  <c r="AE85"/>
  <c r="AE87"/>
  <c r="AE89"/>
  <c r="AE91"/>
  <c r="AE93"/>
  <c r="AE95"/>
  <c r="AE97"/>
  <c r="AE99"/>
  <c r="AE101"/>
  <c r="AE103"/>
  <c r="AE105"/>
  <c r="AE107"/>
  <c r="AE109"/>
  <c r="AE111"/>
  <c r="AE113"/>
  <c r="AE115"/>
  <c r="AE117"/>
  <c r="AE119"/>
  <c r="AE121"/>
  <c r="AE123"/>
  <c r="AE125"/>
  <c r="AE127"/>
  <c r="AE129"/>
  <c r="AE131"/>
  <c r="AE133"/>
  <c r="AE135"/>
  <c r="AE137"/>
  <c r="AE139"/>
  <c r="AE141"/>
  <c r="AE143"/>
  <c r="AE145"/>
  <c r="AE147"/>
  <c r="AE149"/>
  <c r="AE151"/>
  <c r="AE153"/>
  <c r="AE155"/>
  <c r="AE157"/>
  <c r="AE159"/>
  <c r="AE161"/>
  <c r="AE163"/>
  <c r="AE165"/>
  <c r="AE167"/>
  <c r="AE169"/>
  <c r="AE171"/>
  <c r="AE173"/>
  <c r="AE175"/>
  <c r="AE177"/>
  <c r="AE179"/>
  <c r="AE181"/>
  <c r="AE183"/>
  <c r="AE185"/>
  <c r="AE187"/>
  <c r="AE189"/>
  <c r="AE191"/>
  <c r="AE193"/>
  <c r="AE195"/>
  <c r="AE197"/>
  <c r="AE199"/>
  <c r="AE201"/>
  <c r="AE203"/>
  <c r="AE205"/>
  <c r="AE207"/>
  <c r="AE209"/>
  <c r="AE211"/>
  <c r="AE213"/>
  <c r="AE215"/>
  <c r="AE217"/>
  <c r="AE219"/>
  <c r="AE221"/>
  <c r="AE223"/>
  <c r="AE225"/>
  <c r="AE227"/>
  <c r="AE229"/>
  <c r="AE231"/>
  <c r="AE233"/>
  <c r="AE235"/>
  <c r="AE237"/>
  <c r="AE239"/>
  <c r="AE241"/>
  <c r="AE243"/>
  <c r="AE245"/>
  <c r="AE247"/>
  <c r="AE249"/>
  <c r="AE251"/>
  <c r="AE253"/>
  <c r="AE255"/>
  <c r="AE257"/>
  <c r="AE259"/>
  <c r="AE261"/>
  <c r="AE263"/>
  <c r="AE265"/>
  <c r="AE267"/>
  <c r="AE269"/>
  <c r="AE271"/>
  <c r="AE273"/>
  <c r="AE275"/>
  <c r="AE277"/>
  <c r="AE279"/>
  <c r="AE281"/>
  <c r="AE283"/>
  <c r="AE285"/>
  <c r="AE287"/>
  <c r="AE289"/>
  <c r="AE291"/>
  <c r="AE293"/>
  <c r="AE295"/>
  <c r="AE297"/>
  <c r="AE299"/>
  <c r="AE301"/>
  <c r="AE303"/>
  <c r="AE305"/>
  <c r="AE307"/>
  <c r="AE309"/>
  <c r="AE311"/>
  <c r="AE313"/>
  <c r="AE315"/>
  <c r="AE317"/>
  <c r="AE319"/>
  <c r="AE321"/>
  <c r="AE323"/>
  <c r="AE325"/>
  <c r="AE327"/>
  <c r="AE329"/>
  <c r="AE331"/>
  <c r="AE333"/>
  <c r="AE335"/>
  <c r="AE337"/>
  <c r="AE339"/>
  <c r="AE341"/>
  <c r="V418"/>
  <c r="W419"/>
  <c r="V422"/>
  <c r="W423"/>
  <c r="V426"/>
  <c r="W427"/>
  <c r="V430"/>
  <c r="W431"/>
  <c r="V434"/>
  <c r="W435"/>
  <c r="V438"/>
  <c r="W439"/>
  <c r="V442"/>
  <c r="W443"/>
  <c r="V446"/>
  <c r="W447"/>
  <c r="V450"/>
  <c r="W451"/>
  <c r="W702"/>
  <c r="V705"/>
  <c r="W706"/>
  <c r="V709"/>
  <c r="W710"/>
  <c r="V713"/>
  <c r="W714"/>
  <c r="V717"/>
  <c r="W718"/>
  <c r="V721"/>
  <c r="V723"/>
  <c r="V725"/>
  <c r="V727"/>
  <c r="V729"/>
  <c r="V731"/>
  <c r="V733"/>
  <c r="V735"/>
  <c r="V737"/>
  <c r="V739"/>
  <c r="V741"/>
  <c r="V743"/>
  <c r="V745"/>
  <c r="V747"/>
  <c r="V749"/>
  <c r="V751"/>
  <c r="V753"/>
  <c r="V755"/>
  <c r="V757"/>
  <c r="V759"/>
  <c r="V761"/>
  <c r="V763"/>
  <c r="V765"/>
  <c r="V767"/>
  <c r="V769"/>
  <c r="V771"/>
  <c r="V773"/>
  <c r="V775"/>
  <c r="V777"/>
  <c r="V779"/>
  <c r="V781"/>
  <c r="V783"/>
  <c r="V785"/>
  <c r="V787"/>
  <c r="V789"/>
  <c r="V791"/>
  <c r="V793"/>
  <c r="V795"/>
  <c r="V797"/>
  <c r="V799"/>
  <c r="V801"/>
  <c r="V803"/>
  <c r="V805"/>
  <c r="V807"/>
  <c r="V809"/>
  <c r="V811"/>
  <c r="V813"/>
  <c r="V815"/>
  <c r="V817"/>
  <c r="V819"/>
  <c r="V821"/>
  <c r="V823"/>
  <c r="V825"/>
  <c r="V827"/>
  <c r="V829"/>
  <c r="V831"/>
  <c r="V833"/>
  <c r="V835"/>
  <c r="V837"/>
  <c r="V839"/>
  <c r="V841"/>
  <c r="V843"/>
  <c r="V845"/>
  <c r="V847"/>
  <c r="V849"/>
  <c r="V851"/>
  <c r="V853"/>
  <c r="V855"/>
  <c r="V857"/>
  <c r="V859"/>
  <c r="V861"/>
  <c r="V863"/>
  <c r="V865"/>
  <c r="V867"/>
  <c r="V869"/>
  <c r="V922"/>
  <c r="V923"/>
  <c r="V924"/>
  <c r="V925"/>
  <c r="V926"/>
  <c r="V927"/>
  <c r="V928"/>
  <c r="V929"/>
  <c r="V930"/>
  <c r="V931"/>
  <c r="V932"/>
  <c r="V938"/>
  <c r="V940"/>
  <c r="V942"/>
  <c r="V944"/>
  <c r="V946"/>
  <c r="V948"/>
  <c r="V950"/>
  <c r="V952"/>
  <c r="V954"/>
  <c r="V956"/>
  <c r="V958"/>
  <c r="V960"/>
  <c r="V962"/>
  <c r="V964"/>
  <c r="V966"/>
  <c r="V968"/>
  <c r="V970"/>
  <c r="V972"/>
  <c r="V974"/>
  <c r="V976"/>
  <c r="V978"/>
  <c r="V980"/>
  <c r="V982"/>
  <c r="V984"/>
  <c r="V986"/>
  <c r="V988"/>
  <c r="V990"/>
  <c r="V992"/>
  <c r="V994"/>
  <c r="V996"/>
  <c r="V998"/>
  <c r="V1000"/>
  <c r="V1002"/>
  <c r="V1004"/>
  <c r="V1006"/>
  <c r="V1008"/>
  <c r="V1010"/>
  <c r="V1012"/>
  <c r="L1017"/>
  <c r="W541" i="8"/>
  <c r="V541"/>
  <c r="W543"/>
  <c r="V543"/>
  <c r="W545"/>
  <c r="V545"/>
  <c r="W547"/>
  <c r="V547"/>
  <c r="W549"/>
  <c r="V549"/>
  <c r="W551"/>
  <c r="V551"/>
  <c r="W553"/>
  <c r="V553"/>
  <c r="W555"/>
  <c r="V555"/>
  <c r="W557"/>
  <c r="V557"/>
  <c r="W559"/>
  <c r="V559"/>
  <c r="W561"/>
  <c r="V561"/>
  <c r="W563"/>
  <c r="V563"/>
  <c r="W565"/>
  <c r="V565"/>
  <c r="W567"/>
  <c r="V567"/>
  <c r="W569"/>
  <c r="V569"/>
  <c r="W571"/>
  <c r="V571"/>
  <c r="W573"/>
  <c r="V573"/>
  <c r="W575"/>
  <c r="V575"/>
  <c r="W577"/>
  <c r="V577"/>
  <c r="W579"/>
  <c r="V579"/>
  <c r="W581"/>
  <c r="V581"/>
  <c r="W583"/>
  <c r="V583"/>
  <c r="W585"/>
  <c r="V585"/>
  <c r="W587"/>
  <c r="V587"/>
  <c r="W589"/>
  <c r="V589"/>
  <c r="W591"/>
  <c r="V591"/>
  <c r="W593"/>
  <c r="V593"/>
  <c r="W595"/>
  <c r="V595"/>
  <c r="W597"/>
  <c r="V597"/>
  <c r="W599"/>
  <c r="V599"/>
  <c r="W601"/>
  <c r="V601"/>
  <c r="W603"/>
  <c r="V603"/>
  <c r="W605"/>
  <c r="V605"/>
  <c r="W607"/>
  <c r="V607"/>
  <c r="W609"/>
  <c r="V609"/>
  <c r="W611"/>
  <c r="V611"/>
  <c r="W613"/>
  <c r="V613"/>
  <c r="W615"/>
  <c r="V615"/>
  <c r="W617"/>
  <c r="V617"/>
  <c r="W619"/>
  <c r="V619"/>
  <c r="W621"/>
  <c r="V621"/>
  <c r="W623"/>
  <c r="V623"/>
  <c r="W625"/>
  <c r="V625"/>
  <c r="W627"/>
  <c r="V627"/>
  <c r="W629"/>
  <c r="V629"/>
  <c r="W631"/>
  <c r="V631"/>
  <c r="W633"/>
  <c r="V633"/>
  <c r="W635"/>
  <c r="V635"/>
  <c r="W637"/>
  <c r="V637"/>
  <c r="W639"/>
  <c r="V639"/>
  <c r="W641"/>
  <c r="V641"/>
  <c r="W643"/>
  <c r="V643"/>
  <c r="W646"/>
  <c r="V646"/>
  <c r="V13"/>
  <c r="V1017"/>
  <c r="AU22" s="1"/>
  <c r="V16"/>
  <c r="V19"/>
  <c r="V1019" s="1"/>
  <c r="AU28" s="1"/>
  <c r="V22"/>
  <c r="V1021" s="1"/>
  <c r="AU34" s="1"/>
  <c r="V23"/>
  <c r="V28"/>
  <c r="V29"/>
  <c r="V34"/>
  <c r="V35"/>
  <c r="V37"/>
  <c r="V39"/>
  <c r="V41"/>
  <c r="V399"/>
  <c r="W400"/>
  <c r="V403"/>
  <c r="W404"/>
  <c r="V407"/>
  <c r="W408"/>
  <c r="V411"/>
  <c r="W412"/>
  <c r="V415"/>
  <c r="W416"/>
  <c r="V419"/>
  <c r="W420"/>
  <c r="V423"/>
  <c r="W424"/>
  <c r="V427"/>
  <c r="W428"/>
  <c r="V431"/>
  <c r="W432"/>
  <c r="V435"/>
  <c r="W436"/>
  <c r="V439"/>
  <c r="V441"/>
  <c r="V443"/>
  <c r="V445"/>
  <c r="V447"/>
  <c r="V449"/>
  <c r="V451"/>
  <c r="V453"/>
  <c r="V455"/>
  <c r="V457"/>
  <c r="V459"/>
  <c r="V461"/>
  <c r="V463"/>
  <c r="V465"/>
  <c r="V467"/>
  <c r="V469"/>
  <c r="V471"/>
  <c r="V473"/>
  <c r="V475"/>
  <c r="V477"/>
  <c r="V479"/>
  <c r="V481"/>
  <c r="V483"/>
  <c r="V485"/>
  <c r="V487"/>
  <c r="V489"/>
  <c r="V491"/>
  <c r="V493"/>
  <c r="V495"/>
  <c r="V497"/>
  <c r="V499"/>
  <c r="V501"/>
  <c r="V503"/>
  <c r="V505"/>
  <c r="V507"/>
  <c r="V509"/>
  <c r="V511"/>
  <c r="V513"/>
  <c r="V515"/>
  <c r="V517"/>
  <c r="V519"/>
  <c r="V521"/>
  <c r="V523"/>
  <c r="V525"/>
  <c r="V527"/>
  <c r="V529"/>
  <c r="V531"/>
  <c r="V533"/>
  <c r="V535"/>
  <c r="V537"/>
  <c r="V539"/>
  <c r="V647"/>
  <c r="W647"/>
  <c r="V650"/>
  <c r="W651"/>
  <c r="V654"/>
  <c r="W655"/>
  <c r="V658"/>
  <c r="W659"/>
  <c r="V662"/>
  <c r="W663"/>
  <c r="V666"/>
  <c r="W667"/>
  <c r="V670"/>
  <c r="W671"/>
  <c r="V674"/>
  <c r="V676"/>
  <c r="V678"/>
  <c r="V680"/>
  <c r="V682"/>
  <c r="V684"/>
  <c r="V686"/>
  <c r="V688"/>
  <c r="V690"/>
  <c r="V692"/>
  <c r="V694"/>
  <c r="V696"/>
  <c r="V698"/>
  <c r="V700"/>
  <c r="V702"/>
  <c r="V704"/>
  <c r="V706"/>
  <c r="V708"/>
  <c r="V710"/>
  <c r="V712"/>
  <c r="V714"/>
  <c r="V716"/>
  <c r="V718"/>
  <c r="V720"/>
  <c r="V722"/>
  <c r="V724"/>
  <c r="V726"/>
  <c r="V728"/>
  <c r="V730"/>
  <c r="V732"/>
  <c r="V734"/>
  <c r="V736"/>
  <c r="V738"/>
  <c r="V740"/>
  <c r="V742"/>
  <c r="V744"/>
  <c r="V746"/>
  <c r="V748"/>
  <c r="V750"/>
  <c r="V752"/>
  <c r="V754"/>
  <c r="V756"/>
  <c r="V758"/>
  <c r="V760"/>
  <c r="V762"/>
  <c r="V764"/>
  <c r="V766"/>
  <c r="V768"/>
  <c r="V770"/>
  <c r="V772"/>
  <c r="V774"/>
  <c r="V776"/>
  <c r="V778"/>
  <c r="V780"/>
  <c r="V782"/>
  <c r="V784"/>
  <c r="V787"/>
  <c r="W788"/>
  <c r="V791"/>
  <c r="W792"/>
  <c r="V795"/>
  <c r="W796"/>
  <c r="V799"/>
  <c r="W800"/>
  <c r="V803"/>
  <c r="W804"/>
  <c r="V807"/>
  <c r="W808"/>
  <c r="AE25" i="6"/>
  <c r="AE26"/>
  <c r="AE31"/>
  <c r="AE32"/>
  <c r="W1019" i="8"/>
  <c r="AY28" s="1"/>
  <c r="BB28" s="1"/>
  <c r="BF39" s="1"/>
  <c r="AE19"/>
  <c r="AZ29"/>
  <c r="V1018"/>
  <c r="AU25" s="1"/>
  <c r="X460"/>
  <c r="X458"/>
  <c r="X456"/>
  <c r="X454"/>
  <c r="X452"/>
  <c r="X450"/>
  <c r="X448"/>
  <c r="X446"/>
  <c r="X444"/>
  <c r="X442"/>
  <c r="X440"/>
  <c r="X438"/>
  <c r="X436"/>
  <c r="X434"/>
  <c r="X432"/>
  <c r="X430"/>
  <c r="X428"/>
  <c r="X426"/>
  <c r="X424"/>
  <c r="X422"/>
  <c r="X420"/>
  <c r="X418"/>
  <c r="X416"/>
  <c r="X414"/>
  <c r="X412"/>
  <c r="X410"/>
  <c r="X408"/>
  <c r="X406"/>
  <c r="X404"/>
  <c r="X402"/>
  <c r="X400"/>
  <c r="X397"/>
  <c r="X395"/>
  <c r="X393"/>
  <c r="X391"/>
  <c r="X389"/>
  <c r="X387"/>
  <c r="X385"/>
  <c r="X383"/>
  <c r="X381"/>
  <c r="X379"/>
  <c r="X377"/>
  <c r="X375"/>
  <c r="X373"/>
  <c r="X371"/>
  <c r="X369"/>
  <c r="X367"/>
  <c r="X365"/>
  <c r="X363"/>
  <c r="X361"/>
  <c r="X359"/>
  <c r="X357"/>
  <c r="X355"/>
  <c r="X353"/>
  <c r="X351"/>
  <c r="X349"/>
  <c r="X347"/>
  <c r="X345"/>
  <c r="X343"/>
  <c r="X341"/>
  <c r="X339"/>
  <c r="X337"/>
  <c r="X335"/>
  <c r="X333"/>
  <c r="X331"/>
  <c r="X329"/>
  <c r="X327"/>
  <c r="X325"/>
  <c r="X323"/>
  <c r="X321"/>
  <c r="X319"/>
  <c r="X317"/>
  <c r="X315"/>
  <c r="X313"/>
  <c r="X311"/>
  <c r="X309"/>
  <c r="X307"/>
  <c r="X305"/>
  <c r="X303"/>
  <c r="X301"/>
  <c r="X299"/>
  <c r="X297"/>
  <c r="X295"/>
  <c r="X293"/>
  <c r="X291"/>
  <c r="X289"/>
  <c r="X287"/>
  <c r="X285"/>
  <c r="X283"/>
  <c r="X281"/>
  <c r="X279"/>
  <c r="X277"/>
  <c r="X275"/>
  <c r="X273"/>
  <c r="X271"/>
  <c r="X269"/>
  <c r="X267"/>
  <c r="X265"/>
  <c r="X263"/>
  <c r="X261"/>
  <c r="X259"/>
  <c r="X257"/>
  <c r="X255"/>
  <c r="X253"/>
  <c r="X251"/>
  <c r="X249"/>
  <c r="X247"/>
  <c r="X245"/>
  <c r="X243"/>
  <c r="X241"/>
  <c r="X239"/>
  <c r="X237"/>
  <c r="X235"/>
  <c r="X233"/>
  <c r="X231"/>
  <c r="X229"/>
  <c r="X227"/>
  <c r="X225"/>
  <c r="X223"/>
  <c r="X221"/>
  <c r="X219"/>
  <c r="X217"/>
  <c r="X215"/>
  <c r="X213"/>
  <c r="X211"/>
  <c r="X209"/>
  <c r="X207"/>
  <c r="X205"/>
  <c r="X203"/>
  <c r="X201"/>
  <c r="X199"/>
  <c r="X197"/>
  <c r="X195"/>
  <c r="X193"/>
  <c r="X191"/>
  <c r="X189"/>
  <c r="X187"/>
  <c r="X185"/>
  <c r="X183"/>
  <c r="X181"/>
  <c r="X179"/>
  <c r="X177"/>
  <c r="X175"/>
  <c r="X173"/>
  <c r="X171"/>
  <c r="X169"/>
  <c r="X167"/>
  <c r="X165"/>
  <c r="X163"/>
  <c r="X161"/>
  <c r="X159"/>
  <c r="X157"/>
  <c r="X155"/>
  <c r="X153"/>
  <c r="X151"/>
  <c r="X149"/>
  <c r="X147"/>
  <c r="X145"/>
  <c r="X143"/>
  <c r="X141"/>
  <c r="X461"/>
  <c r="X459"/>
  <c r="X457"/>
  <c r="X455"/>
  <c r="X453"/>
  <c r="X451"/>
  <c r="X449"/>
  <c r="X447"/>
  <c r="X445"/>
  <c r="X443"/>
  <c r="X441"/>
  <c r="X439"/>
  <c r="X437"/>
  <c r="X435"/>
  <c r="X433"/>
  <c r="X431"/>
  <c r="X429"/>
  <c r="X427"/>
  <c r="X425"/>
  <c r="X423"/>
  <c r="X421"/>
  <c r="X419"/>
  <c r="X417"/>
  <c r="X415"/>
  <c r="X413"/>
  <c r="X411"/>
  <c r="X409"/>
  <c r="X407"/>
  <c r="X405"/>
  <c r="X403"/>
  <c r="X401"/>
  <c r="X399"/>
  <c r="X398"/>
  <c r="X396"/>
  <c r="X394"/>
  <c r="X392"/>
  <c r="X390"/>
  <c r="X388"/>
  <c r="X386"/>
  <c r="X384"/>
  <c r="X382"/>
  <c r="X380"/>
  <c r="X378"/>
  <c r="X376"/>
  <c r="X374"/>
  <c r="X372"/>
  <c r="X370"/>
  <c r="X368"/>
  <c r="X366"/>
  <c r="X364"/>
  <c r="X362"/>
  <c r="X360"/>
  <c r="X358"/>
  <c r="X356"/>
  <c r="X354"/>
  <c r="X352"/>
  <c r="X350"/>
  <c r="X348"/>
  <c r="X346"/>
  <c r="X344"/>
  <c r="X342"/>
  <c r="X340"/>
  <c r="X338"/>
  <c r="X336"/>
  <c r="X334"/>
  <c r="X332"/>
  <c r="X330"/>
  <c r="X328"/>
  <c r="X326"/>
  <c r="X324"/>
  <c r="X322"/>
  <c r="X320"/>
  <c r="X318"/>
  <c r="X316"/>
  <c r="X314"/>
  <c r="X312"/>
  <c r="X310"/>
  <c r="X308"/>
  <c r="X306"/>
  <c r="X304"/>
  <c r="X302"/>
  <c r="X300"/>
  <c r="X298"/>
  <c r="X296"/>
  <c r="X294"/>
  <c r="X292"/>
  <c r="X290"/>
  <c r="X288"/>
  <c r="X286"/>
  <c r="X284"/>
  <c r="X282"/>
  <c r="X280"/>
  <c r="X278"/>
  <c r="X276"/>
  <c r="X274"/>
  <c r="X272"/>
  <c r="X270"/>
  <c r="X268"/>
  <c r="X266"/>
  <c r="X264"/>
  <c r="X262"/>
  <c r="X260"/>
  <c r="X258"/>
  <c r="X256"/>
  <c r="X254"/>
  <c r="X252"/>
  <c r="X250"/>
  <c r="X248"/>
  <c r="X246"/>
  <c r="X244"/>
  <c r="X242"/>
  <c r="X240"/>
  <c r="X238"/>
  <c r="X236"/>
  <c r="X234"/>
  <c r="X232"/>
  <c r="X230"/>
  <c r="X228"/>
  <c r="X226"/>
  <c r="X224"/>
  <c r="X222"/>
  <c r="X220"/>
  <c r="X218"/>
  <c r="X216"/>
  <c r="X214"/>
  <c r="X212"/>
  <c r="X210"/>
  <c r="X208"/>
  <c r="X206"/>
  <c r="X204"/>
  <c r="X202"/>
  <c r="X200"/>
  <c r="X198"/>
  <c r="X196"/>
  <c r="X194"/>
  <c r="X192"/>
  <c r="X190"/>
  <c r="X188"/>
  <c r="X186"/>
  <c r="X184"/>
  <c r="X13"/>
  <c r="AF13"/>
  <c r="AE13" s="1"/>
  <c r="W14"/>
  <c r="AE14" s="1"/>
  <c r="W15"/>
  <c r="X16"/>
  <c r="W17"/>
  <c r="X18"/>
  <c r="AF18"/>
  <c r="X19"/>
  <c r="X20"/>
  <c r="W21"/>
  <c r="X22"/>
  <c r="X23"/>
  <c r="X24"/>
  <c r="W25"/>
  <c r="AE25" s="1"/>
  <c r="W26"/>
  <c r="AE26" s="1"/>
  <c r="W27"/>
  <c r="AE27" s="1"/>
  <c r="X28"/>
  <c r="X29"/>
  <c r="X30"/>
  <c r="W31"/>
  <c r="AE31" s="1"/>
  <c r="W32"/>
  <c r="AE32" s="1"/>
  <c r="W33"/>
  <c r="AE33" s="1"/>
  <c r="X34"/>
  <c r="X35"/>
  <c r="X36"/>
  <c r="X37"/>
  <c r="X38"/>
  <c r="X39"/>
  <c r="X40"/>
  <c r="X41"/>
  <c r="X42"/>
  <c r="W43"/>
  <c r="AE43" s="1"/>
  <c r="X44"/>
  <c r="W45"/>
  <c r="AE45" s="1"/>
  <c r="X46"/>
  <c r="W47"/>
  <c r="AE47" s="1"/>
  <c r="X48"/>
  <c r="W49"/>
  <c r="AE49" s="1"/>
  <c r="X50"/>
  <c r="W51"/>
  <c r="AE51" s="1"/>
  <c r="X52"/>
  <c r="W53"/>
  <c r="AE53" s="1"/>
  <c r="X54"/>
  <c r="W55"/>
  <c r="AE55" s="1"/>
  <c r="X56"/>
  <c r="W57"/>
  <c r="AE57" s="1"/>
  <c r="X58"/>
  <c r="W59"/>
  <c r="AE59" s="1"/>
  <c r="X60"/>
  <c r="W61"/>
  <c r="AE61" s="1"/>
  <c r="X62"/>
  <c r="W63"/>
  <c r="AE63" s="1"/>
  <c r="X64"/>
  <c r="W65"/>
  <c r="AE65" s="1"/>
  <c r="X66"/>
  <c r="W67"/>
  <c r="AE67" s="1"/>
  <c r="X68"/>
  <c r="W69"/>
  <c r="AE69" s="1"/>
  <c r="X70"/>
  <c r="W71"/>
  <c r="AE71" s="1"/>
  <c r="X72"/>
  <c r="W73"/>
  <c r="AE73" s="1"/>
  <c r="X74"/>
  <c r="W75"/>
  <c r="AE75" s="1"/>
  <c r="X76"/>
  <c r="W77"/>
  <c r="AE77" s="1"/>
  <c r="X78"/>
  <c r="W79"/>
  <c r="AE79" s="1"/>
  <c r="X80"/>
  <c r="W81"/>
  <c r="AE81" s="1"/>
  <c r="X82"/>
  <c r="W83"/>
  <c r="AE83" s="1"/>
  <c r="X84"/>
  <c r="W85"/>
  <c r="AE85" s="1"/>
  <c r="X86"/>
  <c r="W87"/>
  <c r="AE87" s="1"/>
  <c r="X88"/>
  <c r="W89"/>
  <c r="AE89" s="1"/>
  <c r="X90"/>
  <c r="W91"/>
  <c r="AE91" s="1"/>
  <c r="X92"/>
  <c r="W93"/>
  <c r="AE93" s="1"/>
  <c r="X94"/>
  <c r="W95"/>
  <c r="AE95" s="1"/>
  <c r="X96"/>
  <c r="W97"/>
  <c r="AE97" s="1"/>
  <c r="X98"/>
  <c r="W99"/>
  <c r="AE99" s="1"/>
  <c r="X100"/>
  <c r="W101"/>
  <c r="AE101" s="1"/>
  <c r="X102"/>
  <c r="W103"/>
  <c r="AE103" s="1"/>
  <c r="X104"/>
  <c r="W105"/>
  <c r="AE105" s="1"/>
  <c r="X106"/>
  <c r="W107"/>
  <c r="AE107" s="1"/>
  <c r="X108"/>
  <c r="W109"/>
  <c r="AE109" s="1"/>
  <c r="X110"/>
  <c r="W111"/>
  <c r="AE111" s="1"/>
  <c r="X112"/>
  <c r="W113"/>
  <c r="AE113" s="1"/>
  <c r="X114"/>
  <c r="W115"/>
  <c r="AE115" s="1"/>
  <c r="X116"/>
  <c r="W117"/>
  <c r="AE117" s="1"/>
  <c r="X118"/>
  <c r="W119"/>
  <c r="AE119" s="1"/>
  <c r="X120"/>
  <c r="W121"/>
  <c r="AE121" s="1"/>
  <c r="X122"/>
  <c r="W123"/>
  <c r="AE123" s="1"/>
  <c r="X124"/>
  <c r="W125"/>
  <c r="AE125" s="1"/>
  <c r="X126"/>
  <c r="W127"/>
  <c r="AE127" s="1"/>
  <c r="X128"/>
  <c r="W129"/>
  <c r="AE129" s="1"/>
  <c r="X130"/>
  <c r="W131"/>
  <c r="AE131" s="1"/>
  <c r="X132"/>
  <c r="W133"/>
  <c r="AE133" s="1"/>
  <c r="X134"/>
  <c r="W135"/>
  <c r="AE135" s="1"/>
  <c r="X136"/>
  <c r="W137"/>
  <c r="AE137" s="1"/>
  <c r="X138"/>
  <c r="W139"/>
  <c r="AE139" s="1"/>
  <c r="X140"/>
  <c r="AE184"/>
  <c r="AE186"/>
  <c r="AE188"/>
  <c r="AE190"/>
  <c r="AE192"/>
  <c r="AE194"/>
  <c r="AE196"/>
  <c r="AE198"/>
  <c r="AE200"/>
  <c r="AE202"/>
  <c r="AE204"/>
  <c r="AE206"/>
  <c r="AE208"/>
  <c r="AE210"/>
  <c r="AE212"/>
  <c r="AE214"/>
  <c r="AE216"/>
  <c r="AE218"/>
  <c r="AE220"/>
  <c r="AE222"/>
  <c r="AE224"/>
  <c r="AE226"/>
  <c r="AE228"/>
  <c r="AE230"/>
  <c r="AE232"/>
  <c r="AE234"/>
  <c r="AE236"/>
  <c r="AE238"/>
  <c r="AE240"/>
  <c r="AE242"/>
  <c r="AE244"/>
  <c r="AE246"/>
  <c r="AE248"/>
  <c r="AE250"/>
  <c r="AE252"/>
  <c r="AE254"/>
  <c r="AE256"/>
  <c r="AE258"/>
  <c r="AE260"/>
  <c r="AE262"/>
  <c r="AE264"/>
  <c r="AE266"/>
  <c r="AE268"/>
  <c r="AE270"/>
  <c r="AE272"/>
  <c r="AE274"/>
  <c r="AE276"/>
  <c r="AE278"/>
  <c r="AE280"/>
  <c r="AE282"/>
  <c r="AE284"/>
  <c r="AE286"/>
  <c r="AE288"/>
  <c r="AE290"/>
  <c r="AE292"/>
  <c r="AE294"/>
  <c r="AE296"/>
  <c r="AE298"/>
  <c r="AE300"/>
  <c r="AE302"/>
  <c r="AE304"/>
  <c r="AE306"/>
  <c r="AE308"/>
  <c r="AE310"/>
  <c r="AE312"/>
  <c r="AE314"/>
  <c r="AE316"/>
  <c r="AE318"/>
  <c r="AE320"/>
  <c r="AE322"/>
  <c r="AE324"/>
  <c r="AE326"/>
  <c r="AE328"/>
  <c r="AE330"/>
  <c r="AE332"/>
  <c r="AE334"/>
  <c r="AE336"/>
  <c r="AE338"/>
  <c r="AE340"/>
  <c r="AE342"/>
  <c r="AE344"/>
  <c r="AE346"/>
  <c r="AE348"/>
  <c r="AE350"/>
  <c r="AE352"/>
  <c r="AE354"/>
  <c r="AE356"/>
  <c r="AE358"/>
  <c r="AE360"/>
  <c r="AE362"/>
  <c r="AE364"/>
  <c r="AE366"/>
  <c r="AE368"/>
  <c r="AE370"/>
  <c r="AE372"/>
  <c r="AE374"/>
  <c r="AE376"/>
  <c r="AE378"/>
  <c r="AE380"/>
  <c r="AE382"/>
  <c r="AE384"/>
  <c r="AE386"/>
  <c r="AE388"/>
  <c r="AE390"/>
  <c r="AE392"/>
  <c r="AE394"/>
  <c r="AE396"/>
  <c r="AE398"/>
  <c r="AE400"/>
  <c r="AE404"/>
  <c r="AE408"/>
  <c r="AE412"/>
  <c r="AE416"/>
  <c r="AE420"/>
  <c r="AE424"/>
  <c r="AE428"/>
  <c r="AE432"/>
  <c r="AE436"/>
  <c r="X14"/>
  <c r="X15"/>
  <c r="X17"/>
  <c r="X21"/>
  <c r="X25"/>
  <c r="X26"/>
  <c r="X27"/>
  <c r="X31"/>
  <c r="X32"/>
  <c r="X33"/>
  <c r="X43"/>
  <c r="X45"/>
  <c r="X47"/>
  <c r="X49"/>
  <c r="X51"/>
  <c r="X53"/>
  <c r="X55"/>
  <c r="X57"/>
  <c r="X59"/>
  <c r="X61"/>
  <c r="X63"/>
  <c r="X65"/>
  <c r="X67"/>
  <c r="X69"/>
  <c r="X71"/>
  <c r="X73"/>
  <c r="X75"/>
  <c r="X77"/>
  <c r="X79"/>
  <c r="X81"/>
  <c r="X83"/>
  <c r="X85"/>
  <c r="X87"/>
  <c r="X89"/>
  <c r="X91"/>
  <c r="X93"/>
  <c r="X95"/>
  <c r="X97"/>
  <c r="X99"/>
  <c r="X101"/>
  <c r="X103"/>
  <c r="X105"/>
  <c r="X107"/>
  <c r="X109"/>
  <c r="X111"/>
  <c r="X113"/>
  <c r="X115"/>
  <c r="X117"/>
  <c r="X119"/>
  <c r="X121"/>
  <c r="X123"/>
  <c r="X125"/>
  <c r="X127"/>
  <c r="X129"/>
  <c r="X131"/>
  <c r="X133"/>
  <c r="X135"/>
  <c r="X137"/>
  <c r="X139"/>
  <c r="W141"/>
  <c r="AE141" s="1"/>
  <c r="AE142"/>
  <c r="X142"/>
  <c r="W143"/>
  <c r="AE143" s="1"/>
  <c r="AE144"/>
  <c r="X144"/>
  <c r="W145"/>
  <c r="AE145" s="1"/>
  <c r="AE146"/>
  <c r="X146"/>
  <c r="W147"/>
  <c r="AE147" s="1"/>
  <c r="AE148"/>
  <c r="X148"/>
  <c r="W149"/>
  <c r="AE149" s="1"/>
  <c r="AE150"/>
  <c r="X150"/>
  <c r="W151"/>
  <c r="AE151" s="1"/>
  <c r="AE152"/>
  <c r="X152"/>
  <c r="W153"/>
  <c r="AE153" s="1"/>
  <c r="AE154"/>
  <c r="X154"/>
  <c r="W155"/>
  <c r="AE155" s="1"/>
  <c r="AE156"/>
  <c r="X156"/>
  <c r="W157"/>
  <c r="AE157" s="1"/>
  <c r="AE158"/>
  <c r="X158"/>
  <c r="W159"/>
  <c r="AE159" s="1"/>
  <c r="AE160"/>
  <c r="X160"/>
  <c r="W161"/>
  <c r="AE161" s="1"/>
  <c r="AE162"/>
  <c r="X162"/>
  <c r="W163"/>
  <c r="AE163" s="1"/>
  <c r="AE164"/>
  <c r="X164"/>
  <c r="W165"/>
  <c r="AE165" s="1"/>
  <c r="AE166"/>
  <c r="X166"/>
  <c r="W167"/>
  <c r="AE167" s="1"/>
  <c r="AE168"/>
  <c r="X168"/>
  <c r="W169"/>
  <c r="AE169" s="1"/>
  <c r="AE170"/>
  <c r="X170"/>
  <c r="W171"/>
  <c r="AE171" s="1"/>
  <c r="AE172"/>
  <c r="X172"/>
  <c r="W173"/>
  <c r="AE173" s="1"/>
  <c r="AE174"/>
  <c r="X174"/>
  <c r="W175"/>
  <c r="AE175" s="1"/>
  <c r="AE176"/>
  <c r="X176"/>
  <c r="W177"/>
  <c r="AE177" s="1"/>
  <c r="AE178"/>
  <c r="X178"/>
  <c r="W179"/>
  <c r="AE179" s="1"/>
  <c r="AE180"/>
  <c r="X180"/>
  <c r="W181"/>
  <c r="AE181" s="1"/>
  <c r="AE182"/>
  <c r="X182"/>
  <c r="AE402"/>
  <c r="AE406"/>
  <c r="AE410"/>
  <c r="AE414"/>
  <c r="AE418"/>
  <c r="AE422"/>
  <c r="AE426"/>
  <c r="AE430"/>
  <c r="AE434"/>
  <c r="AE438"/>
  <c r="W183"/>
  <c r="AE183" s="1"/>
  <c r="W185"/>
  <c r="AE185" s="1"/>
  <c r="W187"/>
  <c r="AE187" s="1"/>
  <c r="W189"/>
  <c r="AE189" s="1"/>
  <c r="W191"/>
  <c r="AE191" s="1"/>
  <c r="W193"/>
  <c r="AE193" s="1"/>
  <c r="W195"/>
  <c r="AE195" s="1"/>
  <c r="W197"/>
  <c r="AE197" s="1"/>
  <c r="W199"/>
  <c r="AE199" s="1"/>
  <c r="W201"/>
  <c r="AE201" s="1"/>
  <c r="W203"/>
  <c r="AE203" s="1"/>
  <c r="W205"/>
  <c r="AE205" s="1"/>
  <c r="W207"/>
  <c r="AE207" s="1"/>
  <c r="W209"/>
  <c r="AE209" s="1"/>
  <c r="W211"/>
  <c r="AE211" s="1"/>
  <c r="W213"/>
  <c r="AE213" s="1"/>
  <c r="W215"/>
  <c r="AE215" s="1"/>
  <c r="W217"/>
  <c r="AE217" s="1"/>
  <c r="W219"/>
  <c r="AE219" s="1"/>
  <c r="W221"/>
  <c r="AE221" s="1"/>
  <c r="W223"/>
  <c r="AE223" s="1"/>
  <c r="W225"/>
  <c r="AE225" s="1"/>
  <c r="W227"/>
  <c r="AE227" s="1"/>
  <c r="W229"/>
  <c r="AE229" s="1"/>
  <c r="W231"/>
  <c r="AE231" s="1"/>
  <c r="W233"/>
  <c r="AE233" s="1"/>
  <c r="W235"/>
  <c r="AE235" s="1"/>
  <c r="W237"/>
  <c r="AE237" s="1"/>
  <c r="W239"/>
  <c r="AE239" s="1"/>
  <c r="W241"/>
  <c r="AE241" s="1"/>
  <c r="W243"/>
  <c r="AE243" s="1"/>
  <c r="W245"/>
  <c r="AE245" s="1"/>
  <c r="W247"/>
  <c r="AE247" s="1"/>
  <c r="W249"/>
  <c r="AE249" s="1"/>
  <c r="W251"/>
  <c r="AE251" s="1"/>
  <c r="W253"/>
  <c r="AE253" s="1"/>
  <c r="W255"/>
  <c r="AE255" s="1"/>
  <c r="W257"/>
  <c r="AE257" s="1"/>
  <c r="W259"/>
  <c r="AE259" s="1"/>
  <c r="W261"/>
  <c r="AE261" s="1"/>
  <c r="W263"/>
  <c r="AE263" s="1"/>
  <c r="W265"/>
  <c r="AE265" s="1"/>
  <c r="W267"/>
  <c r="AE267" s="1"/>
  <c r="W269"/>
  <c r="AE269" s="1"/>
  <c r="W271"/>
  <c r="AE271" s="1"/>
  <c r="W273"/>
  <c r="AE273" s="1"/>
  <c r="W275"/>
  <c r="AE275" s="1"/>
  <c r="W277"/>
  <c r="AE277" s="1"/>
  <c r="W279"/>
  <c r="AE279" s="1"/>
  <c r="W281"/>
  <c r="AE281" s="1"/>
  <c r="W283"/>
  <c r="AE283" s="1"/>
  <c r="W285"/>
  <c r="AE285" s="1"/>
  <c r="W287"/>
  <c r="AE287" s="1"/>
  <c r="W289"/>
  <c r="AE289" s="1"/>
  <c r="W291"/>
  <c r="AE291" s="1"/>
  <c r="W293"/>
  <c r="AE293" s="1"/>
  <c r="W295"/>
  <c r="AE295" s="1"/>
  <c r="W297"/>
  <c r="AE297" s="1"/>
  <c r="W299"/>
  <c r="AE299" s="1"/>
  <c r="W301"/>
  <c r="AE301" s="1"/>
  <c r="W303"/>
  <c r="AE303" s="1"/>
  <c r="W305"/>
  <c r="AE305" s="1"/>
  <c r="W307"/>
  <c r="AE307" s="1"/>
  <c r="W309"/>
  <c r="AE309" s="1"/>
  <c r="W311"/>
  <c r="AE311" s="1"/>
  <c r="W313"/>
  <c r="AE313" s="1"/>
  <c r="W315"/>
  <c r="AE315" s="1"/>
  <c r="W317"/>
  <c r="AE317" s="1"/>
  <c r="W319"/>
  <c r="AE319" s="1"/>
  <c r="W321"/>
  <c r="AE321" s="1"/>
  <c r="W323"/>
  <c r="AE323" s="1"/>
  <c r="W325"/>
  <c r="AE325" s="1"/>
  <c r="W327"/>
  <c r="AE327" s="1"/>
  <c r="W329"/>
  <c r="AE329" s="1"/>
  <c r="W331"/>
  <c r="AE331" s="1"/>
  <c r="W333"/>
  <c r="AE333" s="1"/>
  <c r="W335"/>
  <c r="AE335" s="1"/>
  <c r="W337"/>
  <c r="AE337" s="1"/>
  <c r="W339"/>
  <c r="AE339" s="1"/>
  <c r="W341"/>
  <c r="AE341" s="1"/>
  <c r="W343"/>
  <c r="AE343" s="1"/>
  <c r="W345"/>
  <c r="AE345" s="1"/>
  <c r="W347"/>
  <c r="AE347" s="1"/>
  <c r="W349"/>
  <c r="AE349" s="1"/>
  <c r="W351"/>
  <c r="AE351" s="1"/>
  <c r="W353"/>
  <c r="AE353" s="1"/>
  <c r="W355"/>
  <c r="AE355" s="1"/>
  <c r="W357"/>
  <c r="AE357" s="1"/>
  <c r="W359"/>
  <c r="AE359" s="1"/>
  <c r="W361"/>
  <c r="AE361" s="1"/>
  <c r="W363"/>
  <c r="AE363" s="1"/>
  <c r="W365"/>
  <c r="AE365" s="1"/>
  <c r="W367"/>
  <c r="AE367" s="1"/>
  <c r="W369"/>
  <c r="AE369" s="1"/>
  <c r="W371"/>
  <c r="AE371" s="1"/>
  <c r="W373"/>
  <c r="AE373" s="1"/>
  <c r="W375"/>
  <c r="AE375" s="1"/>
  <c r="W377"/>
  <c r="AE377" s="1"/>
  <c r="W379"/>
  <c r="AE379" s="1"/>
  <c r="W381"/>
  <c r="AE381" s="1"/>
  <c r="W383"/>
  <c r="AE383" s="1"/>
  <c r="W385"/>
  <c r="AE385" s="1"/>
  <c r="W387"/>
  <c r="AE387" s="1"/>
  <c r="W389"/>
  <c r="AE389" s="1"/>
  <c r="W391"/>
  <c r="AE391" s="1"/>
  <c r="W393"/>
  <c r="AE393" s="1"/>
  <c r="W395"/>
  <c r="AE395" s="1"/>
  <c r="W397"/>
  <c r="AE397" s="1"/>
  <c r="AE399"/>
  <c r="AE401"/>
  <c r="AE403"/>
  <c r="AE405"/>
  <c r="AE407"/>
  <c r="AE409"/>
  <c r="AE411"/>
  <c r="AE413"/>
  <c r="AE415"/>
  <c r="AE417"/>
  <c r="AE419"/>
  <c r="AE421"/>
  <c r="AE423"/>
  <c r="AE425"/>
  <c r="AE427"/>
  <c r="AE429"/>
  <c r="AE431"/>
  <c r="AE433"/>
  <c r="AE435"/>
  <c r="AE437"/>
  <c r="AE439"/>
  <c r="W440"/>
  <c r="AE440" s="1"/>
  <c r="AE441"/>
  <c r="W442"/>
  <c r="AE442" s="1"/>
  <c r="AE443"/>
  <c r="W444"/>
  <c r="AE444" s="1"/>
  <c r="AE445"/>
  <c r="W446"/>
  <c r="AE446" s="1"/>
  <c r="AE447"/>
  <c r="W448"/>
  <c r="AE448" s="1"/>
  <c r="AE449"/>
  <c r="W450"/>
  <c r="AE450" s="1"/>
  <c r="AE451"/>
  <c r="W452"/>
  <c r="AE452" s="1"/>
  <c r="AE453"/>
  <c r="W454"/>
  <c r="AE454" s="1"/>
  <c r="AE455"/>
  <c r="W456"/>
  <c r="AE456" s="1"/>
  <c r="AE457"/>
  <c r="W458"/>
  <c r="AE458" s="1"/>
  <c r="AE459"/>
  <c r="W460"/>
  <c r="AE460" s="1"/>
  <c r="AE461"/>
  <c r="AE647"/>
  <c r="AE651"/>
  <c r="AE655"/>
  <c r="AE659"/>
  <c r="AE663"/>
  <c r="AE667"/>
  <c r="AE671"/>
  <c r="W462"/>
  <c r="AE462" s="1"/>
  <c r="V462"/>
  <c r="AE463"/>
  <c r="AE464"/>
  <c r="AE465"/>
  <c r="AE466"/>
  <c r="AE467"/>
  <c r="AE468"/>
  <c r="AE469"/>
  <c r="AE470"/>
  <c r="AE471"/>
  <c r="AE472"/>
  <c r="AE473"/>
  <c r="AE474"/>
  <c r="AE475"/>
  <c r="AE476"/>
  <c r="AE477"/>
  <c r="AE478"/>
  <c r="AE479"/>
  <c r="AE480"/>
  <c r="AE481"/>
  <c r="AE482"/>
  <c r="AE483"/>
  <c r="AE484"/>
  <c r="AE485"/>
  <c r="AE486"/>
  <c r="AE487"/>
  <c r="AE488"/>
  <c r="AE489"/>
  <c r="AE490"/>
  <c r="AE491"/>
  <c r="AE492"/>
  <c r="AE493"/>
  <c r="AE494"/>
  <c r="AE495"/>
  <c r="AE496"/>
  <c r="AE497"/>
  <c r="AE498"/>
  <c r="AE499"/>
  <c r="AE500"/>
  <c r="AE501"/>
  <c r="AE502"/>
  <c r="AE503"/>
  <c r="AE504"/>
  <c r="AE505"/>
  <c r="AE506"/>
  <c r="AE507"/>
  <c r="AE508"/>
  <c r="AE509"/>
  <c r="AE510"/>
  <c r="AE511"/>
  <c r="AE512"/>
  <c r="AE513"/>
  <c r="AE514"/>
  <c r="AE515"/>
  <c r="AE516"/>
  <c r="AE517"/>
  <c r="AE518"/>
  <c r="AE519"/>
  <c r="AE520"/>
  <c r="AE521"/>
  <c r="AE522"/>
  <c r="AE523"/>
  <c r="AE524"/>
  <c r="AE525"/>
  <c r="AE526"/>
  <c r="AE527"/>
  <c r="AE528"/>
  <c r="AE529"/>
  <c r="AE530"/>
  <c r="AE531"/>
  <c r="AE532"/>
  <c r="AE533"/>
  <c r="AE534"/>
  <c r="AE535"/>
  <c r="AE536"/>
  <c r="AE537"/>
  <c r="AE538"/>
  <c r="AE539"/>
  <c r="AE540"/>
  <c r="AE541"/>
  <c r="AE542"/>
  <c r="AE543"/>
  <c r="AE544"/>
  <c r="AE545"/>
  <c r="AE546"/>
  <c r="AE547"/>
  <c r="AE548"/>
  <c r="AE549"/>
  <c r="AE550"/>
  <c r="AE551"/>
  <c r="AE552"/>
  <c r="AE553"/>
  <c r="AE554"/>
  <c r="AE555"/>
  <c r="AE556"/>
  <c r="AE557"/>
  <c r="AE558"/>
  <c r="AE559"/>
  <c r="AE560"/>
  <c r="AE561"/>
  <c r="AE562"/>
  <c r="AE563"/>
  <c r="AE564"/>
  <c r="AE565"/>
  <c r="AE566"/>
  <c r="AE567"/>
  <c r="AE568"/>
  <c r="AE569"/>
  <c r="AE570"/>
  <c r="AE571"/>
  <c r="AE572"/>
  <c r="AE573"/>
  <c r="AE574"/>
  <c r="AE575"/>
  <c r="AE576"/>
  <c r="AE577"/>
  <c r="AE578"/>
  <c r="AE579"/>
  <c r="AE580"/>
  <c r="AE581"/>
  <c r="AE582"/>
  <c r="AE583"/>
  <c r="AE584"/>
  <c r="AE585"/>
  <c r="AE586"/>
  <c r="AE587"/>
  <c r="AE588"/>
  <c r="AE589"/>
  <c r="AE590"/>
  <c r="AE591"/>
  <c r="AE592"/>
  <c r="AE593"/>
  <c r="AE594"/>
  <c r="AE595"/>
  <c r="AE596"/>
  <c r="AE597"/>
  <c r="AE598"/>
  <c r="AE599"/>
  <c r="AE600"/>
  <c r="AE601"/>
  <c r="AE602"/>
  <c r="AE603"/>
  <c r="AE604"/>
  <c r="AE605"/>
  <c r="AE606"/>
  <c r="AE607"/>
  <c r="AE608"/>
  <c r="AE609"/>
  <c r="AE610"/>
  <c r="AE611"/>
  <c r="AE612"/>
  <c r="AE613"/>
  <c r="AE614"/>
  <c r="AE615"/>
  <c r="AE616"/>
  <c r="AE617"/>
  <c r="AE618"/>
  <c r="AE619"/>
  <c r="AE620"/>
  <c r="AE621"/>
  <c r="AE622"/>
  <c r="AE623"/>
  <c r="AE624"/>
  <c r="AE625"/>
  <c r="AE626"/>
  <c r="AE627"/>
  <c r="AE628"/>
  <c r="AE629"/>
  <c r="AE630"/>
  <c r="AE631"/>
  <c r="AE632"/>
  <c r="AE633"/>
  <c r="AE634"/>
  <c r="AE635"/>
  <c r="AE636"/>
  <c r="AE637"/>
  <c r="AE638"/>
  <c r="AE639"/>
  <c r="AE640"/>
  <c r="AE641"/>
  <c r="AE642"/>
  <c r="AE643"/>
  <c r="AE645"/>
  <c r="AE649"/>
  <c r="AE653"/>
  <c r="AE657"/>
  <c r="AE661"/>
  <c r="AE665"/>
  <c r="AE669"/>
  <c r="AE673"/>
  <c r="V464"/>
  <c r="V466"/>
  <c r="V468"/>
  <c r="V470"/>
  <c r="V472"/>
  <c r="V474"/>
  <c r="V476"/>
  <c r="V478"/>
  <c r="V480"/>
  <c r="V482"/>
  <c r="V484"/>
  <c r="V486"/>
  <c r="V488"/>
  <c r="V490"/>
  <c r="V492"/>
  <c r="V494"/>
  <c r="V496"/>
  <c r="V498"/>
  <c r="V500"/>
  <c r="V502"/>
  <c r="V504"/>
  <c r="V506"/>
  <c r="V508"/>
  <c r="V510"/>
  <c r="V512"/>
  <c r="V514"/>
  <c r="V516"/>
  <c r="V518"/>
  <c r="V520"/>
  <c r="V522"/>
  <c r="V524"/>
  <c r="V526"/>
  <c r="V528"/>
  <c r="V530"/>
  <c r="V532"/>
  <c r="V534"/>
  <c r="V536"/>
  <c r="V538"/>
  <c r="V540"/>
  <c r="V542"/>
  <c r="V544"/>
  <c r="V546"/>
  <c r="V548"/>
  <c r="V550"/>
  <c r="V552"/>
  <c r="V554"/>
  <c r="V556"/>
  <c r="V558"/>
  <c r="V560"/>
  <c r="V562"/>
  <c r="V564"/>
  <c r="V566"/>
  <c r="V568"/>
  <c r="V570"/>
  <c r="V572"/>
  <c r="V574"/>
  <c r="V576"/>
  <c r="V578"/>
  <c r="V580"/>
  <c r="V582"/>
  <c r="V584"/>
  <c r="V586"/>
  <c r="V588"/>
  <c r="V590"/>
  <c r="V592"/>
  <c r="V594"/>
  <c r="V596"/>
  <c r="V598"/>
  <c r="V600"/>
  <c r="V602"/>
  <c r="V604"/>
  <c r="V606"/>
  <c r="V608"/>
  <c r="V610"/>
  <c r="V612"/>
  <c r="V614"/>
  <c r="V616"/>
  <c r="V618"/>
  <c r="V620"/>
  <c r="V622"/>
  <c r="V624"/>
  <c r="V626"/>
  <c r="V628"/>
  <c r="V630"/>
  <c r="V632"/>
  <c r="V634"/>
  <c r="V636"/>
  <c r="V638"/>
  <c r="V640"/>
  <c r="V642"/>
  <c r="AE788"/>
  <c r="AE792"/>
  <c r="AE796"/>
  <c r="AE800"/>
  <c r="AE804"/>
  <c r="AE808"/>
  <c r="AE644"/>
  <c r="AE646"/>
  <c r="AE648"/>
  <c r="AE650"/>
  <c r="AE652"/>
  <c r="AE654"/>
  <c r="AE656"/>
  <c r="AE658"/>
  <c r="AE660"/>
  <c r="AE662"/>
  <c r="AE664"/>
  <c r="AE666"/>
  <c r="AE668"/>
  <c r="AE670"/>
  <c r="AE672"/>
  <c r="AE674"/>
  <c r="AE675"/>
  <c r="AE676"/>
  <c r="AE677"/>
  <c r="AE678"/>
  <c r="AE679"/>
  <c r="AE680"/>
  <c r="AE681"/>
  <c r="AE682"/>
  <c r="AE683"/>
  <c r="AE684"/>
  <c r="AE685"/>
  <c r="AE686"/>
  <c r="AE687"/>
  <c r="AE688"/>
  <c r="AE689"/>
  <c r="AE690"/>
  <c r="AE691"/>
  <c r="AE692"/>
  <c r="AE693"/>
  <c r="AE694"/>
  <c r="AE695"/>
  <c r="AE696"/>
  <c r="AE697"/>
  <c r="AE698"/>
  <c r="AE699"/>
  <c r="AE700"/>
  <c r="AE701"/>
  <c r="AE702"/>
  <c r="AE703"/>
  <c r="AE704"/>
  <c r="AE705"/>
  <c r="AE706"/>
  <c r="AE707"/>
  <c r="AE708"/>
  <c r="AE709"/>
  <c r="AE710"/>
  <c r="AE711"/>
  <c r="AE712"/>
  <c r="AE713"/>
  <c r="AE714"/>
  <c r="AE715"/>
  <c r="AE716"/>
  <c r="AE717"/>
  <c r="AE718"/>
  <c r="AE719"/>
  <c r="AE720"/>
  <c r="AE721"/>
  <c r="AE722"/>
  <c r="AE723"/>
  <c r="AE724"/>
  <c r="AE725"/>
  <c r="AE726"/>
  <c r="AE727"/>
  <c r="AE728"/>
  <c r="AE729"/>
  <c r="AE730"/>
  <c r="AE731"/>
  <c r="AE732"/>
  <c r="AE733"/>
  <c r="AE734"/>
  <c r="AE735"/>
  <c r="AE736"/>
  <c r="AE737"/>
  <c r="AE738"/>
  <c r="AE739"/>
  <c r="AE740"/>
  <c r="AE741"/>
  <c r="AE742"/>
  <c r="AE743"/>
  <c r="AE744"/>
  <c r="AE745"/>
  <c r="AE746"/>
  <c r="AE747"/>
  <c r="AE748"/>
  <c r="AE749"/>
  <c r="AE750"/>
  <c r="AE751"/>
  <c r="AE752"/>
  <c r="AE753"/>
  <c r="AE754"/>
  <c r="AE755"/>
  <c r="AE756"/>
  <c r="AE757"/>
  <c r="AE758"/>
  <c r="AE759"/>
  <c r="AE760"/>
  <c r="AE761"/>
  <c r="AE762"/>
  <c r="AE763"/>
  <c r="AE764"/>
  <c r="AE765"/>
  <c r="AE766"/>
  <c r="AE767"/>
  <c r="AE768"/>
  <c r="AE769"/>
  <c r="AE770"/>
  <c r="AE771"/>
  <c r="AE772"/>
  <c r="AE773"/>
  <c r="AE774"/>
  <c r="AE775"/>
  <c r="AE776"/>
  <c r="AE777"/>
  <c r="AE778"/>
  <c r="AE779"/>
  <c r="AE780"/>
  <c r="AE781"/>
  <c r="AE782"/>
  <c r="AE783"/>
  <c r="AE784"/>
  <c r="AE785"/>
  <c r="AE786"/>
  <c r="AE790"/>
  <c r="AE794"/>
  <c r="AE798"/>
  <c r="AE802"/>
  <c r="AE806"/>
  <c r="V675"/>
  <c r="V677"/>
  <c r="V679"/>
  <c r="V681"/>
  <c r="V683"/>
  <c r="V685"/>
  <c r="V687"/>
  <c r="V689"/>
  <c r="V691"/>
  <c r="V693"/>
  <c r="V695"/>
  <c r="V697"/>
  <c r="V699"/>
  <c r="V701"/>
  <c r="V703"/>
  <c r="V705"/>
  <c r="V707"/>
  <c r="V709"/>
  <c r="V711"/>
  <c r="V713"/>
  <c r="V715"/>
  <c r="V717"/>
  <c r="V719"/>
  <c r="V721"/>
  <c r="V723"/>
  <c r="V725"/>
  <c r="V727"/>
  <c r="V729"/>
  <c r="V731"/>
  <c r="V733"/>
  <c r="V735"/>
  <c r="V737"/>
  <c r="V739"/>
  <c r="V741"/>
  <c r="V743"/>
  <c r="V745"/>
  <c r="V747"/>
  <c r="V749"/>
  <c r="V751"/>
  <c r="V753"/>
  <c r="V755"/>
  <c r="V757"/>
  <c r="V759"/>
  <c r="V761"/>
  <c r="V763"/>
  <c r="V765"/>
  <c r="V767"/>
  <c r="V769"/>
  <c r="V771"/>
  <c r="V773"/>
  <c r="V775"/>
  <c r="V777"/>
  <c r="V779"/>
  <c r="V781"/>
  <c r="V783"/>
  <c r="V785"/>
  <c r="AE816"/>
  <c r="AE817"/>
  <c r="AE818"/>
  <c r="AE819"/>
  <c r="AE820"/>
  <c r="AE821"/>
  <c r="AE822"/>
  <c r="AE823"/>
  <c r="AE824"/>
  <c r="AE825"/>
  <c r="AE826"/>
  <c r="AE827"/>
  <c r="AE828"/>
  <c r="AE829"/>
  <c r="AE830"/>
  <c r="AE831"/>
  <c r="AE832"/>
  <c r="AE833"/>
  <c r="AE834"/>
  <c r="AE835"/>
  <c r="AE836"/>
  <c r="AE837"/>
  <c r="AE838"/>
  <c r="AE839"/>
  <c r="AE840"/>
  <c r="AE841"/>
  <c r="AE842"/>
  <c r="AE843"/>
  <c r="AE844"/>
  <c r="AE845"/>
  <c r="AE846"/>
  <c r="AE847"/>
  <c r="AE848"/>
  <c r="AE849"/>
  <c r="AE850"/>
  <c r="AE851"/>
  <c r="AE852"/>
  <c r="AE853"/>
  <c r="AE854"/>
  <c r="AE855"/>
  <c r="AE856"/>
  <c r="AE857"/>
  <c r="AE858"/>
  <c r="AE859"/>
  <c r="AE860"/>
  <c r="AE861"/>
  <c r="AE862"/>
  <c r="AE863"/>
  <c r="AE864"/>
  <c r="AE865"/>
  <c r="AE866"/>
  <c r="AE867"/>
  <c r="AE868"/>
  <c r="AE869"/>
  <c r="AE870"/>
  <c r="AE871"/>
  <c r="AE872"/>
  <c r="AE873"/>
  <c r="AE874"/>
  <c r="AE875"/>
  <c r="AE876"/>
  <c r="AE877"/>
  <c r="AE878"/>
  <c r="AE879"/>
  <c r="AE880"/>
  <c r="AE881"/>
  <c r="AE882"/>
  <c r="AE883"/>
  <c r="AE884"/>
  <c r="AE885"/>
  <c r="AE886"/>
  <c r="AE887"/>
  <c r="AE888"/>
  <c r="AE889"/>
  <c r="AE890"/>
  <c r="AE891"/>
  <c r="AE892"/>
  <c r="AE893"/>
  <c r="AE894"/>
  <c r="AE895"/>
  <c r="AE896"/>
  <c r="AE897"/>
  <c r="AE898"/>
  <c r="AE899"/>
  <c r="AE900"/>
  <c r="AE901"/>
  <c r="AE902"/>
  <c r="AE903"/>
  <c r="AE904"/>
  <c r="AE905"/>
  <c r="AE906"/>
  <c r="AE907"/>
  <c r="AE908"/>
  <c r="AE909"/>
  <c r="AE910"/>
  <c r="AE911"/>
  <c r="AE912"/>
  <c r="AE913"/>
  <c r="AE914"/>
  <c r="AE915"/>
  <c r="AE916"/>
  <c r="AE917"/>
  <c r="AE918"/>
  <c r="AE919"/>
  <c r="AE920"/>
  <c r="AE921"/>
  <c r="AE922"/>
  <c r="AE923"/>
  <c r="AE924"/>
  <c r="AE787"/>
  <c r="AE789"/>
  <c r="AE791"/>
  <c r="AE793"/>
  <c r="AE795"/>
  <c r="AE797"/>
  <c r="AE799"/>
  <c r="AE801"/>
  <c r="AE803"/>
  <c r="AE805"/>
  <c r="AE807"/>
  <c r="AE809"/>
  <c r="W810"/>
  <c r="AE810" s="1"/>
  <c r="AE811"/>
  <c r="W812"/>
  <c r="AE812" s="1"/>
  <c r="AE813"/>
  <c r="W814"/>
  <c r="AE814" s="1"/>
  <c r="AE815"/>
  <c r="V816"/>
  <c r="V818"/>
  <c r="V820"/>
  <c r="V822"/>
  <c r="V824"/>
  <c r="V826"/>
  <c r="V828"/>
  <c r="V830"/>
  <c r="V832"/>
  <c r="V834"/>
  <c r="V836"/>
  <c r="V838"/>
  <c r="V840"/>
  <c r="V842"/>
  <c r="V844"/>
  <c r="V846"/>
  <c r="V848"/>
  <c r="V850"/>
  <c r="V852"/>
  <c r="V854"/>
  <c r="V856"/>
  <c r="V858"/>
  <c r="V860"/>
  <c r="V862"/>
  <c r="V864"/>
  <c r="V866"/>
  <c r="V868"/>
  <c r="V870"/>
  <c r="V872"/>
  <c r="V874"/>
  <c r="V876"/>
  <c r="V878"/>
  <c r="V880"/>
  <c r="V882"/>
  <c r="V884"/>
  <c r="V886"/>
  <c r="V888"/>
  <c r="V890"/>
  <c r="V892"/>
  <c r="V894"/>
  <c r="V896"/>
  <c r="V898"/>
  <c r="V900"/>
  <c r="V902"/>
  <c r="V904"/>
  <c r="V906"/>
  <c r="V908"/>
  <c r="V910"/>
  <c r="V912"/>
  <c r="V914"/>
  <c r="V916"/>
  <c r="V918"/>
  <c r="V920"/>
  <c r="V922"/>
  <c r="V924"/>
  <c r="AE925"/>
  <c r="W926"/>
  <c r="AE926" s="1"/>
  <c r="AE927"/>
  <c r="W928"/>
  <c r="AE928" s="1"/>
  <c r="AE929"/>
  <c r="W930"/>
  <c r="AE930" s="1"/>
  <c r="AE931"/>
  <c r="W932"/>
  <c r="AE932" s="1"/>
  <c r="AE933"/>
  <c r="W934"/>
  <c r="AE934" s="1"/>
  <c r="AE935"/>
  <c r="W936"/>
  <c r="AE936" s="1"/>
  <c r="AE937"/>
  <c r="AE938"/>
  <c r="AE939"/>
  <c r="AE940"/>
  <c r="AE941"/>
  <c r="AE942"/>
  <c r="AE943"/>
  <c r="AE944"/>
  <c r="AE945"/>
  <c r="AE946"/>
  <c r="AE947"/>
  <c r="AE948"/>
  <c r="AE949"/>
  <c r="AE950"/>
  <c r="AE951"/>
  <c r="AE952"/>
  <c r="AE953"/>
  <c r="AE954"/>
  <c r="AE955"/>
  <c r="AE956"/>
  <c r="AE957"/>
  <c r="AE958"/>
  <c r="AE959"/>
  <c r="AE960"/>
  <c r="AE961"/>
  <c r="AE962"/>
  <c r="AE963"/>
  <c r="AE964"/>
  <c r="AE965"/>
  <c r="AE966"/>
  <c r="AE967"/>
  <c r="AE968"/>
  <c r="AE969"/>
  <c r="AE970"/>
  <c r="AE971"/>
  <c r="AE972"/>
  <c r="AE973"/>
  <c r="AE974"/>
  <c r="AE975"/>
  <c r="AE976"/>
  <c r="AE977"/>
  <c r="AE978"/>
  <c r="AE979"/>
  <c r="AE980"/>
  <c r="AE981"/>
  <c r="AE982"/>
  <c r="AE983"/>
  <c r="AE984"/>
  <c r="AE985"/>
  <c r="AE986"/>
  <c r="AE987"/>
  <c r="AE988"/>
  <c r="AE989"/>
  <c r="AE990"/>
  <c r="AE991"/>
  <c r="AE992"/>
  <c r="AE993"/>
  <c r="AE994"/>
  <c r="AE995"/>
  <c r="AE996"/>
  <c r="AE997"/>
  <c r="AE998"/>
  <c r="AE999"/>
  <c r="AE1000"/>
  <c r="AE1001"/>
  <c r="AE1002"/>
  <c r="AE1003"/>
  <c r="AE1004"/>
  <c r="AE1005"/>
  <c r="AE1006"/>
  <c r="AE1007"/>
  <c r="AE1008"/>
  <c r="AE1009"/>
  <c r="AE1010"/>
  <c r="AE1011"/>
  <c r="AE1012"/>
  <c r="E1017"/>
  <c r="F1034"/>
  <c r="F1035"/>
  <c r="E1018"/>
  <c r="F1036"/>
  <c r="E1019"/>
  <c r="F1037"/>
  <c r="E1020"/>
  <c r="F1038"/>
  <c r="E1021"/>
  <c r="V939"/>
  <c r="V941"/>
  <c r="V943"/>
  <c r="V945"/>
  <c r="V947"/>
  <c r="V949"/>
  <c r="V951"/>
  <c r="V953"/>
  <c r="V955"/>
  <c r="V957"/>
  <c r="V959"/>
  <c r="V961"/>
  <c r="V963"/>
  <c r="V965"/>
  <c r="V967"/>
  <c r="V969"/>
  <c r="V971"/>
  <c r="V973"/>
  <c r="V975"/>
  <c r="V977"/>
  <c r="V979"/>
  <c r="V981"/>
  <c r="V983"/>
  <c r="V985"/>
  <c r="V987"/>
  <c r="V989"/>
  <c r="V991"/>
  <c r="V993"/>
  <c r="V995"/>
  <c r="V997"/>
  <c r="V999"/>
  <c r="V1001"/>
  <c r="V1003"/>
  <c r="V1005"/>
  <c r="V1007"/>
  <c r="K1017"/>
  <c r="M1017"/>
  <c r="F1023"/>
  <c r="BC18" s="1"/>
  <c r="J1017"/>
  <c r="L1017"/>
  <c r="AE17" i="7"/>
  <c r="V1018"/>
  <c r="AU25" s="1"/>
  <c r="X56"/>
  <c r="X54"/>
  <c r="X52"/>
  <c r="X50"/>
  <c r="X48"/>
  <c r="X46"/>
  <c r="X44"/>
  <c r="X42"/>
  <c r="X41"/>
  <c r="X40"/>
  <c r="X39"/>
  <c r="X38"/>
  <c r="X37"/>
  <c r="X36"/>
  <c r="X35"/>
  <c r="X34"/>
  <c r="X30"/>
  <c r="X29"/>
  <c r="X28"/>
  <c r="X24"/>
  <c r="X23"/>
  <c r="X22"/>
  <c r="X20"/>
  <c r="X19"/>
  <c r="X18"/>
  <c r="X16"/>
  <c r="X13"/>
  <c r="X55"/>
  <c r="X53"/>
  <c r="X51"/>
  <c r="X49"/>
  <c r="X47"/>
  <c r="X45"/>
  <c r="X43"/>
  <c r="X33"/>
  <c r="X32"/>
  <c r="X31"/>
  <c r="X27"/>
  <c r="X26"/>
  <c r="X25"/>
  <c r="X21"/>
  <c r="X17"/>
  <c r="X15"/>
  <c r="X14"/>
  <c r="AE21"/>
  <c r="W13"/>
  <c r="V1017"/>
  <c r="AU22" s="1"/>
  <c r="AF15"/>
  <c r="AE15" s="1"/>
  <c r="W16"/>
  <c r="AE16" s="1"/>
  <c r="V1020"/>
  <c r="AU31" s="1"/>
  <c r="W18"/>
  <c r="AE18" s="1"/>
  <c r="W19"/>
  <c r="W20"/>
  <c r="AE20" s="1"/>
  <c r="V1021"/>
  <c r="AU34" s="1"/>
  <c r="AF21"/>
  <c r="W22"/>
  <c r="AE22" s="1"/>
  <c r="W23"/>
  <c r="AE23" s="1"/>
  <c r="W24"/>
  <c r="AE24" s="1"/>
  <c r="W28"/>
  <c r="AE28" s="1"/>
  <c r="W29"/>
  <c r="AE29" s="1"/>
  <c r="W30"/>
  <c r="AE30" s="1"/>
  <c r="W34"/>
  <c r="AE34" s="1"/>
  <c r="W35"/>
  <c r="AE35" s="1"/>
  <c r="W36"/>
  <c r="AE36" s="1"/>
  <c r="W37"/>
  <c r="AE37" s="1"/>
  <c r="W38"/>
  <c r="AE38" s="1"/>
  <c r="W39"/>
  <c r="AE39" s="1"/>
  <c r="W40"/>
  <c r="AE40" s="1"/>
  <c r="W41"/>
  <c r="AE41" s="1"/>
  <c r="W42"/>
  <c r="AE42" s="1"/>
  <c r="W44"/>
  <c r="AE44" s="1"/>
  <c r="W46"/>
  <c r="AE46" s="1"/>
  <c r="W48"/>
  <c r="AE48" s="1"/>
  <c r="W50"/>
  <c r="AE50" s="1"/>
  <c r="W52"/>
  <c r="AE52" s="1"/>
  <c r="W54"/>
  <c r="AE54" s="1"/>
  <c r="W56"/>
  <c r="AE56" s="1"/>
  <c r="V57"/>
  <c r="V59"/>
  <c r="V61"/>
  <c r="V63"/>
  <c r="V65"/>
  <c r="V67"/>
  <c r="V69"/>
  <c r="V71"/>
  <c r="V73"/>
  <c r="V75"/>
  <c r="V77"/>
  <c r="V79"/>
  <c r="V81"/>
  <c r="V83"/>
  <c r="V85"/>
  <c r="V87"/>
  <c r="V89"/>
  <c r="V91"/>
  <c r="V93"/>
  <c r="V95"/>
  <c r="V97"/>
  <c r="V99"/>
  <c r="V101"/>
  <c r="V103"/>
  <c r="V105"/>
  <c r="V107"/>
  <c r="V109"/>
  <c r="V111"/>
  <c r="V113"/>
  <c r="V115"/>
  <c r="V117"/>
  <c r="V119"/>
  <c r="V121"/>
  <c r="V123"/>
  <c r="V125"/>
  <c r="V127"/>
  <c r="V129"/>
  <c r="V131"/>
  <c r="V133"/>
  <c r="V135"/>
  <c r="V137"/>
  <c r="V139"/>
  <c r="V141"/>
  <c r="V143"/>
  <c r="V145"/>
  <c r="V147"/>
  <c r="V149"/>
  <c r="V151"/>
  <c r="V153"/>
  <c r="V155"/>
  <c r="V157"/>
  <c r="V159"/>
  <c r="V161"/>
  <c r="V163"/>
  <c r="V165"/>
  <c r="V167"/>
  <c r="V169"/>
  <c r="V171"/>
  <c r="V173"/>
  <c r="V175"/>
  <c r="V177"/>
  <c r="V179"/>
  <c r="V181"/>
  <c r="V183"/>
  <c r="V185"/>
  <c r="V187"/>
  <c r="V189"/>
  <c r="V191"/>
  <c r="V193"/>
  <c r="V195"/>
  <c r="V197"/>
  <c r="V199"/>
  <c r="V201"/>
  <c r="V203"/>
  <c r="V205"/>
  <c r="V207"/>
  <c r="V209"/>
  <c r="V211"/>
  <c r="V213"/>
  <c r="V215"/>
  <c r="V217"/>
  <c r="V219"/>
  <c r="V221"/>
  <c r="V223"/>
  <c r="V225"/>
  <c r="V227"/>
  <c r="V229"/>
  <c r="V231"/>
  <c r="V233"/>
  <c r="V235"/>
  <c r="V237"/>
  <c r="V239"/>
  <c r="V241"/>
  <c r="V243"/>
  <c r="V245"/>
  <c r="V247"/>
  <c r="V249"/>
  <c r="V251"/>
  <c r="V253"/>
  <c r="V255"/>
  <c r="V257"/>
  <c r="V259"/>
  <c r="V261"/>
  <c r="V263"/>
  <c r="V265"/>
  <c r="V267"/>
  <c r="V269"/>
  <c r="V271"/>
  <c r="V273"/>
  <c r="V275"/>
  <c r="V277"/>
  <c r="V279"/>
  <c r="V281"/>
  <c r="V283"/>
  <c r="V285"/>
  <c r="V287"/>
  <c r="V289"/>
  <c r="V291"/>
  <c r="V293"/>
  <c r="V295"/>
  <c r="V297"/>
  <c r="V299"/>
  <c r="V301"/>
  <c r="V303"/>
  <c r="V305"/>
  <c r="V307"/>
  <c r="V309"/>
  <c r="V311"/>
  <c r="V313"/>
  <c r="V315"/>
  <c r="V317"/>
  <c r="V319"/>
  <c r="V321"/>
  <c r="V323"/>
  <c r="V325"/>
  <c r="V327"/>
  <c r="V329"/>
  <c r="V331"/>
  <c r="V333"/>
  <c r="V335"/>
  <c r="V337"/>
  <c r="V339"/>
  <c r="V341"/>
  <c r="AE342"/>
  <c r="W343"/>
  <c r="AE343" s="1"/>
  <c r="AE344"/>
  <c r="W345"/>
  <c r="AE345" s="1"/>
  <c r="AE346"/>
  <c r="W347"/>
  <c r="AE347" s="1"/>
  <c r="AE348"/>
  <c r="W349"/>
  <c r="AE349" s="1"/>
  <c r="AE350"/>
  <c r="W351"/>
  <c r="AE351" s="1"/>
  <c r="AE352"/>
  <c r="AE417"/>
  <c r="AE421"/>
  <c r="AE425"/>
  <c r="AE429"/>
  <c r="AE433"/>
  <c r="AE437"/>
  <c r="AE441"/>
  <c r="AE445"/>
  <c r="AE449"/>
  <c r="AF19"/>
  <c r="AE354"/>
  <c r="AE356"/>
  <c r="AE358"/>
  <c r="AE360"/>
  <c r="AE362"/>
  <c r="AE364"/>
  <c r="AE366"/>
  <c r="AE368"/>
  <c r="AE370"/>
  <c r="AE372"/>
  <c r="AE374"/>
  <c r="AE376"/>
  <c r="AE378"/>
  <c r="AE380"/>
  <c r="AE382"/>
  <c r="AE384"/>
  <c r="AE386"/>
  <c r="AE388"/>
  <c r="AE390"/>
  <c r="AE392"/>
  <c r="AE394"/>
  <c r="AE396"/>
  <c r="AE398"/>
  <c r="AE400"/>
  <c r="AE402"/>
  <c r="AE404"/>
  <c r="AE406"/>
  <c r="AE408"/>
  <c r="AE410"/>
  <c r="AE412"/>
  <c r="AE414"/>
  <c r="AE416"/>
  <c r="AE419"/>
  <c r="AE423"/>
  <c r="AE427"/>
  <c r="AE431"/>
  <c r="AE435"/>
  <c r="AE439"/>
  <c r="AE443"/>
  <c r="AE447"/>
  <c r="AE451"/>
  <c r="W353"/>
  <c r="AE353" s="1"/>
  <c r="W355"/>
  <c r="AE355" s="1"/>
  <c r="W357"/>
  <c r="AE357" s="1"/>
  <c r="W359"/>
  <c r="AE359" s="1"/>
  <c r="W361"/>
  <c r="AE361" s="1"/>
  <c r="W363"/>
  <c r="AE363" s="1"/>
  <c r="W365"/>
  <c r="AE365" s="1"/>
  <c r="W367"/>
  <c r="AE367" s="1"/>
  <c r="W369"/>
  <c r="AE369" s="1"/>
  <c r="W371"/>
  <c r="AE371" s="1"/>
  <c r="W373"/>
  <c r="AE373" s="1"/>
  <c r="W375"/>
  <c r="AE375" s="1"/>
  <c r="W377"/>
  <c r="AE377" s="1"/>
  <c r="W379"/>
  <c r="AE379" s="1"/>
  <c r="W381"/>
  <c r="AE381" s="1"/>
  <c r="W383"/>
  <c r="AE383" s="1"/>
  <c r="W385"/>
  <c r="AE385" s="1"/>
  <c r="W387"/>
  <c r="AE387" s="1"/>
  <c r="W389"/>
  <c r="AE389" s="1"/>
  <c r="W391"/>
  <c r="AE391" s="1"/>
  <c r="W393"/>
  <c r="AE393" s="1"/>
  <c r="W395"/>
  <c r="AE395" s="1"/>
  <c r="W397"/>
  <c r="AE397" s="1"/>
  <c r="W399"/>
  <c r="AE399" s="1"/>
  <c r="W401"/>
  <c r="AE401" s="1"/>
  <c r="W403"/>
  <c r="AE403" s="1"/>
  <c r="W405"/>
  <c r="AE405" s="1"/>
  <c r="W407"/>
  <c r="AE407" s="1"/>
  <c r="W409"/>
  <c r="AE409" s="1"/>
  <c r="W411"/>
  <c r="AE411" s="1"/>
  <c r="W413"/>
  <c r="AE413" s="1"/>
  <c r="W415"/>
  <c r="AE415" s="1"/>
  <c r="AE418"/>
  <c r="AE420"/>
  <c r="AE422"/>
  <c r="AE424"/>
  <c r="AE426"/>
  <c r="AE428"/>
  <c r="AE430"/>
  <c r="AE432"/>
  <c r="AE434"/>
  <c r="AE436"/>
  <c r="AE438"/>
  <c r="AE440"/>
  <c r="AE442"/>
  <c r="AE444"/>
  <c r="AE446"/>
  <c r="AE448"/>
  <c r="AE450"/>
  <c r="AE452"/>
  <c r="W453"/>
  <c r="AE453" s="1"/>
  <c r="AE454"/>
  <c r="W455"/>
  <c r="AE455" s="1"/>
  <c r="AE456"/>
  <c r="W457"/>
  <c r="AE457" s="1"/>
  <c r="AE458"/>
  <c r="W459"/>
  <c r="AE459" s="1"/>
  <c r="AE460"/>
  <c r="W461"/>
  <c r="AE461" s="1"/>
  <c r="AE462"/>
  <c r="W463"/>
  <c r="AE463" s="1"/>
  <c r="AE464"/>
  <c r="W465"/>
  <c r="AE465" s="1"/>
  <c r="AE466"/>
  <c r="W467"/>
  <c r="AE467" s="1"/>
  <c r="AE468"/>
  <c r="W469"/>
  <c r="AE469" s="1"/>
  <c r="AE470"/>
  <c r="W471"/>
  <c r="AE471" s="1"/>
  <c r="AE472"/>
  <c r="W473"/>
  <c r="AE473" s="1"/>
  <c r="AE474"/>
  <c r="W475"/>
  <c r="AE475" s="1"/>
  <c r="AE476"/>
  <c r="W477"/>
  <c r="AE477" s="1"/>
  <c r="AE478"/>
  <c r="W479"/>
  <c r="AE479" s="1"/>
  <c r="AE480"/>
  <c r="W481"/>
  <c r="AE481" s="1"/>
  <c r="AE482"/>
  <c r="W483"/>
  <c r="AE483" s="1"/>
  <c r="AE484"/>
  <c r="W485"/>
  <c r="AE485" s="1"/>
  <c r="AE486"/>
  <c r="W487"/>
  <c r="AE487" s="1"/>
  <c r="AE488"/>
  <c r="W489"/>
  <c r="AE489" s="1"/>
  <c r="AE490"/>
  <c r="W491"/>
  <c r="AE491" s="1"/>
  <c r="AE492"/>
  <c r="W493"/>
  <c r="AE493" s="1"/>
  <c r="AE494"/>
  <c r="W495"/>
  <c r="AE495" s="1"/>
  <c r="AE496"/>
  <c r="W497"/>
  <c r="AE497" s="1"/>
  <c r="AE498"/>
  <c r="W499"/>
  <c r="AE499" s="1"/>
  <c r="AE500"/>
  <c r="W501"/>
  <c r="AE501" s="1"/>
  <c r="AE502"/>
  <c r="W503"/>
  <c r="AE503" s="1"/>
  <c r="AE504"/>
  <c r="AE704"/>
  <c r="AE708"/>
  <c r="AE712"/>
  <c r="AE716"/>
  <c r="AE720"/>
  <c r="AE505"/>
  <c r="AE506"/>
  <c r="AE507"/>
  <c r="AE508"/>
  <c r="AE509"/>
  <c r="AE510"/>
  <c r="AE511"/>
  <c r="AE512"/>
  <c r="AE513"/>
  <c r="AE514"/>
  <c r="AE515"/>
  <c r="AE516"/>
  <c r="AE517"/>
  <c r="AE518"/>
  <c r="AE519"/>
  <c r="AE520"/>
  <c r="AE521"/>
  <c r="AE522"/>
  <c r="AE523"/>
  <c r="AE524"/>
  <c r="AE525"/>
  <c r="AE526"/>
  <c r="AE527"/>
  <c r="AE528"/>
  <c r="AE529"/>
  <c r="AE530"/>
  <c r="AE531"/>
  <c r="AE532"/>
  <c r="AE533"/>
  <c r="AE534"/>
  <c r="AE535"/>
  <c r="AE536"/>
  <c r="AE537"/>
  <c r="AE538"/>
  <c r="AE539"/>
  <c r="AE540"/>
  <c r="AE541"/>
  <c r="AE542"/>
  <c r="AE543"/>
  <c r="AE544"/>
  <c r="AE545"/>
  <c r="AE546"/>
  <c r="AE547"/>
  <c r="AE548"/>
  <c r="AE549"/>
  <c r="AE550"/>
  <c r="AE551"/>
  <c r="AE552"/>
  <c r="AE553"/>
  <c r="AE554"/>
  <c r="AE555"/>
  <c r="AE556"/>
  <c r="AE557"/>
  <c r="AE558"/>
  <c r="AE559"/>
  <c r="AE560"/>
  <c r="AE561"/>
  <c r="AE562"/>
  <c r="AE563"/>
  <c r="AE564"/>
  <c r="AE565"/>
  <c r="AE566"/>
  <c r="AE567"/>
  <c r="AE568"/>
  <c r="AE569"/>
  <c r="AE570"/>
  <c r="AE571"/>
  <c r="AE572"/>
  <c r="AE573"/>
  <c r="AE574"/>
  <c r="AE575"/>
  <c r="AE576"/>
  <c r="AE577"/>
  <c r="AE578"/>
  <c r="AE579"/>
  <c r="AE580"/>
  <c r="AE581"/>
  <c r="AE582"/>
  <c r="AE583"/>
  <c r="AE584"/>
  <c r="AE585"/>
  <c r="AE586"/>
  <c r="AE587"/>
  <c r="AE588"/>
  <c r="AE589"/>
  <c r="AE590"/>
  <c r="AE591"/>
  <c r="AE592"/>
  <c r="AE593"/>
  <c r="AE594"/>
  <c r="AE595"/>
  <c r="AE596"/>
  <c r="AE597"/>
  <c r="AE598"/>
  <c r="AE599"/>
  <c r="AE600"/>
  <c r="AE601"/>
  <c r="AE602"/>
  <c r="AE603"/>
  <c r="AE604"/>
  <c r="AE605"/>
  <c r="AE606"/>
  <c r="AE607"/>
  <c r="AE608"/>
  <c r="AE609"/>
  <c r="AE610"/>
  <c r="AE611"/>
  <c r="AE612"/>
  <c r="AE613"/>
  <c r="AE614"/>
  <c r="AE615"/>
  <c r="AE616"/>
  <c r="AE617"/>
  <c r="AE618"/>
  <c r="AE619"/>
  <c r="AE620"/>
  <c r="AE621"/>
  <c r="AE622"/>
  <c r="AE623"/>
  <c r="AE624"/>
  <c r="AE625"/>
  <c r="AE626"/>
  <c r="AE627"/>
  <c r="AE628"/>
  <c r="AE629"/>
  <c r="AE630"/>
  <c r="AE631"/>
  <c r="AE632"/>
  <c r="AE633"/>
  <c r="AE634"/>
  <c r="AE635"/>
  <c r="AE636"/>
  <c r="AE637"/>
  <c r="AE638"/>
  <c r="AE639"/>
  <c r="AE640"/>
  <c r="AE641"/>
  <c r="AE642"/>
  <c r="AE643"/>
  <c r="AE644"/>
  <c r="AE645"/>
  <c r="AE646"/>
  <c r="AE647"/>
  <c r="AE648"/>
  <c r="AE649"/>
  <c r="AE650"/>
  <c r="AE651"/>
  <c r="AE652"/>
  <c r="AE653"/>
  <c r="AE654"/>
  <c r="AE655"/>
  <c r="AE656"/>
  <c r="AE657"/>
  <c r="AE658"/>
  <c r="AE659"/>
  <c r="AE660"/>
  <c r="AE661"/>
  <c r="AE662"/>
  <c r="AE663"/>
  <c r="AE664"/>
  <c r="AE665"/>
  <c r="AE666"/>
  <c r="AE667"/>
  <c r="AE668"/>
  <c r="AE669"/>
  <c r="AE670"/>
  <c r="AE671"/>
  <c r="AE672"/>
  <c r="AE673"/>
  <c r="AE674"/>
  <c r="AE675"/>
  <c r="AE676"/>
  <c r="AE677"/>
  <c r="AE678"/>
  <c r="AE679"/>
  <c r="AE680"/>
  <c r="AE681"/>
  <c r="AE682"/>
  <c r="AE683"/>
  <c r="AE684"/>
  <c r="AE685"/>
  <c r="AE686"/>
  <c r="AE687"/>
  <c r="AE688"/>
  <c r="AE689"/>
  <c r="AE690"/>
  <c r="AE691"/>
  <c r="AE692"/>
  <c r="AE693"/>
  <c r="AE694"/>
  <c r="AE695"/>
  <c r="AE696"/>
  <c r="AE697"/>
  <c r="AE698"/>
  <c r="AE699"/>
  <c r="AE700"/>
  <c r="AE702"/>
  <c r="AE706"/>
  <c r="AE710"/>
  <c r="AE714"/>
  <c r="AE718"/>
  <c r="V505"/>
  <c r="V507"/>
  <c r="V509"/>
  <c r="V511"/>
  <c r="V513"/>
  <c r="V515"/>
  <c r="V517"/>
  <c r="V519"/>
  <c r="V521"/>
  <c r="V523"/>
  <c r="V525"/>
  <c r="V527"/>
  <c r="V529"/>
  <c r="V531"/>
  <c r="V533"/>
  <c r="V535"/>
  <c r="V537"/>
  <c r="V539"/>
  <c r="V541"/>
  <c r="V543"/>
  <c r="V545"/>
  <c r="V547"/>
  <c r="V549"/>
  <c r="V551"/>
  <c r="V553"/>
  <c r="V555"/>
  <c r="V557"/>
  <c r="V559"/>
  <c r="V561"/>
  <c r="V563"/>
  <c r="V565"/>
  <c r="V567"/>
  <c r="V569"/>
  <c r="V571"/>
  <c r="V573"/>
  <c r="V575"/>
  <c r="V577"/>
  <c r="V579"/>
  <c r="V581"/>
  <c r="V583"/>
  <c r="V585"/>
  <c r="V587"/>
  <c r="V589"/>
  <c r="V591"/>
  <c r="V593"/>
  <c r="V595"/>
  <c r="V597"/>
  <c r="V599"/>
  <c r="V601"/>
  <c r="V603"/>
  <c r="V605"/>
  <c r="V607"/>
  <c r="V609"/>
  <c r="V611"/>
  <c r="V613"/>
  <c r="V615"/>
  <c r="V617"/>
  <c r="V619"/>
  <c r="V621"/>
  <c r="V623"/>
  <c r="V625"/>
  <c r="V627"/>
  <c r="V629"/>
  <c r="V631"/>
  <c r="V633"/>
  <c r="V635"/>
  <c r="V637"/>
  <c r="V639"/>
  <c r="V641"/>
  <c r="V643"/>
  <c r="V645"/>
  <c r="V647"/>
  <c r="V649"/>
  <c r="V651"/>
  <c r="V653"/>
  <c r="V655"/>
  <c r="V657"/>
  <c r="V659"/>
  <c r="V661"/>
  <c r="V663"/>
  <c r="V665"/>
  <c r="V667"/>
  <c r="V669"/>
  <c r="V671"/>
  <c r="V673"/>
  <c r="V675"/>
  <c r="V677"/>
  <c r="V679"/>
  <c r="V681"/>
  <c r="V683"/>
  <c r="V685"/>
  <c r="V687"/>
  <c r="V689"/>
  <c r="V691"/>
  <c r="V693"/>
  <c r="V695"/>
  <c r="V697"/>
  <c r="V699"/>
  <c r="V701"/>
  <c r="AE742"/>
  <c r="AE743"/>
  <c r="AE744"/>
  <c r="AE745"/>
  <c r="AE746"/>
  <c r="AE747"/>
  <c r="AE748"/>
  <c r="AE749"/>
  <c r="AE750"/>
  <c r="AE751"/>
  <c r="AE752"/>
  <c r="AE753"/>
  <c r="AE754"/>
  <c r="AE755"/>
  <c r="AE756"/>
  <c r="AE757"/>
  <c r="AE758"/>
  <c r="AE759"/>
  <c r="AE760"/>
  <c r="AE761"/>
  <c r="AE762"/>
  <c r="AE763"/>
  <c r="AE764"/>
  <c r="AE765"/>
  <c r="AE766"/>
  <c r="AE767"/>
  <c r="AE768"/>
  <c r="AE769"/>
  <c r="AE770"/>
  <c r="AE771"/>
  <c r="AE772"/>
  <c r="AE773"/>
  <c r="AE774"/>
  <c r="AE775"/>
  <c r="AE776"/>
  <c r="AE777"/>
  <c r="AE778"/>
  <c r="AE779"/>
  <c r="AE780"/>
  <c r="AE781"/>
  <c r="AE782"/>
  <c r="AE783"/>
  <c r="AE784"/>
  <c r="AE785"/>
  <c r="AE786"/>
  <c r="AE787"/>
  <c r="AE788"/>
  <c r="AE789"/>
  <c r="AE790"/>
  <c r="AE791"/>
  <c r="AE792"/>
  <c r="AE793"/>
  <c r="AE794"/>
  <c r="AE795"/>
  <c r="AE796"/>
  <c r="AE797"/>
  <c r="AE798"/>
  <c r="AE799"/>
  <c r="AE800"/>
  <c r="AE801"/>
  <c r="AE802"/>
  <c r="AE803"/>
  <c r="AE804"/>
  <c r="AE805"/>
  <c r="AE806"/>
  <c r="AE807"/>
  <c r="AE808"/>
  <c r="AE809"/>
  <c r="AE810"/>
  <c r="AE811"/>
  <c r="AE812"/>
  <c r="AE813"/>
  <c r="AE814"/>
  <c r="AE815"/>
  <c r="AE816"/>
  <c r="AE817"/>
  <c r="AE818"/>
  <c r="AE819"/>
  <c r="AE820"/>
  <c r="AE821"/>
  <c r="AE822"/>
  <c r="AE823"/>
  <c r="AE824"/>
  <c r="AE825"/>
  <c r="AE826"/>
  <c r="AE827"/>
  <c r="AE828"/>
  <c r="AE829"/>
  <c r="AE830"/>
  <c r="AE831"/>
  <c r="AE832"/>
  <c r="AE833"/>
  <c r="AE834"/>
  <c r="AE835"/>
  <c r="AE836"/>
  <c r="AE837"/>
  <c r="AE838"/>
  <c r="AE839"/>
  <c r="AE840"/>
  <c r="AE841"/>
  <c r="AE842"/>
  <c r="AE843"/>
  <c r="AE844"/>
  <c r="AE845"/>
  <c r="AE846"/>
  <c r="AE847"/>
  <c r="AE848"/>
  <c r="AE849"/>
  <c r="AE850"/>
  <c r="AE851"/>
  <c r="AE852"/>
  <c r="AE853"/>
  <c r="AE854"/>
  <c r="AE855"/>
  <c r="AE856"/>
  <c r="AE857"/>
  <c r="AE858"/>
  <c r="AE859"/>
  <c r="AE860"/>
  <c r="AE861"/>
  <c r="AE862"/>
  <c r="AE863"/>
  <c r="AE864"/>
  <c r="AE865"/>
  <c r="AE866"/>
  <c r="AE867"/>
  <c r="AE868"/>
  <c r="AE869"/>
  <c r="AE701"/>
  <c r="AE703"/>
  <c r="AE705"/>
  <c r="AE707"/>
  <c r="AE709"/>
  <c r="AE711"/>
  <c r="AE713"/>
  <c r="AE715"/>
  <c r="AE717"/>
  <c r="AE719"/>
  <c r="AE721"/>
  <c r="W722"/>
  <c r="AE722" s="1"/>
  <c r="AE723"/>
  <c r="W724"/>
  <c r="AE724" s="1"/>
  <c r="AE725"/>
  <c r="W726"/>
  <c r="AE726" s="1"/>
  <c r="AE727"/>
  <c r="W728"/>
  <c r="AE728" s="1"/>
  <c r="AE729"/>
  <c r="W730"/>
  <c r="AE730" s="1"/>
  <c r="AE731"/>
  <c r="W732"/>
  <c r="AE732" s="1"/>
  <c r="AE733"/>
  <c r="W734"/>
  <c r="AE734" s="1"/>
  <c r="AE735"/>
  <c r="W736"/>
  <c r="AE736" s="1"/>
  <c r="AE737"/>
  <c r="W738"/>
  <c r="AE738" s="1"/>
  <c r="AE739"/>
  <c r="W740"/>
  <c r="AE740" s="1"/>
  <c r="AE741"/>
  <c r="V742"/>
  <c r="V744"/>
  <c r="V746"/>
  <c r="V748"/>
  <c r="V750"/>
  <c r="V752"/>
  <c r="V754"/>
  <c r="V756"/>
  <c r="V758"/>
  <c r="V760"/>
  <c r="V762"/>
  <c r="V764"/>
  <c r="V766"/>
  <c r="V768"/>
  <c r="V770"/>
  <c r="V772"/>
  <c r="V774"/>
  <c r="V776"/>
  <c r="V778"/>
  <c r="V780"/>
  <c r="V782"/>
  <c r="V784"/>
  <c r="V786"/>
  <c r="V788"/>
  <c r="V790"/>
  <c r="V792"/>
  <c r="V794"/>
  <c r="V796"/>
  <c r="V798"/>
  <c r="V800"/>
  <c r="V802"/>
  <c r="V804"/>
  <c r="V806"/>
  <c r="V808"/>
  <c r="V810"/>
  <c r="V812"/>
  <c r="V814"/>
  <c r="V816"/>
  <c r="V818"/>
  <c r="V820"/>
  <c r="V822"/>
  <c r="V824"/>
  <c r="V826"/>
  <c r="V828"/>
  <c r="V830"/>
  <c r="V832"/>
  <c r="V834"/>
  <c r="V836"/>
  <c r="V838"/>
  <c r="V840"/>
  <c r="V842"/>
  <c r="V844"/>
  <c r="V846"/>
  <c r="V848"/>
  <c r="V850"/>
  <c r="V852"/>
  <c r="V854"/>
  <c r="V856"/>
  <c r="V858"/>
  <c r="V860"/>
  <c r="V862"/>
  <c r="V864"/>
  <c r="V866"/>
  <c r="V868"/>
  <c r="AE870"/>
  <c r="AE933"/>
  <c r="AE934"/>
  <c r="AE935"/>
  <c r="AE936"/>
  <c r="AE937"/>
  <c r="AE872"/>
  <c r="AE874"/>
  <c r="AE876"/>
  <c r="AE878"/>
  <c r="AE880"/>
  <c r="AE882"/>
  <c r="AE884"/>
  <c r="AE886"/>
  <c r="AE888"/>
  <c r="AE890"/>
  <c r="AE892"/>
  <c r="AE894"/>
  <c r="AE896"/>
  <c r="AE897"/>
  <c r="AE898"/>
  <c r="AE899"/>
  <c r="AE900"/>
  <c r="AE901"/>
  <c r="AE902"/>
  <c r="AE903"/>
  <c r="AE904"/>
  <c r="AE905"/>
  <c r="AE906"/>
  <c r="AE907"/>
  <c r="AE908"/>
  <c r="AE909"/>
  <c r="AE910"/>
  <c r="AE911"/>
  <c r="AE912"/>
  <c r="AE913"/>
  <c r="AE914"/>
  <c r="AE915"/>
  <c r="AE916"/>
  <c r="AE917"/>
  <c r="AE918"/>
  <c r="AE919"/>
  <c r="AE920"/>
  <c r="AE921"/>
  <c r="AE922"/>
  <c r="AE923"/>
  <c r="AE924"/>
  <c r="AE925"/>
  <c r="AE926"/>
  <c r="AE927"/>
  <c r="AE928"/>
  <c r="AE929"/>
  <c r="AE930"/>
  <c r="AE931"/>
  <c r="AE932"/>
  <c r="E1017"/>
  <c r="F1034"/>
  <c r="W871"/>
  <c r="AE871" s="1"/>
  <c r="W873"/>
  <c r="AE873" s="1"/>
  <c r="W875"/>
  <c r="AE875" s="1"/>
  <c r="W877"/>
  <c r="AE877" s="1"/>
  <c r="W879"/>
  <c r="AE879" s="1"/>
  <c r="W881"/>
  <c r="AE881" s="1"/>
  <c r="W883"/>
  <c r="AE883" s="1"/>
  <c r="W885"/>
  <c r="AE885" s="1"/>
  <c r="W887"/>
  <c r="AE887" s="1"/>
  <c r="W889"/>
  <c r="AE889" s="1"/>
  <c r="W891"/>
  <c r="AE891" s="1"/>
  <c r="W893"/>
  <c r="AE893" s="1"/>
  <c r="W895"/>
  <c r="AE895" s="1"/>
  <c r="V934"/>
  <c r="V936"/>
  <c r="AE938"/>
  <c r="W939"/>
  <c r="AE939" s="1"/>
  <c r="AE940"/>
  <c r="W941"/>
  <c r="AE941" s="1"/>
  <c r="AE942"/>
  <c r="W943"/>
  <c r="AE943" s="1"/>
  <c r="AE944"/>
  <c r="W945"/>
  <c r="AE945" s="1"/>
  <c r="AE946"/>
  <c r="F1035"/>
  <c r="E1018"/>
  <c r="F1036"/>
  <c r="E1019"/>
  <c r="F1037"/>
  <c r="E1020"/>
  <c r="F1038"/>
  <c r="E1021"/>
  <c r="AE947"/>
  <c r="AE948"/>
  <c r="AE949"/>
  <c r="AE950"/>
  <c r="AE951"/>
  <c r="AE952"/>
  <c r="AE953"/>
  <c r="AE954"/>
  <c r="AE955"/>
  <c r="AE956"/>
  <c r="AE957"/>
  <c r="AE958"/>
  <c r="AE959"/>
  <c r="AE960"/>
  <c r="AE961"/>
  <c r="AE962"/>
  <c r="AE963"/>
  <c r="AE964"/>
  <c r="AE965"/>
  <c r="AE966"/>
  <c r="AE967"/>
  <c r="AE968"/>
  <c r="AE969"/>
  <c r="AE970"/>
  <c r="AE971"/>
  <c r="AE972"/>
  <c r="AE973"/>
  <c r="AE974"/>
  <c r="AE975"/>
  <c r="AE976"/>
  <c r="AE977"/>
  <c r="AE978"/>
  <c r="AE979"/>
  <c r="AE980"/>
  <c r="AE981"/>
  <c r="AE982"/>
  <c r="AE983"/>
  <c r="AE984"/>
  <c r="AE985"/>
  <c r="AE986"/>
  <c r="AE987"/>
  <c r="AE988"/>
  <c r="AE989"/>
  <c r="AE990"/>
  <c r="AE991"/>
  <c r="AE992"/>
  <c r="AE993"/>
  <c r="AE994"/>
  <c r="AE995"/>
  <c r="AE996"/>
  <c r="AE997"/>
  <c r="AE998"/>
  <c r="AE999"/>
  <c r="AE1000"/>
  <c r="AE1001"/>
  <c r="AE1002"/>
  <c r="AE1003"/>
  <c r="AE1004"/>
  <c r="AE1005"/>
  <c r="AE1006"/>
  <c r="AE1007"/>
  <c r="AE1008"/>
  <c r="AE1009"/>
  <c r="AE1010"/>
  <c r="AE1011"/>
  <c r="AE1012"/>
  <c r="V947"/>
  <c r="V949"/>
  <c r="V951"/>
  <c r="V953"/>
  <c r="V955"/>
  <c r="V957"/>
  <c r="V959"/>
  <c r="V961"/>
  <c r="V963"/>
  <c r="V965"/>
  <c r="V967"/>
  <c r="V969"/>
  <c r="V971"/>
  <c r="V973"/>
  <c r="V975"/>
  <c r="V977"/>
  <c r="V979"/>
  <c r="V981"/>
  <c r="V983"/>
  <c r="V985"/>
  <c r="V987"/>
  <c r="V989"/>
  <c r="V991"/>
  <c r="V993"/>
  <c r="V995"/>
  <c r="V997"/>
  <c r="V999"/>
  <c r="V1001"/>
  <c r="V1003"/>
  <c r="V1005"/>
  <c r="V1007"/>
  <c r="V1009"/>
  <c r="V1011"/>
  <c r="K1017"/>
  <c r="J7" s="1"/>
  <c r="F1032" s="1"/>
  <c r="F1023"/>
  <c r="BC18" s="1"/>
  <c r="W1018" i="6"/>
  <c r="AY25" s="1"/>
  <c r="AZ26" s="1"/>
  <c r="AE13"/>
  <c r="W1020"/>
  <c r="AY31" s="1"/>
  <c r="BA32" s="1"/>
  <c r="W1019"/>
  <c r="AY28" s="1"/>
  <c r="BB28" s="1"/>
  <c r="BF39" s="1"/>
  <c r="AE19"/>
  <c r="AZ29"/>
  <c r="AZ32"/>
  <c r="W1017"/>
  <c r="AY22" s="1"/>
  <c r="AZ23" s="1"/>
  <c r="AE15"/>
  <c r="AW29"/>
  <c r="W1021"/>
  <c r="AY34" s="1"/>
  <c r="AZ35" s="1"/>
  <c r="AE21"/>
  <c r="AV29"/>
  <c r="V14"/>
  <c r="X14" s="1"/>
  <c r="AF14"/>
  <c r="V15"/>
  <c r="V1017" s="1"/>
  <c r="AU22" s="1"/>
  <c r="AX23" s="1"/>
  <c r="V17"/>
  <c r="V1020" s="1"/>
  <c r="AU31" s="1"/>
  <c r="AW32" s="1"/>
  <c r="AF17"/>
  <c r="AE17" s="1"/>
  <c r="V21"/>
  <c r="V1021" s="1"/>
  <c r="AU34" s="1"/>
  <c r="AV35" s="1"/>
  <c r="V25"/>
  <c r="V26"/>
  <c r="V27"/>
  <c r="V31"/>
  <c r="V32"/>
  <c r="V33"/>
  <c r="AE39"/>
  <c r="AE41"/>
  <c r="W45"/>
  <c r="AE45" s="1"/>
  <c r="AE46"/>
  <c r="W47"/>
  <c r="AE47" s="1"/>
  <c r="AE48"/>
  <c r="X48"/>
  <c r="W49"/>
  <c r="AE49" s="1"/>
  <c r="AE50"/>
  <c r="W51"/>
  <c r="AE51" s="1"/>
  <c r="AE52"/>
  <c r="X52"/>
  <c r="W53"/>
  <c r="AE53" s="1"/>
  <c r="AE54"/>
  <c r="W55"/>
  <c r="AE55" s="1"/>
  <c r="AE56"/>
  <c r="X56"/>
  <c r="W57"/>
  <c r="AE57" s="1"/>
  <c r="AE58"/>
  <c r="W59"/>
  <c r="AE59" s="1"/>
  <c r="AE60"/>
  <c r="X60"/>
  <c r="W61"/>
  <c r="AE61" s="1"/>
  <c r="AE62"/>
  <c r="W63"/>
  <c r="AE63" s="1"/>
  <c r="AE64"/>
  <c r="X64"/>
  <c r="W65"/>
  <c r="AE65" s="1"/>
  <c r="AE66"/>
  <c r="W67"/>
  <c r="AE67" s="1"/>
  <c r="AE68"/>
  <c r="X68"/>
  <c r="W69"/>
  <c r="AE69" s="1"/>
  <c r="AE70"/>
  <c r="W71"/>
  <c r="AE71" s="1"/>
  <c r="AE72"/>
  <c r="X72"/>
  <c r="W73"/>
  <c r="AE73" s="1"/>
  <c r="AE74"/>
  <c r="W75"/>
  <c r="AE75" s="1"/>
  <c r="AE76"/>
  <c r="X76"/>
  <c r="W77"/>
  <c r="AE77" s="1"/>
  <c r="AE78"/>
  <c r="W79"/>
  <c r="AE79" s="1"/>
  <c r="AE80"/>
  <c r="X80"/>
  <c r="W81"/>
  <c r="AE81" s="1"/>
  <c r="AE82"/>
  <c r="W83"/>
  <c r="AE83" s="1"/>
  <c r="AE84"/>
  <c r="X84"/>
  <c r="W85"/>
  <c r="AE85" s="1"/>
  <c r="AE86"/>
  <c r="W87"/>
  <c r="AE87" s="1"/>
  <c r="AE88"/>
  <c r="X88"/>
  <c r="W89"/>
  <c r="AE89" s="1"/>
  <c r="AE90"/>
  <c r="W91"/>
  <c r="AE91" s="1"/>
  <c r="AE92"/>
  <c r="X92"/>
  <c r="W93"/>
  <c r="AE93" s="1"/>
  <c r="AE94"/>
  <c r="W95"/>
  <c r="AE95" s="1"/>
  <c r="AE96"/>
  <c r="X96"/>
  <c r="W97"/>
  <c r="AE97" s="1"/>
  <c r="AE98"/>
  <c r="W99"/>
  <c r="AE99" s="1"/>
  <c r="AE100"/>
  <c r="X100"/>
  <c r="W101"/>
  <c r="AE101" s="1"/>
  <c r="AE102"/>
  <c r="W103"/>
  <c r="AE103" s="1"/>
  <c r="AE104"/>
  <c r="X104"/>
  <c r="W105"/>
  <c r="AE105" s="1"/>
  <c r="AE106"/>
  <c r="W107"/>
  <c r="AE107" s="1"/>
  <c r="AE108"/>
  <c r="X108"/>
  <c r="W109"/>
  <c r="AE109" s="1"/>
  <c r="AE110"/>
  <c r="W111"/>
  <c r="AE111" s="1"/>
  <c r="AE112"/>
  <c r="X112"/>
  <c r="W113"/>
  <c r="AE113" s="1"/>
  <c r="AE114"/>
  <c r="W115"/>
  <c r="AE115" s="1"/>
  <c r="AE116"/>
  <c r="X116"/>
  <c r="W117"/>
  <c r="AE117" s="1"/>
  <c r="AE118"/>
  <c r="W119"/>
  <c r="AE119" s="1"/>
  <c r="AE120"/>
  <c r="X120"/>
  <c r="W121"/>
  <c r="AE121" s="1"/>
  <c r="AE122"/>
  <c r="W123"/>
  <c r="AE123" s="1"/>
  <c r="AE124"/>
  <c r="AE302"/>
  <c r="AE306"/>
  <c r="AE310"/>
  <c r="AE314"/>
  <c r="AE318"/>
  <c r="AE322"/>
  <c r="AE326"/>
  <c r="AE330"/>
  <c r="AE334"/>
  <c r="AE338"/>
  <c r="AE342"/>
  <c r="AE346"/>
  <c r="AE350"/>
  <c r="AE354"/>
  <c r="AE358"/>
  <c r="AE362"/>
  <c r="AE366"/>
  <c r="AE370"/>
  <c r="AE374"/>
  <c r="AE378"/>
  <c r="AE382"/>
  <c r="AE386"/>
  <c r="AE390"/>
  <c r="AE394"/>
  <c r="AE398"/>
  <c r="AE402"/>
  <c r="AE406"/>
  <c r="AE410"/>
  <c r="AE414"/>
  <c r="V1018"/>
  <c r="AU25" s="1"/>
  <c r="X123"/>
  <c r="X121"/>
  <c r="X119"/>
  <c r="X117"/>
  <c r="X115"/>
  <c r="X113"/>
  <c r="X111"/>
  <c r="X109"/>
  <c r="X107"/>
  <c r="X105"/>
  <c r="X103"/>
  <c r="X101"/>
  <c r="X99"/>
  <c r="X97"/>
  <c r="X95"/>
  <c r="X93"/>
  <c r="X91"/>
  <c r="X89"/>
  <c r="X87"/>
  <c r="X85"/>
  <c r="X83"/>
  <c r="X81"/>
  <c r="X79"/>
  <c r="X77"/>
  <c r="X75"/>
  <c r="X73"/>
  <c r="X71"/>
  <c r="X69"/>
  <c r="X67"/>
  <c r="X65"/>
  <c r="X63"/>
  <c r="X61"/>
  <c r="X59"/>
  <c r="X57"/>
  <c r="X55"/>
  <c r="X53"/>
  <c r="X51"/>
  <c r="X49"/>
  <c r="X47"/>
  <c r="X45"/>
  <c r="X43"/>
  <c r="W125"/>
  <c r="AE125" s="1"/>
  <c r="V125"/>
  <c r="X125" s="1"/>
  <c r="X13"/>
  <c r="X16"/>
  <c r="X18"/>
  <c r="X19"/>
  <c r="X20"/>
  <c r="X22"/>
  <c r="X23"/>
  <c r="X24"/>
  <c r="X28"/>
  <c r="X29"/>
  <c r="X30"/>
  <c r="X34"/>
  <c r="X35"/>
  <c r="X36"/>
  <c r="X37"/>
  <c r="X38"/>
  <c r="AE40"/>
  <c r="X40"/>
  <c r="AE42"/>
  <c r="X42"/>
  <c r="AE44"/>
  <c r="X44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E175"/>
  <c r="AE176"/>
  <c r="AE177"/>
  <c r="AE178"/>
  <c r="AE179"/>
  <c r="AE180"/>
  <c r="AE181"/>
  <c r="AE182"/>
  <c r="AE183"/>
  <c r="AE184"/>
  <c r="AE185"/>
  <c r="AE186"/>
  <c r="AE187"/>
  <c r="AE188"/>
  <c r="AE189"/>
  <c r="AE190"/>
  <c r="AE191"/>
  <c r="AE192"/>
  <c r="AE193"/>
  <c r="AE194"/>
  <c r="AE195"/>
  <c r="AE196"/>
  <c r="AE197"/>
  <c r="AE198"/>
  <c r="AE199"/>
  <c r="AE200"/>
  <c r="AE201"/>
  <c r="AE202"/>
  <c r="AE203"/>
  <c r="AE204"/>
  <c r="AE205"/>
  <c r="AE206"/>
  <c r="AE207"/>
  <c r="AE208"/>
  <c r="AE209"/>
  <c r="AE210"/>
  <c r="AE211"/>
  <c r="AE212"/>
  <c r="AE213"/>
  <c r="AE214"/>
  <c r="AE215"/>
  <c r="AE216"/>
  <c r="AE217"/>
  <c r="AE218"/>
  <c r="AE219"/>
  <c r="AE220"/>
  <c r="AE221"/>
  <c r="AE222"/>
  <c r="AE223"/>
  <c r="AE224"/>
  <c r="AE225"/>
  <c r="AE226"/>
  <c r="AE227"/>
  <c r="AE228"/>
  <c r="AE229"/>
  <c r="AE230"/>
  <c r="AE231"/>
  <c r="AE232"/>
  <c r="AE233"/>
  <c r="AE234"/>
  <c r="AE235"/>
  <c r="AE236"/>
  <c r="AE237"/>
  <c r="AE238"/>
  <c r="AE239"/>
  <c r="AE240"/>
  <c r="AE241"/>
  <c r="AE242"/>
  <c r="AE243"/>
  <c r="AE244"/>
  <c r="AE245"/>
  <c r="AE246"/>
  <c r="AE247"/>
  <c r="AE248"/>
  <c r="AE249"/>
  <c r="AE250"/>
  <c r="AE251"/>
  <c r="AE252"/>
  <c r="AE253"/>
  <c r="AE254"/>
  <c r="AE255"/>
  <c r="AE256"/>
  <c r="AE257"/>
  <c r="AE258"/>
  <c r="AE259"/>
  <c r="AE260"/>
  <c r="AE261"/>
  <c r="AE262"/>
  <c r="AE263"/>
  <c r="AE264"/>
  <c r="AE265"/>
  <c r="AE266"/>
  <c r="AE267"/>
  <c r="AE268"/>
  <c r="AE269"/>
  <c r="AE270"/>
  <c r="AE271"/>
  <c r="AE272"/>
  <c r="AE273"/>
  <c r="AE274"/>
  <c r="AE275"/>
  <c r="AE276"/>
  <c r="AE277"/>
  <c r="AE278"/>
  <c r="AE279"/>
  <c r="AE280"/>
  <c r="AE281"/>
  <c r="AE282"/>
  <c r="AE283"/>
  <c r="AE284"/>
  <c r="AE285"/>
  <c r="AE286"/>
  <c r="AE287"/>
  <c r="AE288"/>
  <c r="AE289"/>
  <c r="AE290"/>
  <c r="AE291"/>
  <c r="AE292"/>
  <c r="AE293"/>
  <c r="AE294"/>
  <c r="AE295"/>
  <c r="AE296"/>
  <c r="AE297"/>
  <c r="AE298"/>
  <c r="AE299"/>
  <c r="AE300"/>
  <c r="AE304"/>
  <c r="AE308"/>
  <c r="AE312"/>
  <c r="AE316"/>
  <c r="AE320"/>
  <c r="AE324"/>
  <c r="AE328"/>
  <c r="AE332"/>
  <c r="AE336"/>
  <c r="AE340"/>
  <c r="AE344"/>
  <c r="AE348"/>
  <c r="AE352"/>
  <c r="AE356"/>
  <c r="AE360"/>
  <c r="AE364"/>
  <c r="AE368"/>
  <c r="AE372"/>
  <c r="AE376"/>
  <c r="AE380"/>
  <c r="AE384"/>
  <c r="AE388"/>
  <c r="AE392"/>
  <c r="AE396"/>
  <c r="AE400"/>
  <c r="AE404"/>
  <c r="AE408"/>
  <c r="AE412"/>
  <c r="V127"/>
  <c r="V129"/>
  <c r="V131"/>
  <c r="V133"/>
  <c r="V135"/>
  <c r="V137"/>
  <c r="V139"/>
  <c r="V141"/>
  <c r="V143"/>
  <c r="V145"/>
  <c r="V147"/>
  <c r="V149"/>
  <c r="V151"/>
  <c r="V153"/>
  <c r="V155"/>
  <c r="V157"/>
  <c r="V159"/>
  <c r="V161"/>
  <c r="V163"/>
  <c r="V165"/>
  <c r="V167"/>
  <c r="V169"/>
  <c r="V171"/>
  <c r="V173"/>
  <c r="V175"/>
  <c r="V177"/>
  <c r="V179"/>
  <c r="V181"/>
  <c r="V183"/>
  <c r="V185"/>
  <c r="V187"/>
  <c r="V189"/>
  <c r="V191"/>
  <c r="V193"/>
  <c r="V195"/>
  <c r="V197"/>
  <c r="V199"/>
  <c r="V201"/>
  <c r="V203"/>
  <c r="V205"/>
  <c r="V207"/>
  <c r="V209"/>
  <c r="V211"/>
  <c r="V213"/>
  <c r="V215"/>
  <c r="V217"/>
  <c r="V219"/>
  <c r="V221"/>
  <c r="V223"/>
  <c r="V225"/>
  <c r="V227"/>
  <c r="V229"/>
  <c r="V231"/>
  <c r="V233"/>
  <c r="V235"/>
  <c r="V237"/>
  <c r="V239"/>
  <c r="V241"/>
  <c r="V243"/>
  <c r="V245"/>
  <c r="V247"/>
  <c r="V249"/>
  <c r="V251"/>
  <c r="V253"/>
  <c r="V255"/>
  <c r="V257"/>
  <c r="V259"/>
  <c r="V261"/>
  <c r="V263"/>
  <c r="V265"/>
  <c r="V267"/>
  <c r="V269"/>
  <c r="V271"/>
  <c r="V273"/>
  <c r="V275"/>
  <c r="V277"/>
  <c r="V279"/>
  <c r="V281"/>
  <c r="V283"/>
  <c r="V285"/>
  <c r="V287"/>
  <c r="V289"/>
  <c r="V291"/>
  <c r="V293"/>
  <c r="V295"/>
  <c r="V297"/>
  <c r="V299"/>
  <c r="AE447"/>
  <c r="AE449"/>
  <c r="AE451"/>
  <c r="AE453"/>
  <c r="AE455"/>
  <c r="AE457"/>
  <c r="AE459"/>
  <c r="AE461"/>
  <c r="AE463"/>
  <c r="AE465"/>
  <c r="AE467"/>
  <c r="AE469"/>
  <c r="AE471"/>
  <c r="AE473"/>
  <c r="AE475"/>
  <c r="AE477"/>
  <c r="AE479"/>
  <c r="AE481"/>
  <c r="AE483"/>
  <c r="AE485"/>
  <c r="AE487"/>
  <c r="AE489"/>
  <c r="AE491"/>
  <c r="AE493"/>
  <c r="AE495"/>
  <c r="AE497"/>
  <c r="AE499"/>
  <c r="AE501"/>
  <c r="AE503"/>
  <c r="AE505"/>
  <c r="AE507"/>
  <c r="AE509"/>
  <c r="AE511"/>
  <c r="AE513"/>
  <c r="AE515"/>
  <c r="AE517"/>
  <c r="AE519"/>
  <c r="AE521"/>
  <c r="AE523"/>
  <c r="AE525"/>
  <c r="AE527"/>
  <c r="AE529"/>
  <c r="AE531"/>
  <c r="AE533"/>
  <c r="AE535"/>
  <c r="AE537"/>
  <c r="AE539"/>
  <c r="AE541"/>
  <c r="AE543"/>
  <c r="AE545"/>
  <c r="AE547"/>
  <c r="AE549"/>
  <c r="AE551"/>
  <c r="AE553"/>
  <c r="AE555"/>
  <c r="AE557"/>
  <c r="AE559"/>
  <c r="AE561"/>
  <c r="AE563"/>
  <c r="AE565"/>
  <c r="AE567"/>
  <c r="AE569"/>
  <c r="AE571"/>
  <c r="AE573"/>
  <c r="AE575"/>
  <c r="AE577"/>
  <c r="AE579"/>
  <c r="AE581"/>
  <c r="AE583"/>
  <c r="AE585"/>
  <c r="AE587"/>
  <c r="AE589"/>
  <c r="AE591"/>
  <c r="AE593"/>
  <c r="AE595"/>
  <c r="AE597"/>
  <c r="AE599"/>
  <c r="AE601"/>
  <c r="AE603"/>
  <c r="AE606"/>
  <c r="AE610"/>
  <c r="AE614"/>
  <c r="AE618"/>
  <c r="AE622"/>
  <c r="AE626"/>
  <c r="AE630"/>
  <c r="AE634"/>
  <c r="AE638"/>
  <c r="AE642"/>
  <c r="AE646"/>
  <c r="AE650"/>
  <c r="AE654"/>
  <c r="AE301"/>
  <c r="AE303"/>
  <c r="AE305"/>
  <c r="AE307"/>
  <c r="AE309"/>
  <c r="AE311"/>
  <c r="AE313"/>
  <c r="AE315"/>
  <c r="AE317"/>
  <c r="AE319"/>
  <c r="AE321"/>
  <c r="AE323"/>
  <c r="AE325"/>
  <c r="AE327"/>
  <c r="AE329"/>
  <c r="AE331"/>
  <c r="AE333"/>
  <c r="AE335"/>
  <c r="AE337"/>
  <c r="AE339"/>
  <c r="AE341"/>
  <c r="AE343"/>
  <c r="AE345"/>
  <c r="AE347"/>
  <c r="AE349"/>
  <c r="AE351"/>
  <c r="AE353"/>
  <c r="AE355"/>
  <c r="AE357"/>
  <c r="AE359"/>
  <c r="AE361"/>
  <c r="AE363"/>
  <c r="AE365"/>
  <c r="AE367"/>
  <c r="AE369"/>
  <c r="AE371"/>
  <c r="AE373"/>
  <c r="AE375"/>
  <c r="AE377"/>
  <c r="AE379"/>
  <c r="AE381"/>
  <c r="AE383"/>
  <c r="AE385"/>
  <c r="AE387"/>
  <c r="AE389"/>
  <c r="AE391"/>
  <c r="AE393"/>
  <c r="AE395"/>
  <c r="AE397"/>
  <c r="AE399"/>
  <c r="AE401"/>
  <c r="AE403"/>
  <c r="AE405"/>
  <c r="AE407"/>
  <c r="AE409"/>
  <c r="AE411"/>
  <c r="AE413"/>
  <c r="AE415"/>
  <c r="W416"/>
  <c r="AE416" s="1"/>
  <c r="AE417"/>
  <c r="W418"/>
  <c r="AE418" s="1"/>
  <c r="AE419"/>
  <c r="W420"/>
  <c r="AE420" s="1"/>
  <c r="AE421"/>
  <c r="W422"/>
  <c r="AE422" s="1"/>
  <c r="AE423"/>
  <c r="W424"/>
  <c r="AE424" s="1"/>
  <c r="AE425"/>
  <c r="W426"/>
  <c r="AE426" s="1"/>
  <c r="AE427"/>
  <c r="W428"/>
  <c r="AE428" s="1"/>
  <c r="AE429"/>
  <c r="W430"/>
  <c r="AE430" s="1"/>
  <c r="AE431"/>
  <c r="W432"/>
  <c r="AE432" s="1"/>
  <c r="AE433"/>
  <c r="W434"/>
  <c r="AE434" s="1"/>
  <c r="AE435"/>
  <c r="W436"/>
  <c r="AE436" s="1"/>
  <c r="AE437"/>
  <c r="W438"/>
  <c r="AE438" s="1"/>
  <c r="AE439"/>
  <c r="W440"/>
  <c r="AE440" s="1"/>
  <c r="AE441"/>
  <c r="W442"/>
  <c r="AE442" s="1"/>
  <c r="AE443"/>
  <c r="W444"/>
  <c r="AE444" s="1"/>
  <c r="AE445"/>
  <c r="AE604"/>
  <c r="AE608"/>
  <c r="AE612"/>
  <c r="AE616"/>
  <c r="AE620"/>
  <c r="AE624"/>
  <c r="AE628"/>
  <c r="AE632"/>
  <c r="AE636"/>
  <c r="AE640"/>
  <c r="AE644"/>
  <c r="AE648"/>
  <c r="AE652"/>
  <c r="AE656"/>
  <c r="W446"/>
  <c r="AE446" s="1"/>
  <c r="W448"/>
  <c r="AE448" s="1"/>
  <c r="W450"/>
  <c r="AE450" s="1"/>
  <c r="W452"/>
  <c r="AE452" s="1"/>
  <c r="W454"/>
  <c r="AE454" s="1"/>
  <c r="W456"/>
  <c r="AE456" s="1"/>
  <c r="W458"/>
  <c r="AE458" s="1"/>
  <c r="W460"/>
  <c r="AE460" s="1"/>
  <c r="W462"/>
  <c r="AE462" s="1"/>
  <c r="W464"/>
  <c r="AE464" s="1"/>
  <c r="W466"/>
  <c r="AE466" s="1"/>
  <c r="W468"/>
  <c r="AE468" s="1"/>
  <c r="W470"/>
  <c r="AE470" s="1"/>
  <c r="W472"/>
  <c r="AE472" s="1"/>
  <c r="W474"/>
  <c r="AE474" s="1"/>
  <c r="W476"/>
  <c r="AE476" s="1"/>
  <c r="W478"/>
  <c r="AE478" s="1"/>
  <c r="W480"/>
  <c r="AE480" s="1"/>
  <c r="W482"/>
  <c r="AE482" s="1"/>
  <c r="W484"/>
  <c r="AE484" s="1"/>
  <c r="W486"/>
  <c r="AE486" s="1"/>
  <c r="W488"/>
  <c r="AE488" s="1"/>
  <c r="W490"/>
  <c r="AE490" s="1"/>
  <c r="W492"/>
  <c r="AE492" s="1"/>
  <c r="W494"/>
  <c r="AE494" s="1"/>
  <c r="W496"/>
  <c r="AE496" s="1"/>
  <c r="W498"/>
  <c r="AE498" s="1"/>
  <c r="W500"/>
  <c r="AE500" s="1"/>
  <c r="W502"/>
  <c r="AE502" s="1"/>
  <c r="W504"/>
  <c r="AE504" s="1"/>
  <c r="W506"/>
  <c r="AE506" s="1"/>
  <c r="W508"/>
  <c r="AE508" s="1"/>
  <c r="W510"/>
  <c r="AE510" s="1"/>
  <c r="W512"/>
  <c r="AE512" s="1"/>
  <c r="W514"/>
  <c r="AE514" s="1"/>
  <c r="W516"/>
  <c r="AE516" s="1"/>
  <c r="W518"/>
  <c r="AE518" s="1"/>
  <c r="W520"/>
  <c r="AE520" s="1"/>
  <c r="W522"/>
  <c r="AE522" s="1"/>
  <c r="W524"/>
  <c r="AE524" s="1"/>
  <c r="W526"/>
  <c r="AE526" s="1"/>
  <c r="W528"/>
  <c r="AE528" s="1"/>
  <c r="W530"/>
  <c r="AE530" s="1"/>
  <c r="W532"/>
  <c r="AE532" s="1"/>
  <c r="W534"/>
  <c r="AE534" s="1"/>
  <c r="W536"/>
  <c r="AE536" s="1"/>
  <c r="W538"/>
  <c r="AE538" s="1"/>
  <c r="W540"/>
  <c r="AE540" s="1"/>
  <c r="W542"/>
  <c r="AE542" s="1"/>
  <c r="W544"/>
  <c r="AE544" s="1"/>
  <c r="W546"/>
  <c r="AE546" s="1"/>
  <c r="W548"/>
  <c r="AE548" s="1"/>
  <c r="W550"/>
  <c r="AE550" s="1"/>
  <c r="W552"/>
  <c r="AE552" s="1"/>
  <c r="W554"/>
  <c r="AE554" s="1"/>
  <c r="W556"/>
  <c r="AE556" s="1"/>
  <c r="W558"/>
  <c r="AE558" s="1"/>
  <c r="W560"/>
  <c r="AE560" s="1"/>
  <c r="W562"/>
  <c r="AE562" s="1"/>
  <c r="W564"/>
  <c r="AE564" s="1"/>
  <c r="W566"/>
  <c r="AE566" s="1"/>
  <c r="W568"/>
  <c r="AE568" s="1"/>
  <c r="W570"/>
  <c r="AE570" s="1"/>
  <c r="W572"/>
  <c r="AE572" s="1"/>
  <c r="W574"/>
  <c r="AE574" s="1"/>
  <c r="W576"/>
  <c r="AE576" s="1"/>
  <c r="W578"/>
  <c r="AE578" s="1"/>
  <c r="W580"/>
  <c r="AE580" s="1"/>
  <c r="W582"/>
  <c r="AE582" s="1"/>
  <c r="W584"/>
  <c r="AE584" s="1"/>
  <c r="W586"/>
  <c r="AE586" s="1"/>
  <c r="W588"/>
  <c r="AE588" s="1"/>
  <c r="W590"/>
  <c r="AE590" s="1"/>
  <c r="W592"/>
  <c r="AE592" s="1"/>
  <c r="W594"/>
  <c r="AE594" s="1"/>
  <c r="W596"/>
  <c r="AE596" s="1"/>
  <c r="W598"/>
  <c r="AE598" s="1"/>
  <c r="W600"/>
  <c r="AE600" s="1"/>
  <c r="W602"/>
  <c r="AE602" s="1"/>
  <c r="AE605"/>
  <c r="AE607"/>
  <c r="AE609"/>
  <c r="AE611"/>
  <c r="AE613"/>
  <c r="AE615"/>
  <c r="AE617"/>
  <c r="AE619"/>
  <c r="AE621"/>
  <c r="AE623"/>
  <c r="AE625"/>
  <c r="AE627"/>
  <c r="AE629"/>
  <c r="AE631"/>
  <c r="AE633"/>
  <c r="AE635"/>
  <c r="AE637"/>
  <c r="AE639"/>
  <c r="AE641"/>
  <c r="AE643"/>
  <c r="AE645"/>
  <c r="AE647"/>
  <c r="AE649"/>
  <c r="AE651"/>
  <c r="AE653"/>
  <c r="AE655"/>
  <c r="AE657"/>
  <c r="W658"/>
  <c r="AE658" s="1"/>
  <c r="AE659"/>
  <c r="W660"/>
  <c r="AE660" s="1"/>
  <c r="AE661"/>
  <c r="W662"/>
  <c r="AE662" s="1"/>
  <c r="AE663"/>
  <c r="W664"/>
  <c r="AE664" s="1"/>
  <c r="AE665"/>
  <c r="W666"/>
  <c r="AE666" s="1"/>
  <c r="AE667"/>
  <c r="W668"/>
  <c r="AE668" s="1"/>
  <c r="AE669"/>
  <c r="AE722"/>
  <c r="AE726"/>
  <c r="AE730"/>
  <c r="AE734"/>
  <c r="AE738"/>
  <c r="AE742"/>
  <c r="AE746"/>
  <c r="AE750"/>
  <c r="AE754"/>
  <c r="AE758"/>
  <c r="AE762"/>
  <c r="AE766"/>
  <c r="AE770"/>
  <c r="AE774"/>
  <c r="AE778"/>
  <c r="AE782"/>
  <c r="AE786"/>
  <c r="AE790"/>
  <c r="AE794"/>
  <c r="AE798"/>
  <c r="AE802"/>
  <c r="AE671"/>
  <c r="AE673"/>
  <c r="AE675"/>
  <c r="AE677"/>
  <c r="AE679"/>
  <c r="AE681"/>
  <c r="AE683"/>
  <c r="AE685"/>
  <c r="AE687"/>
  <c r="AE689"/>
  <c r="AE691"/>
  <c r="AE693"/>
  <c r="AE695"/>
  <c r="AE697"/>
  <c r="AE699"/>
  <c r="AE701"/>
  <c r="AE703"/>
  <c r="AE705"/>
  <c r="AE707"/>
  <c r="AE709"/>
  <c r="AE711"/>
  <c r="AE713"/>
  <c r="AE715"/>
  <c r="AE717"/>
  <c r="AE719"/>
  <c r="AE721"/>
  <c r="AE724"/>
  <c r="AE728"/>
  <c r="AE732"/>
  <c r="AE736"/>
  <c r="AE740"/>
  <c r="AE744"/>
  <c r="AE748"/>
  <c r="AE752"/>
  <c r="AE756"/>
  <c r="AE760"/>
  <c r="AE764"/>
  <c r="AE768"/>
  <c r="AE772"/>
  <c r="AE776"/>
  <c r="AE780"/>
  <c r="AE784"/>
  <c r="AE788"/>
  <c r="AE792"/>
  <c r="AE796"/>
  <c r="AE800"/>
  <c r="AE804"/>
  <c r="W670"/>
  <c r="AE670" s="1"/>
  <c r="W672"/>
  <c r="AE672" s="1"/>
  <c r="W674"/>
  <c r="AE674" s="1"/>
  <c r="W676"/>
  <c r="AE676" s="1"/>
  <c r="W678"/>
  <c r="AE678" s="1"/>
  <c r="W680"/>
  <c r="AE680" s="1"/>
  <c r="W682"/>
  <c r="AE682" s="1"/>
  <c r="W684"/>
  <c r="AE684" s="1"/>
  <c r="W686"/>
  <c r="AE686" s="1"/>
  <c r="W688"/>
  <c r="AE688" s="1"/>
  <c r="W690"/>
  <c r="AE690" s="1"/>
  <c r="W692"/>
  <c r="AE692" s="1"/>
  <c r="W694"/>
  <c r="AE694" s="1"/>
  <c r="W696"/>
  <c r="AE696" s="1"/>
  <c r="W698"/>
  <c r="AE698" s="1"/>
  <c r="W700"/>
  <c r="AE700" s="1"/>
  <c r="W702"/>
  <c r="AE702" s="1"/>
  <c r="W704"/>
  <c r="AE704" s="1"/>
  <c r="W706"/>
  <c r="AE706" s="1"/>
  <c r="W708"/>
  <c r="AE708" s="1"/>
  <c r="W710"/>
  <c r="AE710" s="1"/>
  <c r="W712"/>
  <c r="AE712" s="1"/>
  <c r="W714"/>
  <c r="AE714" s="1"/>
  <c r="W716"/>
  <c r="AE716" s="1"/>
  <c r="W718"/>
  <c r="AE718" s="1"/>
  <c r="W720"/>
  <c r="AE720" s="1"/>
  <c r="AE723"/>
  <c r="AE725"/>
  <c r="AE727"/>
  <c r="AE729"/>
  <c r="AE731"/>
  <c r="AE733"/>
  <c r="AE735"/>
  <c r="AE737"/>
  <c r="AE739"/>
  <c r="AE741"/>
  <c r="AE743"/>
  <c r="AE745"/>
  <c r="AE747"/>
  <c r="AE749"/>
  <c r="AE751"/>
  <c r="AE753"/>
  <c r="AE755"/>
  <c r="AE757"/>
  <c r="AE759"/>
  <c r="AE761"/>
  <c r="AE763"/>
  <c r="AE765"/>
  <c r="AE767"/>
  <c r="AE769"/>
  <c r="AE771"/>
  <c r="AE773"/>
  <c r="AE775"/>
  <c r="AE777"/>
  <c r="AE779"/>
  <c r="AE781"/>
  <c r="AE783"/>
  <c r="AE785"/>
  <c r="AE787"/>
  <c r="AE789"/>
  <c r="AE791"/>
  <c r="AE793"/>
  <c r="AE795"/>
  <c r="AE797"/>
  <c r="AE799"/>
  <c r="AE801"/>
  <c r="AE803"/>
  <c r="AE805"/>
  <c r="W806"/>
  <c r="AE806" s="1"/>
  <c r="AE807"/>
  <c r="W808"/>
  <c r="AE808" s="1"/>
  <c r="AE809"/>
  <c r="W810"/>
  <c r="AE810" s="1"/>
  <c r="AE811"/>
  <c r="W812"/>
  <c r="AE812" s="1"/>
  <c r="AE813"/>
  <c r="AE868"/>
  <c r="AE872"/>
  <c r="AE876"/>
  <c r="AE880"/>
  <c r="AE884"/>
  <c r="AE888"/>
  <c r="AE892"/>
  <c r="AE896"/>
  <c r="AE900"/>
  <c r="AE904"/>
  <c r="AE908"/>
  <c r="AE814"/>
  <c r="AE815"/>
  <c r="AE816"/>
  <c r="AE817"/>
  <c r="AE818"/>
  <c r="AE819"/>
  <c r="AE820"/>
  <c r="AE821"/>
  <c r="AE822"/>
  <c r="AE823"/>
  <c r="AE824"/>
  <c r="AE825"/>
  <c r="AE826"/>
  <c r="AE827"/>
  <c r="AE828"/>
  <c r="AE829"/>
  <c r="AE830"/>
  <c r="AE831"/>
  <c r="AE832"/>
  <c r="AE833"/>
  <c r="AE834"/>
  <c r="AE835"/>
  <c r="AE836"/>
  <c r="AE837"/>
  <c r="AE838"/>
  <c r="AE839"/>
  <c r="AE840"/>
  <c r="AE841"/>
  <c r="AE842"/>
  <c r="AE843"/>
  <c r="AE844"/>
  <c r="AE845"/>
  <c r="AE846"/>
  <c r="AE847"/>
  <c r="AE848"/>
  <c r="AE849"/>
  <c r="AE850"/>
  <c r="AE851"/>
  <c r="AE852"/>
  <c r="AE853"/>
  <c r="AE854"/>
  <c r="AE855"/>
  <c r="AE856"/>
  <c r="AE857"/>
  <c r="AE858"/>
  <c r="AE859"/>
  <c r="AE860"/>
  <c r="AE861"/>
  <c r="AE862"/>
  <c r="AE863"/>
  <c r="AE864"/>
  <c r="AE865"/>
  <c r="AE866"/>
  <c r="AE867"/>
  <c r="AE870"/>
  <c r="AE874"/>
  <c r="AE878"/>
  <c r="AE882"/>
  <c r="AE886"/>
  <c r="AE890"/>
  <c r="AE894"/>
  <c r="AE898"/>
  <c r="AE902"/>
  <c r="AE906"/>
  <c r="V814"/>
  <c r="V816"/>
  <c r="V818"/>
  <c r="V820"/>
  <c r="V822"/>
  <c r="V824"/>
  <c r="V826"/>
  <c r="V828"/>
  <c r="V830"/>
  <c r="V832"/>
  <c r="V834"/>
  <c r="V836"/>
  <c r="V838"/>
  <c r="V840"/>
  <c r="V842"/>
  <c r="V844"/>
  <c r="V846"/>
  <c r="V848"/>
  <c r="V850"/>
  <c r="V852"/>
  <c r="V854"/>
  <c r="V856"/>
  <c r="V858"/>
  <c r="V860"/>
  <c r="V862"/>
  <c r="V864"/>
  <c r="V866"/>
  <c r="AE910"/>
  <c r="AE911"/>
  <c r="AE912"/>
  <c r="AE913"/>
  <c r="AE914"/>
  <c r="AE915"/>
  <c r="AE916"/>
  <c r="AE917"/>
  <c r="AE918"/>
  <c r="AE919"/>
  <c r="AE920"/>
  <c r="AE921"/>
  <c r="AE922"/>
  <c r="AE923"/>
  <c r="AE924"/>
  <c r="AE925"/>
  <c r="AE926"/>
  <c r="AE927"/>
  <c r="AE928"/>
  <c r="AE929"/>
  <c r="AE930"/>
  <c r="AE931"/>
  <c r="AE932"/>
  <c r="AE933"/>
  <c r="AE934"/>
  <c r="AE935"/>
  <c r="AE936"/>
  <c r="AE937"/>
  <c r="AE938"/>
  <c r="AE942"/>
  <c r="AE946"/>
  <c r="AE950"/>
  <c r="AE869"/>
  <c r="AE871"/>
  <c r="AE873"/>
  <c r="AE875"/>
  <c r="AE877"/>
  <c r="AE879"/>
  <c r="AE881"/>
  <c r="AE883"/>
  <c r="AE885"/>
  <c r="AE887"/>
  <c r="AE889"/>
  <c r="AE891"/>
  <c r="AE893"/>
  <c r="AE895"/>
  <c r="AE897"/>
  <c r="AE899"/>
  <c r="AE901"/>
  <c r="AE903"/>
  <c r="AE905"/>
  <c r="AE907"/>
  <c r="AE909"/>
  <c r="AE940"/>
  <c r="AE944"/>
  <c r="AE948"/>
  <c r="V910"/>
  <c r="V912"/>
  <c r="V914"/>
  <c r="V916"/>
  <c r="V918"/>
  <c r="V920"/>
  <c r="V922"/>
  <c r="V924"/>
  <c r="V926"/>
  <c r="V928"/>
  <c r="V930"/>
  <c r="V932"/>
  <c r="V934"/>
  <c r="V936"/>
  <c r="V938"/>
  <c r="AE953"/>
  <c r="AE955"/>
  <c r="AE957"/>
  <c r="AE959"/>
  <c r="AE961"/>
  <c r="AE963"/>
  <c r="AE965"/>
  <c r="AE967"/>
  <c r="AE969"/>
  <c r="AE971"/>
  <c r="AE973"/>
  <c r="AE975"/>
  <c r="AE977"/>
  <c r="AE979"/>
  <c r="AE981"/>
  <c r="AE983"/>
  <c r="AE985"/>
  <c r="AE987"/>
  <c r="AE989"/>
  <c r="AE991"/>
  <c r="AE993"/>
  <c r="AE995"/>
  <c r="AE997"/>
  <c r="AE999"/>
  <c r="AE1001"/>
  <c r="AE1003"/>
  <c r="AE1005"/>
  <c r="AE1007"/>
  <c r="AE1009"/>
  <c r="AE1011"/>
  <c r="E1023"/>
  <c r="F1023"/>
  <c r="F1035"/>
  <c r="E1018"/>
  <c r="F1036"/>
  <c r="E1019"/>
  <c r="F1037"/>
  <c r="E1020"/>
  <c r="F1038"/>
  <c r="E1021"/>
  <c r="AE939"/>
  <c r="AE941"/>
  <c r="AE943"/>
  <c r="AE945"/>
  <c r="AE947"/>
  <c r="AE949"/>
  <c r="AE951"/>
  <c r="W952"/>
  <c r="AE952" s="1"/>
  <c r="W954"/>
  <c r="AE954" s="1"/>
  <c r="W956"/>
  <c r="AE956" s="1"/>
  <c r="W958"/>
  <c r="AE958" s="1"/>
  <c r="W960"/>
  <c r="AE960" s="1"/>
  <c r="W962"/>
  <c r="AE962" s="1"/>
  <c r="W964"/>
  <c r="AE964" s="1"/>
  <c r="W966"/>
  <c r="AE966" s="1"/>
  <c r="W968"/>
  <c r="AE968" s="1"/>
  <c r="W970"/>
  <c r="AE970" s="1"/>
  <c r="W972"/>
  <c r="AE972" s="1"/>
  <c r="W974"/>
  <c r="AE974" s="1"/>
  <c r="W976"/>
  <c r="AE976" s="1"/>
  <c r="W978"/>
  <c r="AE978" s="1"/>
  <c r="W980"/>
  <c r="AE980" s="1"/>
  <c r="W982"/>
  <c r="AE982" s="1"/>
  <c r="W984"/>
  <c r="AE984" s="1"/>
  <c r="W986"/>
  <c r="AE986" s="1"/>
  <c r="W988"/>
  <c r="AE988" s="1"/>
  <c r="W990"/>
  <c r="AE990" s="1"/>
  <c r="W992"/>
  <c r="AE992" s="1"/>
  <c r="W994"/>
  <c r="AE994" s="1"/>
  <c r="W996"/>
  <c r="AE996" s="1"/>
  <c r="W998"/>
  <c r="AE998" s="1"/>
  <c r="W1000"/>
  <c r="AE1000" s="1"/>
  <c r="W1002"/>
  <c r="AE1002" s="1"/>
  <c r="W1004"/>
  <c r="AE1004" s="1"/>
  <c r="W1006"/>
  <c r="AE1006" s="1"/>
  <c r="W1008"/>
  <c r="AE1008" s="1"/>
  <c r="W1010"/>
  <c r="AE1010" s="1"/>
  <c r="W1012"/>
  <c r="AE1012" s="1"/>
  <c r="F1017"/>
  <c r="K1017"/>
  <c r="M1017"/>
  <c r="L1017"/>
  <c r="AE691" i="5"/>
  <c r="AE693"/>
  <c r="AE695"/>
  <c r="AE697"/>
  <c r="AE699"/>
  <c r="AE56"/>
  <c r="AE136"/>
  <c r="AE844"/>
  <c r="AE846"/>
  <c r="AE848"/>
  <c r="AE850"/>
  <c r="AE852"/>
  <c r="AE854"/>
  <c r="AE856"/>
  <c r="AE858"/>
  <c r="AE701"/>
  <c r="AE703"/>
  <c r="AE705"/>
  <c r="AE707"/>
  <c r="AE709"/>
  <c r="AE711"/>
  <c r="AE713"/>
  <c r="AE715"/>
  <c r="AE717"/>
  <c r="AE719"/>
  <c r="AE721"/>
  <c r="AE723"/>
  <c r="AE725"/>
  <c r="AE727"/>
  <c r="AE729"/>
  <c r="AE731"/>
  <c r="AE733"/>
  <c r="AE735"/>
  <c r="AE737"/>
  <c r="AE739"/>
  <c r="AE1007"/>
  <c r="AE1009"/>
  <c r="AE1011"/>
  <c r="AE860"/>
  <c r="AE862"/>
  <c r="AE864"/>
  <c r="AE222"/>
  <c r="AE379"/>
  <c r="AE381"/>
  <c r="AE383"/>
  <c r="AE385"/>
  <c r="AE387"/>
  <c r="AE389"/>
  <c r="AE391"/>
  <c r="AE393"/>
  <c r="AE395"/>
  <c r="AE397"/>
  <c r="AE399"/>
  <c r="AE401"/>
  <c r="AE403"/>
  <c r="AE405"/>
  <c r="AE407"/>
  <c r="AE409"/>
  <c r="AE411"/>
  <c r="AE413"/>
  <c r="AE415"/>
  <c r="AE476"/>
  <c r="AE639"/>
  <c r="AE643"/>
  <c r="AE647"/>
  <c r="AE651"/>
  <c r="AE655"/>
  <c r="AE659"/>
  <c r="AE866"/>
  <c r="AE868"/>
  <c r="AE870"/>
  <c r="AE872"/>
  <c r="AE874"/>
  <c r="AE876"/>
  <c r="AE878"/>
  <c r="AE880"/>
  <c r="AE882"/>
  <c r="AE884"/>
  <c r="AE886"/>
  <c r="AE888"/>
  <c r="AE890"/>
  <c r="AE892"/>
  <c r="AE894"/>
  <c r="AE896"/>
  <c r="AE898"/>
  <c r="AE900"/>
  <c r="AE902"/>
  <c r="AE904"/>
  <c r="AE906"/>
  <c r="AE908"/>
  <c r="AE910"/>
  <c r="AE912"/>
  <c r="AE914"/>
  <c r="AE916"/>
  <c r="AE918"/>
  <c r="AE920"/>
  <c r="AE922"/>
  <c r="AE924"/>
  <c r="AE926"/>
  <c r="AE928"/>
  <c r="AE930"/>
  <c r="AE932"/>
  <c r="AE934"/>
  <c r="AE936"/>
  <c r="AE741"/>
  <c r="AE743"/>
  <c r="AE745"/>
  <c r="AE747"/>
  <c r="AE749"/>
  <c r="AE751"/>
  <c r="AE753"/>
  <c r="AE755"/>
  <c r="AE757"/>
  <c r="AE759"/>
  <c r="AE761"/>
  <c r="AE763"/>
  <c r="AE765"/>
  <c r="AE767"/>
  <c r="AE769"/>
  <c r="AE770"/>
  <c r="AE774"/>
  <c r="AE778"/>
  <c r="AE782"/>
  <c r="AE786"/>
  <c r="AE790"/>
  <c r="W1019"/>
  <c r="AY28" s="1"/>
  <c r="AV29" s="1"/>
  <c r="AE19"/>
  <c r="AX29"/>
  <c r="AE13"/>
  <c r="AW29"/>
  <c r="V1018"/>
  <c r="AU25" s="1"/>
  <c r="X177"/>
  <c r="X175"/>
  <c r="X173"/>
  <c r="X171"/>
  <c r="X169"/>
  <c r="X167"/>
  <c r="X165"/>
  <c r="X163"/>
  <c r="X161"/>
  <c r="X159"/>
  <c r="X157"/>
  <c r="X155"/>
  <c r="X153"/>
  <c r="X151"/>
  <c r="X149"/>
  <c r="X147"/>
  <c r="X145"/>
  <c r="X143"/>
  <c r="X141"/>
  <c r="X139"/>
  <c r="X13"/>
  <c r="W14"/>
  <c r="AE14" s="1"/>
  <c r="W15"/>
  <c r="X16"/>
  <c r="W17"/>
  <c r="X18"/>
  <c r="X20"/>
  <c r="X23"/>
  <c r="X24"/>
  <c r="W26"/>
  <c r="AE26" s="1"/>
  <c r="X28"/>
  <c r="X29"/>
  <c r="X30"/>
  <c r="W32"/>
  <c r="AE32" s="1"/>
  <c r="W33"/>
  <c r="AE33" s="1"/>
  <c r="X34"/>
  <c r="X36"/>
  <c r="X38"/>
  <c r="X40"/>
  <c r="X42"/>
  <c r="X44"/>
  <c r="W45"/>
  <c r="AE45" s="1"/>
  <c r="W47"/>
  <c r="AE47" s="1"/>
  <c r="X48"/>
  <c r="X50"/>
  <c r="W53"/>
  <c r="AE53" s="1"/>
  <c r="X54"/>
  <c r="X56"/>
  <c r="W57"/>
  <c r="AE57" s="1"/>
  <c r="X60"/>
  <c r="W63"/>
  <c r="AE63" s="1"/>
  <c r="W65"/>
  <c r="AE65" s="1"/>
  <c r="X66"/>
  <c r="W69"/>
  <c r="AE69" s="1"/>
  <c r="W71"/>
  <c r="AE71" s="1"/>
  <c r="X72"/>
  <c r="W75"/>
  <c r="AE75" s="1"/>
  <c r="X76"/>
  <c r="W79"/>
  <c r="AE79" s="1"/>
  <c r="X80"/>
  <c r="W83"/>
  <c r="AE83" s="1"/>
  <c r="X84"/>
  <c r="W85"/>
  <c r="AE85" s="1"/>
  <c r="X86"/>
  <c r="X90"/>
  <c r="W91"/>
  <c r="AE91" s="1"/>
  <c r="X94"/>
  <c r="W95"/>
  <c r="AE95" s="1"/>
  <c r="X98"/>
  <c r="W99"/>
  <c r="AE99" s="1"/>
  <c r="X100"/>
  <c r="W103"/>
  <c r="AE103" s="1"/>
  <c r="W105"/>
  <c r="AE105" s="1"/>
  <c r="W107"/>
  <c r="AE107" s="1"/>
  <c r="W111"/>
  <c r="AE111" s="1"/>
  <c r="W115"/>
  <c r="AE115" s="1"/>
  <c r="X116"/>
  <c r="W117"/>
  <c r="AE117" s="1"/>
  <c r="W119"/>
  <c r="AE119" s="1"/>
  <c r="X120"/>
  <c r="W121"/>
  <c r="AE121" s="1"/>
  <c r="X122"/>
  <c r="W123"/>
  <c r="AE123" s="1"/>
  <c r="X124"/>
  <c r="W125"/>
  <c r="AE125" s="1"/>
  <c r="X126"/>
  <c r="W127"/>
  <c r="AE127" s="1"/>
  <c r="X128"/>
  <c r="W129"/>
  <c r="AE129" s="1"/>
  <c r="X130"/>
  <c r="W131"/>
  <c r="AE131" s="1"/>
  <c r="X132"/>
  <c r="W133"/>
  <c r="AE133" s="1"/>
  <c r="X134"/>
  <c r="W135"/>
  <c r="AE135" s="1"/>
  <c r="X136"/>
  <c r="W137"/>
  <c r="AE137" s="1"/>
  <c r="X19"/>
  <c r="W21"/>
  <c r="X22"/>
  <c r="W25"/>
  <c r="AE25" s="1"/>
  <c r="W27"/>
  <c r="AE27" s="1"/>
  <c r="W31"/>
  <c r="AE31" s="1"/>
  <c r="X35"/>
  <c r="X37"/>
  <c r="X39"/>
  <c r="X41"/>
  <c r="W43"/>
  <c r="AE43" s="1"/>
  <c r="X46"/>
  <c r="W49"/>
  <c r="AE49" s="1"/>
  <c r="W51"/>
  <c r="AE51" s="1"/>
  <c r="X52"/>
  <c r="W55"/>
  <c r="AE55" s="1"/>
  <c r="X58"/>
  <c r="W59"/>
  <c r="AE59" s="1"/>
  <c r="W61"/>
  <c r="AE61" s="1"/>
  <c r="X62"/>
  <c r="X64"/>
  <c r="W67"/>
  <c r="AE67" s="1"/>
  <c r="X68"/>
  <c r="X70"/>
  <c r="W73"/>
  <c r="AE73" s="1"/>
  <c r="X74"/>
  <c r="W77"/>
  <c r="AE77" s="1"/>
  <c r="X78"/>
  <c r="W81"/>
  <c r="AE81" s="1"/>
  <c r="X82"/>
  <c r="W87"/>
  <c r="AE87" s="1"/>
  <c r="X88"/>
  <c r="W89"/>
  <c r="AE89" s="1"/>
  <c r="X92"/>
  <c r="W93"/>
  <c r="AE93" s="1"/>
  <c r="X96"/>
  <c r="W97"/>
  <c r="AE97" s="1"/>
  <c r="W101"/>
  <c r="AE101" s="1"/>
  <c r="X102"/>
  <c r="X104"/>
  <c r="X106"/>
  <c r="X108"/>
  <c r="W109"/>
  <c r="AE109" s="1"/>
  <c r="X110"/>
  <c r="X112"/>
  <c r="W113"/>
  <c r="AE113" s="1"/>
  <c r="X114"/>
  <c r="X118"/>
  <c r="X14"/>
  <c r="X15"/>
  <c r="X17"/>
  <c r="X21"/>
  <c r="X25"/>
  <c r="X26"/>
  <c r="X27"/>
  <c r="X31"/>
  <c r="X32"/>
  <c r="X33"/>
  <c r="X43"/>
  <c r="X45"/>
  <c r="X47"/>
  <c r="X49"/>
  <c r="X51"/>
  <c r="X53"/>
  <c r="X55"/>
  <c r="X57"/>
  <c r="X59"/>
  <c r="X61"/>
  <c r="X63"/>
  <c r="X65"/>
  <c r="X67"/>
  <c r="X69"/>
  <c r="X71"/>
  <c r="X73"/>
  <c r="X75"/>
  <c r="X77"/>
  <c r="X79"/>
  <c r="X81"/>
  <c r="X83"/>
  <c r="X85"/>
  <c r="X87"/>
  <c r="X89"/>
  <c r="X91"/>
  <c r="X93"/>
  <c r="X95"/>
  <c r="X97"/>
  <c r="X99"/>
  <c r="X101"/>
  <c r="X103"/>
  <c r="X105"/>
  <c r="X107"/>
  <c r="X109"/>
  <c r="X111"/>
  <c r="X113"/>
  <c r="X115"/>
  <c r="X117"/>
  <c r="X119"/>
  <c r="X121"/>
  <c r="X123"/>
  <c r="X125"/>
  <c r="X127"/>
  <c r="X129"/>
  <c r="X131"/>
  <c r="X133"/>
  <c r="X135"/>
  <c r="X137"/>
  <c r="AE138"/>
  <c r="X138"/>
  <c r="W139"/>
  <c r="AE139" s="1"/>
  <c r="AE140"/>
  <c r="X140"/>
  <c r="W141"/>
  <c r="AE141" s="1"/>
  <c r="AE142"/>
  <c r="X142"/>
  <c r="W143"/>
  <c r="AE143" s="1"/>
  <c r="AE144"/>
  <c r="X144"/>
  <c r="W145"/>
  <c r="AE145" s="1"/>
  <c r="AE146"/>
  <c r="X146"/>
  <c r="W147"/>
  <c r="AE147" s="1"/>
  <c r="AE148"/>
  <c r="X148"/>
  <c r="W149"/>
  <c r="AE149" s="1"/>
  <c r="AE150"/>
  <c r="X150"/>
  <c r="W151"/>
  <c r="AE151" s="1"/>
  <c r="AE152"/>
  <c r="X152"/>
  <c r="W153"/>
  <c r="AE153" s="1"/>
  <c r="AE154"/>
  <c r="X154"/>
  <c r="W155"/>
  <c r="AE155" s="1"/>
  <c r="AE156"/>
  <c r="X156"/>
  <c r="W157"/>
  <c r="AE157" s="1"/>
  <c r="AE158"/>
  <c r="X158"/>
  <c r="W159"/>
  <c r="AE159" s="1"/>
  <c r="AE160"/>
  <c r="X160"/>
  <c r="W161"/>
  <c r="AE161" s="1"/>
  <c r="AE162"/>
  <c r="X162"/>
  <c r="W163"/>
  <c r="AE163" s="1"/>
  <c r="AE164"/>
  <c r="X164"/>
  <c r="W165"/>
  <c r="AE165" s="1"/>
  <c r="AE166"/>
  <c r="X166"/>
  <c r="W167"/>
  <c r="AE167" s="1"/>
  <c r="AE168"/>
  <c r="X168"/>
  <c r="W169"/>
  <c r="AE169" s="1"/>
  <c r="AE170"/>
  <c r="X170"/>
  <c r="W171"/>
  <c r="AE171" s="1"/>
  <c r="AE172"/>
  <c r="X172"/>
  <c r="W173"/>
  <c r="AE173" s="1"/>
  <c r="AE174"/>
  <c r="X174"/>
  <c r="W175"/>
  <c r="AE175" s="1"/>
  <c r="AE176"/>
  <c r="X176"/>
  <c r="W177"/>
  <c r="AE177" s="1"/>
  <c r="AE178"/>
  <c r="X178"/>
  <c r="V179"/>
  <c r="X1012" s="1"/>
  <c r="V181"/>
  <c r="V183"/>
  <c r="V185"/>
  <c r="V187"/>
  <c r="V189"/>
  <c r="V191"/>
  <c r="V193"/>
  <c r="V195"/>
  <c r="V197"/>
  <c r="V199"/>
  <c r="V201"/>
  <c r="V203"/>
  <c r="V205"/>
  <c r="V207"/>
  <c r="V209"/>
  <c r="V211"/>
  <c r="V213"/>
  <c r="V215"/>
  <c r="V217"/>
  <c r="V219"/>
  <c r="V221"/>
  <c r="V223"/>
  <c r="V225"/>
  <c r="V227"/>
  <c r="V229"/>
  <c r="V231"/>
  <c r="V233"/>
  <c r="V235"/>
  <c r="V237"/>
  <c r="V239"/>
  <c r="V241"/>
  <c r="V243"/>
  <c r="V245"/>
  <c r="V247"/>
  <c r="V249"/>
  <c r="V251"/>
  <c r="V253"/>
  <c r="V255"/>
  <c r="V257"/>
  <c r="V259"/>
  <c r="V261"/>
  <c r="V263"/>
  <c r="V265"/>
  <c r="V267"/>
  <c r="V269"/>
  <c r="V271"/>
  <c r="V273"/>
  <c r="V275"/>
  <c r="V277"/>
  <c r="V279"/>
  <c r="V281"/>
  <c r="V283"/>
  <c r="V285"/>
  <c r="V287"/>
  <c r="V289"/>
  <c r="V291"/>
  <c r="V293"/>
  <c r="V295"/>
  <c r="V297"/>
  <c r="V299"/>
  <c r="V301"/>
  <c r="V303"/>
  <c r="V305"/>
  <c r="V307"/>
  <c r="V309"/>
  <c r="V311"/>
  <c r="V313"/>
  <c r="V315"/>
  <c r="V317"/>
  <c r="V319"/>
  <c r="V321"/>
  <c r="V323"/>
  <c r="V325"/>
  <c r="V327"/>
  <c r="V329"/>
  <c r="V331"/>
  <c r="V333"/>
  <c r="V335"/>
  <c r="V337"/>
  <c r="V339"/>
  <c r="V341"/>
  <c r="V343"/>
  <c r="V345"/>
  <c r="V347"/>
  <c r="V349"/>
  <c r="V351"/>
  <c r="V353"/>
  <c r="V355"/>
  <c r="V357"/>
  <c r="V359"/>
  <c r="V361"/>
  <c r="V363"/>
  <c r="V365"/>
  <c r="V367"/>
  <c r="V369"/>
  <c r="V371"/>
  <c r="V373"/>
  <c r="V375"/>
  <c r="V377"/>
  <c r="V379"/>
  <c r="V381"/>
  <c r="V383"/>
  <c r="V385"/>
  <c r="V387"/>
  <c r="V389"/>
  <c r="V391"/>
  <c r="V393"/>
  <c r="V395"/>
  <c r="V397"/>
  <c r="V399"/>
  <c r="V401"/>
  <c r="V403"/>
  <c r="V405"/>
  <c r="V407"/>
  <c r="V409"/>
  <c r="V411"/>
  <c r="V413"/>
  <c r="V415"/>
  <c r="W480"/>
  <c r="AE480" s="1"/>
  <c r="AE481"/>
  <c r="W482"/>
  <c r="AE482" s="1"/>
  <c r="AE483"/>
  <c r="W484"/>
  <c r="AE484" s="1"/>
  <c r="AE485"/>
  <c r="W486"/>
  <c r="AE486" s="1"/>
  <c r="AE487"/>
  <c r="W488"/>
  <c r="AE488" s="1"/>
  <c r="AE489"/>
  <c r="W490"/>
  <c r="AE490" s="1"/>
  <c r="AE491"/>
  <c r="W492"/>
  <c r="AE492" s="1"/>
  <c r="AE493"/>
  <c r="W494"/>
  <c r="AE494" s="1"/>
  <c r="AE495"/>
  <c r="W496"/>
  <c r="AE496" s="1"/>
  <c r="AE497"/>
  <c r="W498"/>
  <c r="AE498" s="1"/>
  <c r="AE499"/>
  <c r="W500"/>
  <c r="AE500" s="1"/>
  <c r="AE501"/>
  <c r="W502"/>
  <c r="AE502" s="1"/>
  <c r="AE503"/>
  <c r="W504"/>
  <c r="AE504" s="1"/>
  <c r="AE505"/>
  <c r="W506"/>
  <c r="AE506" s="1"/>
  <c r="AE507"/>
  <c r="W508"/>
  <c r="AE508" s="1"/>
  <c r="W510"/>
  <c r="AE510" s="1"/>
  <c r="W512"/>
  <c r="AE512" s="1"/>
  <c r="W514"/>
  <c r="AE514" s="1"/>
  <c r="W516"/>
  <c r="AE516" s="1"/>
  <c r="W518"/>
  <c r="AE518" s="1"/>
  <c r="W520"/>
  <c r="AE520" s="1"/>
  <c r="W522"/>
  <c r="AE522" s="1"/>
  <c r="W524"/>
  <c r="AE524" s="1"/>
  <c r="W526"/>
  <c r="AE526" s="1"/>
  <c r="W528"/>
  <c r="AE528" s="1"/>
  <c r="W530"/>
  <c r="AE530" s="1"/>
  <c r="W532"/>
  <c r="AE532" s="1"/>
  <c r="W534"/>
  <c r="AE534" s="1"/>
  <c r="W536"/>
  <c r="AE536" s="1"/>
  <c r="W538"/>
  <c r="AE538" s="1"/>
  <c r="W540"/>
  <c r="AE540" s="1"/>
  <c r="W542"/>
  <c r="AE542" s="1"/>
  <c r="W544"/>
  <c r="AE544" s="1"/>
  <c r="W546"/>
  <c r="AE546" s="1"/>
  <c r="W548"/>
  <c r="AE548" s="1"/>
  <c r="W550"/>
  <c r="AE550" s="1"/>
  <c r="W552"/>
  <c r="AE552" s="1"/>
  <c r="W554"/>
  <c r="AE554" s="1"/>
  <c r="W556"/>
  <c r="AE556" s="1"/>
  <c r="W558"/>
  <c r="AE558" s="1"/>
  <c r="W560"/>
  <c r="AE560" s="1"/>
  <c r="W562"/>
  <c r="AE562" s="1"/>
  <c r="W564"/>
  <c r="AE564" s="1"/>
  <c r="W566"/>
  <c r="AE566" s="1"/>
  <c r="W568"/>
  <c r="AE568" s="1"/>
  <c r="W570"/>
  <c r="AE570" s="1"/>
  <c r="W572"/>
  <c r="AE572" s="1"/>
  <c r="W574"/>
  <c r="AE574" s="1"/>
  <c r="W576"/>
  <c r="AE576" s="1"/>
  <c r="W578"/>
  <c r="AE578" s="1"/>
  <c r="W580"/>
  <c r="AE580" s="1"/>
  <c r="W582"/>
  <c r="AE582" s="1"/>
  <c r="W584"/>
  <c r="AE584" s="1"/>
  <c r="W586"/>
  <c r="AE586" s="1"/>
  <c r="W588"/>
  <c r="AE588" s="1"/>
  <c r="W590"/>
  <c r="AE590" s="1"/>
  <c r="W592"/>
  <c r="AE592" s="1"/>
  <c r="W594"/>
  <c r="AE594" s="1"/>
  <c r="W596"/>
  <c r="AE596" s="1"/>
  <c r="W598"/>
  <c r="AE598" s="1"/>
  <c r="W600"/>
  <c r="AE600" s="1"/>
  <c r="W602"/>
  <c r="AE602" s="1"/>
  <c r="W604"/>
  <c r="AE604" s="1"/>
  <c r="W606"/>
  <c r="AE606" s="1"/>
  <c r="W608"/>
  <c r="AE608" s="1"/>
  <c r="W610"/>
  <c r="AE610" s="1"/>
  <c r="W612"/>
  <c r="AE612" s="1"/>
  <c r="W614"/>
  <c r="AE614" s="1"/>
  <c r="W616"/>
  <c r="AE616" s="1"/>
  <c r="W618"/>
  <c r="AE618" s="1"/>
  <c r="W620"/>
  <c r="AE620" s="1"/>
  <c r="W622"/>
  <c r="AE622" s="1"/>
  <c r="W624"/>
  <c r="AE624" s="1"/>
  <c r="W626"/>
  <c r="AE626" s="1"/>
  <c r="W628"/>
  <c r="AE628" s="1"/>
  <c r="W630"/>
  <c r="AE630" s="1"/>
  <c r="W632"/>
  <c r="AE632" s="1"/>
  <c r="W634"/>
  <c r="AE634" s="1"/>
  <c r="W663"/>
  <c r="AE663" s="1"/>
  <c r="V663"/>
  <c r="V665"/>
  <c r="V667"/>
  <c r="V669"/>
  <c r="V671"/>
  <c r="V673"/>
  <c r="V675"/>
  <c r="V677"/>
  <c r="V679"/>
  <c r="V681"/>
  <c r="V683"/>
  <c r="V685"/>
  <c r="V687"/>
  <c r="V689"/>
  <c r="V691"/>
  <c r="V693"/>
  <c r="V695"/>
  <c r="V697"/>
  <c r="V699"/>
  <c r="V701"/>
  <c r="V703"/>
  <c r="V705"/>
  <c r="V707"/>
  <c r="V709"/>
  <c r="V711"/>
  <c r="V713"/>
  <c r="V715"/>
  <c r="V717"/>
  <c r="V719"/>
  <c r="V721"/>
  <c r="V723"/>
  <c r="V725"/>
  <c r="V727"/>
  <c r="V729"/>
  <c r="V731"/>
  <c r="V733"/>
  <c r="V735"/>
  <c r="V737"/>
  <c r="V739"/>
  <c r="V741"/>
  <c r="V743"/>
  <c r="V745"/>
  <c r="V747"/>
  <c r="V749"/>
  <c r="V751"/>
  <c r="V753"/>
  <c r="V755"/>
  <c r="V757"/>
  <c r="V759"/>
  <c r="V761"/>
  <c r="V763"/>
  <c r="V765"/>
  <c r="V767"/>
  <c r="V769"/>
  <c r="W794"/>
  <c r="AE794" s="1"/>
  <c r="AE795"/>
  <c r="W796"/>
  <c r="AE796" s="1"/>
  <c r="AE797"/>
  <c r="W798"/>
  <c r="AE798" s="1"/>
  <c r="AE799"/>
  <c r="W800"/>
  <c r="AE800" s="1"/>
  <c r="AE801"/>
  <c r="W802"/>
  <c r="AE802" s="1"/>
  <c r="AE803"/>
  <c r="W804"/>
  <c r="AE804" s="1"/>
  <c r="AE805"/>
  <c r="W806"/>
  <c r="AE806" s="1"/>
  <c r="AE807"/>
  <c r="W808"/>
  <c r="AE808" s="1"/>
  <c r="AE809"/>
  <c r="W810"/>
  <c r="AE810" s="1"/>
  <c r="AE811"/>
  <c r="W812"/>
  <c r="AE812" s="1"/>
  <c r="AE813"/>
  <c r="E1017"/>
  <c r="F1034"/>
  <c r="V814"/>
  <c r="V816"/>
  <c r="V818"/>
  <c r="V820"/>
  <c r="V822"/>
  <c r="V824"/>
  <c r="V826"/>
  <c r="V828"/>
  <c r="V830"/>
  <c r="V832"/>
  <c r="V834"/>
  <c r="V836"/>
  <c r="V838"/>
  <c r="V840"/>
  <c r="V842"/>
  <c r="V844"/>
  <c r="V846"/>
  <c r="V848"/>
  <c r="V850"/>
  <c r="V852"/>
  <c r="V854"/>
  <c r="V856"/>
  <c r="V858"/>
  <c r="V860"/>
  <c r="V862"/>
  <c r="V864"/>
  <c r="V866"/>
  <c r="V868"/>
  <c r="V870"/>
  <c r="V872"/>
  <c r="V874"/>
  <c r="V876"/>
  <c r="V878"/>
  <c r="V880"/>
  <c r="V882"/>
  <c r="V884"/>
  <c r="V886"/>
  <c r="V888"/>
  <c r="V890"/>
  <c r="V892"/>
  <c r="V894"/>
  <c r="V896"/>
  <c r="V898"/>
  <c r="V900"/>
  <c r="V902"/>
  <c r="V904"/>
  <c r="V906"/>
  <c r="V908"/>
  <c r="V910"/>
  <c r="V912"/>
  <c r="V914"/>
  <c r="V916"/>
  <c r="V918"/>
  <c r="V920"/>
  <c r="V922"/>
  <c r="V924"/>
  <c r="V926"/>
  <c r="V928"/>
  <c r="V930"/>
  <c r="V932"/>
  <c r="V934"/>
  <c r="V936"/>
  <c r="AE938"/>
  <c r="W939"/>
  <c r="AE939" s="1"/>
  <c r="AE940"/>
  <c r="W941"/>
  <c r="AE941" s="1"/>
  <c r="AE942"/>
  <c r="F1035"/>
  <c r="E1018"/>
  <c r="F1036"/>
  <c r="E1019"/>
  <c r="F1037"/>
  <c r="E1020"/>
  <c r="F1038"/>
  <c r="E1021"/>
  <c r="V943"/>
  <c r="V945"/>
  <c r="V947"/>
  <c r="V949"/>
  <c r="V951"/>
  <c r="V953"/>
  <c r="V955"/>
  <c r="V957"/>
  <c r="V959"/>
  <c r="V961"/>
  <c r="V963"/>
  <c r="V965"/>
  <c r="V967"/>
  <c r="V969"/>
  <c r="V971"/>
  <c r="V973"/>
  <c r="V975"/>
  <c r="V977"/>
  <c r="V979"/>
  <c r="V981"/>
  <c r="V983"/>
  <c r="V985"/>
  <c r="V987"/>
  <c r="V989"/>
  <c r="V991"/>
  <c r="V993"/>
  <c r="V995"/>
  <c r="V997"/>
  <c r="V999"/>
  <c r="V1001"/>
  <c r="V1003"/>
  <c r="V1005"/>
  <c r="V1007"/>
  <c r="V1009"/>
  <c r="V1011"/>
  <c r="K1017"/>
  <c r="J7" s="1"/>
  <c r="F1032" s="1"/>
  <c r="F1023"/>
  <c r="BC18" s="1"/>
  <c r="B14" i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O13"/>
  <c r="V13" s="1"/>
  <c r="O306"/>
  <c r="V306" s="1"/>
  <c r="O305"/>
  <c r="V305" s="1"/>
  <c r="O301"/>
  <c r="V301" s="1"/>
  <c r="O298"/>
  <c r="V298" s="1"/>
  <c r="O14"/>
  <c r="V14" s="1"/>
  <c r="O15"/>
  <c r="V15" s="1"/>
  <c r="O16"/>
  <c r="V16" s="1"/>
  <c r="O17"/>
  <c r="V17" s="1"/>
  <c r="O18"/>
  <c r="V18" s="1"/>
  <c r="O19"/>
  <c r="V19" s="1"/>
  <c r="O20"/>
  <c r="V20" s="1"/>
  <c r="O21"/>
  <c r="V21" s="1"/>
  <c r="O22"/>
  <c r="V22" s="1"/>
  <c r="O23"/>
  <c r="V23" s="1"/>
  <c r="O24"/>
  <c r="V24" s="1"/>
  <c r="X742" s="1"/>
  <c r="O25"/>
  <c r="V25" s="1"/>
  <c r="O26"/>
  <c r="V26" s="1"/>
  <c r="O27"/>
  <c r="V27" s="1"/>
  <c r="O28"/>
  <c r="V28" s="1"/>
  <c r="O29"/>
  <c r="V29" s="1"/>
  <c r="O30"/>
  <c r="V30" s="1"/>
  <c r="O31"/>
  <c r="V31" s="1"/>
  <c r="O32"/>
  <c r="V32" s="1"/>
  <c r="O33"/>
  <c r="V33" s="1"/>
  <c r="O34"/>
  <c r="V34" s="1"/>
  <c r="O35"/>
  <c r="V35" s="1"/>
  <c r="O36"/>
  <c r="V36" s="1"/>
  <c r="O37"/>
  <c r="V37" s="1"/>
  <c r="O38"/>
  <c r="V38" s="1"/>
  <c r="O39"/>
  <c r="V39" s="1"/>
  <c r="O40"/>
  <c r="V40" s="1"/>
  <c r="O41"/>
  <c r="V41" s="1"/>
  <c r="O42"/>
  <c r="V42" s="1"/>
  <c r="O43"/>
  <c r="V43" s="1"/>
  <c r="O44"/>
  <c r="V44" s="1"/>
  <c r="O45"/>
  <c r="V45" s="1"/>
  <c r="O46"/>
  <c r="V46" s="1"/>
  <c r="O47"/>
  <c r="V47" s="1"/>
  <c r="O48"/>
  <c r="V48" s="1"/>
  <c r="O49"/>
  <c r="V49" s="1"/>
  <c r="O50"/>
  <c r="V50" s="1"/>
  <c r="O51"/>
  <c r="V51" s="1"/>
  <c r="O52"/>
  <c r="V52" s="1"/>
  <c r="O53"/>
  <c r="V53" s="1"/>
  <c r="O54"/>
  <c r="V54" s="1"/>
  <c r="O55"/>
  <c r="V55" s="1"/>
  <c r="O56"/>
  <c r="V56" s="1"/>
  <c r="O57"/>
  <c r="V57" s="1"/>
  <c r="O58"/>
  <c r="V58" s="1"/>
  <c r="O59"/>
  <c r="V59" s="1"/>
  <c r="O60"/>
  <c r="V60" s="1"/>
  <c r="O61"/>
  <c r="V61" s="1"/>
  <c r="O62"/>
  <c r="V62" s="1"/>
  <c r="O63"/>
  <c r="V63" s="1"/>
  <c r="O64"/>
  <c r="V64" s="1"/>
  <c r="O65"/>
  <c r="V65" s="1"/>
  <c r="O66"/>
  <c r="V66" s="1"/>
  <c r="O67"/>
  <c r="V67" s="1"/>
  <c r="O68"/>
  <c r="V68" s="1"/>
  <c r="O69"/>
  <c r="V69" s="1"/>
  <c r="O70"/>
  <c r="V70" s="1"/>
  <c r="O71"/>
  <c r="V71" s="1"/>
  <c r="O72"/>
  <c r="V72" s="1"/>
  <c r="O73"/>
  <c r="V73" s="1"/>
  <c r="O74"/>
  <c r="V74" s="1"/>
  <c r="O75"/>
  <c r="V75" s="1"/>
  <c r="O76"/>
  <c r="V76" s="1"/>
  <c r="O77"/>
  <c r="V77" s="1"/>
  <c r="O78"/>
  <c r="V78" s="1"/>
  <c r="O79"/>
  <c r="V79" s="1"/>
  <c r="O80"/>
  <c r="V80" s="1"/>
  <c r="O81"/>
  <c r="V81" s="1"/>
  <c r="O82"/>
  <c r="V82" s="1"/>
  <c r="O83"/>
  <c r="V83" s="1"/>
  <c r="O84"/>
  <c r="V84" s="1"/>
  <c r="O85"/>
  <c r="V85" s="1"/>
  <c r="O86"/>
  <c r="V86" s="1"/>
  <c r="O87"/>
  <c r="V87" s="1"/>
  <c r="O88"/>
  <c r="V88" s="1"/>
  <c r="O89"/>
  <c r="V89" s="1"/>
  <c r="O90"/>
  <c r="V90" s="1"/>
  <c r="O91"/>
  <c r="V91" s="1"/>
  <c r="O92"/>
  <c r="V92" s="1"/>
  <c r="O93"/>
  <c r="V93" s="1"/>
  <c r="O94"/>
  <c r="V94" s="1"/>
  <c r="O95"/>
  <c r="V95" s="1"/>
  <c r="O96"/>
  <c r="V96" s="1"/>
  <c r="O97"/>
  <c r="V97" s="1"/>
  <c r="O98"/>
  <c r="V98" s="1"/>
  <c r="O99"/>
  <c r="V99" s="1"/>
  <c r="O100"/>
  <c r="V100" s="1"/>
  <c r="O101"/>
  <c r="V101" s="1"/>
  <c r="O102"/>
  <c r="V102" s="1"/>
  <c r="O103"/>
  <c r="V103" s="1"/>
  <c r="O104"/>
  <c r="V104" s="1"/>
  <c r="O105"/>
  <c r="V105" s="1"/>
  <c r="O106"/>
  <c r="V106" s="1"/>
  <c r="O107"/>
  <c r="V107" s="1"/>
  <c r="O108"/>
  <c r="V108" s="1"/>
  <c r="O109"/>
  <c r="V109" s="1"/>
  <c r="O110"/>
  <c r="V110" s="1"/>
  <c r="O111"/>
  <c r="V111" s="1"/>
  <c r="O112"/>
  <c r="V112" s="1"/>
  <c r="O113"/>
  <c r="V113" s="1"/>
  <c r="O114"/>
  <c r="V114" s="1"/>
  <c r="O115"/>
  <c r="V115" s="1"/>
  <c r="O116"/>
  <c r="V116" s="1"/>
  <c r="O117"/>
  <c r="V117" s="1"/>
  <c r="O118"/>
  <c r="V118" s="1"/>
  <c r="O119"/>
  <c r="V119" s="1"/>
  <c r="O120"/>
  <c r="V120" s="1"/>
  <c r="O121"/>
  <c r="V121" s="1"/>
  <c r="O122"/>
  <c r="V122" s="1"/>
  <c r="O123"/>
  <c r="V123" s="1"/>
  <c r="O124"/>
  <c r="V124" s="1"/>
  <c r="O125"/>
  <c r="V125" s="1"/>
  <c r="O126"/>
  <c r="V126" s="1"/>
  <c r="O127"/>
  <c r="V127" s="1"/>
  <c r="O128"/>
  <c r="V128" s="1"/>
  <c r="O129"/>
  <c r="V129" s="1"/>
  <c r="O130"/>
  <c r="V130" s="1"/>
  <c r="O131"/>
  <c r="V131" s="1"/>
  <c r="O132"/>
  <c r="V132" s="1"/>
  <c r="O133"/>
  <c r="V133" s="1"/>
  <c r="O134"/>
  <c r="V134" s="1"/>
  <c r="O135"/>
  <c r="V135" s="1"/>
  <c r="O136"/>
  <c r="V136" s="1"/>
  <c r="O137"/>
  <c r="V137" s="1"/>
  <c r="O138"/>
  <c r="V138" s="1"/>
  <c r="O139"/>
  <c r="V139" s="1"/>
  <c r="O140"/>
  <c r="V140" s="1"/>
  <c r="O141"/>
  <c r="V141" s="1"/>
  <c r="O142"/>
  <c r="V142" s="1"/>
  <c r="O143"/>
  <c r="V143" s="1"/>
  <c r="O144"/>
  <c r="V144" s="1"/>
  <c r="O145"/>
  <c r="V145" s="1"/>
  <c r="O146"/>
  <c r="V146" s="1"/>
  <c r="O147"/>
  <c r="V147" s="1"/>
  <c r="O148"/>
  <c r="V148" s="1"/>
  <c r="O149"/>
  <c r="V149" s="1"/>
  <c r="O150"/>
  <c r="V150" s="1"/>
  <c r="O151"/>
  <c r="V151" s="1"/>
  <c r="O152"/>
  <c r="V152" s="1"/>
  <c r="O153"/>
  <c r="V153" s="1"/>
  <c r="O154"/>
  <c r="V154" s="1"/>
  <c r="O155"/>
  <c r="V155" s="1"/>
  <c r="O156"/>
  <c r="V156" s="1"/>
  <c r="O157"/>
  <c r="V157" s="1"/>
  <c r="O158"/>
  <c r="V158" s="1"/>
  <c r="O159"/>
  <c r="V159" s="1"/>
  <c r="O160"/>
  <c r="V160" s="1"/>
  <c r="O161"/>
  <c r="V161" s="1"/>
  <c r="O162"/>
  <c r="V162" s="1"/>
  <c r="O163"/>
  <c r="V163" s="1"/>
  <c r="O164"/>
  <c r="V164" s="1"/>
  <c r="O165"/>
  <c r="V165" s="1"/>
  <c r="O166"/>
  <c r="V166" s="1"/>
  <c r="O167"/>
  <c r="V167" s="1"/>
  <c r="O168"/>
  <c r="V168" s="1"/>
  <c r="O169"/>
  <c r="V169" s="1"/>
  <c r="O170"/>
  <c r="V170" s="1"/>
  <c r="O171"/>
  <c r="V171" s="1"/>
  <c r="O172"/>
  <c r="V172" s="1"/>
  <c r="O173"/>
  <c r="V173" s="1"/>
  <c r="O174"/>
  <c r="V174" s="1"/>
  <c r="O175"/>
  <c r="V175" s="1"/>
  <c r="O176"/>
  <c r="V176" s="1"/>
  <c r="O177"/>
  <c r="V177" s="1"/>
  <c r="O178"/>
  <c r="V178" s="1"/>
  <c r="O179"/>
  <c r="V179" s="1"/>
  <c r="O180"/>
  <c r="V180" s="1"/>
  <c r="O181"/>
  <c r="V181" s="1"/>
  <c r="O182"/>
  <c r="V182" s="1"/>
  <c r="O183"/>
  <c r="V183" s="1"/>
  <c r="O184"/>
  <c r="V184" s="1"/>
  <c r="O185"/>
  <c r="V185" s="1"/>
  <c r="O186"/>
  <c r="V186" s="1"/>
  <c r="O187"/>
  <c r="V187" s="1"/>
  <c r="O188"/>
  <c r="V188" s="1"/>
  <c r="O189"/>
  <c r="V189" s="1"/>
  <c r="O190"/>
  <c r="V190" s="1"/>
  <c r="O191"/>
  <c r="V191" s="1"/>
  <c r="O192"/>
  <c r="V192" s="1"/>
  <c r="O193"/>
  <c r="V193" s="1"/>
  <c r="O194"/>
  <c r="V194" s="1"/>
  <c r="O195"/>
  <c r="V195" s="1"/>
  <c r="O196"/>
  <c r="V196" s="1"/>
  <c r="O197"/>
  <c r="V197" s="1"/>
  <c r="O198"/>
  <c r="V198" s="1"/>
  <c r="O199"/>
  <c r="V199" s="1"/>
  <c r="O200"/>
  <c r="V200" s="1"/>
  <c r="O201"/>
  <c r="V201" s="1"/>
  <c r="O202"/>
  <c r="V202" s="1"/>
  <c r="O203"/>
  <c r="V203" s="1"/>
  <c r="O204"/>
  <c r="V204" s="1"/>
  <c r="O205"/>
  <c r="V205" s="1"/>
  <c r="O206"/>
  <c r="V206" s="1"/>
  <c r="O207"/>
  <c r="V207" s="1"/>
  <c r="O208"/>
  <c r="V208" s="1"/>
  <c r="O209"/>
  <c r="V209" s="1"/>
  <c r="O210"/>
  <c r="V210" s="1"/>
  <c r="O211"/>
  <c r="V211" s="1"/>
  <c r="O212"/>
  <c r="V212" s="1"/>
  <c r="O213"/>
  <c r="V213" s="1"/>
  <c r="O214"/>
  <c r="V214" s="1"/>
  <c r="O215"/>
  <c r="V215" s="1"/>
  <c r="O216"/>
  <c r="V216" s="1"/>
  <c r="O217"/>
  <c r="V217" s="1"/>
  <c r="O218"/>
  <c r="V218" s="1"/>
  <c r="O219"/>
  <c r="V219" s="1"/>
  <c r="O220"/>
  <c r="V220" s="1"/>
  <c r="O221"/>
  <c r="V221" s="1"/>
  <c r="O222"/>
  <c r="V222" s="1"/>
  <c r="O223"/>
  <c r="V223" s="1"/>
  <c r="O224"/>
  <c r="V224" s="1"/>
  <c r="O225"/>
  <c r="V225" s="1"/>
  <c r="O226"/>
  <c r="V226" s="1"/>
  <c r="O227"/>
  <c r="V227" s="1"/>
  <c r="O228"/>
  <c r="V228" s="1"/>
  <c r="O229"/>
  <c r="V229" s="1"/>
  <c r="O230"/>
  <c r="V230" s="1"/>
  <c r="O231"/>
  <c r="V231" s="1"/>
  <c r="O232"/>
  <c r="V232" s="1"/>
  <c r="O233"/>
  <c r="V233" s="1"/>
  <c r="O234"/>
  <c r="V234" s="1"/>
  <c r="O235"/>
  <c r="V235" s="1"/>
  <c r="O236"/>
  <c r="V236" s="1"/>
  <c r="O237"/>
  <c r="V237" s="1"/>
  <c r="O238"/>
  <c r="V238" s="1"/>
  <c r="O239"/>
  <c r="V239" s="1"/>
  <c r="O240"/>
  <c r="V240" s="1"/>
  <c r="O241"/>
  <c r="V241" s="1"/>
  <c r="O242"/>
  <c r="V242" s="1"/>
  <c r="O243"/>
  <c r="V243" s="1"/>
  <c r="O244"/>
  <c r="V244" s="1"/>
  <c r="O245"/>
  <c r="V245" s="1"/>
  <c r="O246"/>
  <c r="V246" s="1"/>
  <c r="O247"/>
  <c r="V247" s="1"/>
  <c r="O248"/>
  <c r="V248" s="1"/>
  <c r="O249"/>
  <c r="V249" s="1"/>
  <c r="O250"/>
  <c r="V250" s="1"/>
  <c r="O251"/>
  <c r="V251" s="1"/>
  <c r="O252"/>
  <c r="V252" s="1"/>
  <c r="O253"/>
  <c r="V253" s="1"/>
  <c r="O254"/>
  <c r="V254" s="1"/>
  <c r="O255"/>
  <c r="V255" s="1"/>
  <c r="O256"/>
  <c r="V256" s="1"/>
  <c r="O257"/>
  <c r="V257" s="1"/>
  <c r="O258"/>
  <c r="V258" s="1"/>
  <c r="O259"/>
  <c r="V259" s="1"/>
  <c r="O260"/>
  <c r="V260" s="1"/>
  <c r="O261"/>
  <c r="V261" s="1"/>
  <c r="O262"/>
  <c r="V262" s="1"/>
  <c r="O263"/>
  <c r="V263" s="1"/>
  <c r="O264"/>
  <c r="V264" s="1"/>
  <c r="O265"/>
  <c r="V265" s="1"/>
  <c r="O266"/>
  <c r="V266" s="1"/>
  <c r="O267"/>
  <c r="V267" s="1"/>
  <c r="O268"/>
  <c r="V268" s="1"/>
  <c r="O269"/>
  <c r="V269" s="1"/>
  <c r="O270"/>
  <c r="V270" s="1"/>
  <c r="O271"/>
  <c r="V271" s="1"/>
  <c r="O272"/>
  <c r="V272" s="1"/>
  <c r="O273"/>
  <c r="V273" s="1"/>
  <c r="O274"/>
  <c r="V274" s="1"/>
  <c r="O275"/>
  <c r="V275" s="1"/>
  <c r="O276"/>
  <c r="V276" s="1"/>
  <c r="O277"/>
  <c r="V277" s="1"/>
  <c r="O278"/>
  <c r="V278" s="1"/>
  <c r="O279"/>
  <c r="V279" s="1"/>
  <c r="O280"/>
  <c r="V280" s="1"/>
  <c r="O281"/>
  <c r="V281" s="1"/>
  <c r="O282"/>
  <c r="V282" s="1"/>
  <c r="O283"/>
  <c r="V283" s="1"/>
  <c r="O284"/>
  <c r="V284" s="1"/>
  <c r="O285"/>
  <c r="V285" s="1"/>
  <c r="O286"/>
  <c r="V286" s="1"/>
  <c r="O287"/>
  <c r="V287" s="1"/>
  <c r="O288"/>
  <c r="V288" s="1"/>
  <c r="O289"/>
  <c r="V289" s="1"/>
  <c r="O290"/>
  <c r="V290" s="1"/>
  <c r="O291"/>
  <c r="V291" s="1"/>
  <c r="O292"/>
  <c r="V292" s="1"/>
  <c r="O293"/>
  <c r="V293" s="1"/>
  <c r="O294"/>
  <c r="V294" s="1"/>
  <c r="O295"/>
  <c r="V295" s="1"/>
  <c r="O296"/>
  <c r="V296" s="1"/>
  <c r="O297"/>
  <c r="V297" s="1"/>
  <c r="O299"/>
  <c r="V299" s="1"/>
  <c r="O300"/>
  <c r="V300" s="1"/>
  <c r="O302"/>
  <c r="V302" s="1"/>
  <c r="O303"/>
  <c r="V303" s="1"/>
  <c r="O304"/>
  <c r="V304" s="1"/>
  <c r="O307"/>
  <c r="V307" s="1"/>
  <c r="O308"/>
  <c r="V308" s="1"/>
  <c r="O309"/>
  <c r="V309" s="1"/>
  <c r="O310"/>
  <c r="V310" s="1"/>
  <c r="O311"/>
  <c r="V311" s="1"/>
  <c r="O312"/>
  <c r="V312" s="1"/>
  <c r="O313"/>
  <c r="V313" s="1"/>
  <c r="O314"/>
  <c r="V314" s="1"/>
  <c r="O315"/>
  <c r="V315" s="1"/>
  <c r="O316"/>
  <c r="V316" s="1"/>
  <c r="O317"/>
  <c r="V317" s="1"/>
  <c r="O318"/>
  <c r="V318" s="1"/>
  <c r="O319"/>
  <c r="V319" s="1"/>
  <c r="O320"/>
  <c r="V320" s="1"/>
  <c r="O321"/>
  <c r="V321" s="1"/>
  <c r="O322"/>
  <c r="V322" s="1"/>
  <c r="O323"/>
  <c r="V323" s="1"/>
  <c r="O324"/>
  <c r="V324" s="1"/>
  <c r="O325"/>
  <c r="V325" s="1"/>
  <c r="O326"/>
  <c r="V326" s="1"/>
  <c r="O327"/>
  <c r="V327" s="1"/>
  <c r="O328"/>
  <c r="V328" s="1"/>
  <c r="O329"/>
  <c r="V329" s="1"/>
  <c r="O330"/>
  <c r="V330" s="1"/>
  <c r="O331"/>
  <c r="V331" s="1"/>
  <c r="O332"/>
  <c r="V332" s="1"/>
  <c r="O333"/>
  <c r="V333" s="1"/>
  <c r="O334"/>
  <c r="V334" s="1"/>
  <c r="O335"/>
  <c r="V335" s="1"/>
  <c r="O336"/>
  <c r="V336" s="1"/>
  <c r="O337"/>
  <c r="V337" s="1"/>
  <c r="O338"/>
  <c r="V338" s="1"/>
  <c r="O339"/>
  <c r="V339" s="1"/>
  <c r="O340"/>
  <c r="V340" s="1"/>
  <c r="O341"/>
  <c r="V341" s="1"/>
  <c r="O342"/>
  <c r="V342" s="1"/>
  <c r="O343"/>
  <c r="V343" s="1"/>
  <c r="O344"/>
  <c r="V344" s="1"/>
  <c r="O345"/>
  <c r="V345" s="1"/>
  <c r="O346"/>
  <c r="V346" s="1"/>
  <c r="O347"/>
  <c r="V347" s="1"/>
  <c r="O348"/>
  <c r="V348" s="1"/>
  <c r="O349"/>
  <c r="V349" s="1"/>
  <c r="O350"/>
  <c r="V350" s="1"/>
  <c r="O351"/>
  <c r="V351" s="1"/>
  <c r="O352"/>
  <c r="V352" s="1"/>
  <c r="O353"/>
  <c r="V353" s="1"/>
  <c r="O354"/>
  <c r="V354" s="1"/>
  <c r="O355"/>
  <c r="V355" s="1"/>
  <c r="O356"/>
  <c r="V356" s="1"/>
  <c r="O357"/>
  <c r="V357" s="1"/>
  <c r="O358"/>
  <c r="V358" s="1"/>
  <c r="O359"/>
  <c r="V359" s="1"/>
  <c r="O360"/>
  <c r="V360" s="1"/>
  <c r="O361"/>
  <c r="V361" s="1"/>
  <c r="O362"/>
  <c r="V362" s="1"/>
  <c r="O363"/>
  <c r="V363" s="1"/>
  <c r="O364"/>
  <c r="V364" s="1"/>
  <c r="O365"/>
  <c r="V365" s="1"/>
  <c r="O366"/>
  <c r="V366" s="1"/>
  <c r="O367"/>
  <c r="V367" s="1"/>
  <c r="O368"/>
  <c r="V368" s="1"/>
  <c r="O369"/>
  <c r="V369" s="1"/>
  <c r="O370"/>
  <c r="V370" s="1"/>
  <c r="O371"/>
  <c r="V371" s="1"/>
  <c r="O372"/>
  <c r="V372" s="1"/>
  <c r="O373"/>
  <c r="V373" s="1"/>
  <c r="O374"/>
  <c r="V374" s="1"/>
  <c r="O375"/>
  <c r="V375" s="1"/>
  <c r="O376"/>
  <c r="V376" s="1"/>
  <c r="O377"/>
  <c r="V377" s="1"/>
  <c r="O378"/>
  <c r="V378" s="1"/>
  <c r="O379"/>
  <c r="V379" s="1"/>
  <c r="O380"/>
  <c r="V380" s="1"/>
  <c r="O381"/>
  <c r="V381" s="1"/>
  <c r="O382"/>
  <c r="V382" s="1"/>
  <c r="O383"/>
  <c r="V383" s="1"/>
  <c r="O384"/>
  <c r="V384" s="1"/>
  <c r="O385"/>
  <c r="V385" s="1"/>
  <c r="O386"/>
  <c r="V386" s="1"/>
  <c r="O387"/>
  <c r="V387" s="1"/>
  <c r="O388"/>
  <c r="V388" s="1"/>
  <c r="O389"/>
  <c r="V389" s="1"/>
  <c r="O390"/>
  <c r="V390" s="1"/>
  <c r="O391"/>
  <c r="V391" s="1"/>
  <c r="O392"/>
  <c r="V392" s="1"/>
  <c r="O393"/>
  <c r="V393" s="1"/>
  <c r="O394"/>
  <c r="V394" s="1"/>
  <c r="O395"/>
  <c r="V395" s="1"/>
  <c r="O396"/>
  <c r="V396" s="1"/>
  <c r="O397"/>
  <c r="V397" s="1"/>
  <c r="O398"/>
  <c r="V398" s="1"/>
  <c r="O399"/>
  <c r="V399" s="1"/>
  <c r="O400"/>
  <c r="V400" s="1"/>
  <c r="O401"/>
  <c r="V401" s="1"/>
  <c r="O402"/>
  <c r="V402" s="1"/>
  <c r="O403"/>
  <c r="V403" s="1"/>
  <c r="O404"/>
  <c r="V404" s="1"/>
  <c r="O405"/>
  <c r="V405" s="1"/>
  <c r="O406"/>
  <c r="V406" s="1"/>
  <c r="O407"/>
  <c r="V407" s="1"/>
  <c r="O408"/>
  <c r="V408" s="1"/>
  <c r="O409"/>
  <c r="V409" s="1"/>
  <c r="O410"/>
  <c r="V410" s="1"/>
  <c r="O411"/>
  <c r="V411" s="1"/>
  <c r="O412"/>
  <c r="V412" s="1"/>
  <c r="O413"/>
  <c r="V413" s="1"/>
  <c r="O414"/>
  <c r="V414" s="1"/>
  <c r="O415"/>
  <c r="V415" s="1"/>
  <c r="O416"/>
  <c r="V416" s="1"/>
  <c r="O417"/>
  <c r="V417" s="1"/>
  <c r="O418"/>
  <c r="V418" s="1"/>
  <c r="O419"/>
  <c r="V419" s="1"/>
  <c r="O420"/>
  <c r="V420" s="1"/>
  <c r="O421"/>
  <c r="V421" s="1"/>
  <c r="O422"/>
  <c r="V422" s="1"/>
  <c r="O423"/>
  <c r="V423" s="1"/>
  <c r="O424"/>
  <c r="V424" s="1"/>
  <c r="O425"/>
  <c r="V425" s="1"/>
  <c r="O426"/>
  <c r="V426" s="1"/>
  <c r="O427"/>
  <c r="V427" s="1"/>
  <c r="O428"/>
  <c r="V428" s="1"/>
  <c r="O429"/>
  <c r="V429" s="1"/>
  <c r="O430"/>
  <c r="V430" s="1"/>
  <c r="O431"/>
  <c r="V431" s="1"/>
  <c r="O432"/>
  <c r="V432" s="1"/>
  <c r="O433"/>
  <c r="V433" s="1"/>
  <c r="O434"/>
  <c r="V434" s="1"/>
  <c r="O435"/>
  <c r="V435" s="1"/>
  <c r="O436"/>
  <c r="V436" s="1"/>
  <c r="O437"/>
  <c r="V437" s="1"/>
  <c r="O438"/>
  <c r="V438" s="1"/>
  <c r="O439"/>
  <c r="V439" s="1"/>
  <c r="O440"/>
  <c r="V440" s="1"/>
  <c r="O441"/>
  <c r="V441" s="1"/>
  <c r="O442"/>
  <c r="V442" s="1"/>
  <c r="O443"/>
  <c r="V443" s="1"/>
  <c r="O444"/>
  <c r="V444" s="1"/>
  <c r="O445"/>
  <c r="V445" s="1"/>
  <c r="O446"/>
  <c r="V446" s="1"/>
  <c r="O447"/>
  <c r="V447" s="1"/>
  <c r="O448"/>
  <c r="V448" s="1"/>
  <c r="O449"/>
  <c r="V449" s="1"/>
  <c r="O450"/>
  <c r="V450" s="1"/>
  <c r="O451"/>
  <c r="V451" s="1"/>
  <c r="O452"/>
  <c r="V452" s="1"/>
  <c r="O453"/>
  <c r="V453" s="1"/>
  <c r="O454"/>
  <c r="V454" s="1"/>
  <c r="O455"/>
  <c r="V455" s="1"/>
  <c r="O456"/>
  <c r="V456" s="1"/>
  <c r="O457"/>
  <c r="V457" s="1"/>
  <c r="O458"/>
  <c r="V458" s="1"/>
  <c r="O459"/>
  <c r="V459" s="1"/>
  <c r="O460"/>
  <c r="V460" s="1"/>
  <c r="O461"/>
  <c r="V461" s="1"/>
  <c r="O462"/>
  <c r="V462" s="1"/>
  <c r="O463"/>
  <c r="V463" s="1"/>
  <c r="O464"/>
  <c r="V464" s="1"/>
  <c r="O465"/>
  <c r="V465" s="1"/>
  <c r="O466"/>
  <c r="V466" s="1"/>
  <c r="O467"/>
  <c r="V467" s="1"/>
  <c r="O468"/>
  <c r="V468" s="1"/>
  <c r="O469"/>
  <c r="V469" s="1"/>
  <c r="O470"/>
  <c r="V470" s="1"/>
  <c r="O471"/>
  <c r="V471" s="1"/>
  <c r="O472"/>
  <c r="V472" s="1"/>
  <c r="O473"/>
  <c r="V473" s="1"/>
  <c r="O474"/>
  <c r="V474" s="1"/>
  <c r="O475"/>
  <c r="V475" s="1"/>
  <c r="O476"/>
  <c r="V476" s="1"/>
  <c r="O477"/>
  <c r="V477" s="1"/>
  <c r="O478"/>
  <c r="V478" s="1"/>
  <c r="O479"/>
  <c r="V479" s="1"/>
  <c r="O480"/>
  <c r="V480" s="1"/>
  <c r="O481"/>
  <c r="V481" s="1"/>
  <c r="O482"/>
  <c r="V482" s="1"/>
  <c r="O483"/>
  <c r="V483" s="1"/>
  <c r="O484"/>
  <c r="V484" s="1"/>
  <c r="O485"/>
  <c r="V485" s="1"/>
  <c r="O486"/>
  <c r="V486" s="1"/>
  <c r="O487"/>
  <c r="V487" s="1"/>
  <c r="O488"/>
  <c r="V488" s="1"/>
  <c r="O489"/>
  <c r="V489" s="1"/>
  <c r="O490"/>
  <c r="V490" s="1"/>
  <c r="O491"/>
  <c r="V491" s="1"/>
  <c r="O492"/>
  <c r="V492" s="1"/>
  <c r="O493"/>
  <c r="V493" s="1"/>
  <c r="O494"/>
  <c r="V494" s="1"/>
  <c r="O495"/>
  <c r="V495" s="1"/>
  <c r="O496"/>
  <c r="V496" s="1"/>
  <c r="O497"/>
  <c r="V497" s="1"/>
  <c r="O498"/>
  <c r="V498" s="1"/>
  <c r="O499"/>
  <c r="V499" s="1"/>
  <c r="O500"/>
  <c r="V500" s="1"/>
  <c r="O501"/>
  <c r="V501" s="1"/>
  <c r="O502"/>
  <c r="V502" s="1"/>
  <c r="O503"/>
  <c r="V503" s="1"/>
  <c r="O504"/>
  <c r="V504" s="1"/>
  <c r="O505"/>
  <c r="V505" s="1"/>
  <c r="O506"/>
  <c r="V506" s="1"/>
  <c r="O507"/>
  <c r="V507" s="1"/>
  <c r="O508"/>
  <c r="V508" s="1"/>
  <c r="O509"/>
  <c r="V509" s="1"/>
  <c r="O510"/>
  <c r="V510" s="1"/>
  <c r="O511"/>
  <c r="V511" s="1"/>
  <c r="O512"/>
  <c r="V512" s="1"/>
  <c r="O513"/>
  <c r="V513" s="1"/>
  <c r="O514"/>
  <c r="V514" s="1"/>
  <c r="O515"/>
  <c r="V515" s="1"/>
  <c r="O516"/>
  <c r="V516" s="1"/>
  <c r="O517"/>
  <c r="V517" s="1"/>
  <c r="O518"/>
  <c r="V518" s="1"/>
  <c r="O519"/>
  <c r="V519" s="1"/>
  <c r="O520"/>
  <c r="V520" s="1"/>
  <c r="O521"/>
  <c r="V521" s="1"/>
  <c r="O522"/>
  <c r="V522" s="1"/>
  <c r="O523"/>
  <c r="V523" s="1"/>
  <c r="O524"/>
  <c r="V524" s="1"/>
  <c r="O525"/>
  <c r="V525" s="1"/>
  <c r="O526"/>
  <c r="V526" s="1"/>
  <c r="O527"/>
  <c r="V527" s="1"/>
  <c r="O528"/>
  <c r="V528" s="1"/>
  <c r="O529"/>
  <c r="V529" s="1"/>
  <c r="O530"/>
  <c r="V530" s="1"/>
  <c r="O531"/>
  <c r="V531" s="1"/>
  <c r="O532"/>
  <c r="V532" s="1"/>
  <c r="O533"/>
  <c r="V533" s="1"/>
  <c r="O534"/>
  <c r="V534" s="1"/>
  <c r="O535"/>
  <c r="V535" s="1"/>
  <c r="O536"/>
  <c r="V536" s="1"/>
  <c r="O537"/>
  <c r="V537" s="1"/>
  <c r="O538"/>
  <c r="V538" s="1"/>
  <c r="O539"/>
  <c r="V539" s="1"/>
  <c r="O540"/>
  <c r="V540" s="1"/>
  <c r="O541"/>
  <c r="V541" s="1"/>
  <c r="O542"/>
  <c r="V542" s="1"/>
  <c r="O543"/>
  <c r="V543" s="1"/>
  <c r="O544"/>
  <c r="V544" s="1"/>
  <c r="O545"/>
  <c r="V545" s="1"/>
  <c r="O546"/>
  <c r="V546" s="1"/>
  <c r="O547"/>
  <c r="V547" s="1"/>
  <c r="O548"/>
  <c r="V548" s="1"/>
  <c r="O549"/>
  <c r="V549" s="1"/>
  <c r="O550"/>
  <c r="V550" s="1"/>
  <c r="O551"/>
  <c r="V551" s="1"/>
  <c r="O552"/>
  <c r="V552" s="1"/>
  <c r="O553"/>
  <c r="V553" s="1"/>
  <c r="O554"/>
  <c r="V554" s="1"/>
  <c r="O555"/>
  <c r="V555" s="1"/>
  <c r="O556"/>
  <c r="V556" s="1"/>
  <c r="O557"/>
  <c r="V557" s="1"/>
  <c r="O558"/>
  <c r="V558" s="1"/>
  <c r="O559"/>
  <c r="V559" s="1"/>
  <c r="O560"/>
  <c r="V560" s="1"/>
  <c r="O561"/>
  <c r="V561" s="1"/>
  <c r="O562"/>
  <c r="V562" s="1"/>
  <c r="O563"/>
  <c r="V563" s="1"/>
  <c r="O564"/>
  <c r="V564" s="1"/>
  <c r="O565"/>
  <c r="V565" s="1"/>
  <c r="O566"/>
  <c r="V566" s="1"/>
  <c r="O567"/>
  <c r="V567" s="1"/>
  <c r="O568"/>
  <c r="V568" s="1"/>
  <c r="O569"/>
  <c r="V569" s="1"/>
  <c r="O570"/>
  <c r="V570" s="1"/>
  <c r="O571"/>
  <c r="V571" s="1"/>
  <c r="O572"/>
  <c r="V572" s="1"/>
  <c r="O573"/>
  <c r="V573" s="1"/>
  <c r="O574"/>
  <c r="V574" s="1"/>
  <c r="O575"/>
  <c r="V575" s="1"/>
  <c r="O576"/>
  <c r="V576" s="1"/>
  <c r="O577"/>
  <c r="V577" s="1"/>
  <c r="O578"/>
  <c r="V578" s="1"/>
  <c r="O579"/>
  <c r="V579" s="1"/>
  <c r="O580"/>
  <c r="V580" s="1"/>
  <c r="O581"/>
  <c r="V581" s="1"/>
  <c r="O582"/>
  <c r="V582" s="1"/>
  <c r="O583"/>
  <c r="V583" s="1"/>
  <c r="O584"/>
  <c r="V584" s="1"/>
  <c r="O585"/>
  <c r="V585" s="1"/>
  <c r="O586"/>
  <c r="V586" s="1"/>
  <c r="O587"/>
  <c r="V587" s="1"/>
  <c r="O588"/>
  <c r="V588" s="1"/>
  <c r="O589"/>
  <c r="V589" s="1"/>
  <c r="O590"/>
  <c r="V590" s="1"/>
  <c r="O591"/>
  <c r="V591" s="1"/>
  <c r="O592"/>
  <c r="V592" s="1"/>
  <c r="O593"/>
  <c r="V593" s="1"/>
  <c r="O594"/>
  <c r="V594" s="1"/>
  <c r="O595"/>
  <c r="V595" s="1"/>
  <c r="O596"/>
  <c r="V596" s="1"/>
  <c r="O597"/>
  <c r="V597" s="1"/>
  <c r="O598"/>
  <c r="V598" s="1"/>
  <c r="O599"/>
  <c r="V599" s="1"/>
  <c r="O600"/>
  <c r="V600" s="1"/>
  <c r="O601"/>
  <c r="V601" s="1"/>
  <c r="O602"/>
  <c r="V602" s="1"/>
  <c r="O603"/>
  <c r="V603" s="1"/>
  <c r="O604"/>
  <c r="V604" s="1"/>
  <c r="O605"/>
  <c r="V605" s="1"/>
  <c r="O606"/>
  <c r="V606" s="1"/>
  <c r="O607"/>
  <c r="V607" s="1"/>
  <c r="O608"/>
  <c r="V608" s="1"/>
  <c r="O609"/>
  <c r="V609" s="1"/>
  <c r="O610"/>
  <c r="V610" s="1"/>
  <c r="O611"/>
  <c r="V611" s="1"/>
  <c r="O612"/>
  <c r="V612" s="1"/>
  <c r="O613"/>
  <c r="V613" s="1"/>
  <c r="O614"/>
  <c r="V614" s="1"/>
  <c r="O615"/>
  <c r="V615" s="1"/>
  <c r="O616"/>
  <c r="V616" s="1"/>
  <c r="O617"/>
  <c r="V617" s="1"/>
  <c r="O618"/>
  <c r="V618" s="1"/>
  <c r="O619"/>
  <c r="V619" s="1"/>
  <c r="O620"/>
  <c r="V620" s="1"/>
  <c r="O621"/>
  <c r="V621" s="1"/>
  <c r="O622"/>
  <c r="V622" s="1"/>
  <c r="O623"/>
  <c r="V623" s="1"/>
  <c r="O624"/>
  <c r="V624" s="1"/>
  <c r="O625"/>
  <c r="V625" s="1"/>
  <c r="O626"/>
  <c r="V626" s="1"/>
  <c r="O627"/>
  <c r="V627" s="1"/>
  <c r="O628"/>
  <c r="V628" s="1"/>
  <c r="O629"/>
  <c r="V629" s="1"/>
  <c r="O630"/>
  <c r="V630" s="1"/>
  <c r="O631"/>
  <c r="V631" s="1"/>
  <c r="O632"/>
  <c r="V632" s="1"/>
  <c r="O633"/>
  <c r="V633" s="1"/>
  <c r="O634"/>
  <c r="V634" s="1"/>
  <c r="O635"/>
  <c r="V635" s="1"/>
  <c r="O636"/>
  <c r="V636" s="1"/>
  <c r="O637"/>
  <c r="V637" s="1"/>
  <c r="O638"/>
  <c r="V638" s="1"/>
  <c r="O639"/>
  <c r="V639" s="1"/>
  <c r="O640"/>
  <c r="V640" s="1"/>
  <c r="O641"/>
  <c r="V641" s="1"/>
  <c r="O642"/>
  <c r="V642" s="1"/>
  <c r="O643"/>
  <c r="V643" s="1"/>
  <c r="O644"/>
  <c r="V644" s="1"/>
  <c r="O645"/>
  <c r="V645" s="1"/>
  <c r="O646"/>
  <c r="V646" s="1"/>
  <c r="O647"/>
  <c r="V647" s="1"/>
  <c r="O648"/>
  <c r="V648" s="1"/>
  <c r="O649"/>
  <c r="V649" s="1"/>
  <c r="O650"/>
  <c r="V650" s="1"/>
  <c r="O651"/>
  <c r="V651" s="1"/>
  <c r="O652"/>
  <c r="V652" s="1"/>
  <c r="O653"/>
  <c r="V653" s="1"/>
  <c r="O654"/>
  <c r="V654" s="1"/>
  <c r="O655"/>
  <c r="V655" s="1"/>
  <c r="O656"/>
  <c r="V656" s="1"/>
  <c r="O657"/>
  <c r="V657" s="1"/>
  <c r="O658"/>
  <c r="V658" s="1"/>
  <c r="O659"/>
  <c r="V659" s="1"/>
  <c r="O660"/>
  <c r="V660" s="1"/>
  <c r="O661"/>
  <c r="V661" s="1"/>
  <c r="O662"/>
  <c r="V662" s="1"/>
  <c r="O663"/>
  <c r="V663" s="1"/>
  <c r="O664"/>
  <c r="V664" s="1"/>
  <c r="O665"/>
  <c r="V665" s="1"/>
  <c r="O666"/>
  <c r="V666" s="1"/>
  <c r="O667"/>
  <c r="V667" s="1"/>
  <c r="O668"/>
  <c r="V668" s="1"/>
  <c r="O669"/>
  <c r="V669" s="1"/>
  <c r="O670"/>
  <c r="V670" s="1"/>
  <c r="O671"/>
  <c r="V671" s="1"/>
  <c r="O672"/>
  <c r="V672" s="1"/>
  <c r="O673"/>
  <c r="V673" s="1"/>
  <c r="O674"/>
  <c r="V674" s="1"/>
  <c r="O675"/>
  <c r="V675" s="1"/>
  <c r="O676"/>
  <c r="V676" s="1"/>
  <c r="O677"/>
  <c r="V677" s="1"/>
  <c r="O678"/>
  <c r="V678" s="1"/>
  <c r="O679"/>
  <c r="V679" s="1"/>
  <c r="O680"/>
  <c r="V680" s="1"/>
  <c r="O681"/>
  <c r="V681" s="1"/>
  <c r="O682"/>
  <c r="V682" s="1"/>
  <c r="O683"/>
  <c r="V683" s="1"/>
  <c r="O684"/>
  <c r="V684" s="1"/>
  <c r="O685"/>
  <c r="V685" s="1"/>
  <c r="O686"/>
  <c r="V686" s="1"/>
  <c r="O687"/>
  <c r="V687" s="1"/>
  <c r="O688"/>
  <c r="V688" s="1"/>
  <c r="O689"/>
  <c r="V689" s="1"/>
  <c r="O690"/>
  <c r="V690" s="1"/>
  <c r="O691"/>
  <c r="V691" s="1"/>
  <c r="O692"/>
  <c r="V692" s="1"/>
  <c r="O693"/>
  <c r="V693" s="1"/>
  <c r="O694"/>
  <c r="V694" s="1"/>
  <c r="O695"/>
  <c r="V695" s="1"/>
  <c r="O696"/>
  <c r="V696" s="1"/>
  <c r="O697"/>
  <c r="V697" s="1"/>
  <c r="O698"/>
  <c r="V698" s="1"/>
  <c r="O699"/>
  <c r="V699" s="1"/>
  <c r="O700"/>
  <c r="V700" s="1"/>
  <c r="O701"/>
  <c r="V701" s="1"/>
  <c r="O702"/>
  <c r="V702" s="1"/>
  <c r="O703"/>
  <c r="V703" s="1"/>
  <c r="O704"/>
  <c r="V704" s="1"/>
  <c r="O705"/>
  <c r="V705" s="1"/>
  <c r="O706"/>
  <c r="V706" s="1"/>
  <c r="O707"/>
  <c r="V707" s="1"/>
  <c r="O708"/>
  <c r="V708" s="1"/>
  <c r="O709"/>
  <c r="V709" s="1"/>
  <c r="O710"/>
  <c r="V710" s="1"/>
  <c r="O711"/>
  <c r="V711" s="1"/>
  <c r="O712"/>
  <c r="V712" s="1"/>
  <c r="O713"/>
  <c r="V713" s="1"/>
  <c r="O714"/>
  <c r="V714" s="1"/>
  <c r="O715"/>
  <c r="V715" s="1"/>
  <c r="O716"/>
  <c r="V716" s="1"/>
  <c r="O717"/>
  <c r="V717" s="1"/>
  <c r="O718"/>
  <c r="V718" s="1"/>
  <c r="O719"/>
  <c r="V719" s="1"/>
  <c r="O720"/>
  <c r="V720" s="1"/>
  <c r="O721"/>
  <c r="V721" s="1"/>
  <c r="O722"/>
  <c r="V722" s="1"/>
  <c r="O723"/>
  <c r="V723" s="1"/>
  <c r="O724"/>
  <c r="V724" s="1"/>
  <c r="O725"/>
  <c r="V725" s="1"/>
  <c r="O726"/>
  <c r="V726" s="1"/>
  <c r="O727"/>
  <c r="V727" s="1"/>
  <c r="O728"/>
  <c r="V728" s="1"/>
  <c r="O729"/>
  <c r="V729" s="1"/>
  <c r="O730"/>
  <c r="V730" s="1"/>
  <c r="O731"/>
  <c r="V731" s="1"/>
  <c r="O732"/>
  <c r="V732" s="1"/>
  <c r="O733"/>
  <c r="V733" s="1"/>
  <c r="O734"/>
  <c r="V734" s="1"/>
  <c r="O735"/>
  <c r="V735" s="1"/>
  <c r="O736"/>
  <c r="V736" s="1"/>
  <c r="O737"/>
  <c r="V737" s="1"/>
  <c r="O738"/>
  <c r="V738" s="1"/>
  <c r="O739"/>
  <c r="V739" s="1"/>
  <c r="O740"/>
  <c r="V740" s="1"/>
  <c r="O741"/>
  <c r="V741" s="1"/>
  <c r="O742"/>
  <c r="V742" s="1"/>
  <c r="O743"/>
  <c r="V743" s="1"/>
  <c r="O744"/>
  <c r="V744" s="1"/>
  <c r="O745"/>
  <c r="V745" s="1"/>
  <c r="O746"/>
  <c r="V746" s="1"/>
  <c r="O747"/>
  <c r="V747" s="1"/>
  <c r="O748"/>
  <c r="V748" s="1"/>
  <c r="O749"/>
  <c r="V749" s="1"/>
  <c r="O750"/>
  <c r="V750" s="1"/>
  <c r="O751"/>
  <c r="V751" s="1"/>
  <c r="O752"/>
  <c r="V752" s="1"/>
  <c r="O753"/>
  <c r="V753" s="1"/>
  <c r="O754"/>
  <c r="V754" s="1"/>
  <c r="O755"/>
  <c r="V755" s="1"/>
  <c r="O756"/>
  <c r="V756" s="1"/>
  <c r="O757"/>
  <c r="V757" s="1"/>
  <c r="O758"/>
  <c r="V758" s="1"/>
  <c r="O759"/>
  <c r="V759" s="1"/>
  <c r="O760"/>
  <c r="V760" s="1"/>
  <c r="O761"/>
  <c r="V761" s="1"/>
  <c r="O762"/>
  <c r="V762" s="1"/>
  <c r="O763"/>
  <c r="V763" s="1"/>
  <c r="O764"/>
  <c r="V764" s="1"/>
  <c r="O765"/>
  <c r="V765" s="1"/>
  <c r="O766"/>
  <c r="V766" s="1"/>
  <c r="O767"/>
  <c r="V767" s="1"/>
  <c r="O768"/>
  <c r="V768" s="1"/>
  <c r="O769"/>
  <c r="V769" s="1"/>
  <c r="O770"/>
  <c r="V770" s="1"/>
  <c r="O771"/>
  <c r="V771" s="1"/>
  <c r="O772"/>
  <c r="V772" s="1"/>
  <c r="O773"/>
  <c r="V773" s="1"/>
  <c r="O774"/>
  <c r="V774" s="1"/>
  <c r="O775"/>
  <c r="V775" s="1"/>
  <c r="O776"/>
  <c r="V776" s="1"/>
  <c r="O777"/>
  <c r="V777" s="1"/>
  <c r="O778"/>
  <c r="V778" s="1"/>
  <c r="O779"/>
  <c r="V779" s="1"/>
  <c r="O780"/>
  <c r="V780" s="1"/>
  <c r="O781"/>
  <c r="V781" s="1"/>
  <c r="O782"/>
  <c r="V782" s="1"/>
  <c r="O783"/>
  <c r="V783" s="1"/>
  <c r="O784"/>
  <c r="V784" s="1"/>
  <c r="O785"/>
  <c r="V785" s="1"/>
  <c r="O786"/>
  <c r="V786" s="1"/>
  <c r="O787"/>
  <c r="V787" s="1"/>
  <c r="O788"/>
  <c r="V788" s="1"/>
  <c r="O789"/>
  <c r="V789" s="1"/>
  <c r="O790"/>
  <c r="V790" s="1"/>
  <c r="O791"/>
  <c r="V791" s="1"/>
  <c r="O792"/>
  <c r="V792" s="1"/>
  <c r="O793"/>
  <c r="V793" s="1"/>
  <c r="O794"/>
  <c r="V794" s="1"/>
  <c r="O795"/>
  <c r="V795" s="1"/>
  <c r="O796"/>
  <c r="V796" s="1"/>
  <c r="O797"/>
  <c r="V797" s="1"/>
  <c r="O798"/>
  <c r="V798" s="1"/>
  <c r="O799"/>
  <c r="V799" s="1"/>
  <c r="O800"/>
  <c r="V800" s="1"/>
  <c r="O801"/>
  <c r="V801" s="1"/>
  <c r="O802"/>
  <c r="V802" s="1"/>
  <c r="O803"/>
  <c r="V803" s="1"/>
  <c r="O804"/>
  <c r="V804" s="1"/>
  <c r="O805"/>
  <c r="V805" s="1"/>
  <c r="O806"/>
  <c r="V806" s="1"/>
  <c r="O807"/>
  <c r="V807" s="1"/>
  <c r="O808"/>
  <c r="V808" s="1"/>
  <c r="O809"/>
  <c r="V809" s="1"/>
  <c r="O810"/>
  <c r="V810" s="1"/>
  <c r="O811"/>
  <c r="V811" s="1"/>
  <c r="O812"/>
  <c r="V812" s="1"/>
  <c r="O813"/>
  <c r="V813" s="1"/>
  <c r="O814"/>
  <c r="V814" s="1"/>
  <c r="O815"/>
  <c r="V815" s="1"/>
  <c r="O816"/>
  <c r="V816" s="1"/>
  <c r="O817"/>
  <c r="V817" s="1"/>
  <c r="O818"/>
  <c r="V818" s="1"/>
  <c r="O819"/>
  <c r="V819" s="1"/>
  <c r="O820"/>
  <c r="V820" s="1"/>
  <c r="O821"/>
  <c r="V821" s="1"/>
  <c r="O822"/>
  <c r="V822" s="1"/>
  <c r="O823"/>
  <c r="V823" s="1"/>
  <c r="O824"/>
  <c r="V824" s="1"/>
  <c r="O825"/>
  <c r="V825" s="1"/>
  <c r="O826"/>
  <c r="V826" s="1"/>
  <c r="O827"/>
  <c r="V827" s="1"/>
  <c r="O828"/>
  <c r="V828" s="1"/>
  <c r="O829"/>
  <c r="V829" s="1"/>
  <c r="O830"/>
  <c r="V830" s="1"/>
  <c r="O831"/>
  <c r="V831" s="1"/>
  <c r="O832"/>
  <c r="V832" s="1"/>
  <c r="O833"/>
  <c r="V833" s="1"/>
  <c r="O834"/>
  <c r="V834" s="1"/>
  <c r="O835"/>
  <c r="V835" s="1"/>
  <c r="O836"/>
  <c r="V836" s="1"/>
  <c r="O837"/>
  <c r="V837" s="1"/>
  <c r="O838"/>
  <c r="V838" s="1"/>
  <c r="O839"/>
  <c r="V839" s="1"/>
  <c r="O840"/>
  <c r="V840" s="1"/>
  <c r="O841"/>
  <c r="V841" s="1"/>
  <c r="O842"/>
  <c r="V842" s="1"/>
  <c r="O843"/>
  <c r="V843" s="1"/>
  <c r="O844"/>
  <c r="V844" s="1"/>
  <c r="O845"/>
  <c r="V845" s="1"/>
  <c r="O846"/>
  <c r="V846" s="1"/>
  <c r="O847"/>
  <c r="V847" s="1"/>
  <c r="O848"/>
  <c r="V848" s="1"/>
  <c r="O849"/>
  <c r="V849" s="1"/>
  <c r="O850"/>
  <c r="V850" s="1"/>
  <c r="O851"/>
  <c r="V851" s="1"/>
  <c r="O852"/>
  <c r="V852" s="1"/>
  <c r="O853"/>
  <c r="V853" s="1"/>
  <c r="O854"/>
  <c r="V854" s="1"/>
  <c r="O855"/>
  <c r="V855" s="1"/>
  <c r="O856"/>
  <c r="V856" s="1"/>
  <c r="O857"/>
  <c r="V857" s="1"/>
  <c r="O858"/>
  <c r="V858" s="1"/>
  <c r="O859"/>
  <c r="V859" s="1"/>
  <c r="O860"/>
  <c r="V860" s="1"/>
  <c r="O861"/>
  <c r="V861" s="1"/>
  <c r="O862"/>
  <c r="V862" s="1"/>
  <c r="O863"/>
  <c r="V863" s="1"/>
  <c r="O864"/>
  <c r="V864" s="1"/>
  <c r="O865"/>
  <c r="V865" s="1"/>
  <c r="O866"/>
  <c r="V866" s="1"/>
  <c r="O867"/>
  <c r="V867" s="1"/>
  <c r="O868"/>
  <c r="V868" s="1"/>
  <c r="O869"/>
  <c r="V869" s="1"/>
  <c r="O870"/>
  <c r="V870" s="1"/>
  <c r="O871"/>
  <c r="V871" s="1"/>
  <c r="O872"/>
  <c r="V872" s="1"/>
  <c r="O873"/>
  <c r="V873" s="1"/>
  <c r="O874"/>
  <c r="V874" s="1"/>
  <c r="O875"/>
  <c r="V875" s="1"/>
  <c r="O876"/>
  <c r="V876" s="1"/>
  <c r="O877"/>
  <c r="V877" s="1"/>
  <c r="O878"/>
  <c r="V878" s="1"/>
  <c r="O879"/>
  <c r="V879" s="1"/>
  <c r="O880"/>
  <c r="V880" s="1"/>
  <c r="O881"/>
  <c r="V881" s="1"/>
  <c r="O882"/>
  <c r="V882" s="1"/>
  <c r="O883"/>
  <c r="V883" s="1"/>
  <c r="O884"/>
  <c r="V884" s="1"/>
  <c r="O885"/>
  <c r="V885" s="1"/>
  <c r="O886"/>
  <c r="V886" s="1"/>
  <c r="O887"/>
  <c r="V887" s="1"/>
  <c r="O888"/>
  <c r="V888" s="1"/>
  <c r="O889"/>
  <c r="V889" s="1"/>
  <c r="O890"/>
  <c r="V890" s="1"/>
  <c r="O891"/>
  <c r="V891" s="1"/>
  <c r="O892"/>
  <c r="V892" s="1"/>
  <c r="O893"/>
  <c r="V893" s="1"/>
  <c r="O894"/>
  <c r="V894" s="1"/>
  <c r="O895"/>
  <c r="V895" s="1"/>
  <c r="O896"/>
  <c r="V896" s="1"/>
  <c r="O897"/>
  <c r="V897" s="1"/>
  <c r="O898"/>
  <c r="V898" s="1"/>
  <c r="O899"/>
  <c r="V899" s="1"/>
  <c r="O900"/>
  <c r="V900" s="1"/>
  <c r="O901"/>
  <c r="V901" s="1"/>
  <c r="O902"/>
  <c r="V902" s="1"/>
  <c r="O903"/>
  <c r="V903" s="1"/>
  <c r="O904"/>
  <c r="V904" s="1"/>
  <c r="O905"/>
  <c r="V905" s="1"/>
  <c r="O906"/>
  <c r="V906" s="1"/>
  <c r="O907"/>
  <c r="V907" s="1"/>
  <c r="O908"/>
  <c r="V908" s="1"/>
  <c r="O909"/>
  <c r="V909" s="1"/>
  <c r="O910"/>
  <c r="V910" s="1"/>
  <c r="O911"/>
  <c r="V911" s="1"/>
  <c r="O912"/>
  <c r="V912" s="1"/>
  <c r="O913"/>
  <c r="V913" s="1"/>
  <c r="O914"/>
  <c r="V914" s="1"/>
  <c r="O915"/>
  <c r="V915" s="1"/>
  <c r="O916"/>
  <c r="V916" s="1"/>
  <c r="O917"/>
  <c r="V917" s="1"/>
  <c r="O918"/>
  <c r="V918" s="1"/>
  <c r="O919"/>
  <c r="V919" s="1"/>
  <c r="O920"/>
  <c r="V920" s="1"/>
  <c r="O921"/>
  <c r="V921" s="1"/>
  <c r="O922"/>
  <c r="V922" s="1"/>
  <c r="O923"/>
  <c r="V923" s="1"/>
  <c r="O924"/>
  <c r="V924" s="1"/>
  <c r="O925"/>
  <c r="V925" s="1"/>
  <c r="O926"/>
  <c r="V926" s="1"/>
  <c r="O927"/>
  <c r="V927" s="1"/>
  <c r="O928"/>
  <c r="V928" s="1"/>
  <c r="O929"/>
  <c r="V929" s="1"/>
  <c r="O930"/>
  <c r="V930" s="1"/>
  <c r="O931"/>
  <c r="V931" s="1"/>
  <c r="O932"/>
  <c r="V932" s="1"/>
  <c r="O933"/>
  <c r="V933" s="1"/>
  <c r="O934"/>
  <c r="V934" s="1"/>
  <c r="O935"/>
  <c r="V935" s="1"/>
  <c r="O936"/>
  <c r="V936" s="1"/>
  <c r="O937"/>
  <c r="V937" s="1"/>
  <c r="O938"/>
  <c r="V938" s="1"/>
  <c r="O939"/>
  <c r="V939" s="1"/>
  <c r="O940"/>
  <c r="V940" s="1"/>
  <c r="O941"/>
  <c r="V941" s="1"/>
  <c r="O942"/>
  <c r="V942" s="1"/>
  <c r="O943"/>
  <c r="V943" s="1"/>
  <c r="O944"/>
  <c r="V944" s="1"/>
  <c r="O945"/>
  <c r="V945" s="1"/>
  <c r="O946"/>
  <c r="V946" s="1"/>
  <c r="O947"/>
  <c r="V947" s="1"/>
  <c r="O948"/>
  <c r="V948" s="1"/>
  <c r="O949"/>
  <c r="V949" s="1"/>
  <c r="O950"/>
  <c r="V950" s="1"/>
  <c r="O951"/>
  <c r="V951" s="1"/>
  <c r="O952"/>
  <c r="V952" s="1"/>
  <c r="O953"/>
  <c r="V953" s="1"/>
  <c r="O954"/>
  <c r="V954" s="1"/>
  <c r="O955"/>
  <c r="V955" s="1"/>
  <c r="O956"/>
  <c r="V956" s="1"/>
  <c r="O957"/>
  <c r="V957" s="1"/>
  <c r="O958"/>
  <c r="V958" s="1"/>
  <c r="O959"/>
  <c r="V959" s="1"/>
  <c r="O960"/>
  <c r="V960" s="1"/>
  <c r="O961"/>
  <c r="V961" s="1"/>
  <c r="O962"/>
  <c r="V962" s="1"/>
  <c r="O963"/>
  <c r="V963" s="1"/>
  <c r="O964"/>
  <c r="V964" s="1"/>
  <c r="O965"/>
  <c r="V965" s="1"/>
  <c r="O966"/>
  <c r="V966" s="1"/>
  <c r="O967"/>
  <c r="V967" s="1"/>
  <c r="O968"/>
  <c r="V968" s="1"/>
  <c r="O969"/>
  <c r="V969" s="1"/>
  <c r="O970"/>
  <c r="V970" s="1"/>
  <c r="O971"/>
  <c r="V971" s="1"/>
  <c r="O972"/>
  <c r="V972" s="1"/>
  <c r="O973"/>
  <c r="V973" s="1"/>
  <c r="O974"/>
  <c r="V974" s="1"/>
  <c r="O975"/>
  <c r="V975" s="1"/>
  <c r="O976"/>
  <c r="V976" s="1"/>
  <c r="O977"/>
  <c r="V977" s="1"/>
  <c r="O978"/>
  <c r="V978" s="1"/>
  <c r="O979"/>
  <c r="V979" s="1"/>
  <c r="O980"/>
  <c r="V980" s="1"/>
  <c r="O981"/>
  <c r="V981" s="1"/>
  <c r="O982"/>
  <c r="V982" s="1"/>
  <c r="O983"/>
  <c r="V983" s="1"/>
  <c r="O984"/>
  <c r="V984" s="1"/>
  <c r="O985"/>
  <c r="V985" s="1"/>
  <c r="O986"/>
  <c r="V986" s="1"/>
  <c r="O987"/>
  <c r="V987" s="1"/>
  <c r="O988"/>
  <c r="V988" s="1"/>
  <c r="O989"/>
  <c r="V989" s="1"/>
  <c r="O990"/>
  <c r="V990" s="1"/>
  <c r="O991"/>
  <c r="V991" s="1"/>
  <c r="O992"/>
  <c r="V992" s="1"/>
  <c r="O993"/>
  <c r="V993" s="1"/>
  <c r="O994"/>
  <c r="V994" s="1"/>
  <c r="O995"/>
  <c r="V995" s="1"/>
  <c r="O996"/>
  <c r="V996" s="1"/>
  <c r="O997"/>
  <c r="V997" s="1"/>
  <c r="O998"/>
  <c r="V998" s="1"/>
  <c r="O999"/>
  <c r="V999" s="1"/>
  <c r="O1000"/>
  <c r="V1000" s="1"/>
  <c r="O1001"/>
  <c r="V1001" s="1"/>
  <c r="O1002"/>
  <c r="V1002" s="1"/>
  <c r="O1003"/>
  <c r="V1003" s="1"/>
  <c r="O1004"/>
  <c r="V1004" s="1"/>
  <c r="O1005"/>
  <c r="V1005" s="1"/>
  <c r="O1006"/>
  <c r="V1006" s="1"/>
  <c r="O1007"/>
  <c r="V1007" s="1"/>
  <c r="O1008"/>
  <c r="V1008" s="1"/>
  <c r="O1009"/>
  <c r="V1009" s="1"/>
  <c r="O1010"/>
  <c r="V1010" s="1"/>
  <c r="O1011"/>
  <c r="V1011" s="1"/>
  <c r="O1012"/>
  <c r="V1012" s="1"/>
  <c r="X741"/>
  <c r="X739"/>
  <c r="X737"/>
  <c r="X735"/>
  <c r="X733"/>
  <c r="X731"/>
  <c r="X729"/>
  <c r="X727"/>
  <c r="X725"/>
  <c r="X723"/>
  <c r="X721"/>
  <c r="X719"/>
  <c r="X717"/>
  <c r="X715"/>
  <c r="X713"/>
  <c r="X711"/>
  <c r="X709"/>
  <c r="X707"/>
  <c r="X705"/>
  <c r="X703"/>
  <c r="X701"/>
  <c r="X699"/>
  <c r="X697"/>
  <c r="X695"/>
  <c r="X693"/>
  <c r="X691"/>
  <c r="X689"/>
  <c r="X687"/>
  <c r="X685"/>
  <c r="X683"/>
  <c r="X681"/>
  <c r="X679"/>
  <c r="X677"/>
  <c r="X675"/>
  <c r="X673"/>
  <c r="X671"/>
  <c r="X669"/>
  <c r="X667"/>
  <c r="X665"/>
  <c r="X663"/>
  <c r="X661"/>
  <c r="X659"/>
  <c r="X657"/>
  <c r="X655"/>
  <c r="X653"/>
  <c r="X651"/>
  <c r="X649"/>
  <c r="X647"/>
  <c r="X645"/>
  <c r="X643"/>
  <c r="X641"/>
  <c r="X639"/>
  <c r="X637"/>
  <c r="X635"/>
  <c r="X633"/>
  <c r="X631"/>
  <c r="X629"/>
  <c r="X627"/>
  <c r="X625"/>
  <c r="X623"/>
  <c r="X621"/>
  <c r="X619"/>
  <c r="X617"/>
  <c r="X615"/>
  <c r="X613"/>
  <c r="X611"/>
  <c r="X609"/>
  <c r="X607"/>
  <c r="X605"/>
  <c r="X603"/>
  <c r="X601"/>
  <c r="X599"/>
  <c r="X597"/>
  <c r="X595"/>
  <c r="X593"/>
  <c r="X591"/>
  <c r="X589"/>
  <c r="X587"/>
  <c r="X585"/>
  <c r="X583"/>
  <c r="X581"/>
  <c r="X579"/>
  <c r="X577"/>
  <c r="X575"/>
  <c r="X573"/>
  <c r="X571"/>
  <c r="X569"/>
  <c r="X567"/>
  <c r="X565"/>
  <c r="X563"/>
  <c r="X561"/>
  <c r="X559"/>
  <c r="X557"/>
  <c r="X555"/>
  <c r="X553"/>
  <c r="X551"/>
  <c r="X549"/>
  <c r="X547"/>
  <c r="X545"/>
  <c r="X543"/>
  <c r="X541"/>
  <c r="X539"/>
  <c r="X537"/>
  <c r="X535"/>
  <c r="X533"/>
  <c r="X531"/>
  <c r="X529"/>
  <c r="X527"/>
  <c r="X525"/>
  <c r="X523"/>
  <c r="X521"/>
  <c r="X519"/>
  <c r="X517"/>
  <c r="X515"/>
  <c r="X513"/>
  <c r="X511"/>
  <c r="X509"/>
  <c r="X507"/>
  <c r="X505"/>
  <c r="X503"/>
  <c r="X501"/>
  <c r="X499"/>
  <c r="X497"/>
  <c r="X495"/>
  <c r="X493"/>
  <c r="X491"/>
  <c r="X489"/>
  <c r="X487"/>
  <c r="X485"/>
  <c r="X483"/>
  <c r="X481"/>
  <c r="X479"/>
  <c r="X477"/>
  <c r="X475"/>
  <c r="X473"/>
  <c r="X471"/>
  <c r="X469"/>
  <c r="X467"/>
  <c r="X465"/>
  <c r="X463"/>
  <c r="X461"/>
  <c r="X459"/>
  <c r="X457"/>
  <c r="X455"/>
  <c r="X453"/>
  <c r="X451"/>
  <c r="X449"/>
  <c r="X447"/>
  <c r="X445"/>
  <c r="X443"/>
  <c r="X441"/>
  <c r="X439"/>
  <c r="X437"/>
  <c r="X435"/>
  <c r="X433"/>
  <c r="X431"/>
  <c r="X429"/>
  <c r="X427"/>
  <c r="X425"/>
  <c r="X423"/>
  <c r="X421"/>
  <c r="X419"/>
  <c r="X417"/>
  <c r="X415"/>
  <c r="X413"/>
  <c r="X411"/>
  <c r="X409"/>
  <c r="X407"/>
  <c r="X405"/>
  <c r="X403"/>
  <c r="X401"/>
  <c r="X399"/>
  <c r="X397"/>
  <c r="X395"/>
  <c r="X393"/>
  <c r="X391"/>
  <c r="X389"/>
  <c r="X387"/>
  <c r="X385"/>
  <c r="X383"/>
  <c r="X381"/>
  <c r="X379"/>
  <c r="X377"/>
  <c r="X375"/>
  <c r="X373"/>
  <c r="X371"/>
  <c r="X369"/>
  <c r="X367"/>
  <c r="X365"/>
  <c r="X364"/>
  <c r="X363"/>
  <c r="X362"/>
  <c r="X361"/>
  <c r="X360"/>
  <c r="X359"/>
  <c r="X358"/>
  <c r="X357"/>
  <c r="X356"/>
  <c r="X355"/>
  <c r="X354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V1021"/>
  <c r="AU34" s="1"/>
  <c r="V1020"/>
  <c r="AU31" s="1"/>
  <c r="V1019"/>
  <c r="AU28" s="1"/>
  <c r="V1018"/>
  <c r="AU25" s="1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V1017"/>
  <c r="AU22" s="1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477"/>
  <c r="W478"/>
  <c r="W479"/>
  <c r="W480"/>
  <c r="W481"/>
  <c r="W482"/>
  <c r="W483"/>
  <c r="W484"/>
  <c r="W485"/>
  <c r="W486"/>
  <c r="W487"/>
  <c r="W488"/>
  <c r="W489"/>
  <c r="W490"/>
  <c r="W491"/>
  <c r="W492"/>
  <c r="W493"/>
  <c r="W494"/>
  <c r="W495"/>
  <c r="W496"/>
  <c r="W497"/>
  <c r="W498"/>
  <c r="W499"/>
  <c r="W500"/>
  <c r="W501"/>
  <c r="W502"/>
  <c r="W503"/>
  <c r="W504"/>
  <c r="W505"/>
  <c r="W506"/>
  <c r="W507"/>
  <c r="W508"/>
  <c r="W509"/>
  <c r="W510"/>
  <c r="W511"/>
  <c r="W512"/>
  <c r="W513"/>
  <c r="W514"/>
  <c r="W515"/>
  <c r="W516"/>
  <c r="W517"/>
  <c r="W518"/>
  <c r="W519"/>
  <c r="W520"/>
  <c r="W521"/>
  <c r="W522"/>
  <c r="W523"/>
  <c r="W524"/>
  <c r="W525"/>
  <c r="W526"/>
  <c r="W527"/>
  <c r="W528"/>
  <c r="W529"/>
  <c r="W530"/>
  <c r="W531"/>
  <c r="W532"/>
  <c r="W533"/>
  <c r="W534"/>
  <c r="W535"/>
  <c r="W536"/>
  <c r="W537"/>
  <c r="W538"/>
  <c r="W539"/>
  <c r="W540"/>
  <c r="W541"/>
  <c r="W542"/>
  <c r="W543"/>
  <c r="W544"/>
  <c r="W545"/>
  <c r="W546"/>
  <c r="W547"/>
  <c r="W548"/>
  <c r="W549"/>
  <c r="W550"/>
  <c r="W551"/>
  <c r="W552"/>
  <c r="W553"/>
  <c r="W554"/>
  <c r="W555"/>
  <c r="W556"/>
  <c r="W557"/>
  <c r="W558"/>
  <c r="W559"/>
  <c r="W560"/>
  <c r="W561"/>
  <c r="W562"/>
  <c r="W563"/>
  <c r="W564"/>
  <c r="W565"/>
  <c r="W566"/>
  <c r="W567"/>
  <c r="W568"/>
  <c r="W569"/>
  <c r="W570"/>
  <c r="W571"/>
  <c r="W572"/>
  <c r="W573"/>
  <c r="W574"/>
  <c r="W575"/>
  <c r="W576"/>
  <c r="W577"/>
  <c r="W578"/>
  <c r="W579"/>
  <c r="W580"/>
  <c r="W581"/>
  <c r="W582"/>
  <c r="W583"/>
  <c r="W584"/>
  <c r="W585"/>
  <c r="W586"/>
  <c r="W587"/>
  <c r="W588"/>
  <c r="W589"/>
  <c r="W590"/>
  <c r="W591"/>
  <c r="W592"/>
  <c r="W593"/>
  <c r="W594"/>
  <c r="W595"/>
  <c r="W596"/>
  <c r="W597"/>
  <c r="W598"/>
  <c r="W599"/>
  <c r="W600"/>
  <c r="W601"/>
  <c r="W602"/>
  <c r="W603"/>
  <c r="W604"/>
  <c r="W605"/>
  <c r="W606"/>
  <c r="W607"/>
  <c r="W608"/>
  <c r="W609"/>
  <c r="W610"/>
  <c r="W611"/>
  <c r="W612"/>
  <c r="W613"/>
  <c r="W614"/>
  <c r="W615"/>
  <c r="W616"/>
  <c r="W617"/>
  <c r="W618"/>
  <c r="W619"/>
  <c r="W620"/>
  <c r="W621"/>
  <c r="W622"/>
  <c r="W623"/>
  <c r="W624"/>
  <c r="W625"/>
  <c r="W626"/>
  <c r="W627"/>
  <c r="W628"/>
  <c r="W629"/>
  <c r="W630"/>
  <c r="W631"/>
  <c r="W632"/>
  <c r="W633"/>
  <c r="W634"/>
  <c r="W635"/>
  <c r="W636"/>
  <c r="W637"/>
  <c r="W638"/>
  <c r="W639"/>
  <c r="W640"/>
  <c r="W641"/>
  <c r="W642"/>
  <c r="W643"/>
  <c r="W644"/>
  <c r="W645"/>
  <c r="W646"/>
  <c r="W647"/>
  <c r="W648"/>
  <c r="W649"/>
  <c r="W650"/>
  <c r="W651"/>
  <c r="W652"/>
  <c r="W653"/>
  <c r="W654"/>
  <c r="W655"/>
  <c r="W656"/>
  <c r="W657"/>
  <c r="W658"/>
  <c r="W659"/>
  <c r="W660"/>
  <c r="W661"/>
  <c r="W662"/>
  <c r="W663"/>
  <c r="W664"/>
  <c r="W665"/>
  <c r="W666"/>
  <c r="W667"/>
  <c r="W668"/>
  <c r="W669"/>
  <c r="W670"/>
  <c r="W671"/>
  <c r="W672"/>
  <c r="W673"/>
  <c r="W674"/>
  <c r="W675"/>
  <c r="W676"/>
  <c r="W677"/>
  <c r="W678"/>
  <c r="W679"/>
  <c r="W680"/>
  <c r="W681"/>
  <c r="W682"/>
  <c r="W683"/>
  <c r="W684"/>
  <c r="W685"/>
  <c r="W686"/>
  <c r="W687"/>
  <c r="W688"/>
  <c r="W689"/>
  <c r="W690"/>
  <c r="W691"/>
  <c r="W692"/>
  <c r="W693"/>
  <c r="W694"/>
  <c r="W695"/>
  <c r="W696"/>
  <c r="W697"/>
  <c r="W698"/>
  <c r="W699"/>
  <c r="W700"/>
  <c r="W701"/>
  <c r="W702"/>
  <c r="W703"/>
  <c r="W704"/>
  <c r="W705"/>
  <c r="W706"/>
  <c r="W707"/>
  <c r="W708"/>
  <c r="W709"/>
  <c r="W710"/>
  <c r="W711"/>
  <c r="W712"/>
  <c r="W713"/>
  <c r="W714"/>
  <c r="W715"/>
  <c r="W716"/>
  <c r="W717"/>
  <c r="W718"/>
  <c r="W719"/>
  <c r="W720"/>
  <c r="W721"/>
  <c r="W722"/>
  <c r="W723"/>
  <c r="W724"/>
  <c r="W725"/>
  <c r="W726"/>
  <c r="W727"/>
  <c r="W728"/>
  <c r="W729"/>
  <c r="W730"/>
  <c r="W731"/>
  <c r="W732"/>
  <c r="W733"/>
  <c r="W734"/>
  <c r="W735"/>
  <c r="W736"/>
  <c r="W737"/>
  <c r="W738"/>
  <c r="W739"/>
  <c r="W740"/>
  <c r="W741"/>
  <c r="W742"/>
  <c r="W743"/>
  <c r="W744"/>
  <c r="W745"/>
  <c r="W746"/>
  <c r="W747"/>
  <c r="W748"/>
  <c r="W749"/>
  <c r="W750"/>
  <c r="W751"/>
  <c r="W752"/>
  <c r="W753"/>
  <c r="W754"/>
  <c r="W755"/>
  <c r="W756"/>
  <c r="W757"/>
  <c r="W758"/>
  <c r="W759"/>
  <c r="W760"/>
  <c r="W761"/>
  <c r="W762"/>
  <c r="W763"/>
  <c r="W764"/>
  <c r="W765"/>
  <c r="W766"/>
  <c r="W767"/>
  <c r="W768"/>
  <c r="W769"/>
  <c r="W770"/>
  <c r="W771"/>
  <c r="W772"/>
  <c r="W773"/>
  <c r="W774"/>
  <c r="W775"/>
  <c r="W776"/>
  <c r="W777"/>
  <c r="W778"/>
  <c r="W779"/>
  <c r="W780"/>
  <c r="W781"/>
  <c r="W782"/>
  <c r="W783"/>
  <c r="W784"/>
  <c r="W785"/>
  <c r="W786"/>
  <c r="W787"/>
  <c r="W788"/>
  <c r="W789"/>
  <c r="W790"/>
  <c r="W791"/>
  <c r="W792"/>
  <c r="W793"/>
  <c r="W794"/>
  <c r="W795"/>
  <c r="W796"/>
  <c r="W797"/>
  <c r="W798"/>
  <c r="W799"/>
  <c r="W800"/>
  <c r="W801"/>
  <c r="W802"/>
  <c r="W803"/>
  <c r="W804"/>
  <c r="W805"/>
  <c r="W806"/>
  <c r="W807"/>
  <c r="W808"/>
  <c r="W809"/>
  <c r="W810"/>
  <c r="W811"/>
  <c r="W812"/>
  <c r="W813"/>
  <c r="W814"/>
  <c r="W815"/>
  <c r="W816"/>
  <c r="W817"/>
  <c r="W818"/>
  <c r="W819"/>
  <c r="W820"/>
  <c r="W821"/>
  <c r="W822"/>
  <c r="W823"/>
  <c r="W824"/>
  <c r="W825"/>
  <c r="W826"/>
  <c r="W827"/>
  <c r="W828"/>
  <c r="W829"/>
  <c r="W830"/>
  <c r="W831"/>
  <c r="W832"/>
  <c r="W833"/>
  <c r="W834"/>
  <c r="W835"/>
  <c r="W836"/>
  <c r="W837"/>
  <c r="W838"/>
  <c r="W839"/>
  <c r="W840"/>
  <c r="W841"/>
  <c r="W842"/>
  <c r="W843"/>
  <c r="W844"/>
  <c r="W845"/>
  <c r="W846"/>
  <c r="W847"/>
  <c r="W848"/>
  <c r="W849"/>
  <c r="W850"/>
  <c r="W851"/>
  <c r="W852"/>
  <c r="W853"/>
  <c r="W854"/>
  <c r="W855"/>
  <c r="W856"/>
  <c r="W857"/>
  <c r="W858"/>
  <c r="W859"/>
  <c r="W860"/>
  <c r="W861"/>
  <c r="W862"/>
  <c r="W863"/>
  <c r="W864"/>
  <c r="W865"/>
  <c r="W866"/>
  <c r="W867"/>
  <c r="W868"/>
  <c r="W869"/>
  <c r="W870"/>
  <c r="W871"/>
  <c r="W872"/>
  <c r="W873"/>
  <c r="W874"/>
  <c r="W875"/>
  <c r="W876"/>
  <c r="W877"/>
  <c r="W878"/>
  <c r="W879"/>
  <c r="W880"/>
  <c r="W881"/>
  <c r="W882"/>
  <c r="W883"/>
  <c r="W884"/>
  <c r="W885"/>
  <c r="W886"/>
  <c r="W887"/>
  <c r="W888"/>
  <c r="W889"/>
  <c r="W890"/>
  <c r="W891"/>
  <c r="W892"/>
  <c r="W893"/>
  <c r="W894"/>
  <c r="W895"/>
  <c r="W896"/>
  <c r="W897"/>
  <c r="W898"/>
  <c r="W899"/>
  <c r="W900"/>
  <c r="W901"/>
  <c r="W902"/>
  <c r="W903"/>
  <c r="W904"/>
  <c r="W905"/>
  <c r="W906"/>
  <c r="W907"/>
  <c r="W908"/>
  <c r="W909"/>
  <c r="W910"/>
  <c r="W911"/>
  <c r="W912"/>
  <c r="W913"/>
  <c r="W914"/>
  <c r="W915"/>
  <c r="W916"/>
  <c r="W917"/>
  <c r="W918"/>
  <c r="W919"/>
  <c r="W920"/>
  <c r="W921"/>
  <c r="W922"/>
  <c r="W923"/>
  <c r="W924"/>
  <c r="W925"/>
  <c r="W926"/>
  <c r="W927"/>
  <c r="W928"/>
  <c r="W929"/>
  <c r="W930"/>
  <c r="W931"/>
  <c r="W932"/>
  <c r="W933"/>
  <c r="W934"/>
  <c r="W935"/>
  <c r="W936"/>
  <c r="W937"/>
  <c r="W938"/>
  <c r="W939"/>
  <c r="W940"/>
  <c r="W941"/>
  <c r="W942"/>
  <c r="W943"/>
  <c r="W944"/>
  <c r="W945"/>
  <c r="W946"/>
  <c r="W947"/>
  <c r="W948"/>
  <c r="W949"/>
  <c r="W950"/>
  <c r="W951"/>
  <c r="W952"/>
  <c r="W953"/>
  <c r="W954"/>
  <c r="W955"/>
  <c r="W956"/>
  <c r="W957"/>
  <c r="W958"/>
  <c r="W959"/>
  <c r="W960"/>
  <c r="W961"/>
  <c r="W962"/>
  <c r="W963"/>
  <c r="W964"/>
  <c r="W965"/>
  <c r="W966"/>
  <c r="W967"/>
  <c r="W968"/>
  <c r="W969"/>
  <c r="W970"/>
  <c r="W971"/>
  <c r="W972"/>
  <c r="W973"/>
  <c r="W974"/>
  <c r="W975"/>
  <c r="W976"/>
  <c r="W977"/>
  <c r="W978"/>
  <c r="W979"/>
  <c r="W980"/>
  <c r="W981"/>
  <c r="W982"/>
  <c r="W983"/>
  <c r="W984"/>
  <c r="W985"/>
  <c r="W986"/>
  <c r="W987"/>
  <c r="W988"/>
  <c r="W989"/>
  <c r="W990"/>
  <c r="W991"/>
  <c r="W992"/>
  <c r="W993"/>
  <c r="W994"/>
  <c r="W995"/>
  <c r="W996"/>
  <c r="W997"/>
  <c r="W998"/>
  <c r="W999"/>
  <c r="W1000"/>
  <c r="W1001"/>
  <c r="W1002"/>
  <c r="W1003"/>
  <c r="W1004"/>
  <c r="W1005"/>
  <c r="W1006"/>
  <c r="W1007"/>
  <c r="W1008"/>
  <c r="W1009"/>
  <c r="W1010"/>
  <c r="W1011"/>
  <c r="W1012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C1021"/>
  <c r="F1021" s="1"/>
  <c r="F1038" s="1"/>
  <c r="C1020"/>
  <c r="F1020" s="1"/>
  <c r="F1037" s="1"/>
  <c r="C1019"/>
  <c r="F1019" s="1"/>
  <c r="F1036" s="1"/>
  <c r="C1018"/>
  <c r="F1018" s="1"/>
  <c r="F1035" s="1"/>
  <c r="E1035" s="1"/>
  <c r="E1043" s="1"/>
  <c r="C1017"/>
  <c r="F1017" s="1"/>
  <c r="F1034" s="1"/>
  <c r="C1015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F175"/>
  <c r="AF176"/>
  <c r="AF177"/>
  <c r="AF178"/>
  <c r="AF179"/>
  <c r="AF180"/>
  <c r="AF181"/>
  <c r="AF182"/>
  <c r="AF183"/>
  <c r="AF184"/>
  <c r="AF185"/>
  <c r="AF186"/>
  <c r="AF187"/>
  <c r="AF188"/>
  <c r="AF189"/>
  <c r="AE189" s="1"/>
  <c r="AF190"/>
  <c r="AE190" s="1"/>
  <c r="AF191"/>
  <c r="AE191" s="1"/>
  <c r="AF192"/>
  <c r="AE192" s="1"/>
  <c r="AF193"/>
  <c r="AE193" s="1"/>
  <c r="AF194"/>
  <c r="AE194" s="1"/>
  <c r="AF195"/>
  <c r="AE195" s="1"/>
  <c r="AF196"/>
  <c r="AE196" s="1"/>
  <c r="AF197"/>
  <c r="AE197" s="1"/>
  <c r="AF198"/>
  <c r="AE198" s="1"/>
  <c r="AF199"/>
  <c r="AE199" s="1"/>
  <c r="AF200"/>
  <c r="AE200" s="1"/>
  <c r="AF201"/>
  <c r="AE201" s="1"/>
  <c r="AF202"/>
  <c r="AE202" s="1"/>
  <c r="AF203"/>
  <c r="AE203" s="1"/>
  <c r="AF204"/>
  <c r="AE204" s="1"/>
  <c r="AF205"/>
  <c r="AE205" s="1"/>
  <c r="AF206"/>
  <c r="AE206" s="1"/>
  <c r="AF207"/>
  <c r="AE207" s="1"/>
  <c r="AF208"/>
  <c r="AE208" s="1"/>
  <c r="AF209"/>
  <c r="AE209" s="1"/>
  <c r="AF210"/>
  <c r="AE210" s="1"/>
  <c r="AF211"/>
  <c r="AE211" s="1"/>
  <c r="AF212"/>
  <c r="AE212" s="1"/>
  <c r="AF213"/>
  <c r="AE213" s="1"/>
  <c r="AF214"/>
  <c r="AE214" s="1"/>
  <c r="AF215"/>
  <c r="AE215" s="1"/>
  <c r="AF216"/>
  <c r="AE216" s="1"/>
  <c r="AF217"/>
  <c r="AE217" s="1"/>
  <c r="AF218"/>
  <c r="AE218" s="1"/>
  <c r="AF219"/>
  <c r="AE219" s="1"/>
  <c r="AF220"/>
  <c r="AE220" s="1"/>
  <c r="AF221"/>
  <c r="AE221" s="1"/>
  <c r="AF222"/>
  <c r="AE222" s="1"/>
  <c r="AF223"/>
  <c r="AE223" s="1"/>
  <c r="AF224"/>
  <c r="AE224" s="1"/>
  <c r="AF225"/>
  <c r="AE225" s="1"/>
  <c r="AF226"/>
  <c r="AE226" s="1"/>
  <c r="AF227"/>
  <c r="AE227" s="1"/>
  <c r="AF228"/>
  <c r="AE228" s="1"/>
  <c r="AF229"/>
  <c r="AE229" s="1"/>
  <c r="AF230"/>
  <c r="AE230" s="1"/>
  <c r="AF231"/>
  <c r="AE231" s="1"/>
  <c r="AF232"/>
  <c r="AE232" s="1"/>
  <c r="AF233"/>
  <c r="AE233" s="1"/>
  <c r="AF234"/>
  <c r="AE234" s="1"/>
  <c r="AF235"/>
  <c r="AE235" s="1"/>
  <c r="AF236"/>
  <c r="AE236" s="1"/>
  <c r="AF237"/>
  <c r="AE237" s="1"/>
  <c r="AF238"/>
  <c r="AE238" s="1"/>
  <c r="AF239"/>
  <c r="AE239" s="1"/>
  <c r="AF240"/>
  <c r="AE240" s="1"/>
  <c r="AF241"/>
  <c r="AE241" s="1"/>
  <c r="AF242"/>
  <c r="AE242" s="1"/>
  <c r="AF243"/>
  <c r="AE243" s="1"/>
  <c r="AF244"/>
  <c r="AE244" s="1"/>
  <c r="AF245"/>
  <c r="AE245" s="1"/>
  <c r="AF246"/>
  <c r="AE246" s="1"/>
  <c r="AF247"/>
  <c r="AE247" s="1"/>
  <c r="AF248"/>
  <c r="AE248" s="1"/>
  <c r="AF249"/>
  <c r="AE249" s="1"/>
  <c r="AF250"/>
  <c r="AE250" s="1"/>
  <c r="AF251"/>
  <c r="AE251" s="1"/>
  <c r="AF252"/>
  <c r="AE252" s="1"/>
  <c r="AF253"/>
  <c r="AE253" s="1"/>
  <c r="AF254"/>
  <c r="AE254" s="1"/>
  <c r="AF255"/>
  <c r="AE255" s="1"/>
  <c r="AF256"/>
  <c r="AE256" s="1"/>
  <c r="AF257"/>
  <c r="AE257" s="1"/>
  <c r="AF258"/>
  <c r="AE258" s="1"/>
  <c r="AF259"/>
  <c r="AE259" s="1"/>
  <c r="AF260"/>
  <c r="AE260" s="1"/>
  <c r="AF261"/>
  <c r="AE261" s="1"/>
  <c r="AF262"/>
  <c r="AE262" s="1"/>
  <c r="AF263"/>
  <c r="AE263" s="1"/>
  <c r="AF264"/>
  <c r="AE264" s="1"/>
  <c r="AF265"/>
  <c r="AE265" s="1"/>
  <c r="AF266"/>
  <c r="AE266" s="1"/>
  <c r="AF267"/>
  <c r="AE267" s="1"/>
  <c r="AF268"/>
  <c r="AE268" s="1"/>
  <c r="AF269"/>
  <c r="AE269" s="1"/>
  <c r="AF270"/>
  <c r="AE270" s="1"/>
  <c r="AF271"/>
  <c r="AE271" s="1"/>
  <c r="AF272"/>
  <c r="AE272" s="1"/>
  <c r="AF273"/>
  <c r="AE273" s="1"/>
  <c r="AF274"/>
  <c r="AE274" s="1"/>
  <c r="AF275"/>
  <c r="AE275" s="1"/>
  <c r="AF276"/>
  <c r="AE276" s="1"/>
  <c r="AF277"/>
  <c r="AE277" s="1"/>
  <c r="AF278"/>
  <c r="AE278" s="1"/>
  <c r="AF279"/>
  <c r="AE279" s="1"/>
  <c r="AF280"/>
  <c r="AE280" s="1"/>
  <c r="AF281"/>
  <c r="AE281" s="1"/>
  <c r="AF282"/>
  <c r="AE282" s="1"/>
  <c r="AF283"/>
  <c r="AE283" s="1"/>
  <c r="AF284"/>
  <c r="AE284" s="1"/>
  <c r="AF285"/>
  <c r="AE285" s="1"/>
  <c r="AF286"/>
  <c r="AE286" s="1"/>
  <c r="AF287"/>
  <c r="AE287" s="1"/>
  <c r="AF288"/>
  <c r="AE288" s="1"/>
  <c r="AF289"/>
  <c r="AE289" s="1"/>
  <c r="AF290"/>
  <c r="AE290" s="1"/>
  <c r="AF291"/>
  <c r="AE291" s="1"/>
  <c r="AF292"/>
  <c r="AE292" s="1"/>
  <c r="AF293"/>
  <c r="AE293" s="1"/>
  <c r="AF294"/>
  <c r="AE294" s="1"/>
  <c r="AF295"/>
  <c r="AE295" s="1"/>
  <c r="AF296"/>
  <c r="AE296" s="1"/>
  <c r="AF297"/>
  <c r="AE297" s="1"/>
  <c r="AF298"/>
  <c r="AE298" s="1"/>
  <c r="AF299"/>
  <c r="AE299" s="1"/>
  <c r="AF300"/>
  <c r="AE300" s="1"/>
  <c r="AF301"/>
  <c r="AE301" s="1"/>
  <c r="AF302"/>
  <c r="AE302" s="1"/>
  <c r="AF303"/>
  <c r="AE303" s="1"/>
  <c r="AF304"/>
  <c r="AE304" s="1"/>
  <c r="AF305"/>
  <c r="AE305" s="1"/>
  <c r="AF306"/>
  <c r="AE306" s="1"/>
  <c r="AF307"/>
  <c r="AF308"/>
  <c r="AF309"/>
  <c r="AF310"/>
  <c r="AF311"/>
  <c r="AF312"/>
  <c r="AF313"/>
  <c r="AF314"/>
  <c r="AF315"/>
  <c 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"/>
  <c r="AF333"/>
  <c r="AF334"/>
  <c r="AF335"/>
  <c r="AF336"/>
  <c r="AF337"/>
  <c r="AF338"/>
  <c r="AF339"/>
  <c r="AF340"/>
  <c r="AF341"/>
  <c r="AF342"/>
  <c r="AF343"/>
  <c r="AF344"/>
  <c r="AF345"/>
  <c r="AF346"/>
  <c r="AF347"/>
  <c r="AF348"/>
  <c r="AF349"/>
  <c r="AF350"/>
  <c r="AF351"/>
  <c r="AF352"/>
  <c r="AF353"/>
  <c r="AF354"/>
  <c r="AF355"/>
  <c r="AF356"/>
  <c r="AF357"/>
  <c r="AF358"/>
  <c r="AF359"/>
  <c r="AF360"/>
  <c r="AF361"/>
  <c r="AF362"/>
  <c r="AF363"/>
  <c r="AF364"/>
  <c r="AF365"/>
  <c r="AF366"/>
  <c r="AF367"/>
  <c r="AF368"/>
  <c r="AF369"/>
  <c r="AF370"/>
  <c r="AF371"/>
  <c r="AF372"/>
  <c r="AF373"/>
  <c r="AF374"/>
  <c r="AF375"/>
  <c r="AF376"/>
  <c r="AF377"/>
  <c r="AF378"/>
  <c r="AF379"/>
  <c r="AF380"/>
  <c r="AF381"/>
  <c r="AF382"/>
  <c r="AF383"/>
  <c r="AF384"/>
  <c r="AF385"/>
  <c r="AF386"/>
  <c r="AF387"/>
  <c r="AF388"/>
  <c r="AF389"/>
  <c r="AF390"/>
  <c r="AF391"/>
  <c r="AF392"/>
  <c r="AF393"/>
  <c r="AF394"/>
  <c r="AF395"/>
  <c r="AF396"/>
  <c r="AF397"/>
  <c r="AF398"/>
  <c r="AF399"/>
  <c r="AF400"/>
  <c r="AF401"/>
  <c r="AF402"/>
  <c r="AF403"/>
  <c r="AF404"/>
  <c r="AF405"/>
  <c r="AF406"/>
  <c r="AF407"/>
  <c r="AF408"/>
  <c r="AF409"/>
  <c r="AF410"/>
  <c r="AF411"/>
  <c r="AF412"/>
  <c r="AF413"/>
  <c r="AF414"/>
  <c r="AF415"/>
  <c r="AF416"/>
  <c r="AF417"/>
  <c r="AF418"/>
  <c r="AF419"/>
  <c r="AF420"/>
  <c r="AF421"/>
  <c r="AF422"/>
  <c r="AF423"/>
  <c r="AF424"/>
  <c r="AF425"/>
  <c r="AF426"/>
  <c r="AF427"/>
  <c r="AF428"/>
  <c r="AF429"/>
  <c r="AF430"/>
  <c r="AF431"/>
  <c r="AF432"/>
  <c r="AF433"/>
  <c r="AF434"/>
  <c r="AF435"/>
  <c r="AF436"/>
  <c r="AF437"/>
  <c r="AF438"/>
  <c r="AF439"/>
  <c r="AF440"/>
  <c r="AF441"/>
  <c r="AF442"/>
  <c r="AF443"/>
  <c r="AF444"/>
  <c r="AF445"/>
  <c r="AF446"/>
  <c r="AF447"/>
  <c r="AF448"/>
  <c r="AF449"/>
  <c r="AF450"/>
  <c r="AF451"/>
  <c r="AF452"/>
  <c r="AF453"/>
  <c r="AF454"/>
  <c r="AF455"/>
  <c r="AF456"/>
  <c r="AF457"/>
  <c r="AF458"/>
  <c r="AF459"/>
  <c r="AF460"/>
  <c r="AF461"/>
  <c r="AF462"/>
  <c r="AF463"/>
  <c r="AF464"/>
  <c r="AF465"/>
  <c r="AF466"/>
  <c r="AF467"/>
  <c r="AF468"/>
  <c r="AF469"/>
  <c r="AF470"/>
  <c r="AF471"/>
  <c r="AF472"/>
  <c r="AF473"/>
  <c r="AF474"/>
  <c r="AF475"/>
  <c r="AF476"/>
  <c r="AF477"/>
  <c r="AF478"/>
  <c r="AF479"/>
  <c r="AF480"/>
  <c r="AF481"/>
  <c r="AF482"/>
  <c r="AF483"/>
  <c r="AF484"/>
  <c r="AF485"/>
  <c r="AF486"/>
  <c r="AF487"/>
  <c r="AF488"/>
  <c r="AF489"/>
  <c r="AF490"/>
  <c r="AF491"/>
  <c r="AF492"/>
  <c r="AF493"/>
  <c r="AF494"/>
  <c r="AF495"/>
  <c r="AF496"/>
  <c r="AF497"/>
  <c r="AF498"/>
  <c r="AF499"/>
  <c r="AF500"/>
  <c r="AF501"/>
  <c r="AF502"/>
  <c r="AF503"/>
  <c r="AF504"/>
  <c r="AF505"/>
  <c r="AF506"/>
  <c r="AF507"/>
  <c r="AF508"/>
  <c r="AF509"/>
  <c r="AF510"/>
  <c r="AF511"/>
  <c r="AF512"/>
  <c r="AF513"/>
  <c r="AF514"/>
  <c r="AF515"/>
  <c r="AF516"/>
  <c r="AF517"/>
  <c r="AF518"/>
  <c r="AF519"/>
  <c r="AF520"/>
  <c r="AF521"/>
  <c r="AF522"/>
  <c r="AF523"/>
  <c r="AF524"/>
  <c r="AF525"/>
  <c r="AF526"/>
  <c r="AF527"/>
  <c r="AF528"/>
  <c r="AF529"/>
  <c r="AF530"/>
  <c r="AF531"/>
  <c r="AF532"/>
  <c r="AF533"/>
  <c r="AF534"/>
  <c r="AF535"/>
  <c r="AF536"/>
  <c r="AF537"/>
  <c r="AF538"/>
  <c r="AF539"/>
  <c r="AF540"/>
  <c r="AF541"/>
  <c r="AF542"/>
  <c r="AF543"/>
  <c r="AF544"/>
  <c r="AF545"/>
  <c r="AF546"/>
  <c r="AF547"/>
  <c r="AF548"/>
  <c r="AF549"/>
  <c r="AF550"/>
  <c r="AF551"/>
  <c r="AF552"/>
  <c r="AF553"/>
  <c r="AF554"/>
  <c r="AF555"/>
  <c r="AF556"/>
  <c r="AF557"/>
  <c r="AF558"/>
  <c r="AF559"/>
  <c r="AF560"/>
  <c r="AF561"/>
  <c r="AF562"/>
  <c r="AF563"/>
  <c r="AF564"/>
  <c r="AF565"/>
  <c r="AF566"/>
  <c r="AF567"/>
  <c r="AF568"/>
  <c r="AF569"/>
  <c r="AF570"/>
  <c r="AF571"/>
  <c r="AF572"/>
  <c r="AF573"/>
  <c r="AF574"/>
  <c r="AF575"/>
  <c r="AF576"/>
  <c r="AF577"/>
  <c r="AF578"/>
  <c r="AF579"/>
  <c r="AF580"/>
  <c r="AF581"/>
  <c r="AF582"/>
  <c r="AF583"/>
  <c r="AF584"/>
  <c r="AF585"/>
  <c r="AF586"/>
  <c r="AF587"/>
  <c r="AF588"/>
  <c r="AF589"/>
  <c r="AF590"/>
  <c r="AF591"/>
  <c r="AF592"/>
  <c r="AF593"/>
  <c r="AF594"/>
  <c r="AF595"/>
  <c r="AF596"/>
  <c r="AF597"/>
  <c r="AF598"/>
  <c r="AF599"/>
  <c r="AF600"/>
  <c r="AF601"/>
  <c r="AF602"/>
  <c r="AF603"/>
  <c r="AF604"/>
  <c r="AF605"/>
  <c r="AF606"/>
  <c r="AF607"/>
  <c r="AF608"/>
  <c r="AF609"/>
  <c r="AF610"/>
  <c r="AF611"/>
  <c r="AF612"/>
  <c r="AF613"/>
  <c r="AF614"/>
  <c r="AF615"/>
  <c r="AF616"/>
  <c r="AF617"/>
  <c r="AF618"/>
  <c r="AF619"/>
  <c r="AF620"/>
  <c r="AF621"/>
  <c r="AF622"/>
  <c r="AF623"/>
  <c r="AF624"/>
  <c r="AF625"/>
  <c r="AF626"/>
  <c r="AF627"/>
  <c r="AF628"/>
  <c r="AF629"/>
  <c r="AF630"/>
  <c r="AF631"/>
  <c r="AF632"/>
  <c r="AF633"/>
  <c r="AF634"/>
  <c r="AF635"/>
  <c r="AF636"/>
  <c r="AF637"/>
  <c r="AF638"/>
  <c r="AF639"/>
  <c r="AF640"/>
  <c r="AF641"/>
  <c r="AF642"/>
  <c r="AF643"/>
  <c r="AF644"/>
  <c r="AF645"/>
  <c r="AF646"/>
  <c r="AF647"/>
  <c r="AF648"/>
  <c r="AF649"/>
  <c r="AF650"/>
  <c r="AF651"/>
  <c r="AF652"/>
  <c r="AF653"/>
  <c r="AF654"/>
  <c r="AF655"/>
  <c r="AF656"/>
  <c r="AF657"/>
  <c r="AF658"/>
  <c r="AF659"/>
  <c r="AF660"/>
  <c r="AF661"/>
  <c r="AF662"/>
  <c r="AF663"/>
  <c r="AF664"/>
  <c r="AF665"/>
  <c r="AF666"/>
  <c r="AF667"/>
  <c r="AF668"/>
  <c r="AF669"/>
  <c r="AF670"/>
  <c r="AF671"/>
  <c r="AF672"/>
  <c r="AF673"/>
  <c r="AF674"/>
  <c r="AF675"/>
  <c r="AF676"/>
  <c r="AF677"/>
  <c r="AF678"/>
  <c r="AF679"/>
  <c r="AF680"/>
  <c r="AF681"/>
  <c r="AF682"/>
  <c r="AF683"/>
  <c r="AF684"/>
  <c r="AF685"/>
  <c r="AF686"/>
  <c r="AF687"/>
  <c r="AF688"/>
  <c r="AF689"/>
  <c r="AF690"/>
  <c r="AF691"/>
  <c r="AF692"/>
  <c r="AF693"/>
  <c r="AF694"/>
  <c r="AF695"/>
  <c r="AF696"/>
  <c r="AF697"/>
  <c r="AF698"/>
  <c r="AF699"/>
  <c r="AF700"/>
  <c r="AF701"/>
  <c r="AF702"/>
  <c r="AF703"/>
  <c r="AF704"/>
  <c r="AF705"/>
  <c r="AF706"/>
  <c r="AF707"/>
  <c r="AF708"/>
  <c r="AF709"/>
  <c r="AF710"/>
  <c r="AF711"/>
  <c r="AF712"/>
  <c r="AF713"/>
  <c r="AF714"/>
  <c r="AF715"/>
  <c r="AF716"/>
  <c r="AF717"/>
  <c r="AF718"/>
  <c r="AF719"/>
  <c r="AF720"/>
  <c r="AF721"/>
  <c r="AF722"/>
  <c r="AF723"/>
  <c r="AF724"/>
  <c r="AF725"/>
  <c r="AF726"/>
  <c r="AF727"/>
  <c r="AF728"/>
  <c r="AF729"/>
  <c r="AF730"/>
  <c r="AF731"/>
  <c r="AF732"/>
  <c r="AF733"/>
  <c r="AF734"/>
  <c r="AF735"/>
  <c r="AF736"/>
  <c r="AF737"/>
  <c r="AF738"/>
  <c r="AF739"/>
  <c r="AF740"/>
  <c r="AF741"/>
  <c r="AF742"/>
  <c r="AF743"/>
  <c r="AF744"/>
  <c r="AF745"/>
  <c r="AF746"/>
  <c r="AF747"/>
  <c r="AF748"/>
  <c r="AF749"/>
  <c r="AF750"/>
  <c r="AF751"/>
  <c r="AF752"/>
  <c r="AF753"/>
  <c r="AF754"/>
  <c r="AF755"/>
  <c r="AF756"/>
  <c r="AF757"/>
  <c r="AF758"/>
  <c r="AF759"/>
  <c r="AF760"/>
  <c r="AF761"/>
  <c r="AF762"/>
  <c r="AF763"/>
  <c r="AF764"/>
  <c r="AF765"/>
  <c r="AF766"/>
  <c r="AF767"/>
  <c r="AF768"/>
  <c r="AF769"/>
  <c r="AF770"/>
  <c r="AF771"/>
  <c r="AF772"/>
  <c r="AF773"/>
  <c r="AF774"/>
  <c r="AF775"/>
  <c r="AF776"/>
  <c r="AF777"/>
  <c r="AF778"/>
  <c r="AF779"/>
  <c r="AF780"/>
  <c r="AF781"/>
  <c r="AF782"/>
  <c r="AF783"/>
  <c r="AF784"/>
  <c r="AF785"/>
  <c r="AF786"/>
  <c r="AF787"/>
  <c r="AF788"/>
  <c r="AF789"/>
  <c r="AF790"/>
  <c r="AF791"/>
  <c r="AF792"/>
  <c r="AF793"/>
  <c r="AF794"/>
  <c r="AF795"/>
  <c r="AF796"/>
  <c r="AF797"/>
  <c r="AF798"/>
  <c r="AF799"/>
  <c r="AF800"/>
  <c r="AF801"/>
  <c r="AF802"/>
  <c r="AF803"/>
  <c r="AF804"/>
  <c r="AF805"/>
  <c r="AF806"/>
  <c r="AF807"/>
  <c r="AF808"/>
  <c r="AF809"/>
  <c r="AF810"/>
  <c r="AF811"/>
  <c r="AF812"/>
  <c r="AF813"/>
  <c r="AF814"/>
  <c r="AF815"/>
  <c r="AF816"/>
  <c r="AF817"/>
  <c r="AF818"/>
  <c r="AF819"/>
  <c r="AF820"/>
  <c r="AF821"/>
  <c r="AF822"/>
  <c r="AF823"/>
  <c r="AF824"/>
  <c r="AF825"/>
  <c r="AF826"/>
  <c r="AF827"/>
  <c r="AF828"/>
  <c r="AF829"/>
  <c r="AF830"/>
  <c r="AF831"/>
  <c r="AF832"/>
  <c r="AF833"/>
  <c r="AF834"/>
  <c r="AF835"/>
  <c r="AF836"/>
  <c r="AF837"/>
  <c r="AF838"/>
  <c r="AF839"/>
  <c r="AF840"/>
  <c r="AF841"/>
  <c r="AF842"/>
  <c r="AF843"/>
  <c r="AF844"/>
  <c r="AF845"/>
  <c r="AF846"/>
  <c r="AF847"/>
  <c r="AF848"/>
  <c r="AF849"/>
  <c r="AF850"/>
  <c r="AF851"/>
  <c r="AF852"/>
  <c r="AF853"/>
  <c r="AF854"/>
  <c r="AF855"/>
  <c r="AF856"/>
  <c r="AF857"/>
  <c r="AF858"/>
  <c r="AF859"/>
  <c r="AF860"/>
  <c r="AF861"/>
  <c r="AF862"/>
  <c r="AF863"/>
  <c r="AF864"/>
  <c r="AF865"/>
  <c r="AF866"/>
  <c r="AF867"/>
  <c r="AF868"/>
  <c r="AF869"/>
  <c r="AF870"/>
  <c r="AF871"/>
  <c r="AF872"/>
  <c r="AF873"/>
  <c r="AF874"/>
  <c r="AF875"/>
  <c r="AF876"/>
  <c r="AF877"/>
  <c r="AF878"/>
  <c r="AF879"/>
  <c r="AF880"/>
  <c r="AF881"/>
  <c r="AF882"/>
  <c r="AF883"/>
  <c r="AF884"/>
  <c r="AF885"/>
  <c r="AF886"/>
  <c r="AF887"/>
  <c r="AF888"/>
  <c r="AF889"/>
  <c r="AF890"/>
  <c r="AF891"/>
  <c r="AF892"/>
  <c r="AF893"/>
  <c r="AF894"/>
  <c r="AF895"/>
  <c r="AF896"/>
  <c r="AF897"/>
  <c r="AF898"/>
  <c r="AF899"/>
  <c r="AF900"/>
  <c r="AF901"/>
  <c r="AF902"/>
  <c r="AF903"/>
  <c r="AF904"/>
  <c r="AF905"/>
  <c r="AF906"/>
  <c r="AF907"/>
  <c r="AF908"/>
  <c r="AF909"/>
  <c r="AF910"/>
  <c r="AF911"/>
  <c r="AF912"/>
  <c r="AF913"/>
  <c r="AF914"/>
  <c r="AF915"/>
  <c r="AF916"/>
  <c r="AF917"/>
  <c r="AF918"/>
  <c r="AF919"/>
  <c r="AF920"/>
  <c r="AF921"/>
  <c r="AF922"/>
  <c r="AF923"/>
  <c r="AF924"/>
  <c r="AF925"/>
  <c r="AF926"/>
  <c r="AF927"/>
  <c r="AF928"/>
  <c r="AF929"/>
  <c r="AF930"/>
  <c r="AF931"/>
  <c r="AF932"/>
  <c r="AF933"/>
  <c r="AF934"/>
  <c r="AF935"/>
  <c r="AF936"/>
  <c r="AF937"/>
  <c r="AF938"/>
  <c r="AF939"/>
  <c r="AF940"/>
  <c r="AF941"/>
  <c r="AF942"/>
  <c r="AF943"/>
  <c r="AF944"/>
  <c r="AF945"/>
  <c r="AF946"/>
  <c r="AF947"/>
  <c r="AF948"/>
  <c r="AF949"/>
  <c r="AF950"/>
  <c r="AF951"/>
  <c r="AF952"/>
  <c r="AF953"/>
  <c r="AF954"/>
  <c r="AF955"/>
  <c r="AF956"/>
  <c r="AF957"/>
  <c r="AF958"/>
  <c r="AF959"/>
  <c r="AF960"/>
  <c r="AF961"/>
  <c r="AF962"/>
  <c r="AF963"/>
  <c r="AF964"/>
  <c r="AF965"/>
  <c r="AF966"/>
  <c r="AF967"/>
  <c r="AF968"/>
  <c r="AF969"/>
  <c r="AF970"/>
  <c r="AF971"/>
  <c r="AF972"/>
  <c r="AF973"/>
  <c r="AF974"/>
  <c r="AF975"/>
  <c r="AF976"/>
  <c r="AF977"/>
  <c r="AF978"/>
  <c r="AF979"/>
  <c r="AF980"/>
  <c r="AF981"/>
  <c r="AF982"/>
  <c r="AF983"/>
  <c r="AF984"/>
  <c r="AF985"/>
  <c r="AF986"/>
  <c r="AF987"/>
  <c r="AF988"/>
  <c r="AF989"/>
  <c r="AF990"/>
  <c r="AF991"/>
  <c r="AF992"/>
  <c r="AF993"/>
  <c r="AF994"/>
  <c r="AF995"/>
  <c r="AF996"/>
  <c r="AF997"/>
  <c r="AF998"/>
  <c r="AF999"/>
  <c r="AF1000"/>
  <c r="AF1001"/>
  <c r="AF1002"/>
  <c r="AF1003"/>
  <c r="AF1004"/>
  <c r="AF1005"/>
  <c r="AF1006"/>
  <c r="AF1007"/>
  <c r="AF1008"/>
  <c r="AF1009"/>
  <c r="AF1010"/>
  <c r="AF1011"/>
  <c r="AF1012"/>
  <c r="AF13"/>
  <c r="F1015"/>
  <c r="E1015" s="1"/>
  <c r="Z1021"/>
  <c r="AZ34" s="1"/>
  <c r="AA1021"/>
  <c r="BA34" s="1"/>
  <c r="Z1020"/>
  <c r="AZ31" s="1"/>
  <c r="AA1020"/>
  <c r="BA31" s="1"/>
  <c r="Z1019"/>
  <c r="AZ28" s="1"/>
  <c r="AA1019"/>
  <c r="BA28" s="1"/>
  <c r="Z1018"/>
  <c r="AZ25" s="1"/>
  <c r="AA1018"/>
  <c r="BA25" s="1"/>
  <c r="Z1017"/>
  <c r="AZ22" s="1"/>
  <c r="AA1017"/>
  <c r="BA22" s="1"/>
  <c r="Q1021"/>
  <c r="AV34" s="1"/>
  <c r="R1021"/>
  <c r="AW34" s="1"/>
  <c r="S1021"/>
  <c r="AX34" s="1"/>
  <c r="Q1020"/>
  <c r="AV31" s="1"/>
  <c r="R1020"/>
  <c r="AW31" s="1"/>
  <c r="S1020"/>
  <c r="AX31" s="1"/>
  <c r="Q1019"/>
  <c r="AV28" s="1"/>
  <c r="R1019"/>
  <c r="AW28" s="1"/>
  <c r="S1019"/>
  <c r="AX28" s="1"/>
  <c r="Q1018"/>
  <c r="AV25" s="1"/>
  <c r="R1018"/>
  <c r="AW25" s="1"/>
  <c r="S1018"/>
  <c r="AX25" s="1"/>
  <c r="Q1017"/>
  <c r="AV22" s="1"/>
  <c r="R1017"/>
  <c r="AW22" s="1"/>
  <c r="S1017"/>
  <c r="AX22" s="1"/>
  <c r="Q1015"/>
  <c r="AV18" s="1"/>
  <c r="R1015"/>
  <c r="AW18" s="1"/>
  <c r="S1015"/>
  <c r="AX18" s="1"/>
  <c r="Z1015"/>
  <c r="AZ18" s="1"/>
  <c r="AA1015"/>
  <c r="BA18" s="1"/>
  <c r="B2"/>
  <c r="G113"/>
  <c r="H113" s="1"/>
  <c r="G114"/>
  <c r="H114" s="1"/>
  <c r="G115"/>
  <c r="H115" s="1"/>
  <c r="G116"/>
  <c r="H116" s="1"/>
  <c r="G117"/>
  <c r="H117" s="1"/>
  <c r="G118"/>
  <c r="H118" s="1"/>
  <c r="G119"/>
  <c r="H119" s="1"/>
  <c r="G120"/>
  <c r="H120" s="1"/>
  <c r="G121"/>
  <c r="H121" s="1"/>
  <c r="G122"/>
  <c r="H122" s="1"/>
  <c r="G123"/>
  <c r="H123" s="1"/>
  <c r="G124"/>
  <c r="H124" s="1"/>
  <c r="G125"/>
  <c r="H125" s="1"/>
  <c r="G126"/>
  <c r="H126" s="1"/>
  <c r="G127"/>
  <c r="H127" s="1"/>
  <c r="G128"/>
  <c r="H128" s="1"/>
  <c r="G129"/>
  <c r="H129" s="1"/>
  <c r="G130"/>
  <c r="H130" s="1"/>
  <c r="G131"/>
  <c r="H131" s="1"/>
  <c r="G132"/>
  <c r="H132" s="1"/>
  <c r="G133"/>
  <c r="H133" s="1"/>
  <c r="G134"/>
  <c r="H134" s="1"/>
  <c r="G135"/>
  <c r="H135" s="1"/>
  <c r="G136"/>
  <c r="H136" s="1"/>
  <c r="G137"/>
  <c r="H137" s="1"/>
  <c r="G138"/>
  <c r="H138" s="1"/>
  <c r="G139"/>
  <c r="H139" s="1"/>
  <c r="G140"/>
  <c r="H140" s="1"/>
  <c r="G141"/>
  <c r="H141" s="1"/>
  <c r="G142"/>
  <c r="H142" s="1"/>
  <c r="G143"/>
  <c r="H143" s="1"/>
  <c r="G144"/>
  <c r="H144" s="1"/>
  <c r="G145"/>
  <c r="H145" s="1"/>
  <c r="G146"/>
  <c r="H146" s="1"/>
  <c r="G147"/>
  <c r="H147" s="1"/>
  <c r="G148"/>
  <c r="H148" s="1"/>
  <c r="G149"/>
  <c r="H149" s="1"/>
  <c r="G150"/>
  <c r="H150" s="1"/>
  <c r="G151"/>
  <c r="H151" s="1"/>
  <c r="G152"/>
  <c r="H152" s="1"/>
  <c r="G153"/>
  <c r="H153" s="1"/>
  <c r="G154"/>
  <c r="H154" s="1"/>
  <c r="G155"/>
  <c r="H155" s="1"/>
  <c r="G156"/>
  <c r="H156" s="1"/>
  <c r="G157"/>
  <c r="H157" s="1"/>
  <c r="G158"/>
  <c r="H158" s="1"/>
  <c r="G159"/>
  <c r="H159" s="1"/>
  <c r="G160"/>
  <c r="H160" s="1"/>
  <c r="G161"/>
  <c r="H161" s="1"/>
  <c r="G162"/>
  <c r="H162" s="1"/>
  <c r="G163"/>
  <c r="H163" s="1"/>
  <c r="G164"/>
  <c r="H164" s="1"/>
  <c r="G165"/>
  <c r="H165" s="1"/>
  <c r="G166"/>
  <c r="H166" s="1"/>
  <c r="G167"/>
  <c r="H167" s="1"/>
  <c r="G168"/>
  <c r="H168" s="1"/>
  <c r="G169"/>
  <c r="H169" s="1"/>
  <c r="G170"/>
  <c r="H170" s="1"/>
  <c r="G171"/>
  <c r="H171" s="1"/>
  <c r="G172"/>
  <c r="H172" s="1"/>
  <c r="G173"/>
  <c r="H173" s="1"/>
  <c r="G174"/>
  <c r="H174" s="1"/>
  <c r="G175"/>
  <c r="H175" s="1"/>
  <c r="G176"/>
  <c r="H176" s="1"/>
  <c r="G177"/>
  <c r="H177" s="1"/>
  <c r="G178"/>
  <c r="H178" s="1"/>
  <c r="G179"/>
  <c r="H179" s="1"/>
  <c r="G180"/>
  <c r="H180" s="1"/>
  <c r="G181"/>
  <c r="H181" s="1"/>
  <c r="G182"/>
  <c r="H182" s="1"/>
  <c r="G183"/>
  <c r="H183" s="1"/>
  <c r="G184"/>
  <c r="H184" s="1"/>
  <c r="G185"/>
  <c r="H185" s="1"/>
  <c r="G186"/>
  <c r="H186" s="1"/>
  <c r="G187"/>
  <c r="H187" s="1"/>
  <c r="G188"/>
  <c r="H188" s="1"/>
  <c r="G189"/>
  <c r="H189" s="1"/>
  <c r="G190"/>
  <c r="H190" s="1"/>
  <c r="G191"/>
  <c r="H191" s="1"/>
  <c r="G192"/>
  <c r="H192" s="1"/>
  <c r="G193"/>
  <c r="H193" s="1"/>
  <c r="G194"/>
  <c r="H194" s="1"/>
  <c r="G195"/>
  <c r="H195" s="1"/>
  <c r="G196"/>
  <c r="H196" s="1"/>
  <c r="G197"/>
  <c r="H197" s="1"/>
  <c r="G198"/>
  <c r="H198" s="1"/>
  <c r="G199"/>
  <c r="H199" s="1"/>
  <c r="G200"/>
  <c r="H200" s="1"/>
  <c r="G201"/>
  <c r="H201" s="1"/>
  <c r="G202"/>
  <c r="H202" s="1"/>
  <c r="G203"/>
  <c r="H203" s="1"/>
  <c r="G204"/>
  <c r="H204" s="1"/>
  <c r="G205"/>
  <c r="H205" s="1"/>
  <c r="G206"/>
  <c r="H206" s="1"/>
  <c r="G207"/>
  <c r="H207" s="1"/>
  <c r="G208"/>
  <c r="H208" s="1"/>
  <c r="G209"/>
  <c r="H209" s="1"/>
  <c r="G210"/>
  <c r="H210" s="1"/>
  <c r="G211"/>
  <c r="H211" s="1"/>
  <c r="G212"/>
  <c r="H212" s="1"/>
  <c r="G213"/>
  <c r="H213" s="1"/>
  <c r="G214"/>
  <c r="H214" s="1"/>
  <c r="G215"/>
  <c r="H215" s="1"/>
  <c r="G216"/>
  <c r="H216" s="1"/>
  <c r="G217"/>
  <c r="H217" s="1"/>
  <c r="G218"/>
  <c r="H218" s="1"/>
  <c r="G219"/>
  <c r="H219" s="1"/>
  <c r="G220"/>
  <c r="H220" s="1"/>
  <c r="G221"/>
  <c r="H221" s="1"/>
  <c r="G222"/>
  <c r="H222" s="1"/>
  <c r="G223"/>
  <c r="H223" s="1"/>
  <c r="G224"/>
  <c r="H224" s="1"/>
  <c r="G225"/>
  <c r="H225" s="1"/>
  <c r="G226"/>
  <c r="H226" s="1"/>
  <c r="G227"/>
  <c r="H227" s="1"/>
  <c r="G228"/>
  <c r="H228" s="1"/>
  <c r="G229"/>
  <c r="H229" s="1"/>
  <c r="G230"/>
  <c r="H230" s="1"/>
  <c r="G231"/>
  <c r="H231" s="1"/>
  <c r="G232"/>
  <c r="H232" s="1"/>
  <c r="G233"/>
  <c r="H233" s="1"/>
  <c r="G234"/>
  <c r="H234" s="1"/>
  <c r="G235"/>
  <c r="H235" s="1"/>
  <c r="G236"/>
  <c r="H236" s="1"/>
  <c r="G237"/>
  <c r="H237" s="1"/>
  <c r="G238"/>
  <c r="H238" s="1"/>
  <c r="G239"/>
  <c r="H239" s="1"/>
  <c r="G240"/>
  <c r="H240" s="1"/>
  <c r="G241"/>
  <c r="H241" s="1"/>
  <c r="G242"/>
  <c r="H242" s="1"/>
  <c r="G243"/>
  <c r="H243" s="1"/>
  <c r="G244"/>
  <c r="H244" s="1"/>
  <c r="G245"/>
  <c r="H245" s="1"/>
  <c r="G246"/>
  <c r="H246" s="1"/>
  <c r="G247"/>
  <c r="H247" s="1"/>
  <c r="G248"/>
  <c r="H248" s="1"/>
  <c r="G249"/>
  <c r="H249" s="1"/>
  <c r="G250"/>
  <c r="H250" s="1"/>
  <c r="G251"/>
  <c r="H251" s="1"/>
  <c r="G252"/>
  <c r="H252" s="1"/>
  <c r="G253"/>
  <c r="H253" s="1"/>
  <c r="G254"/>
  <c r="H254" s="1"/>
  <c r="G255"/>
  <c r="H255" s="1"/>
  <c r="G256"/>
  <c r="H256" s="1"/>
  <c r="G257"/>
  <c r="H257" s="1"/>
  <c r="G258"/>
  <c r="H258" s="1"/>
  <c r="G259"/>
  <c r="H259" s="1"/>
  <c r="G260"/>
  <c r="H260" s="1"/>
  <c r="G261"/>
  <c r="H261" s="1"/>
  <c r="G262"/>
  <c r="H262" s="1"/>
  <c r="G263"/>
  <c r="H263" s="1"/>
  <c r="G264"/>
  <c r="H264" s="1"/>
  <c r="G265"/>
  <c r="H265" s="1"/>
  <c r="G266"/>
  <c r="H266" s="1"/>
  <c r="G267"/>
  <c r="H267" s="1"/>
  <c r="G268"/>
  <c r="H268" s="1"/>
  <c r="G269"/>
  <c r="H269" s="1"/>
  <c r="G270"/>
  <c r="H270" s="1"/>
  <c r="G271"/>
  <c r="H271" s="1"/>
  <c r="G272"/>
  <c r="H272" s="1"/>
  <c r="G273"/>
  <c r="H273" s="1"/>
  <c r="G274"/>
  <c r="H274" s="1"/>
  <c r="G275"/>
  <c r="H275" s="1"/>
  <c r="G276"/>
  <c r="H276" s="1"/>
  <c r="G277"/>
  <c r="H277" s="1"/>
  <c r="G278"/>
  <c r="H278" s="1"/>
  <c r="G279"/>
  <c r="H279" s="1"/>
  <c r="G280"/>
  <c r="H280" s="1"/>
  <c r="G281"/>
  <c r="H281" s="1"/>
  <c r="G282"/>
  <c r="H282" s="1"/>
  <c r="G283"/>
  <c r="H283" s="1"/>
  <c r="G284"/>
  <c r="H284" s="1"/>
  <c r="G285"/>
  <c r="H285" s="1"/>
  <c r="G286"/>
  <c r="H286" s="1"/>
  <c r="G287"/>
  <c r="H287" s="1"/>
  <c r="G288"/>
  <c r="H288" s="1"/>
  <c r="G289"/>
  <c r="H289" s="1"/>
  <c r="G290"/>
  <c r="H290" s="1"/>
  <c r="G291"/>
  <c r="H291" s="1"/>
  <c r="G292"/>
  <c r="H292" s="1"/>
  <c r="G293"/>
  <c r="H293" s="1"/>
  <c r="G294"/>
  <c r="H294" s="1"/>
  <c r="G295"/>
  <c r="H295" s="1"/>
  <c r="G296"/>
  <c r="H296" s="1"/>
  <c r="G297"/>
  <c r="H297" s="1"/>
  <c r="G298"/>
  <c r="H298" s="1"/>
  <c r="G299"/>
  <c r="H299" s="1"/>
  <c r="G300"/>
  <c r="H300" s="1"/>
  <c r="G301"/>
  <c r="H301" s="1"/>
  <c r="G302"/>
  <c r="H302" s="1"/>
  <c r="G303"/>
  <c r="H303" s="1"/>
  <c r="G304"/>
  <c r="H304" s="1"/>
  <c r="G305"/>
  <c r="H305" s="1"/>
  <c r="G306"/>
  <c r="H306" s="1"/>
  <c r="G307"/>
  <c r="H307" s="1"/>
  <c r="G308"/>
  <c r="H308" s="1"/>
  <c r="G309"/>
  <c r="H309" s="1"/>
  <c r="G310"/>
  <c r="H310" s="1"/>
  <c r="G311"/>
  <c r="H311" s="1"/>
  <c r="G312"/>
  <c r="H312" s="1"/>
  <c r="G313"/>
  <c r="H313" s="1"/>
  <c r="G314"/>
  <c r="H314" s="1"/>
  <c r="G315"/>
  <c r="H315" s="1"/>
  <c r="G316"/>
  <c r="H316" s="1"/>
  <c r="G317"/>
  <c r="H317" s="1"/>
  <c r="G318"/>
  <c r="H318" s="1"/>
  <c r="G319"/>
  <c r="H319" s="1"/>
  <c r="G320"/>
  <c r="H320" s="1"/>
  <c r="G321"/>
  <c r="H321" s="1"/>
  <c r="G322"/>
  <c r="H322" s="1"/>
  <c r="G323"/>
  <c r="H323" s="1"/>
  <c r="G324"/>
  <c r="H324" s="1"/>
  <c r="G325"/>
  <c r="H325" s="1"/>
  <c r="G326"/>
  <c r="H326" s="1"/>
  <c r="G327"/>
  <c r="H327" s="1"/>
  <c r="G328"/>
  <c r="H328" s="1"/>
  <c r="G329"/>
  <c r="H329" s="1"/>
  <c r="G330"/>
  <c r="H330" s="1"/>
  <c r="G331"/>
  <c r="H331" s="1"/>
  <c r="G332"/>
  <c r="H332" s="1"/>
  <c r="G333"/>
  <c r="H333" s="1"/>
  <c r="G334"/>
  <c r="H334" s="1"/>
  <c r="G335"/>
  <c r="H335" s="1"/>
  <c r="G336"/>
  <c r="H336" s="1"/>
  <c r="G337"/>
  <c r="H337" s="1"/>
  <c r="G338"/>
  <c r="H338" s="1"/>
  <c r="G339"/>
  <c r="H339" s="1"/>
  <c r="G340"/>
  <c r="H340" s="1"/>
  <c r="G341"/>
  <c r="H341" s="1"/>
  <c r="G342"/>
  <c r="H342" s="1"/>
  <c r="G343"/>
  <c r="H343" s="1"/>
  <c r="G344"/>
  <c r="H344" s="1"/>
  <c r="G345"/>
  <c r="H345" s="1"/>
  <c r="G346"/>
  <c r="H346" s="1"/>
  <c r="G347"/>
  <c r="H347" s="1"/>
  <c r="G348"/>
  <c r="H348" s="1"/>
  <c r="G349"/>
  <c r="H349" s="1"/>
  <c r="G350"/>
  <c r="H350" s="1"/>
  <c r="G351"/>
  <c r="H351" s="1"/>
  <c r="G352"/>
  <c r="H352" s="1"/>
  <c r="G353"/>
  <c r="H353" s="1"/>
  <c r="G354"/>
  <c r="H354" s="1"/>
  <c r="G355"/>
  <c r="H355" s="1"/>
  <c r="G356"/>
  <c r="H356" s="1"/>
  <c r="G357"/>
  <c r="H357" s="1"/>
  <c r="G358"/>
  <c r="H358" s="1"/>
  <c r="G359"/>
  <c r="H359" s="1"/>
  <c r="G360"/>
  <c r="H360" s="1"/>
  <c r="G361"/>
  <c r="H361" s="1"/>
  <c r="G362"/>
  <c r="H362" s="1"/>
  <c r="G363"/>
  <c r="H363" s="1"/>
  <c r="G364"/>
  <c r="H364" s="1"/>
  <c r="G365"/>
  <c r="H365" s="1"/>
  <c r="G366"/>
  <c r="H366" s="1"/>
  <c r="G367"/>
  <c r="H367" s="1"/>
  <c r="G368"/>
  <c r="H368" s="1"/>
  <c r="G369"/>
  <c r="H369" s="1"/>
  <c r="G370"/>
  <c r="H370" s="1"/>
  <c r="G371"/>
  <c r="H371" s="1"/>
  <c r="G372"/>
  <c r="H372" s="1"/>
  <c r="G373"/>
  <c r="H373" s="1"/>
  <c r="G374"/>
  <c r="H374" s="1"/>
  <c r="G375"/>
  <c r="H375" s="1"/>
  <c r="G376"/>
  <c r="H376" s="1"/>
  <c r="G377"/>
  <c r="H377" s="1"/>
  <c r="G378"/>
  <c r="H378" s="1"/>
  <c r="G379"/>
  <c r="H379" s="1"/>
  <c r="G380"/>
  <c r="H380" s="1"/>
  <c r="G381"/>
  <c r="H381" s="1"/>
  <c r="G382"/>
  <c r="H382" s="1"/>
  <c r="G383"/>
  <c r="H383" s="1"/>
  <c r="G384"/>
  <c r="H384" s="1"/>
  <c r="G385"/>
  <c r="H385" s="1"/>
  <c r="G386"/>
  <c r="H386" s="1"/>
  <c r="G387"/>
  <c r="H387" s="1"/>
  <c r="G388"/>
  <c r="H388" s="1"/>
  <c r="G389"/>
  <c r="H389" s="1"/>
  <c r="G390"/>
  <c r="H390" s="1"/>
  <c r="G391"/>
  <c r="H391" s="1"/>
  <c r="G392"/>
  <c r="H392" s="1"/>
  <c r="G393"/>
  <c r="H393" s="1"/>
  <c r="G394"/>
  <c r="H394" s="1"/>
  <c r="G395"/>
  <c r="H395" s="1"/>
  <c r="G396"/>
  <c r="H396" s="1"/>
  <c r="G397"/>
  <c r="H397" s="1"/>
  <c r="G398"/>
  <c r="H398" s="1"/>
  <c r="G399"/>
  <c r="H399" s="1"/>
  <c r="G400"/>
  <c r="H400" s="1"/>
  <c r="G401"/>
  <c r="H401" s="1"/>
  <c r="G402"/>
  <c r="H402" s="1"/>
  <c r="G403"/>
  <c r="H403" s="1"/>
  <c r="G404"/>
  <c r="H404" s="1"/>
  <c r="G405"/>
  <c r="H405" s="1"/>
  <c r="G406"/>
  <c r="H406" s="1"/>
  <c r="G407"/>
  <c r="H407" s="1"/>
  <c r="G408"/>
  <c r="H408" s="1"/>
  <c r="G409"/>
  <c r="H409" s="1"/>
  <c r="G410"/>
  <c r="H410" s="1"/>
  <c r="G411"/>
  <c r="H411" s="1"/>
  <c r="G412"/>
  <c r="H412" s="1"/>
  <c r="G413"/>
  <c r="H413" s="1"/>
  <c r="G414"/>
  <c r="H414" s="1"/>
  <c r="G415"/>
  <c r="H415" s="1"/>
  <c r="G416"/>
  <c r="H416" s="1"/>
  <c r="G417"/>
  <c r="H417" s="1"/>
  <c r="G418"/>
  <c r="H418" s="1"/>
  <c r="G419"/>
  <c r="H419" s="1"/>
  <c r="G420"/>
  <c r="H420" s="1"/>
  <c r="G421"/>
  <c r="H421" s="1"/>
  <c r="G422"/>
  <c r="H422" s="1"/>
  <c r="G423"/>
  <c r="H423" s="1"/>
  <c r="G424"/>
  <c r="H424" s="1"/>
  <c r="G425"/>
  <c r="H425" s="1"/>
  <c r="G426"/>
  <c r="H426" s="1"/>
  <c r="G427"/>
  <c r="H427" s="1"/>
  <c r="G428"/>
  <c r="H428" s="1"/>
  <c r="G429"/>
  <c r="H429" s="1"/>
  <c r="G430"/>
  <c r="H430" s="1"/>
  <c r="G431"/>
  <c r="H431" s="1"/>
  <c r="G432"/>
  <c r="H432" s="1"/>
  <c r="G433"/>
  <c r="H433" s="1"/>
  <c r="G434"/>
  <c r="H434" s="1"/>
  <c r="G435"/>
  <c r="H435" s="1"/>
  <c r="G436"/>
  <c r="H436" s="1"/>
  <c r="G437"/>
  <c r="H437" s="1"/>
  <c r="G438"/>
  <c r="H438" s="1"/>
  <c r="G439"/>
  <c r="H439" s="1"/>
  <c r="G440"/>
  <c r="H440" s="1"/>
  <c r="G441"/>
  <c r="H441" s="1"/>
  <c r="G442"/>
  <c r="H442" s="1"/>
  <c r="G443"/>
  <c r="H443" s="1"/>
  <c r="G444"/>
  <c r="H444" s="1"/>
  <c r="G445"/>
  <c r="H445" s="1"/>
  <c r="G446"/>
  <c r="H446" s="1"/>
  <c r="G447"/>
  <c r="H447" s="1"/>
  <c r="G448"/>
  <c r="H448" s="1"/>
  <c r="G449"/>
  <c r="H449" s="1"/>
  <c r="G450"/>
  <c r="H450" s="1"/>
  <c r="G451"/>
  <c r="H451" s="1"/>
  <c r="G452"/>
  <c r="H452" s="1"/>
  <c r="G453"/>
  <c r="H453" s="1"/>
  <c r="G454"/>
  <c r="H454" s="1"/>
  <c r="G455"/>
  <c r="H455" s="1"/>
  <c r="G456"/>
  <c r="H456" s="1"/>
  <c r="G457"/>
  <c r="H457" s="1"/>
  <c r="G458"/>
  <c r="H458" s="1"/>
  <c r="G459"/>
  <c r="H459" s="1"/>
  <c r="G460"/>
  <c r="H460" s="1"/>
  <c r="G461"/>
  <c r="H461" s="1"/>
  <c r="G462"/>
  <c r="H462" s="1"/>
  <c r="G463"/>
  <c r="H463" s="1"/>
  <c r="G464"/>
  <c r="H464" s="1"/>
  <c r="G465"/>
  <c r="H465" s="1"/>
  <c r="G466"/>
  <c r="H466" s="1"/>
  <c r="G467"/>
  <c r="H467" s="1"/>
  <c r="G468"/>
  <c r="H468" s="1"/>
  <c r="G469"/>
  <c r="H469" s="1"/>
  <c r="G470"/>
  <c r="H470" s="1"/>
  <c r="G471"/>
  <c r="H471" s="1"/>
  <c r="G472"/>
  <c r="H472" s="1"/>
  <c r="G473"/>
  <c r="H473" s="1"/>
  <c r="G474"/>
  <c r="H474" s="1"/>
  <c r="G475"/>
  <c r="H475" s="1"/>
  <c r="G476"/>
  <c r="H476" s="1"/>
  <c r="G477"/>
  <c r="H477" s="1"/>
  <c r="G478"/>
  <c r="H478" s="1"/>
  <c r="G479"/>
  <c r="H479" s="1"/>
  <c r="G480"/>
  <c r="H480" s="1"/>
  <c r="G481"/>
  <c r="H481" s="1"/>
  <c r="G482"/>
  <c r="H482" s="1"/>
  <c r="G483"/>
  <c r="H483" s="1"/>
  <c r="G484"/>
  <c r="H484" s="1"/>
  <c r="G485"/>
  <c r="H485" s="1"/>
  <c r="G486"/>
  <c r="H486" s="1"/>
  <c r="G487"/>
  <c r="H487" s="1"/>
  <c r="G488"/>
  <c r="H488" s="1"/>
  <c r="G489"/>
  <c r="H489" s="1"/>
  <c r="G490"/>
  <c r="H490" s="1"/>
  <c r="G491"/>
  <c r="H491" s="1"/>
  <c r="G492"/>
  <c r="H492" s="1"/>
  <c r="G493"/>
  <c r="H493" s="1"/>
  <c r="G494"/>
  <c r="H494" s="1"/>
  <c r="G495"/>
  <c r="H495" s="1"/>
  <c r="G496"/>
  <c r="H496" s="1"/>
  <c r="G497"/>
  <c r="H497" s="1"/>
  <c r="G498"/>
  <c r="H498" s="1"/>
  <c r="G499"/>
  <c r="H499" s="1"/>
  <c r="G500"/>
  <c r="H500" s="1"/>
  <c r="G501"/>
  <c r="H501" s="1"/>
  <c r="G502"/>
  <c r="H502" s="1"/>
  <c r="G503"/>
  <c r="H503" s="1"/>
  <c r="G504"/>
  <c r="H504" s="1"/>
  <c r="G505"/>
  <c r="H505" s="1"/>
  <c r="G506"/>
  <c r="H506" s="1"/>
  <c r="G507"/>
  <c r="H507" s="1"/>
  <c r="G508"/>
  <c r="H508" s="1"/>
  <c r="G509"/>
  <c r="H509" s="1"/>
  <c r="G510"/>
  <c r="H510" s="1"/>
  <c r="G511"/>
  <c r="H511" s="1"/>
  <c r="G512"/>
  <c r="H512" s="1"/>
  <c r="G513"/>
  <c r="H513" s="1"/>
  <c r="G514"/>
  <c r="H514" s="1"/>
  <c r="G515"/>
  <c r="H515" s="1"/>
  <c r="G516"/>
  <c r="H516" s="1"/>
  <c r="G517"/>
  <c r="H517" s="1"/>
  <c r="G518"/>
  <c r="H518" s="1"/>
  <c r="G519"/>
  <c r="H519" s="1"/>
  <c r="G520"/>
  <c r="H520" s="1"/>
  <c r="G521"/>
  <c r="H521" s="1"/>
  <c r="G522"/>
  <c r="H522" s="1"/>
  <c r="G523"/>
  <c r="H523" s="1"/>
  <c r="G524"/>
  <c r="H524" s="1"/>
  <c r="G525"/>
  <c r="H525" s="1"/>
  <c r="G526"/>
  <c r="H526" s="1"/>
  <c r="G527"/>
  <c r="H527" s="1"/>
  <c r="G528"/>
  <c r="H528" s="1"/>
  <c r="G529"/>
  <c r="H529" s="1"/>
  <c r="G530"/>
  <c r="H530" s="1"/>
  <c r="G531"/>
  <c r="H531" s="1"/>
  <c r="G532"/>
  <c r="H532" s="1"/>
  <c r="G533"/>
  <c r="H533" s="1"/>
  <c r="G534"/>
  <c r="H534" s="1"/>
  <c r="G535"/>
  <c r="H535" s="1"/>
  <c r="G536"/>
  <c r="H536" s="1"/>
  <c r="G537"/>
  <c r="H537" s="1"/>
  <c r="G538"/>
  <c r="H538" s="1"/>
  <c r="G539"/>
  <c r="H539" s="1"/>
  <c r="G540"/>
  <c r="H540" s="1"/>
  <c r="G541"/>
  <c r="H541" s="1"/>
  <c r="G542"/>
  <c r="H542" s="1"/>
  <c r="G543"/>
  <c r="H543" s="1"/>
  <c r="G544"/>
  <c r="H544" s="1"/>
  <c r="G545"/>
  <c r="H545" s="1"/>
  <c r="G546"/>
  <c r="H546" s="1"/>
  <c r="G547"/>
  <c r="H547" s="1"/>
  <c r="G548"/>
  <c r="H548" s="1"/>
  <c r="G549"/>
  <c r="H549" s="1"/>
  <c r="G550"/>
  <c r="H550" s="1"/>
  <c r="G551"/>
  <c r="H551" s="1"/>
  <c r="G552"/>
  <c r="H552" s="1"/>
  <c r="G553"/>
  <c r="H553" s="1"/>
  <c r="G554"/>
  <c r="H554" s="1"/>
  <c r="G555"/>
  <c r="H555" s="1"/>
  <c r="G556"/>
  <c r="H556" s="1"/>
  <c r="G557"/>
  <c r="H557" s="1"/>
  <c r="G558"/>
  <c r="H558" s="1"/>
  <c r="G559"/>
  <c r="H559" s="1"/>
  <c r="G560"/>
  <c r="H560" s="1"/>
  <c r="G561"/>
  <c r="H561" s="1"/>
  <c r="G562"/>
  <c r="H562" s="1"/>
  <c r="G563"/>
  <c r="H563" s="1"/>
  <c r="G564"/>
  <c r="H564" s="1"/>
  <c r="G565"/>
  <c r="H565" s="1"/>
  <c r="G566"/>
  <c r="H566" s="1"/>
  <c r="G567"/>
  <c r="H567" s="1"/>
  <c r="G568"/>
  <c r="H568" s="1"/>
  <c r="G569"/>
  <c r="H569" s="1"/>
  <c r="G570"/>
  <c r="H570" s="1"/>
  <c r="G571"/>
  <c r="H571" s="1"/>
  <c r="G572"/>
  <c r="H572" s="1"/>
  <c r="G573"/>
  <c r="H573" s="1"/>
  <c r="G574"/>
  <c r="H574" s="1"/>
  <c r="G575"/>
  <c r="H575" s="1"/>
  <c r="G576"/>
  <c r="H576" s="1"/>
  <c r="G577"/>
  <c r="H577" s="1"/>
  <c r="G578"/>
  <c r="H578" s="1"/>
  <c r="G579"/>
  <c r="H579" s="1"/>
  <c r="G580"/>
  <c r="H580" s="1"/>
  <c r="G581"/>
  <c r="H581" s="1"/>
  <c r="G582"/>
  <c r="H582" s="1"/>
  <c r="G583"/>
  <c r="H583" s="1"/>
  <c r="G584"/>
  <c r="H584" s="1"/>
  <c r="G585"/>
  <c r="H585" s="1"/>
  <c r="G586"/>
  <c r="H586" s="1"/>
  <c r="G587"/>
  <c r="H587" s="1"/>
  <c r="G588"/>
  <c r="H588" s="1"/>
  <c r="G589"/>
  <c r="H589" s="1"/>
  <c r="G590"/>
  <c r="H590" s="1"/>
  <c r="G591"/>
  <c r="H591" s="1"/>
  <c r="G592"/>
  <c r="H592" s="1"/>
  <c r="G593"/>
  <c r="H593" s="1"/>
  <c r="G594"/>
  <c r="H594" s="1"/>
  <c r="G595"/>
  <c r="H595" s="1"/>
  <c r="G596"/>
  <c r="H596" s="1"/>
  <c r="G597"/>
  <c r="H597" s="1"/>
  <c r="G598"/>
  <c r="H598" s="1"/>
  <c r="G599"/>
  <c r="H599" s="1"/>
  <c r="G600"/>
  <c r="H600" s="1"/>
  <c r="G601"/>
  <c r="H601" s="1"/>
  <c r="G602"/>
  <c r="H602" s="1"/>
  <c r="G603"/>
  <c r="H603" s="1"/>
  <c r="G604"/>
  <c r="H604" s="1"/>
  <c r="G605"/>
  <c r="H605" s="1"/>
  <c r="G606"/>
  <c r="H606" s="1"/>
  <c r="G607"/>
  <c r="H607" s="1"/>
  <c r="G608"/>
  <c r="H608" s="1"/>
  <c r="G609"/>
  <c r="H609" s="1"/>
  <c r="G610"/>
  <c r="H610" s="1"/>
  <c r="G611"/>
  <c r="H611" s="1"/>
  <c r="G612"/>
  <c r="H612" s="1"/>
  <c r="G613"/>
  <c r="H613" s="1"/>
  <c r="G614"/>
  <c r="H614" s="1"/>
  <c r="G615"/>
  <c r="H615" s="1"/>
  <c r="G616"/>
  <c r="H616" s="1"/>
  <c r="G617"/>
  <c r="H617" s="1"/>
  <c r="G618"/>
  <c r="H618" s="1"/>
  <c r="G619"/>
  <c r="H619" s="1"/>
  <c r="G620"/>
  <c r="H620" s="1"/>
  <c r="G621"/>
  <c r="H621" s="1"/>
  <c r="G622"/>
  <c r="H622" s="1"/>
  <c r="G623"/>
  <c r="H623" s="1"/>
  <c r="G624"/>
  <c r="H624" s="1"/>
  <c r="G625"/>
  <c r="H625" s="1"/>
  <c r="G626"/>
  <c r="H626" s="1"/>
  <c r="G627"/>
  <c r="H627" s="1"/>
  <c r="G628"/>
  <c r="H628" s="1"/>
  <c r="G629"/>
  <c r="H629" s="1"/>
  <c r="G630"/>
  <c r="H630" s="1"/>
  <c r="G631"/>
  <c r="H631" s="1"/>
  <c r="G632"/>
  <c r="H632" s="1"/>
  <c r="G633"/>
  <c r="H633" s="1"/>
  <c r="G634"/>
  <c r="H634" s="1"/>
  <c r="G635"/>
  <c r="H635" s="1"/>
  <c r="G636"/>
  <c r="H636" s="1"/>
  <c r="G637"/>
  <c r="H637" s="1"/>
  <c r="G638"/>
  <c r="H638" s="1"/>
  <c r="G639"/>
  <c r="H639" s="1"/>
  <c r="G640"/>
  <c r="H640" s="1"/>
  <c r="G641"/>
  <c r="H641" s="1"/>
  <c r="G642"/>
  <c r="H642" s="1"/>
  <c r="G643"/>
  <c r="H643" s="1"/>
  <c r="G644"/>
  <c r="H644" s="1"/>
  <c r="G645"/>
  <c r="H645" s="1"/>
  <c r="G646"/>
  <c r="H646" s="1"/>
  <c r="G647"/>
  <c r="H647" s="1"/>
  <c r="G648"/>
  <c r="H648" s="1"/>
  <c r="G649"/>
  <c r="H649" s="1"/>
  <c r="G650"/>
  <c r="H650" s="1"/>
  <c r="G651"/>
  <c r="H651" s="1"/>
  <c r="G652"/>
  <c r="H652" s="1"/>
  <c r="G653"/>
  <c r="H653" s="1"/>
  <c r="G654"/>
  <c r="H654" s="1"/>
  <c r="G655"/>
  <c r="H655" s="1"/>
  <c r="G656"/>
  <c r="H656" s="1"/>
  <c r="G657"/>
  <c r="H657" s="1"/>
  <c r="G658"/>
  <c r="H658" s="1"/>
  <c r="G659"/>
  <c r="H659" s="1"/>
  <c r="G660"/>
  <c r="H660" s="1"/>
  <c r="G661"/>
  <c r="H661" s="1"/>
  <c r="G662"/>
  <c r="H662" s="1"/>
  <c r="G663"/>
  <c r="H663" s="1"/>
  <c r="G664"/>
  <c r="H664" s="1"/>
  <c r="G665"/>
  <c r="H665" s="1"/>
  <c r="G666"/>
  <c r="H666" s="1"/>
  <c r="G667"/>
  <c r="H667" s="1"/>
  <c r="G668"/>
  <c r="H668" s="1"/>
  <c r="G669"/>
  <c r="H669" s="1"/>
  <c r="G670"/>
  <c r="H670" s="1"/>
  <c r="G671"/>
  <c r="H671" s="1"/>
  <c r="G672"/>
  <c r="H672" s="1"/>
  <c r="G673"/>
  <c r="H673" s="1"/>
  <c r="G674"/>
  <c r="H674" s="1"/>
  <c r="G675"/>
  <c r="H675" s="1"/>
  <c r="G676"/>
  <c r="H676" s="1"/>
  <c r="G677"/>
  <c r="H677" s="1"/>
  <c r="G678"/>
  <c r="H678" s="1"/>
  <c r="G679"/>
  <c r="H679" s="1"/>
  <c r="G680"/>
  <c r="H680" s="1"/>
  <c r="G681"/>
  <c r="H681" s="1"/>
  <c r="G682"/>
  <c r="H682" s="1"/>
  <c r="G683"/>
  <c r="H683" s="1"/>
  <c r="G684"/>
  <c r="H684" s="1"/>
  <c r="G685"/>
  <c r="H685" s="1"/>
  <c r="G686"/>
  <c r="H686" s="1"/>
  <c r="G687"/>
  <c r="H687" s="1"/>
  <c r="G688"/>
  <c r="H688" s="1"/>
  <c r="G689"/>
  <c r="H689" s="1"/>
  <c r="G690"/>
  <c r="H690" s="1"/>
  <c r="G691"/>
  <c r="H691" s="1"/>
  <c r="G692"/>
  <c r="H692" s="1"/>
  <c r="G693"/>
  <c r="H693" s="1"/>
  <c r="G694"/>
  <c r="H694" s="1"/>
  <c r="G695"/>
  <c r="H695" s="1"/>
  <c r="G696"/>
  <c r="H696" s="1"/>
  <c r="G697"/>
  <c r="H697" s="1"/>
  <c r="G698"/>
  <c r="H698" s="1"/>
  <c r="G699"/>
  <c r="H699" s="1"/>
  <c r="G700"/>
  <c r="H700" s="1"/>
  <c r="G701"/>
  <c r="H701" s="1"/>
  <c r="G702"/>
  <c r="H702" s="1"/>
  <c r="G703"/>
  <c r="H703" s="1"/>
  <c r="G704"/>
  <c r="H704" s="1"/>
  <c r="G705"/>
  <c r="H705" s="1"/>
  <c r="G706"/>
  <c r="H706" s="1"/>
  <c r="G707"/>
  <c r="H707" s="1"/>
  <c r="G708"/>
  <c r="H708" s="1"/>
  <c r="G709"/>
  <c r="H709" s="1"/>
  <c r="G710"/>
  <c r="H710" s="1"/>
  <c r="G711"/>
  <c r="H711" s="1"/>
  <c r="G712"/>
  <c r="H712" s="1"/>
  <c r="G713"/>
  <c r="H713" s="1"/>
  <c r="G714"/>
  <c r="H714" s="1"/>
  <c r="G715"/>
  <c r="H715" s="1"/>
  <c r="G716"/>
  <c r="H716" s="1"/>
  <c r="G717"/>
  <c r="H717" s="1"/>
  <c r="G718"/>
  <c r="H718" s="1"/>
  <c r="G719"/>
  <c r="H719" s="1"/>
  <c r="G720"/>
  <c r="H720" s="1"/>
  <c r="G721"/>
  <c r="H721" s="1"/>
  <c r="G722"/>
  <c r="H722" s="1"/>
  <c r="G723"/>
  <c r="H723" s="1"/>
  <c r="G724"/>
  <c r="H724" s="1"/>
  <c r="G725"/>
  <c r="H725" s="1"/>
  <c r="G726"/>
  <c r="H726" s="1"/>
  <c r="G727"/>
  <c r="H727" s="1"/>
  <c r="G728"/>
  <c r="H728" s="1"/>
  <c r="G729"/>
  <c r="H729" s="1"/>
  <c r="G730"/>
  <c r="H730" s="1"/>
  <c r="G731"/>
  <c r="H731" s="1"/>
  <c r="G732"/>
  <c r="H732" s="1"/>
  <c r="G733"/>
  <c r="H733" s="1"/>
  <c r="G734"/>
  <c r="H734" s="1"/>
  <c r="G735"/>
  <c r="H735" s="1"/>
  <c r="G736"/>
  <c r="H736" s="1"/>
  <c r="G737"/>
  <c r="H737" s="1"/>
  <c r="G738"/>
  <c r="H738" s="1"/>
  <c r="G739"/>
  <c r="H739" s="1"/>
  <c r="G740"/>
  <c r="H740" s="1"/>
  <c r="G741"/>
  <c r="H741" s="1"/>
  <c r="G742"/>
  <c r="H742" s="1"/>
  <c r="G743"/>
  <c r="H743" s="1"/>
  <c r="G744"/>
  <c r="H744" s="1"/>
  <c r="G745"/>
  <c r="H745" s="1"/>
  <c r="G746"/>
  <c r="H746" s="1"/>
  <c r="G747"/>
  <c r="H747" s="1"/>
  <c r="G748"/>
  <c r="H748" s="1"/>
  <c r="G749"/>
  <c r="H749" s="1"/>
  <c r="G750"/>
  <c r="H750" s="1"/>
  <c r="G751"/>
  <c r="H751" s="1"/>
  <c r="G752"/>
  <c r="H752" s="1"/>
  <c r="G753"/>
  <c r="H753" s="1"/>
  <c r="G754"/>
  <c r="H754" s="1"/>
  <c r="G755"/>
  <c r="H755" s="1"/>
  <c r="G756"/>
  <c r="H756" s="1"/>
  <c r="G757"/>
  <c r="H757" s="1"/>
  <c r="G758"/>
  <c r="H758" s="1"/>
  <c r="G759"/>
  <c r="H759" s="1"/>
  <c r="G760"/>
  <c r="H760" s="1"/>
  <c r="G761"/>
  <c r="H761" s="1"/>
  <c r="G762"/>
  <c r="H762" s="1"/>
  <c r="G763"/>
  <c r="H763" s="1"/>
  <c r="G764"/>
  <c r="H764" s="1"/>
  <c r="G765"/>
  <c r="H765" s="1"/>
  <c r="G766"/>
  <c r="H766" s="1"/>
  <c r="G767"/>
  <c r="H767" s="1"/>
  <c r="G768"/>
  <c r="H768" s="1"/>
  <c r="G769"/>
  <c r="H769" s="1"/>
  <c r="G770"/>
  <c r="H770" s="1"/>
  <c r="G771"/>
  <c r="H771" s="1"/>
  <c r="G772"/>
  <c r="H772" s="1"/>
  <c r="G773"/>
  <c r="H773" s="1"/>
  <c r="G774"/>
  <c r="H774" s="1"/>
  <c r="G775"/>
  <c r="H775" s="1"/>
  <c r="G776"/>
  <c r="H776" s="1"/>
  <c r="G777"/>
  <c r="H777" s="1"/>
  <c r="G778"/>
  <c r="H778" s="1"/>
  <c r="G779"/>
  <c r="H779" s="1"/>
  <c r="G780"/>
  <c r="H780" s="1"/>
  <c r="G781"/>
  <c r="H781" s="1"/>
  <c r="G782"/>
  <c r="H782" s="1"/>
  <c r="G783"/>
  <c r="H783" s="1"/>
  <c r="G784"/>
  <c r="H784" s="1"/>
  <c r="G785"/>
  <c r="H785" s="1"/>
  <c r="G786"/>
  <c r="H786" s="1"/>
  <c r="G787"/>
  <c r="H787" s="1"/>
  <c r="G788"/>
  <c r="H788" s="1"/>
  <c r="G789"/>
  <c r="H789" s="1"/>
  <c r="G790"/>
  <c r="H790" s="1"/>
  <c r="G791"/>
  <c r="H791" s="1"/>
  <c r="G792"/>
  <c r="H792" s="1"/>
  <c r="G793"/>
  <c r="H793" s="1"/>
  <c r="G794"/>
  <c r="H794" s="1"/>
  <c r="G795"/>
  <c r="H795" s="1"/>
  <c r="G796"/>
  <c r="H796" s="1"/>
  <c r="G797"/>
  <c r="H797" s="1"/>
  <c r="G798"/>
  <c r="H798" s="1"/>
  <c r="G799"/>
  <c r="H799" s="1"/>
  <c r="G800"/>
  <c r="H800" s="1"/>
  <c r="G801"/>
  <c r="H801" s="1"/>
  <c r="G802"/>
  <c r="H802" s="1"/>
  <c r="G803"/>
  <c r="H803" s="1"/>
  <c r="G804"/>
  <c r="H804" s="1"/>
  <c r="G805"/>
  <c r="H805" s="1"/>
  <c r="G806"/>
  <c r="H806" s="1"/>
  <c r="G807"/>
  <c r="H807" s="1"/>
  <c r="G808"/>
  <c r="H808" s="1"/>
  <c r="G809"/>
  <c r="H809" s="1"/>
  <c r="G810"/>
  <c r="H810" s="1"/>
  <c r="G811"/>
  <c r="H811" s="1"/>
  <c r="G812"/>
  <c r="H812" s="1"/>
  <c r="G813"/>
  <c r="H813" s="1"/>
  <c r="G814"/>
  <c r="H814" s="1"/>
  <c r="G815"/>
  <c r="H815" s="1"/>
  <c r="G816"/>
  <c r="H816" s="1"/>
  <c r="G817"/>
  <c r="H817" s="1"/>
  <c r="G818"/>
  <c r="H818" s="1"/>
  <c r="G819"/>
  <c r="H819" s="1"/>
  <c r="G820"/>
  <c r="H820" s="1"/>
  <c r="G821"/>
  <c r="H821" s="1"/>
  <c r="G822"/>
  <c r="H822" s="1"/>
  <c r="G823"/>
  <c r="H823" s="1"/>
  <c r="G824"/>
  <c r="H824" s="1"/>
  <c r="G825"/>
  <c r="H825" s="1"/>
  <c r="G826"/>
  <c r="H826" s="1"/>
  <c r="G827"/>
  <c r="H827" s="1"/>
  <c r="G828"/>
  <c r="H828" s="1"/>
  <c r="G829"/>
  <c r="H829" s="1"/>
  <c r="G830"/>
  <c r="H830" s="1"/>
  <c r="G831"/>
  <c r="H831" s="1"/>
  <c r="G832"/>
  <c r="H832" s="1"/>
  <c r="G833"/>
  <c r="H833" s="1"/>
  <c r="G834"/>
  <c r="H834" s="1"/>
  <c r="G835"/>
  <c r="H835" s="1"/>
  <c r="G836"/>
  <c r="H836" s="1"/>
  <c r="G837"/>
  <c r="H837" s="1"/>
  <c r="G838"/>
  <c r="H838" s="1"/>
  <c r="G839"/>
  <c r="H839" s="1"/>
  <c r="G840"/>
  <c r="H840" s="1"/>
  <c r="G841"/>
  <c r="H841" s="1"/>
  <c r="G842"/>
  <c r="H842" s="1"/>
  <c r="G843"/>
  <c r="H843" s="1"/>
  <c r="G844"/>
  <c r="H844" s="1"/>
  <c r="G845"/>
  <c r="H845" s="1"/>
  <c r="G846"/>
  <c r="H846" s="1"/>
  <c r="G847"/>
  <c r="H847" s="1"/>
  <c r="G848"/>
  <c r="H848" s="1"/>
  <c r="G849"/>
  <c r="H849" s="1"/>
  <c r="G850"/>
  <c r="H850" s="1"/>
  <c r="G851"/>
  <c r="H851" s="1"/>
  <c r="G852"/>
  <c r="H852" s="1"/>
  <c r="G853"/>
  <c r="H853" s="1"/>
  <c r="G854"/>
  <c r="H854" s="1"/>
  <c r="G855"/>
  <c r="H855" s="1"/>
  <c r="G856"/>
  <c r="H856" s="1"/>
  <c r="G857"/>
  <c r="H857" s="1"/>
  <c r="G858"/>
  <c r="H858" s="1"/>
  <c r="G859"/>
  <c r="H859" s="1"/>
  <c r="G860"/>
  <c r="H860" s="1"/>
  <c r="G861"/>
  <c r="H861" s="1"/>
  <c r="G862"/>
  <c r="H862" s="1"/>
  <c r="G863"/>
  <c r="H863" s="1"/>
  <c r="G864"/>
  <c r="H864" s="1"/>
  <c r="G865"/>
  <c r="H865" s="1"/>
  <c r="G866"/>
  <c r="H866" s="1"/>
  <c r="G867"/>
  <c r="H867" s="1"/>
  <c r="G868"/>
  <c r="H868" s="1"/>
  <c r="G869"/>
  <c r="H869" s="1"/>
  <c r="G870"/>
  <c r="H870" s="1"/>
  <c r="G871"/>
  <c r="H871" s="1"/>
  <c r="G872"/>
  <c r="H872" s="1"/>
  <c r="G873"/>
  <c r="H873" s="1"/>
  <c r="G874"/>
  <c r="H874" s="1"/>
  <c r="G875"/>
  <c r="H875" s="1"/>
  <c r="G876"/>
  <c r="H876" s="1"/>
  <c r="G877"/>
  <c r="H877" s="1"/>
  <c r="G878"/>
  <c r="H878" s="1"/>
  <c r="G879"/>
  <c r="H879" s="1"/>
  <c r="G880"/>
  <c r="H880" s="1"/>
  <c r="G881"/>
  <c r="H881" s="1"/>
  <c r="G882"/>
  <c r="H882" s="1"/>
  <c r="G883"/>
  <c r="H883" s="1"/>
  <c r="G884"/>
  <c r="H884" s="1"/>
  <c r="G885"/>
  <c r="H885" s="1"/>
  <c r="G886"/>
  <c r="H886" s="1"/>
  <c r="G887"/>
  <c r="H887" s="1"/>
  <c r="G888"/>
  <c r="H888" s="1"/>
  <c r="G889"/>
  <c r="H889" s="1"/>
  <c r="G890"/>
  <c r="H890" s="1"/>
  <c r="G891"/>
  <c r="H891" s="1"/>
  <c r="G892"/>
  <c r="H892" s="1"/>
  <c r="G893"/>
  <c r="H893" s="1"/>
  <c r="G894"/>
  <c r="H894" s="1"/>
  <c r="G895"/>
  <c r="H895" s="1"/>
  <c r="G896"/>
  <c r="H896" s="1"/>
  <c r="G897"/>
  <c r="H897" s="1"/>
  <c r="G898"/>
  <c r="H898" s="1"/>
  <c r="G899"/>
  <c r="H899" s="1"/>
  <c r="G900"/>
  <c r="H900" s="1"/>
  <c r="G901"/>
  <c r="H901" s="1"/>
  <c r="G902"/>
  <c r="H902" s="1"/>
  <c r="G903"/>
  <c r="H903" s="1"/>
  <c r="G904"/>
  <c r="H904" s="1"/>
  <c r="G905"/>
  <c r="H905" s="1"/>
  <c r="G906"/>
  <c r="H906" s="1"/>
  <c r="G907"/>
  <c r="H907" s="1"/>
  <c r="G908"/>
  <c r="H908" s="1"/>
  <c r="G909"/>
  <c r="H909" s="1"/>
  <c r="G910"/>
  <c r="H910" s="1"/>
  <c r="G911"/>
  <c r="H911" s="1"/>
  <c r="G912"/>
  <c r="H912" s="1"/>
  <c r="G913"/>
  <c r="H913" s="1"/>
  <c r="G914"/>
  <c r="H914" s="1"/>
  <c r="G915"/>
  <c r="H915" s="1"/>
  <c r="G916"/>
  <c r="H916" s="1"/>
  <c r="G917"/>
  <c r="H917" s="1"/>
  <c r="G918"/>
  <c r="H918" s="1"/>
  <c r="G919"/>
  <c r="H919" s="1"/>
  <c r="G920"/>
  <c r="H920" s="1"/>
  <c r="G921"/>
  <c r="H921" s="1"/>
  <c r="G922"/>
  <c r="H922" s="1"/>
  <c r="G923"/>
  <c r="H923" s="1"/>
  <c r="G924"/>
  <c r="H924" s="1"/>
  <c r="G925"/>
  <c r="H925" s="1"/>
  <c r="G926"/>
  <c r="H926" s="1"/>
  <c r="G927"/>
  <c r="H927" s="1"/>
  <c r="G928"/>
  <c r="H928" s="1"/>
  <c r="G929"/>
  <c r="H929" s="1"/>
  <c r="G930"/>
  <c r="H930" s="1"/>
  <c r="G931"/>
  <c r="H931" s="1"/>
  <c r="G932"/>
  <c r="H932" s="1"/>
  <c r="G933"/>
  <c r="H933" s="1"/>
  <c r="G934"/>
  <c r="H934" s="1"/>
  <c r="G935"/>
  <c r="H935" s="1"/>
  <c r="G936"/>
  <c r="H936" s="1"/>
  <c r="G937"/>
  <c r="H937" s="1"/>
  <c r="G938"/>
  <c r="H938" s="1"/>
  <c r="G939"/>
  <c r="H939" s="1"/>
  <c r="G940"/>
  <c r="H940" s="1"/>
  <c r="G941"/>
  <c r="H941" s="1"/>
  <c r="G942"/>
  <c r="H942" s="1"/>
  <c r="G943"/>
  <c r="H943" s="1"/>
  <c r="G944"/>
  <c r="H944" s="1"/>
  <c r="G945"/>
  <c r="H945" s="1"/>
  <c r="G946"/>
  <c r="H946" s="1"/>
  <c r="G947"/>
  <c r="H947" s="1"/>
  <c r="G948"/>
  <c r="H948" s="1"/>
  <c r="G949"/>
  <c r="H949" s="1"/>
  <c r="G950"/>
  <c r="H950" s="1"/>
  <c r="G951"/>
  <c r="H951" s="1"/>
  <c r="G952"/>
  <c r="H952" s="1"/>
  <c r="G953"/>
  <c r="H953" s="1"/>
  <c r="G954"/>
  <c r="H954" s="1"/>
  <c r="G955"/>
  <c r="H955" s="1"/>
  <c r="G956"/>
  <c r="H956" s="1"/>
  <c r="G957"/>
  <c r="H957" s="1"/>
  <c r="G958"/>
  <c r="H958" s="1"/>
  <c r="G959"/>
  <c r="H959" s="1"/>
  <c r="G960"/>
  <c r="H960" s="1"/>
  <c r="G961"/>
  <c r="H961" s="1"/>
  <c r="G962"/>
  <c r="H962" s="1"/>
  <c r="G963"/>
  <c r="H963" s="1"/>
  <c r="G964"/>
  <c r="H964" s="1"/>
  <c r="G965"/>
  <c r="H965" s="1"/>
  <c r="G966"/>
  <c r="H966" s="1"/>
  <c r="G967"/>
  <c r="H967" s="1"/>
  <c r="G968"/>
  <c r="H968" s="1"/>
  <c r="G969"/>
  <c r="H969" s="1"/>
  <c r="G970"/>
  <c r="H970" s="1"/>
  <c r="G971"/>
  <c r="H971" s="1"/>
  <c r="G972"/>
  <c r="H972" s="1"/>
  <c r="G973"/>
  <c r="H973" s="1"/>
  <c r="G974"/>
  <c r="H974" s="1"/>
  <c r="G975"/>
  <c r="H975" s="1"/>
  <c r="G976"/>
  <c r="H976" s="1"/>
  <c r="G977"/>
  <c r="H977" s="1"/>
  <c r="G978"/>
  <c r="H978" s="1"/>
  <c r="G979"/>
  <c r="H979" s="1"/>
  <c r="G980"/>
  <c r="H980" s="1"/>
  <c r="G981"/>
  <c r="H981" s="1"/>
  <c r="G982"/>
  <c r="H982" s="1"/>
  <c r="G983"/>
  <c r="H983" s="1"/>
  <c r="G984"/>
  <c r="H984" s="1"/>
  <c r="G985"/>
  <c r="H985" s="1"/>
  <c r="G986"/>
  <c r="H986" s="1"/>
  <c r="G987"/>
  <c r="H987" s="1"/>
  <c r="G988"/>
  <c r="H988" s="1"/>
  <c r="G989"/>
  <c r="H989" s="1"/>
  <c r="G990"/>
  <c r="H990" s="1"/>
  <c r="G991"/>
  <c r="H991" s="1"/>
  <c r="G992"/>
  <c r="H992" s="1"/>
  <c r="G993"/>
  <c r="H993" s="1"/>
  <c r="G994"/>
  <c r="H994" s="1"/>
  <c r="G995"/>
  <c r="H995" s="1"/>
  <c r="G996"/>
  <c r="H996" s="1"/>
  <c r="G997"/>
  <c r="H997" s="1"/>
  <c r="G998"/>
  <c r="H998" s="1"/>
  <c r="G999"/>
  <c r="H999" s="1"/>
  <c r="G1000"/>
  <c r="H1000" s="1"/>
  <c r="G1001"/>
  <c r="H1001" s="1"/>
  <c r="G1002"/>
  <c r="H1002" s="1"/>
  <c r="G1003"/>
  <c r="H1003" s="1"/>
  <c r="G1004"/>
  <c r="H1004" s="1"/>
  <c r="G1005"/>
  <c r="H1005" s="1"/>
  <c r="G1006"/>
  <c r="H1006" s="1"/>
  <c r="G1007"/>
  <c r="H1007" s="1"/>
  <c r="G1008"/>
  <c r="H1008" s="1"/>
  <c r="G1009"/>
  <c r="H1009" s="1"/>
  <c r="G1010"/>
  <c r="H1010" s="1"/>
  <c r="G1011"/>
  <c r="H1011" s="1"/>
  <c r="G1012"/>
  <c r="H1012" s="1"/>
  <c r="AU14"/>
  <c r="G19"/>
  <c r="H19" s="1"/>
  <c r="G48"/>
  <c r="H48" s="1"/>
  <c r="G49"/>
  <c r="H49" s="1"/>
  <c r="G50"/>
  <c r="H50" s="1"/>
  <c r="G51"/>
  <c r="H51" s="1"/>
  <c r="G52"/>
  <c r="H52" s="1"/>
  <c r="G53"/>
  <c r="H53" s="1"/>
  <c r="G54"/>
  <c r="H54" s="1"/>
  <c r="G55"/>
  <c r="H55" s="1"/>
  <c r="G56"/>
  <c r="H56" s="1"/>
  <c r="G57"/>
  <c r="H57" s="1"/>
  <c r="G58"/>
  <c r="H58" s="1"/>
  <c r="G59"/>
  <c r="H59" s="1"/>
  <c r="G60"/>
  <c r="H60" s="1"/>
  <c r="G61"/>
  <c r="H61" s="1"/>
  <c r="G62"/>
  <c r="H62" s="1"/>
  <c r="G63"/>
  <c r="H63" s="1"/>
  <c r="G64"/>
  <c r="H64" s="1"/>
  <c r="G65"/>
  <c r="H65" s="1"/>
  <c r="G66"/>
  <c r="H66" s="1"/>
  <c r="G67"/>
  <c r="H67" s="1"/>
  <c r="G68"/>
  <c r="H68" s="1"/>
  <c r="G69"/>
  <c r="H69" s="1"/>
  <c r="G70"/>
  <c r="H70" s="1"/>
  <c r="G71"/>
  <c r="H71" s="1"/>
  <c r="G72"/>
  <c r="H72" s="1"/>
  <c r="G73"/>
  <c r="H73" s="1"/>
  <c r="G74"/>
  <c r="H74" s="1"/>
  <c r="G75"/>
  <c r="H75" s="1"/>
  <c r="G76"/>
  <c r="H76" s="1"/>
  <c r="G77"/>
  <c r="H77" s="1"/>
  <c r="G78"/>
  <c r="H78" s="1"/>
  <c r="G79"/>
  <c r="H79" s="1"/>
  <c r="G80"/>
  <c r="H80" s="1"/>
  <c r="G81"/>
  <c r="H81" s="1"/>
  <c r="G82"/>
  <c r="H82" s="1"/>
  <c r="G83"/>
  <c r="H83" s="1"/>
  <c r="G84"/>
  <c r="H84" s="1"/>
  <c r="G85"/>
  <c r="H85" s="1"/>
  <c r="G86"/>
  <c r="H86" s="1"/>
  <c r="G87"/>
  <c r="H87" s="1"/>
  <c r="G88"/>
  <c r="H88" s="1"/>
  <c r="G89"/>
  <c r="H89" s="1"/>
  <c r="G90"/>
  <c r="H90" s="1"/>
  <c r="G91"/>
  <c r="H91" s="1"/>
  <c r="G92"/>
  <c r="H92" s="1"/>
  <c r="G93"/>
  <c r="H93" s="1"/>
  <c r="G94"/>
  <c r="H94" s="1"/>
  <c r="G95"/>
  <c r="H95" s="1"/>
  <c r="G96"/>
  <c r="H96" s="1"/>
  <c r="G97"/>
  <c r="H97" s="1"/>
  <c r="G98"/>
  <c r="H98" s="1"/>
  <c r="G99"/>
  <c r="H99" s="1"/>
  <c r="G100"/>
  <c r="H100" s="1"/>
  <c r="G101"/>
  <c r="H101" s="1"/>
  <c r="G102"/>
  <c r="H102" s="1"/>
  <c r="G103"/>
  <c r="H103" s="1"/>
  <c r="G104"/>
  <c r="H104" s="1"/>
  <c r="G105"/>
  <c r="H105" s="1"/>
  <c r="G106"/>
  <c r="H106" s="1"/>
  <c r="G107"/>
  <c r="H107" s="1"/>
  <c r="G108"/>
  <c r="H108" s="1"/>
  <c r="G109"/>
  <c r="H109" s="1"/>
  <c r="G110"/>
  <c r="H110" s="1"/>
  <c r="G111"/>
  <c r="H111" s="1"/>
  <c r="G112"/>
  <c r="H112" s="1"/>
  <c r="G14"/>
  <c r="G15"/>
  <c r="G16"/>
  <c r="G17"/>
  <c r="H17" s="1"/>
  <c r="G18"/>
  <c r="H18" s="1"/>
  <c r="G13"/>
  <c r="H14"/>
  <c r="H15"/>
  <c r="H16"/>
  <c r="H13"/>
  <c r="E1019"/>
  <c r="E1027" s="1"/>
  <c r="F1027" s="1"/>
  <c r="E1017"/>
  <c r="E1025" s="1"/>
  <c r="F1025" s="1"/>
  <c r="E1021"/>
  <c r="E1029" s="1"/>
  <c r="F1029" s="1"/>
  <c r="E1018"/>
  <c r="E1026" s="1"/>
  <c r="F1026" s="1"/>
  <c r="E1020"/>
  <c r="E1028" s="1"/>
  <c r="F1028" s="1"/>
  <c r="J1017"/>
  <c r="K1017"/>
  <c r="E1037"/>
  <c r="E1045" s="1"/>
  <c r="BF31"/>
  <c r="BF25"/>
  <c r="E1038"/>
  <c r="E1046" s="1"/>
  <c r="BF34"/>
  <c r="E1034"/>
  <c r="E1042" s="1"/>
  <c r="BF22"/>
  <c r="E1036"/>
  <c r="E1044" s="1"/>
  <c r="BF28"/>
  <c r="X41" i="6" l="1"/>
  <c r="X39"/>
  <c r="X33"/>
  <c r="X32"/>
  <c r="X31"/>
  <c r="X27"/>
  <c r="X26"/>
  <c r="X25"/>
  <c r="X21"/>
  <c r="BA35"/>
  <c r="BA29"/>
  <c r="BA23"/>
  <c r="J7"/>
  <c r="F1032" s="1"/>
  <c r="X604"/>
  <c r="X696"/>
  <c r="X1012"/>
  <c r="X126"/>
  <c r="X1012" i="7"/>
  <c r="X1012" i="8"/>
  <c r="E1037"/>
  <c r="BF31"/>
  <c r="E1025"/>
  <c r="E1029"/>
  <c r="E1028"/>
  <c r="E1027"/>
  <c r="E1026"/>
  <c r="E1034"/>
  <c r="BF22"/>
  <c r="W1020"/>
  <c r="AY31" s="1"/>
  <c r="AE17"/>
  <c r="W1017"/>
  <c r="AY22" s="1"/>
  <c r="AE15"/>
  <c r="J7"/>
  <c r="F1032" s="1"/>
  <c r="X462"/>
  <c r="X466"/>
  <c r="X470"/>
  <c r="X474"/>
  <c r="X478"/>
  <c r="X482"/>
  <c r="X486"/>
  <c r="X490"/>
  <c r="X494"/>
  <c r="X498"/>
  <c r="X502"/>
  <c r="X506"/>
  <c r="X510"/>
  <c r="X514"/>
  <c r="X518"/>
  <c r="X522"/>
  <c r="X526"/>
  <c r="X530"/>
  <c r="X534"/>
  <c r="X538"/>
  <c r="X542"/>
  <c r="X546"/>
  <c r="X550"/>
  <c r="X554"/>
  <c r="X558"/>
  <c r="X562"/>
  <c r="X566"/>
  <c r="X570"/>
  <c r="X574"/>
  <c r="X578"/>
  <c r="X582"/>
  <c r="X586"/>
  <c r="X590"/>
  <c r="X594"/>
  <c r="X598"/>
  <c r="X602"/>
  <c r="X606"/>
  <c r="X610"/>
  <c r="X614"/>
  <c r="X618"/>
  <c r="X622"/>
  <c r="X626"/>
  <c r="X630"/>
  <c r="X634"/>
  <c r="X638"/>
  <c r="X642"/>
  <c r="X465"/>
  <c r="X469"/>
  <c r="X473"/>
  <c r="X477"/>
  <c r="X481"/>
  <c r="X485"/>
  <c r="X489"/>
  <c r="X493"/>
  <c r="X497"/>
  <c r="X501"/>
  <c r="X505"/>
  <c r="X509"/>
  <c r="X513"/>
  <c r="X517"/>
  <c r="X521"/>
  <c r="X525"/>
  <c r="X529"/>
  <c r="X533"/>
  <c r="X537"/>
  <c r="X541"/>
  <c r="X545"/>
  <c r="X549"/>
  <c r="X553"/>
  <c r="X557"/>
  <c r="X561"/>
  <c r="X565"/>
  <c r="X569"/>
  <c r="X573"/>
  <c r="X577"/>
  <c r="X581"/>
  <c r="X585"/>
  <c r="X589"/>
  <c r="X593"/>
  <c r="X597"/>
  <c r="X601"/>
  <c r="X605"/>
  <c r="X609"/>
  <c r="X613"/>
  <c r="X617"/>
  <c r="X621"/>
  <c r="X625"/>
  <c r="X629"/>
  <c r="X633"/>
  <c r="X637"/>
  <c r="X641"/>
  <c r="X644"/>
  <c r="X648"/>
  <c r="X652"/>
  <c r="X656"/>
  <c r="X660"/>
  <c r="X664"/>
  <c r="X668"/>
  <c r="X672"/>
  <c r="X647"/>
  <c r="X651"/>
  <c r="X655"/>
  <c r="X659"/>
  <c r="X663"/>
  <c r="X667"/>
  <c r="X671"/>
  <c r="X675"/>
  <c r="X679"/>
  <c r="X683"/>
  <c r="X687"/>
  <c r="X691"/>
  <c r="X695"/>
  <c r="X699"/>
  <c r="X703"/>
  <c r="X707"/>
  <c r="X711"/>
  <c r="X715"/>
  <c r="X719"/>
  <c r="X723"/>
  <c r="X727"/>
  <c r="X731"/>
  <c r="X735"/>
  <c r="X739"/>
  <c r="X743"/>
  <c r="X747"/>
  <c r="X751"/>
  <c r="X755"/>
  <c r="X759"/>
  <c r="X763"/>
  <c r="X767"/>
  <c r="X771"/>
  <c r="X775"/>
  <c r="X779"/>
  <c r="X783"/>
  <c r="X674"/>
  <c r="X678"/>
  <c r="X682"/>
  <c r="X686"/>
  <c r="X690"/>
  <c r="X694"/>
  <c r="X698"/>
  <c r="X702"/>
  <c r="X706"/>
  <c r="X710"/>
  <c r="X714"/>
  <c r="X718"/>
  <c r="X722"/>
  <c r="X726"/>
  <c r="X730"/>
  <c r="X734"/>
  <c r="X738"/>
  <c r="X742"/>
  <c r="X746"/>
  <c r="X750"/>
  <c r="X754"/>
  <c r="X758"/>
  <c r="X762"/>
  <c r="X766"/>
  <c r="X770"/>
  <c r="X774"/>
  <c r="X778"/>
  <c r="X782"/>
  <c r="X787"/>
  <c r="X791"/>
  <c r="X795"/>
  <c r="X799"/>
  <c r="X803"/>
  <c r="X807"/>
  <c r="X811"/>
  <c r="X815"/>
  <c r="X788"/>
  <c r="X792"/>
  <c r="X796"/>
  <c r="X800"/>
  <c r="X804"/>
  <c r="X808"/>
  <c r="X812"/>
  <c r="X816"/>
  <c r="X820"/>
  <c r="X824"/>
  <c r="X828"/>
  <c r="X832"/>
  <c r="X836"/>
  <c r="X840"/>
  <c r="X844"/>
  <c r="X848"/>
  <c r="X852"/>
  <c r="X856"/>
  <c r="X860"/>
  <c r="X864"/>
  <c r="X868"/>
  <c r="X872"/>
  <c r="X876"/>
  <c r="X880"/>
  <c r="X884"/>
  <c r="X888"/>
  <c r="X892"/>
  <c r="X896"/>
  <c r="X900"/>
  <c r="X904"/>
  <c r="X908"/>
  <c r="X912"/>
  <c r="X916"/>
  <c r="X920"/>
  <c r="X924"/>
  <c r="X927"/>
  <c r="X931"/>
  <c r="X935"/>
  <c r="X819"/>
  <c r="X823"/>
  <c r="X827"/>
  <c r="X831"/>
  <c r="X835"/>
  <c r="X839"/>
  <c r="X843"/>
  <c r="X847"/>
  <c r="X851"/>
  <c r="X855"/>
  <c r="X859"/>
  <c r="X863"/>
  <c r="X867"/>
  <c r="X871"/>
  <c r="X875"/>
  <c r="X879"/>
  <c r="X883"/>
  <c r="X887"/>
  <c r="X891"/>
  <c r="X895"/>
  <c r="X899"/>
  <c r="X903"/>
  <c r="X907"/>
  <c r="X911"/>
  <c r="X915"/>
  <c r="X919"/>
  <c r="X923"/>
  <c r="X939"/>
  <c r="X943"/>
  <c r="X947"/>
  <c r="X951"/>
  <c r="X955"/>
  <c r="X959"/>
  <c r="X963"/>
  <c r="X967"/>
  <c r="X971"/>
  <c r="X975"/>
  <c r="X979"/>
  <c r="X983"/>
  <c r="X987"/>
  <c r="X991"/>
  <c r="X995"/>
  <c r="X999"/>
  <c r="X1003"/>
  <c r="X1007"/>
  <c r="X1011"/>
  <c r="X926"/>
  <c r="X930"/>
  <c r="X934"/>
  <c r="X938"/>
  <c r="X942"/>
  <c r="X946"/>
  <c r="X950"/>
  <c r="X954"/>
  <c r="X958"/>
  <c r="X962"/>
  <c r="X966"/>
  <c r="X970"/>
  <c r="X974"/>
  <c r="X978"/>
  <c r="X982"/>
  <c r="X986"/>
  <c r="X990"/>
  <c r="X994"/>
  <c r="X998"/>
  <c r="X1002"/>
  <c r="X1006"/>
  <c r="X1010"/>
  <c r="W1015"/>
  <c r="AY18" s="1"/>
  <c r="AX29"/>
  <c r="AW29"/>
  <c r="E1038"/>
  <c r="BF34"/>
  <c r="E1036"/>
  <c r="BF28"/>
  <c r="E1035"/>
  <c r="BF25"/>
  <c r="W1021"/>
  <c r="AY34" s="1"/>
  <c r="AE21"/>
  <c r="X464"/>
  <c r="X468"/>
  <c r="X472"/>
  <c r="X476"/>
  <c r="X480"/>
  <c r="X484"/>
  <c r="X488"/>
  <c r="X492"/>
  <c r="X496"/>
  <c r="X500"/>
  <c r="X504"/>
  <c r="X508"/>
  <c r="X512"/>
  <c r="X516"/>
  <c r="X520"/>
  <c r="X524"/>
  <c r="X528"/>
  <c r="X532"/>
  <c r="X536"/>
  <c r="X540"/>
  <c r="X544"/>
  <c r="X548"/>
  <c r="X552"/>
  <c r="X556"/>
  <c r="X560"/>
  <c r="X564"/>
  <c r="X568"/>
  <c r="X572"/>
  <c r="X576"/>
  <c r="X580"/>
  <c r="X584"/>
  <c r="X588"/>
  <c r="X592"/>
  <c r="X596"/>
  <c r="X600"/>
  <c r="X604"/>
  <c r="X608"/>
  <c r="X612"/>
  <c r="X616"/>
  <c r="X620"/>
  <c r="X624"/>
  <c r="X628"/>
  <c r="X632"/>
  <c r="X636"/>
  <c r="X640"/>
  <c r="X463"/>
  <c r="X467"/>
  <c r="X471"/>
  <c r="X475"/>
  <c r="X479"/>
  <c r="X483"/>
  <c r="X487"/>
  <c r="X491"/>
  <c r="X495"/>
  <c r="X499"/>
  <c r="X503"/>
  <c r="X507"/>
  <c r="X511"/>
  <c r="X515"/>
  <c r="X519"/>
  <c r="X523"/>
  <c r="X527"/>
  <c r="X531"/>
  <c r="X535"/>
  <c r="X539"/>
  <c r="X543"/>
  <c r="X547"/>
  <c r="X551"/>
  <c r="X555"/>
  <c r="X559"/>
  <c r="X563"/>
  <c r="X567"/>
  <c r="X571"/>
  <c r="X575"/>
  <c r="X579"/>
  <c r="X583"/>
  <c r="X587"/>
  <c r="X591"/>
  <c r="X595"/>
  <c r="X599"/>
  <c r="X603"/>
  <c r="X607"/>
  <c r="X611"/>
  <c r="X615"/>
  <c r="X619"/>
  <c r="X623"/>
  <c r="X627"/>
  <c r="X631"/>
  <c r="X635"/>
  <c r="X639"/>
  <c r="X643"/>
  <c r="X646"/>
  <c r="X650"/>
  <c r="X654"/>
  <c r="X658"/>
  <c r="X662"/>
  <c r="X666"/>
  <c r="X670"/>
  <c r="X645"/>
  <c r="X649"/>
  <c r="X653"/>
  <c r="X657"/>
  <c r="X661"/>
  <c r="X665"/>
  <c r="X669"/>
  <c r="X673"/>
  <c r="X677"/>
  <c r="X681"/>
  <c r="X685"/>
  <c r="X689"/>
  <c r="X693"/>
  <c r="X697"/>
  <c r="X701"/>
  <c r="X705"/>
  <c r="X709"/>
  <c r="X713"/>
  <c r="X717"/>
  <c r="X721"/>
  <c r="X725"/>
  <c r="X729"/>
  <c r="X733"/>
  <c r="X737"/>
  <c r="X741"/>
  <c r="X745"/>
  <c r="X749"/>
  <c r="X753"/>
  <c r="X757"/>
  <c r="X761"/>
  <c r="X765"/>
  <c r="X769"/>
  <c r="X773"/>
  <c r="X777"/>
  <c r="X781"/>
  <c r="X785"/>
  <c r="X676"/>
  <c r="X680"/>
  <c r="X684"/>
  <c r="X688"/>
  <c r="X692"/>
  <c r="X696"/>
  <c r="X700"/>
  <c r="X704"/>
  <c r="X708"/>
  <c r="X712"/>
  <c r="X716"/>
  <c r="X720"/>
  <c r="X724"/>
  <c r="X728"/>
  <c r="X732"/>
  <c r="X736"/>
  <c r="X740"/>
  <c r="X744"/>
  <c r="X748"/>
  <c r="X752"/>
  <c r="X756"/>
  <c r="X760"/>
  <c r="X764"/>
  <c r="X768"/>
  <c r="X772"/>
  <c r="X776"/>
  <c r="X780"/>
  <c r="X784"/>
  <c r="X789"/>
  <c r="X793"/>
  <c r="X797"/>
  <c r="X801"/>
  <c r="X805"/>
  <c r="X809"/>
  <c r="X813"/>
  <c r="X786"/>
  <c r="X790"/>
  <c r="X794"/>
  <c r="X798"/>
  <c r="X802"/>
  <c r="X806"/>
  <c r="X810"/>
  <c r="X814"/>
  <c r="X818"/>
  <c r="X822"/>
  <c r="X826"/>
  <c r="X830"/>
  <c r="X834"/>
  <c r="X838"/>
  <c r="X842"/>
  <c r="X846"/>
  <c r="X850"/>
  <c r="X854"/>
  <c r="X858"/>
  <c r="X862"/>
  <c r="X866"/>
  <c r="X870"/>
  <c r="X874"/>
  <c r="X878"/>
  <c r="X882"/>
  <c r="X886"/>
  <c r="X890"/>
  <c r="X894"/>
  <c r="X898"/>
  <c r="X902"/>
  <c r="X906"/>
  <c r="X910"/>
  <c r="X914"/>
  <c r="X918"/>
  <c r="X922"/>
  <c r="X925"/>
  <c r="X929"/>
  <c r="X933"/>
  <c r="X817"/>
  <c r="X821"/>
  <c r="X825"/>
  <c r="X829"/>
  <c r="X833"/>
  <c r="X837"/>
  <c r="X841"/>
  <c r="X845"/>
  <c r="X849"/>
  <c r="X853"/>
  <c r="X857"/>
  <c r="X861"/>
  <c r="X865"/>
  <c r="X869"/>
  <c r="X873"/>
  <c r="X877"/>
  <c r="X881"/>
  <c r="X885"/>
  <c r="X889"/>
  <c r="X893"/>
  <c r="X897"/>
  <c r="X901"/>
  <c r="X905"/>
  <c r="X909"/>
  <c r="X913"/>
  <c r="X917"/>
  <c r="X921"/>
  <c r="X937"/>
  <c r="X941"/>
  <c r="X945"/>
  <c r="X949"/>
  <c r="X953"/>
  <c r="X957"/>
  <c r="X961"/>
  <c r="X965"/>
  <c r="X969"/>
  <c r="X973"/>
  <c r="X977"/>
  <c r="X981"/>
  <c r="X985"/>
  <c r="X989"/>
  <c r="X993"/>
  <c r="X997"/>
  <c r="X1001"/>
  <c r="X1005"/>
  <c r="X1009"/>
  <c r="V1015"/>
  <c r="AU18" s="1"/>
  <c r="X928"/>
  <c r="X932"/>
  <c r="X936"/>
  <c r="X940"/>
  <c r="X944"/>
  <c r="X948"/>
  <c r="X952"/>
  <c r="X956"/>
  <c r="X960"/>
  <c r="X964"/>
  <c r="X968"/>
  <c r="X972"/>
  <c r="X976"/>
  <c r="X980"/>
  <c r="X984"/>
  <c r="X988"/>
  <c r="X992"/>
  <c r="X996"/>
  <c r="X1000"/>
  <c r="X1004"/>
  <c r="X1008"/>
  <c r="W1018"/>
  <c r="AY25" s="1"/>
  <c r="BB25" s="1"/>
  <c r="BF38" s="1"/>
  <c r="BA29"/>
  <c r="AV29"/>
  <c r="E1032" i="7"/>
  <c r="BF18"/>
  <c r="E1029"/>
  <c r="E1028"/>
  <c r="E1027"/>
  <c r="E1026"/>
  <c r="E1025"/>
  <c r="W1021"/>
  <c r="AY34" s="1"/>
  <c r="AW35" s="1"/>
  <c r="W1017"/>
  <c r="AY22" s="1"/>
  <c r="X57"/>
  <c r="X61"/>
  <c r="X65"/>
  <c r="X69"/>
  <c r="X73"/>
  <c r="X77"/>
  <c r="X81"/>
  <c r="X85"/>
  <c r="X89"/>
  <c r="X93"/>
  <c r="X97"/>
  <c r="X101"/>
  <c r="X105"/>
  <c r="X109"/>
  <c r="X113"/>
  <c r="X117"/>
  <c r="X121"/>
  <c r="X125"/>
  <c r="X129"/>
  <c r="X133"/>
  <c r="X137"/>
  <c r="X141"/>
  <c r="X145"/>
  <c r="X149"/>
  <c r="X153"/>
  <c r="X157"/>
  <c r="X161"/>
  <c r="X165"/>
  <c r="X169"/>
  <c r="X173"/>
  <c r="X177"/>
  <c r="X181"/>
  <c r="X185"/>
  <c r="X189"/>
  <c r="X193"/>
  <c r="X197"/>
  <c r="X201"/>
  <c r="X205"/>
  <c r="X209"/>
  <c r="X213"/>
  <c r="X217"/>
  <c r="X221"/>
  <c r="X225"/>
  <c r="X229"/>
  <c r="X233"/>
  <c r="X237"/>
  <c r="X241"/>
  <c r="X245"/>
  <c r="X249"/>
  <c r="X253"/>
  <c r="X257"/>
  <c r="X261"/>
  <c r="X265"/>
  <c r="X269"/>
  <c r="X273"/>
  <c r="X277"/>
  <c r="X281"/>
  <c r="X285"/>
  <c r="X289"/>
  <c r="X293"/>
  <c r="X297"/>
  <c r="X301"/>
  <c r="X305"/>
  <c r="X309"/>
  <c r="X313"/>
  <c r="X317"/>
  <c r="X321"/>
  <c r="X325"/>
  <c r="X329"/>
  <c r="X333"/>
  <c r="X337"/>
  <c r="X341"/>
  <c r="X344"/>
  <c r="X348"/>
  <c r="X352"/>
  <c r="X58"/>
  <c r="X62"/>
  <c r="X66"/>
  <c r="X70"/>
  <c r="X74"/>
  <c r="X78"/>
  <c r="X82"/>
  <c r="X86"/>
  <c r="X90"/>
  <c r="X94"/>
  <c r="X98"/>
  <c r="X102"/>
  <c r="X106"/>
  <c r="X110"/>
  <c r="X114"/>
  <c r="X118"/>
  <c r="X122"/>
  <c r="X126"/>
  <c r="X130"/>
  <c r="X134"/>
  <c r="X138"/>
  <c r="X142"/>
  <c r="X146"/>
  <c r="X150"/>
  <c r="X154"/>
  <c r="X158"/>
  <c r="X162"/>
  <c r="X166"/>
  <c r="X170"/>
  <c r="X174"/>
  <c r="X178"/>
  <c r="X182"/>
  <c r="X186"/>
  <c r="X190"/>
  <c r="X194"/>
  <c r="X198"/>
  <c r="X202"/>
  <c r="X206"/>
  <c r="X210"/>
  <c r="X214"/>
  <c r="X218"/>
  <c r="X222"/>
  <c r="X226"/>
  <c r="X230"/>
  <c r="X234"/>
  <c r="X238"/>
  <c r="X242"/>
  <c r="X246"/>
  <c r="X250"/>
  <c r="X254"/>
  <c r="X258"/>
  <c r="X262"/>
  <c r="X266"/>
  <c r="X270"/>
  <c r="X274"/>
  <c r="X278"/>
  <c r="X282"/>
  <c r="X286"/>
  <c r="X290"/>
  <c r="X294"/>
  <c r="X298"/>
  <c r="X302"/>
  <c r="X306"/>
  <c r="X310"/>
  <c r="X314"/>
  <c r="X318"/>
  <c r="X322"/>
  <c r="X326"/>
  <c r="X330"/>
  <c r="X334"/>
  <c r="X338"/>
  <c r="X354"/>
  <c r="X358"/>
  <c r="X362"/>
  <c r="X366"/>
  <c r="X370"/>
  <c r="X374"/>
  <c r="X378"/>
  <c r="X382"/>
  <c r="X386"/>
  <c r="X390"/>
  <c r="X394"/>
  <c r="X398"/>
  <c r="X402"/>
  <c r="X406"/>
  <c r="X410"/>
  <c r="X414"/>
  <c r="X418"/>
  <c r="X422"/>
  <c r="X426"/>
  <c r="X430"/>
  <c r="X434"/>
  <c r="X438"/>
  <c r="X442"/>
  <c r="X446"/>
  <c r="X450"/>
  <c r="X454"/>
  <c r="X458"/>
  <c r="X462"/>
  <c r="X466"/>
  <c r="X470"/>
  <c r="X474"/>
  <c r="X478"/>
  <c r="X482"/>
  <c r="X486"/>
  <c r="X490"/>
  <c r="X494"/>
  <c r="X498"/>
  <c r="X502"/>
  <c r="X343"/>
  <c r="X347"/>
  <c r="X351"/>
  <c r="X355"/>
  <c r="X359"/>
  <c r="X363"/>
  <c r="X367"/>
  <c r="X371"/>
  <c r="X375"/>
  <c r="X379"/>
  <c r="X383"/>
  <c r="X387"/>
  <c r="X391"/>
  <c r="X395"/>
  <c r="X399"/>
  <c r="X403"/>
  <c r="X407"/>
  <c r="X411"/>
  <c r="X415"/>
  <c r="X419"/>
  <c r="X423"/>
  <c r="X427"/>
  <c r="X431"/>
  <c r="X435"/>
  <c r="X439"/>
  <c r="X443"/>
  <c r="X447"/>
  <c r="X451"/>
  <c r="X455"/>
  <c r="X459"/>
  <c r="X463"/>
  <c r="X467"/>
  <c r="X471"/>
  <c r="X475"/>
  <c r="X479"/>
  <c r="X483"/>
  <c r="X487"/>
  <c r="X491"/>
  <c r="X495"/>
  <c r="X499"/>
  <c r="X503"/>
  <c r="X507"/>
  <c r="X511"/>
  <c r="X515"/>
  <c r="X519"/>
  <c r="X523"/>
  <c r="X527"/>
  <c r="X531"/>
  <c r="X535"/>
  <c r="X539"/>
  <c r="X543"/>
  <c r="X547"/>
  <c r="X551"/>
  <c r="X555"/>
  <c r="X559"/>
  <c r="X563"/>
  <c r="X567"/>
  <c r="X571"/>
  <c r="X575"/>
  <c r="X579"/>
  <c r="X583"/>
  <c r="X587"/>
  <c r="X591"/>
  <c r="X595"/>
  <c r="X599"/>
  <c r="X603"/>
  <c r="X607"/>
  <c r="X611"/>
  <c r="X615"/>
  <c r="X619"/>
  <c r="X623"/>
  <c r="X627"/>
  <c r="X631"/>
  <c r="X635"/>
  <c r="X639"/>
  <c r="X643"/>
  <c r="X647"/>
  <c r="X651"/>
  <c r="X655"/>
  <c r="X659"/>
  <c r="X663"/>
  <c r="X667"/>
  <c r="X671"/>
  <c r="X675"/>
  <c r="X679"/>
  <c r="X683"/>
  <c r="X687"/>
  <c r="X691"/>
  <c r="X695"/>
  <c r="X699"/>
  <c r="X508"/>
  <c r="X512"/>
  <c r="X516"/>
  <c r="X520"/>
  <c r="X524"/>
  <c r="X528"/>
  <c r="X532"/>
  <c r="X536"/>
  <c r="X540"/>
  <c r="X544"/>
  <c r="X548"/>
  <c r="X552"/>
  <c r="X556"/>
  <c r="X560"/>
  <c r="X564"/>
  <c r="X568"/>
  <c r="X572"/>
  <c r="X576"/>
  <c r="X580"/>
  <c r="X584"/>
  <c r="X588"/>
  <c r="X592"/>
  <c r="X596"/>
  <c r="X600"/>
  <c r="X604"/>
  <c r="X608"/>
  <c r="X612"/>
  <c r="X616"/>
  <c r="X620"/>
  <c r="X624"/>
  <c r="X628"/>
  <c r="X632"/>
  <c r="X636"/>
  <c r="X640"/>
  <c r="X644"/>
  <c r="X648"/>
  <c r="X652"/>
  <c r="X656"/>
  <c r="X660"/>
  <c r="X664"/>
  <c r="X668"/>
  <c r="X672"/>
  <c r="X676"/>
  <c r="X680"/>
  <c r="X684"/>
  <c r="X688"/>
  <c r="X692"/>
  <c r="X696"/>
  <c r="X700"/>
  <c r="X703"/>
  <c r="X707"/>
  <c r="X711"/>
  <c r="X715"/>
  <c r="X719"/>
  <c r="X723"/>
  <c r="X727"/>
  <c r="X731"/>
  <c r="X735"/>
  <c r="X739"/>
  <c r="X702"/>
  <c r="X706"/>
  <c r="X710"/>
  <c r="X714"/>
  <c r="X718"/>
  <c r="X722"/>
  <c r="X726"/>
  <c r="X730"/>
  <c r="X734"/>
  <c r="X738"/>
  <c r="X742"/>
  <c r="X746"/>
  <c r="X750"/>
  <c r="X754"/>
  <c r="X758"/>
  <c r="X762"/>
  <c r="X766"/>
  <c r="X770"/>
  <c r="X774"/>
  <c r="X778"/>
  <c r="X782"/>
  <c r="X786"/>
  <c r="X790"/>
  <c r="X794"/>
  <c r="X798"/>
  <c r="X802"/>
  <c r="X806"/>
  <c r="X810"/>
  <c r="X814"/>
  <c r="X818"/>
  <c r="X822"/>
  <c r="X826"/>
  <c r="X830"/>
  <c r="X834"/>
  <c r="X838"/>
  <c r="X842"/>
  <c r="X846"/>
  <c r="X850"/>
  <c r="X854"/>
  <c r="X858"/>
  <c r="X862"/>
  <c r="X866"/>
  <c r="X870"/>
  <c r="X745"/>
  <c r="X749"/>
  <c r="X753"/>
  <c r="X757"/>
  <c r="X761"/>
  <c r="X765"/>
  <c r="X769"/>
  <c r="X773"/>
  <c r="X777"/>
  <c r="X781"/>
  <c r="X785"/>
  <c r="X789"/>
  <c r="X793"/>
  <c r="X797"/>
  <c r="X801"/>
  <c r="X805"/>
  <c r="X809"/>
  <c r="X813"/>
  <c r="X817"/>
  <c r="X821"/>
  <c r="X825"/>
  <c r="X829"/>
  <c r="X833"/>
  <c r="X837"/>
  <c r="X841"/>
  <c r="X845"/>
  <c r="X849"/>
  <c r="X853"/>
  <c r="X857"/>
  <c r="X861"/>
  <c r="X865"/>
  <c r="X872"/>
  <c r="X876"/>
  <c r="X880"/>
  <c r="X884"/>
  <c r="X888"/>
  <c r="X892"/>
  <c r="X896"/>
  <c r="X900"/>
  <c r="X904"/>
  <c r="X908"/>
  <c r="X912"/>
  <c r="X916"/>
  <c r="X920"/>
  <c r="X924"/>
  <c r="X928"/>
  <c r="X932"/>
  <c r="X936"/>
  <c r="X940"/>
  <c r="X944"/>
  <c r="X869"/>
  <c r="X873"/>
  <c r="X877"/>
  <c r="X881"/>
  <c r="X885"/>
  <c r="X889"/>
  <c r="X893"/>
  <c r="X897"/>
  <c r="X901"/>
  <c r="X905"/>
  <c r="X909"/>
  <c r="X913"/>
  <c r="X917"/>
  <c r="X921"/>
  <c r="X925"/>
  <c r="X929"/>
  <c r="X933"/>
  <c r="X937"/>
  <c r="X941"/>
  <c r="X945"/>
  <c r="X949"/>
  <c r="X953"/>
  <c r="X957"/>
  <c r="X961"/>
  <c r="X965"/>
  <c r="X969"/>
  <c r="X973"/>
  <c r="X977"/>
  <c r="X981"/>
  <c r="X985"/>
  <c r="X989"/>
  <c r="X993"/>
  <c r="X997"/>
  <c r="X1001"/>
  <c r="X1005"/>
  <c r="X1009"/>
  <c r="V1015"/>
  <c r="AU18" s="1"/>
  <c r="X950"/>
  <c r="X954"/>
  <c r="X958"/>
  <c r="X962"/>
  <c r="X966"/>
  <c r="X970"/>
  <c r="X974"/>
  <c r="X978"/>
  <c r="X982"/>
  <c r="X986"/>
  <c r="X990"/>
  <c r="X994"/>
  <c r="X998"/>
  <c r="X1002"/>
  <c r="X1006"/>
  <c r="X1010"/>
  <c r="AW23"/>
  <c r="W1020"/>
  <c r="AY31" s="1"/>
  <c r="BB31" s="1"/>
  <c r="BF40" s="1"/>
  <c r="E1038"/>
  <c r="BF34"/>
  <c r="E1037"/>
  <c r="BF31"/>
  <c r="E1036"/>
  <c r="BF28"/>
  <c r="E1035"/>
  <c r="BF25"/>
  <c r="E1034"/>
  <c r="BF22"/>
  <c r="BB34"/>
  <c r="BF41" s="1"/>
  <c r="AX35"/>
  <c r="AV35"/>
  <c r="W1019"/>
  <c r="AY28" s="1"/>
  <c r="AE19"/>
  <c r="AW32"/>
  <c r="W1015"/>
  <c r="AY18" s="1"/>
  <c r="W1018"/>
  <c r="AY25" s="1"/>
  <c r="AE13"/>
  <c r="X59"/>
  <c r="X63"/>
  <c r="X67"/>
  <c r="X71"/>
  <c r="X75"/>
  <c r="X79"/>
  <c r="X83"/>
  <c r="X87"/>
  <c r="X91"/>
  <c r="X95"/>
  <c r="X99"/>
  <c r="X103"/>
  <c r="X107"/>
  <c r="X111"/>
  <c r="X115"/>
  <c r="X119"/>
  <c r="X123"/>
  <c r="X127"/>
  <c r="X131"/>
  <c r="X135"/>
  <c r="X139"/>
  <c r="X143"/>
  <c r="X147"/>
  <c r="X151"/>
  <c r="X155"/>
  <c r="X159"/>
  <c r="X163"/>
  <c r="X167"/>
  <c r="X171"/>
  <c r="X175"/>
  <c r="X179"/>
  <c r="X183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X295"/>
  <c r="X299"/>
  <c r="X303"/>
  <c r="X307"/>
  <c r="X311"/>
  <c r="X315"/>
  <c r="X319"/>
  <c r="X323"/>
  <c r="X327"/>
  <c r="X331"/>
  <c r="X335"/>
  <c r="X339"/>
  <c r="X342"/>
  <c r="X346"/>
  <c r="X350"/>
  <c r="X60"/>
  <c r="X64"/>
  <c r="X68"/>
  <c r="X72"/>
  <c r="X76"/>
  <c r="X80"/>
  <c r="X84"/>
  <c r="X88"/>
  <c r="X92"/>
  <c r="X96"/>
  <c r="X100"/>
  <c r="X104"/>
  <c r="X108"/>
  <c r="X112"/>
  <c r="X116"/>
  <c r="X120"/>
  <c r="X124"/>
  <c r="X128"/>
  <c r="X132"/>
  <c r="X136"/>
  <c r="X140"/>
  <c r="X144"/>
  <c r="X148"/>
  <c r="X152"/>
  <c r="X156"/>
  <c r="X160"/>
  <c r="X164"/>
  <c r="X168"/>
  <c r="X172"/>
  <c r="X176"/>
  <c r="X180"/>
  <c r="X184"/>
  <c r="X188"/>
  <c r="X192"/>
  <c r="X196"/>
  <c r="X200"/>
  <c r="X204"/>
  <c r="X208"/>
  <c r="X212"/>
  <c r="X216"/>
  <c r="X220"/>
  <c r="X224"/>
  <c r="X228"/>
  <c r="X232"/>
  <c r="X236"/>
  <c r="X240"/>
  <c r="X244"/>
  <c r="X248"/>
  <c r="X252"/>
  <c r="X256"/>
  <c r="X260"/>
  <c r="X264"/>
  <c r="X268"/>
  <c r="X272"/>
  <c r="X276"/>
  <c r="X280"/>
  <c r="X284"/>
  <c r="X288"/>
  <c r="X292"/>
  <c r="X296"/>
  <c r="X300"/>
  <c r="X304"/>
  <c r="X308"/>
  <c r="X312"/>
  <c r="X316"/>
  <c r="X320"/>
  <c r="X324"/>
  <c r="X328"/>
  <c r="X332"/>
  <c r="X336"/>
  <c r="X340"/>
  <c r="X356"/>
  <c r="X360"/>
  <c r="X364"/>
  <c r="X368"/>
  <c r="X372"/>
  <c r="X376"/>
  <c r="X380"/>
  <c r="X384"/>
  <c r="X388"/>
  <c r="X392"/>
  <c r="X396"/>
  <c r="X400"/>
  <c r="X404"/>
  <c r="X408"/>
  <c r="X412"/>
  <c r="X416"/>
  <c r="X420"/>
  <c r="X424"/>
  <c r="X428"/>
  <c r="X432"/>
  <c r="X436"/>
  <c r="X440"/>
  <c r="X444"/>
  <c r="X448"/>
  <c r="X452"/>
  <c r="X456"/>
  <c r="X460"/>
  <c r="X464"/>
  <c r="X468"/>
  <c r="X472"/>
  <c r="X476"/>
  <c r="X480"/>
  <c r="X484"/>
  <c r="X488"/>
  <c r="X492"/>
  <c r="X496"/>
  <c r="X500"/>
  <c r="X504"/>
  <c r="X345"/>
  <c r="X349"/>
  <c r="X353"/>
  <c r="X357"/>
  <c r="X361"/>
  <c r="X365"/>
  <c r="X369"/>
  <c r="X373"/>
  <c r="X377"/>
  <c r="X381"/>
  <c r="X385"/>
  <c r="X389"/>
  <c r="X393"/>
  <c r="X397"/>
  <c r="X401"/>
  <c r="X405"/>
  <c r="X409"/>
  <c r="X413"/>
  <c r="X417"/>
  <c r="X421"/>
  <c r="X425"/>
  <c r="X429"/>
  <c r="X433"/>
  <c r="X437"/>
  <c r="X441"/>
  <c r="X445"/>
  <c r="X449"/>
  <c r="X453"/>
  <c r="X457"/>
  <c r="X461"/>
  <c r="X465"/>
  <c r="X469"/>
  <c r="X473"/>
  <c r="X477"/>
  <c r="X481"/>
  <c r="X485"/>
  <c r="X489"/>
  <c r="X493"/>
  <c r="X497"/>
  <c r="X501"/>
  <c r="X505"/>
  <c r="X509"/>
  <c r="X513"/>
  <c r="X517"/>
  <c r="X521"/>
  <c r="X525"/>
  <c r="X529"/>
  <c r="X533"/>
  <c r="X537"/>
  <c r="X541"/>
  <c r="X545"/>
  <c r="X549"/>
  <c r="X553"/>
  <c r="X557"/>
  <c r="X561"/>
  <c r="X565"/>
  <c r="X569"/>
  <c r="X573"/>
  <c r="X577"/>
  <c r="X581"/>
  <c r="X585"/>
  <c r="X589"/>
  <c r="X593"/>
  <c r="X597"/>
  <c r="X601"/>
  <c r="X605"/>
  <c r="X609"/>
  <c r="X613"/>
  <c r="X617"/>
  <c r="X621"/>
  <c r="X625"/>
  <c r="X629"/>
  <c r="X633"/>
  <c r="X637"/>
  <c r="X641"/>
  <c r="X645"/>
  <c r="X649"/>
  <c r="X653"/>
  <c r="X657"/>
  <c r="X661"/>
  <c r="X665"/>
  <c r="X669"/>
  <c r="X673"/>
  <c r="X677"/>
  <c r="X681"/>
  <c r="X685"/>
  <c r="X689"/>
  <c r="X693"/>
  <c r="X697"/>
  <c r="X506"/>
  <c r="X510"/>
  <c r="X514"/>
  <c r="X518"/>
  <c r="X522"/>
  <c r="X526"/>
  <c r="X530"/>
  <c r="X534"/>
  <c r="X538"/>
  <c r="X542"/>
  <c r="X546"/>
  <c r="X550"/>
  <c r="X554"/>
  <c r="X558"/>
  <c r="X562"/>
  <c r="X566"/>
  <c r="X570"/>
  <c r="X574"/>
  <c r="X578"/>
  <c r="X582"/>
  <c r="X586"/>
  <c r="X590"/>
  <c r="X594"/>
  <c r="X598"/>
  <c r="X602"/>
  <c r="X606"/>
  <c r="X610"/>
  <c r="X614"/>
  <c r="X618"/>
  <c r="X622"/>
  <c r="X626"/>
  <c r="X630"/>
  <c r="X634"/>
  <c r="X638"/>
  <c r="X642"/>
  <c r="X646"/>
  <c r="X650"/>
  <c r="X654"/>
  <c r="X658"/>
  <c r="X662"/>
  <c r="X666"/>
  <c r="X670"/>
  <c r="X674"/>
  <c r="X678"/>
  <c r="X682"/>
  <c r="X686"/>
  <c r="X690"/>
  <c r="X694"/>
  <c r="X698"/>
  <c r="X701"/>
  <c r="X705"/>
  <c r="X709"/>
  <c r="X713"/>
  <c r="X717"/>
  <c r="X721"/>
  <c r="X725"/>
  <c r="X729"/>
  <c r="X733"/>
  <c r="X737"/>
  <c r="X741"/>
  <c r="X704"/>
  <c r="X708"/>
  <c r="X712"/>
  <c r="X716"/>
  <c r="X720"/>
  <c r="X724"/>
  <c r="X728"/>
  <c r="X732"/>
  <c r="X736"/>
  <c r="X740"/>
  <c r="X744"/>
  <c r="X748"/>
  <c r="X752"/>
  <c r="X756"/>
  <c r="X760"/>
  <c r="X764"/>
  <c r="X768"/>
  <c r="X772"/>
  <c r="X776"/>
  <c r="X780"/>
  <c r="X784"/>
  <c r="X788"/>
  <c r="X792"/>
  <c r="X796"/>
  <c r="X800"/>
  <c r="X804"/>
  <c r="X808"/>
  <c r="X812"/>
  <c r="X816"/>
  <c r="X820"/>
  <c r="X824"/>
  <c r="X828"/>
  <c r="X832"/>
  <c r="X836"/>
  <c r="X840"/>
  <c r="X844"/>
  <c r="X848"/>
  <c r="X852"/>
  <c r="X856"/>
  <c r="X860"/>
  <c r="X864"/>
  <c r="X868"/>
  <c r="X743"/>
  <c r="X747"/>
  <c r="X751"/>
  <c r="X755"/>
  <c r="X759"/>
  <c r="X763"/>
  <c r="X767"/>
  <c r="X771"/>
  <c r="X775"/>
  <c r="X779"/>
  <c r="X783"/>
  <c r="X787"/>
  <c r="X791"/>
  <c r="X795"/>
  <c r="X799"/>
  <c r="X803"/>
  <c r="X807"/>
  <c r="X811"/>
  <c r="X815"/>
  <c r="X819"/>
  <c r="X823"/>
  <c r="X827"/>
  <c r="X831"/>
  <c r="X835"/>
  <c r="X839"/>
  <c r="X843"/>
  <c r="X847"/>
  <c r="X851"/>
  <c r="X855"/>
  <c r="X859"/>
  <c r="X863"/>
  <c r="X867"/>
  <c r="X874"/>
  <c r="X878"/>
  <c r="X882"/>
  <c r="X886"/>
  <c r="X890"/>
  <c r="X894"/>
  <c r="X898"/>
  <c r="X902"/>
  <c r="X906"/>
  <c r="X910"/>
  <c r="X914"/>
  <c r="X918"/>
  <c r="X922"/>
  <c r="X926"/>
  <c r="X930"/>
  <c r="X934"/>
  <c r="X938"/>
  <c r="X942"/>
  <c r="X946"/>
  <c r="X871"/>
  <c r="X875"/>
  <c r="X879"/>
  <c r="X883"/>
  <c r="X887"/>
  <c r="X891"/>
  <c r="X895"/>
  <c r="X899"/>
  <c r="X903"/>
  <c r="X907"/>
  <c r="X911"/>
  <c r="X915"/>
  <c r="X919"/>
  <c r="X923"/>
  <c r="X927"/>
  <c r="X931"/>
  <c r="X935"/>
  <c r="X939"/>
  <c r="X943"/>
  <c r="X947"/>
  <c r="X951"/>
  <c r="X955"/>
  <c r="X959"/>
  <c r="X963"/>
  <c r="X967"/>
  <c r="X971"/>
  <c r="X975"/>
  <c r="X979"/>
  <c r="X983"/>
  <c r="X987"/>
  <c r="X991"/>
  <c r="X995"/>
  <c r="X999"/>
  <c r="X1003"/>
  <c r="X1007"/>
  <c r="X1011"/>
  <c r="X948"/>
  <c r="X952"/>
  <c r="X956"/>
  <c r="X960"/>
  <c r="X964"/>
  <c r="X968"/>
  <c r="X972"/>
  <c r="X976"/>
  <c r="X980"/>
  <c r="X984"/>
  <c r="X988"/>
  <c r="X992"/>
  <c r="X996"/>
  <c r="X1000"/>
  <c r="X1004"/>
  <c r="X1008"/>
  <c r="E1032" i="6"/>
  <c r="BF18"/>
  <c r="E1028"/>
  <c r="E1017"/>
  <c r="F1034"/>
  <c r="BF44"/>
  <c r="E1038"/>
  <c r="BF34"/>
  <c r="E1037"/>
  <c r="BF31"/>
  <c r="E1036"/>
  <c r="BF28"/>
  <c r="E1035"/>
  <c r="BF25"/>
  <c r="AX26"/>
  <c r="AV26"/>
  <c r="BB25"/>
  <c r="BF38" s="1"/>
  <c r="AW35"/>
  <c r="BB34"/>
  <c r="BF41" s="1"/>
  <c r="BC18"/>
  <c r="X127"/>
  <c r="X131"/>
  <c r="X135"/>
  <c r="X139"/>
  <c r="X143"/>
  <c r="X147"/>
  <c r="X151"/>
  <c r="X155"/>
  <c r="X159"/>
  <c r="X163"/>
  <c r="X167"/>
  <c r="X171"/>
  <c r="X175"/>
  <c r="X179"/>
  <c r="X183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X295"/>
  <c r="X299"/>
  <c r="X128"/>
  <c r="X132"/>
  <c r="X136"/>
  <c r="X140"/>
  <c r="X144"/>
  <c r="X148"/>
  <c r="X152"/>
  <c r="X156"/>
  <c r="X160"/>
  <c r="X164"/>
  <c r="X168"/>
  <c r="X172"/>
  <c r="X176"/>
  <c r="X180"/>
  <c r="X184"/>
  <c r="X188"/>
  <c r="X192"/>
  <c r="X196"/>
  <c r="X200"/>
  <c r="X204"/>
  <c r="X208"/>
  <c r="X212"/>
  <c r="X216"/>
  <c r="X220"/>
  <c r="X224"/>
  <c r="X228"/>
  <c r="X232"/>
  <c r="X236"/>
  <c r="X240"/>
  <c r="X244"/>
  <c r="X248"/>
  <c r="X252"/>
  <c r="X256"/>
  <c r="X260"/>
  <c r="X264"/>
  <c r="X268"/>
  <c r="X272"/>
  <c r="X276"/>
  <c r="X280"/>
  <c r="X284"/>
  <c r="X288"/>
  <c r="X292"/>
  <c r="X296"/>
  <c r="X301"/>
  <c r="X305"/>
  <c r="X309"/>
  <c r="X313"/>
  <c r="X317"/>
  <c r="X321"/>
  <c r="X325"/>
  <c r="X329"/>
  <c r="X333"/>
  <c r="X337"/>
  <c r="X341"/>
  <c r="X345"/>
  <c r="X349"/>
  <c r="X353"/>
  <c r="X357"/>
  <c r="X361"/>
  <c r="X365"/>
  <c r="X369"/>
  <c r="X373"/>
  <c r="X377"/>
  <c r="X381"/>
  <c r="X385"/>
  <c r="X389"/>
  <c r="X393"/>
  <c r="X397"/>
  <c r="X401"/>
  <c r="X405"/>
  <c r="X409"/>
  <c r="X413"/>
  <c r="X417"/>
  <c r="X421"/>
  <c r="X425"/>
  <c r="X429"/>
  <c r="X433"/>
  <c r="X437"/>
  <c r="X441"/>
  <c r="X445"/>
  <c r="X449"/>
  <c r="X453"/>
  <c r="X457"/>
  <c r="X461"/>
  <c r="X465"/>
  <c r="X469"/>
  <c r="X473"/>
  <c r="X477"/>
  <c r="X481"/>
  <c r="X485"/>
  <c r="X489"/>
  <c r="X493"/>
  <c r="X497"/>
  <c r="X501"/>
  <c r="X505"/>
  <c r="X509"/>
  <c r="X513"/>
  <c r="X517"/>
  <c r="X521"/>
  <c r="X525"/>
  <c r="X529"/>
  <c r="X533"/>
  <c r="X537"/>
  <c r="X541"/>
  <c r="X545"/>
  <c r="X549"/>
  <c r="X553"/>
  <c r="X557"/>
  <c r="X561"/>
  <c r="X565"/>
  <c r="X569"/>
  <c r="X573"/>
  <c r="X577"/>
  <c r="X581"/>
  <c r="X585"/>
  <c r="X589"/>
  <c r="X593"/>
  <c r="X597"/>
  <c r="X601"/>
  <c r="X605"/>
  <c r="X609"/>
  <c r="X613"/>
  <c r="X617"/>
  <c r="X621"/>
  <c r="X625"/>
  <c r="X629"/>
  <c r="X633"/>
  <c r="X637"/>
  <c r="X641"/>
  <c r="X645"/>
  <c r="X649"/>
  <c r="X653"/>
  <c r="X657"/>
  <c r="X661"/>
  <c r="X665"/>
  <c r="X669"/>
  <c r="X302"/>
  <c r="X306"/>
  <c r="X310"/>
  <c r="X314"/>
  <c r="X318"/>
  <c r="X322"/>
  <c r="X326"/>
  <c r="X330"/>
  <c r="X334"/>
  <c r="X338"/>
  <c r="X342"/>
  <c r="X346"/>
  <c r="X350"/>
  <c r="X354"/>
  <c r="X358"/>
  <c r="X362"/>
  <c r="X366"/>
  <c r="X370"/>
  <c r="X374"/>
  <c r="X378"/>
  <c r="X382"/>
  <c r="X386"/>
  <c r="X390"/>
  <c r="X394"/>
  <c r="X398"/>
  <c r="X402"/>
  <c r="X406"/>
  <c r="X410"/>
  <c r="X414"/>
  <c r="X418"/>
  <c r="X422"/>
  <c r="X426"/>
  <c r="X430"/>
  <c r="X434"/>
  <c r="X438"/>
  <c r="X442"/>
  <c r="X446"/>
  <c r="X450"/>
  <c r="X454"/>
  <c r="X458"/>
  <c r="X462"/>
  <c r="X466"/>
  <c r="X470"/>
  <c r="X474"/>
  <c r="X478"/>
  <c r="X482"/>
  <c r="X486"/>
  <c r="X490"/>
  <c r="X494"/>
  <c r="X498"/>
  <c r="X502"/>
  <c r="X506"/>
  <c r="X510"/>
  <c r="X514"/>
  <c r="X518"/>
  <c r="X522"/>
  <c r="X526"/>
  <c r="X530"/>
  <c r="X534"/>
  <c r="X538"/>
  <c r="X542"/>
  <c r="X546"/>
  <c r="X550"/>
  <c r="X554"/>
  <c r="X558"/>
  <c r="X562"/>
  <c r="X566"/>
  <c r="X570"/>
  <c r="X574"/>
  <c r="X578"/>
  <c r="X582"/>
  <c r="X586"/>
  <c r="X590"/>
  <c r="X594"/>
  <c r="X598"/>
  <c r="X602"/>
  <c r="X673"/>
  <c r="X677"/>
  <c r="X681"/>
  <c r="X685"/>
  <c r="X689"/>
  <c r="X693"/>
  <c r="X697"/>
  <c r="X701"/>
  <c r="X705"/>
  <c r="X709"/>
  <c r="X713"/>
  <c r="X717"/>
  <c r="X721"/>
  <c r="X725"/>
  <c r="X729"/>
  <c r="X733"/>
  <c r="X737"/>
  <c r="X741"/>
  <c r="X745"/>
  <c r="X749"/>
  <c r="X753"/>
  <c r="X757"/>
  <c r="X761"/>
  <c r="X765"/>
  <c r="X769"/>
  <c r="X773"/>
  <c r="X777"/>
  <c r="X781"/>
  <c r="X785"/>
  <c r="X789"/>
  <c r="X793"/>
  <c r="X797"/>
  <c r="X801"/>
  <c r="X805"/>
  <c r="X809"/>
  <c r="X813"/>
  <c r="X606"/>
  <c r="X610"/>
  <c r="X614"/>
  <c r="X618"/>
  <c r="X622"/>
  <c r="X626"/>
  <c r="X630"/>
  <c r="X634"/>
  <c r="X638"/>
  <c r="X642"/>
  <c r="X646"/>
  <c r="X650"/>
  <c r="X654"/>
  <c r="X658"/>
  <c r="X662"/>
  <c r="X666"/>
  <c r="X670"/>
  <c r="X674"/>
  <c r="X678"/>
  <c r="X682"/>
  <c r="X686"/>
  <c r="X690"/>
  <c r="X694"/>
  <c r="X698"/>
  <c r="X702"/>
  <c r="X706"/>
  <c r="X710"/>
  <c r="X714"/>
  <c r="X718"/>
  <c r="X722"/>
  <c r="X726"/>
  <c r="X730"/>
  <c r="X734"/>
  <c r="X738"/>
  <c r="X742"/>
  <c r="X746"/>
  <c r="X750"/>
  <c r="X754"/>
  <c r="X758"/>
  <c r="X762"/>
  <c r="X766"/>
  <c r="X770"/>
  <c r="X774"/>
  <c r="X778"/>
  <c r="X782"/>
  <c r="X786"/>
  <c r="X790"/>
  <c r="X794"/>
  <c r="X798"/>
  <c r="X802"/>
  <c r="X806"/>
  <c r="X810"/>
  <c r="X814"/>
  <c r="X818"/>
  <c r="X822"/>
  <c r="X826"/>
  <c r="X830"/>
  <c r="X834"/>
  <c r="X838"/>
  <c r="X842"/>
  <c r="X846"/>
  <c r="X850"/>
  <c r="X854"/>
  <c r="X858"/>
  <c r="X862"/>
  <c r="X866"/>
  <c r="X817"/>
  <c r="X821"/>
  <c r="X825"/>
  <c r="X829"/>
  <c r="X833"/>
  <c r="X837"/>
  <c r="X841"/>
  <c r="X845"/>
  <c r="X849"/>
  <c r="X853"/>
  <c r="X857"/>
  <c r="X861"/>
  <c r="X865"/>
  <c r="X869"/>
  <c r="X873"/>
  <c r="X877"/>
  <c r="X881"/>
  <c r="X885"/>
  <c r="X889"/>
  <c r="X893"/>
  <c r="X897"/>
  <c r="X901"/>
  <c r="X905"/>
  <c r="X909"/>
  <c r="X870"/>
  <c r="X874"/>
  <c r="X878"/>
  <c r="X882"/>
  <c r="X886"/>
  <c r="X890"/>
  <c r="X894"/>
  <c r="X898"/>
  <c r="X902"/>
  <c r="X906"/>
  <c r="X910"/>
  <c r="X914"/>
  <c r="X918"/>
  <c r="X922"/>
  <c r="X926"/>
  <c r="X930"/>
  <c r="X934"/>
  <c r="X911"/>
  <c r="X915"/>
  <c r="X919"/>
  <c r="X923"/>
  <c r="X927"/>
  <c r="X931"/>
  <c r="X935"/>
  <c r="X939"/>
  <c r="X943"/>
  <c r="X947"/>
  <c r="X951"/>
  <c r="X955"/>
  <c r="X959"/>
  <c r="X963"/>
  <c r="X967"/>
  <c r="X971"/>
  <c r="X975"/>
  <c r="X979"/>
  <c r="X983"/>
  <c r="X987"/>
  <c r="X991"/>
  <c r="X995"/>
  <c r="X999"/>
  <c r="X1003"/>
  <c r="X1007"/>
  <c r="X1011"/>
  <c r="X938"/>
  <c r="X942"/>
  <c r="X946"/>
  <c r="X950"/>
  <c r="X954"/>
  <c r="X958"/>
  <c r="X962"/>
  <c r="X966"/>
  <c r="X970"/>
  <c r="X974"/>
  <c r="X978"/>
  <c r="X982"/>
  <c r="X986"/>
  <c r="X990"/>
  <c r="X994"/>
  <c r="X998"/>
  <c r="X1002"/>
  <c r="X1006"/>
  <c r="X1010"/>
  <c r="X122"/>
  <c r="X118"/>
  <c r="X114"/>
  <c r="X110"/>
  <c r="X106"/>
  <c r="X102"/>
  <c r="X98"/>
  <c r="X94"/>
  <c r="X90"/>
  <c r="X86"/>
  <c r="X82"/>
  <c r="X78"/>
  <c r="X74"/>
  <c r="X70"/>
  <c r="X66"/>
  <c r="X62"/>
  <c r="X58"/>
  <c r="X54"/>
  <c r="X50"/>
  <c r="X46"/>
  <c r="X17"/>
  <c r="X15"/>
  <c r="AX35"/>
  <c r="AX29"/>
  <c r="BA26"/>
  <c r="W1015"/>
  <c r="AY18" s="1"/>
  <c r="E1029"/>
  <c r="F1029" s="1"/>
  <c r="E1027"/>
  <c r="F1027" s="1"/>
  <c r="E1026"/>
  <c r="F1026" s="1"/>
  <c r="AX32"/>
  <c r="AV32"/>
  <c r="BB31"/>
  <c r="BF40" s="1"/>
  <c r="AW23"/>
  <c r="BB22"/>
  <c r="BF37" s="1"/>
  <c r="X129"/>
  <c r="X133"/>
  <c r="X137"/>
  <c r="X141"/>
  <c r="X145"/>
  <c r="X149"/>
  <c r="X153"/>
  <c r="X157"/>
  <c r="X161"/>
  <c r="X165"/>
  <c r="X169"/>
  <c r="X173"/>
  <c r="X177"/>
  <c r="X181"/>
  <c r="X185"/>
  <c r="X189"/>
  <c r="X193"/>
  <c r="X197"/>
  <c r="X201"/>
  <c r="X205"/>
  <c r="X209"/>
  <c r="X213"/>
  <c r="X217"/>
  <c r="X221"/>
  <c r="X225"/>
  <c r="X229"/>
  <c r="X233"/>
  <c r="X237"/>
  <c r="X241"/>
  <c r="X245"/>
  <c r="X249"/>
  <c r="X253"/>
  <c r="X257"/>
  <c r="X261"/>
  <c r="X265"/>
  <c r="X269"/>
  <c r="X273"/>
  <c r="X277"/>
  <c r="X281"/>
  <c r="X285"/>
  <c r="X289"/>
  <c r="X293"/>
  <c r="X297"/>
  <c r="X130"/>
  <c r="X134"/>
  <c r="X138"/>
  <c r="X142"/>
  <c r="X146"/>
  <c r="X150"/>
  <c r="X154"/>
  <c r="X158"/>
  <c r="X162"/>
  <c r="X166"/>
  <c r="X170"/>
  <c r="X174"/>
  <c r="X178"/>
  <c r="X182"/>
  <c r="X186"/>
  <c r="X190"/>
  <c r="X194"/>
  <c r="X198"/>
  <c r="X202"/>
  <c r="X206"/>
  <c r="X210"/>
  <c r="X214"/>
  <c r="X218"/>
  <c r="X222"/>
  <c r="X226"/>
  <c r="X230"/>
  <c r="X234"/>
  <c r="X238"/>
  <c r="X242"/>
  <c r="X246"/>
  <c r="X250"/>
  <c r="X254"/>
  <c r="X258"/>
  <c r="X262"/>
  <c r="X266"/>
  <c r="X270"/>
  <c r="X274"/>
  <c r="X278"/>
  <c r="X282"/>
  <c r="X286"/>
  <c r="X290"/>
  <c r="X294"/>
  <c r="X298"/>
  <c r="X303"/>
  <c r="X307"/>
  <c r="X311"/>
  <c r="X315"/>
  <c r="X319"/>
  <c r="X323"/>
  <c r="X327"/>
  <c r="X331"/>
  <c r="X335"/>
  <c r="X339"/>
  <c r="X343"/>
  <c r="X347"/>
  <c r="X351"/>
  <c r="X355"/>
  <c r="X359"/>
  <c r="X363"/>
  <c r="X367"/>
  <c r="X371"/>
  <c r="X375"/>
  <c r="X379"/>
  <c r="X383"/>
  <c r="X387"/>
  <c r="X391"/>
  <c r="X395"/>
  <c r="X399"/>
  <c r="X403"/>
  <c r="X407"/>
  <c r="X411"/>
  <c r="X415"/>
  <c r="X419"/>
  <c r="X423"/>
  <c r="X427"/>
  <c r="X431"/>
  <c r="X435"/>
  <c r="X439"/>
  <c r="X443"/>
  <c r="X447"/>
  <c r="X451"/>
  <c r="X455"/>
  <c r="X459"/>
  <c r="X463"/>
  <c r="X467"/>
  <c r="X471"/>
  <c r="X475"/>
  <c r="X479"/>
  <c r="X483"/>
  <c r="X487"/>
  <c r="X491"/>
  <c r="X495"/>
  <c r="X499"/>
  <c r="X503"/>
  <c r="X507"/>
  <c r="X511"/>
  <c r="X515"/>
  <c r="X519"/>
  <c r="X523"/>
  <c r="X527"/>
  <c r="X531"/>
  <c r="X535"/>
  <c r="X539"/>
  <c r="X543"/>
  <c r="X547"/>
  <c r="X551"/>
  <c r="X555"/>
  <c r="X559"/>
  <c r="X563"/>
  <c r="X567"/>
  <c r="X571"/>
  <c r="X575"/>
  <c r="X579"/>
  <c r="X583"/>
  <c r="X587"/>
  <c r="X591"/>
  <c r="X595"/>
  <c r="X599"/>
  <c r="X603"/>
  <c r="X607"/>
  <c r="X611"/>
  <c r="X615"/>
  <c r="X619"/>
  <c r="X623"/>
  <c r="X627"/>
  <c r="X631"/>
  <c r="X635"/>
  <c r="X639"/>
  <c r="X643"/>
  <c r="X647"/>
  <c r="X651"/>
  <c r="X655"/>
  <c r="X659"/>
  <c r="X663"/>
  <c r="X667"/>
  <c r="X300"/>
  <c r="X304"/>
  <c r="X308"/>
  <c r="X312"/>
  <c r="X316"/>
  <c r="X320"/>
  <c r="X324"/>
  <c r="X328"/>
  <c r="X332"/>
  <c r="X336"/>
  <c r="X340"/>
  <c r="X344"/>
  <c r="X348"/>
  <c r="X352"/>
  <c r="X356"/>
  <c r="X360"/>
  <c r="X364"/>
  <c r="X368"/>
  <c r="X372"/>
  <c r="X376"/>
  <c r="X380"/>
  <c r="X384"/>
  <c r="X388"/>
  <c r="X392"/>
  <c r="X396"/>
  <c r="X400"/>
  <c r="X404"/>
  <c r="X408"/>
  <c r="X412"/>
  <c r="X416"/>
  <c r="X420"/>
  <c r="X424"/>
  <c r="X428"/>
  <c r="X432"/>
  <c r="X436"/>
  <c r="X440"/>
  <c r="X444"/>
  <c r="X448"/>
  <c r="X452"/>
  <c r="X456"/>
  <c r="X460"/>
  <c r="X464"/>
  <c r="X468"/>
  <c r="X472"/>
  <c r="X476"/>
  <c r="X480"/>
  <c r="X484"/>
  <c r="X488"/>
  <c r="X492"/>
  <c r="X496"/>
  <c r="X500"/>
  <c r="X504"/>
  <c r="X508"/>
  <c r="X512"/>
  <c r="X516"/>
  <c r="X520"/>
  <c r="X524"/>
  <c r="X528"/>
  <c r="X532"/>
  <c r="X536"/>
  <c r="X540"/>
  <c r="X544"/>
  <c r="X548"/>
  <c r="X552"/>
  <c r="X556"/>
  <c r="X560"/>
  <c r="X564"/>
  <c r="X568"/>
  <c r="X572"/>
  <c r="X576"/>
  <c r="X580"/>
  <c r="X584"/>
  <c r="X588"/>
  <c r="X592"/>
  <c r="X596"/>
  <c r="X600"/>
  <c r="X671"/>
  <c r="X675"/>
  <c r="X679"/>
  <c r="X683"/>
  <c r="X687"/>
  <c r="X691"/>
  <c r="X695"/>
  <c r="X699"/>
  <c r="X703"/>
  <c r="X707"/>
  <c r="X711"/>
  <c r="X715"/>
  <c r="X719"/>
  <c r="X723"/>
  <c r="X727"/>
  <c r="X731"/>
  <c r="X735"/>
  <c r="X739"/>
  <c r="X743"/>
  <c r="X747"/>
  <c r="X751"/>
  <c r="X755"/>
  <c r="X759"/>
  <c r="X763"/>
  <c r="X767"/>
  <c r="X771"/>
  <c r="X775"/>
  <c r="X779"/>
  <c r="X783"/>
  <c r="X787"/>
  <c r="X791"/>
  <c r="X795"/>
  <c r="X799"/>
  <c r="X803"/>
  <c r="X807"/>
  <c r="X811"/>
  <c r="X608"/>
  <c r="X612"/>
  <c r="X616"/>
  <c r="X620"/>
  <c r="X624"/>
  <c r="X628"/>
  <c r="X632"/>
  <c r="X636"/>
  <c r="X640"/>
  <c r="X644"/>
  <c r="X648"/>
  <c r="X652"/>
  <c r="X656"/>
  <c r="X660"/>
  <c r="X664"/>
  <c r="X668"/>
  <c r="X672"/>
  <c r="X676"/>
  <c r="X680"/>
  <c r="X684"/>
  <c r="X688"/>
  <c r="X692"/>
  <c r="X700"/>
  <c r="X704"/>
  <c r="X708"/>
  <c r="X712"/>
  <c r="X716"/>
  <c r="X720"/>
  <c r="X724"/>
  <c r="X728"/>
  <c r="X732"/>
  <c r="X736"/>
  <c r="X740"/>
  <c r="X744"/>
  <c r="X748"/>
  <c r="X752"/>
  <c r="X756"/>
  <c r="X760"/>
  <c r="X764"/>
  <c r="X768"/>
  <c r="X772"/>
  <c r="X776"/>
  <c r="X780"/>
  <c r="X784"/>
  <c r="X788"/>
  <c r="X792"/>
  <c r="X796"/>
  <c r="X800"/>
  <c r="X804"/>
  <c r="X808"/>
  <c r="X812"/>
  <c r="X816"/>
  <c r="X820"/>
  <c r="X824"/>
  <c r="X828"/>
  <c r="X832"/>
  <c r="X836"/>
  <c r="X840"/>
  <c r="X844"/>
  <c r="X848"/>
  <c r="X852"/>
  <c r="X856"/>
  <c r="X860"/>
  <c r="X864"/>
  <c r="X815"/>
  <c r="X819"/>
  <c r="X823"/>
  <c r="X827"/>
  <c r="X831"/>
  <c r="X835"/>
  <c r="X839"/>
  <c r="X843"/>
  <c r="X847"/>
  <c r="X851"/>
  <c r="X855"/>
  <c r="X859"/>
  <c r="X863"/>
  <c r="X867"/>
  <c r="X871"/>
  <c r="X875"/>
  <c r="X879"/>
  <c r="X883"/>
  <c r="X887"/>
  <c r="X891"/>
  <c r="X895"/>
  <c r="X899"/>
  <c r="X903"/>
  <c r="X907"/>
  <c r="X868"/>
  <c r="X872"/>
  <c r="X876"/>
  <c r="X880"/>
  <c r="X884"/>
  <c r="X888"/>
  <c r="X892"/>
  <c r="X896"/>
  <c r="X900"/>
  <c r="X904"/>
  <c r="X908"/>
  <c r="X912"/>
  <c r="X916"/>
  <c r="X920"/>
  <c r="X924"/>
  <c r="X928"/>
  <c r="X932"/>
  <c r="X936"/>
  <c r="X913"/>
  <c r="X917"/>
  <c r="X921"/>
  <c r="X925"/>
  <c r="X929"/>
  <c r="X933"/>
  <c r="X937"/>
  <c r="X941"/>
  <c r="X945"/>
  <c r="X949"/>
  <c r="X953"/>
  <c r="X957"/>
  <c r="X961"/>
  <c r="X965"/>
  <c r="X969"/>
  <c r="X973"/>
  <c r="X977"/>
  <c r="X981"/>
  <c r="X985"/>
  <c r="X989"/>
  <c r="X993"/>
  <c r="X997"/>
  <c r="X1001"/>
  <c r="X1005"/>
  <c r="X1009"/>
  <c r="V1015"/>
  <c r="AU18" s="1"/>
  <c r="X940"/>
  <c r="X944"/>
  <c r="X948"/>
  <c r="X952"/>
  <c r="X956"/>
  <c r="X960"/>
  <c r="X964"/>
  <c r="X968"/>
  <c r="X972"/>
  <c r="X976"/>
  <c r="X980"/>
  <c r="X984"/>
  <c r="X988"/>
  <c r="X992"/>
  <c r="X996"/>
  <c r="X1000"/>
  <c r="X1004"/>
  <c r="X1008"/>
  <c r="AV23"/>
  <c r="X124"/>
  <c r="AW26"/>
  <c r="X366" i="1"/>
  <c r="X368"/>
  <c r="X370"/>
  <c r="X372"/>
  <c r="X374"/>
  <c r="X376"/>
  <c r="X378"/>
  <c r="X380"/>
  <c r="X382"/>
  <c r="X384"/>
  <c r="X386"/>
  <c r="X388"/>
  <c r="X390"/>
  <c r="X392"/>
  <c r="X394"/>
  <c r="X396"/>
  <c r="X398"/>
  <c r="X400"/>
  <c r="X402"/>
  <c r="X404"/>
  <c r="X406"/>
  <c r="X408"/>
  <c r="X410"/>
  <c r="X412"/>
  <c r="X414"/>
  <c r="X416"/>
  <c r="X418"/>
  <c r="X420"/>
  <c r="X422"/>
  <c r="X424"/>
  <c r="X426"/>
  <c r="X428"/>
  <c r="X430"/>
  <c r="X432"/>
  <c r="X434"/>
  <c r="X436"/>
  <c r="X438"/>
  <c r="X440"/>
  <c r="X442"/>
  <c r="X444"/>
  <c r="X446"/>
  <c r="X448"/>
  <c r="X450"/>
  <c r="X452"/>
  <c r="X454"/>
  <c r="X456"/>
  <c r="X458"/>
  <c r="X460"/>
  <c r="X462"/>
  <c r="X464"/>
  <c r="X466"/>
  <c r="X468"/>
  <c r="X470"/>
  <c r="X472"/>
  <c r="X474"/>
  <c r="X476"/>
  <c r="X478"/>
  <c r="X480"/>
  <c r="X482"/>
  <c r="X484"/>
  <c r="X486"/>
  <c r="X488"/>
  <c r="X490"/>
  <c r="X492"/>
  <c r="X494"/>
  <c r="X496"/>
  <c r="X498"/>
  <c r="X500"/>
  <c r="X502"/>
  <c r="X504"/>
  <c r="X506"/>
  <c r="X508"/>
  <c r="X510"/>
  <c r="X512"/>
  <c r="X514"/>
  <c r="X516"/>
  <c r="X518"/>
  <c r="X520"/>
  <c r="X522"/>
  <c r="X524"/>
  <c r="X526"/>
  <c r="X528"/>
  <c r="X530"/>
  <c r="X532"/>
  <c r="X534"/>
  <c r="X536"/>
  <c r="X538"/>
  <c r="X540"/>
  <c r="X542"/>
  <c r="X544"/>
  <c r="X546"/>
  <c r="X548"/>
  <c r="X550"/>
  <c r="X552"/>
  <c r="X554"/>
  <c r="X556"/>
  <c r="X558"/>
  <c r="X560"/>
  <c r="X562"/>
  <c r="X564"/>
  <c r="X566"/>
  <c r="X568"/>
  <c r="X570"/>
  <c r="X572"/>
  <c r="X574"/>
  <c r="X576"/>
  <c r="X578"/>
  <c r="X580"/>
  <c r="X582"/>
  <c r="X584"/>
  <c r="X586"/>
  <c r="X588"/>
  <c r="X590"/>
  <c r="X592"/>
  <c r="X594"/>
  <c r="X596"/>
  <c r="X598"/>
  <c r="X600"/>
  <c r="X602"/>
  <c r="X604"/>
  <c r="X606"/>
  <c r="X608"/>
  <c r="X610"/>
  <c r="X612"/>
  <c r="X614"/>
  <c r="X616"/>
  <c r="X618"/>
  <c r="X620"/>
  <c r="X622"/>
  <c r="X624"/>
  <c r="X626"/>
  <c r="X628"/>
  <c r="X630"/>
  <c r="X632"/>
  <c r="X634"/>
  <c r="X636"/>
  <c r="X638"/>
  <c r="X640"/>
  <c r="X642"/>
  <c r="X644"/>
  <c r="X646"/>
  <c r="X648"/>
  <c r="X650"/>
  <c r="X652"/>
  <c r="X654"/>
  <c r="X656"/>
  <c r="X658"/>
  <c r="X660"/>
  <c r="X662"/>
  <c r="X664"/>
  <c r="X666"/>
  <c r="X668"/>
  <c r="X670"/>
  <c r="X672"/>
  <c r="X674"/>
  <c r="X676"/>
  <c r="X678"/>
  <c r="X680"/>
  <c r="X682"/>
  <c r="X684"/>
  <c r="X686"/>
  <c r="X688"/>
  <c r="X690"/>
  <c r="X692"/>
  <c r="X694"/>
  <c r="X696"/>
  <c r="X698"/>
  <c r="X700"/>
  <c r="X702"/>
  <c r="X704"/>
  <c r="X706"/>
  <c r="X708"/>
  <c r="X710"/>
  <c r="X712"/>
  <c r="X714"/>
  <c r="X716"/>
  <c r="X718"/>
  <c r="X720"/>
  <c r="X722"/>
  <c r="X724"/>
  <c r="X726"/>
  <c r="X728"/>
  <c r="X730"/>
  <c r="X732"/>
  <c r="X734"/>
  <c r="X736"/>
  <c r="X738"/>
  <c r="X740"/>
  <c r="E1032" i="5"/>
  <c r="BF18"/>
  <c r="E1029"/>
  <c r="F1029" s="1"/>
  <c r="E1028"/>
  <c r="F1028" s="1"/>
  <c r="E1027"/>
  <c r="F1027" s="1"/>
  <c r="E1026"/>
  <c r="F1026" s="1"/>
  <c r="E1034"/>
  <c r="BF22"/>
  <c r="W1021"/>
  <c r="AY34" s="1"/>
  <c r="AE21"/>
  <c r="W1020"/>
  <c r="AY31" s="1"/>
  <c r="AE17"/>
  <c r="W1017"/>
  <c r="AY22" s="1"/>
  <c r="AE15"/>
  <c r="X181"/>
  <c r="X185"/>
  <c r="X189"/>
  <c r="X193"/>
  <c r="X197"/>
  <c r="X201"/>
  <c r="X205"/>
  <c r="X209"/>
  <c r="X213"/>
  <c r="X217"/>
  <c r="X221"/>
  <c r="X225"/>
  <c r="X229"/>
  <c r="X233"/>
  <c r="X237"/>
  <c r="X241"/>
  <c r="X245"/>
  <c r="X249"/>
  <c r="X253"/>
  <c r="X257"/>
  <c r="X261"/>
  <c r="X265"/>
  <c r="X269"/>
  <c r="X273"/>
  <c r="X277"/>
  <c r="X281"/>
  <c r="X285"/>
  <c r="X289"/>
  <c r="X293"/>
  <c r="X297"/>
  <c r="X301"/>
  <c r="X305"/>
  <c r="X309"/>
  <c r="X313"/>
  <c r="X317"/>
  <c r="X321"/>
  <c r="X325"/>
  <c r="X329"/>
  <c r="X333"/>
  <c r="X337"/>
  <c r="X341"/>
  <c r="X345"/>
  <c r="X349"/>
  <c r="X353"/>
  <c r="X357"/>
  <c r="X361"/>
  <c r="X365"/>
  <c r="X369"/>
  <c r="X373"/>
  <c r="X377"/>
  <c r="X381"/>
  <c r="X385"/>
  <c r="X389"/>
  <c r="X393"/>
  <c r="X397"/>
  <c r="X401"/>
  <c r="X405"/>
  <c r="X409"/>
  <c r="X413"/>
  <c r="X417"/>
  <c r="X421"/>
  <c r="X425"/>
  <c r="X429"/>
  <c r="X433"/>
  <c r="X437"/>
  <c r="X441"/>
  <c r="X445"/>
  <c r="X449"/>
  <c r="X453"/>
  <c r="X457"/>
  <c r="X461"/>
  <c r="X465"/>
  <c r="X469"/>
  <c r="X473"/>
  <c r="X477"/>
  <c r="X481"/>
  <c r="X485"/>
  <c r="X489"/>
  <c r="X493"/>
  <c r="X497"/>
  <c r="X501"/>
  <c r="X505"/>
  <c r="X180"/>
  <c r="X184"/>
  <c r="X188"/>
  <c r="X192"/>
  <c r="X196"/>
  <c r="X200"/>
  <c r="X204"/>
  <c r="X208"/>
  <c r="X212"/>
  <c r="X216"/>
  <c r="X220"/>
  <c r="X224"/>
  <c r="X228"/>
  <c r="X232"/>
  <c r="X236"/>
  <c r="X240"/>
  <c r="X244"/>
  <c r="X248"/>
  <c r="X252"/>
  <c r="X256"/>
  <c r="X260"/>
  <c r="X264"/>
  <c r="X268"/>
  <c r="X272"/>
  <c r="X276"/>
  <c r="X280"/>
  <c r="X284"/>
  <c r="X288"/>
  <c r="X292"/>
  <c r="X296"/>
  <c r="X300"/>
  <c r="X304"/>
  <c r="X308"/>
  <c r="X312"/>
  <c r="X316"/>
  <c r="X320"/>
  <c r="X324"/>
  <c r="X328"/>
  <c r="X332"/>
  <c r="X336"/>
  <c r="X340"/>
  <c r="X344"/>
  <c r="X348"/>
  <c r="X352"/>
  <c r="X356"/>
  <c r="X360"/>
  <c r="X364"/>
  <c r="X368"/>
  <c r="X372"/>
  <c r="X376"/>
  <c r="X380"/>
  <c r="X384"/>
  <c r="X388"/>
  <c r="X392"/>
  <c r="X396"/>
  <c r="X400"/>
  <c r="X404"/>
  <c r="X408"/>
  <c r="X412"/>
  <c r="X416"/>
  <c r="X420"/>
  <c r="X424"/>
  <c r="X428"/>
  <c r="X432"/>
  <c r="X436"/>
  <c r="X440"/>
  <c r="X444"/>
  <c r="X448"/>
  <c r="X452"/>
  <c r="X456"/>
  <c r="X460"/>
  <c r="X464"/>
  <c r="X468"/>
  <c r="X472"/>
  <c r="X511"/>
  <c r="X515"/>
  <c r="X519"/>
  <c r="X523"/>
  <c r="X527"/>
  <c r="X531"/>
  <c r="X535"/>
  <c r="X539"/>
  <c r="X543"/>
  <c r="X547"/>
  <c r="X551"/>
  <c r="X555"/>
  <c r="X559"/>
  <c r="X563"/>
  <c r="X567"/>
  <c r="X571"/>
  <c r="X575"/>
  <c r="X579"/>
  <c r="X583"/>
  <c r="X587"/>
  <c r="X591"/>
  <c r="X595"/>
  <c r="X599"/>
  <c r="X603"/>
  <c r="X607"/>
  <c r="X611"/>
  <c r="X615"/>
  <c r="X619"/>
  <c r="X623"/>
  <c r="X627"/>
  <c r="X631"/>
  <c r="X635"/>
  <c r="X638"/>
  <c r="X642"/>
  <c r="X646"/>
  <c r="X650"/>
  <c r="X654"/>
  <c r="X658"/>
  <c r="X662"/>
  <c r="X476"/>
  <c r="X480"/>
  <c r="X484"/>
  <c r="X488"/>
  <c r="X492"/>
  <c r="X496"/>
  <c r="X500"/>
  <c r="X504"/>
  <c r="X508"/>
  <c r="X512"/>
  <c r="X516"/>
  <c r="X520"/>
  <c r="X524"/>
  <c r="X528"/>
  <c r="X532"/>
  <c r="X536"/>
  <c r="X540"/>
  <c r="X544"/>
  <c r="X548"/>
  <c r="X552"/>
  <c r="X556"/>
  <c r="X560"/>
  <c r="X564"/>
  <c r="X568"/>
  <c r="X572"/>
  <c r="X576"/>
  <c r="X580"/>
  <c r="X584"/>
  <c r="X588"/>
  <c r="X592"/>
  <c r="X596"/>
  <c r="X600"/>
  <c r="X604"/>
  <c r="X608"/>
  <c r="X612"/>
  <c r="X616"/>
  <c r="X620"/>
  <c r="X624"/>
  <c r="X628"/>
  <c r="X632"/>
  <c r="X637"/>
  <c r="X641"/>
  <c r="X645"/>
  <c r="X649"/>
  <c r="X653"/>
  <c r="X657"/>
  <c r="X661"/>
  <c r="X665"/>
  <c r="X669"/>
  <c r="X673"/>
  <c r="X677"/>
  <c r="X681"/>
  <c r="X685"/>
  <c r="X689"/>
  <c r="X693"/>
  <c r="X697"/>
  <c r="X701"/>
  <c r="X705"/>
  <c r="X709"/>
  <c r="X713"/>
  <c r="X717"/>
  <c r="X721"/>
  <c r="X725"/>
  <c r="X729"/>
  <c r="X733"/>
  <c r="X737"/>
  <c r="X741"/>
  <c r="X745"/>
  <c r="X749"/>
  <c r="X753"/>
  <c r="X757"/>
  <c r="X761"/>
  <c r="X765"/>
  <c r="X769"/>
  <c r="X666"/>
  <c r="X670"/>
  <c r="X674"/>
  <c r="X678"/>
  <c r="X682"/>
  <c r="X686"/>
  <c r="X690"/>
  <c r="X694"/>
  <c r="X698"/>
  <c r="X702"/>
  <c r="X706"/>
  <c r="X710"/>
  <c r="X714"/>
  <c r="X718"/>
  <c r="X722"/>
  <c r="X726"/>
  <c r="X730"/>
  <c r="X734"/>
  <c r="X738"/>
  <c r="X742"/>
  <c r="X746"/>
  <c r="X750"/>
  <c r="X754"/>
  <c r="X758"/>
  <c r="X762"/>
  <c r="X766"/>
  <c r="X771"/>
  <c r="X775"/>
  <c r="X779"/>
  <c r="X783"/>
  <c r="X787"/>
  <c r="X791"/>
  <c r="X795"/>
  <c r="X799"/>
  <c r="X803"/>
  <c r="X807"/>
  <c r="X811"/>
  <c r="X770"/>
  <c r="X774"/>
  <c r="X778"/>
  <c r="X782"/>
  <c r="X786"/>
  <c r="X790"/>
  <c r="X794"/>
  <c r="X798"/>
  <c r="X802"/>
  <c r="X806"/>
  <c r="X810"/>
  <c r="X814"/>
  <c r="X818"/>
  <c r="X822"/>
  <c r="X826"/>
  <c r="X830"/>
  <c r="X834"/>
  <c r="X838"/>
  <c r="X842"/>
  <c r="X846"/>
  <c r="X850"/>
  <c r="X854"/>
  <c r="X858"/>
  <c r="X862"/>
  <c r="X866"/>
  <c r="X870"/>
  <c r="X874"/>
  <c r="X878"/>
  <c r="X882"/>
  <c r="X886"/>
  <c r="X890"/>
  <c r="X894"/>
  <c r="X898"/>
  <c r="X902"/>
  <c r="X906"/>
  <c r="X910"/>
  <c r="X914"/>
  <c r="X918"/>
  <c r="X922"/>
  <c r="X926"/>
  <c r="X930"/>
  <c r="X934"/>
  <c r="X938"/>
  <c r="X942"/>
  <c r="X817"/>
  <c r="X821"/>
  <c r="X825"/>
  <c r="X829"/>
  <c r="X833"/>
  <c r="X837"/>
  <c r="X841"/>
  <c r="X845"/>
  <c r="X849"/>
  <c r="X853"/>
  <c r="X857"/>
  <c r="X861"/>
  <c r="X865"/>
  <c r="X869"/>
  <c r="X873"/>
  <c r="X877"/>
  <c r="X881"/>
  <c r="X885"/>
  <c r="X889"/>
  <c r="X893"/>
  <c r="X897"/>
  <c r="X901"/>
  <c r="X905"/>
  <c r="X909"/>
  <c r="X913"/>
  <c r="X917"/>
  <c r="X921"/>
  <c r="X925"/>
  <c r="X929"/>
  <c r="X933"/>
  <c r="X937"/>
  <c r="X941"/>
  <c r="X945"/>
  <c r="X949"/>
  <c r="X953"/>
  <c r="X957"/>
  <c r="X961"/>
  <c r="X965"/>
  <c r="X969"/>
  <c r="X973"/>
  <c r="X977"/>
  <c r="X981"/>
  <c r="X985"/>
  <c r="X989"/>
  <c r="X993"/>
  <c r="X997"/>
  <c r="X1001"/>
  <c r="X1005"/>
  <c r="X1009"/>
  <c r="V1015"/>
  <c r="AU18" s="1"/>
  <c r="X946"/>
  <c r="X950"/>
  <c r="X954"/>
  <c r="X958"/>
  <c r="X962"/>
  <c r="X966"/>
  <c r="X970"/>
  <c r="X974"/>
  <c r="X978"/>
  <c r="X982"/>
  <c r="X986"/>
  <c r="X990"/>
  <c r="X994"/>
  <c r="X998"/>
  <c r="X1002"/>
  <c r="X1006"/>
  <c r="X1010"/>
  <c r="AZ29"/>
  <c r="BB28"/>
  <c r="BF39" s="1"/>
  <c r="W1018"/>
  <c r="AY25" s="1"/>
  <c r="BB25" s="1"/>
  <c r="BF38" s="1"/>
  <c r="BA29"/>
  <c r="E1038"/>
  <c r="BF34"/>
  <c r="E1037"/>
  <c r="BF31"/>
  <c r="E1036"/>
  <c r="BF28"/>
  <c r="E1035"/>
  <c r="BF25"/>
  <c r="E1025"/>
  <c r="F1025" s="1"/>
  <c r="X179"/>
  <c r="X183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X295"/>
  <c r="X299"/>
  <c r="X303"/>
  <c r="X307"/>
  <c r="X311"/>
  <c r="X315"/>
  <c r="X319"/>
  <c r="X323"/>
  <c r="X327"/>
  <c r="X331"/>
  <c r="X335"/>
  <c r="X339"/>
  <c r="X343"/>
  <c r="X347"/>
  <c r="X351"/>
  <c r="X355"/>
  <c r="X359"/>
  <c r="X363"/>
  <c r="X367"/>
  <c r="X371"/>
  <c r="X375"/>
  <c r="X379"/>
  <c r="X383"/>
  <c r="X387"/>
  <c r="X391"/>
  <c r="X395"/>
  <c r="X399"/>
  <c r="X403"/>
  <c r="X407"/>
  <c r="X411"/>
  <c r="X415"/>
  <c r="X419"/>
  <c r="X423"/>
  <c r="X427"/>
  <c r="X431"/>
  <c r="X435"/>
  <c r="X439"/>
  <c r="X443"/>
  <c r="X447"/>
  <c r="X451"/>
  <c r="X455"/>
  <c r="X459"/>
  <c r="X463"/>
  <c r="X467"/>
  <c r="X471"/>
  <c r="X475"/>
  <c r="X479"/>
  <c r="X483"/>
  <c r="X487"/>
  <c r="X491"/>
  <c r="X495"/>
  <c r="X499"/>
  <c r="X503"/>
  <c r="X507"/>
  <c r="X182"/>
  <c r="X186"/>
  <c r="X190"/>
  <c r="X194"/>
  <c r="X198"/>
  <c r="X202"/>
  <c r="X206"/>
  <c r="X210"/>
  <c r="X214"/>
  <c r="X218"/>
  <c r="X222"/>
  <c r="X226"/>
  <c r="X230"/>
  <c r="X234"/>
  <c r="X238"/>
  <c r="X242"/>
  <c r="X246"/>
  <c r="X250"/>
  <c r="X254"/>
  <c r="X258"/>
  <c r="X262"/>
  <c r="X266"/>
  <c r="X270"/>
  <c r="X274"/>
  <c r="X278"/>
  <c r="X282"/>
  <c r="X286"/>
  <c r="X290"/>
  <c r="X294"/>
  <c r="X298"/>
  <c r="X302"/>
  <c r="X306"/>
  <c r="X310"/>
  <c r="X314"/>
  <c r="X318"/>
  <c r="X322"/>
  <c r="X326"/>
  <c r="X330"/>
  <c r="X334"/>
  <c r="X338"/>
  <c r="X342"/>
  <c r="X346"/>
  <c r="X350"/>
  <c r="X354"/>
  <c r="X358"/>
  <c r="X362"/>
  <c r="X366"/>
  <c r="X370"/>
  <c r="X374"/>
  <c r="X378"/>
  <c r="X382"/>
  <c r="X386"/>
  <c r="X390"/>
  <c r="X394"/>
  <c r="X398"/>
  <c r="X402"/>
  <c r="X406"/>
  <c r="X410"/>
  <c r="X414"/>
  <c r="X418"/>
  <c r="X422"/>
  <c r="X426"/>
  <c r="X430"/>
  <c r="X434"/>
  <c r="X438"/>
  <c r="X442"/>
  <c r="X446"/>
  <c r="X450"/>
  <c r="X454"/>
  <c r="X458"/>
  <c r="X462"/>
  <c r="X466"/>
  <c r="X470"/>
  <c r="X509"/>
  <c r="X513"/>
  <c r="X517"/>
  <c r="X521"/>
  <c r="X525"/>
  <c r="X529"/>
  <c r="X533"/>
  <c r="X537"/>
  <c r="X541"/>
  <c r="X545"/>
  <c r="X549"/>
  <c r="X553"/>
  <c r="X557"/>
  <c r="X561"/>
  <c r="X565"/>
  <c r="X569"/>
  <c r="X573"/>
  <c r="X577"/>
  <c r="X581"/>
  <c r="X585"/>
  <c r="X589"/>
  <c r="X593"/>
  <c r="X597"/>
  <c r="X601"/>
  <c r="X605"/>
  <c r="X609"/>
  <c r="X613"/>
  <c r="X617"/>
  <c r="X621"/>
  <c r="X625"/>
  <c r="X629"/>
  <c r="X633"/>
  <c r="X636"/>
  <c r="X640"/>
  <c r="X644"/>
  <c r="X648"/>
  <c r="X652"/>
  <c r="X656"/>
  <c r="X660"/>
  <c r="X474"/>
  <c r="X478"/>
  <c r="X482"/>
  <c r="X486"/>
  <c r="X490"/>
  <c r="X494"/>
  <c r="X498"/>
  <c r="X502"/>
  <c r="X506"/>
  <c r="X510"/>
  <c r="X514"/>
  <c r="X518"/>
  <c r="X522"/>
  <c r="X526"/>
  <c r="X530"/>
  <c r="X534"/>
  <c r="X538"/>
  <c r="X542"/>
  <c r="X546"/>
  <c r="X550"/>
  <c r="X554"/>
  <c r="X558"/>
  <c r="X562"/>
  <c r="X566"/>
  <c r="X570"/>
  <c r="X574"/>
  <c r="X578"/>
  <c r="X582"/>
  <c r="X586"/>
  <c r="X590"/>
  <c r="X594"/>
  <c r="X598"/>
  <c r="X602"/>
  <c r="X606"/>
  <c r="X610"/>
  <c r="X614"/>
  <c r="X618"/>
  <c r="X622"/>
  <c r="X626"/>
  <c r="X630"/>
  <c r="X634"/>
  <c r="X639"/>
  <c r="X643"/>
  <c r="X647"/>
  <c r="X651"/>
  <c r="X655"/>
  <c r="X659"/>
  <c r="X663"/>
  <c r="X667"/>
  <c r="X671"/>
  <c r="X675"/>
  <c r="X679"/>
  <c r="X683"/>
  <c r="X687"/>
  <c r="X691"/>
  <c r="X695"/>
  <c r="X699"/>
  <c r="X703"/>
  <c r="X707"/>
  <c r="X711"/>
  <c r="X715"/>
  <c r="X719"/>
  <c r="X723"/>
  <c r="X727"/>
  <c r="X731"/>
  <c r="X735"/>
  <c r="X739"/>
  <c r="X743"/>
  <c r="X747"/>
  <c r="X751"/>
  <c r="X755"/>
  <c r="X759"/>
  <c r="X763"/>
  <c r="X767"/>
  <c r="X664"/>
  <c r="X668"/>
  <c r="X672"/>
  <c r="X676"/>
  <c r="X680"/>
  <c r="X684"/>
  <c r="X688"/>
  <c r="X692"/>
  <c r="X696"/>
  <c r="X700"/>
  <c r="X704"/>
  <c r="X708"/>
  <c r="X712"/>
  <c r="X716"/>
  <c r="X720"/>
  <c r="X724"/>
  <c r="X728"/>
  <c r="X732"/>
  <c r="X736"/>
  <c r="X740"/>
  <c r="X744"/>
  <c r="X748"/>
  <c r="X752"/>
  <c r="X756"/>
  <c r="X760"/>
  <c r="X764"/>
  <c r="X768"/>
  <c r="X773"/>
  <c r="X777"/>
  <c r="X781"/>
  <c r="X785"/>
  <c r="X789"/>
  <c r="X793"/>
  <c r="X797"/>
  <c r="X801"/>
  <c r="X805"/>
  <c r="X809"/>
  <c r="X813"/>
  <c r="X772"/>
  <c r="X776"/>
  <c r="X780"/>
  <c r="X784"/>
  <c r="X788"/>
  <c r="X792"/>
  <c r="X796"/>
  <c r="X800"/>
  <c r="X804"/>
  <c r="X808"/>
  <c r="X812"/>
  <c r="X816"/>
  <c r="X820"/>
  <c r="X824"/>
  <c r="X828"/>
  <c r="X832"/>
  <c r="X836"/>
  <c r="X840"/>
  <c r="X844"/>
  <c r="X848"/>
  <c r="X852"/>
  <c r="X856"/>
  <c r="X860"/>
  <c r="X864"/>
  <c r="X868"/>
  <c r="X872"/>
  <c r="X876"/>
  <c r="X880"/>
  <c r="X884"/>
  <c r="X888"/>
  <c r="X892"/>
  <c r="X896"/>
  <c r="X900"/>
  <c r="X904"/>
  <c r="X908"/>
  <c r="X912"/>
  <c r="X916"/>
  <c r="X920"/>
  <c r="X924"/>
  <c r="X928"/>
  <c r="X932"/>
  <c r="X936"/>
  <c r="X940"/>
  <c r="X815"/>
  <c r="X819"/>
  <c r="X823"/>
  <c r="X827"/>
  <c r="X831"/>
  <c r="X835"/>
  <c r="X839"/>
  <c r="X843"/>
  <c r="X847"/>
  <c r="X851"/>
  <c r="X855"/>
  <c r="X859"/>
  <c r="X863"/>
  <c r="X867"/>
  <c r="X871"/>
  <c r="X875"/>
  <c r="X879"/>
  <c r="X883"/>
  <c r="X887"/>
  <c r="X891"/>
  <c r="X895"/>
  <c r="X899"/>
  <c r="X903"/>
  <c r="X907"/>
  <c r="X911"/>
  <c r="X915"/>
  <c r="X919"/>
  <c r="X923"/>
  <c r="X927"/>
  <c r="X931"/>
  <c r="X935"/>
  <c r="X939"/>
  <c r="X943"/>
  <c r="X947"/>
  <c r="X951"/>
  <c r="X955"/>
  <c r="X959"/>
  <c r="X963"/>
  <c r="X967"/>
  <c r="X971"/>
  <c r="X975"/>
  <c r="X979"/>
  <c r="X983"/>
  <c r="X987"/>
  <c r="X991"/>
  <c r="X995"/>
  <c r="X999"/>
  <c r="X1003"/>
  <c r="X1007"/>
  <c r="X1011"/>
  <c r="X944"/>
  <c r="X948"/>
  <c r="X952"/>
  <c r="X956"/>
  <c r="X960"/>
  <c r="X964"/>
  <c r="X968"/>
  <c r="X972"/>
  <c r="X976"/>
  <c r="X980"/>
  <c r="X984"/>
  <c r="X988"/>
  <c r="X992"/>
  <c r="X996"/>
  <c r="X1000"/>
  <c r="X1004"/>
  <c r="X1008"/>
  <c r="W1015"/>
  <c r="AY18" s="1"/>
  <c r="X1011" i="1"/>
  <c r="X1009"/>
  <c r="X1007"/>
  <c r="X1005"/>
  <c r="X1003"/>
  <c r="X1001"/>
  <c r="X999"/>
  <c r="X997"/>
  <c r="X995"/>
  <c r="X993"/>
  <c r="X991"/>
  <c r="X989"/>
  <c r="X987"/>
  <c r="X985"/>
  <c r="X983"/>
  <c r="X981"/>
  <c r="X979"/>
  <c r="X977"/>
  <c r="X975"/>
  <c r="X973"/>
  <c r="X971"/>
  <c r="X969"/>
  <c r="X967"/>
  <c r="X965"/>
  <c r="X963"/>
  <c r="X961"/>
  <c r="X959"/>
  <c r="X957"/>
  <c r="X955"/>
  <c r="X953"/>
  <c r="X951"/>
  <c r="X949"/>
  <c r="X947"/>
  <c r="X945"/>
  <c r="X943"/>
  <c r="X941"/>
  <c r="X939"/>
  <c r="X937"/>
  <c r="X935"/>
  <c r="X933"/>
  <c r="X931"/>
  <c r="X929"/>
  <c r="X927"/>
  <c r="X925"/>
  <c r="X923"/>
  <c r="X921"/>
  <c r="X919"/>
  <c r="X917"/>
  <c r="X915"/>
  <c r="X913"/>
  <c r="X911"/>
  <c r="X909"/>
  <c r="X907"/>
  <c r="X905"/>
  <c r="X903"/>
  <c r="X901"/>
  <c r="X899"/>
  <c r="X897"/>
  <c r="X895"/>
  <c r="X893"/>
  <c r="X891"/>
  <c r="X889"/>
  <c r="X887"/>
  <c r="X885"/>
  <c r="X883"/>
  <c r="X881"/>
  <c r="X879"/>
  <c r="X877"/>
  <c r="X875"/>
  <c r="X873"/>
  <c r="X871"/>
  <c r="X869"/>
  <c r="X867"/>
  <c r="X865"/>
  <c r="X863"/>
  <c r="X861"/>
  <c r="X859"/>
  <c r="X857"/>
  <c r="X855"/>
  <c r="X853"/>
  <c r="X851"/>
  <c r="X849"/>
  <c r="X847"/>
  <c r="X845"/>
  <c r="X843"/>
  <c r="X841"/>
  <c r="X839"/>
  <c r="X837"/>
  <c r="X835"/>
  <c r="X833"/>
  <c r="X831"/>
  <c r="X829"/>
  <c r="X827"/>
  <c r="X825"/>
  <c r="X823"/>
  <c r="X821"/>
  <c r="X819"/>
  <c r="X817"/>
  <c r="X815"/>
  <c r="X813"/>
  <c r="X811"/>
  <c r="X809"/>
  <c r="X807"/>
  <c r="X805"/>
  <c r="X803"/>
  <c r="X801"/>
  <c r="X799"/>
  <c r="X797"/>
  <c r="X795"/>
  <c r="X793"/>
  <c r="X791"/>
  <c r="X789"/>
  <c r="X787"/>
  <c r="X785"/>
  <c r="X783"/>
  <c r="X781"/>
  <c r="X779"/>
  <c r="X777"/>
  <c r="X775"/>
  <c r="X773"/>
  <c r="X771"/>
  <c r="X769"/>
  <c r="X767"/>
  <c r="X765"/>
  <c r="X763"/>
  <c r="X761"/>
  <c r="X759"/>
  <c r="X757"/>
  <c r="X755"/>
  <c r="X753"/>
  <c r="X751"/>
  <c r="X749"/>
  <c r="X747"/>
  <c r="X745"/>
  <c r="X743"/>
  <c r="X1012"/>
  <c r="X1010"/>
  <c r="X1008"/>
  <c r="X1006"/>
  <c r="X1004"/>
  <c r="X1002"/>
  <c r="X1000"/>
  <c r="X998"/>
  <c r="X996"/>
  <c r="X994"/>
  <c r="X992"/>
  <c r="X990"/>
  <c r="X988"/>
  <c r="X986"/>
  <c r="X984"/>
  <c r="X982"/>
  <c r="X980"/>
  <c r="X978"/>
  <c r="X976"/>
  <c r="X974"/>
  <c r="X972"/>
  <c r="X970"/>
  <c r="X968"/>
  <c r="X966"/>
  <c r="X964"/>
  <c r="X962"/>
  <c r="X960"/>
  <c r="X958"/>
  <c r="X956"/>
  <c r="X954"/>
  <c r="X952"/>
  <c r="X950"/>
  <c r="X948"/>
  <c r="X946"/>
  <c r="X944"/>
  <c r="X942"/>
  <c r="X940"/>
  <c r="X938"/>
  <c r="X936"/>
  <c r="X934"/>
  <c r="X932"/>
  <c r="X930"/>
  <c r="X928"/>
  <c r="X926"/>
  <c r="X924"/>
  <c r="X922"/>
  <c r="X920"/>
  <c r="X918"/>
  <c r="X916"/>
  <c r="X914"/>
  <c r="X912"/>
  <c r="X910"/>
  <c r="X908"/>
  <c r="X906"/>
  <c r="X904"/>
  <c r="X902"/>
  <c r="X900"/>
  <c r="X898"/>
  <c r="X896"/>
  <c r="X894"/>
  <c r="X892"/>
  <c r="X890"/>
  <c r="X888"/>
  <c r="X886"/>
  <c r="X884"/>
  <c r="X882"/>
  <c r="X880"/>
  <c r="X878"/>
  <c r="X876"/>
  <c r="X874"/>
  <c r="X872"/>
  <c r="X870"/>
  <c r="X868"/>
  <c r="X866"/>
  <c r="X864"/>
  <c r="X862"/>
  <c r="X860"/>
  <c r="X858"/>
  <c r="X856"/>
  <c r="X854"/>
  <c r="X852"/>
  <c r="X850"/>
  <c r="X848"/>
  <c r="X846"/>
  <c r="X844"/>
  <c r="X842"/>
  <c r="X840"/>
  <c r="X838"/>
  <c r="X836"/>
  <c r="X834"/>
  <c r="X832"/>
  <c r="X830"/>
  <c r="X828"/>
  <c r="X826"/>
  <c r="X824"/>
  <c r="X822"/>
  <c r="X820"/>
  <c r="X818"/>
  <c r="X816"/>
  <c r="X814"/>
  <c r="X812"/>
  <c r="X810"/>
  <c r="X808"/>
  <c r="X806"/>
  <c r="X804"/>
  <c r="X802"/>
  <c r="X800"/>
  <c r="X798"/>
  <c r="X796"/>
  <c r="X794"/>
  <c r="X792"/>
  <c r="X790"/>
  <c r="X788"/>
  <c r="X786"/>
  <c r="X784"/>
  <c r="X782"/>
  <c r="X780"/>
  <c r="X778"/>
  <c r="X776"/>
  <c r="X774"/>
  <c r="X772"/>
  <c r="X770"/>
  <c r="X768"/>
  <c r="X766"/>
  <c r="X764"/>
  <c r="X762"/>
  <c r="X760"/>
  <c r="X758"/>
  <c r="X756"/>
  <c r="X754"/>
  <c r="X752"/>
  <c r="X750"/>
  <c r="X748"/>
  <c r="X746"/>
  <c r="X744"/>
  <c r="AE1012"/>
  <c r="AE1010"/>
  <c r="AE1008"/>
  <c r="AE1006"/>
  <c r="AE1004"/>
  <c r="AE1002"/>
  <c r="AE1000"/>
  <c r="AE998"/>
  <c r="AE996"/>
  <c r="AE994"/>
  <c r="AE992"/>
  <c r="AE990"/>
  <c r="AE988"/>
  <c r="AE986"/>
  <c r="AE984"/>
  <c r="AE982"/>
  <c r="AE980"/>
  <c r="AE978"/>
  <c r="AE976"/>
  <c r="AE974"/>
  <c r="AE972"/>
  <c r="AE970"/>
  <c r="AE968"/>
  <c r="AE966"/>
  <c r="AE964"/>
  <c r="AE962"/>
  <c r="AE960"/>
  <c r="AE958"/>
  <c r="AE956"/>
  <c r="AE954"/>
  <c r="AE952"/>
  <c r="AE950"/>
  <c r="AE948"/>
  <c r="AE946"/>
  <c r="AE944"/>
  <c r="AE942"/>
  <c r="AE940"/>
  <c r="AE938"/>
  <c r="AE936"/>
  <c r="AE934"/>
  <c r="AE932"/>
  <c r="AE930"/>
  <c r="AE928"/>
  <c r="AE926"/>
  <c r="AE924"/>
  <c r="AE922"/>
  <c r="AE920"/>
  <c r="AE918"/>
  <c r="AE916"/>
  <c r="AE914"/>
  <c r="AE912"/>
  <c r="AE910"/>
  <c r="AE908"/>
  <c r="AE906"/>
  <c r="AE904"/>
  <c r="AE902"/>
  <c r="AE900"/>
  <c r="AE898"/>
  <c r="AE896"/>
  <c r="AE894"/>
  <c r="AE892"/>
  <c r="AE890"/>
  <c r="AE888"/>
  <c r="AE886"/>
  <c r="AE884"/>
  <c r="AE882"/>
  <c r="AE880"/>
  <c r="AE878"/>
  <c r="AE876"/>
  <c r="AE874"/>
  <c r="AE872"/>
  <c r="AE870"/>
  <c r="AE868"/>
  <c r="AE866"/>
  <c r="AE864"/>
  <c r="AE862"/>
  <c r="AE860"/>
  <c r="AE858"/>
  <c r="AE856"/>
  <c r="AE854"/>
  <c r="AE852"/>
  <c r="AE850"/>
  <c r="AE848"/>
  <c r="AE846"/>
  <c r="AE844"/>
  <c r="AE842"/>
  <c r="AE840"/>
  <c r="AE838"/>
  <c r="AE836"/>
  <c r="AE834"/>
  <c r="AE832"/>
  <c r="AE830"/>
  <c r="AE828"/>
  <c r="AE826"/>
  <c r="AE824"/>
  <c r="AE822"/>
  <c r="AE820"/>
  <c r="AE818"/>
  <c r="AE816"/>
  <c r="AE814"/>
  <c r="AE812"/>
  <c r="AE810"/>
  <c r="AE808"/>
  <c r="AE806"/>
  <c r="AE804"/>
  <c r="AE802"/>
  <c r="AE800"/>
  <c r="AE798"/>
  <c r="AE796"/>
  <c r="AE794"/>
  <c r="AE792"/>
  <c r="AE790"/>
  <c r="AE788"/>
  <c r="AE786"/>
  <c r="AE784"/>
  <c r="AE782"/>
  <c r="AE780"/>
  <c r="AE778"/>
  <c r="AE776"/>
  <c r="AE774"/>
  <c r="AE772"/>
  <c r="AE770"/>
  <c r="AE768"/>
  <c r="AE766"/>
  <c r="AE764"/>
  <c r="AE762"/>
  <c r="AE760"/>
  <c r="AE758"/>
  <c r="AE756"/>
  <c r="AE754"/>
  <c r="AE752"/>
  <c r="AE750"/>
  <c r="AE748"/>
  <c r="AE746"/>
  <c r="AE744"/>
  <c r="AE742"/>
  <c r="AE740"/>
  <c r="AE738"/>
  <c r="AE736"/>
  <c r="AE734"/>
  <c r="AE732"/>
  <c r="AE730"/>
  <c r="AE728"/>
  <c r="AE726"/>
  <c r="AE724"/>
  <c r="AE722"/>
  <c r="AE720"/>
  <c r="AE718"/>
  <c r="AE716"/>
  <c r="AE714"/>
  <c r="AE712"/>
  <c r="AE710"/>
  <c r="AE708"/>
  <c r="AE706"/>
  <c r="AE704"/>
  <c r="AE702"/>
  <c r="AE700"/>
  <c r="AE698"/>
  <c r="AE696"/>
  <c r="AE694"/>
  <c r="AE692"/>
  <c r="AE690"/>
  <c r="AE688"/>
  <c r="AE686"/>
  <c r="AE684"/>
  <c r="AE682"/>
  <c r="AE680"/>
  <c r="AE678"/>
  <c r="AE676"/>
  <c r="AE674"/>
  <c r="AE672"/>
  <c r="AE670"/>
  <c r="AE668"/>
  <c r="AE666"/>
  <c r="AE664"/>
  <c r="AE662"/>
  <c r="AE660"/>
  <c r="AE658"/>
  <c r="AE656"/>
  <c r="AE654"/>
  <c r="AE652"/>
  <c r="AE650"/>
  <c r="AE648"/>
  <c r="AE646"/>
  <c r="AE644"/>
  <c r="AE642"/>
  <c r="AE640"/>
  <c r="AE638"/>
  <c r="AE636"/>
  <c r="AE634"/>
  <c r="AE632"/>
  <c r="AE630"/>
  <c r="AE628"/>
  <c r="AE626"/>
  <c r="AE624"/>
  <c r="AE622"/>
  <c r="AE620"/>
  <c r="AE618"/>
  <c r="AE616"/>
  <c r="AE614"/>
  <c r="AE612"/>
  <c r="AE610"/>
  <c r="AE608"/>
  <c r="AE606"/>
  <c r="AE604"/>
  <c r="AE602"/>
  <c r="AE600"/>
  <c r="AE598"/>
  <c r="AE596"/>
  <c r="AE594"/>
  <c r="AE592"/>
  <c r="AE590"/>
  <c r="AE588"/>
  <c r="AE586"/>
  <c r="AE584"/>
  <c r="AE582"/>
  <c r="AE580"/>
  <c r="AE578"/>
  <c r="AE576"/>
  <c r="AE574"/>
  <c r="AE572"/>
  <c r="AE570"/>
  <c r="AE568"/>
  <c r="AE566"/>
  <c r="AE564"/>
  <c r="AE562"/>
  <c r="AE560"/>
  <c r="AE558"/>
  <c r="AE556"/>
  <c r="AE554"/>
  <c r="AE552"/>
  <c r="AE550"/>
  <c r="AE548"/>
  <c r="AE546"/>
  <c r="AE544"/>
  <c r="AE542"/>
  <c r="AE540"/>
  <c r="AE538"/>
  <c r="AE536"/>
  <c r="AE534"/>
  <c r="AE532"/>
  <c r="AE530"/>
  <c r="AE528"/>
  <c r="AE526"/>
  <c r="AE524"/>
  <c r="AE522"/>
  <c r="AE520"/>
  <c r="AE518"/>
  <c r="AE516"/>
  <c r="AE514"/>
  <c r="AE512"/>
  <c r="AE510"/>
  <c r="AE508"/>
  <c r="AE506"/>
  <c r="AE504"/>
  <c r="AE502"/>
  <c r="AE500"/>
  <c r="AE498"/>
  <c r="AE496"/>
  <c r="AE494"/>
  <c r="AE492"/>
  <c r="AE490"/>
  <c r="AE488"/>
  <c r="AE486"/>
  <c r="AE484"/>
  <c r="AE482"/>
  <c r="AE480"/>
  <c r="AE478"/>
  <c r="AE476"/>
  <c r="AE474"/>
  <c r="AE472"/>
  <c r="AE470"/>
  <c r="AE468"/>
  <c r="AE466"/>
  <c r="AE464"/>
  <c r="AE462"/>
  <c r="AE460"/>
  <c r="AE458"/>
  <c r="AE456"/>
  <c r="AE454"/>
  <c r="AE452"/>
  <c r="AE450"/>
  <c r="AE448"/>
  <c r="AE446"/>
  <c r="AE444"/>
  <c r="AE442"/>
  <c r="AE440"/>
  <c r="AE438"/>
  <c r="AE436"/>
  <c r="AE434"/>
  <c r="AE432"/>
  <c r="AE430"/>
  <c r="AE428"/>
  <c r="AE426"/>
  <c r="AE424"/>
  <c r="AE422"/>
  <c r="AE420"/>
  <c r="AE418"/>
  <c r="AE416"/>
  <c r="AE414"/>
  <c r="AE412"/>
  <c r="AE410"/>
  <c r="AE408"/>
  <c r="AE406"/>
  <c r="AE404"/>
  <c r="AE402"/>
  <c r="AE400"/>
  <c r="AE398"/>
  <c r="AE396"/>
  <c r="AE394"/>
  <c r="AE392"/>
  <c r="AE390"/>
  <c r="AE388"/>
  <c r="AE386"/>
  <c r="AE384"/>
  <c r="AE382"/>
  <c r="AE380"/>
  <c r="AE378"/>
  <c r="AE376"/>
  <c r="AE374"/>
  <c r="AE372"/>
  <c r="AE370"/>
  <c r="AE368"/>
  <c r="AE366"/>
  <c r="AE364"/>
  <c r="AE362"/>
  <c r="AE360"/>
  <c r="AE358"/>
  <c r="AE356"/>
  <c r="AE354"/>
  <c r="AE352"/>
  <c r="AE350"/>
  <c r="AE348"/>
  <c r="AE346"/>
  <c r="AE344"/>
  <c r="AE342"/>
  <c r="AE340"/>
  <c r="AE338"/>
  <c r="AE336"/>
  <c r="AE334"/>
  <c r="AE332"/>
  <c r="AE330"/>
  <c r="AE328"/>
  <c r="AE326"/>
  <c r="AE324"/>
  <c r="AE322"/>
  <c r="AE320"/>
  <c r="AE318"/>
  <c r="AE316"/>
  <c r="AE314"/>
  <c r="AE312"/>
  <c r="AE310"/>
  <c r="AE308"/>
  <c r="AE188"/>
  <c r="AE186"/>
  <c r="AE184"/>
  <c r="AE182"/>
  <c r="AE180"/>
  <c r="AE178"/>
  <c r="AE176"/>
  <c r="AE174"/>
  <c r="AE172"/>
  <c r="AE170"/>
  <c r="AE168"/>
  <c r="AE166"/>
  <c r="AE164"/>
  <c r="AE162"/>
  <c r="AE160"/>
  <c r="AE158"/>
  <c r="AE156"/>
  <c r="AE154"/>
  <c r="AE152"/>
  <c r="AE150"/>
  <c r="AE148"/>
  <c r="AE146"/>
  <c r="AE144"/>
  <c r="AE142"/>
  <c r="AE140"/>
  <c r="AE138"/>
  <c r="AE136"/>
  <c r="AE134"/>
  <c r="AE132"/>
  <c r="AE130"/>
  <c r="AE128"/>
  <c r="AE126"/>
  <c r="AE124"/>
  <c r="AE122"/>
  <c r="AE120"/>
  <c r="AE118"/>
  <c r="AE116"/>
  <c r="AE114"/>
  <c r="AE112"/>
  <c r="AE110"/>
  <c r="AE108"/>
  <c r="AE106"/>
  <c r="AE104"/>
  <c r="AE102"/>
  <c r="AE100"/>
  <c r="AE98"/>
  <c r="AE96"/>
  <c r="AE94"/>
  <c r="AE92"/>
  <c r="AE90"/>
  <c r="AE88"/>
  <c r="AE86"/>
  <c r="AE84"/>
  <c r="AE82"/>
  <c r="AE80"/>
  <c r="AE78"/>
  <c r="AE76"/>
  <c r="AE74"/>
  <c r="AE72"/>
  <c r="AE70"/>
  <c r="AE68"/>
  <c r="AE66"/>
  <c r="AE64"/>
  <c r="AE62"/>
  <c r="AE60"/>
  <c r="AE58"/>
  <c r="AE56"/>
  <c r="AE54"/>
  <c r="AE52"/>
  <c r="AE50"/>
  <c r="AE48"/>
  <c r="AE46"/>
  <c r="AE44"/>
  <c r="AE42"/>
  <c r="AE40"/>
  <c r="AE38"/>
  <c r="AE36"/>
  <c r="AE34"/>
  <c r="AE32"/>
  <c r="AE30"/>
  <c r="AE28"/>
  <c r="AE26"/>
  <c r="AE24"/>
  <c r="AE16"/>
  <c r="AE1011"/>
  <c r="AE1009"/>
  <c r="AE1007"/>
  <c r="AE1005"/>
  <c r="AE1003"/>
  <c r="AE1001"/>
  <c r="AE999"/>
  <c r="AE997"/>
  <c r="AE995"/>
  <c r="AE993"/>
  <c r="AE991"/>
  <c r="AE989"/>
  <c r="AE987"/>
  <c r="AE985"/>
  <c r="AE983"/>
  <c r="AE981"/>
  <c r="AE979"/>
  <c r="AE977"/>
  <c r="AE975"/>
  <c r="AE973"/>
  <c r="AE971"/>
  <c r="AE969"/>
  <c r="AE967"/>
  <c r="AE965"/>
  <c r="AE963"/>
  <c r="AE961"/>
  <c r="AE959"/>
  <c r="AE957"/>
  <c r="AE955"/>
  <c r="AE953"/>
  <c r="AE951"/>
  <c r="AE949"/>
  <c r="AE947"/>
  <c r="AE945"/>
  <c r="AE943"/>
  <c r="AE941"/>
  <c r="AE939"/>
  <c r="AE937"/>
  <c r="AE935"/>
  <c r="AE933"/>
  <c r="AE931"/>
  <c r="AE929"/>
  <c r="AE927"/>
  <c r="AE925"/>
  <c r="AE923"/>
  <c r="AE921"/>
  <c r="AE919"/>
  <c r="AE917"/>
  <c r="AE915"/>
  <c r="AE913"/>
  <c r="AE911"/>
  <c r="AE909"/>
  <c r="AE907"/>
  <c r="AE905"/>
  <c r="AE903"/>
  <c r="AE901"/>
  <c r="AE899"/>
  <c r="AE897"/>
  <c r="AE895"/>
  <c r="AE893"/>
  <c r="AE891"/>
  <c r="AE889"/>
  <c r="AE887"/>
  <c r="AE885"/>
  <c r="AE883"/>
  <c r="AE881"/>
  <c r="AE879"/>
  <c r="AE877"/>
  <c r="AE875"/>
  <c r="AE873"/>
  <c r="AE871"/>
  <c r="AE869"/>
  <c r="AE867"/>
  <c r="AE865"/>
  <c r="AE863"/>
  <c r="AE861"/>
  <c r="AE859"/>
  <c r="AE857"/>
  <c r="AE855"/>
  <c r="AE853"/>
  <c r="AE851"/>
  <c r="AE849"/>
  <c r="AE847"/>
  <c r="AE845"/>
  <c r="AE843"/>
  <c r="AE841"/>
  <c r="AE839"/>
  <c r="AE837"/>
  <c r="AE835"/>
  <c r="AE833"/>
  <c r="AE831"/>
  <c r="AE829"/>
  <c r="AE827"/>
  <c r="AE825"/>
  <c r="AE823"/>
  <c r="AE821"/>
  <c r="AE819"/>
  <c r="AE817"/>
  <c r="AE815"/>
  <c r="AE813"/>
  <c r="AE811"/>
  <c r="AE809"/>
  <c r="AE807"/>
  <c r="AE805"/>
  <c r="AE803"/>
  <c r="AE801"/>
  <c r="AE799"/>
  <c r="AE797"/>
  <c r="AE795"/>
  <c r="AE793"/>
  <c r="AE791"/>
  <c r="AE789"/>
  <c r="AE787"/>
  <c r="AE785"/>
  <c r="AE783"/>
  <c r="AE781"/>
  <c r="AE779"/>
  <c r="AE777"/>
  <c r="AE775"/>
  <c r="AE773"/>
  <c r="AE771"/>
  <c r="AE769"/>
  <c r="AE767"/>
  <c r="AE765"/>
  <c r="AE763"/>
  <c r="AE761"/>
  <c r="AE759"/>
  <c r="AE757"/>
  <c r="AE755"/>
  <c r="AE753"/>
  <c r="AE751"/>
  <c r="AE749"/>
  <c r="AE747"/>
  <c r="AE745"/>
  <c r="AE743"/>
  <c r="AE741"/>
  <c r="AE739"/>
  <c r="AE737"/>
  <c r="AE735"/>
  <c r="AE733"/>
  <c r="AE731"/>
  <c r="AE729"/>
  <c r="AE727"/>
  <c r="AE725"/>
  <c r="AE723"/>
  <c r="AE721"/>
  <c r="AE719"/>
  <c r="AE717"/>
  <c r="AE715"/>
  <c r="AE713"/>
  <c r="AE711"/>
  <c r="AE709"/>
  <c r="AE707"/>
  <c r="AE705"/>
  <c r="AE703"/>
  <c r="AE701"/>
  <c r="AE699"/>
  <c r="AE697"/>
  <c r="AE695"/>
  <c r="AE693"/>
  <c r="AE691"/>
  <c r="AE689"/>
  <c r="AE687"/>
  <c r="AE685"/>
  <c r="AE683"/>
  <c r="AE681"/>
  <c r="AE679"/>
  <c r="AE677"/>
  <c r="AE675"/>
  <c r="AE673"/>
  <c r="AE671"/>
  <c r="AE669"/>
  <c r="AE667"/>
  <c r="AE665"/>
  <c r="AE663"/>
  <c r="AE661"/>
  <c r="AE659"/>
  <c r="AE657"/>
  <c r="AE655"/>
  <c r="AE653"/>
  <c r="AE651"/>
  <c r="AE649"/>
  <c r="AE647"/>
  <c r="AE645"/>
  <c r="AE643"/>
  <c r="AE641"/>
  <c r="AE639"/>
  <c r="AE637"/>
  <c r="AE635"/>
  <c r="AE633"/>
  <c r="AE631"/>
  <c r="AE629"/>
  <c r="AE627"/>
  <c r="AE625"/>
  <c r="AE623"/>
  <c r="AE621"/>
  <c r="AE619"/>
  <c r="AE617"/>
  <c r="AE615"/>
  <c r="AE613"/>
  <c r="AE611"/>
  <c r="AE609"/>
  <c r="AE607"/>
  <c r="AE605"/>
  <c r="AE603"/>
  <c r="AE601"/>
  <c r="AE599"/>
  <c r="AE597"/>
  <c r="AE595"/>
  <c r="AE593"/>
  <c r="AE591"/>
  <c r="AE589"/>
  <c r="AE587"/>
  <c r="AE585"/>
  <c r="AE583"/>
  <c r="AE581"/>
  <c r="AE579"/>
  <c r="AE577"/>
  <c r="AE575"/>
  <c r="AE573"/>
  <c r="AE571"/>
  <c r="AE569"/>
  <c r="AE567"/>
  <c r="AE565"/>
  <c r="AE563"/>
  <c r="AE561"/>
  <c r="AE559"/>
  <c r="AE557"/>
  <c r="AE555"/>
  <c r="AE553"/>
  <c r="AE551"/>
  <c r="AE549"/>
  <c r="AE547"/>
  <c r="AE545"/>
  <c r="AE543"/>
  <c r="AE541"/>
  <c r="AE539"/>
  <c r="AE537"/>
  <c r="AE535"/>
  <c r="AE533"/>
  <c r="AE531"/>
  <c r="AE529"/>
  <c r="AE527"/>
  <c r="AE525"/>
  <c r="AE523"/>
  <c r="AE521"/>
  <c r="AE519"/>
  <c r="AE517"/>
  <c r="AE515"/>
  <c r="AE513"/>
  <c r="AE511"/>
  <c r="AE509"/>
  <c r="AE507"/>
  <c r="AE505"/>
  <c r="AE503"/>
  <c r="AE501"/>
  <c r="AE499"/>
  <c r="AE497"/>
  <c r="AE495"/>
  <c r="AE493"/>
  <c r="AE491"/>
  <c r="AE489"/>
  <c r="AE487"/>
  <c r="AE485"/>
  <c r="AE483"/>
  <c r="AE481"/>
  <c r="AE479"/>
  <c r="AE477"/>
  <c r="AE475"/>
  <c r="AE473"/>
  <c r="AE471"/>
  <c r="AE469"/>
  <c r="AE467"/>
  <c r="AE465"/>
  <c r="AE463"/>
  <c r="AE461"/>
  <c r="AE459"/>
  <c r="AE457"/>
  <c r="AE455"/>
  <c r="AE453"/>
  <c r="AE451"/>
  <c r="AE449"/>
  <c r="AE447"/>
  <c r="AE445"/>
  <c r="AE443"/>
  <c r="AE441"/>
  <c r="AE439"/>
  <c r="AE437"/>
  <c r="AE435"/>
  <c r="AE433"/>
  <c r="AE431"/>
  <c r="AE429"/>
  <c r="AE427"/>
  <c r="AE425"/>
  <c r="AE423"/>
  <c r="AE421"/>
  <c r="AE419"/>
  <c r="AE417"/>
  <c r="AE415"/>
  <c r="AE413"/>
  <c r="AE411"/>
  <c r="AE409"/>
  <c r="AE407"/>
  <c r="AE405"/>
  <c r="AE403"/>
  <c r="AE401"/>
  <c r="AE399"/>
  <c r="AE397"/>
  <c r="AE395"/>
  <c r="AE393"/>
  <c r="AE391"/>
  <c r="AE389"/>
  <c r="AE387"/>
  <c r="AE385"/>
  <c r="AE383"/>
  <c r="AE381"/>
  <c r="AE379"/>
  <c r="AE377"/>
  <c r="AE375"/>
  <c r="AE373"/>
  <c r="AE371"/>
  <c r="AE369"/>
  <c r="AE367"/>
  <c r="AE365"/>
  <c r="AE363"/>
  <c r="AE361"/>
  <c r="AE359"/>
  <c r="AE357"/>
  <c r="AE355"/>
  <c r="AE353"/>
  <c r="AE351"/>
  <c r="AE349"/>
  <c r="AE347"/>
  <c r="AE345"/>
  <c r="AE343"/>
  <c r="AE341"/>
  <c r="AE339"/>
  <c r="AE337"/>
  <c r="AE335"/>
  <c r="AE333"/>
  <c r="AE331"/>
  <c r="AE329"/>
  <c r="AE327"/>
  <c r="AE325"/>
  <c r="AE323"/>
  <c r="AE321"/>
  <c r="AE319"/>
  <c r="AE317"/>
  <c r="AE315"/>
  <c r="AE313"/>
  <c r="AE311"/>
  <c r="AE309"/>
  <c r="AE307"/>
  <c r="AE187"/>
  <c r="AE185"/>
  <c r="AE183"/>
  <c r="AE181"/>
  <c r="AE179"/>
  <c r="AE177"/>
  <c r="AE175"/>
  <c r="AE173"/>
  <c r="AE171"/>
  <c r="AE169"/>
  <c r="AE167"/>
  <c r="AE165"/>
  <c r="AE163"/>
  <c r="AE161"/>
  <c r="AE159"/>
  <c r="AE157"/>
  <c r="AE155"/>
  <c r="AE153"/>
  <c r="AE151"/>
  <c r="AE149"/>
  <c r="AE147"/>
  <c r="AE145"/>
  <c r="AE143"/>
  <c r="AE141"/>
  <c r="AE139"/>
  <c r="AE137"/>
  <c r="AE135"/>
  <c r="AE133"/>
  <c r="AE131"/>
  <c r="AE129"/>
  <c r="AE127"/>
  <c r="AE125"/>
  <c r="AE123"/>
  <c r="AE121"/>
  <c r="AE119"/>
  <c r="AE117"/>
  <c r="AE115"/>
  <c r="AE113"/>
  <c r="AE111"/>
  <c r="AE109"/>
  <c r="AE107"/>
  <c r="AE105"/>
  <c r="AE103"/>
  <c r="AE101"/>
  <c r="AE99"/>
  <c r="AE97"/>
  <c r="AE95"/>
  <c r="AE93"/>
  <c r="AE91"/>
  <c r="AE89"/>
  <c r="AE87"/>
  <c r="AE85"/>
  <c r="AE83"/>
  <c r="AE81"/>
  <c r="AE79"/>
  <c r="AE77"/>
  <c r="AE75"/>
  <c r="AE73"/>
  <c r="AE71"/>
  <c r="AE69"/>
  <c r="AE67"/>
  <c r="AE65"/>
  <c r="AE63"/>
  <c r="AE61"/>
  <c r="AE59"/>
  <c r="AE57"/>
  <c r="AE55"/>
  <c r="AE53"/>
  <c r="AE51"/>
  <c r="AE49"/>
  <c r="AE47"/>
  <c r="AE45"/>
  <c r="AE43"/>
  <c r="AE41"/>
  <c r="AE39"/>
  <c r="AE37"/>
  <c r="AE35"/>
  <c r="AE33"/>
  <c r="AE31"/>
  <c r="AE23"/>
  <c r="N1017"/>
  <c r="AE29"/>
  <c r="AE27"/>
  <c r="AE25"/>
  <c r="AE14"/>
  <c r="AE21"/>
  <c r="AE19"/>
  <c r="AE17"/>
  <c r="AE15"/>
  <c r="W1021"/>
  <c r="AY34" s="1"/>
  <c r="AZ35" s="1"/>
  <c r="W1019"/>
  <c r="AY28" s="1"/>
  <c r="AX29" s="1"/>
  <c r="W1020"/>
  <c r="AY31" s="1"/>
  <c r="AV32" s="1"/>
  <c r="W1017"/>
  <c r="AY22" s="1"/>
  <c r="AX23" s="1"/>
  <c r="AE22"/>
  <c r="AE20"/>
  <c r="AE18"/>
  <c r="AX32"/>
  <c r="W1018"/>
  <c r="AY25" s="1"/>
  <c r="AW26" s="1"/>
  <c r="M1017"/>
  <c r="BC25"/>
  <c r="BC22"/>
  <c r="BC28"/>
  <c r="BC34"/>
  <c r="BC31"/>
  <c r="BB31"/>
  <c r="BF40" s="1"/>
  <c r="BB28"/>
  <c r="BF39" s="1"/>
  <c r="AE13"/>
  <c r="BB22"/>
  <c r="BF37" s="1"/>
  <c r="E1023"/>
  <c r="F1042"/>
  <c r="BD22" s="1"/>
  <c r="F1043"/>
  <c r="BD25" s="1"/>
  <c r="L1017"/>
  <c r="W1015"/>
  <c r="AY18" s="1"/>
  <c r="F1044"/>
  <c r="BD28" s="1"/>
  <c r="F1046"/>
  <c r="BD34" s="1"/>
  <c r="F1045"/>
  <c r="BD31" s="1"/>
  <c r="V1015"/>
  <c r="AU18" s="1"/>
  <c r="BB34" i="8" l="1"/>
  <c r="BF41" s="1"/>
  <c r="AV35"/>
  <c r="BA35"/>
  <c r="AZ35"/>
  <c r="AW35"/>
  <c r="AX35"/>
  <c r="E1043"/>
  <c r="F1043" s="1"/>
  <c r="BD25" s="1"/>
  <c r="E1044"/>
  <c r="F1044" s="1"/>
  <c r="BD28" s="1"/>
  <c r="E1046"/>
  <c r="F1046" s="1"/>
  <c r="BD34" s="1"/>
  <c r="BB22"/>
  <c r="BF37" s="1"/>
  <c r="AV23"/>
  <c r="BA23"/>
  <c r="AZ23"/>
  <c r="AW23"/>
  <c r="AX23"/>
  <c r="BB31"/>
  <c r="BF40" s="1"/>
  <c r="AV32"/>
  <c r="AW32"/>
  <c r="BA32"/>
  <c r="AX32"/>
  <c r="AZ32"/>
  <c r="E1042"/>
  <c r="F1042" s="1"/>
  <c r="BD22" s="1"/>
  <c r="E1045"/>
  <c r="F1045" s="1"/>
  <c r="BD31" s="1"/>
  <c r="AW26"/>
  <c r="AV26"/>
  <c r="AZ26"/>
  <c r="BA26"/>
  <c r="AW19"/>
  <c r="BB18"/>
  <c r="BF36" s="1"/>
  <c r="AX19"/>
  <c r="AV19"/>
  <c r="BA19"/>
  <c r="AZ19"/>
  <c r="E1032"/>
  <c r="BF18"/>
  <c r="AX26"/>
  <c r="F1026"/>
  <c r="BC25" s="1"/>
  <c r="F1027"/>
  <c r="BC28" s="1"/>
  <c r="F1028"/>
  <c r="BC31" s="1"/>
  <c r="F1029"/>
  <c r="BC34" s="1"/>
  <c r="F1025"/>
  <c r="BC22" s="1"/>
  <c r="AV26" i="7"/>
  <c r="BA26"/>
  <c r="AZ26"/>
  <c r="AX26"/>
  <c r="E1042"/>
  <c r="F1042" s="1"/>
  <c r="BD22" s="1"/>
  <c r="E1043"/>
  <c r="F1043" s="1"/>
  <c r="BD25" s="1"/>
  <c r="E1044"/>
  <c r="F1044" s="1"/>
  <c r="E1045"/>
  <c r="F1045" s="1"/>
  <c r="BD31" s="1"/>
  <c r="E1046"/>
  <c r="F1046" s="1"/>
  <c r="BD34" s="1"/>
  <c r="AZ23"/>
  <c r="BA23"/>
  <c r="E1040"/>
  <c r="F1040" s="1"/>
  <c r="BD18" s="1"/>
  <c r="AV32"/>
  <c r="BB25"/>
  <c r="BF38" s="1"/>
  <c r="AV23"/>
  <c r="BB22"/>
  <c r="BF37" s="1"/>
  <c r="BA19"/>
  <c r="AZ19"/>
  <c r="AX29"/>
  <c r="AW29"/>
  <c r="BB28"/>
  <c r="BF39" s="1"/>
  <c r="AV29"/>
  <c r="AZ29"/>
  <c r="BA29"/>
  <c r="AZ32"/>
  <c r="BA32"/>
  <c r="BB18"/>
  <c r="BF36" s="1"/>
  <c r="AX19"/>
  <c r="AV19"/>
  <c r="AW19"/>
  <c r="AZ35"/>
  <c r="BA35"/>
  <c r="AW26"/>
  <c r="AX23"/>
  <c r="F1025"/>
  <c r="BC22" s="1"/>
  <c r="F1026"/>
  <c r="BC25" s="1"/>
  <c r="F1027"/>
  <c r="BC28" s="1"/>
  <c r="F1028"/>
  <c r="BC31" s="1"/>
  <c r="F1029"/>
  <c r="BC34" s="1"/>
  <c r="AX32"/>
  <c r="AZ19" i="6"/>
  <c r="BA19"/>
  <c r="E1025"/>
  <c r="F1025" s="1"/>
  <c r="E1040"/>
  <c r="F1040" s="1"/>
  <c r="BD18" s="1"/>
  <c r="AW19"/>
  <c r="BB18"/>
  <c r="BF36" s="1"/>
  <c r="AX19"/>
  <c r="AV19"/>
  <c r="E1043"/>
  <c r="E1044"/>
  <c r="F1044" s="1"/>
  <c r="E1045"/>
  <c r="E1046"/>
  <c r="F1046" s="1"/>
  <c r="E1034"/>
  <c r="BF22"/>
  <c r="BC25"/>
  <c r="BC28"/>
  <c r="BC34"/>
  <c r="F1028"/>
  <c r="BC31" s="1"/>
  <c r="AW29" i="1"/>
  <c r="AZ19" i="5"/>
  <c r="BA19"/>
  <c r="AW19"/>
  <c r="BB18"/>
  <c r="BF36" s="1"/>
  <c r="AX19"/>
  <c r="AV19"/>
  <c r="BB22"/>
  <c r="BF37" s="1"/>
  <c r="AX23"/>
  <c r="AZ23"/>
  <c r="AW23"/>
  <c r="AV23"/>
  <c r="BA23"/>
  <c r="AV32"/>
  <c r="BA32"/>
  <c r="AW32"/>
  <c r="BB31"/>
  <c r="BF40" s="1"/>
  <c r="AX32"/>
  <c r="AZ32"/>
  <c r="AX35"/>
  <c r="BB34"/>
  <c r="BF41" s="1"/>
  <c r="AZ35"/>
  <c r="AV35"/>
  <c r="BA35"/>
  <c r="AW35"/>
  <c r="E1042"/>
  <c r="F1042" s="1"/>
  <c r="BD22" s="1"/>
  <c r="E1040"/>
  <c r="F1040" s="1"/>
  <c r="BD18" s="1"/>
  <c r="AV26"/>
  <c r="BC25"/>
  <c r="BC28"/>
  <c r="BC31"/>
  <c r="BC34"/>
  <c r="E1043"/>
  <c r="F1043" s="1"/>
  <c r="E1044"/>
  <c r="E1045"/>
  <c r="F1045" s="1"/>
  <c r="E1046"/>
  <c r="BA26"/>
  <c r="AZ26"/>
  <c r="BC22"/>
  <c r="AW26"/>
  <c r="AX26"/>
  <c r="AW23" i="1"/>
  <c r="J7"/>
  <c r="F1032" s="1"/>
  <c r="E1032" s="1"/>
  <c r="E1040" s="1"/>
  <c r="F1040" s="1"/>
  <c r="BB34"/>
  <c r="BF41" s="1"/>
  <c r="AX35"/>
  <c r="AV35"/>
  <c r="AW35"/>
  <c r="AV29"/>
  <c r="BB25"/>
  <c r="BF38" s="1"/>
  <c r="AX26"/>
  <c r="AV26"/>
  <c r="AW32"/>
  <c r="AZ32"/>
  <c r="AZ26"/>
  <c r="BA35"/>
  <c r="BA29"/>
  <c r="BA23"/>
  <c r="AZ29"/>
  <c r="AZ23"/>
  <c r="BA32"/>
  <c r="BA26"/>
  <c r="AV23"/>
  <c r="BB18"/>
  <c r="BF36" s="1"/>
  <c r="AW19"/>
  <c r="AX19"/>
  <c r="AV19"/>
  <c r="AZ19"/>
  <c r="BA19"/>
  <c r="F1023"/>
  <c r="BC18" s="1"/>
  <c r="BD28" i="7" l="1"/>
  <c r="E1040" i="8"/>
  <c r="E1042" i="6"/>
  <c r="F1042" s="1"/>
  <c r="BD22" s="1"/>
  <c r="BD34"/>
  <c r="BD28"/>
  <c r="F1045"/>
  <c r="BD31" s="1"/>
  <c r="F1043"/>
  <c r="BD25" s="1"/>
  <c r="BC22"/>
  <c r="BF18" i="1"/>
  <c r="F1046" i="5"/>
  <c r="BD34" s="1"/>
  <c r="F1044"/>
  <c r="BD28" s="1"/>
  <c r="BD31"/>
  <c r="BD25"/>
  <c r="BD18" i="1"/>
  <c r="F1040" i="8" l="1"/>
  <c r="BD18" s="1"/>
</calcChain>
</file>

<file path=xl/comments1.xml><?xml version="1.0" encoding="utf-8"?>
<comments xmlns="http://schemas.openxmlformats.org/spreadsheetml/2006/main">
  <authors>
    <author>Matthew Jaramillo</author>
  </authors>
  <commentList>
    <comment ref="C11" authorId="0">
      <text>
        <r>
          <rPr>
            <b/>
            <sz val="8"/>
            <color indexed="81"/>
            <rFont val="Tahoma"/>
            <family val="2"/>
          </rPr>
          <t>Problem Solving (PS)
Data Sufficiency (DS)
Reading Comprehension (RC)
Critical Reasoning (CR)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Sentence Correction (SR)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Displays your cumulative average time for each question in seconds.</t>
        </r>
      </text>
    </comment>
    <comment ref="H11" authorId="0">
      <text>
        <r>
          <rPr>
            <b/>
            <sz val="8"/>
            <color indexed="81"/>
            <rFont val="Tahoma"/>
            <family val="2"/>
          </rPr>
          <t>Displays your average time for the last ten questions in seconds.</t>
        </r>
      </text>
    </comment>
    <comment ref="J11" authorId="0">
      <text>
        <r>
          <rPr>
            <b/>
            <sz val="8"/>
            <color indexed="81"/>
            <rFont val="Tahoma"/>
            <family val="2"/>
          </rPr>
          <t>Enter "1" under the appropriate answer choice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1" authorId="0">
      <text>
        <r>
          <rPr>
            <b/>
            <sz val="8"/>
            <color indexed="81"/>
            <rFont val="Tahoma"/>
            <family val="2"/>
          </rPr>
          <t>Enter "1" under the appropriate answer selection method/comfort level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>Input the date you completed the question.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>Input the time it took to complete the question in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2" authorId="0">
      <text>
        <r>
          <rPr>
            <b/>
            <sz val="8"/>
            <color indexed="81"/>
            <rFont val="Tahoma"/>
            <family val="2"/>
          </rPr>
          <t>You know the answer, no guessing. Fairly confident to totally confident in answer selection.</t>
        </r>
      </text>
    </comment>
    <comment ref="R12" authorId="0">
      <text>
        <r>
          <rPr>
            <b/>
            <sz val="8"/>
            <color indexed="81"/>
            <rFont val="Tahoma"/>
            <family val="2"/>
          </rPr>
          <t>You eliminated some wrong answer choices but do not know the answer.  50/50 confidence in answer selection.</t>
        </r>
      </text>
    </comment>
    <comment ref="S12" authorId="0">
      <text>
        <r>
          <rPr>
            <b/>
            <sz val="8"/>
            <color indexed="81"/>
            <rFont val="Tahoma"/>
            <family val="2"/>
          </rPr>
          <t>Have no idea - mostly random guess</t>
        </r>
      </text>
    </comment>
    <comment ref="U12" authorId="0">
      <text>
        <r>
          <rPr>
            <b/>
            <sz val="8"/>
            <color indexed="81"/>
            <rFont val="Tahoma"/>
            <family val="2"/>
          </rPr>
          <t>Input the correct answer in this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conceptual error.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stupid mistake.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Matthew Jaramillo</author>
  </authors>
  <commentList>
    <comment ref="C11" authorId="0">
      <text>
        <r>
          <rPr>
            <b/>
            <sz val="8"/>
            <color indexed="81"/>
            <rFont val="Tahoma"/>
            <family val="2"/>
          </rPr>
          <t>Problem Solving (PS)
Data Sufficiency (DS)
Reading Comprehension (RC)
Critical Reasoning (CR)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Sentence Correction (SR)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Displays your cumulative average time for each question in seconds.</t>
        </r>
      </text>
    </comment>
    <comment ref="H11" authorId="0">
      <text>
        <r>
          <rPr>
            <b/>
            <sz val="8"/>
            <color indexed="81"/>
            <rFont val="Tahoma"/>
            <family val="2"/>
          </rPr>
          <t>Displays your average time for the last ten questions in seconds.</t>
        </r>
      </text>
    </comment>
    <comment ref="J11" authorId="0">
      <text>
        <r>
          <rPr>
            <b/>
            <sz val="8"/>
            <color indexed="81"/>
            <rFont val="Tahoma"/>
            <family val="2"/>
          </rPr>
          <t>Enter "1" under the appropriate answer choice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1" authorId="0">
      <text>
        <r>
          <rPr>
            <b/>
            <sz val="8"/>
            <color indexed="81"/>
            <rFont val="Tahoma"/>
            <family val="2"/>
          </rPr>
          <t>Enter "1" under the appropriate answer selection method/comfort level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>Input the date you completed the question.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>Input the time it took to complete the question in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2" authorId="0">
      <text>
        <r>
          <rPr>
            <b/>
            <sz val="8"/>
            <color indexed="81"/>
            <rFont val="Tahoma"/>
            <family val="2"/>
          </rPr>
          <t>You know the answer, no guessing. Fairly confident to totally confident in answer selection.</t>
        </r>
      </text>
    </comment>
    <comment ref="R12" authorId="0">
      <text>
        <r>
          <rPr>
            <b/>
            <sz val="8"/>
            <color indexed="81"/>
            <rFont val="Tahoma"/>
            <family val="2"/>
          </rPr>
          <t>You eliminated some wrong answer choices but do not know the answer.  50/50 confidence in answer selection.</t>
        </r>
      </text>
    </comment>
    <comment ref="S12" authorId="0">
      <text>
        <r>
          <rPr>
            <b/>
            <sz val="8"/>
            <color indexed="81"/>
            <rFont val="Tahoma"/>
            <family val="2"/>
          </rPr>
          <t>Have no idea - mostly random guess</t>
        </r>
      </text>
    </comment>
    <comment ref="U12" authorId="0">
      <text>
        <r>
          <rPr>
            <b/>
            <sz val="8"/>
            <color indexed="81"/>
            <rFont val="Tahoma"/>
            <family val="2"/>
          </rPr>
          <t>Input the correct answer in this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conceptual error.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stupid mistake.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Matthew Jaramillo</author>
  </authors>
  <commentList>
    <comment ref="C11" authorId="0">
      <text>
        <r>
          <rPr>
            <b/>
            <sz val="8"/>
            <color indexed="81"/>
            <rFont val="Tahoma"/>
            <family val="2"/>
          </rPr>
          <t>Problem Solving (PS)
Data Sufficiency (DS)
Reading Comprehension (RC)
Critical Reasoning (CR)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Sentence Correction (SR)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Displays your cumulative average time for each question in seconds.</t>
        </r>
      </text>
    </comment>
    <comment ref="H11" authorId="0">
      <text>
        <r>
          <rPr>
            <b/>
            <sz val="8"/>
            <color indexed="81"/>
            <rFont val="Tahoma"/>
            <family val="2"/>
          </rPr>
          <t>Displays your average time for the last ten questions in seconds.</t>
        </r>
      </text>
    </comment>
    <comment ref="J11" authorId="0">
      <text>
        <r>
          <rPr>
            <b/>
            <sz val="8"/>
            <color indexed="81"/>
            <rFont val="Tahoma"/>
            <family val="2"/>
          </rPr>
          <t>Enter "1" under the appropriate answer choice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1" authorId="0">
      <text>
        <r>
          <rPr>
            <b/>
            <sz val="8"/>
            <color indexed="81"/>
            <rFont val="Tahoma"/>
            <family val="2"/>
          </rPr>
          <t>Enter "1" under the appropriate answer selection method/comfort level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>Input the date you completed the question.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>Input the time it took to complete the question in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2" authorId="0">
      <text>
        <r>
          <rPr>
            <b/>
            <sz val="8"/>
            <color indexed="81"/>
            <rFont val="Tahoma"/>
            <family val="2"/>
          </rPr>
          <t>You know the answer, no guessing. Fairly confident to totally confident in answer selection.</t>
        </r>
      </text>
    </comment>
    <comment ref="R12" authorId="0">
      <text>
        <r>
          <rPr>
            <b/>
            <sz val="8"/>
            <color indexed="81"/>
            <rFont val="Tahoma"/>
            <family val="2"/>
          </rPr>
          <t>You eliminated some wrong answer choices but do not know the answer.  50/50 confidence in answer selection.</t>
        </r>
      </text>
    </comment>
    <comment ref="S12" authorId="0">
      <text>
        <r>
          <rPr>
            <b/>
            <sz val="8"/>
            <color indexed="81"/>
            <rFont val="Tahoma"/>
            <family val="2"/>
          </rPr>
          <t>Have no idea - mostly random guess</t>
        </r>
      </text>
    </comment>
    <comment ref="U12" authorId="0">
      <text>
        <r>
          <rPr>
            <b/>
            <sz val="8"/>
            <color indexed="81"/>
            <rFont val="Tahoma"/>
            <family val="2"/>
          </rPr>
          <t>Input the correct answer in this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conceptual error.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stupid mistake.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Matthew Jaramillo</author>
  </authors>
  <commentList>
    <comment ref="C11" authorId="0">
      <text>
        <r>
          <rPr>
            <b/>
            <sz val="8"/>
            <color indexed="81"/>
            <rFont val="Tahoma"/>
            <family val="2"/>
          </rPr>
          <t>Problem Solving (PS)
Data Sufficiency (DS)
Reading Comprehension (RC)
Critical Reasoning (CR)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Sentence Correction (SR)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Displays your cumulative average time for each question in seconds.</t>
        </r>
      </text>
    </comment>
    <comment ref="H11" authorId="0">
      <text>
        <r>
          <rPr>
            <b/>
            <sz val="8"/>
            <color indexed="81"/>
            <rFont val="Tahoma"/>
            <family val="2"/>
          </rPr>
          <t>Displays your average time for the last ten questions in seconds.</t>
        </r>
      </text>
    </comment>
    <comment ref="J11" authorId="0">
      <text>
        <r>
          <rPr>
            <b/>
            <sz val="8"/>
            <color indexed="81"/>
            <rFont val="Tahoma"/>
            <family val="2"/>
          </rPr>
          <t>Enter "1" under the appropriate answer choice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1" authorId="0">
      <text>
        <r>
          <rPr>
            <b/>
            <sz val="8"/>
            <color indexed="81"/>
            <rFont val="Tahoma"/>
            <family val="2"/>
          </rPr>
          <t>Enter "1" under the appropriate answer selection method/comfort level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>Input the date you completed the question.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>Input the time it took to complete the question in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2" authorId="0">
      <text>
        <r>
          <rPr>
            <b/>
            <sz val="8"/>
            <color indexed="81"/>
            <rFont val="Tahoma"/>
            <family val="2"/>
          </rPr>
          <t>You know the answer, no guessing. Fairly confident to totally confident in answer selection.</t>
        </r>
      </text>
    </comment>
    <comment ref="R12" authorId="0">
      <text>
        <r>
          <rPr>
            <b/>
            <sz val="8"/>
            <color indexed="81"/>
            <rFont val="Tahoma"/>
            <family val="2"/>
          </rPr>
          <t>You eliminated some wrong answer choices but do not know the answer.  50/50 confidence in answer selection.</t>
        </r>
      </text>
    </comment>
    <comment ref="S12" authorId="0">
      <text>
        <r>
          <rPr>
            <b/>
            <sz val="8"/>
            <color indexed="81"/>
            <rFont val="Tahoma"/>
            <family val="2"/>
          </rPr>
          <t>Have no idea - mostly random guess</t>
        </r>
      </text>
    </comment>
    <comment ref="U12" authorId="0">
      <text>
        <r>
          <rPr>
            <b/>
            <sz val="8"/>
            <color indexed="81"/>
            <rFont val="Tahoma"/>
            <family val="2"/>
          </rPr>
          <t>Input the correct answer in this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conceptual error.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stupid mistake.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Matthew Jaramillo</author>
  </authors>
  <commentList>
    <comment ref="C11" authorId="0">
      <text>
        <r>
          <rPr>
            <b/>
            <sz val="8"/>
            <color indexed="81"/>
            <rFont val="Tahoma"/>
            <family val="2"/>
          </rPr>
          <t>Problem Solving (PS)
Data Sufficiency (DS)
Reading Comprehension (RC)
Critical Reasoning (CR)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Sentence Correction (SR)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Displays your cumulative average time for each question in seconds.</t>
        </r>
      </text>
    </comment>
    <comment ref="H11" authorId="0">
      <text>
        <r>
          <rPr>
            <b/>
            <sz val="8"/>
            <color indexed="81"/>
            <rFont val="Tahoma"/>
            <family val="2"/>
          </rPr>
          <t>Displays your average time for the last ten questions in seconds.</t>
        </r>
      </text>
    </comment>
    <comment ref="J11" authorId="0">
      <text>
        <r>
          <rPr>
            <b/>
            <sz val="8"/>
            <color indexed="81"/>
            <rFont val="Tahoma"/>
            <family val="2"/>
          </rPr>
          <t>Enter "1" under the appropriate answer choice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1" authorId="0">
      <text>
        <r>
          <rPr>
            <b/>
            <sz val="8"/>
            <color indexed="81"/>
            <rFont val="Tahoma"/>
            <family val="2"/>
          </rPr>
          <t>Enter "1" under the appropriate answer selection method/comfort level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>Input the date you completed the question.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>Input the time it took to complete the question in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2" authorId="0">
      <text>
        <r>
          <rPr>
            <b/>
            <sz val="8"/>
            <color indexed="81"/>
            <rFont val="Tahoma"/>
            <family val="2"/>
          </rPr>
          <t>You know the answer, no guessing. Fairly confident to totally confident in answer selection.</t>
        </r>
      </text>
    </comment>
    <comment ref="R12" authorId="0">
      <text>
        <r>
          <rPr>
            <b/>
            <sz val="8"/>
            <color indexed="81"/>
            <rFont val="Tahoma"/>
            <family val="2"/>
          </rPr>
          <t>You eliminated some wrong answer choices but do not know the answer.  50/50 confidence in answer selection.</t>
        </r>
      </text>
    </comment>
    <comment ref="S12" authorId="0">
      <text>
        <r>
          <rPr>
            <b/>
            <sz val="8"/>
            <color indexed="81"/>
            <rFont val="Tahoma"/>
            <family val="2"/>
          </rPr>
          <t>Have no idea - mostly random guess</t>
        </r>
      </text>
    </comment>
    <comment ref="U12" authorId="0">
      <text>
        <r>
          <rPr>
            <b/>
            <sz val="8"/>
            <color indexed="81"/>
            <rFont val="Tahoma"/>
            <family val="2"/>
          </rPr>
          <t>Input the correct answer in this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conceptual error.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12" authorId="0">
      <text>
        <r>
          <rPr>
            <b/>
            <sz val="8"/>
            <color indexed="81"/>
            <rFont val="Tahoma"/>
            <family val="2"/>
          </rPr>
          <t>Input a "1" if you got the problem wrong due to a stupid mistake.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<sst xmlns="http://schemas.openxmlformats.org/spreadsheetml/2006/main" count="575" uniqueCount="106">
  <si>
    <t>Know</t>
  </si>
  <si>
    <t>Guess</t>
  </si>
  <si>
    <t>POE</t>
  </si>
  <si>
    <t>Correct</t>
  </si>
  <si>
    <t>Incorrect</t>
  </si>
  <si>
    <t>Concept</t>
  </si>
  <si>
    <t>Stupid Error</t>
  </si>
  <si>
    <t>Time (s)</t>
  </si>
  <si>
    <t>Answer Result</t>
  </si>
  <si>
    <t>A</t>
  </si>
  <si>
    <t>B</t>
  </si>
  <si>
    <t>C</t>
  </si>
  <si>
    <t>D</t>
  </si>
  <si>
    <t>E</t>
  </si>
  <si>
    <t>Answer Choice</t>
  </si>
  <si>
    <t>Why Wrong?</t>
  </si>
  <si>
    <t>Correct Ans.</t>
  </si>
  <si>
    <t>% Correct</t>
  </si>
  <si>
    <t>Date</t>
  </si>
  <si>
    <t>10Q Avg</t>
  </si>
  <si>
    <t>Number</t>
  </si>
  <si>
    <t>Question</t>
  </si>
  <si>
    <t>Type</t>
  </si>
  <si>
    <t>Answer Selection Method / Comfort</t>
  </si>
  <si>
    <t>Cum. Avg</t>
  </si>
  <si>
    <t>Highlighting conditions:</t>
  </si>
  <si>
    <t>Time (anything greater than or equal to X secs.):</t>
  </si>
  <si>
    <t>POE / Medium comfort (1=YES, 0=NO)</t>
  </si>
  <si>
    <t>Guess / No comfort (1=YES, 0=NO)</t>
  </si>
  <si>
    <t>Notes (helpful to write down question topic of any incorrect answers)</t>
  </si>
  <si>
    <t>Date of Report:</t>
  </si>
  <si>
    <t>Accuracy</t>
  </si>
  <si>
    <t>Timing</t>
  </si>
  <si>
    <t>Total</t>
  </si>
  <si>
    <t>Problem Solving</t>
  </si>
  <si>
    <t>Data Sufficiency</t>
  </si>
  <si>
    <t>Reading Comprehension</t>
  </si>
  <si>
    <t>Critical Reasoning</t>
  </si>
  <si>
    <t>Sentence Correction</t>
  </si>
  <si>
    <t>All Questions</t>
  </si>
  <si>
    <t>Question Source:</t>
  </si>
  <si>
    <t>Summary Data Calculations</t>
  </si>
  <si>
    <t>PS</t>
  </si>
  <si>
    <t>DS</t>
  </si>
  <si>
    <t>CR</t>
  </si>
  <si>
    <t>SC</t>
  </si>
  <si>
    <t>RC</t>
  </si>
  <si>
    <t>Stpd Error</t>
  </si>
  <si>
    <t>Highlight Errors? (1=YES, 0=NO)</t>
  </si>
  <si>
    <t>Minutes</t>
  </si>
  <si>
    <t>Seconds</t>
  </si>
  <si>
    <t>GOAL</t>
  </si>
  <si>
    <t>TIME</t>
  </si>
  <si>
    <t>CONDITIONAL</t>
  </si>
  <si>
    <t>FORMATING</t>
  </si>
  <si>
    <t>DO NOT DELETE THESE COLUMNS</t>
  </si>
  <si>
    <t>+/- Goal</t>
  </si>
  <si>
    <t>Performance by Question Type</t>
  </si>
  <si>
    <t>Tot.</t>
  </si>
  <si>
    <t>Difference to Goal</t>
  </si>
  <si>
    <t>Source 1</t>
  </si>
  <si>
    <t>Source 2</t>
  </si>
  <si>
    <t>GMAT Error Log Instructions</t>
  </si>
  <si>
    <t>I hope that you find this Error Log to be a useful tool in your GMAT preparation.</t>
  </si>
  <si>
    <t>Setting up your Error Log</t>
  </si>
  <si>
    <t>1.  Ungroup all of the rows and columns by clicking the "2" in both the rows and columns.</t>
  </si>
  <si>
    <t>2.  Type in the source of your questions in cell F4.  This Error Log has organized each tab to function for 1 source.  If you, like most people, will use more than 1 source, just use a different tab to record your answers.</t>
  </si>
  <si>
    <t>It is built around a few premises.  1) You will want to review any question you got incorrect; 2) You will want to review any question you may have gotten right but were not completely comfortable in your answer choice;</t>
  </si>
  <si>
    <t>and 3) If you are timing yourself on each question, you will want to review any question that did not meet your goal time.</t>
  </si>
  <si>
    <t>Once you have set up all your inputs, you can turn the highlighting tool on and off as you see fit.  I choose only to leave it on when I want to review my answers.  I find it distracting while I am actually inputting my answers.</t>
  </si>
  <si>
    <t>Column B - Question number column.  This column is meant for you to be able to type in the answer number for each question.  The default is to grow each by 1 but you can over-ride this by simply typing in your own numbers.</t>
  </si>
  <si>
    <t>Column E - Input the date in which you took the question</t>
  </si>
  <si>
    <t>*</t>
  </si>
  <si>
    <t>Columns J-N - Input your answer.  Type a "1" into the appropriate box for your answer selection.  Make only 1 input per question.  If you input more than 1 it will possibly mess up your results.</t>
  </si>
  <si>
    <t>Column F - Input the amount of time it took you to answer each question.  Input in seconds (example: 2 minutes equals 120).  If you do not wish to time yourself then leave this column blank.</t>
  </si>
  <si>
    <t>Column U - Input the Correct Answer.  Before diving into your questions - skip to the back of the book and find all the answers - record them in this column.</t>
  </si>
  <si>
    <t>Input boxes are identified easily by their gray shading and blue fonts.  No shading with black fonts indicate an output/calculation.</t>
  </si>
  <si>
    <t>After you have set up your Error Log and answer questions</t>
  </si>
  <si>
    <t>Once you have done this check the box which says "Create a Copy" and press OK.  This will create a new tab that is a replica of the tab you copied.  Kind of like a copy and paste for Excel tabs.</t>
  </si>
  <si>
    <t>Next - Print out your results (Ctrl + P).  There is a performance report for each source tab.  If you can't print then you can still view the report in columns BO-CA.</t>
  </si>
  <si>
    <t xml:space="preserve">3.  Next you will set up one of the key features in this Error Log - the Question Review Highlighting tool.  Firstly, the Highlighting Tool is built in to help you identify the questions you need to come back to </t>
  </si>
  <si>
    <t>and perhaps spend a bit more time on.</t>
  </si>
  <si>
    <t xml:space="preserve">a.  In row 7, in columns K-O, there is the number "120" in blue under headings PS, DS, RC, CR, and SC.  These numbers will be your "goal" time for each particular type of GMAT question.  </t>
  </si>
  <si>
    <t>The default time is 120 seconds or 2 minutes per question.  You may change this as you will dependent upon your individual "goal" time for each question type.</t>
  </si>
  <si>
    <t xml:space="preserve">b.  Next you will choose to highlight any question where you used the Process of Elimination to arrive at any answer choice but still werent completely sure of your answer choice.  </t>
  </si>
  <si>
    <t>So if you would like to highlight these types of questions type a "1" into cell F8 (the default is Yes).  If you do not want to highlight these answers then type a "0" in this cell.</t>
  </si>
  <si>
    <t xml:space="preserve">c.  Lastly you will choose to highlight any question where you guessed at random and have very little confidence in your answer choice.  </t>
  </si>
  <si>
    <t>If you wish to highlight types of questions type "1" into cell F9 (the default is Yes).  If you do not want to highlight these answers then type a "0" in this cell.</t>
  </si>
  <si>
    <t xml:space="preserve">Next, I will go through each column to identify what you are inputting into each. </t>
  </si>
  <si>
    <t>A * indentifies inputs which are absolutely necessary to make this error log as useful as intended.</t>
  </si>
  <si>
    <t xml:space="preserve">Column C - Question type column. In this column you will select what type of question it is.  You can choose among PS (Problem Solving), DS (Data Sufficiency), RC (Reading Comprehension), </t>
  </si>
  <si>
    <t>CR (Critical Reasoning) or SC (Sentence Correction)</t>
  </si>
  <si>
    <t xml:space="preserve">Columns Q-S - Input how you solved the question and how comfortable you are with your answer choice.  "Know" equates to you being 90-100% sure you selected the right answer and you are confident in your choice.  </t>
  </si>
  <si>
    <t>POE equates to you eliminating some wrong answer choices but are still not totally sure among your remaining answer choices.  "Guess" equates to a totally random guess because you have no idea.</t>
  </si>
  <si>
    <t xml:space="preserve">Columns Z-AA - After you have found out if you got the answer "right" or "wrong", select the box which identifies why you got the answer wrong.  There are 2 choices.  "Concept" means that the question tested something </t>
  </si>
  <si>
    <t xml:space="preserve">conceptual which you did not understand. "Stupid Error" means any question where you just made a real dumb mistake but it is obvious to you once you see the "right" </t>
  </si>
  <si>
    <t>answer and you understand why the correct answer is correct.</t>
  </si>
  <si>
    <t xml:space="preserve">Column AC - Type in any notes for each question that you might have.  I suggest using this especially for answers you get wrong.  Type what type of question it was (i.e. Algebra, Arithmetic, Percents, etc) </t>
  </si>
  <si>
    <t>that way when you review your notes you also get a hint into possible topics that you should review as well.</t>
  </si>
  <si>
    <t xml:space="preserve">Turn the highlighting tool on to see what questions you should review more closely.  Red highlighting identifies any "incorrect" answer.  Yellow highlighting identifies 1 or a few things - Could mean you used POE, or a </t>
  </si>
  <si>
    <t>Guess to arrive at a correct answer. Or it could mean that while you got the right answer it took you longer than your goal time.</t>
  </si>
  <si>
    <t>-</t>
  </si>
  <si>
    <t>Source 3</t>
  </si>
  <si>
    <t>Source 4</t>
  </si>
  <si>
    <t>Source 5</t>
  </si>
  <si>
    <t>I have created 5 source tabs as a default but you can create as many as excel will handle.  To create a new tab - right click on a tab which you have not filled out yet and select "Move or Copy."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</si>
</sst>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&quot;ON&quot;;;&quot;OFF&quot;"/>
    <numFmt numFmtId="166" formatCode="&quot;YES&quot;;;&quot;NO&quot;"/>
    <numFmt numFmtId="167" formatCode="0.0"/>
  </numFmts>
  <fonts count="22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0"/>
      <color indexed="12"/>
      <name val="Times New Roman"/>
      <family val="1"/>
    </font>
    <font>
      <sz val="8"/>
      <name val="Arial"/>
      <family val="2"/>
    </font>
    <font>
      <sz val="10"/>
      <color indexed="9"/>
      <name val="Times New Roman"/>
      <family val="1"/>
    </font>
    <font>
      <b/>
      <sz val="10"/>
      <color indexed="9"/>
      <name val="Times New Roman"/>
      <family val="1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0"/>
      <color indexed="9"/>
      <name val="Times New Roman"/>
      <family val="1"/>
    </font>
    <font>
      <b/>
      <sz val="10"/>
      <color indexed="12"/>
      <name val="Times New Roman"/>
      <family val="1"/>
    </font>
    <font>
      <sz val="10"/>
      <color indexed="10"/>
      <name val="Times New Roman"/>
      <family val="1"/>
    </font>
    <font>
      <sz val="10"/>
      <color theme="0"/>
      <name val="Times New Roman"/>
      <family val="1"/>
    </font>
    <font>
      <b/>
      <sz val="14"/>
      <name val="Times New Roman"/>
      <family val="1"/>
    </font>
    <font>
      <b/>
      <sz val="10"/>
      <color rgb="FFFFFFFF"/>
      <name val="Times New Roman"/>
      <family val="1"/>
    </font>
    <font>
      <sz val="10"/>
      <color rgb="FFFFFFFF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9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4" xfId="0" applyFont="1" applyFill="1" applyBorder="1"/>
    <xf numFmtId="166" fontId="1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left" indent="1"/>
    </xf>
    <xf numFmtId="0" fontId="1" fillId="2" borderId="6" xfId="0" applyFont="1" applyFill="1" applyBorder="1" applyAlignment="1">
      <alignment horizontal="left" indent="1"/>
    </xf>
    <xf numFmtId="0" fontId="1" fillId="2" borderId="7" xfId="0" applyFont="1" applyFill="1" applyBorder="1"/>
    <xf numFmtId="0" fontId="2" fillId="2" borderId="7" xfId="0" applyFont="1" applyFill="1" applyBorder="1"/>
    <xf numFmtId="14" fontId="2" fillId="0" borderId="0" xfId="0" applyNumberFormat="1" applyFont="1"/>
    <xf numFmtId="0" fontId="3" fillId="0" borderId="0" xfId="0" applyFont="1" applyFill="1" applyBorder="1"/>
    <xf numFmtId="9" fontId="2" fillId="0" borderId="0" xfId="0" applyNumberFormat="1" applyFont="1" applyAlignment="1">
      <alignment horizontal="center"/>
    </xf>
    <xf numFmtId="166" fontId="12" fillId="2" borderId="4" xfId="0" applyNumberFormat="1" applyFont="1" applyFill="1" applyBorder="1" applyAlignment="1">
      <alignment horizontal="right"/>
    </xf>
    <xf numFmtId="164" fontId="12" fillId="2" borderId="0" xfId="0" applyNumberFormat="1" applyFont="1" applyFill="1" applyBorder="1" applyAlignment="1">
      <alignment horizontal="right"/>
    </xf>
    <xf numFmtId="166" fontId="12" fillId="2" borderId="0" xfId="0" applyNumberFormat="1" applyFont="1" applyFill="1" applyBorder="1" applyAlignment="1">
      <alignment horizontal="right"/>
    </xf>
    <xf numFmtId="166" fontId="12" fillId="2" borderId="7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2" borderId="9" xfId="0" applyFont="1" applyFill="1" applyBorder="1"/>
    <xf numFmtId="0" fontId="2" fillId="2" borderId="15" xfId="0" applyFont="1" applyFill="1" applyBorder="1"/>
    <xf numFmtId="0" fontId="2" fillId="2" borderId="10" xfId="0" applyFont="1" applyFill="1" applyBorder="1"/>
    <xf numFmtId="0" fontId="1" fillId="2" borderId="4" xfId="0" applyFont="1" applyFill="1" applyBorder="1" applyAlignment="1">
      <alignment horizontal="center"/>
    </xf>
    <xf numFmtId="3" fontId="12" fillId="2" borderId="0" xfId="0" applyNumberFormat="1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2" fillId="0" borderId="5" xfId="0" applyFont="1" applyBorder="1"/>
    <xf numFmtId="0" fontId="2" fillId="0" borderId="15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left" indent="1"/>
    </xf>
    <xf numFmtId="0" fontId="2" fillId="2" borderId="16" xfId="0" applyFont="1" applyFill="1" applyBorder="1"/>
    <xf numFmtId="0" fontId="2" fillId="0" borderId="7" xfId="0" applyFont="1" applyBorder="1"/>
    <xf numFmtId="167" fontId="2" fillId="0" borderId="0" xfId="0" applyNumberFormat="1" applyFont="1" applyAlignment="1">
      <alignment horizontal="center"/>
    </xf>
    <xf numFmtId="167" fontId="2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3" fillId="0" borderId="0" xfId="0" applyFont="1" applyAlignment="1">
      <alignment horizontal="center"/>
    </xf>
    <xf numFmtId="0" fontId="1" fillId="2" borderId="18" xfId="0" applyFont="1" applyFill="1" applyBorder="1"/>
    <xf numFmtId="0" fontId="1" fillId="2" borderId="16" xfId="0" applyFont="1" applyFill="1" applyBorder="1"/>
    <xf numFmtId="166" fontId="12" fillId="2" borderId="16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9" xfId="0" applyFont="1" applyFill="1" applyBorder="1"/>
    <xf numFmtId="0" fontId="7" fillId="3" borderId="3" xfId="0" applyFont="1" applyFill="1" applyBorder="1" applyAlignment="1">
      <alignment horizontal="centerContinuous"/>
    </xf>
    <xf numFmtId="0" fontId="6" fillId="3" borderId="4" xfId="0" applyFont="1" applyFill="1" applyBorder="1" applyAlignment="1">
      <alignment horizontal="centerContinuous"/>
    </xf>
    <xf numFmtId="0" fontId="7" fillId="3" borderId="4" xfId="0" applyFont="1" applyFill="1" applyBorder="1" applyAlignment="1">
      <alignment horizontal="centerContinuous"/>
    </xf>
    <xf numFmtId="0" fontId="6" fillId="3" borderId="9" xfId="0" applyFont="1" applyFill="1" applyBorder="1" applyAlignment="1">
      <alignment horizontal="centerContinuous"/>
    </xf>
    <xf numFmtId="0" fontId="7" fillId="3" borderId="12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11" fillId="3" borderId="3" xfId="0" applyFont="1" applyFill="1" applyBorder="1"/>
    <xf numFmtId="0" fontId="11" fillId="3" borderId="4" xfId="0" applyFont="1" applyFill="1" applyBorder="1"/>
    <xf numFmtId="0" fontId="8" fillId="3" borderId="4" xfId="0" applyFont="1" applyFill="1" applyBorder="1"/>
    <xf numFmtId="0" fontId="6" fillId="3" borderId="4" xfId="0" applyFont="1" applyFill="1" applyBorder="1"/>
    <xf numFmtId="0" fontId="7" fillId="3" borderId="6" xfId="0" applyFont="1" applyFill="1" applyBorder="1"/>
    <xf numFmtId="0" fontId="6" fillId="3" borderId="7" xfId="0" applyFont="1" applyFill="1" applyBorder="1"/>
    <xf numFmtId="0" fontId="7" fillId="3" borderId="7" xfId="0" applyFont="1" applyFill="1" applyBorder="1"/>
    <xf numFmtId="166" fontId="7" fillId="3" borderId="7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11" xfId="0" applyFont="1" applyFill="1" applyBorder="1"/>
    <xf numFmtId="0" fontId="7" fillId="3" borderId="2" xfId="0" applyFont="1" applyFill="1" applyBorder="1"/>
    <xf numFmtId="0" fontId="2" fillId="3" borderId="0" xfId="0" applyFont="1" applyFill="1"/>
    <xf numFmtId="0" fontId="14" fillId="3" borderId="0" xfId="0" applyFont="1" applyFill="1"/>
    <xf numFmtId="0" fontId="15" fillId="0" borderId="0" xfId="0" applyFont="1"/>
    <xf numFmtId="0" fontId="1" fillId="3" borderId="0" xfId="0" applyFont="1" applyFill="1"/>
    <xf numFmtId="0" fontId="16" fillId="3" borderId="1" xfId="0" applyFont="1" applyFill="1" applyBorder="1" applyAlignment="1">
      <alignment horizontal="center"/>
    </xf>
    <xf numFmtId="0" fontId="17" fillId="3" borderId="18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/>
    <xf numFmtId="0" fontId="1" fillId="4" borderId="2" xfId="0" applyFont="1" applyFill="1" applyBorder="1" applyAlignment="1">
      <alignment horizontal="center"/>
    </xf>
    <xf numFmtId="9" fontId="1" fillId="4" borderId="17" xfId="0" applyNumberFormat="1" applyFont="1" applyFill="1" applyBorder="1" applyAlignment="1">
      <alignment horizontal="center"/>
    </xf>
    <xf numFmtId="1" fontId="1" fillId="4" borderId="17" xfId="0" applyNumberFormat="1" applyFont="1" applyFill="1" applyBorder="1" applyAlignment="1">
      <alignment horizontal="center"/>
    </xf>
    <xf numFmtId="1" fontId="1" fillId="4" borderId="17" xfId="0" applyNumberFormat="1" applyFont="1" applyFill="1" applyBorder="1"/>
    <xf numFmtId="9" fontId="1" fillId="4" borderId="2" xfId="0" applyNumberFormat="1" applyFont="1" applyFill="1" applyBorder="1" applyAlignment="1">
      <alignment horizontal="center"/>
    </xf>
    <xf numFmtId="1" fontId="1" fillId="4" borderId="2" xfId="0" applyNumberFormat="1" applyFont="1" applyFill="1" applyBorder="1" applyAlignment="1">
      <alignment horizontal="center"/>
    </xf>
    <xf numFmtId="9" fontId="17" fillId="0" borderId="0" xfId="0" applyNumberFormat="1" applyFont="1" applyAlignment="1">
      <alignment horizontal="center"/>
    </xf>
    <xf numFmtId="0" fontId="17" fillId="0" borderId="0" xfId="0" applyFont="1"/>
    <xf numFmtId="9" fontId="18" fillId="0" borderId="0" xfId="0" applyNumberFormat="1" applyFont="1" applyBorder="1" applyAlignment="1">
      <alignment horizontal="center"/>
    </xf>
    <xf numFmtId="0" fontId="19" fillId="0" borderId="0" xfId="0" applyFont="1"/>
    <xf numFmtId="9" fontId="18" fillId="0" borderId="7" xfId="0" applyNumberFormat="1" applyFont="1" applyBorder="1" applyAlignment="1">
      <alignment horizontal="center"/>
    </xf>
    <xf numFmtId="0" fontId="2" fillId="0" borderId="6" xfId="0" applyFont="1" applyBorder="1"/>
    <xf numFmtId="9" fontId="18" fillId="0" borderId="6" xfId="0" applyNumberFormat="1" applyFont="1" applyBorder="1" applyAlignment="1">
      <alignment horizontal="center"/>
    </xf>
    <xf numFmtId="9" fontId="18" fillId="0" borderId="10" xfId="0" applyNumberFormat="1" applyFont="1" applyBorder="1" applyAlignment="1">
      <alignment horizontal="center"/>
    </xf>
    <xf numFmtId="0" fontId="11" fillId="3" borderId="0" xfId="0" applyFont="1" applyFill="1" applyBorder="1"/>
    <xf numFmtId="0" fontId="2" fillId="0" borderId="0" xfId="0" applyFont="1" applyAlignment="1">
      <alignment horizontal="left" indent="1"/>
    </xf>
    <xf numFmtId="0" fontId="2" fillId="0" borderId="0" xfId="0" applyFont="1" applyFill="1"/>
    <xf numFmtId="0" fontId="20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21" fillId="0" borderId="0" xfId="0" applyFont="1"/>
  </cellXfs>
  <cellStyles count="1">
    <cellStyle name="Normal" xfId="0" builtinId="0"/>
  </cellStyles>
  <dxfs count="25">
    <dxf>
      <font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Accuracy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(1)'!$BG$36:$BG$41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(1)'!$BF$36:$BF$41</c:f>
              <c:numCache>
                <c:formatCode>0%</c:formatCode>
                <c:ptCount val="6"/>
                <c:pt idx="0">
                  <c:v>0.7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</c:ser>
        <c:axId val="53334400"/>
        <c:axId val="53337472"/>
      </c:barChart>
      <c:catAx>
        <c:axId val="53334400"/>
        <c:scaling>
          <c:orientation val="minMax"/>
        </c:scaling>
        <c:axPos val="b"/>
        <c:tickLblPos val="nextTo"/>
        <c:crossAx val="53337472"/>
        <c:crosses val="autoZero"/>
        <c:auto val="1"/>
        <c:lblAlgn val="ctr"/>
        <c:lblOffset val="100"/>
      </c:catAx>
      <c:valAx>
        <c:axId val="53337472"/>
        <c:scaling>
          <c:orientation val="minMax"/>
        </c:scaling>
        <c:axPos val="l"/>
        <c:majorGridlines/>
        <c:numFmt formatCode="0%" sourceLinked="1"/>
        <c:tickLblPos val="nextTo"/>
        <c:crossAx val="53334400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Timing (seconds)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(1)'!$BG$43:$BG$48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(1)'!$BF$43:$BF$48</c:f>
              <c:numCache>
                <c:formatCode>0</c:formatCode>
                <c:ptCount val="6"/>
                <c:pt idx="0">
                  <c:v>117</c:v>
                </c:pt>
                <c:pt idx="1">
                  <c:v>75</c:v>
                </c:pt>
                <c:pt idx="2">
                  <c:v>220</c:v>
                </c:pt>
                <c:pt idx="3">
                  <c:v>115</c:v>
                </c:pt>
                <c:pt idx="4">
                  <c:v>102.5</c:v>
                </c:pt>
                <c:pt idx="5">
                  <c:v>72.5</c:v>
                </c:pt>
              </c:numCache>
            </c:numRef>
          </c:val>
        </c:ser>
        <c:axId val="73102848"/>
        <c:axId val="74428416"/>
      </c:barChart>
      <c:catAx>
        <c:axId val="73102848"/>
        <c:scaling>
          <c:orientation val="minMax"/>
        </c:scaling>
        <c:axPos val="b"/>
        <c:tickLblPos val="nextTo"/>
        <c:crossAx val="74428416"/>
        <c:crosses val="autoZero"/>
        <c:auto val="1"/>
        <c:lblAlgn val="ctr"/>
        <c:lblOffset val="100"/>
      </c:catAx>
      <c:valAx>
        <c:axId val="74428416"/>
        <c:scaling>
          <c:orientation val="minMax"/>
        </c:scaling>
        <c:axPos val="l"/>
        <c:majorGridlines/>
        <c:numFmt formatCode="0" sourceLinked="1"/>
        <c:tickLblPos val="nextTo"/>
        <c:crossAx val="73102848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Accuracy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(2)'!$BG$36:$BG$41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(2)'!$BF$36:$BF$41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75494528"/>
        <c:axId val="75496064"/>
      </c:barChart>
      <c:catAx>
        <c:axId val="75494528"/>
        <c:scaling>
          <c:orientation val="minMax"/>
        </c:scaling>
        <c:axPos val="b"/>
        <c:tickLblPos val="nextTo"/>
        <c:crossAx val="75496064"/>
        <c:crosses val="autoZero"/>
        <c:auto val="1"/>
        <c:lblAlgn val="ctr"/>
        <c:lblOffset val="100"/>
      </c:catAx>
      <c:valAx>
        <c:axId val="75496064"/>
        <c:scaling>
          <c:orientation val="minMax"/>
        </c:scaling>
        <c:axPos val="l"/>
        <c:majorGridlines/>
        <c:numFmt formatCode="0%" sourceLinked="1"/>
        <c:tickLblPos val="nextTo"/>
        <c:crossAx val="75494528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Timing (seconds)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(2)'!$BG$43:$BG$48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(2)'!$BF$43:$BF$48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75682176"/>
        <c:axId val="75683712"/>
      </c:barChart>
      <c:catAx>
        <c:axId val="75682176"/>
        <c:scaling>
          <c:orientation val="minMax"/>
        </c:scaling>
        <c:axPos val="b"/>
        <c:tickLblPos val="nextTo"/>
        <c:crossAx val="75683712"/>
        <c:crosses val="autoZero"/>
        <c:auto val="1"/>
        <c:lblAlgn val="ctr"/>
        <c:lblOffset val="100"/>
      </c:catAx>
      <c:valAx>
        <c:axId val="75683712"/>
        <c:scaling>
          <c:orientation val="minMax"/>
        </c:scaling>
        <c:axPos val="l"/>
        <c:majorGridlines/>
        <c:numFmt formatCode="0" sourceLinked="1"/>
        <c:tickLblPos val="nextTo"/>
        <c:crossAx val="75682176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Accuracy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(3)'!$BG$36:$BG$41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(3)'!$BF$36:$BF$41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126695680"/>
        <c:axId val="145949056"/>
      </c:barChart>
      <c:catAx>
        <c:axId val="126695680"/>
        <c:scaling>
          <c:orientation val="minMax"/>
        </c:scaling>
        <c:axPos val="b"/>
        <c:tickLblPos val="nextTo"/>
        <c:crossAx val="145949056"/>
        <c:crosses val="autoZero"/>
        <c:auto val="1"/>
        <c:lblAlgn val="ctr"/>
        <c:lblOffset val="100"/>
      </c:catAx>
      <c:valAx>
        <c:axId val="145949056"/>
        <c:scaling>
          <c:orientation val="minMax"/>
        </c:scaling>
        <c:axPos val="l"/>
        <c:majorGridlines/>
        <c:numFmt formatCode="0%" sourceLinked="1"/>
        <c:tickLblPos val="nextTo"/>
        <c:crossAx val="126695680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Timing (seconds)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(3)'!$BG$43:$BG$48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(3)'!$BF$43:$BF$48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160032640"/>
        <c:axId val="160034176"/>
      </c:barChart>
      <c:catAx>
        <c:axId val="160032640"/>
        <c:scaling>
          <c:orientation val="minMax"/>
        </c:scaling>
        <c:axPos val="b"/>
        <c:tickLblPos val="nextTo"/>
        <c:crossAx val="160034176"/>
        <c:crosses val="autoZero"/>
        <c:auto val="1"/>
        <c:lblAlgn val="ctr"/>
        <c:lblOffset val="100"/>
      </c:catAx>
      <c:valAx>
        <c:axId val="160034176"/>
        <c:scaling>
          <c:orientation val="minMax"/>
        </c:scaling>
        <c:axPos val="l"/>
        <c:majorGridlines/>
        <c:numFmt formatCode="0" sourceLinked="1"/>
        <c:tickLblPos val="nextTo"/>
        <c:crossAx val="160032640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Accuracy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(4)'!$BG$36:$BG$41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(4)'!$BF$36:$BF$41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175709184"/>
        <c:axId val="175817472"/>
      </c:barChart>
      <c:catAx>
        <c:axId val="175709184"/>
        <c:scaling>
          <c:orientation val="minMax"/>
        </c:scaling>
        <c:axPos val="b"/>
        <c:tickLblPos val="nextTo"/>
        <c:crossAx val="175817472"/>
        <c:crosses val="autoZero"/>
        <c:auto val="1"/>
        <c:lblAlgn val="ctr"/>
        <c:lblOffset val="100"/>
      </c:catAx>
      <c:valAx>
        <c:axId val="175817472"/>
        <c:scaling>
          <c:orientation val="minMax"/>
        </c:scaling>
        <c:axPos val="l"/>
        <c:majorGridlines/>
        <c:numFmt formatCode="0%" sourceLinked="1"/>
        <c:tickLblPos val="nextTo"/>
        <c:crossAx val="175709184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Timing (seconds)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(4)'!$BG$43:$BG$48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(4)'!$BF$43:$BF$48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193630976"/>
        <c:axId val="193632512"/>
      </c:barChart>
      <c:catAx>
        <c:axId val="193630976"/>
        <c:scaling>
          <c:orientation val="minMax"/>
        </c:scaling>
        <c:axPos val="b"/>
        <c:tickLblPos val="nextTo"/>
        <c:crossAx val="193632512"/>
        <c:crosses val="autoZero"/>
        <c:auto val="1"/>
        <c:lblAlgn val="ctr"/>
        <c:lblOffset val="100"/>
      </c:catAx>
      <c:valAx>
        <c:axId val="193632512"/>
        <c:scaling>
          <c:orientation val="minMax"/>
        </c:scaling>
        <c:axPos val="l"/>
        <c:majorGridlines/>
        <c:numFmt formatCode="0" sourceLinked="1"/>
        <c:tickLblPos val="nextTo"/>
        <c:crossAx val="193630976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Accuracy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(5)'!$BG$36:$BG$41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(5)'!$BF$36:$BF$41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88232704"/>
        <c:axId val="88234240"/>
      </c:barChart>
      <c:catAx>
        <c:axId val="88232704"/>
        <c:scaling>
          <c:orientation val="minMax"/>
        </c:scaling>
        <c:axPos val="b"/>
        <c:tickLblPos val="nextTo"/>
        <c:crossAx val="88234240"/>
        <c:crosses val="autoZero"/>
        <c:auto val="1"/>
        <c:lblAlgn val="ctr"/>
        <c:lblOffset val="100"/>
      </c:catAx>
      <c:valAx>
        <c:axId val="88234240"/>
        <c:scaling>
          <c:orientation val="minMax"/>
        </c:scaling>
        <c:axPos val="l"/>
        <c:majorGridlines/>
        <c:numFmt formatCode="0%" sourceLinked="1"/>
        <c:tickLblPos val="nextTo"/>
        <c:crossAx val="88232704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Question Timing (seconds)</a:t>
            </a:r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tx2"/>
            </a:solidFill>
            <a:scene3d>
              <a:camera prst="orthographicFront"/>
              <a:lightRig rig="freezing" dir="t"/>
            </a:scene3d>
            <a:sp3d prstMaterial="dkEdge">
              <a:bevelT w="88900" h="88900"/>
              <a:bevelB w="88900" h="88900"/>
            </a:sp3d>
          </c:spPr>
          <c:dLbls>
            <c:showVal val="1"/>
          </c:dLbls>
          <c:cat>
            <c:strRef>
              <c:f>'Source_Input (5)'!$BG$43:$BG$48</c:f>
              <c:strCache>
                <c:ptCount val="6"/>
                <c:pt idx="0">
                  <c:v>Total</c:v>
                </c:pt>
                <c:pt idx="1">
                  <c:v>PS</c:v>
                </c:pt>
                <c:pt idx="2">
                  <c:v>DS</c:v>
                </c:pt>
                <c:pt idx="3">
                  <c:v>RC</c:v>
                </c:pt>
                <c:pt idx="4">
                  <c:v>CR</c:v>
                </c:pt>
                <c:pt idx="5">
                  <c:v>SC</c:v>
                </c:pt>
              </c:strCache>
            </c:strRef>
          </c:cat>
          <c:val>
            <c:numRef>
              <c:f>'Source_Input (5)'!$BF$43:$BF$48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88262528"/>
        <c:axId val="88264064"/>
      </c:barChart>
      <c:catAx>
        <c:axId val="88262528"/>
        <c:scaling>
          <c:orientation val="minMax"/>
        </c:scaling>
        <c:axPos val="b"/>
        <c:tickLblPos val="nextTo"/>
        <c:crossAx val="88264064"/>
        <c:crosses val="autoZero"/>
        <c:auto val="1"/>
        <c:lblAlgn val="ctr"/>
        <c:lblOffset val="100"/>
      </c:catAx>
      <c:valAx>
        <c:axId val="88264064"/>
        <c:scaling>
          <c:orientation val="minMax"/>
        </c:scaling>
        <c:axPos val="l"/>
        <c:majorGridlines/>
        <c:numFmt formatCode="0" sourceLinked="1"/>
        <c:tickLblPos val="nextTo"/>
        <c:crossAx val="88262528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plotVisOnly val="1"/>
  </c:chart>
  <c:spPr>
    <a:solidFill>
      <a:srgbClr val="FFFFFF"/>
    </a:solidFill>
  </c:sp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hyperlink" Target="#'Source_Input (1)'!BG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hyperlink" Target="#'Source_Input (2)'!BG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hyperlink" Target="#'Source_Input (3)'!BG1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hyperlink" Target="#'Source_Input (4)'!BG1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hyperlink" Target="#'Source_Input (5)'!BG1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699882</xdr:colOff>
      <xdr:row>35</xdr:row>
      <xdr:rowOff>118443</xdr:rowOff>
    </xdr:from>
    <xdr:to>
      <xdr:col>55</xdr:col>
      <xdr:colOff>636933</xdr:colOff>
      <xdr:row>52</xdr:row>
      <xdr:rowOff>43898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389283</xdr:colOff>
      <xdr:row>1</xdr:row>
      <xdr:rowOff>91109</xdr:rowOff>
    </xdr:from>
    <xdr:to>
      <xdr:col>18</xdr:col>
      <xdr:colOff>289891</xdr:colOff>
      <xdr:row>3</xdr:row>
      <xdr:rowOff>124239</xdr:rowOff>
    </xdr:to>
    <xdr:sp macro="" textlink="">
      <xdr:nvSpPr>
        <xdr:cNvPr id="5" name="Folded Corner 4">
          <a:hlinkClick xmlns:r="http://schemas.openxmlformats.org/officeDocument/2006/relationships" r:id="rId2"/>
        </xdr:cNvPr>
        <xdr:cNvSpPr/>
      </xdr:nvSpPr>
      <xdr:spPr>
        <a:xfrm>
          <a:off x="6501848" y="256761"/>
          <a:ext cx="612913" cy="521804"/>
        </a:xfrm>
        <a:prstGeom prst="folded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Go to </a:t>
          </a:r>
        </a:p>
        <a:p>
          <a:pPr algn="ctr"/>
          <a:r>
            <a:rPr lang="en-US" sz="1000"/>
            <a:t>Report</a:t>
          </a:r>
        </a:p>
      </xdr:txBody>
    </xdr:sp>
    <xdr:clientData/>
  </xdr:twoCellAnchor>
  <xdr:twoCellAnchor>
    <xdr:from>
      <xdr:col>42</xdr:col>
      <xdr:colOff>171450</xdr:colOff>
      <xdr:row>52</xdr:row>
      <xdr:rowOff>152400</xdr:rowOff>
    </xdr:from>
    <xdr:to>
      <xdr:col>55</xdr:col>
      <xdr:colOff>622851</xdr:colOff>
      <xdr:row>69</xdr:row>
      <xdr:rowOff>77855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699882</xdr:colOff>
      <xdr:row>35</xdr:row>
      <xdr:rowOff>118443</xdr:rowOff>
    </xdr:from>
    <xdr:to>
      <xdr:col>55</xdr:col>
      <xdr:colOff>636933</xdr:colOff>
      <xdr:row>52</xdr:row>
      <xdr:rowOff>43898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389283</xdr:colOff>
      <xdr:row>1</xdr:row>
      <xdr:rowOff>91109</xdr:rowOff>
    </xdr:from>
    <xdr:to>
      <xdr:col>18</xdr:col>
      <xdr:colOff>289891</xdr:colOff>
      <xdr:row>3</xdr:row>
      <xdr:rowOff>124239</xdr:rowOff>
    </xdr:to>
    <xdr:sp macro="" textlink="">
      <xdr:nvSpPr>
        <xdr:cNvPr id="3" name="Folded Corner 2">
          <a:hlinkClick xmlns:r="http://schemas.openxmlformats.org/officeDocument/2006/relationships" r:id="rId2"/>
        </xdr:cNvPr>
        <xdr:cNvSpPr/>
      </xdr:nvSpPr>
      <xdr:spPr>
        <a:xfrm>
          <a:off x="6504333" y="253034"/>
          <a:ext cx="614983" cy="518905"/>
        </a:xfrm>
        <a:prstGeom prst="folded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Go to </a:t>
          </a:r>
        </a:p>
        <a:p>
          <a:pPr algn="ctr"/>
          <a:r>
            <a:rPr lang="en-US" sz="1000"/>
            <a:t>Report</a:t>
          </a:r>
        </a:p>
      </xdr:txBody>
    </xdr:sp>
    <xdr:clientData/>
  </xdr:twoCellAnchor>
  <xdr:twoCellAnchor>
    <xdr:from>
      <xdr:col>42</xdr:col>
      <xdr:colOff>171450</xdr:colOff>
      <xdr:row>52</xdr:row>
      <xdr:rowOff>152400</xdr:rowOff>
    </xdr:from>
    <xdr:to>
      <xdr:col>55</xdr:col>
      <xdr:colOff>622851</xdr:colOff>
      <xdr:row>69</xdr:row>
      <xdr:rowOff>77855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699882</xdr:colOff>
      <xdr:row>35</xdr:row>
      <xdr:rowOff>118443</xdr:rowOff>
    </xdr:from>
    <xdr:to>
      <xdr:col>55</xdr:col>
      <xdr:colOff>636933</xdr:colOff>
      <xdr:row>52</xdr:row>
      <xdr:rowOff>43898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389283</xdr:colOff>
      <xdr:row>1</xdr:row>
      <xdr:rowOff>91109</xdr:rowOff>
    </xdr:from>
    <xdr:to>
      <xdr:col>18</xdr:col>
      <xdr:colOff>289891</xdr:colOff>
      <xdr:row>3</xdr:row>
      <xdr:rowOff>124239</xdr:rowOff>
    </xdr:to>
    <xdr:sp macro="" textlink="">
      <xdr:nvSpPr>
        <xdr:cNvPr id="3" name="Folded Corner 2">
          <a:hlinkClick xmlns:r="http://schemas.openxmlformats.org/officeDocument/2006/relationships" r:id="rId2"/>
        </xdr:cNvPr>
        <xdr:cNvSpPr/>
      </xdr:nvSpPr>
      <xdr:spPr>
        <a:xfrm>
          <a:off x="6504333" y="253034"/>
          <a:ext cx="614983" cy="518905"/>
        </a:xfrm>
        <a:prstGeom prst="folded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Go to </a:t>
          </a:r>
        </a:p>
        <a:p>
          <a:pPr algn="ctr"/>
          <a:r>
            <a:rPr lang="en-US" sz="1000"/>
            <a:t>Report</a:t>
          </a:r>
        </a:p>
      </xdr:txBody>
    </xdr:sp>
    <xdr:clientData/>
  </xdr:twoCellAnchor>
  <xdr:twoCellAnchor>
    <xdr:from>
      <xdr:col>42</xdr:col>
      <xdr:colOff>171450</xdr:colOff>
      <xdr:row>52</xdr:row>
      <xdr:rowOff>152400</xdr:rowOff>
    </xdr:from>
    <xdr:to>
      <xdr:col>55</xdr:col>
      <xdr:colOff>622851</xdr:colOff>
      <xdr:row>69</xdr:row>
      <xdr:rowOff>77855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699882</xdr:colOff>
      <xdr:row>35</xdr:row>
      <xdr:rowOff>118443</xdr:rowOff>
    </xdr:from>
    <xdr:to>
      <xdr:col>55</xdr:col>
      <xdr:colOff>636933</xdr:colOff>
      <xdr:row>52</xdr:row>
      <xdr:rowOff>43898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389283</xdr:colOff>
      <xdr:row>1</xdr:row>
      <xdr:rowOff>91109</xdr:rowOff>
    </xdr:from>
    <xdr:to>
      <xdr:col>18</xdr:col>
      <xdr:colOff>289891</xdr:colOff>
      <xdr:row>3</xdr:row>
      <xdr:rowOff>124239</xdr:rowOff>
    </xdr:to>
    <xdr:sp macro="" textlink="">
      <xdr:nvSpPr>
        <xdr:cNvPr id="3" name="Folded Corner 2">
          <a:hlinkClick xmlns:r="http://schemas.openxmlformats.org/officeDocument/2006/relationships" r:id="rId2"/>
        </xdr:cNvPr>
        <xdr:cNvSpPr/>
      </xdr:nvSpPr>
      <xdr:spPr>
        <a:xfrm>
          <a:off x="6504333" y="253034"/>
          <a:ext cx="614983" cy="518905"/>
        </a:xfrm>
        <a:prstGeom prst="folded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Go to </a:t>
          </a:r>
        </a:p>
        <a:p>
          <a:pPr algn="ctr"/>
          <a:r>
            <a:rPr lang="en-US" sz="1000"/>
            <a:t>Report</a:t>
          </a:r>
        </a:p>
      </xdr:txBody>
    </xdr:sp>
    <xdr:clientData/>
  </xdr:twoCellAnchor>
  <xdr:twoCellAnchor>
    <xdr:from>
      <xdr:col>42</xdr:col>
      <xdr:colOff>171450</xdr:colOff>
      <xdr:row>52</xdr:row>
      <xdr:rowOff>152400</xdr:rowOff>
    </xdr:from>
    <xdr:to>
      <xdr:col>55</xdr:col>
      <xdr:colOff>622851</xdr:colOff>
      <xdr:row>69</xdr:row>
      <xdr:rowOff>77855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699882</xdr:colOff>
      <xdr:row>35</xdr:row>
      <xdr:rowOff>118443</xdr:rowOff>
    </xdr:from>
    <xdr:to>
      <xdr:col>55</xdr:col>
      <xdr:colOff>636933</xdr:colOff>
      <xdr:row>52</xdr:row>
      <xdr:rowOff>43898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389283</xdr:colOff>
      <xdr:row>1</xdr:row>
      <xdr:rowOff>91109</xdr:rowOff>
    </xdr:from>
    <xdr:to>
      <xdr:col>18</xdr:col>
      <xdr:colOff>289891</xdr:colOff>
      <xdr:row>3</xdr:row>
      <xdr:rowOff>124239</xdr:rowOff>
    </xdr:to>
    <xdr:sp macro="" textlink="">
      <xdr:nvSpPr>
        <xdr:cNvPr id="3" name="Folded Corner 2">
          <a:hlinkClick xmlns:r="http://schemas.openxmlformats.org/officeDocument/2006/relationships" r:id="rId2"/>
        </xdr:cNvPr>
        <xdr:cNvSpPr/>
      </xdr:nvSpPr>
      <xdr:spPr>
        <a:xfrm>
          <a:off x="6504333" y="253034"/>
          <a:ext cx="614983" cy="518905"/>
        </a:xfrm>
        <a:prstGeom prst="folded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Go to </a:t>
          </a:r>
        </a:p>
        <a:p>
          <a:pPr algn="ctr"/>
          <a:r>
            <a:rPr lang="en-US" sz="1000"/>
            <a:t>Report</a:t>
          </a:r>
        </a:p>
      </xdr:txBody>
    </xdr:sp>
    <xdr:clientData/>
  </xdr:twoCellAnchor>
  <xdr:twoCellAnchor>
    <xdr:from>
      <xdr:col>42</xdr:col>
      <xdr:colOff>171450</xdr:colOff>
      <xdr:row>52</xdr:row>
      <xdr:rowOff>152400</xdr:rowOff>
    </xdr:from>
    <xdr:to>
      <xdr:col>55</xdr:col>
      <xdr:colOff>622851</xdr:colOff>
      <xdr:row>69</xdr:row>
      <xdr:rowOff>77855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B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72"/>
  <sheetViews>
    <sheetView showGridLines="0" tabSelected="1" zoomScale="115" zoomScaleNormal="115" workbookViewId="0"/>
  </sheetViews>
  <sheetFormatPr defaultRowHeight="12.75"/>
  <cols>
    <col min="1" max="1" width="2.7109375" style="84" customWidth="1"/>
    <col min="2" max="2" width="2.7109375" style="2" customWidth="1"/>
    <col min="3" max="20" width="9.7109375" style="2" customWidth="1"/>
    <col min="21" max="21" width="2.7109375" style="2" customWidth="1"/>
    <col min="22" max="23" width="9.140625" style="84"/>
    <col min="24" max="16384" width="9.140625" style="2"/>
  </cols>
  <sheetData>
    <row r="1" spans="1:23" s="110" customForma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pans="1:23" ht="25.5">
      <c r="B2" s="84"/>
      <c r="C2" s="108" t="s">
        <v>62</v>
      </c>
      <c r="D2" s="85"/>
      <c r="E2" s="85"/>
      <c r="F2" s="85"/>
      <c r="G2" s="85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</row>
    <row r="3" spans="1:23"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</row>
    <row r="4" spans="1:23">
      <c r="B4" s="84"/>
      <c r="U4" s="84"/>
    </row>
    <row r="5" spans="1:23" ht="20.100000000000001" customHeight="1">
      <c r="B5" s="84"/>
      <c r="C5" s="2" t="s">
        <v>63</v>
      </c>
      <c r="U5" s="84"/>
    </row>
    <row r="6" spans="1:23" ht="20.100000000000001" customHeight="1">
      <c r="B6" s="84"/>
      <c r="U6" s="84"/>
    </row>
    <row r="7" spans="1:23" ht="20.100000000000001" customHeight="1">
      <c r="B7" s="84"/>
      <c r="C7" s="86" t="s">
        <v>64</v>
      </c>
      <c r="U7" s="84"/>
    </row>
    <row r="8" spans="1:23" ht="20.100000000000001" customHeight="1">
      <c r="B8" s="84"/>
      <c r="U8" s="84"/>
    </row>
    <row r="9" spans="1:23" ht="20.100000000000001" customHeight="1">
      <c r="B9" s="84"/>
      <c r="C9" s="2" t="s">
        <v>65</v>
      </c>
      <c r="U9" s="84"/>
    </row>
    <row r="10" spans="1:23" ht="20.100000000000001" customHeight="1">
      <c r="B10" s="84"/>
      <c r="U10" s="84"/>
    </row>
    <row r="11" spans="1:23" ht="20.100000000000001" customHeight="1">
      <c r="B11" s="84"/>
      <c r="C11" s="2" t="s">
        <v>66</v>
      </c>
      <c r="U11" s="84"/>
    </row>
    <row r="12" spans="1:23" ht="20.100000000000001" customHeight="1">
      <c r="B12" s="84"/>
      <c r="C12" s="2" t="s">
        <v>105</v>
      </c>
      <c r="U12" s="84"/>
    </row>
    <row r="13" spans="1:23" ht="20.100000000000001" customHeight="1">
      <c r="B13" s="84"/>
      <c r="C13" s="2" t="s">
        <v>78</v>
      </c>
      <c r="U13" s="84"/>
    </row>
    <row r="14" spans="1:23" ht="20.100000000000001" customHeight="1">
      <c r="B14" s="84"/>
      <c r="U14" s="84"/>
    </row>
    <row r="15" spans="1:23" ht="20.100000000000001" customHeight="1">
      <c r="B15" s="84"/>
      <c r="C15" s="2" t="s">
        <v>80</v>
      </c>
      <c r="U15" s="84"/>
    </row>
    <row r="16" spans="1:23" ht="20.100000000000001" customHeight="1">
      <c r="B16" s="84"/>
      <c r="C16" s="2" t="s">
        <v>81</v>
      </c>
      <c r="U16" s="84"/>
    </row>
    <row r="17" spans="2:21" ht="20.100000000000001" customHeight="1">
      <c r="B17" s="84"/>
      <c r="C17" s="2" t="s">
        <v>67</v>
      </c>
      <c r="U17" s="84"/>
    </row>
    <row r="18" spans="2:21" ht="20.100000000000001" customHeight="1">
      <c r="B18" s="84"/>
      <c r="C18" s="2" t="s">
        <v>68</v>
      </c>
      <c r="U18" s="84"/>
    </row>
    <row r="19" spans="2:21" ht="20.100000000000001" customHeight="1">
      <c r="B19" s="84"/>
      <c r="D19" s="2" t="s">
        <v>82</v>
      </c>
      <c r="U19" s="84"/>
    </row>
    <row r="20" spans="2:21" ht="20.100000000000001" customHeight="1">
      <c r="B20" s="84"/>
      <c r="D20" s="2" t="s">
        <v>83</v>
      </c>
      <c r="U20" s="84"/>
    </row>
    <row r="21" spans="2:21" ht="20.100000000000001" customHeight="1">
      <c r="B21" s="84"/>
      <c r="D21" s="2" t="s">
        <v>84</v>
      </c>
      <c r="U21" s="84"/>
    </row>
    <row r="22" spans="2:21" ht="20.100000000000001" customHeight="1">
      <c r="B22" s="84"/>
      <c r="D22" s="2" t="s">
        <v>85</v>
      </c>
      <c r="U22" s="84"/>
    </row>
    <row r="23" spans="2:21" ht="20.100000000000001" customHeight="1">
      <c r="B23" s="84"/>
      <c r="D23" s="2" t="s">
        <v>86</v>
      </c>
      <c r="U23" s="84"/>
    </row>
    <row r="24" spans="2:21" ht="20.100000000000001" customHeight="1">
      <c r="B24" s="84"/>
      <c r="D24" s="2" t="s">
        <v>87</v>
      </c>
      <c r="U24" s="84"/>
    </row>
    <row r="25" spans="2:21" ht="20.100000000000001" customHeight="1">
      <c r="B25" s="84"/>
      <c r="U25" s="84"/>
    </row>
    <row r="26" spans="2:21" ht="20.100000000000001" customHeight="1">
      <c r="B26" s="84"/>
      <c r="C26" s="2" t="s">
        <v>69</v>
      </c>
      <c r="U26" s="84"/>
    </row>
    <row r="27" spans="2:21" ht="20.100000000000001" customHeight="1">
      <c r="B27" s="84"/>
      <c r="U27" s="84"/>
    </row>
    <row r="28" spans="2:21" ht="20.100000000000001" customHeight="1">
      <c r="B28" s="84"/>
      <c r="C28" s="86" t="s">
        <v>88</v>
      </c>
      <c r="U28" s="84"/>
    </row>
    <row r="29" spans="2:21" ht="20.100000000000001" customHeight="1">
      <c r="B29" s="84"/>
      <c r="C29" s="103" t="s">
        <v>89</v>
      </c>
      <c r="U29" s="84"/>
    </row>
    <row r="30" spans="2:21" ht="20.100000000000001" customHeight="1">
      <c r="B30" s="84"/>
      <c r="C30" s="2" t="s">
        <v>76</v>
      </c>
      <c r="U30" s="84"/>
    </row>
    <row r="31" spans="2:21" ht="20.100000000000001" customHeight="1">
      <c r="B31" s="84"/>
      <c r="U31" s="84"/>
    </row>
    <row r="32" spans="2:21" ht="20.100000000000001" customHeight="1">
      <c r="B32" s="84"/>
      <c r="D32" s="2" t="s">
        <v>70</v>
      </c>
      <c r="U32" s="84"/>
    </row>
    <row r="33" spans="2:21" ht="20.100000000000001" customHeight="1">
      <c r="B33" s="84"/>
      <c r="C33" s="2" t="s">
        <v>72</v>
      </c>
      <c r="D33" s="2" t="s">
        <v>90</v>
      </c>
      <c r="U33" s="84"/>
    </row>
    <row r="34" spans="2:21" ht="20.100000000000001" customHeight="1">
      <c r="B34" s="84"/>
      <c r="D34" s="109" t="s">
        <v>91</v>
      </c>
      <c r="U34" s="84"/>
    </row>
    <row r="35" spans="2:21" ht="20.100000000000001" customHeight="1">
      <c r="B35" s="84"/>
      <c r="D35" s="2" t="s">
        <v>71</v>
      </c>
      <c r="U35" s="84"/>
    </row>
    <row r="36" spans="2:21" ht="20.100000000000001" customHeight="1">
      <c r="B36" s="84"/>
      <c r="C36" s="2" t="s">
        <v>72</v>
      </c>
      <c r="D36" s="2" t="s">
        <v>74</v>
      </c>
      <c r="U36" s="84"/>
    </row>
    <row r="37" spans="2:21" ht="20.100000000000001" customHeight="1">
      <c r="B37" s="84"/>
      <c r="C37" s="2" t="s">
        <v>72</v>
      </c>
      <c r="D37" s="2" t="s">
        <v>73</v>
      </c>
      <c r="U37" s="84"/>
    </row>
    <row r="38" spans="2:21" ht="20.100000000000001" customHeight="1">
      <c r="B38" s="84"/>
      <c r="C38" s="2" t="s">
        <v>72</v>
      </c>
      <c r="D38" s="2" t="s">
        <v>92</v>
      </c>
      <c r="U38" s="84"/>
    </row>
    <row r="39" spans="2:21" ht="20.100000000000001" customHeight="1">
      <c r="B39" s="84"/>
      <c r="D39" s="109" t="s">
        <v>93</v>
      </c>
      <c r="U39" s="84"/>
    </row>
    <row r="40" spans="2:21" ht="20.100000000000001" customHeight="1">
      <c r="B40" s="84"/>
      <c r="C40" s="2" t="s">
        <v>72</v>
      </c>
      <c r="D40" s="2" t="s">
        <v>75</v>
      </c>
      <c r="U40" s="84"/>
    </row>
    <row r="41" spans="2:21" ht="20.100000000000001" customHeight="1">
      <c r="B41" s="84"/>
      <c r="C41" s="2" t="s">
        <v>72</v>
      </c>
      <c r="D41" s="2" t="s">
        <v>94</v>
      </c>
      <c r="U41" s="84"/>
    </row>
    <row r="42" spans="2:21" ht="20.100000000000001" customHeight="1">
      <c r="B42" s="84"/>
      <c r="D42" s="109" t="s">
        <v>95</v>
      </c>
      <c r="U42" s="84"/>
    </row>
    <row r="43" spans="2:21" ht="20.100000000000001" customHeight="1">
      <c r="B43" s="84"/>
      <c r="D43" s="109" t="s">
        <v>96</v>
      </c>
      <c r="U43" s="84"/>
    </row>
    <row r="44" spans="2:21" ht="20.100000000000001" customHeight="1">
      <c r="B44" s="84"/>
      <c r="D44" s="2" t="s">
        <v>97</v>
      </c>
      <c r="U44" s="84"/>
    </row>
    <row r="45" spans="2:21" ht="20.100000000000001" customHeight="1">
      <c r="B45" s="84"/>
      <c r="D45" s="109" t="s">
        <v>98</v>
      </c>
      <c r="U45" s="84"/>
    </row>
    <row r="46" spans="2:21" ht="20.100000000000001" customHeight="1">
      <c r="B46" s="84"/>
      <c r="U46" s="84"/>
    </row>
    <row r="47" spans="2:21" ht="20.100000000000001" customHeight="1">
      <c r="B47" s="84"/>
      <c r="C47" s="86" t="s">
        <v>77</v>
      </c>
      <c r="U47" s="84"/>
    </row>
    <row r="48" spans="2:21" ht="20.100000000000001" customHeight="1">
      <c r="B48" s="84"/>
      <c r="U48" s="84"/>
    </row>
    <row r="49" spans="2:21" ht="20.100000000000001" customHeight="1">
      <c r="B49" s="84"/>
      <c r="C49" s="2" t="s">
        <v>99</v>
      </c>
      <c r="U49" s="84"/>
    </row>
    <row r="50" spans="2:21" ht="20.100000000000001" customHeight="1">
      <c r="B50" s="84"/>
      <c r="C50" s="2" t="s">
        <v>100</v>
      </c>
      <c r="U50" s="84"/>
    </row>
    <row r="51" spans="2:21" ht="20.100000000000001" customHeight="1">
      <c r="B51" s="84"/>
      <c r="U51" s="84"/>
    </row>
    <row r="52" spans="2:21" ht="20.100000000000001" customHeight="1">
      <c r="B52" s="84"/>
      <c r="C52" s="2" t="s">
        <v>79</v>
      </c>
      <c r="U52" s="84"/>
    </row>
    <row r="53" spans="2:21" ht="20.100000000000001" customHeight="1">
      <c r="B53" s="84"/>
      <c r="U53" s="84"/>
    </row>
    <row r="54" spans="2:21"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</row>
    <row r="55" spans="2:21"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</row>
    <row r="56" spans="2:21"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2:21"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2:21"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</row>
    <row r="59" spans="2:21"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</row>
    <row r="60" spans="2:21"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</row>
    <row r="61" spans="2:21"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</row>
    <row r="62" spans="2:21"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</row>
    <row r="63" spans="2:21"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</row>
    <row r="64" spans="2:21"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</row>
    <row r="65" spans="2:21"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</row>
    <row r="66" spans="2:21"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</row>
    <row r="67" spans="2:21"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</row>
    <row r="68" spans="2:21"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</row>
    <row r="69" spans="2:21"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</row>
    <row r="70" spans="2:21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</row>
    <row r="71" spans="2:21"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</row>
    <row r="72" spans="2:21"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</row>
    <row r="73" spans="2:21"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2:21"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2:21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</row>
    <row r="76" spans="2:21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</row>
    <row r="77" spans="2:21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</row>
    <row r="78" spans="2:21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</row>
    <row r="79" spans="2:21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</row>
    <row r="80" spans="2:21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</row>
    <row r="81" spans="2:21"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</row>
    <row r="82" spans="2:21"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</row>
    <row r="83" spans="2:21"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</row>
    <row r="84" spans="2:21"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</row>
    <row r="85" spans="2:21"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</row>
    <row r="86" spans="2:21"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</row>
    <row r="87" spans="2:21"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</row>
    <row r="88" spans="2:21"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</row>
    <row r="89" spans="2:2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</row>
    <row r="90" spans="2:21"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2:21"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2:21"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</row>
    <row r="93" spans="2:21"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</row>
    <row r="94" spans="2:21"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</row>
    <row r="95" spans="2:21"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</row>
    <row r="96" spans="2:21"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</row>
    <row r="97" spans="2:21"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</row>
    <row r="98" spans="2:21"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</row>
    <row r="99" spans="2:21"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</row>
    <row r="100" spans="2:21"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</row>
    <row r="101" spans="2:21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</row>
    <row r="102" spans="2:21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</row>
    <row r="103" spans="2:21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</row>
    <row r="104" spans="2:21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spans="2:21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</row>
    <row r="106" spans="2:21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</row>
    <row r="107" spans="2:21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2:21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2:21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</row>
    <row r="110" spans="2:21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</row>
    <row r="111" spans="2:21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</row>
    <row r="112" spans="2:21"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</row>
    <row r="113" spans="2:21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</row>
    <row r="114" spans="2:21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</row>
    <row r="115" spans="2:21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</row>
    <row r="116" spans="2:21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</row>
    <row r="117" spans="2:21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</row>
    <row r="118" spans="2:21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</row>
    <row r="119" spans="2:21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</row>
    <row r="120" spans="2:21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</row>
    <row r="121" spans="2:21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</row>
    <row r="122" spans="2:21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</row>
    <row r="123" spans="2:21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</row>
    <row r="124" spans="2:21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2:21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2:21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</row>
    <row r="127" spans="2:21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</row>
    <row r="128" spans="2:21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</row>
    <row r="129" spans="2:21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</row>
    <row r="130" spans="2:21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</row>
    <row r="131" spans="2:21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</row>
    <row r="132" spans="2:21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</row>
    <row r="133" spans="2:21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</row>
    <row r="134" spans="2:21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</row>
    <row r="135" spans="2:21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</row>
    <row r="136" spans="2:21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</row>
    <row r="137" spans="2:21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</row>
    <row r="138" spans="2:21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</row>
    <row r="139" spans="2:21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</row>
    <row r="140" spans="2:21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 spans="2:21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2:21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2:21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</row>
    <row r="144" spans="2:21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</row>
    <row r="145" spans="2:21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</row>
    <row r="146" spans="2:21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</row>
    <row r="147" spans="2:21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</row>
    <row r="148" spans="2:21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</row>
    <row r="149" spans="2:21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</row>
    <row r="150" spans="2:21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</row>
    <row r="151" spans="2:21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</row>
    <row r="152" spans="2:21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</row>
    <row r="153" spans="2:21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</row>
    <row r="154" spans="2:21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</row>
    <row r="155" spans="2:21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</row>
    <row r="156" spans="2:21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</row>
    <row r="157" spans="2:21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</row>
    <row r="158" spans="2:21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2:21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2:21"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</row>
    <row r="161" spans="2:21"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</row>
    <row r="162" spans="2:21"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</row>
    <row r="163" spans="2:21"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</row>
    <row r="164" spans="2:21"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</row>
    <row r="165" spans="2:21"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</row>
    <row r="166" spans="2:21"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</row>
    <row r="167" spans="2:21"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</row>
    <row r="168" spans="2:21"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</row>
    <row r="169" spans="2:21"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</row>
    <row r="170" spans="2:21"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</row>
    <row r="171" spans="2:21"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</row>
    <row r="172" spans="2:21"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</row>
    <row r="173" spans="2:21"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</row>
    <row r="174" spans="2:21"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</row>
    <row r="175" spans="2:21"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2:21"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2:21"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</row>
    <row r="178" spans="2:21"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</row>
    <row r="179" spans="2:21"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</row>
    <row r="180" spans="2:21"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</row>
    <row r="181" spans="2:21"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</row>
    <row r="182" spans="2:21"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</row>
    <row r="183" spans="2:21"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</row>
    <row r="184" spans="2:21"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</row>
    <row r="185" spans="2:21"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</row>
    <row r="186" spans="2:21"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</row>
    <row r="187" spans="2:21"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</row>
    <row r="188" spans="2:21"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</row>
    <row r="189" spans="2:21"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</row>
    <row r="190" spans="2:21"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</row>
    <row r="191" spans="2:21"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</row>
    <row r="192" spans="2:21"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2:21"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2:21"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</row>
    <row r="195" spans="2:21"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</row>
    <row r="196" spans="2:21"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</row>
    <row r="197" spans="2:21"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</row>
    <row r="198" spans="2:21"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</row>
    <row r="199" spans="2:21"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</row>
    <row r="200" spans="2:21"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</row>
    <row r="201" spans="2:21"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</row>
    <row r="202" spans="2:21"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</row>
    <row r="203" spans="2:21"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</row>
    <row r="204" spans="2:21"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</row>
    <row r="205" spans="2:21"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</row>
    <row r="206" spans="2:21"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</row>
    <row r="207" spans="2:21"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</row>
    <row r="208" spans="2:21"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</row>
    <row r="209" spans="2:21"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2:21"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2:21"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</row>
    <row r="212" spans="2:21"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</row>
    <row r="213" spans="2:21"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</row>
    <row r="214" spans="2:21"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</row>
    <row r="215" spans="2:21"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</row>
    <row r="216" spans="2:21"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</row>
    <row r="217" spans="2:21"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</row>
    <row r="218" spans="2:21"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</row>
    <row r="219" spans="2:21"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</row>
    <row r="220" spans="2:21"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</row>
    <row r="221" spans="2:21"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</row>
    <row r="222" spans="2:21"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</row>
    <row r="223" spans="2:21"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</row>
    <row r="224" spans="2:21"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</row>
    <row r="225" spans="2:21"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</row>
    <row r="226" spans="2:21"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2:21"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2:21"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</row>
    <row r="229" spans="2:21"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</row>
    <row r="230" spans="2:21"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</row>
    <row r="231" spans="2:21"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</row>
    <row r="232" spans="2:21"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</row>
    <row r="233" spans="2:21"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</row>
    <row r="234" spans="2:21"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</row>
    <row r="235" spans="2:21"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</row>
    <row r="236" spans="2:21"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</row>
    <row r="237" spans="2:21"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</row>
    <row r="238" spans="2:21"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</row>
    <row r="239" spans="2:21"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</row>
    <row r="240" spans="2:21"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</row>
    <row r="241" spans="2:21"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</row>
    <row r="242" spans="2:21"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</row>
    <row r="243" spans="2:21"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2:21"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2:21"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</row>
    <row r="246" spans="2:21"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</row>
    <row r="247" spans="2:21"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</row>
    <row r="248" spans="2:21"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</row>
    <row r="249" spans="2:21"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</row>
    <row r="250" spans="2:21"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</row>
    <row r="251" spans="2:21"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</row>
    <row r="252" spans="2:21"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</row>
    <row r="253" spans="2:21"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</row>
    <row r="254" spans="2:21"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</row>
    <row r="255" spans="2:21"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</row>
    <row r="256" spans="2:21"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</row>
    <row r="257" spans="2:21"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</row>
    <row r="258" spans="2:21"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</row>
    <row r="259" spans="2:21"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</row>
    <row r="260" spans="2:21"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 spans="2:21"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 spans="2:21"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</row>
    <row r="263" spans="2:21"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</row>
    <row r="264" spans="2:21"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</row>
    <row r="265" spans="2:21"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</row>
    <row r="266" spans="2:21"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</row>
    <row r="267" spans="2:21"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</row>
    <row r="268" spans="2:21"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</row>
    <row r="269" spans="2:21"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</row>
    <row r="270" spans="2:21"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</row>
    <row r="271" spans="2:21"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</row>
    <row r="272" spans="2:21"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</row>
  </sheetData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BG1046"/>
  <sheetViews>
    <sheetView showGridLines="0" zoomScaleNormal="100" zoomScaleSheetLayoutView="115" workbookViewId="0">
      <pane xSplit="3" ySplit="12" topLeftCell="D13" activePane="bottomRight" state="frozen"/>
      <selection pane="topRight" activeCell="E1" sqref="E1"/>
      <selection pane="bottomLeft" activeCell="A12" sqref="A12"/>
      <selection pane="bottomRight" activeCell="D13" sqref="D13"/>
    </sheetView>
  </sheetViews>
  <sheetFormatPr defaultRowHeight="12.75" outlineLevelRow="1" outlineLevelCol="1"/>
  <cols>
    <col min="1" max="1" width="2.7109375" style="2" customWidth="1"/>
    <col min="2" max="2" width="10.7109375" style="2" customWidth="1"/>
    <col min="3" max="3" width="12.7109375" style="2" customWidth="1"/>
    <col min="4" max="4" width="1.7109375" customWidth="1"/>
    <col min="5" max="6" width="10.7109375" style="2" customWidth="1"/>
    <col min="7" max="8" width="10.7109375" style="2" hidden="1" customWidth="1" outlineLevel="1"/>
    <col min="9" max="9" width="1.7109375" customWidth="1" collapsed="1"/>
    <col min="10" max="15" width="4.7109375" style="2" customWidth="1"/>
    <col min="16" max="16" width="1.7109375" customWidth="1"/>
    <col min="17" max="19" width="10.7109375" style="2" customWidth="1"/>
    <col min="20" max="20" width="1.7109375" hidden="1" customWidth="1" outlineLevel="1"/>
    <col min="21" max="24" width="10.7109375" style="2" hidden="1" customWidth="1" outlineLevel="1"/>
    <col min="25" max="25" width="1.7109375" hidden="1" customWidth="1" outlineLevel="1"/>
    <col min="26" max="27" width="10.7109375" style="2" hidden="1" customWidth="1" outlineLevel="1"/>
    <col min="28" max="28" width="1.7109375" hidden="1" customWidth="1" outlineLevel="1"/>
    <col min="29" max="29" width="100.7109375" style="2" hidden="1" customWidth="1" outlineLevel="1"/>
    <col min="30" max="30" width="2.7109375" customWidth="1" collapsed="1"/>
    <col min="31" max="32" width="15.7109375" style="2" hidden="1" customWidth="1"/>
    <col min="33" max="42" width="10.7109375" style="2" customWidth="1"/>
    <col min="43" max="43" width="2.7109375" style="2" customWidth="1"/>
    <col min="44" max="45" width="10.7109375" style="2" customWidth="1"/>
    <col min="46" max="46" width="5.7109375" style="2" customWidth="1"/>
    <col min="47" max="56" width="9.7109375" style="2" customWidth="1"/>
    <col min="57" max="57" width="1.7109375" style="2" customWidth="1"/>
    <col min="58" max="59" width="9.140625" style="101"/>
    <col min="60" max="16384" width="9.140625" style="2"/>
  </cols>
  <sheetData>
    <row r="1" spans="2:59">
      <c r="E1"/>
    </row>
    <row r="2" spans="2:59" ht="25.5">
      <c r="B2" s="73" t="str">
        <f>"GMAT Error Log"&amp;" - "&amp;F5</f>
        <v>GMAT Error Log - Source 1</v>
      </c>
      <c r="C2" s="74"/>
      <c r="D2" s="74"/>
      <c r="E2" s="75"/>
      <c r="F2" s="76"/>
      <c r="G2" s="76"/>
      <c r="H2" s="76"/>
      <c r="I2" s="74"/>
      <c r="J2" s="76"/>
      <c r="K2" s="76"/>
      <c r="L2" s="76"/>
      <c r="M2" s="76"/>
      <c r="N2" s="76"/>
      <c r="O2" s="76"/>
      <c r="P2" s="74"/>
      <c r="Q2" s="76"/>
      <c r="R2" s="76"/>
      <c r="S2" s="76"/>
      <c r="T2" s="74"/>
      <c r="U2" s="76"/>
      <c r="V2" s="76"/>
      <c r="W2" s="76"/>
      <c r="X2" s="76"/>
      <c r="Y2" s="74"/>
      <c r="Z2" s="76"/>
      <c r="AA2" s="76"/>
      <c r="AB2" s="74"/>
      <c r="AC2" s="76"/>
      <c r="AS2" s="25"/>
      <c r="AT2" s="25"/>
      <c r="AU2" s="25"/>
      <c r="AV2" s="25"/>
      <c r="AW2" s="25"/>
      <c r="AX2" s="25"/>
      <c r="AY2" s="25"/>
      <c r="AZ2" s="25"/>
      <c r="BA2" s="25"/>
      <c r="BB2" s="25"/>
    </row>
    <row r="3" spans="2:59" ht="12.75" customHeight="1">
      <c r="B3" s="77"/>
      <c r="C3" s="78"/>
      <c r="D3" s="78"/>
      <c r="E3" s="79"/>
      <c r="F3" s="80"/>
      <c r="G3" s="79"/>
      <c r="H3" s="79"/>
      <c r="I3" s="78"/>
      <c r="J3" s="79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</row>
    <row r="4" spans="2:59" ht="12.75" customHeight="1">
      <c r="B4" s="55" t="s">
        <v>48</v>
      </c>
      <c r="C4" s="47"/>
      <c r="D4" s="47"/>
      <c r="E4" s="56"/>
      <c r="F4" s="57">
        <v>1</v>
      </c>
      <c r="G4" s="56"/>
      <c r="H4" s="56"/>
      <c r="I4" s="47"/>
      <c r="J4" s="5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31"/>
    </row>
    <row r="5" spans="2:59" ht="12.75" hidden="1" customHeight="1" outlineLevel="1">
      <c r="B5" s="16" t="s">
        <v>40</v>
      </c>
      <c r="C5" s="18"/>
      <c r="D5" s="18"/>
      <c r="E5" s="17"/>
      <c r="F5" s="27" t="s">
        <v>60</v>
      </c>
      <c r="G5" s="17"/>
      <c r="H5" s="17"/>
      <c r="I5" s="18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31"/>
    </row>
    <row r="6" spans="2:59" ht="12.75" hidden="1" customHeight="1" outlineLevel="1">
      <c r="B6" s="16" t="s">
        <v>25</v>
      </c>
      <c r="C6" s="18"/>
      <c r="D6" s="18"/>
      <c r="E6" s="17"/>
      <c r="F6" s="19"/>
      <c r="G6" s="17"/>
      <c r="H6" s="17"/>
      <c r="I6" s="18"/>
      <c r="J6" s="35" t="s">
        <v>58</v>
      </c>
      <c r="K6" s="35" t="s">
        <v>42</v>
      </c>
      <c r="L6" s="35" t="s">
        <v>43</v>
      </c>
      <c r="M6" s="35" t="s">
        <v>46</v>
      </c>
      <c r="N6" s="35" t="s">
        <v>44</v>
      </c>
      <c r="O6" s="35" t="s">
        <v>45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32"/>
    </row>
    <row r="7" spans="2:59" ht="12.75" hidden="1" customHeight="1" outlineLevel="1">
      <c r="B7" s="20" t="s">
        <v>26</v>
      </c>
      <c r="C7" s="15"/>
      <c r="D7" s="15"/>
      <c r="E7" s="14"/>
      <c r="F7" s="28"/>
      <c r="G7" s="14"/>
      <c r="H7" s="14"/>
      <c r="I7" s="15"/>
      <c r="J7" s="39">
        <f>IF(ISERROR(SUMPRODUCT(K7:O7,J1017:N1017)),"n/a",SUMPRODUCT(K7:O7,J1017:N1017))</f>
        <v>120</v>
      </c>
      <c r="K7" s="36">
        <v>120</v>
      </c>
      <c r="L7" s="36">
        <v>120</v>
      </c>
      <c r="M7" s="36">
        <v>120</v>
      </c>
      <c r="N7" s="36">
        <v>120</v>
      </c>
      <c r="O7" s="36">
        <v>120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33"/>
    </row>
    <row r="8" spans="2:59" ht="12.75" hidden="1" customHeight="1" outlineLevel="1">
      <c r="B8" s="20" t="s">
        <v>27</v>
      </c>
      <c r="C8" s="15"/>
      <c r="D8" s="15"/>
      <c r="E8" s="14"/>
      <c r="F8" s="29">
        <v>1</v>
      </c>
      <c r="G8" s="14"/>
      <c r="H8" s="14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33"/>
    </row>
    <row r="9" spans="2:59" ht="12.75" hidden="1" customHeight="1" outlineLevel="1">
      <c r="B9" s="21" t="s">
        <v>28</v>
      </c>
      <c r="C9" s="23"/>
      <c r="D9" s="23"/>
      <c r="E9" s="22"/>
      <c r="F9" s="30">
        <v>1</v>
      </c>
      <c r="G9" s="22"/>
      <c r="H9" s="22"/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34"/>
    </row>
    <row r="10" spans="2:59" ht="12.75" customHeight="1" collapsed="1">
      <c r="B10" s="1"/>
      <c r="C10" s="12"/>
      <c r="E10"/>
      <c r="AE10" s="52" t="s">
        <v>55</v>
      </c>
      <c r="AF10" s="53"/>
      <c r="AS10" s="1"/>
      <c r="AT10" s="1"/>
      <c r="AV10" s="24"/>
      <c r="AW10" s="24"/>
      <c r="AX10" s="24"/>
    </row>
    <row r="11" spans="2:59" ht="26.45" customHeight="1">
      <c r="B11" s="60" t="s">
        <v>21</v>
      </c>
      <c r="C11" s="61" t="s">
        <v>21</v>
      </c>
      <c r="E11" s="64"/>
      <c r="F11" s="65"/>
      <c r="G11" s="81" t="s">
        <v>24</v>
      </c>
      <c r="H11" s="81" t="s">
        <v>19</v>
      </c>
      <c r="J11" s="66" t="s">
        <v>14</v>
      </c>
      <c r="K11" s="67"/>
      <c r="L11" s="67"/>
      <c r="M11" s="68"/>
      <c r="N11" s="67"/>
      <c r="O11" s="69"/>
      <c r="Q11" s="66" t="s">
        <v>23</v>
      </c>
      <c r="R11" s="67"/>
      <c r="S11" s="69"/>
      <c r="U11" s="66" t="s">
        <v>8</v>
      </c>
      <c r="V11" s="67"/>
      <c r="W11" s="67"/>
      <c r="X11" s="69"/>
      <c r="Z11" s="66" t="s">
        <v>15</v>
      </c>
      <c r="AA11" s="69"/>
      <c r="AC11" s="82"/>
      <c r="AE11" s="3" t="s">
        <v>53</v>
      </c>
      <c r="AF11" s="3" t="s">
        <v>51</v>
      </c>
      <c r="AR11" s="73" t="str">
        <f>F5&amp;" Performance Report"</f>
        <v>Source 1 Performance Report</v>
      </c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9" s="1" customFormat="1">
      <c r="B12" s="62" t="s">
        <v>20</v>
      </c>
      <c r="C12" s="63" t="s">
        <v>22</v>
      </c>
      <c r="D12"/>
      <c r="E12" s="62" t="s">
        <v>18</v>
      </c>
      <c r="F12" s="63" t="s">
        <v>7</v>
      </c>
      <c r="G12" s="81" t="s">
        <v>7</v>
      </c>
      <c r="H12" s="81" t="s">
        <v>7</v>
      </c>
      <c r="I12"/>
      <c r="J12" s="70" t="s">
        <v>9</v>
      </c>
      <c r="K12" s="71" t="s">
        <v>10</v>
      </c>
      <c r="L12" s="71" t="s">
        <v>11</v>
      </c>
      <c r="M12" s="71" t="s">
        <v>12</v>
      </c>
      <c r="N12" s="71" t="s">
        <v>13</v>
      </c>
      <c r="O12" s="72"/>
      <c r="P12"/>
      <c r="Q12" s="70" t="s">
        <v>0</v>
      </c>
      <c r="R12" s="71" t="s">
        <v>2</v>
      </c>
      <c r="S12" s="72" t="s">
        <v>1</v>
      </c>
      <c r="T12"/>
      <c r="U12" s="70" t="s">
        <v>16</v>
      </c>
      <c r="V12" s="71" t="s">
        <v>3</v>
      </c>
      <c r="W12" s="71" t="s">
        <v>4</v>
      </c>
      <c r="X12" s="72" t="s">
        <v>17</v>
      </c>
      <c r="Y12"/>
      <c r="Z12" s="70" t="s">
        <v>5</v>
      </c>
      <c r="AA12" s="72" t="s">
        <v>6</v>
      </c>
      <c r="AB12"/>
      <c r="AC12" s="83" t="s">
        <v>29</v>
      </c>
      <c r="AD12"/>
      <c r="AE12" s="3" t="s">
        <v>54</v>
      </c>
      <c r="AF12" s="3" t="s">
        <v>52</v>
      </c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F12" s="112"/>
      <c r="BG12" s="112"/>
    </row>
    <row r="13" spans="2:59">
      <c r="B13" s="5">
        <v>1</v>
      </c>
      <c r="C13" s="5" t="s">
        <v>43</v>
      </c>
      <c r="E13" s="13"/>
      <c r="F13" s="5">
        <v>320</v>
      </c>
      <c r="G13" s="11">
        <f>IF(ISERROR(AVERAGE(F$13:F13)),"n/a",AVERAGE(F$13:F13))</f>
        <v>320</v>
      </c>
      <c r="H13" s="11">
        <f>G13</f>
        <v>320</v>
      </c>
      <c r="I13" s="111" t="s">
        <v>101</v>
      </c>
      <c r="J13" s="5"/>
      <c r="K13" s="5">
        <v>1</v>
      </c>
      <c r="L13" s="5"/>
      <c r="M13" s="5"/>
      <c r="N13" s="5"/>
      <c r="O13" s="8" t="str">
        <f t="shared" ref="O13:O18" si="0">IF(J13=1,"A",IF(K13=1,"B",IF(L13=1,"C",IF(M13=1,"D",IF(N13=1,"E","n/a")))))</f>
        <v>B</v>
      </c>
      <c r="Q13" s="5">
        <v>1</v>
      </c>
      <c r="R13" s="5"/>
      <c r="S13" s="5"/>
      <c r="U13" s="6" t="s">
        <v>10</v>
      </c>
      <c r="V13" s="9">
        <f>IF(O13="n/a","",IF(O13=U13,1,""))</f>
        <v>1</v>
      </c>
      <c r="W13" s="9" t="str">
        <f>IF(O13="n/a","",IF(O13&lt;&gt;U13,1,""))</f>
        <v/>
      </c>
      <c r="X13" s="10">
        <f>SUM(V$13:V13)/COUNTA(B$13:B13)</f>
        <v>1</v>
      </c>
      <c r="Z13" s="5"/>
      <c r="AA13" s="5"/>
      <c r="AC13" s="7"/>
      <c r="AE13" s="54">
        <f>+IF($F$4=0,0,IF(W13=1,1,IF(OR(R13*$F$8=1,S13*$F$9=1,F13&gt;=AF13),2,0)))</f>
        <v>2</v>
      </c>
      <c r="AF13" s="4">
        <f t="shared" ref="AF13:AF76" si="1">HLOOKUP(C13,$K$6:$O$7,2,FALSE)</f>
        <v>120</v>
      </c>
    </row>
    <row r="14" spans="2:59">
      <c r="B14" s="5">
        <f>+B13+1</f>
        <v>2</v>
      </c>
      <c r="C14" s="5" t="s">
        <v>43</v>
      </c>
      <c r="E14" s="13"/>
      <c r="F14" s="5">
        <v>120</v>
      </c>
      <c r="G14" s="11">
        <f>IF(ISERROR(AVERAGE(F$13:F14)),"n/a",AVERAGE(F$13:F14))</f>
        <v>220</v>
      </c>
      <c r="H14" s="11">
        <f t="shared" ref="H14:H77" si="2">G14</f>
        <v>220</v>
      </c>
      <c r="J14" s="5"/>
      <c r="K14" s="5">
        <v>1</v>
      </c>
      <c r="L14" s="5"/>
      <c r="M14" s="5"/>
      <c r="N14" s="5"/>
      <c r="O14" s="8" t="str">
        <f t="shared" si="0"/>
        <v>B</v>
      </c>
      <c r="Q14" s="5"/>
      <c r="R14" s="5">
        <v>1</v>
      </c>
      <c r="S14" s="5"/>
      <c r="U14" s="6" t="s">
        <v>11</v>
      </c>
      <c r="V14" s="9" t="str">
        <f t="shared" ref="V14:V77" si="3">IF(O14="n/a","",IF(O14=U14,1,""))</f>
        <v/>
      </c>
      <c r="W14" s="9">
        <f t="shared" ref="W14:W77" si="4">IF(O14="n/a","",IF(O14&lt;&gt;U14,1,""))</f>
        <v>1</v>
      </c>
      <c r="X14" s="10">
        <f>SUM(V$13:V14)/COUNTA(B$13:B14)</f>
        <v>0.5</v>
      </c>
      <c r="Z14" s="5">
        <v>1</v>
      </c>
      <c r="AA14" s="5"/>
      <c r="AC14" s="7"/>
      <c r="AE14" s="54">
        <f t="shared" ref="AE14:AE77" si="5">+IF($F$4=0,0,IF(W14=1,1,IF(OR(R14*$F$8=1,S14*$F$9=1,F14&gt;=AF14),2,0)))</f>
        <v>1</v>
      </c>
      <c r="AF14" s="4">
        <f t="shared" si="1"/>
        <v>120</v>
      </c>
      <c r="AR14" s="2" t="s">
        <v>30</v>
      </c>
      <c r="AS14" s="1"/>
      <c r="AT14" s="1"/>
      <c r="AU14" s="24">
        <f ca="1">NOW()</f>
        <v>40134.633314467595</v>
      </c>
    </row>
    <row r="15" spans="2:59">
      <c r="B15" s="5">
        <f>+B14+1</f>
        <v>3</v>
      </c>
      <c r="C15" s="5" t="s">
        <v>42</v>
      </c>
      <c r="E15" s="13"/>
      <c r="F15" s="5">
        <v>70</v>
      </c>
      <c r="G15" s="11">
        <f>IF(ISERROR(AVERAGE(F$13:F15)),"n/a",AVERAGE(F$13:F15))</f>
        <v>170</v>
      </c>
      <c r="H15" s="11">
        <f t="shared" si="2"/>
        <v>170</v>
      </c>
      <c r="J15" s="5"/>
      <c r="K15" s="5">
        <v>1</v>
      </c>
      <c r="L15" s="5"/>
      <c r="M15" s="5"/>
      <c r="N15" s="5"/>
      <c r="O15" s="8" t="str">
        <f t="shared" si="0"/>
        <v>B</v>
      </c>
      <c r="Q15" s="5">
        <v>1</v>
      </c>
      <c r="R15" s="5"/>
      <c r="S15" s="5"/>
      <c r="U15" s="6" t="s">
        <v>10</v>
      </c>
      <c r="V15" s="9">
        <f t="shared" si="3"/>
        <v>1</v>
      </c>
      <c r="W15" s="9" t="str">
        <f t="shared" si="4"/>
        <v/>
      </c>
      <c r="X15" s="10">
        <f>SUM(V$13:V15)/COUNTA(B$13:B15)</f>
        <v>0.66666666666666663</v>
      </c>
      <c r="Z15" s="5"/>
      <c r="AA15" s="5"/>
      <c r="AC15" s="7"/>
      <c r="AE15" s="54">
        <f t="shared" si="5"/>
        <v>0</v>
      </c>
      <c r="AF15" s="4">
        <f t="shared" si="1"/>
        <v>120</v>
      </c>
    </row>
    <row r="16" spans="2:59">
      <c r="B16" s="5">
        <f>+B15+1</f>
        <v>4</v>
      </c>
      <c r="C16" s="5" t="s">
        <v>42</v>
      </c>
      <c r="E16" s="13"/>
      <c r="F16" s="5">
        <v>80</v>
      </c>
      <c r="G16" s="11">
        <f>IF(ISERROR(AVERAGE(F$13:F16)),"n/a",AVERAGE(F$13:F16))</f>
        <v>147.5</v>
      </c>
      <c r="H16" s="11">
        <f t="shared" si="2"/>
        <v>147.5</v>
      </c>
      <c r="J16" s="5"/>
      <c r="K16" s="5">
        <v>1</v>
      </c>
      <c r="L16" s="5"/>
      <c r="M16" s="5"/>
      <c r="N16" s="5"/>
      <c r="O16" s="8" t="str">
        <f t="shared" si="0"/>
        <v>B</v>
      </c>
      <c r="Q16" s="5"/>
      <c r="R16" s="5">
        <v>1</v>
      </c>
      <c r="S16" s="5"/>
      <c r="U16" s="6" t="s">
        <v>10</v>
      </c>
      <c r="V16" s="9">
        <f t="shared" si="3"/>
        <v>1</v>
      </c>
      <c r="W16" s="9" t="str">
        <f t="shared" si="4"/>
        <v/>
      </c>
      <c r="X16" s="10">
        <f>SUM(V$13:V16)/COUNTA(B$13:B16)</f>
        <v>0.75</v>
      </c>
      <c r="Z16" s="5"/>
      <c r="AA16" s="5"/>
      <c r="AC16" s="7"/>
      <c r="AE16" s="54">
        <f t="shared" si="5"/>
        <v>2</v>
      </c>
      <c r="AF16" s="4">
        <f t="shared" si="1"/>
        <v>120</v>
      </c>
    </row>
    <row r="17" spans="2:58">
      <c r="B17" s="5">
        <f>+B16+1</f>
        <v>5</v>
      </c>
      <c r="C17" s="5" t="s">
        <v>44</v>
      </c>
      <c r="E17" s="13"/>
      <c r="F17" s="5">
        <v>110</v>
      </c>
      <c r="G17" s="11">
        <f>IF(ISERROR(AVERAGE(F$13:F17)),"n/a",AVERAGE(F$13:F17))</f>
        <v>140</v>
      </c>
      <c r="H17" s="11">
        <f t="shared" si="2"/>
        <v>140</v>
      </c>
      <c r="J17" s="5"/>
      <c r="K17" s="5">
        <v>1</v>
      </c>
      <c r="L17" s="5"/>
      <c r="M17" s="5"/>
      <c r="N17" s="5"/>
      <c r="O17" s="8" t="str">
        <f t="shared" si="0"/>
        <v>B</v>
      </c>
      <c r="Q17" s="5">
        <v>1</v>
      </c>
      <c r="R17" s="5"/>
      <c r="S17" s="5"/>
      <c r="U17" s="6" t="s">
        <v>10</v>
      </c>
      <c r="V17" s="9">
        <f t="shared" si="3"/>
        <v>1</v>
      </c>
      <c r="W17" s="9" t="str">
        <f t="shared" si="4"/>
        <v/>
      </c>
      <c r="X17" s="10">
        <f>SUM(V$13:V17)/COUNTA(B$13:B17)</f>
        <v>0.8</v>
      </c>
      <c r="Z17" s="5"/>
      <c r="AA17" s="5"/>
      <c r="AC17" s="7"/>
      <c r="AE17" s="54">
        <f t="shared" si="5"/>
        <v>0</v>
      </c>
      <c r="AF17" s="4">
        <f t="shared" si="1"/>
        <v>120</v>
      </c>
      <c r="AR17" s="40"/>
      <c r="AS17" s="41"/>
      <c r="AT17" s="42"/>
      <c r="AU17" s="88" t="s">
        <v>3</v>
      </c>
      <c r="AV17" s="89" t="s">
        <v>0</v>
      </c>
      <c r="AW17" s="90" t="s">
        <v>2</v>
      </c>
      <c r="AX17" s="91" t="s">
        <v>1</v>
      </c>
      <c r="AY17" s="88" t="s">
        <v>4</v>
      </c>
      <c r="AZ17" s="89" t="s">
        <v>5</v>
      </c>
      <c r="BA17" s="91" t="s">
        <v>47</v>
      </c>
      <c r="BB17" s="88" t="s">
        <v>31</v>
      </c>
      <c r="BC17" s="88" t="s">
        <v>32</v>
      </c>
      <c r="BD17" s="88" t="s">
        <v>56</v>
      </c>
    </row>
    <row r="18" spans="2:58">
      <c r="B18" s="5">
        <f>+B17+1</f>
        <v>6</v>
      </c>
      <c r="C18" s="5" t="s">
        <v>44</v>
      </c>
      <c r="E18" s="13"/>
      <c r="F18" s="5">
        <v>95</v>
      </c>
      <c r="G18" s="11">
        <f>IF(ISERROR(AVERAGE(F$13:F18)),"n/a",AVERAGE(F$13:F18))</f>
        <v>132.5</v>
      </c>
      <c r="H18" s="11">
        <f t="shared" si="2"/>
        <v>132.5</v>
      </c>
      <c r="J18" s="5"/>
      <c r="K18" s="5">
        <v>1</v>
      </c>
      <c r="L18" s="5"/>
      <c r="M18" s="5"/>
      <c r="N18" s="5"/>
      <c r="O18" s="8" t="str">
        <f t="shared" si="0"/>
        <v>B</v>
      </c>
      <c r="Q18" s="5"/>
      <c r="R18" s="5">
        <v>1</v>
      </c>
      <c r="S18" s="5"/>
      <c r="U18" s="6" t="s">
        <v>12</v>
      </c>
      <c r="V18" s="9" t="str">
        <f t="shared" si="3"/>
        <v/>
      </c>
      <c r="W18" s="9">
        <f t="shared" si="4"/>
        <v>1</v>
      </c>
      <c r="X18" s="10">
        <f>SUM(V$13:V18)/COUNTA(B$13:B18)</f>
        <v>0.66666666666666663</v>
      </c>
      <c r="Z18" s="5"/>
      <c r="AA18" s="5">
        <v>1</v>
      </c>
      <c r="AC18" s="7"/>
      <c r="AE18" s="54">
        <f t="shared" si="5"/>
        <v>1</v>
      </c>
      <c r="AF18" s="4">
        <f t="shared" si="1"/>
        <v>120</v>
      </c>
      <c r="AR18" s="43" t="s">
        <v>39</v>
      </c>
      <c r="AS18" s="37"/>
      <c r="AT18" s="44"/>
      <c r="AU18" s="92">
        <f>V1015</f>
        <v>7</v>
      </c>
      <c r="AV18" s="38">
        <f>Q1015</f>
        <v>5</v>
      </c>
      <c r="AW18" s="38">
        <f>R1015</f>
        <v>5</v>
      </c>
      <c r="AX18" s="38">
        <f>S1015</f>
        <v>0</v>
      </c>
      <c r="AY18" s="92">
        <f>W1015</f>
        <v>3</v>
      </c>
      <c r="AZ18" s="38">
        <f>Z1015</f>
        <v>1</v>
      </c>
      <c r="BA18" s="38">
        <f>AA1015</f>
        <v>2</v>
      </c>
      <c r="BB18" s="95">
        <f>IF(ISERROR(AU18/(AU18+AY18)),"n/a",AU18/(AU18+AY18))</f>
        <v>0.7</v>
      </c>
      <c r="BC18" s="96" t="str">
        <f>IF(ISERROR(TEXT($E$1023,"00")&amp;":"&amp;TEXT($F$1023,"00")),"n/a",TEXT($E$1023,"00")&amp;":"&amp;TEXT($F$1023,"00"))</f>
        <v>01:57</v>
      </c>
      <c r="BD18" s="96" t="str">
        <f>IF(ISERROR(BF18&amp;TEXT($E$1040,"00")&amp;":"&amp;TEXT($F$1040,"00")),"n/a",BF18&amp;TEXT($E$1040,"00")&amp;":"&amp;TEXT($F$1040,"00"))</f>
        <v>-00:03</v>
      </c>
      <c r="BF18" s="113" t="str">
        <f>IF(F1032&lt;0,"-","+")</f>
        <v>-</v>
      </c>
    </row>
    <row r="19" spans="2:58">
      <c r="B19" s="5">
        <f t="shared" ref="B19:B82" si="6">+B18+1</f>
        <v>7</v>
      </c>
      <c r="C19" s="5" t="s">
        <v>46</v>
      </c>
      <c r="E19" s="13"/>
      <c r="F19" s="5">
        <v>130</v>
      </c>
      <c r="G19" s="11">
        <f>IF(ISERROR(AVERAGE(F$13:F19)),"n/a",AVERAGE(F$13:F19))</f>
        <v>132.14285714285714</v>
      </c>
      <c r="H19" s="11">
        <f t="shared" si="2"/>
        <v>132.14285714285714</v>
      </c>
      <c r="J19" s="5"/>
      <c r="K19" s="5">
        <v>1</v>
      </c>
      <c r="L19" s="5"/>
      <c r="M19" s="5"/>
      <c r="N19" s="5"/>
      <c r="O19" s="8" t="str">
        <f t="shared" ref="O19:O82" si="7">IF(J19=1,"A",IF(K19=1,"B",IF(L19=1,"C",IF(M19=1,"D",IF(N19=1,"E","n/a")))))</f>
        <v>B</v>
      </c>
      <c r="Q19" s="5">
        <v>1</v>
      </c>
      <c r="R19" s="5"/>
      <c r="S19" s="5"/>
      <c r="U19" s="6" t="s">
        <v>10</v>
      </c>
      <c r="V19" s="9">
        <f t="shared" si="3"/>
        <v>1</v>
      </c>
      <c r="W19" s="9" t="str">
        <f t="shared" si="4"/>
        <v/>
      </c>
      <c r="X19" s="10">
        <f>SUM(V$13:V19)/COUNTA(B$13:B19)</f>
        <v>0.7142857142857143</v>
      </c>
      <c r="Z19" s="5"/>
      <c r="AA19" s="5"/>
      <c r="AC19" s="7"/>
      <c r="AE19" s="54">
        <f t="shared" si="5"/>
        <v>2</v>
      </c>
      <c r="AF19" s="4">
        <f t="shared" si="1"/>
        <v>120</v>
      </c>
      <c r="AR19" s="43"/>
      <c r="AS19" s="37"/>
      <c r="AT19" s="44"/>
      <c r="AU19" s="93"/>
      <c r="AV19" s="102">
        <f>+IF(ISERROR(AV18/SUM($AU$18,$AY$18)),"n/a",AV18/SUM($AU$18,$AY$18))</f>
        <v>0.5</v>
      </c>
      <c r="AW19" s="102">
        <f t="shared" ref="AW19:AX19" si="8">+IF(ISERROR(AW18/SUM($AU$18,$AY$18)),"n/a",AW18/SUM($AU$18,$AY$18))</f>
        <v>0.5</v>
      </c>
      <c r="AX19" s="102">
        <f t="shared" si="8"/>
        <v>0</v>
      </c>
      <c r="AY19" s="93"/>
      <c r="AZ19" s="102">
        <f>+IF(ISERROR(AZ18/$AY$18),"n/a",AZ18/$AY$18)</f>
        <v>0.33333333333333331</v>
      </c>
      <c r="BA19" s="102">
        <f t="shared" ref="BA19" si="9">+IF(ISERROR(BA18/$AY$18),"n/a",BA18/$AY$18)</f>
        <v>0.66666666666666663</v>
      </c>
      <c r="BB19" s="93"/>
      <c r="BC19" s="97"/>
      <c r="BD19" s="97"/>
      <c r="BF19" s="113"/>
    </row>
    <row r="20" spans="2:58">
      <c r="B20" s="5">
        <f t="shared" si="6"/>
        <v>8</v>
      </c>
      <c r="C20" s="5" t="s">
        <v>46</v>
      </c>
      <c r="E20" s="13"/>
      <c r="F20" s="5">
        <v>100</v>
      </c>
      <c r="G20" s="11">
        <f>IF(ISERROR(AVERAGE(F$13:F20)),"n/a",AVERAGE(F$13:F20))</f>
        <v>128.125</v>
      </c>
      <c r="H20" s="11">
        <f>G20</f>
        <v>128.125</v>
      </c>
      <c r="J20" s="5"/>
      <c r="K20" s="5">
        <v>1</v>
      </c>
      <c r="L20" s="5"/>
      <c r="M20" s="5"/>
      <c r="N20" s="5"/>
      <c r="O20" s="8" t="str">
        <f t="shared" si="7"/>
        <v>B</v>
      </c>
      <c r="Q20" s="5"/>
      <c r="R20" s="5">
        <v>1</v>
      </c>
      <c r="S20" s="5"/>
      <c r="U20" s="6" t="s">
        <v>10</v>
      </c>
      <c r="V20" s="9">
        <f>IF(O20="n/a","",IF(O20=U20,1,""))</f>
        <v>1</v>
      </c>
      <c r="W20" s="9" t="str">
        <f>IF(O20="n/a","",IF(O20&lt;&gt;U20,1,""))</f>
        <v/>
      </c>
      <c r="X20" s="10">
        <f>SUM(V$13:V20)/COUNTA(B$13:B20)</f>
        <v>0.75</v>
      </c>
      <c r="Z20" s="5"/>
      <c r="AA20" s="5"/>
      <c r="AC20" s="7"/>
      <c r="AE20" s="54">
        <f t="shared" si="5"/>
        <v>2</v>
      </c>
      <c r="AF20" s="4">
        <f t="shared" si="1"/>
        <v>120</v>
      </c>
      <c r="AR20" s="45" t="s">
        <v>57</v>
      </c>
      <c r="AS20" s="37"/>
      <c r="AT20" s="44"/>
      <c r="AU20" s="93"/>
      <c r="AV20" s="37"/>
      <c r="AW20" s="37"/>
      <c r="AX20" s="37"/>
      <c r="AY20" s="93"/>
      <c r="AZ20" s="37"/>
      <c r="BA20" s="37"/>
      <c r="BB20" s="93"/>
      <c r="BC20" s="97"/>
      <c r="BD20" s="97"/>
      <c r="BF20" s="113"/>
    </row>
    <row r="21" spans="2:58">
      <c r="B21" s="5">
        <f t="shared" si="6"/>
        <v>9</v>
      </c>
      <c r="C21" s="5" t="s">
        <v>45</v>
      </c>
      <c r="E21" s="13"/>
      <c r="F21" s="5">
        <v>65</v>
      </c>
      <c r="G21" s="11">
        <f>IF(ISERROR(AVERAGE(F$13:F21)),"n/a",AVERAGE(F$13:F21))</f>
        <v>121.11111111111111</v>
      </c>
      <c r="H21" s="11">
        <f t="shared" si="2"/>
        <v>121.11111111111111</v>
      </c>
      <c r="J21" s="5"/>
      <c r="K21" s="5">
        <v>1</v>
      </c>
      <c r="L21" s="5"/>
      <c r="M21" s="5"/>
      <c r="N21" s="5"/>
      <c r="O21" s="8" t="str">
        <f t="shared" si="7"/>
        <v>B</v>
      </c>
      <c r="Q21" s="5"/>
      <c r="R21" s="5">
        <v>1</v>
      </c>
      <c r="S21" s="5"/>
      <c r="U21" s="6" t="s">
        <v>9</v>
      </c>
      <c r="V21" s="9" t="str">
        <f t="shared" ref="V21:V26" si="10">IF(O21="n/a","",IF(O21=U21,1,""))</f>
        <v/>
      </c>
      <c r="W21" s="9">
        <f t="shared" ref="W21:W26" si="11">IF(O21="n/a","",IF(O21&lt;&gt;U21,1,""))</f>
        <v>1</v>
      </c>
      <c r="X21" s="10">
        <f>SUM(V$13:V21)/COUNTA(B$13:B21)</f>
        <v>0.66666666666666663</v>
      </c>
      <c r="Z21" s="5"/>
      <c r="AA21" s="5">
        <v>1</v>
      </c>
      <c r="AC21" s="7"/>
      <c r="AE21" s="54">
        <f t="shared" si="5"/>
        <v>1</v>
      </c>
      <c r="AF21" s="4">
        <f t="shared" si="1"/>
        <v>120</v>
      </c>
      <c r="AR21" s="43"/>
      <c r="AS21" s="37"/>
      <c r="AT21" s="44"/>
      <c r="AU21" s="93"/>
      <c r="AV21" s="37"/>
      <c r="AW21" s="37"/>
      <c r="AX21" s="37"/>
      <c r="AY21" s="93"/>
      <c r="AZ21" s="37"/>
      <c r="BA21" s="37"/>
      <c r="BB21" s="93"/>
      <c r="BC21" s="97"/>
      <c r="BD21" s="97"/>
      <c r="BF21" s="113"/>
    </row>
    <row r="22" spans="2:58">
      <c r="B22" s="5">
        <f t="shared" si="6"/>
        <v>10</v>
      </c>
      <c r="C22" s="5" t="s">
        <v>45</v>
      </c>
      <c r="E22" s="13"/>
      <c r="F22" s="5">
        <v>80</v>
      </c>
      <c r="G22" s="11">
        <f>IF(ISERROR(AVERAGE(F$13:F22)),"n/a",AVERAGE(F$13:F22))</f>
        <v>117</v>
      </c>
      <c r="H22" s="11">
        <f t="shared" si="2"/>
        <v>117</v>
      </c>
      <c r="J22" s="5"/>
      <c r="K22" s="5">
        <v>1</v>
      </c>
      <c r="L22" s="5"/>
      <c r="M22" s="5"/>
      <c r="N22" s="5"/>
      <c r="O22" s="8" t="str">
        <f t="shared" si="7"/>
        <v>B</v>
      </c>
      <c r="Q22" s="5">
        <v>1</v>
      </c>
      <c r="R22" s="5"/>
      <c r="S22" s="5"/>
      <c r="U22" s="6" t="s">
        <v>10</v>
      </c>
      <c r="V22" s="9">
        <f t="shared" si="10"/>
        <v>1</v>
      </c>
      <c r="W22" s="9" t="str">
        <f t="shared" si="11"/>
        <v/>
      </c>
      <c r="X22" s="10">
        <f>SUM(V$13:V22)/COUNTA(B$13:B22)</f>
        <v>0.7</v>
      </c>
      <c r="Z22" s="5"/>
      <c r="AA22" s="5"/>
      <c r="AC22" s="7"/>
      <c r="AE22" s="54">
        <f t="shared" si="5"/>
        <v>0</v>
      </c>
      <c r="AF22" s="4">
        <f t="shared" si="1"/>
        <v>120</v>
      </c>
      <c r="AR22" s="46" t="s">
        <v>34</v>
      </c>
      <c r="AS22" s="37"/>
      <c r="AT22" s="44"/>
      <c r="AU22" s="92">
        <f>V1017</f>
        <v>2</v>
      </c>
      <c r="AV22" s="38">
        <f>Q1017</f>
        <v>1</v>
      </c>
      <c r="AW22" s="38">
        <f>R1017</f>
        <v>1</v>
      </c>
      <c r="AX22" s="38">
        <f>S1017</f>
        <v>0</v>
      </c>
      <c r="AY22" s="92">
        <f>$W$1017</f>
        <v>0</v>
      </c>
      <c r="AZ22" s="38">
        <f>Z1017</f>
        <v>0</v>
      </c>
      <c r="BA22" s="38">
        <f>AA1017</f>
        <v>0</v>
      </c>
      <c r="BB22" s="95">
        <f>IF(ISERROR(AU22/(AU22+AY22)),"n/a",AU22/(AU22+AY22))</f>
        <v>1</v>
      </c>
      <c r="BC22" s="96" t="str">
        <f>IF(ISERROR(TEXT($E$1025,"00")&amp;":"&amp;TEXT($F$1025,"00")),"n/a",TEXT($E$1025,"00")&amp;":"&amp;TEXT($F$1025,"00"))</f>
        <v>01:15</v>
      </c>
      <c r="BD22" s="96" t="str">
        <f>IF(ISERROR(BF22&amp;TEXT($E$1042,"00")&amp;":"&amp;TEXT($F$1042,"00")),"n/a",BF22&amp;TEXT($E$1042,"00")&amp;":"&amp;TEXT($F$1042,"00"))</f>
        <v>-00:45</v>
      </c>
      <c r="BF22" s="113" t="str">
        <f>IF(F1034&lt;0,"-","+")</f>
        <v>-</v>
      </c>
    </row>
    <row r="23" spans="2:58">
      <c r="B23" s="5">
        <f t="shared" si="6"/>
        <v>11</v>
      </c>
      <c r="C23" s="5"/>
      <c r="E23" s="13"/>
      <c r="F23" s="5"/>
      <c r="G23" s="11">
        <f>IF(ISERROR(AVERAGE(F$13:F23)),"n/a",AVERAGE(F$13:F23))</f>
        <v>117</v>
      </c>
      <c r="H23" s="11">
        <f t="shared" si="2"/>
        <v>117</v>
      </c>
      <c r="J23" s="5"/>
      <c r="K23" s="5"/>
      <c r="L23" s="5"/>
      <c r="M23" s="5"/>
      <c r="N23" s="5"/>
      <c r="O23" s="8" t="str">
        <f t="shared" si="7"/>
        <v>n/a</v>
      </c>
      <c r="Q23" s="5"/>
      <c r="R23" s="5"/>
      <c r="S23" s="5"/>
      <c r="U23" s="6"/>
      <c r="V23" s="9" t="str">
        <f t="shared" si="10"/>
        <v/>
      </c>
      <c r="W23" s="9" t="str">
        <f t="shared" si="11"/>
        <v/>
      </c>
      <c r="X23" s="10">
        <f>SUM(V$13:V23)/COUNTA(B$13:B23)</f>
        <v>0.63636363636363635</v>
      </c>
      <c r="Z23" s="5"/>
      <c r="AA23" s="5"/>
      <c r="AC23" s="7"/>
      <c r="AE23" s="54" t="e">
        <f t="shared" si="5"/>
        <v>#N/A</v>
      </c>
      <c r="AF23" s="4" t="e">
        <f t="shared" si="1"/>
        <v>#N/A</v>
      </c>
      <c r="AR23" s="46"/>
      <c r="AS23" s="37"/>
      <c r="AT23" s="44"/>
      <c r="AU23" s="93"/>
      <c r="AV23" s="102">
        <f>+IF(ISERROR(AV22/SUM($AU$22,$AY$22)),"n/a",AV22/SUM($AU$22,$AY$22))</f>
        <v>0.5</v>
      </c>
      <c r="AW23" s="102">
        <f t="shared" ref="AW23:AX23" si="12">+IF(ISERROR(AW22/SUM($AU$22,$AY$22)),"n/a",AW22/SUM($AU$22,$AY$22))</f>
        <v>0.5</v>
      </c>
      <c r="AX23" s="102">
        <f t="shared" si="12"/>
        <v>0</v>
      </c>
      <c r="AY23" s="93"/>
      <c r="AZ23" s="102" t="str">
        <f>+IF(ISERROR(AZ22/$AY$22),"n/a",AZ22/$AY$22)</f>
        <v>n/a</v>
      </c>
      <c r="BA23" s="102" t="str">
        <f>+IF(ISERROR(BA22/$AY$22),"n/a",BA22/$AY$22)</f>
        <v>n/a</v>
      </c>
      <c r="BB23" s="93"/>
      <c r="BC23" s="97"/>
      <c r="BD23" s="97"/>
      <c r="BF23" s="113"/>
    </row>
    <row r="24" spans="2:58">
      <c r="B24" s="5">
        <f t="shared" si="6"/>
        <v>12</v>
      </c>
      <c r="C24" s="5"/>
      <c r="E24" s="13"/>
      <c r="F24" s="5"/>
      <c r="G24" s="11">
        <f>IF(ISERROR(AVERAGE(F$13:F24)),"n/a",AVERAGE(F$13:F24))</f>
        <v>117</v>
      </c>
      <c r="H24" s="11">
        <f t="shared" si="2"/>
        <v>117</v>
      </c>
      <c r="J24" s="5"/>
      <c r="K24" s="5"/>
      <c r="L24" s="5"/>
      <c r="M24" s="5"/>
      <c r="N24" s="5"/>
      <c r="O24" s="8" t="str">
        <f t="shared" si="7"/>
        <v>n/a</v>
      </c>
      <c r="Q24" s="5"/>
      <c r="R24" s="5"/>
      <c r="S24" s="5"/>
      <c r="U24" s="6"/>
      <c r="V24" s="9" t="str">
        <f t="shared" si="10"/>
        <v/>
      </c>
      <c r="W24" s="9" t="str">
        <f t="shared" si="11"/>
        <v/>
      </c>
      <c r="X24" s="10">
        <f>SUM(V$13:V24)/COUNTA(B$13:B24)</f>
        <v>0.58333333333333337</v>
      </c>
      <c r="Z24" s="5"/>
      <c r="AA24" s="5"/>
      <c r="AC24" s="7"/>
      <c r="AE24" s="54" t="e">
        <f t="shared" si="5"/>
        <v>#N/A</v>
      </c>
      <c r="AF24" s="4" t="e">
        <f t="shared" si="1"/>
        <v>#N/A</v>
      </c>
      <c r="AR24" s="46"/>
      <c r="AS24" s="37"/>
      <c r="AT24" s="44"/>
      <c r="AU24" s="93"/>
      <c r="AV24" s="37"/>
      <c r="AW24" s="37"/>
      <c r="AX24" s="37"/>
      <c r="AY24" s="93"/>
      <c r="AZ24" s="37"/>
      <c r="BA24" s="37"/>
      <c r="BB24" s="93"/>
      <c r="BC24" s="97"/>
      <c r="BD24" s="97"/>
      <c r="BF24" s="113"/>
    </row>
    <row r="25" spans="2:58">
      <c r="B25" s="5">
        <f t="shared" si="6"/>
        <v>13</v>
      </c>
      <c r="C25" s="5"/>
      <c r="E25" s="13"/>
      <c r="F25" s="5"/>
      <c r="G25" s="11">
        <f>IF(ISERROR(AVERAGE(F$13:F25)),"n/a",AVERAGE(F$13:F25))</f>
        <v>117</v>
      </c>
      <c r="H25" s="11">
        <f t="shared" si="2"/>
        <v>117</v>
      </c>
      <c r="J25" s="5"/>
      <c r="K25" s="5"/>
      <c r="L25" s="5"/>
      <c r="M25" s="5"/>
      <c r="N25" s="5"/>
      <c r="O25" s="8" t="str">
        <f t="shared" si="7"/>
        <v>n/a</v>
      </c>
      <c r="Q25" s="5"/>
      <c r="R25" s="5"/>
      <c r="S25" s="5"/>
      <c r="U25" s="6"/>
      <c r="V25" s="9" t="str">
        <f t="shared" si="10"/>
        <v/>
      </c>
      <c r="W25" s="9" t="str">
        <f t="shared" si="11"/>
        <v/>
      </c>
      <c r="X25" s="10">
        <f>SUM(V$13:V25)/COUNTA(B$13:B25)</f>
        <v>0.53846153846153844</v>
      </c>
      <c r="Z25" s="5"/>
      <c r="AA25" s="5"/>
      <c r="AC25" s="7"/>
      <c r="AE25" s="54" t="e">
        <f t="shared" si="5"/>
        <v>#N/A</v>
      </c>
      <c r="AF25" s="4" t="e">
        <f t="shared" si="1"/>
        <v>#N/A</v>
      </c>
      <c r="AR25" s="46" t="s">
        <v>35</v>
      </c>
      <c r="AS25" s="37"/>
      <c r="AT25" s="44"/>
      <c r="AU25" s="92">
        <f>$V$1018</f>
        <v>1</v>
      </c>
      <c r="AV25" s="38">
        <f>Q1018</f>
        <v>1</v>
      </c>
      <c r="AW25" s="38">
        <f>R1018</f>
        <v>1</v>
      </c>
      <c r="AX25" s="38">
        <f>S1018</f>
        <v>0</v>
      </c>
      <c r="AY25" s="92">
        <f>$W$1018</f>
        <v>1</v>
      </c>
      <c r="AZ25" s="38">
        <f>Z1018</f>
        <v>1</v>
      </c>
      <c r="BA25" s="38">
        <f>AA1018</f>
        <v>0</v>
      </c>
      <c r="BB25" s="95">
        <f>IF(ISERROR(AU25/(AU25+AY25)),"n/a",AU25/(AU25+AY25))</f>
        <v>0.5</v>
      </c>
      <c r="BC25" s="96" t="str">
        <f>IF(ISERROR(TEXT($E$1026,"00")&amp;":"&amp;TEXT($F$1026,"00")),"n/a",TEXT($E$1026,"00")&amp;":"&amp;TEXT($F$1026,"00"))</f>
        <v>03:40</v>
      </c>
      <c r="BD25" s="96" t="str">
        <f>IF(ISERROR(BF25&amp;TEXT($E$1043,"00")&amp;":"&amp;TEXT($F$1043,"00")),"n/a",BF25&amp;TEXT($E$1043,"00")&amp;":"&amp;TEXT($F$1043,"00"))</f>
        <v>+01:40</v>
      </c>
      <c r="BF25" s="113" t="str">
        <f>IF(F1035&lt;0,"-","+")</f>
        <v>+</v>
      </c>
    </row>
    <row r="26" spans="2:58">
      <c r="B26" s="5">
        <f t="shared" si="6"/>
        <v>14</v>
      </c>
      <c r="C26" s="5"/>
      <c r="E26" s="13"/>
      <c r="F26" s="5"/>
      <c r="G26" s="11">
        <f>IF(ISERROR(AVERAGE(F$13:F26)),"n/a",AVERAGE(F$13:F26))</f>
        <v>117</v>
      </c>
      <c r="H26" s="11">
        <f t="shared" si="2"/>
        <v>117</v>
      </c>
      <c r="J26" s="5"/>
      <c r="K26" s="5"/>
      <c r="L26" s="5"/>
      <c r="M26" s="5"/>
      <c r="N26" s="5"/>
      <c r="O26" s="8" t="str">
        <f t="shared" ref="O26:O47" si="13">IF(J26=1,"A",IF(K26=1,"B",IF(L26=1,"C",IF(M26=1,"D",IF(N26=1,"E","n/a")))))</f>
        <v>n/a</v>
      </c>
      <c r="Q26" s="5"/>
      <c r="R26" s="5"/>
      <c r="S26" s="5"/>
      <c r="U26" s="6"/>
      <c r="V26" s="9" t="str">
        <f t="shared" si="10"/>
        <v/>
      </c>
      <c r="W26" s="9" t="str">
        <f t="shared" si="11"/>
        <v/>
      </c>
      <c r="X26" s="10">
        <f>SUM(V$13:V26)/COUNTA(B$13:B26)</f>
        <v>0.5</v>
      </c>
      <c r="Z26" s="5"/>
      <c r="AA26" s="5"/>
      <c r="AC26" s="7"/>
      <c r="AE26" s="54" t="e">
        <f t="shared" si="5"/>
        <v>#N/A</v>
      </c>
      <c r="AF26" s="4" t="e">
        <f t="shared" si="1"/>
        <v>#N/A</v>
      </c>
      <c r="AR26" s="46"/>
      <c r="AS26" s="37"/>
      <c r="AT26" s="44"/>
      <c r="AU26" s="93"/>
      <c r="AV26" s="102">
        <f>+IF(ISERROR(AV25/SUM($AU$25,$AY$25)),"n/a",AV25/SUM($AU$25,$AY$25))</f>
        <v>0.5</v>
      </c>
      <c r="AW26" s="102">
        <f t="shared" ref="AW26:AX26" si="14">+IF(ISERROR(AW25/SUM($AU$25,$AY$25)),"n/a",AW25/SUM($AU$25,$AY$25))</f>
        <v>0.5</v>
      </c>
      <c r="AX26" s="102">
        <f t="shared" si="14"/>
        <v>0</v>
      </c>
      <c r="AY26" s="93"/>
      <c r="AZ26" s="102">
        <f>+IF(ISERROR(AZ25/$AY$25),"n/a",AZ25/$AY$25)</f>
        <v>1</v>
      </c>
      <c r="BA26" s="102">
        <f>+IF(ISERROR(BA25/$AY$25),"n/a",BA25/$AY$25)</f>
        <v>0</v>
      </c>
      <c r="BB26" s="93"/>
      <c r="BC26" s="97"/>
      <c r="BD26" s="97"/>
      <c r="BF26" s="113"/>
    </row>
    <row r="27" spans="2:58">
      <c r="B27" s="5">
        <f t="shared" si="6"/>
        <v>15</v>
      </c>
      <c r="C27" s="5"/>
      <c r="E27" s="13"/>
      <c r="F27" s="5"/>
      <c r="G27" s="11">
        <f>IF(ISERROR(AVERAGE(F$13:F27)),"n/a",AVERAGE(F$13:F27))</f>
        <v>117</v>
      </c>
      <c r="H27" s="11">
        <f>G27</f>
        <v>117</v>
      </c>
      <c r="J27" s="5"/>
      <c r="K27" s="5"/>
      <c r="L27" s="5"/>
      <c r="M27" s="5"/>
      <c r="N27" s="5"/>
      <c r="O27" s="8" t="str">
        <f t="shared" si="13"/>
        <v>n/a</v>
      </c>
      <c r="Q27" s="5"/>
      <c r="R27" s="5"/>
      <c r="S27" s="5"/>
      <c r="U27" s="6"/>
      <c r="V27" s="9" t="str">
        <f>IF(O27="n/a","",IF(O27=U27,1,""))</f>
        <v/>
      </c>
      <c r="W27" s="9" t="str">
        <f>IF(O27="n/a","",IF(O27&lt;&gt;U27,1,""))</f>
        <v/>
      </c>
      <c r="X27" s="10">
        <f>SUM(V$13:V27)/COUNTA(B$13:B27)</f>
        <v>0.46666666666666667</v>
      </c>
      <c r="Z27" s="5"/>
      <c r="AA27" s="5"/>
      <c r="AC27" s="7"/>
      <c r="AE27" s="54" t="e">
        <f t="shared" si="5"/>
        <v>#N/A</v>
      </c>
      <c r="AF27" s="4" t="e">
        <f t="shared" si="1"/>
        <v>#N/A</v>
      </c>
      <c r="AR27" s="46"/>
      <c r="AS27" s="37"/>
      <c r="AT27" s="44"/>
      <c r="AU27" s="93"/>
      <c r="AV27" s="37"/>
      <c r="AW27" s="37"/>
      <c r="AX27" s="37"/>
      <c r="AY27" s="93"/>
      <c r="AZ27" s="37"/>
      <c r="BA27" s="37"/>
      <c r="BB27" s="93"/>
      <c r="BC27" s="97"/>
      <c r="BD27" s="97"/>
      <c r="BF27" s="113"/>
    </row>
    <row r="28" spans="2:58">
      <c r="B28" s="5">
        <f t="shared" si="6"/>
        <v>16</v>
      </c>
      <c r="C28" s="5"/>
      <c r="E28" s="13"/>
      <c r="F28" s="5"/>
      <c r="G28" s="11">
        <f>IF(ISERROR(AVERAGE(F$13:F28)),"n/a",AVERAGE(F$13:F28))</f>
        <v>117</v>
      </c>
      <c r="H28" s="11">
        <f t="shared" si="2"/>
        <v>117</v>
      </c>
      <c r="J28" s="5"/>
      <c r="K28" s="5"/>
      <c r="L28" s="5"/>
      <c r="M28" s="5"/>
      <c r="N28" s="5"/>
      <c r="O28" s="8" t="str">
        <f t="shared" si="13"/>
        <v>n/a</v>
      </c>
      <c r="Q28" s="5"/>
      <c r="R28" s="5"/>
      <c r="S28" s="5"/>
      <c r="U28" s="6"/>
      <c r="V28" s="9" t="str">
        <f t="shared" ref="V28:V33" si="15">IF(O28="n/a","",IF(O28=U28,1,""))</f>
        <v/>
      </c>
      <c r="W28" s="9" t="str">
        <f t="shared" ref="W28:W33" si="16">IF(O28="n/a","",IF(O28&lt;&gt;U28,1,""))</f>
        <v/>
      </c>
      <c r="X28" s="10">
        <f>SUM(V$13:V28)/COUNTA(B$13:B28)</f>
        <v>0.4375</v>
      </c>
      <c r="Z28" s="5"/>
      <c r="AA28" s="5"/>
      <c r="AC28" s="7"/>
      <c r="AE28" s="54" t="e">
        <f t="shared" si="5"/>
        <v>#N/A</v>
      </c>
      <c r="AF28" s="4" t="e">
        <f t="shared" si="1"/>
        <v>#N/A</v>
      </c>
      <c r="AR28" s="46" t="s">
        <v>36</v>
      </c>
      <c r="AS28" s="37"/>
      <c r="AT28" s="44"/>
      <c r="AU28" s="92">
        <f>$V$1019</f>
        <v>2</v>
      </c>
      <c r="AV28" s="38">
        <f>Q1019</f>
        <v>1</v>
      </c>
      <c r="AW28" s="38">
        <f>R1019</f>
        <v>1</v>
      </c>
      <c r="AX28" s="38">
        <f>S1019</f>
        <v>0</v>
      </c>
      <c r="AY28" s="92">
        <f>$W$1019</f>
        <v>0</v>
      </c>
      <c r="AZ28" s="38">
        <f>Z1019</f>
        <v>0</v>
      </c>
      <c r="BA28" s="38">
        <f>AA1019</f>
        <v>0</v>
      </c>
      <c r="BB28" s="95">
        <f>IF(ISERROR(AU28/(AU28+AY28)),"n/a",AU28/(AU28+AY28))</f>
        <v>1</v>
      </c>
      <c r="BC28" s="96" t="str">
        <f>IF(ISERROR(TEXT($E$1027,"00")&amp;":"&amp;TEXT($F$1027,"00")),"n/a",TEXT($E$1027,"00")&amp;":"&amp;TEXT($F$1027,"00"))</f>
        <v>01:55</v>
      </c>
      <c r="BD28" s="96" t="str">
        <f>IF(ISERROR(BF28&amp;TEXT($E$1044,"00")&amp;":"&amp;TEXT($F$1044,"00")),"n/a",BF28&amp;TEXT($E$1044,"00")&amp;":"&amp;TEXT($F$1044,"00"))</f>
        <v>-00:05</v>
      </c>
      <c r="BF28" s="113" t="str">
        <f>IF(F1036&lt;0,"-","+")</f>
        <v>-</v>
      </c>
    </row>
    <row r="29" spans="2:58">
      <c r="B29" s="5">
        <f t="shared" si="6"/>
        <v>17</v>
      </c>
      <c r="C29" s="5"/>
      <c r="E29" s="13"/>
      <c r="F29" s="5"/>
      <c r="G29" s="11">
        <f>IF(ISERROR(AVERAGE(F$13:F29)),"n/a",AVERAGE(F$13:F29))</f>
        <v>117</v>
      </c>
      <c r="H29" s="11">
        <f t="shared" si="2"/>
        <v>117</v>
      </c>
      <c r="J29" s="5"/>
      <c r="K29" s="5"/>
      <c r="L29" s="5"/>
      <c r="M29" s="5"/>
      <c r="N29" s="5"/>
      <c r="O29" s="8" t="str">
        <f t="shared" si="13"/>
        <v>n/a</v>
      </c>
      <c r="Q29" s="5"/>
      <c r="R29" s="5"/>
      <c r="S29" s="5"/>
      <c r="U29" s="6"/>
      <c r="V29" s="9" t="str">
        <f t="shared" si="15"/>
        <v/>
      </c>
      <c r="W29" s="9" t="str">
        <f t="shared" si="16"/>
        <v/>
      </c>
      <c r="X29" s="10">
        <f>SUM(V$13:V29)/COUNTA(B$13:B29)</f>
        <v>0.41176470588235292</v>
      </c>
      <c r="Z29" s="5"/>
      <c r="AA29" s="5"/>
      <c r="AC29" s="7"/>
      <c r="AE29" s="54" t="e">
        <f t="shared" si="5"/>
        <v>#N/A</v>
      </c>
      <c r="AF29" s="4" t="e">
        <f t="shared" si="1"/>
        <v>#N/A</v>
      </c>
      <c r="AR29" s="46"/>
      <c r="AS29" s="37"/>
      <c r="AT29" s="44"/>
      <c r="AU29" s="93"/>
      <c r="AV29" s="102">
        <f>+IF(ISERROR(AV28/SUM($AU$28,$AY$28)),"n/a",AV28/SUM($AU$28,$AY$28))</f>
        <v>0.5</v>
      </c>
      <c r="AW29" s="102">
        <f t="shared" ref="AW29:AX29" si="17">+IF(ISERROR(AW28/SUM($AU$28,$AY$28)),"n/a",AW28/SUM($AU$28,$AY$28))</f>
        <v>0.5</v>
      </c>
      <c r="AX29" s="102">
        <f t="shared" si="17"/>
        <v>0</v>
      </c>
      <c r="AY29" s="93"/>
      <c r="AZ29" s="102" t="str">
        <f>+IF(ISERROR(AZ28/$AY$28),"n/a",AZ28/$AY$28)</f>
        <v>n/a</v>
      </c>
      <c r="BA29" s="102" t="str">
        <f>+IF(ISERROR(BA28/$AY$28),"n/a",BA28/$AY$28)</f>
        <v>n/a</v>
      </c>
      <c r="BB29" s="93"/>
      <c r="BC29" s="97"/>
      <c r="BD29" s="97"/>
      <c r="BF29" s="113"/>
    </row>
    <row r="30" spans="2:58">
      <c r="B30" s="5">
        <f t="shared" si="6"/>
        <v>18</v>
      </c>
      <c r="C30" s="5"/>
      <c r="E30" s="13"/>
      <c r="F30" s="5"/>
      <c r="G30" s="11">
        <f>IF(ISERROR(AVERAGE(F$13:F30)),"n/a",AVERAGE(F$13:F30))</f>
        <v>117</v>
      </c>
      <c r="H30" s="11">
        <f t="shared" si="2"/>
        <v>117</v>
      </c>
      <c r="J30" s="5"/>
      <c r="K30" s="5"/>
      <c r="L30" s="5"/>
      <c r="M30" s="5"/>
      <c r="N30" s="5"/>
      <c r="O30" s="8" t="str">
        <f t="shared" si="13"/>
        <v>n/a</v>
      </c>
      <c r="Q30" s="5"/>
      <c r="R30" s="5"/>
      <c r="S30" s="5"/>
      <c r="U30" s="6"/>
      <c r="V30" s="9" t="str">
        <f t="shared" si="15"/>
        <v/>
      </c>
      <c r="W30" s="9" t="str">
        <f t="shared" si="16"/>
        <v/>
      </c>
      <c r="X30" s="10">
        <f>SUM(V$13:V30)/COUNTA(B$13:B30)</f>
        <v>0.3888888888888889</v>
      </c>
      <c r="Z30" s="5"/>
      <c r="AA30" s="5"/>
      <c r="AC30" s="7"/>
      <c r="AE30" s="54" t="e">
        <f t="shared" si="5"/>
        <v>#N/A</v>
      </c>
      <c r="AF30" s="4" t="e">
        <f t="shared" si="1"/>
        <v>#N/A</v>
      </c>
      <c r="AR30" s="46"/>
      <c r="AS30" s="37"/>
      <c r="AT30" s="44"/>
      <c r="AU30" s="93"/>
      <c r="AV30" s="37"/>
      <c r="AW30" s="37"/>
      <c r="AX30" s="37"/>
      <c r="AY30" s="93"/>
      <c r="AZ30" s="37"/>
      <c r="BA30" s="37"/>
      <c r="BB30" s="93"/>
      <c r="BC30" s="97"/>
      <c r="BD30" s="97"/>
      <c r="BF30" s="113"/>
    </row>
    <row r="31" spans="2:58">
      <c r="B31" s="5">
        <f t="shared" si="6"/>
        <v>19</v>
      </c>
      <c r="C31" s="5"/>
      <c r="E31" s="13"/>
      <c r="F31" s="5"/>
      <c r="G31" s="11">
        <f>IF(ISERROR(AVERAGE(F$13:F31)),"n/a",AVERAGE(F$13:F31))</f>
        <v>117</v>
      </c>
      <c r="H31" s="11">
        <f t="shared" si="2"/>
        <v>117</v>
      </c>
      <c r="J31" s="5"/>
      <c r="K31" s="5"/>
      <c r="L31" s="5"/>
      <c r="M31" s="5"/>
      <c r="N31" s="5"/>
      <c r="O31" s="8" t="str">
        <f t="shared" si="13"/>
        <v>n/a</v>
      </c>
      <c r="Q31" s="5"/>
      <c r="R31" s="5"/>
      <c r="S31" s="5"/>
      <c r="U31" s="6"/>
      <c r="V31" s="9" t="str">
        <f t="shared" si="15"/>
        <v/>
      </c>
      <c r="W31" s="9" t="str">
        <f t="shared" si="16"/>
        <v/>
      </c>
      <c r="X31" s="10">
        <f>SUM(V$13:V31)/COUNTA(B$13:B31)</f>
        <v>0.36842105263157893</v>
      </c>
      <c r="Z31" s="5"/>
      <c r="AA31" s="5"/>
      <c r="AC31" s="7"/>
      <c r="AE31" s="54" t="e">
        <f t="shared" si="5"/>
        <v>#N/A</v>
      </c>
      <c r="AF31" s="4" t="e">
        <f t="shared" si="1"/>
        <v>#N/A</v>
      </c>
      <c r="AR31" s="46" t="s">
        <v>37</v>
      </c>
      <c r="AS31" s="37"/>
      <c r="AT31" s="44"/>
      <c r="AU31" s="92">
        <f>$V$1020</f>
        <v>1</v>
      </c>
      <c r="AV31" s="38">
        <f>Q1020</f>
        <v>1</v>
      </c>
      <c r="AW31" s="38">
        <f>R1020</f>
        <v>1</v>
      </c>
      <c r="AX31" s="38">
        <f>S1020</f>
        <v>0</v>
      </c>
      <c r="AY31" s="92">
        <f>$W$1020</f>
        <v>1</v>
      </c>
      <c r="AZ31" s="38">
        <f>Z1020</f>
        <v>0</v>
      </c>
      <c r="BA31" s="38">
        <f>AA1020</f>
        <v>1</v>
      </c>
      <c r="BB31" s="95">
        <f>IF(ISERROR(AU31/(AU31+AY31)),"n/a",AU31/(AU31+AY31))</f>
        <v>0.5</v>
      </c>
      <c r="BC31" s="96" t="str">
        <f>IF(ISERROR(TEXT($E$1028,"00")&amp;":"&amp;TEXT($F$1028,"00")),"n/a",TEXT($E$1028,"00")&amp;":"&amp;TEXT($F$1028,"00"))</f>
        <v>01:43</v>
      </c>
      <c r="BD31" s="96" t="str">
        <f>IF(ISERROR(BF31&amp;TEXT($E$1045,"00")&amp;":"&amp;TEXT($F$1045,"00")),"n/a",BF31&amp;TEXT($E$1045,"00")&amp;":"&amp;TEXT($F$1045,"00"))</f>
        <v>-00:18</v>
      </c>
      <c r="BF31" s="113" t="str">
        <f>IF(F1037&lt;0,"-","+")</f>
        <v>-</v>
      </c>
    </row>
    <row r="32" spans="2:58">
      <c r="B32" s="5">
        <f t="shared" si="6"/>
        <v>20</v>
      </c>
      <c r="C32" s="5"/>
      <c r="E32" s="13"/>
      <c r="F32" s="5"/>
      <c r="G32" s="11">
        <f>IF(ISERROR(AVERAGE(F$13:F32)),"n/a",AVERAGE(F$13:F32))</f>
        <v>117</v>
      </c>
      <c r="H32" s="11">
        <f t="shared" si="2"/>
        <v>117</v>
      </c>
      <c r="J32" s="5"/>
      <c r="K32" s="5"/>
      <c r="L32" s="5"/>
      <c r="M32" s="5"/>
      <c r="N32" s="5"/>
      <c r="O32" s="8" t="str">
        <f t="shared" si="13"/>
        <v>n/a</v>
      </c>
      <c r="Q32" s="5"/>
      <c r="R32" s="5"/>
      <c r="S32" s="5"/>
      <c r="U32" s="6"/>
      <c r="V32" s="9" t="str">
        <f t="shared" si="15"/>
        <v/>
      </c>
      <c r="W32" s="9" t="str">
        <f t="shared" si="16"/>
        <v/>
      </c>
      <c r="X32" s="10">
        <f>SUM(V$13:V32)/COUNTA(B$13:B32)</f>
        <v>0.35</v>
      </c>
      <c r="Z32" s="5"/>
      <c r="AA32" s="5"/>
      <c r="AC32" s="7"/>
      <c r="AE32" s="54" t="e">
        <f t="shared" si="5"/>
        <v>#N/A</v>
      </c>
      <c r="AF32" s="4" t="e">
        <f t="shared" si="1"/>
        <v>#N/A</v>
      </c>
      <c r="AR32" s="46"/>
      <c r="AS32" s="37"/>
      <c r="AT32" s="44"/>
      <c r="AU32" s="93"/>
      <c r="AV32" s="102">
        <f>+IF(ISERROR(AV31/SUM($AU$31,$AY$31)),"n/a",AV31/SUM($AU$31,$AY$31))</f>
        <v>0.5</v>
      </c>
      <c r="AW32" s="102">
        <f t="shared" ref="AW32:AX32" si="18">+IF(ISERROR(AW31/SUM($AU$31,$AY$31)),"n/a",AW31/SUM($AU$31,$AY$31))</f>
        <v>0.5</v>
      </c>
      <c r="AX32" s="102">
        <f t="shared" si="18"/>
        <v>0</v>
      </c>
      <c r="AY32" s="93"/>
      <c r="AZ32" s="102">
        <f>+IF(ISERROR(AZ31/$AY$31),"n/a",AZ31/$AY$31)</f>
        <v>0</v>
      </c>
      <c r="BA32" s="102">
        <f>+IF(ISERROR(BA31/$AY$31),"n/a",BA31/$AY$31)</f>
        <v>1</v>
      </c>
      <c r="BB32" s="93"/>
      <c r="BC32" s="97"/>
      <c r="BD32" s="97"/>
      <c r="BF32" s="113"/>
    </row>
    <row r="33" spans="2:59">
      <c r="B33" s="5">
        <f t="shared" si="6"/>
        <v>21</v>
      </c>
      <c r="C33" s="5"/>
      <c r="E33" s="13"/>
      <c r="F33" s="5"/>
      <c r="G33" s="11">
        <f>IF(ISERROR(AVERAGE(F$13:F33)),"n/a",AVERAGE(F$13:F33))</f>
        <v>117</v>
      </c>
      <c r="H33" s="11">
        <f t="shared" si="2"/>
        <v>117</v>
      </c>
      <c r="J33" s="5"/>
      <c r="K33" s="5"/>
      <c r="L33" s="5"/>
      <c r="M33" s="5"/>
      <c r="N33" s="5"/>
      <c r="O33" s="8" t="str">
        <f t="shared" si="13"/>
        <v>n/a</v>
      </c>
      <c r="Q33" s="5"/>
      <c r="R33" s="5"/>
      <c r="S33" s="5"/>
      <c r="U33" s="6"/>
      <c r="V33" s="9" t="str">
        <f t="shared" si="15"/>
        <v/>
      </c>
      <c r="W33" s="9" t="str">
        <f t="shared" si="16"/>
        <v/>
      </c>
      <c r="X33" s="10">
        <f>SUM(V$13:V33)/COUNTA(B$13:B33)</f>
        <v>0.33333333333333331</v>
      </c>
      <c r="Z33" s="5"/>
      <c r="AA33" s="5"/>
      <c r="AC33" s="7"/>
      <c r="AE33" s="54" t="e">
        <f t="shared" si="5"/>
        <v>#N/A</v>
      </c>
      <c r="AF33" s="4" t="e">
        <f t="shared" si="1"/>
        <v>#N/A</v>
      </c>
      <c r="AR33" s="46"/>
      <c r="AS33" s="37"/>
      <c r="AT33" s="44"/>
      <c r="AU33" s="93"/>
      <c r="AV33" s="37"/>
      <c r="AW33" s="37"/>
      <c r="AX33" s="37"/>
      <c r="AY33" s="93"/>
      <c r="AZ33" s="37"/>
      <c r="BA33" s="37"/>
      <c r="BB33" s="93"/>
      <c r="BC33" s="97"/>
      <c r="BD33" s="97"/>
      <c r="BF33" s="113"/>
    </row>
    <row r="34" spans="2:59">
      <c r="B34" s="5">
        <f t="shared" si="6"/>
        <v>22</v>
      </c>
      <c r="C34" s="5"/>
      <c r="E34" s="13"/>
      <c r="F34" s="5"/>
      <c r="G34" s="11">
        <f>IF(ISERROR(AVERAGE(F$13:F34)),"n/a",AVERAGE(F$13:F34))</f>
        <v>117</v>
      </c>
      <c r="H34" s="11">
        <f>G34</f>
        <v>117</v>
      </c>
      <c r="J34" s="5"/>
      <c r="K34" s="5"/>
      <c r="L34" s="5"/>
      <c r="M34" s="5"/>
      <c r="N34" s="5"/>
      <c r="O34" s="8" t="str">
        <f t="shared" si="13"/>
        <v>n/a</v>
      </c>
      <c r="Q34" s="5"/>
      <c r="R34" s="5"/>
      <c r="S34" s="5"/>
      <c r="U34" s="6"/>
      <c r="V34" s="9" t="str">
        <f>IF(O34="n/a","",IF(O34=U34,1,""))</f>
        <v/>
      </c>
      <c r="W34" s="9" t="str">
        <f>IF(O34="n/a","",IF(O34&lt;&gt;U34,1,""))</f>
        <v/>
      </c>
      <c r="X34" s="10">
        <f>SUM(V$13:V34)/COUNTA(B$13:B34)</f>
        <v>0.31818181818181818</v>
      </c>
      <c r="Z34" s="5"/>
      <c r="AA34" s="5"/>
      <c r="AC34" s="7"/>
      <c r="AE34" s="54" t="e">
        <f t="shared" si="5"/>
        <v>#N/A</v>
      </c>
      <c r="AF34" s="4" t="e">
        <f t="shared" si="1"/>
        <v>#N/A</v>
      </c>
      <c r="AR34" s="46" t="s">
        <v>38</v>
      </c>
      <c r="AS34" s="37"/>
      <c r="AT34" s="44"/>
      <c r="AU34" s="92">
        <f>$V$1021</f>
        <v>1</v>
      </c>
      <c r="AV34" s="38">
        <f>Q1021</f>
        <v>1</v>
      </c>
      <c r="AW34" s="38">
        <f>R1021</f>
        <v>1</v>
      </c>
      <c r="AX34" s="38">
        <f>S1021</f>
        <v>0</v>
      </c>
      <c r="AY34" s="92">
        <f>$W$1021</f>
        <v>1</v>
      </c>
      <c r="AZ34" s="38">
        <f>Z1021</f>
        <v>0</v>
      </c>
      <c r="BA34" s="38">
        <f>AA1021</f>
        <v>1</v>
      </c>
      <c r="BB34" s="95">
        <f>IF(ISERROR(AU34/(AU34+AY34)),"n/a",AU34/(AU34+AY34))</f>
        <v>0.5</v>
      </c>
      <c r="BC34" s="96" t="str">
        <f>IF(ISERROR(TEXT($E$1029,"00")&amp;":"&amp;TEXT($F$1029,"00")),"n/a",TEXT($E$1029,"00")&amp;":"&amp;TEXT($F$1029,"00"))</f>
        <v>01:13</v>
      </c>
      <c r="BD34" s="96" t="str">
        <f>IF(ISERROR(BF34&amp;TEXT($E$1046,"00")&amp;":"&amp;TEXT($F$1046,"00")),"n/a",BF34&amp;TEXT($E$1046,"00")&amp;":"&amp;TEXT($F$1046,"00"))</f>
        <v>-00:48</v>
      </c>
      <c r="BF34" s="113" t="str">
        <f>IF(F1038&lt;0,"-","+")</f>
        <v>-</v>
      </c>
    </row>
    <row r="35" spans="2:59">
      <c r="B35" s="5">
        <f t="shared" si="6"/>
        <v>23</v>
      </c>
      <c r="C35" s="5"/>
      <c r="E35" s="13"/>
      <c r="F35" s="5"/>
      <c r="G35" s="11">
        <f>IF(ISERROR(AVERAGE(F$13:F35)),"n/a",AVERAGE(F$13:F35))</f>
        <v>117</v>
      </c>
      <c r="H35" s="11">
        <f t="shared" si="2"/>
        <v>117</v>
      </c>
      <c r="J35" s="5"/>
      <c r="K35" s="5"/>
      <c r="L35" s="5"/>
      <c r="M35" s="5"/>
      <c r="N35" s="5"/>
      <c r="O35" s="8" t="str">
        <f t="shared" si="13"/>
        <v>n/a</v>
      </c>
      <c r="Q35" s="5"/>
      <c r="R35" s="5"/>
      <c r="S35" s="5"/>
      <c r="U35" s="6"/>
      <c r="V35" s="9" t="str">
        <f t="shared" ref="V35:V40" si="19">IF(O35="n/a","",IF(O35=U35,1,""))</f>
        <v/>
      </c>
      <c r="W35" s="9" t="str">
        <f t="shared" ref="W35:W40" si="20">IF(O35="n/a","",IF(O35&lt;&gt;U35,1,""))</f>
        <v/>
      </c>
      <c r="X35" s="10">
        <f>SUM(V$13:V35)/COUNTA(B$13:B35)</f>
        <v>0.30434782608695654</v>
      </c>
      <c r="Z35" s="5"/>
      <c r="AA35" s="5"/>
      <c r="AC35" s="7"/>
      <c r="AE35" s="54" t="e">
        <f t="shared" si="5"/>
        <v>#N/A</v>
      </c>
      <c r="AF35" s="4" t="e">
        <f t="shared" si="1"/>
        <v>#N/A</v>
      </c>
      <c r="AR35" s="105"/>
      <c r="AS35" s="48"/>
      <c r="AT35" s="48"/>
      <c r="AU35" s="94"/>
      <c r="AV35" s="104">
        <f>+IF(ISERROR(AV34/SUM($AU$34,$AY$34)),"n/a",AV34/SUM($AU$34,$AY$34))</f>
        <v>0.5</v>
      </c>
      <c r="AW35" s="104">
        <f t="shared" ref="AW35:AX35" si="21">+IF(ISERROR(AW34/SUM($AU$34,$AY$34)),"n/a",AW34/SUM($AU$34,$AY$34))</f>
        <v>0.5</v>
      </c>
      <c r="AX35" s="104">
        <f t="shared" si="21"/>
        <v>0</v>
      </c>
      <c r="AY35" s="94"/>
      <c r="AZ35" s="106">
        <f>+IF(ISERROR(AZ34/$AY$34),"n/a",AZ34/$AY$34)</f>
        <v>0</v>
      </c>
      <c r="BA35" s="107">
        <f>+IF(ISERROR(BA34/$AY$34),"n/a",BA34/$AY$34)</f>
        <v>1</v>
      </c>
      <c r="BB35" s="98"/>
      <c r="BC35" s="99"/>
      <c r="BD35" s="99"/>
    </row>
    <row r="36" spans="2:59">
      <c r="B36" s="5">
        <f t="shared" si="6"/>
        <v>24</v>
      </c>
      <c r="C36" s="5"/>
      <c r="E36" s="13"/>
      <c r="F36" s="5"/>
      <c r="G36" s="11">
        <f>IF(ISERROR(AVERAGE(F$13:F36)),"n/a",AVERAGE(F$13:F36))</f>
        <v>117</v>
      </c>
      <c r="H36" s="11">
        <f t="shared" si="2"/>
        <v>117</v>
      </c>
      <c r="J36" s="5"/>
      <c r="K36" s="5"/>
      <c r="L36" s="5"/>
      <c r="M36" s="5"/>
      <c r="N36" s="5"/>
      <c r="O36" s="8" t="str">
        <f t="shared" si="13"/>
        <v>n/a</v>
      </c>
      <c r="Q36" s="5"/>
      <c r="R36" s="5"/>
      <c r="S36" s="5"/>
      <c r="U36" s="6"/>
      <c r="V36" s="9" t="str">
        <f t="shared" si="19"/>
        <v/>
      </c>
      <c r="W36" s="9" t="str">
        <f t="shared" si="20"/>
        <v/>
      </c>
      <c r="X36" s="10">
        <f>SUM(V$13:V36)/COUNTA(B$13:B36)</f>
        <v>0.29166666666666669</v>
      </c>
      <c r="Z36" s="5"/>
      <c r="AA36" s="5"/>
      <c r="AC36" s="7"/>
      <c r="AE36" s="54" t="e">
        <f t="shared" si="5"/>
        <v>#N/A</v>
      </c>
      <c r="AF36" s="4" t="e">
        <f t="shared" si="1"/>
        <v>#N/A</v>
      </c>
      <c r="BF36" s="100">
        <f>BB18</f>
        <v>0.7</v>
      </c>
      <c r="BG36" s="101" t="s">
        <v>33</v>
      </c>
    </row>
    <row r="37" spans="2:59">
      <c r="B37" s="5">
        <f t="shared" si="6"/>
        <v>25</v>
      </c>
      <c r="C37" s="5"/>
      <c r="E37" s="13"/>
      <c r="F37" s="5"/>
      <c r="G37" s="11">
        <f>IF(ISERROR(AVERAGE(F$13:F37)),"n/a",AVERAGE(F$13:F37))</f>
        <v>117</v>
      </c>
      <c r="H37" s="11">
        <f t="shared" si="2"/>
        <v>117</v>
      </c>
      <c r="J37" s="5"/>
      <c r="K37" s="5"/>
      <c r="L37" s="5"/>
      <c r="M37" s="5"/>
      <c r="N37" s="5"/>
      <c r="O37" s="8" t="str">
        <f t="shared" si="13"/>
        <v>n/a</v>
      </c>
      <c r="Q37" s="5"/>
      <c r="R37" s="5"/>
      <c r="S37" s="5"/>
      <c r="U37" s="6"/>
      <c r="V37" s="9" t="str">
        <f t="shared" si="19"/>
        <v/>
      </c>
      <c r="W37" s="9" t="str">
        <f t="shared" si="20"/>
        <v/>
      </c>
      <c r="X37" s="10">
        <f>SUM(V$13:V37)/COUNTA(B$13:B37)</f>
        <v>0.28000000000000003</v>
      </c>
      <c r="Z37" s="5"/>
      <c r="AA37" s="5"/>
      <c r="AC37" s="7"/>
      <c r="AE37" s="54" t="e">
        <f t="shared" si="5"/>
        <v>#N/A</v>
      </c>
      <c r="AF37" s="4" t="e">
        <f t="shared" si="1"/>
        <v>#N/A</v>
      </c>
      <c r="BF37" s="100">
        <f>BB22</f>
        <v>1</v>
      </c>
      <c r="BG37" s="101" t="s">
        <v>42</v>
      </c>
    </row>
    <row r="38" spans="2:59">
      <c r="B38" s="5">
        <f t="shared" si="6"/>
        <v>26</v>
      </c>
      <c r="C38" s="5"/>
      <c r="E38" s="13"/>
      <c r="F38" s="5"/>
      <c r="G38" s="11">
        <f>IF(ISERROR(AVERAGE(F$13:F38)),"n/a",AVERAGE(F$13:F38))</f>
        <v>117</v>
      </c>
      <c r="H38" s="11">
        <f t="shared" si="2"/>
        <v>117</v>
      </c>
      <c r="J38" s="5"/>
      <c r="K38" s="5"/>
      <c r="L38" s="5"/>
      <c r="M38" s="5"/>
      <c r="N38" s="5"/>
      <c r="O38" s="8" t="str">
        <f t="shared" si="13"/>
        <v>n/a</v>
      </c>
      <c r="Q38" s="5"/>
      <c r="R38" s="5"/>
      <c r="S38" s="5"/>
      <c r="U38" s="6"/>
      <c r="V38" s="9" t="str">
        <f t="shared" si="19"/>
        <v/>
      </c>
      <c r="W38" s="9" t="str">
        <f t="shared" si="20"/>
        <v/>
      </c>
      <c r="X38" s="10">
        <f>SUM(V$13:V38)/COUNTA(B$13:B38)</f>
        <v>0.26923076923076922</v>
      </c>
      <c r="Z38" s="5"/>
      <c r="AA38" s="5"/>
      <c r="AC38" s="7"/>
      <c r="AE38" s="54" t="e">
        <f t="shared" si="5"/>
        <v>#N/A</v>
      </c>
      <c r="AF38" s="4" t="e">
        <f t="shared" si="1"/>
        <v>#N/A</v>
      </c>
      <c r="BF38" s="100">
        <f>BB25</f>
        <v>0.5</v>
      </c>
      <c r="BG38" s="101" t="s">
        <v>43</v>
      </c>
    </row>
    <row r="39" spans="2:59">
      <c r="B39" s="5">
        <f t="shared" si="6"/>
        <v>27</v>
      </c>
      <c r="C39" s="5"/>
      <c r="E39" s="13"/>
      <c r="F39" s="5"/>
      <c r="G39" s="11">
        <f>IF(ISERROR(AVERAGE(F$13:F39)),"n/a",AVERAGE(F$13:F39))</f>
        <v>117</v>
      </c>
      <c r="H39" s="11">
        <f t="shared" si="2"/>
        <v>117</v>
      </c>
      <c r="J39" s="5"/>
      <c r="K39" s="5"/>
      <c r="L39" s="5"/>
      <c r="M39" s="5"/>
      <c r="N39" s="5"/>
      <c r="O39" s="8" t="str">
        <f t="shared" si="13"/>
        <v>n/a</v>
      </c>
      <c r="Q39" s="5"/>
      <c r="R39" s="5"/>
      <c r="S39" s="5"/>
      <c r="U39" s="6"/>
      <c r="V39" s="9" t="str">
        <f t="shared" si="19"/>
        <v/>
      </c>
      <c r="W39" s="9" t="str">
        <f t="shared" si="20"/>
        <v/>
      </c>
      <c r="X39" s="10">
        <f>SUM(V$13:V39)/COUNTA(B$13:B39)</f>
        <v>0.25925925925925924</v>
      </c>
      <c r="Z39" s="5"/>
      <c r="AA39" s="5"/>
      <c r="AC39" s="7"/>
      <c r="AE39" s="54" t="e">
        <f t="shared" si="5"/>
        <v>#N/A</v>
      </c>
      <c r="AF39" s="4" t="e">
        <f t="shared" si="1"/>
        <v>#N/A</v>
      </c>
      <c r="BF39" s="100">
        <f>BB28</f>
        <v>1</v>
      </c>
      <c r="BG39" s="101" t="s">
        <v>46</v>
      </c>
    </row>
    <row r="40" spans="2:59">
      <c r="B40" s="5">
        <f t="shared" si="6"/>
        <v>28</v>
      </c>
      <c r="C40" s="5"/>
      <c r="E40" s="13"/>
      <c r="F40" s="5"/>
      <c r="G40" s="11">
        <f>IF(ISERROR(AVERAGE(F$13:F40)),"n/a",AVERAGE(F$13:F40))</f>
        <v>117</v>
      </c>
      <c r="H40" s="11">
        <f t="shared" si="2"/>
        <v>117</v>
      </c>
      <c r="J40" s="5"/>
      <c r="K40" s="5"/>
      <c r="L40" s="5"/>
      <c r="M40" s="5"/>
      <c r="N40" s="5"/>
      <c r="O40" s="8" t="str">
        <f t="shared" si="13"/>
        <v>n/a</v>
      </c>
      <c r="Q40" s="5"/>
      <c r="R40" s="5"/>
      <c r="S40" s="5"/>
      <c r="U40" s="6"/>
      <c r="V40" s="9" t="str">
        <f t="shared" si="19"/>
        <v/>
      </c>
      <c r="W40" s="9" t="str">
        <f t="shared" si="20"/>
        <v/>
      </c>
      <c r="X40" s="10">
        <f>SUM(V$13:V40)/COUNTA(B$13:B40)</f>
        <v>0.25</v>
      </c>
      <c r="Z40" s="5"/>
      <c r="AA40" s="5"/>
      <c r="AC40" s="7"/>
      <c r="AE40" s="54" t="e">
        <f t="shared" si="5"/>
        <v>#N/A</v>
      </c>
      <c r="AF40" s="4" t="e">
        <f t="shared" si="1"/>
        <v>#N/A</v>
      </c>
      <c r="BF40" s="100">
        <f>BB31</f>
        <v>0.5</v>
      </c>
      <c r="BG40" s="101" t="s">
        <v>44</v>
      </c>
    </row>
    <row r="41" spans="2:59">
      <c r="B41" s="5">
        <f t="shared" si="6"/>
        <v>29</v>
      </c>
      <c r="C41" s="5"/>
      <c r="E41" s="13"/>
      <c r="F41" s="5"/>
      <c r="G41" s="11">
        <f>IF(ISERROR(AVERAGE(F$13:F41)),"n/a",AVERAGE(F$13:F41))</f>
        <v>117</v>
      </c>
      <c r="H41" s="11">
        <f>G41</f>
        <v>117</v>
      </c>
      <c r="J41" s="5"/>
      <c r="K41" s="5"/>
      <c r="L41" s="5"/>
      <c r="M41" s="5"/>
      <c r="N41" s="5"/>
      <c r="O41" s="8" t="str">
        <f t="shared" si="13"/>
        <v>n/a</v>
      </c>
      <c r="Q41" s="5"/>
      <c r="R41" s="5"/>
      <c r="S41" s="5"/>
      <c r="U41" s="6"/>
      <c r="V41" s="9" t="str">
        <f>IF(O41="n/a","",IF(O41=U41,1,""))</f>
        <v/>
      </c>
      <c r="W41" s="9" t="str">
        <f>IF(O41="n/a","",IF(O41&lt;&gt;U41,1,""))</f>
        <v/>
      </c>
      <c r="X41" s="10">
        <f>SUM(V$13:V41)/COUNTA(B$13:B41)</f>
        <v>0.2413793103448276</v>
      </c>
      <c r="Z41" s="5"/>
      <c r="AA41" s="5"/>
      <c r="AC41" s="7"/>
      <c r="AE41" s="54" t="e">
        <f t="shared" si="5"/>
        <v>#N/A</v>
      </c>
      <c r="AF41" s="4" t="e">
        <f t="shared" si="1"/>
        <v>#N/A</v>
      </c>
      <c r="BF41" s="100">
        <f>BB34</f>
        <v>0.5</v>
      </c>
      <c r="BG41" s="101" t="s">
        <v>45</v>
      </c>
    </row>
    <row r="42" spans="2:59">
      <c r="B42" s="5">
        <f t="shared" si="6"/>
        <v>30</v>
      </c>
      <c r="C42" s="5"/>
      <c r="E42" s="13"/>
      <c r="F42" s="5"/>
      <c r="G42" s="11">
        <f>IF(ISERROR(AVERAGE(F$13:F42)),"n/a",AVERAGE(F$13:F42))</f>
        <v>117</v>
      </c>
      <c r="H42" s="11">
        <f t="shared" si="2"/>
        <v>117</v>
      </c>
      <c r="J42" s="5"/>
      <c r="K42" s="5"/>
      <c r="L42" s="5"/>
      <c r="M42" s="5"/>
      <c r="N42" s="5"/>
      <c r="O42" s="8" t="str">
        <f t="shared" si="13"/>
        <v>n/a</v>
      </c>
      <c r="Q42" s="5"/>
      <c r="R42" s="5"/>
      <c r="S42" s="5"/>
      <c r="U42" s="6"/>
      <c r="V42" s="9" t="str">
        <f t="shared" ref="V42:V47" si="22">IF(O42="n/a","",IF(O42=U42,1,""))</f>
        <v/>
      </c>
      <c r="W42" s="9" t="str">
        <f t="shared" ref="W42:W47" si="23">IF(O42="n/a","",IF(O42&lt;&gt;U42,1,""))</f>
        <v/>
      </c>
      <c r="X42" s="10">
        <f>SUM(V$13:V42)/COUNTA(B$13:B42)</f>
        <v>0.23333333333333334</v>
      </c>
      <c r="Z42" s="5"/>
      <c r="AA42" s="5"/>
      <c r="AC42" s="7"/>
      <c r="AE42" s="54" t="e">
        <f t="shared" si="5"/>
        <v>#N/A</v>
      </c>
      <c r="AF42" s="4" t="e">
        <f t="shared" si="1"/>
        <v>#N/A</v>
      </c>
    </row>
    <row r="43" spans="2:59">
      <c r="B43" s="5">
        <f t="shared" si="6"/>
        <v>31</v>
      </c>
      <c r="C43" s="5"/>
      <c r="E43" s="13"/>
      <c r="F43" s="5"/>
      <c r="G43" s="11">
        <f>IF(ISERROR(AVERAGE(F$13:F43)),"n/a",AVERAGE(F$13:F43))</f>
        <v>117</v>
      </c>
      <c r="H43" s="11">
        <f t="shared" si="2"/>
        <v>117</v>
      </c>
      <c r="J43" s="5"/>
      <c r="K43" s="5"/>
      <c r="L43" s="5"/>
      <c r="M43" s="5"/>
      <c r="N43" s="5"/>
      <c r="O43" s="8" t="str">
        <f t="shared" si="13"/>
        <v>n/a</v>
      </c>
      <c r="Q43" s="5"/>
      <c r="R43" s="5"/>
      <c r="S43" s="5"/>
      <c r="U43" s="6"/>
      <c r="V43" s="9" t="str">
        <f t="shared" si="22"/>
        <v/>
      </c>
      <c r="W43" s="9" t="str">
        <f t="shared" si="23"/>
        <v/>
      </c>
      <c r="X43" s="10">
        <f>SUM(V$13:V43)/COUNTA(B$13:B43)</f>
        <v>0.22580645161290322</v>
      </c>
      <c r="Z43" s="5"/>
      <c r="AA43" s="5"/>
      <c r="AC43" s="7"/>
      <c r="AE43" s="54" t="e">
        <f t="shared" si="5"/>
        <v>#N/A</v>
      </c>
      <c r="AF43" s="4" t="e">
        <f t="shared" si="1"/>
        <v>#N/A</v>
      </c>
      <c r="BF43" s="114">
        <f t="shared" ref="BF43" si="24">F1015</f>
        <v>117</v>
      </c>
      <c r="BG43" s="101" t="str">
        <f t="shared" ref="BG43:BG48" si="25">BG36</f>
        <v>Total</v>
      </c>
    </row>
    <row r="44" spans="2:59">
      <c r="B44" s="5">
        <f t="shared" si="6"/>
        <v>32</v>
      </c>
      <c r="C44" s="5"/>
      <c r="E44" s="13"/>
      <c r="F44" s="5"/>
      <c r="G44" s="11">
        <f>IF(ISERROR(AVERAGE(F$13:F44)),"n/a",AVERAGE(F$13:F44))</f>
        <v>117</v>
      </c>
      <c r="H44" s="11">
        <f t="shared" si="2"/>
        <v>117</v>
      </c>
      <c r="J44" s="5"/>
      <c r="K44" s="5"/>
      <c r="L44" s="5"/>
      <c r="M44" s="5"/>
      <c r="N44" s="5"/>
      <c r="O44" s="8" t="str">
        <f t="shared" si="13"/>
        <v>n/a</v>
      </c>
      <c r="Q44" s="5"/>
      <c r="R44" s="5"/>
      <c r="S44" s="5"/>
      <c r="U44" s="6"/>
      <c r="V44" s="9" t="str">
        <f t="shared" si="22"/>
        <v/>
      </c>
      <c r="W44" s="9" t="str">
        <f t="shared" si="23"/>
        <v/>
      </c>
      <c r="X44" s="10">
        <f>SUM(V$13:V44)/COUNTA(B$13:B44)</f>
        <v>0.21875</v>
      </c>
      <c r="Z44" s="5"/>
      <c r="AA44" s="5"/>
      <c r="AC44" s="7"/>
      <c r="AE44" s="54" t="e">
        <f t="shared" si="5"/>
        <v>#N/A</v>
      </c>
      <c r="AF44" s="4" t="e">
        <f t="shared" si="1"/>
        <v>#N/A</v>
      </c>
      <c r="BF44" s="114">
        <f>F1017</f>
        <v>75</v>
      </c>
      <c r="BG44" s="101" t="str">
        <f t="shared" si="25"/>
        <v>PS</v>
      </c>
    </row>
    <row r="45" spans="2:59">
      <c r="B45" s="5">
        <f t="shared" si="6"/>
        <v>33</v>
      </c>
      <c r="C45" s="5"/>
      <c r="E45" s="13"/>
      <c r="F45" s="5"/>
      <c r="G45" s="11">
        <f>IF(ISERROR(AVERAGE(F$13:F45)),"n/a",AVERAGE(F$13:F45))</f>
        <v>117</v>
      </c>
      <c r="H45" s="11">
        <f t="shared" si="2"/>
        <v>117</v>
      </c>
      <c r="J45" s="5"/>
      <c r="K45" s="5"/>
      <c r="L45" s="5"/>
      <c r="M45" s="5"/>
      <c r="N45" s="5"/>
      <c r="O45" s="8" t="str">
        <f t="shared" si="13"/>
        <v>n/a</v>
      </c>
      <c r="Q45" s="5"/>
      <c r="R45" s="5"/>
      <c r="S45" s="5"/>
      <c r="U45" s="6"/>
      <c r="V45" s="9" t="str">
        <f t="shared" si="22"/>
        <v/>
      </c>
      <c r="W45" s="9" t="str">
        <f t="shared" si="23"/>
        <v/>
      </c>
      <c r="X45" s="10">
        <f>SUM(V$13:V45)/COUNTA(B$13:B45)</f>
        <v>0.21212121212121213</v>
      </c>
      <c r="Z45" s="5"/>
      <c r="AA45" s="5"/>
      <c r="AC45" s="7"/>
      <c r="AE45" s="54" t="e">
        <f t="shared" si="5"/>
        <v>#N/A</v>
      </c>
      <c r="AF45" s="4" t="e">
        <f t="shared" si="1"/>
        <v>#N/A</v>
      </c>
      <c r="BF45" s="114">
        <f>F1018</f>
        <v>220</v>
      </c>
      <c r="BG45" s="101" t="str">
        <f t="shared" si="25"/>
        <v>DS</v>
      </c>
    </row>
    <row r="46" spans="2:59">
      <c r="B46" s="5">
        <f t="shared" si="6"/>
        <v>34</v>
      </c>
      <c r="C46" s="5"/>
      <c r="E46" s="13"/>
      <c r="F46" s="5"/>
      <c r="G46" s="11">
        <f>IF(ISERROR(AVERAGE(F$13:F46)),"n/a",AVERAGE(F$13:F46))</f>
        <v>117</v>
      </c>
      <c r="H46" s="11">
        <f t="shared" si="2"/>
        <v>117</v>
      </c>
      <c r="J46" s="5"/>
      <c r="K46" s="5"/>
      <c r="L46" s="5"/>
      <c r="M46" s="5"/>
      <c r="N46" s="5"/>
      <c r="O46" s="8" t="str">
        <f t="shared" si="13"/>
        <v>n/a</v>
      </c>
      <c r="Q46" s="5"/>
      <c r="R46" s="5"/>
      <c r="S46" s="5"/>
      <c r="U46" s="6"/>
      <c r="V46" s="9" t="str">
        <f t="shared" si="22"/>
        <v/>
      </c>
      <c r="W46" s="9" t="str">
        <f t="shared" si="23"/>
        <v/>
      </c>
      <c r="X46" s="10">
        <f>SUM(V$13:V46)/COUNTA(B$13:B46)</f>
        <v>0.20588235294117646</v>
      </c>
      <c r="Z46" s="5"/>
      <c r="AA46" s="5"/>
      <c r="AC46" s="7"/>
      <c r="AE46" s="54" t="e">
        <f t="shared" si="5"/>
        <v>#N/A</v>
      </c>
      <c r="AF46" s="4" t="e">
        <f t="shared" si="1"/>
        <v>#N/A</v>
      </c>
      <c r="BF46" s="114">
        <f>F1019</f>
        <v>115</v>
      </c>
      <c r="BG46" s="101" t="str">
        <f t="shared" si="25"/>
        <v>RC</v>
      </c>
    </row>
    <row r="47" spans="2:59">
      <c r="B47" s="5">
        <f t="shared" si="6"/>
        <v>35</v>
      </c>
      <c r="C47" s="5"/>
      <c r="E47" s="13"/>
      <c r="F47" s="5"/>
      <c r="G47" s="11">
        <f>IF(ISERROR(AVERAGE(F$13:F47)),"n/a",AVERAGE(F$13:F47))</f>
        <v>117</v>
      </c>
      <c r="H47" s="11">
        <f t="shared" si="2"/>
        <v>117</v>
      </c>
      <c r="J47" s="5"/>
      <c r="K47" s="5"/>
      <c r="L47" s="5"/>
      <c r="M47" s="5"/>
      <c r="N47" s="5"/>
      <c r="O47" s="8" t="str">
        <f t="shared" si="13"/>
        <v>n/a</v>
      </c>
      <c r="Q47" s="5"/>
      <c r="R47" s="5"/>
      <c r="S47" s="5"/>
      <c r="U47" s="6"/>
      <c r="V47" s="9" t="str">
        <f t="shared" si="22"/>
        <v/>
      </c>
      <c r="W47" s="9" t="str">
        <f t="shared" si="23"/>
        <v/>
      </c>
      <c r="X47" s="10">
        <f>SUM(V$13:V47)/COUNTA(B$13:B47)</f>
        <v>0.2</v>
      </c>
      <c r="Z47" s="5"/>
      <c r="AA47" s="5"/>
      <c r="AC47" s="7"/>
      <c r="AE47" s="54" t="e">
        <f t="shared" si="5"/>
        <v>#N/A</v>
      </c>
      <c r="AF47" s="4" t="e">
        <f t="shared" si="1"/>
        <v>#N/A</v>
      </c>
      <c r="BF47" s="114">
        <f>F1020</f>
        <v>102.5</v>
      </c>
      <c r="BG47" s="101" t="str">
        <f t="shared" si="25"/>
        <v>CR</v>
      </c>
    </row>
    <row r="48" spans="2:59">
      <c r="B48" s="5">
        <f t="shared" si="6"/>
        <v>36</v>
      </c>
      <c r="C48" s="5"/>
      <c r="E48" s="13"/>
      <c r="F48" s="5"/>
      <c r="G48" s="11">
        <f>IF(ISERROR(AVERAGE(F$13:F48)),"n/a",AVERAGE(F$13:F48))</f>
        <v>117</v>
      </c>
      <c r="H48" s="11">
        <f t="shared" si="2"/>
        <v>117</v>
      </c>
      <c r="J48" s="5"/>
      <c r="K48" s="5"/>
      <c r="L48" s="5"/>
      <c r="M48" s="5"/>
      <c r="N48" s="5"/>
      <c r="O48" s="8" t="str">
        <f t="shared" si="7"/>
        <v>n/a</v>
      </c>
      <c r="Q48" s="5"/>
      <c r="R48" s="5"/>
      <c r="S48" s="5"/>
      <c r="U48" s="6"/>
      <c r="V48" s="9" t="str">
        <f t="shared" si="3"/>
        <v/>
      </c>
      <c r="W48" s="9" t="str">
        <f t="shared" si="4"/>
        <v/>
      </c>
      <c r="X48" s="10">
        <f>SUM(V$13:V48)/COUNTA(B$13:B48)</f>
        <v>0.19444444444444445</v>
      </c>
      <c r="Z48" s="5"/>
      <c r="AA48" s="5"/>
      <c r="AC48" s="7"/>
      <c r="AE48" s="54" t="e">
        <f t="shared" si="5"/>
        <v>#N/A</v>
      </c>
      <c r="AF48" s="4" t="e">
        <f t="shared" si="1"/>
        <v>#N/A</v>
      </c>
      <c r="BF48" s="114">
        <f>F1021</f>
        <v>72.5</v>
      </c>
      <c r="BG48" s="101" t="str">
        <f t="shared" si="25"/>
        <v>SC</v>
      </c>
    </row>
    <row r="49" spans="2:32">
      <c r="B49" s="5">
        <f t="shared" si="6"/>
        <v>37</v>
      </c>
      <c r="C49" s="5"/>
      <c r="E49" s="13"/>
      <c r="F49" s="5"/>
      <c r="G49" s="11">
        <f>IF(ISERROR(AVERAGE(F$13:F49)),"n/a",AVERAGE(F$13:F49))</f>
        <v>117</v>
      </c>
      <c r="H49" s="11">
        <f t="shared" si="2"/>
        <v>117</v>
      </c>
      <c r="J49" s="5"/>
      <c r="K49" s="5"/>
      <c r="L49" s="5"/>
      <c r="M49" s="5"/>
      <c r="N49" s="5"/>
      <c r="O49" s="8" t="str">
        <f t="shared" si="7"/>
        <v>n/a</v>
      </c>
      <c r="Q49" s="5"/>
      <c r="R49" s="5"/>
      <c r="S49" s="5"/>
      <c r="U49" s="6"/>
      <c r="V49" s="9" t="str">
        <f t="shared" si="3"/>
        <v/>
      </c>
      <c r="W49" s="9" t="str">
        <f t="shared" si="4"/>
        <v/>
      </c>
      <c r="X49" s="10">
        <f>SUM(V$13:V49)/COUNTA(B$13:B49)</f>
        <v>0.1891891891891892</v>
      </c>
      <c r="Z49" s="5"/>
      <c r="AA49" s="5"/>
      <c r="AC49" s="7"/>
      <c r="AE49" s="54" t="e">
        <f t="shared" si="5"/>
        <v>#N/A</v>
      </c>
      <c r="AF49" s="4" t="e">
        <f t="shared" si="1"/>
        <v>#N/A</v>
      </c>
    </row>
    <row r="50" spans="2:32">
      <c r="B50" s="5">
        <f t="shared" si="6"/>
        <v>38</v>
      </c>
      <c r="C50" s="5"/>
      <c r="E50" s="13"/>
      <c r="F50" s="5"/>
      <c r="G50" s="11">
        <f>IF(ISERROR(AVERAGE(F$13:F50)),"n/a",AVERAGE(F$13:F50))</f>
        <v>117</v>
      </c>
      <c r="H50" s="11">
        <f t="shared" si="2"/>
        <v>117</v>
      </c>
      <c r="J50" s="5"/>
      <c r="K50" s="5"/>
      <c r="L50" s="5"/>
      <c r="M50" s="5"/>
      <c r="N50" s="5"/>
      <c r="O50" s="8" t="str">
        <f t="shared" si="7"/>
        <v>n/a</v>
      </c>
      <c r="Q50" s="5"/>
      <c r="R50" s="5"/>
      <c r="S50" s="5"/>
      <c r="U50" s="6"/>
      <c r="V50" s="9" t="str">
        <f t="shared" si="3"/>
        <v/>
      </c>
      <c r="W50" s="9" t="str">
        <f t="shared" si="4"/>
        <v/>
      </c>
      <c r="X50" s="10">
        <f>SUM(V$13:V50)/COUNTA(B$13:B50)</f>
        <v>0.18421052631578946</v>
      </c>
      <c r="Z50" s="5"/>
      <c r="AA50" s="5"/>
      <c r="AC50" s="7"/>
      <c r="AE50" s="54" t="e">
        <f t="shared" si="5"/>
        <v>#N/A</v>
      </c>
      <c r="AF50" s="4" t="e">
        <f t="shared" si="1"/>
        <v>#N/A</v>
      </c>
    </row>
    <row r="51" spans="2:32">
      <c r="B51" s="5">
        <f t="shared" si="6"/>
        <v>39</v>
      </c>
      <c r="C51" s="5"/>
      <c r="E51" s="13"/>
      <c r="F51" s="5"/>
      <c r="G51" s="11">
        <f>IF(ISERROR(AVERAGE(F$13:F51)),"n/a",AVERAGE(F$13:F51))</f>
        <v>117</v>
      </c>
      <c r="H51" s="11">
        <f t="shared" si="2"/>
        <v>117</v>
      </c>
      <c r="J51" s="5"/>
      <c r="K51" s="5"/>
      <c r="L51" s="5"/>
      <c r="M51" s="5"/>
      <c r="N51" s="5"/>
      <c r="O51" s="8" t="str">
        <f t="shared" si="7"/>
        <v>n/a</v>
      </c>
      <c r="Q51" s="5"/>
      <c r="R51" s="5"/>
      <c r="S51" s="5"/>
      <c r="U51" s="6"/>
      <c r="V51" s="9" t="str">
        <f t="shared" si="3"/>
        <v/>
      </c>
      <c r="W51" s="9" t="str">
        <f t="shared" si="4"/>
        <v/>
      </c>
      <c r="X51" s="10">
        <f>SUM(V$13:V51)/COUNTA(B$13:B51)</f>
        <v>0.17948717948717949</v>
      </c>
      <c r="Z51" s="5"/>
      <c r="AA51" s="5"/>
      <c r="AC51" s="7"/>
      <c r="AE51" s="54" t="e">
        <f t="shared" si="5"/>
        <v>#N/A</v>
      </c>
      <c r="AF51" s="4" t="e">
        <f t="shared" si="1"/>
        <v>#N/A</v>
      </c>
    </row>
    <row r="52" spans="2:32">
      <c r="B52" s="5">
        <f t="shared" si="6"/>
        <v>40</v>
      </c>
      <c r="C52" s="5"/>
      <c r="E52" s="13"/>
      <c r="F52" s="5"/>
      <c r="G52" s="11">
        <f>IF(ISERROR(AVERAGE(F$13:F52)),"n/a",AVERAGE(F$13:F52))</f>
        <v>117</v>
      </c>
      <c r="H52" s="11">
        <f t="shared" si="2"/>
        <v>117</v>
      </c>
      <c r="J52" s="5"/>
      <c r="K52" s="5"/>
      <c r="L52" s="5"/>
      <c r="M52" s="5"/>
      <c r="N52" s="5"/>
      <c r="O52" s="8" t="str">
        <f t="shared" si="7"/>
        <v>n/a</v>
      </c>
      <c r="Q52" s="5"/>
      <c r="R52" s="5"/>
      <c r="S52" s="5"/>
      <c r="U52" s="6"/>
      <c r="V52" s="9" t="str">
        <f t="shared" si="3"/>
        <v/>
      </c>
      <c r="W52" s="9" t="str">
        <f t="shared" si="4"/>
        <v/>
      </c>
      <c r="X52" s="10">
        <f>SUM(V$13:V52)/COUNTA(B$13:B52)</f>
        <v>0.17499999999999999</v>
      </c>
      <c r="Z52" s="5"/>
      <c r="AA52" s="5"/>
      <c r="AC52" s="7"/>
      <c r="AE52" s="54" t="e">
        <f t="shared" si="5"/>
        <v>#N/A</v>
      </c>
      <c r="AF52" s="4" t="e">
        <f t="shared" si="1"/>
        <v>#N/A</v>
      </c>
    </row>
    <row r="53" spans="2:32">
      <c r="B53" s="5">
        <f t="shared" si="6"/>
        <v>41</v>
      </c>
      <c r="C53" s="5"/>
      <c r="E53" s="13"/>
      <c r="F53" s="5"/>
      <c r="G53" s="11">
        <f>IF(ISERROR(AVERAGE(F$13:F53)),"n/a",AVERAGE(F$13:F53))</f>
        <v>117</v>
      </c>
      <c r="H53" s="11">
        <f t="shared" si="2"/>
        <v>117</v>
      </c>
      <c r="J53" s="5"/>
      <c r="K53" s="5"/>
      <c r="L53" s="5"/>
      <c r="M53" s="5"/>
      <c r="N53" s="5"/>
      <c r="O53" s="8" t="str">
        <f t="shared" si="7"/>
        <v>n/a</v>
      </c>
      <c r="Q53" s="5"/>
      <c r="R53" s="5"/>
      <c r="S53" s="5"/>
      <c r="U53" s="6"/>
      <c r="V53" s="9" t="str">
        <f t="shared" si="3"/>
        <v/>
      </c>
      <c r="W53" s="9" t="str">
        <f t="shared" si="4"/>
        <v/>
      </c>
      <c r="X53" s="10">
        <f>SUM(V$13:V53)/COUNTA(B$13:B53)</f>
        <v>0.17073170731707318</v>
      </c>
      <c r="Z53" s="5"/>
      <c r="AA53" s="5"/>
      <c r="AC53" s="7"/>
      <c r="AE53" s="54" t="e">
        <f t="shared" si="5"/>
        <v>#N/A</v>
      </c>
      <c r="AF53" s="4" t="e">
        <f t="shared" si="1"/>
        <v>#N/A</v>
      </c>
    </row>
    <row r="54" spans="2:32">
      <c r="B54" s="5">
        <f t="shared" si="6"/>
        <v>42</v>
      </c>
      <c r="C54" s="5"/>
      <c r="E54" s="13"/>
      <c r="F54" s="5"/>
      <c r="G54" s="11">
        <f>IF(ISERROR(AVERAGE(F$13:F54)),"n/a",AVERAGE(F$13:F54))</f>
        <v>117</v>
      </c>
      <c r="H54" s="11">
        <f t="shared" si="2"/>
        <v>117</v>
      </c>
      <c r="J54" s="5"/>
      <c r="K54" s="5"/>
      <c r="L54" s="5"/>
      <c r="M54" s="5"/>
      <c r="N54" s="5"/>
      <c r="O54" s="8" t="str">
        <f t="shared" si="7"/>
        <v>n/a</v>
      </c>
      <c r="Q54" s="5"/>
      <c r="R54" s="5"/>
      <c r="S54" s="5"/>
      <c r="U54" s="6"/>
      <c r="V54" s="9" t="str">
        <f t="shared" si="3"/>
        <v/>
      </c>
      <c r="W54" s="9" t="str">
        <f t="shared" si="4"/>
        <v/>
      </c>
      <c r="X54" s="10">
        <f>SUM(V$13:V54)/COUNTA(B$13:B54)</f>
        <v>0.16666666666666666</v>
      </c>
      <c r="Z54" s="5"/>
      <c r="AA54" s="5"/>
      <c r="AC54" s="7"/>
      <c r="AE54" s="54" t="e">
        <f t="shared" si="5"/>
        <v>#N/A</v>
      </c>
      <c r="AF54" s="4" t="e">
        <f t="shared" si="1"/>
        <v>#N/A</v>
      </c>
    </row>
    <row r="55" spans="2:32">
      <c r="B55" s="5">
        <f t="shared" si="6"/>
        <v>43</v>
      </c>
      <c r="C55" s="5"/>
      <c r="E55" s="13"/>
      <c r="F55" s="5"/>
      <c r="G55" s="11">
        <f>IF(ISERROR(AVERAGE(F$13:F55)),"n/a",AVERAGE(F$13:F55))</f>
        <v>117</v>
      </c>
      <c r="H55" s="11">
        <f t="shared" si="2"/>
        <v>117</v>
      </c>
      <c r="J55" s="5"/>
      <c r="K55" s="5"/>
      <c r="L55" s="5"/>
      <c r="M55" s="5"/>
      <c r="N55" s="5"/>
      <c r="O55" s="8" t="str">
        <f t="shared" si="7"/>
        <v>n/a</v>
      </c>
      <c r="Q55" s="5"/>
      <c r="R55" s="5"/>
      <c r="S55" s="5"/>
      <c r="U55" s="6"/>
      <c r="V55" s="9" t="str">
        <f t="shared" si="3"/>
        <v/>
      </c>
      <c r="W55" s="9" t="str">
        <f t="shared" si="4"/>
        <v/>
      </c>
      <c r="X55" s="10">
        <f>SUM(V$13:V55)/COUNTA(B$13:B55)</f>
        <v>0.16279069767441862</v>
      </c>
      <c r="Z55" s="5"/>
      <c r="AA55" s="5"/>
      <c r="AC55" s="7"/>
      <c r="AE55" s="54" t="e">
        <f t="shared" si="5"/>
        <v>#N/A</v>
      </c>
      <c r="AF55" s="4" t="e">
        <f t="shared" si="1"/>
        <v>#N/A</v>
      </c>
    </row>
    <row r="56" spans="2:32">
      <c r="B56" s="5">
        <f t="shared" si="6"/>
        <v>44</v>
      </c>
      <c r="C56" s="5"/>
      <c r="E56" s="13"/>
      <c r="F56" s="5"/>
      <c r="G56" s="11">
        <f>IF(ISERROR(AVERAGE(F$13:F56)),"n/a",AVERAGE(F$13:F56))</f>
        <v>117</v>
      </c>
      <c r="H56" s="11">
        <f t="shared" si="2"/>
        <v>117</v>
      </c>
      <c r="J56" s="5"/>
      <c r="K56" s="5"/>
      <c r="L56" s="5"/>
      <c r="M56" s="5"/>
      <c r="N56" s="5"/>
      <c r="O56" s="8" t="str">
        <f t="shared" si="7"/>
        <v>n/a</v>
      </c>
      <c r="Q56" s="5"/>
      <c r="R56" s="5"/>
      <c r="S56" s="5"/>
      <c r="U56" s="6"/>
      <c r="V56" s="9" t="str">
        <f t="shared" si="3"/>
        <v/>
      </c>
      <c r="W56" s="9" t="str">
        <f t="shared" si="4"/>
        <v/>
      </c>
      <c r="X56" s="10">
        <f>SUM(V$13:V56)/COUNTA(B$13:B56)</f>
        <v>0.15909090909090909</v>
      </c>
      <c r="Z56" s="5"/>
      <c r="AA56" s="5"/>
      <c r="AC56" s="7"/>
      <c r="AE56" s="54" t="e">
        <f t="shared" si="5"/>
        <v>#N/A</v>
      </c>
      <c r="AF56" s="4" t="e">
        <f t="shared" si="1"/>
        <v>#N/A</v>
      </c>
    </row>
    <row r="57" spans="2:32">
      <c r="B57" s="5">
        <f t="shared" si="6"/>
        <v>45</v>
      </c>
      <c r="C57" s="5"/>
      <c r="E57" s="13"/>
      <c r="F57" s="5"/>
      <c r="G57" s="11">
        <f>IF(ISERROR(AVERAGE(F$13:F57)),"n/a",AVERAGE(F$13:F57))</f>
        <v>117</v>
      </c>
      <c r="H57" s="11">
        <f t="shared" si="2"/>
        <v>117</v>
      </c>
      <c r="J57" s="5"/>
      <c r="K57" s="5"/>
      <c r="L57" s="5"/>
      <c r="M57" s="5"/>
      <c r="N57" s="5"/>
      <c r="O57" s="8" t="str">
        <f t="shared" si="7"/>
        <v>n/a</v>
      </c>
      <c r="Q57" s="5"/>
      <c r="R57" s="5"/>
      <c r="S57" s="5"/>
      <c r="U57" s="6"/>
      <c r="V57" s="9" t="str">
        <f t="shared" si="3"/>
        <v/>
      </c>
      <c r="W57" s="9" t="str">
        <f t="shared" si="4"/>
        <v/>
      </c>
      <c r="X57" s="10">
        <f>SUM(V$13:V57)/COUNTA(B$13:B57)</f>
        <v>0.15555555555555556</v>
      </c>
      <c r="Z57" s="5"/>
      <c r="AA57" s="5"/>
      <c r="AC57" s="7"/>
      <c r="AE57" s="54" t="e">
        <f t="shared" si="5"/>
        <v>#N/A</v>
      </c>
      <c r="AF57" s="4" t="e">
        <f t="shared" si="1"/>
        <v>#N/A</v>
      </c>
    </row>
    <row r="58" spans="2:32">
      <c r="B58" s="5">
        <f t="shared" si="6"/>
        <v>46</v>
      </c>
      <c r="C58" s="5"/>
      <c r="E58" s="13"/>
      <c r="F58" s="5"/>
      <c r="G58" s="11">
        <f>IF(ISERROR(AVERAGE(F$13:F58)),"n/a",AVERAGE(F$13:F58))</f>
        <v>117</v>
      </c>
      <c r="H58" s="11">
        <f t="shared" si="2"/>
        <v>117</v>
      </c>
      <c r="J58" s="5"/>
      <c r="K58" s="5"/>
      <c r="L58" s="5"/>
      <c r="M58" s="5"/>
      <c r="N58" s="5"/>
      <c r="O58" s="8" t="str">
        <f t="shared" si="7"/>
        <v>n/a</v>
      </c>
      <c r="Q58" s="5"/>
      <c r="R58" s="5"/>
      <c r="S58" s="5"/>
      <c r="U58" s="6"/>
      <c r="V58" s="9" t="str">
        <f t="shared" si="3"/>
        <v/>
      </c>
      <c r="W58" s="9" t="str">
        <f t="shared" si="4"/>
        <v/>
      </c>
      <c r="X58" s="10">
        <f>SUM(V$13:V58)/COUNTA(B$13:B58)</f>
        <v>0.15217391304347827</v>
      </c>
      <c r="Z58" s="5"/>
      <c r="AA58" s="5"/>
      <c r="AC58" s="7"/>
      <c r="AE58" s="54" t="e">
        <f t="shared" si="5"/>
        <v>#N/A</v>
      </c>
      <c r="AF58" s="4" t="e">
        <f t="shared" si="1"/>
        <v>#N/A</v>
      </c>
    </row>
    <row r="59" spans="2:32">
      <c r="B59" s="5">
        <f t="shared" si="6"/>
        <v>47</v>
      </c>
      <c r="C59" s="5"/>
      <c r="E59" s="13"/>
      <c r="F59" s="5"/>
      <c r="G59" s="11">
        <f>IF(ISERROR(AVERAGE(F$13:F59)),"n/a",AVERAGE(F$13:F59))</f>
        <v>117</v>
      </c>
      <c r="H59" s="11">
        <f t="shared" si="2"/>
        <v>117</v>
      </c>
      <c r="J59" s="5"/>
      <c r="K59" s="5"/>
      <c r="L59" s="5"/>
      <c r="M59" s="5"/>
      <c r="N59" s="5"/>
      <c r="O59" s="8" t="str">
        <f t="shared" si="7"/>
        <v>n/a</v>
      </c>
      <c r="Q59" s="5"/>
      <c r="R59" s="5"/>
      <c r="S59" s="5"/>
      <c r="U59" s="6"/>
      <c r="V59" s="9" t="str">
        <f t="shared" si="3"/>
        <v/>
      </c>
      <c r="W59" s="9" t="str">
        <f t="shared" si="4"/>
        <v/>
      </c>
      <c r="X59" s="10">
        <f>SUM(V$13:V59)/COUNTA(B$13:B59)</f>
        <v>0.14893617021276595</v>
      </c>
      <c r="Z59" s="5"/>
      <c r="AA59" s="5"/>
      <c r="AC59" s="7"/>
      <c r="AE59" s="54" t="e">
        <f t="shared" si="5"/>
        <v>#N/A</v>
      </c>
      <c r="AF59" s="4" t="e">
        <f t="shared" si="1"/>
        <v>#N/A</v>
      </c>
    </row>
    <row r="60" spans="2:32">
      <c r="B60" s="5">
        <f t="shared" si="6"/>
        <v>48</v>
      </c>
      <c r="C60" s="5"/>
      <c r="E60" s="13"/>
      <c r="F60" s="5"/>
      <c r="G60" s="11">
        <f>IF(ISERROR(AVERAGE(F$13:F60)),"n/a",AVERAGE(F$13:F60))</f>
        <v>117</v>
      </c>
      <c r="H60" s="11">
        <f t="shared" si="2"/>
        <v>117</v>
      </c>
      <c r="J60" s="5"/>
      <c r="K60" s="5"/>
      <c r="L60" s="5"/>
      <c r="M60" s="5"/>
      <c r="N60" s="5"/>
      <c r="O60" s="8" t="str">
        <f t="shared" si="7"/>
        <v>n/a</v>
      </c>
      <c r="Q60" s="5"/>
      <c r="R60" s="5"/>
      <c r="S60" s="5"/>
      <c r="U60" s="6"/>
      <c r="V60" s="9" t="str">
        <f t="shared" si="3"/>
        <v/>
      </c>
      <c r="W60" s="9" t="str">
        <f t="shared" si="4"/>
        <v/>
      </c>
      <c r="X60" s="10">
        <f>SUM(V$13:V60)/COUNTA(B$13:B60)</f>
        <v>0.14583333333333334</v>
      </c>
      <c r="Z60" s="5"/>
      <c r="AA60" s="5"/>
      <c r="AC60" s="7"/>
      <c r="AE60" s="54" t="e">
        <f t="shared" si="5"/>
        <v>#N/A</v>
      </c>
      <c r="AF60" s="4" t="e">
        <f t="shared" si="1"/>
        <v>#N/A</v>
      </c>
    </row>
    <row r="61" spans="2:32">
      <c r="B61" s="5">
        <f t="shared" si="6"/>
        <v>49</v>
      </c>
      <c r="C61" s="5"/>
      <c r="E61" s="13"/>
      <c r="F61" s="5"/>
      <c r="G61" s="11">
        <f>IF(ISERROR(AVERAGE(F$13:F61)),"n/a",AVERAGE(F$13:F61))</f>
        <v>117</v>
      </c>
      <c r="H61" s="11">
        <f t="shared" si="2"/>
        <v>117</v>
      </c>
      <c r="J61" s="5"/>
      <c r="K61" s="5"/>
      <c r="L61" s="5"/>
      <c r="M61" s="5"/>
      <c r="N61" s="5"/>
      <c r="O61" s="8" t="str">
        <f t="shared" si="7"/>
        <v>n/a</v>
      </c>
      <c r="Q61" s="5"/>
      <c r="R61" s="5"/>
      <c r="S61" s="5"/>
      <c r="U61" s="6"/>
      <c r="V61" s="9" t="str">
        <f t="shared" si="3"/>
        <v/>
      </c>
      <c r="W61" s="9" t="str">
        <f t="shared" si="4"/>
        <v/>
      </c>
      <c r="X61" s="10">
        <f>SUM(V$13:V61)/COUNTA(B$13:B61)</f>
        <v>0.14285714285714285</v>
      </c>
      <c r="Z61" s="5"/>
      <c r="AA61" s="5"/>
      <c r="AC61" s="7"/>
      <c r="AE61" s="54" t="e">
        <f t="shared" si="5"/>
        <v>#N/A</v>
      </c>
      <c r="AF61" s="4" t="e">
        <f t="shared" si="1"/>
        <v>#N/A</v>
      </c>
    </row>
    <row r="62" spans="2:32">
      <c r="B62" s="5">
        <f t="shared" si="6"/>
        <v>50</v>
      </c>
      <c r="C62" s="5"/>
      <c r="E62" s="13"/>
      <c r="F62" s="5"/>
      <c r="G62" s="11">
        <f>IF(ISERROR(AVERAGE(F$13:F62)),"n/a",AVERAGE(F$13:F62))</f>
        <v>117</v>
      </c>
      <c r="H62" s="11">
        <f t="shared" si="2"/>
        <v>117</v>
      </c>
      <c r="J62" s="5"/>
      <c r="K62" s="5"/>
      <c r="L62" s="5"/>
      <c r="M62" s="5"/>
      <c r="N62" s="5"/>
      <c r="O62" s="8" t="str">
        <f t="shared" si="7"/>
        <v>n/a</v>
      </c>
      <c r="Q62" s="5"/>
      <c r="R62" s="5"/>
      <c r="S62" s="5"/>
      <c r="U62" s="6"/>
      <c r="V62" s="9" t="str">
        <f t="shared" si="3"/>
        <v/>
      </c>
      <c r="W62" s="9" t="str">
        <f t="shared" si="4"/>
        <v/>
      </c>
      <c r="X62" s="10">
        <f>SUM(V$13:V62)/COUNTA(B$13:B62)</f>
        <v>0.14000000000000001</v>
      </c>
      <c r="Z62" s="5"/>
      <c r="AA62" s="5"/>
      <c r="AC62" s="7"/>
      <c r="AE62" s="54" t="e">
        <f t="shared" si="5"/>
        <v>#N/A</v>
      </c>
      <c r="AF62" s="4" t="e">
        <f t="shared" si="1"/>
        <v>#N/A</v>
      </c>
    </row>
    <row r="63" spans="2:32">
      <c r="B63" s="5">
        <f t="shared" si="6"/>
        <v>51</v>
      </c>
      <c r="C63" s="5"/>
      <c r="E63" s="13"/>
      <c r="F63" s="5"/>
      <c r="G63" s="11">
        <f>IF(ISERROR(AVERAGE(F$13:F63)),"n/a",AVERAGE(F$13:F63))</f>
        <v>117</v>
      </c>
      <c r="H63" s="11">
        <f t="shared" si="2"/>
        <v>117</v>
      </c>
      <c r="J63" s="5"/>
      <c r="K63" s="5"/>
      <c r="L63" s="5"/>
      <c r="M63" s="5"/>
      <c r="N63" s="5"/>
      <c r="O63" s="8" t="str">
        <f t="shared" si="7"/>
        <v>n/a</v>
      </c>
      <c r="Q63" s="5"/>
      <c r="R63" s="5"/>
      <c r="S63" s="5"/>
      <c r="U63" s="6"/>
      <c r="V63" s="9" t="str">
        <f t="shared" si="3"/>
        <v/>
      </c>
      <c r="W63" s="9" t="str">
        <f t="shared" si="4"/>
        <v/>
      </c>
      <c r="X63" s="10">
        <f>SUM(V$13:V63)/COUNTA(B$13:B63)</f>
        <v>0.13725490196078433</v>
      </c>
      <c r="Z63" s="5"/>
      <c r="AA63" s="5"/>
      <c r="AC63" s="7"/>
      <c r="AE63" s="54" t="e">
        <f t="shared" si="5"/>
        <v>#N/A</v>
      </c>
      <c r="AF63" s="4" t="e">
        <f t="shared" si="1"/>
        <v>#N/A</v>
      </c>
    </row>
    <row r="64" spans="2:32">
      <c r="B64" s="5">
        <f t="shared" si="6"/>
        <v>52</v>
      </c>
      <c r="C64" s="5"/>
      <c r="E64" s="13"/>
      <c r="F64" s="5"/>
      <c r="G64" s="11">
        <f>IF(ISERROR(AVERAGE(F$13:F64)),"n/a",AVERAGE(F$13:F64))</f>
        <v>117</v>
      </c>
      <c r="H64" s="11">
        <f t="shared" si="2"/>
        <v>117</v>
      </c>
      <c r="J64" s="5"/>
      <c r="K64" s="5"/>
      <c r="L64" s="5"/>
      <c r="M64" s="5"/>
      <c r="N64" s="5"/>
      <c r="O64" s="8" t="str">
        <f t="shared" si="7"/>
        <v>n/a</v>
      </c>
      <c r="Q64" s="5"/>
      <c r="R64" s="5"/>
      <c r="S64" s="5"/>
      <c r="U64" s="6"/>
      <c r="V64" s="9" t="str">
        <f t="shared" si="3"/>
        <v/>
      </c>
      <c r="W64" s="9" t="str">
        <f t="shared" si="4"/>
        <v/>
      </c>
      <c r="X64" s="10">
        <f>SUM(V$13:V64)/COUNTA(B$13:B64)</f>
        <v>0.13461538461538461</v>
      </c>
      <c r="Z64" s="5"/>
      <c r="AA64" s="5"/>
      <c r="AC64" s="7"/>
      <c r="AE64" s="54" t="e">
        <f t="shared" si="5"/>
        <v>#N/A</v>
      </c>
      <c r="AF64" s="4" t="e">
        <f t="shared" si="1"/>
        <v>#N/A</v>
      </c>
    </row>
    <row r="65" spans="2:32">
      <c r="B65" s="5">
        <f t="shared" si="6"/>
        <v>53</v>
      </c>
      <c r="C65" s="5"/>
      <c r="E65" s="13"/>
      <c r="F65" s="5"/>
      <c r="G65" s="11">
        <f>IF(ISERROR(AVERAGE(F$13:F65)),"n/a",AVERAGE(F$13:F65))</f>
        <v>117</v>
      </c>
      <c r="H65" s="11">
        <f t="shared" si="2"/>
        <v>117</v>
      </c>
      <c r="J65" s="5"/>
      <c r="K65" s="5"/>
      <c r="L65" s="5"/>
      <c r="M65" s="5"/>
      <c r="N65" s="5"/>
      <c r="O65" s="8" t="str">
        <f t="shared" si="7"/>
        <v>n/a</v>
      </c>
      <c r="Q65" s="5"/>
      <c r="R65" s="5"/>
      <c r="S65" s="5"/>
      <c r="U65" s="6"/>
      <c r="V65" s="9" t="str">
        <f t="shared" si="3"/>
        <v/>
      </c>
      <c r="W65" s="9" t="str">
        <f t="shared" si="4"/>
        <v/>
      </c>
      <c r="X65" s="10">
        <f>SUM(V$13:V65)/COUNTA(B$13:B65)</f>
        <v>0.13207547169811321</v>
      </c>
      <c r="Z65" s="5"/>
      <c r="AA65" s="5"/>
      <c r="AC65" s="7"/>
      <c r="AE65" s="54" t="e">
        <f t="shared" si="5"/>
        <v>#N/A</v>
      </c>
      <c r="AF65" s="4" t="e">
        <f t="shared" si="1"/>
        <v>#N/A</v>
      </c>
    </row>
    <row r="66" spans="2:32">
      <c r="B66" s="5">
        <f t="shared" si="6"/>
        <v>54</v>
      </c>
      <c r="C66" s="5"/>
      <c r="E66" s="13"/>
      <c r="F66" s="5"/>
      <c r="G66" s="11">
        <f>IF(ISERROR(AVERAGE(F$13:F66)),"n/a",AVERAGE(F$13:F66))</f>
        <v>117</v>
      </c>
      <c r="H66" s="11">
        <f t="shared" si="2"/>
        <v>117</v>
      </c>
      <c r="J66" s="5"/>
      <c r="K66" s="5"/>
      <c r="L66" s="5"/>
      <c r="M66" s="5"/>
      <c r="N66" s="5"/>
      <c r="O66" s="8" t="str">
        <f t="shared" si="7"/>
        <v>n/a</v>
      </c>
      <c r="Q66" s="5"/>
      <c r="R66" s="5"/>
      <c r="S66" s="5"/>
      <c r="U66" s="6"/>
      <c r="V66" s="9" t="str">
        <f t="shared" si="3"/>
        <v/>
      </c>
      <c r="W66" s="9" t="str">
        <f t="shared" si="4"/>
        <v/>
      </c>
      <c r="X66" s="10">
        <f>SUM(V$13:V66)/COUNTA(B$13:B66)</f>
        <v>0.12962962962962962</v>
      </c>
      <c r="Z66" s="5"/>
      <c r="AA66" s="5"/>
      <c r="AC66" s="7"/>
      <c r="AE66" s="54" t="e">
        <f t="shared" si="5"/>
        <v>#N/A</v>
      </c>
      <c r="AF66" s="4" t="e">
        <f t="shared" si="1"/>
        <v>#N/A</v>
      </c>
    </row>
    <row r="67" spans="2:32">
      <c r="B67" s="5">
        <f t="shared" si="6"/>
        <v>55</v>
      </c>
      <c r="C67" s="5"/>
      <c r="E67" s="13"/>
      <c r="F67" s="5"/>
      <c r="G67" s="11">
        <f>IF(ISERROR(AVERAGE(F$13:F67)),"n/a",AVERAGE(F$13:F67))</f>
        <v>117</v>
      </c>
      <c r="H67" s="11">
        <f t="shared" si="2"/>
        <v>117</v>
      </c>
      <c r="J67" s="5"/>
      <c r="K67" s="5"/>
      <c r="L67" s="5"/>
      <c r="M67" s="5"/>
      <c r="N67" s="5"/>
      <c r="O67" s="8" t="str">
        <f t="shared" si="7"/>
        <v>n/a</v>
      </c>
      <c r="Q67" s="5"/>
      <c r="R67" s="5"/>
      <c r="S67" s="5"/>
      <c r="U67" s="6"/>
      <c r="V67" s="9" t="str">
        <f t="shared" si="3"/>
        <v/>
      </c>
      <c r="W67" s="9" t="str">
        <f t="shared" si="4"/>
        <v/>
      </c>
      <c r="X67" s="10">
        <f>SUM(V$13:V67)/COUNTA(B$13:B67)</f>
        <v>0.12727272727272726</v>
      </c>
      <c r="Z67" s="5"/>
      <c r="AA67" s="5"/>
      <c r="AC67" s="7"/>
      <c r="AE67" s="54" t="e">
        <f t="shared" si="5"/>
        <v>#N/A</v>
      </c>
      <c r="AF67" s="4" t="e">
        <f t="shared" si="1"/>
        <v>#N/A</v>
      </c>
    </row>
    <row r="68" spans="2:32">
      <c r="B68" s="5">
        <f t="shared" si="6"/>
        <v>56</v>
      </c>
      <c r="C68" s="5"/>
      <c r="E68" s="13"/>
      <c r="F68" s="5"/>
      <c r="G68" s="11">
        <f>IF(ISERROR(AVERAGE(F$13:F68)),"n/a",AVERAGE(F$13:F68))</f>
        <v>117</v>
      </c>
      <c r="H68" s="11">
        <f t="shared" si="2"/>
        <v>117</v>
      </c>
      <c r="J68" s="5"/>
      <c r="K68" s="5"/>
      <c r="L68" s="5"/>
      <c r="M68" s="5"/>
      <c r="N68" s="5"/>
      <c r="O68" s="8" t="str">
        <f t="shared" si="7"/>
        <v>n/a</v>
      </c>
      <c r="Q68" s="5"/>
      <c r="R68" s="5"/>
      <c r="S68" s="5"/>
      <c r="U68" s="6"/>
      <c r="V68" s="9" t="str">
        <f t="shared" si="3"/>
        <v/>
      </c>
      <c r="W68" s="9" t="str">
        <f t="shared" si="4"/>
        <v/>
      </c>
      <c r="X68" s="10">
        <f>SUM(V$13:V68)/COUNTA(B$13:B68)</f>
        <v>0.125</v>
      </c>
      <c r="Z68" s="5"/>
      <c r="AA68" s="5"/>
      <c r="AC68" s="7"/>
      <c r="AE68" s="54" t="e">
        <f t="shared" si="5"/>
        <v>#N/A</v>
      </c>
      <c r="AF68" s="4" t="e">
        <f t="shared" si="1"/>
        <v>#N/A</v>
      </c>
    </row>
    <row r="69" spans="2:32">
      <c r="B69" s="5">
        <f t="shared" si="6"/>
        <v>57</v>
      </c>
      <c r="C69" s="5"/>
      <c r="E69" s="13"/>
      <c r="F69" s="5"/>
      <c r="G69" s="11">
        <f>IF(ISERROR(AVERAGE(F$13:F69)),"n/a",AVERAGE(F$13:F69))</f>
        <v>117</v>
      </c>
      <c r="H69" s="11">
        <f t="shared" si="2"/>
        <v>117</v>
      </c>
      <c r="J69" s="5"/>
      <c r="K69" s="5"/>
      <c r="L69" s="5"/>
      <c r="M69" s="5"/>
      <c r="N69" s="5"/>
      <c r="O69" s="8" t="str">
        <f t="shared" si="7"/>
        <v>n/a</v>
      </c>
      <c r="Q69" s="5"/>
      <c r="R69" s="5"/>
      <c r="S69" s="5"/>
      <c r="U69" s="6"/>
      <c r="V69" s="9" t="str">
        <f t="shared" si="3"/>
        <v/>
      </c>
      <c r="W69" s="9" t="str">
        <f t="shared" si="4"/>
        <v/>
      </c>
      <c r="X69" s="10">
        <f>SUM(V$13:V69)/COUNTA(B$13:B69)</f>
        <v>0.12280701754385964</v>
      </c>
      <c r="Z69" s="5"/>
      <c r="AA69" s="5"/>
      <c r="AC69" s="7"/>
      <c r="AE69" s="54" t="e">
        <f t="shared" si="5"/>
        <v>#N/A</v>
      </c>
      <c r="AF69" s="4" t="e">
        <f t="shared" si="1"/>
        <v>#N/A</v>
      </c>
    </row>
    <row r="70" spans="2:32">
      <c r="B70" s="5">
        <f t="shared" si="6"/>
        <v>58</v>
      </c>
      <c r="C70" s="5"/>
      <c r="E70" s="13"/>
      <c r="F70" s="5"/>
      <c r="G70" s="11">
        <f>IF(ISERROR(AVERAGE(F$13:F70)),"n/a",AVERAGE(F$13:F70))</f>
        <v>117</v>
      </c>
      <c r="H70" s="11">
        <f t="shared" si="2"/>
        <v>117</v>
      </c>
      <c r="J70" s="5"/>
      <c r="K70" s="5"/>
      <c r="L70" s="5"/>
      <c r="M70" s="5"/>
      <c r="N70" s="5"/>
      <c r="O70" s="8" t="str">
        <f t="shared" si="7"/>
        <v>n/a</v>
      </c>
      <c r="Q70" s="5"/>
      <c r="R70" s="5"/>
      <c r="S70" s="5"/>
      <c r="U70" s="6"/>
      <c r="V70" s="9" t="str">
        <f t="shared" si="3"/>
        <v/>
      </c>
      <c r="W70" s="9" t="str">
        <f t="shared" si="4"/>
        <v/>
      </c>
      <c r="X70" s="10">
        <f>SUM(V$13:V70)/COUNTA(B$13:B70)</f>
        <v>0.1206896551724138</v>
      </c>
      <c r="Z70" s="5"/>
      <c r="AA70" s="5"/>
      <c r="AC70" s="7"/>
      <c r="AE70" s="54" t="e">
        <f t="shared" si="5"/>
        <v>#N/A</v>
      </c>
      <c r="AF70" s="4" t="e">
        <f t="shared" si="1"/>
        <v>#N/A</v>
      </c>
    </row>
    <row r="71" spans="2:32">
      <c r="B71" s="5">
        <f t="shared" si="6"/>
        <v>59</v>
      </c>
      <c r="C71" s="5"/>
      <c r="E71" s="13"/>
      <c r="F71" s="5"/>
      <c r="G71" s="11">
        <f>IF(ISERROR(AVERAGE(F$13:F71)),"n/a",AVERAGE(F$13:F71))</f>
        <v>117</v>
      </c>
      <c r="H71" s="11">
        <f t="shared" si="2"/>
        <v>117</v>
      </c>
      <c r="J71" s="5"/>
      <c r="K71" s="5"/>
      <c r="L71" s="5"/>
      <c r="M71" s="5"/>
      <c r="N71" s="5"/>
      <c r="O71" s="8" t="str">
        <f t="shared" si="7"/>
        <v>n/a</v>
      </c>
      <c r="Q71" s="5"/>
      <c r="R71" s="5"/>
      <c r="S71" s="5"/>
      <c r="U71" s="6"/>
      <c r="V71" s="9" t="str">
        <f t="shared" si="3"/>
        <v/>
      </c>
      <c r="W71" s="9" t="str">
        <f t="shared" si="4"/>
        <v/>
      </c>
      <c r="X71" s="10">
        <f>SUM(V$13:V71)/COUNTA(B$13:B71)</f>
        <v>0.11864406779661017</v>
      </c>
      <c r="Z71" s="5"/>
      <c r="AA71" s="5"/>
      <c r="AC71" s="7"/>
      <c r="AE71" s="54" t="e">
        <f t="shared" si="5"/>
        <v>#N/A</v>
      </c>
      <c r="AF71" s="4" t="e">
        <f t="shared" si="1"/>
        <v>#N/A</v>
      </c>
    </row>
    <row r="72" spans="2:32">
      <c r="B72" s="5">
        <f t="shared" si="6"/>
        <v>60</v>
      </c>
      <c r="C72" s="5"/>
      <c r="E72" s="13"/>
      <c r="F72" s="5"/>
      <c r="G72" s="11">
        <f>IF(ISERROR(AVERAGE(F$13:F72)),"n/a",AVERAGE(F$13:F72))</f>
        <v>117</v>
      </c>
      <c r="H72" s="11">
        <f t="shared" si="2"/>
        <v>117</v>
      </c>
      <c r="J72" s="5"/>
      <c r="K72" s="5"/>
      <c r="L72" s="5"/>
      <c r="M72" s="5"/>
      <c r="N72" s="5"/>
      <c r="O72" s="8" t="str">
        <f t="shared" si="7"/>
        <v>n/a</v>
      </c>
      <c r="Q72" s="5"/>
      <c r="R72" s="5"/>
      <c r="S72" s="5"/>
      <c r="U72" s="6"/>
      <c r="V72" s="9" t="str">
        <f t="shared" si="3"/>
        <v/>
      </c>
      <c r="W72" s="9" t="str">
        <f t="shared" si="4"/>
        <v/>
      </c>
      <c r="X72" s="10">
        <f>SUM(V$13:V72)/COUNTA(B$13:B72)</f>
        <v>0.11666666666666667</v>
      </c>
      <c r="Z72" s="5"/>
      <c r="AA72" s="5"/>
      <c r="AC72" s="7"/>
      <c r="AE72" s="54" t="e">
        <f t="shared" si="5"/>
        <v>#N/A</v>
      </c>
      <c r="AF72" s="4" t="e">
        <f t="shared" si="1"/>
        <v>#N/A</v>
      </c>
    </row>
    <row r="73" spans="2:32">
      <c r="B73" s="5">
        <f t="shared" si="6"/>
        <v>61</v>
      </c>
      <c r="C73" s="5"/>
      <c r="E73" s="13"/>
      <c r="F73" s="5"/>
      <c r="G73" s="11">
        <f>IF(ISERROR(AVERAGE(F$13:F73)),"n/a",AVERAGE(F$13:F73))</f>
        <v>117</v>
      </c>
      <c r="H73" s="11">
        <f t="shared" si="2"/>
        <v>117</v>
      </c>
      <c r="J73" s="5"/>
      <c r="K73" s="5"/>
      <c r="L73" s="5"/>
      <c r="M73" s="5"/>
      <c r="N73" s="5"/>
      <c r="O73" s="8" t="str">
        <f t="shared" si="7"/>
        <v>n/a</v>
      </c>
      <c r="Q73" s="5"/>
      <c r="R73" s="5"/>
      <c r="S73" s="5"/>
      <c r="U73" s="6"/>
      <c r="V73" s="9" t="str">
        <f t="shared" si="3"/>
        <v/>
      </c>
      <c r="W73" s="9" t="str">
        <f t="shared" si="4"/>
        <v/>
      </c>
      <c r="X73" s="10">
        <f>SUM(V$13:V73)/COUNTA(B$13:B73)</f>
        <v>0.11475409836065574</v>
      </c>
      <c r="Z73" s="5"/>
      <c r="AA73" s="5"/>
      <c r="AC73" s="7"/>
      <c r="AE73" s="54" t="e">
        <f t="shared" si="5"/>
        <v>#N/A</v>
      </c>
      <c r="AF73" s="4" t="e">
        <f t="shared" si="1"/>
        <v>#N/A</v>
      </c>
    </row>
    <row r="74" spans="2:32">
      <c r="B74" s="5">
        <f t="shared" si="6"/>
        <v>62</v>
      </c>
      <c r="C74" s="5"/>
      <c r="E74" s="13"/>
      <c r="F74" s="5"/>
      <c r="G74" s="11">
        <f>IF(ISERROR(AVERAGE(F$13:F74)),"n/a",AVERAGE(F$13:F74))</f>
        <v>117</v>
      </c>
      <c r="H74" s="11">
        <f t="shared" si="2"/>
        <v>117</v>
      </c>
      <c r="J74" s="5"/>
      <c r="K74" s="5"/>
      <c r="L74" s="5"/>
      <c r="M74" s="5"/>
      <c r="N74" s="5"/>
      <c r="O74" s="8" t="str">
        <f t="shared" si="7"/>
        <v>n/a</v>
      </c>
      <c r="Q74" s="5"/>
      <c r="R74" s="5"/>
      <c r="S74" s="5"/>
      <c r="U74" s="6"/>
      <c r="V74" s="9" t="str">
        <f t="shared" si="3"/>
        <v/>
      </c>
      <c r="W74" s="9" t="str">
        <f t="shared" si="4"/>
        <v/>
      </c>
      <c r="X74" s="10">
        <f>SUM(V$13:V74)/COUNTA(B$13:B74)</f>
        <v>0.11290322580645161</v>
      </c>
      <c r="Z74" s="5"/>
      <c r="AA74" s="5"/>
      <c r="AC74" s="7"/>
      <c r="AE74" s="54" t="e">
        <f t="shared" si="5"/>
        <v>#N/A</v>
      </c>
      <c r="AF74" s="4" t="e">
        <f t="shared" si="1"/>
        <v>#N/A</v>
      </c>
    </row>
    <row r="75" spans="2:32">
      <c r="B75" s="5">
        <f t="shared" si="6"/>
        <v>63</v>
      </c>
      <c r="C75" s="5"/>
      <c r="E75" s="13"/>
      <c r="F75" s="5"/>
      <c r="G75" s="11">
        <f>IF(ISERROR(AVERAGE(F$13:F75)),"n/a",AVERAGE(F$13:F75))</f>
        <v>117</v>
      </c>
      <c r="H75" s="11">
        <f t="shared" si="2"/>
        <v>117</v>
      </c>
      <c r="J75" s="5"/>
      <c r="K75" s="5"/>
      <c r="L75" s="5"/>
      <c r="M75" s="5"/>
      <c r="N75" s="5"/>
      <c r="O75" s="8" t="str">
        <f t="shared" si="7"/>
        <v>n/a</v>
      </c>
      <c r="Q75" s="5"/>
      <c r="R75" s="5"/>
      <c r="S75" s="5"/>
      <c r="U75" s="6"/>
      <c r="V75" s="9" t="str">
        <f t="shared" si="3"/>
        <v/>
      </c>
      <c r="W75" s="9" t="str">
        <f t="shared" si="4"/>
        <v/>
      </c>
      <c r="X75" s="10">
        <f>SUM(V$13:V75)/COUNTA(B$13:B75)</f>
        <v>0.1111111111111111</v>
      </c>
      <c r="Z75" s="5"/>
      <c r="AA75" s="5"/>
      <c r="AC75" s="7"/>
      <c r="AE75" s="54" t="e">
        <f t="shared" si="5"/>
        <v>#N/A</v>
      </c>
      <c r="AF75" s="4" t="e">
        <f t="shared" si="1"/>
        <v>#N/A</v>
      </c>
    </row>
    <row r="76" spans="2:32">
      <c r="B76" s="5">
        <f t="shared" si="6"/>
        <v>64</v>
      </c>
      <c r="C76" s="5"/>
      <c r="E76" s="13"/>
      <c r="F76" s="5"/>
      <c r="G76" s="11">
        <f>IF(ISERROR(AVERAGE(F$13:F76)),"n/a",AVERAGE(F$13:F76))</f>
        <v>117</v>
      </c>
      <c r="H76" s="11">
        <f t="shared" si="2"/>
        <v>117</v>
      </c>
      <c r="J76" s="5"/>
      <c r="K76" s="5"/>
      <c r="L76" s="5"/>
      <c r="M76" s="5"/>
      <c r="N76" s="5"/>
      <c r="O76" s="8" t="str">
        <f t="shared" si="7"/>
        <v>n/a</v>
      </c>
      <c r="Q76" s="5"/>
      <c r="R76" s="5"/>
      <c r="S76" s="5"/>
      <c r="U76" s="6"/>
      <c r="V76" s="9" t="str">
        <f t="shared" si="3"/>
        <v/>
      </c>
      <c r="W76" s="9" t="str">
        <f t="shared" si="4"/>
        <v/>
      </c>
      <c r="X76" s="10">
        <f>SUM(V$13:V76)/COUNTA(B$13:B76)</f>
        <v>0.109375</v>
      </c>
      <c r="Z76" s="5"/>
      <c r="AA76" s="5"/>
      <c r="AC76" s="7"/>
      <c r="AE76" s="54" t="e">
        <f t="shared" si="5"/>
        <v>#N/A</v>
      </c>
      <c r="AF76" s="4" t="e">
        <f t="shared" si="1"/>
        <v>#N/A</v>
      </c>
    </row>
    <row r="77" spans="2:32">
      <c r="B77" s="5">
        <f t="shared" si="6"/>
        <v>65</v>
      </c>
      <c r="C77" s="5"/>
      <c r="E77" s="13"/>
      <c r="F77" s="5"/>
      <c r="G77" s="11">
        <f>IF(ISERROR(AVERAGE(F$13:F77)),"n/a",AVERAGE(F$13:F77))</f>
        <v>117</v>
      </c>
      <c r="H77" s="11">
        <f t="shared" si="2"/>
        <v>117</v>
      </c>
      <c r="J77" s="5"/>
      <c r="K77" s="5"/>
      <c r="L77" s="5"/>
      <c r="M77" s="5"/>
      <c r="N77" s="5"/>
      <c r="O77" s="8" t="str">
        <f t="shared" si="7"/>
        <v>n/a</v>
      </c>
      <c r="Q77" s="5"/>
      <c r="R77" s="5"/>
      <c r="S77" s="5"/>
      <c r="U77" s="6"/>
      <c r="V77" s="9" t="str">
        <f t="shared" si="3"/>
        <v/>
      </c>
      <c r="W77" s="9" t="str">
        <f t="shared" si="4"/>
        <v/>
      </c>
      <c r="X77" s="10">
        <f>SUM(V$13:V77)/COUNTA(B$13:B77)</f>
        <v>0.1076923076923077</v>
      </c>
      <c r="Z77" s="5"/>
      <c r="AA77" s="5"/>
      <c r="AC77" s="7"/>
      <c r="AE77" s="54" t="e">
        <f t="shared" si="5"/>
        <v>#N/A</v>
      </c>
      <c r="AF77" s="4" t="e">
        <f t="shared" ref="AF77:AF140" si="26">HLOOKUP(C77,$K$6:$O$7,2,FALSE)</f>
        <v>#N/A</v>
      </c>
    </row>
    <row r="78" spans="2:32">
      <c r="B78" s="5">
        <f t="shared" si="6"/>
        <v>66</v>
      </c>
      <c r="C78" s="5"/>
      <c r="E78" s="13"/>
      <c r="F78" s="5"/>
      <c r="G78" s="11">
        <f>IF(ISERROR(AVERAGE(F$13:F78)),"n/a",AVERAGE(F$13:F78))</f>
        <v>117</v>
      </c>
      <c r="H78" s="11">
        <f t="shared" ref="H78:H141" si="27">G78</f>
        <v>117</v>
      </c>
      <c r="J78" s="5"/>
      <c r="K78" s="5"/>
      <c r="L78" s="5"/>
      <c r="M78" s="5"/>
      <c r="N78" s="5"/>
      <c r="O78" s="8" t="str">
        <f t="shared" si="7"/>
        <v>n/a</v>
      </c>
      <c r="Q78" s="5"/>
      <c r="R78" s="5"/>
      <c r="S78" s="5"/>
      <c r="U78" s="6"/>
      <c r="V78" s="9" t="str">
        <f t="shared" ref="V78:V141" si="28">IF(O78="n/a","",IF(O78=U78,1,""))</f>
        <v/>
      </c>
      <c r="W78" s="9" t="str">
        <f t="shared" ref="W78:W141" si="29">IF(O78="n/a","",IF(O78&lt;&gt;U78,1,""))</f>
        <v/>
      </c>
      <c r="X78" s="10">
        <f>SUM(V$13:V78)/COUNTA(B$13:B78)</f>
        <v>0.10606060606060606</v>
      </c>
      <c r="Z78" s="5"/>
      <c r="AA78" s="5"/>
      <c r="AC78" s="7"/>
      <c r="AE78" s="54" t="e">
        <f t="shared" ref="AE78:AE141" si="30">+IF($F$4=0,0,IF(W78=1,1,IF(OR(R78*$F$8=1,S78*$F$9=1,F78&gt;=AF78),2,0)))</f>
        <v>#N/A</v>
      </c>
      <c r="AF78" s="4" t="e">
        <f t="shared" si="26"/>
        <v>#N/A</v>
      </c>
    </row>
    <row r="79" spans="2:32">
      <c r="B79" s="5">
        <f t="shared" si="6"/>
        <v>67</v>
      </c>
      <c r="C79" s="5"/>
      <c r="E79" s="13"/>
      <c r="F79" s="5"/>
      <c r="G79" s="11">
        <f>IF(ISERROR(AVERAGE(F$13:F79)),"n/a",AVERAGE(F$13:F79))</f>
        <v>117</v>
      </c>
      <c r="H79" s="11">
        <f t="shared" si="27"/>
        <v>117</v>
      </c>
      <c r="J79" s="5"/>
      <c r="K79" s="5"/>
      <c r="L79" s="5"/>
      <c r="M79" s="5"/>
      <c r="N79" s="5"/>
      <c r="O79" s="8" t="str">
        <f t="shared" si="7"/>
        <v>n/a</v>
      </c>
      <c r="Q79" s="5"/>
      <c r="R79" s="5"/>
      <c r="S79" s="5"/>
      <c r="U79" s="6"/>
      <c r="V79" s="9" t="str">
        <f t="shared" si="28"/>
        <v/>
      </c>
      <c r="W79" s="9" t="str">
        <f t="shared" si="29"/>
        <v/>
      </c>
      <c r="X79" s="10">
        <f>SUM(V$13:V79)/COUNTA(B$13:B79)</f>
        <v>0.1044776119402985</v>
      </c>
      <c r="Z79" s="5"/>
      <c r="AA79" s="5"/>
      <c r="AC79" s="7"/>
      <c r="AE79" s="54" t="e">
        <f t="shared" si="30"/>
        <v>#N/A</v>
      </c>
      <c r="AF79" s="4" t="e">
        <f t="shared" si="26"/>
        <v>#N/A</v>
      </c>
    </row>
    <row r="80" spans="2:32">
      <c r="B80" s="5">
        <f t="shared" si="6"/>
        <v>68</v>
      </c>
      <c r="C80" s="5"/>
      <c r="E80" s="13"/>
      <c r="F80" s="5"/>
      <c r="G80" s="11">
        <f>IF(ISERROR(AVERAGE(F$13:F80)),"n/a",AVERAGE(F$13:F80))</f>
        <v>117</v>
      </c>
      <c r="H80" s="11">
        <f t="shared" si="27"/>
        <v>117</v>
      </c>
      <c r="J80" s="5"/>
      <c r="K80" s="5"/>
      <c r="L80" s="5"/>
      <c r="M80" s="5"/>
      <c r="N80" s="5"/>
      <c r="O80" s="8" t="str">
        <f t="shared" si="7"/>
        <v>n/a</v>
      </c>
      <c r="Q80" s="5"/>
      <c r="R80" s="5"/>
      <c r="S80" s="5"/>
      <c r="U80" s="6"/>
      <c r="V80" s="9" t="str">
        <f t="shared" si="28"/>
        <v/>
      </c>
      <c r="W80" s="9" t="str">
        <f t="shared" si="29"/>
        <v/>
      </c>
      <c r="X80" s="10">
        <f>SUM(V$13:V80)/COUNTA(B$13:B80)</f>
        <v>0.10294117647058823</v>
      </c>
      <c r="Z80" s="5"/>
      <c r="AA80" s="5"/>
      <c r="AC80" s="7"/>
      <c r="AE80" s="54" t="e">
        <f t="shared" si="30"/>
        <v>#N/A</v>
      </c>
      <c r="AF80" s="4" t="e">
        <f t="shared" si="26"/>
        <v>#N/A</v>
      </c>
    </row>
    <row r="81" spans="2:32">
      <c r="B81" s="5">
        <f t="shared" si="6"/>
        <v>69</v>
      </c>
      <c r="C81" s="5"/>
      <c r="E81" s="13"/>
      <c r="F81" s="5"/>
      <c r="G81" s="11">
        <f>IF(ISERROR(AVERAGE(F$13:F81)),"n/a",AVERAGE(F$13:F81))</f>
        <v>117</v>
      </c>
      <c r="H81" s="11">
        <f t="shared" si="27"/>
        <v>117</v>
      </c>
      <c r="J81" s="5"/>
      <c r="K81" s="5"/>
      <c r="L81" s="5"/>
      <c r="M81" s="5"/>
      <c r="N81" s="5"/>
      <c r="O81" s="8" t="str">
        <f t="shared" si="7"/>
        <v>n/a</v>
      </c>
      <c r="Q81" s="5"/>
      <c r="R81" s="5"/>
      <c r="S81" s="5"/>
      <c r="U81" s="6"/>
      <c r="V81" s="9" t="str">
        <f t="shared" si="28"/>
        <v/>
      </c>
      <c r="W81" s="9" t="str">
        <f t="shared" si="29"/>
        <v/>
      </c>
      <c r="X81" s="10">
        <f>SUM(V$13:V81)/COUNTA(B$13:B81)</f>
        <v>0.10144927536231885</v>
      </c>
      <c r="Z81" s="5"/>
      <c r="AA81" s="5"/>
      <c r="AC81" s="7"/>
      <c r="AE81" s="54" t="e">
        <f t="shared" si="30"/>
        <v>#N/A</v>
      </c>
      <c r="AF81" s="4" t="e">
        <f t="shared" si="26"/>
        <v>#N/A</v>
      </c>
    </row>
    <row r="82" spans="2:32">
      <c r="B82" s="5">
        <f t="shared" si="6"/>
        <v>70</v>
      </c>
      <c r="C82" s="5"/>
      <c r="E82" s="13"/>
      <c r="F82" s="5"/>
      <c r="G82" s="11">
        <f>IF(ISERROR(AVERAGE(F$13:F82)),"n/a",AVERAGE(F$13:F82))</f>
        <v>117</v>
      </c>
      <c r="H82" s="11">
        <f t="shared" si="27"/>
        <v>117</v>
      </c>
      <c r="J82" s="5"/>
      <c r="K82" s="5"/>
      <c r="L82" s="5"/>
      <c r="M82" s="5"/>
      <c r="N82" s="5"/>
      <c r="O82" s="8" t="str">
        <f t="shared" si="7"/>
        <v>n/a</v>
      </c>
      <c r="Q82" s="5"/>
      <c r="R82" s="5"/>
      <c r="S82" s="5"/>
      <c r="U82" s="6"/>
      <c r="V82" s="9" t="str">
        <f t="shared" si="28"/>
        <v/>
      </c>
      <c r="W82" s="9" t="str">
        <f t="shared" si="29"/>
        <v/>
      </c>
      <c r="X82" s="10">
        <f>SUM(V$13:V82)/COUNTA(B$13:B82)</f>
        <v>0.1</v>
      </c>
      <c r="Z82" s="5"/>
      <c r="AA82" s="5"/>
      <c r="AC82" s="7"/>
      <c r="AE82" s="54" t="e">
        <f t="shared" si="30"/>
        <v>#N/A</v>
      </c>
      <c r="AF82" s="4" t="e">
        <f t="shared" si="26"/>
        <v>#N/A</v>
      </c>
    </row>
    <row r="83" spans="2:32">
      <c r="B83" s="5">
        <f t="shared" ref="B83:B146" si="31">+B82+1</f>
        <v>71</v>
      </c>
      <c r="C83" s="5"/>
      <c r="E83" s="13"/>
      <c r="F83" s="5"/>
      <c r="G83" s="11">
        <f>IF(ISERROR(AVERAGE(F$13:F83)),"n/a",AVERAGE(F$13:F83))</f>
        <v>117</v>
      </c>
      <c r="H83" s="11">
        <f t="shared" si="27"/>
        <v>117</v>
      </c>
      <c r="J83" s="5"/>
      <c r="K83" s="5"/>
      <c r="L83" s="5"/>
      <c r="M83" s="5"/>
      <c r="N83" s="5"/>
      <c r="O83" s="8" t="str">
        <f t="shared" ref="O83:O112" si="32">IF(J83=1,"A",IF(K83=1,"B",IF(L83=1,"C",IF(M83=1,"D",IF(N83=1,"E","n/a")))))</f>
        <v>n/a</v>
      </c>
      <c r="Q83" s="5"/>
      <c r="R83" s="5"/>
      <c r="S83" s="5"/>
      <c r="U83" s="6"/>
      <c r="V83" s="9" t="str">
        <f t="shared" si="28"/>
        <v/>
      </c>
      <c r="W83" s="9" t="str">
        <f t="shared" si="29"/>
        <v/>
      </c>
      <c r="X83" s="10">
        <f>SUM(V$13:V83)/COUNTA(B$13:B83)</f>
        <v>9.8591549295774641E-2</v>
      </c>
      <c r="Z83" s="5"/>
      <c r="AA83" s="5"/>
      <c r="AC83" s="7"/>
      <c r="AE83" s="54" t="e">
        <f t="shared" si="30"/>
        <v>#N/A</v>
      </c>
      <c r="AF83" s="4" t="e">
        <f t="shared" si="26"/>
        <v>#N/A</v>
      </c>
    </row>
    <row r="84" spans="2:32">
      <c r="B84" s="5">
        <f t="shared" si="31"/>
        <v>72</v>
      </c>
      <c r="C84" s="5"/>
      <c r="E84" s="13"/>
      <c r="F84" s="5"/>
      <c r="G84" s="11">
        <f>IF(ISERROR(AVERAGE(F$13:F84)),"n/a",AVERAGE(F$13:F84))</f>
        <v>117</v>
      </c>
      <c r="H84" s="11">
        <f t="shared" si="27"/>
        <v>117</v>
      </c>
      <c r="J84" s="5"/>
      <c r="K84" s="5"/>
      <c r="L84" s="5"/>
      <c r="M84" s="5"/>
      <c r="N84" s="5"/>
      <c r="O84" s="8" t="str">
        <f t="shared" si="32"/>
        <v>n/a</v>
      </c>
      <c r="Q84" s="5"/>
      <c r="R84" s="5"/>
      <c r="S84" s="5"/>
      <c r="U84" s="6"/>
      <c r="V84" s="9" t="str">
        <f t="shared" si="28"/>
        <v/>
      </c>
      <c r="W84" s="9" t="str">
        <f t="shared" si="29"/>
        <v/>
      </c>
      <c r="X84" s="10">
        <f>SUM(V$13:V84)/COUNTA(B$13:B84)</f>
        <v>9.7222222222222224E-2</v>
      </c>
      <c r="Z84" s="5"/>
      <c r="AA84" s="5"/>
      <c r="AC84" s="7"/>
      <c r="AE84" s="54" t="e">
        <f t="shared" si="30"/>
        <v>#N/A</v>
      </c>
      <c r="AF84" s="4" t="e">
        <f t="shared" si="26"/>
        <v>#N/A</v>
      </c>
    </row>
    <row r="85" spans="2:32">
      <c r="B85" s="5">
        <f t="shared" si="31"/>
        <v>73</v>
      </c>
      <c r="C85" s="5"/>
      <c r="E85" s="13"/>
      <c r="F85" s="5"/>
      <c r="G85" s="11">
        <f>IF(ISERROR(AVERAGE(F$13:F85)),"n/a",AVERAGE(F$13:F85))</f>
        <v>117</v>
      </c>
      <c r="H85" s="11">
        <f t="shared" si="27"/>
        <v>117</v>
      </c>
      <c r="J85" s="5"/>
      <c r="K85" s="5"/>
      <c r="L85" s="5"/>
      <c r="M85" s="5"/>
      <c r="N85" s="5"/>
      <c r="O85" s="8" t="str">
        <f t="shared" si="32"/>
        <v>n/a</v>
      </c>
      <c r="Q85" s="5"/>
      <c r="R85" s="5"/>
      <c r="S85" s="5"/>
      <c r="U85" s="6"/>
      <c r="V85" s="9" t="str">
        <f t="shared" si="28"/>
        <v/>
      </c>
      <c r="W85" s="9" t="str">
        <f t="shared" si="29"/>
        <v/>
      </c>
      <c r="X85" s="10">
        <f>SUM(V$13:V85)/COUNTA(B$13:B85)</f>
        <v>9.5890410958904104E-2</v>
      </c>
      <c r="Z85" s="5"/>
      <c r="AA85" s="5"/>
      <c r="AC85" s="7"/>
      <c r="AE85" s="54" t="e">
        <f t="shared" si="30"/>
        <v>#N/A</v>
      </c>
      <c r="AF85" s="4" t="e">
        <f t="shared" si="26"/>
        <v>#N/A</v>
      </c>
    </row>
    <row r="86" spans="2:32">
      <c r="B86" s="5">
        <f t="shared" si="31"/>
        <v>74</v>
      </c>
      <c r="C86" s="5"/>
      <c r="E86" s="13"/>
      <c r="F86" s="5"/>
      <c r="G86" s="11">
        <f>IF(ISERROR(AVERAGE(F$13:F86)),"n/a",AVERAGE(F$13:F86))</f>
        <v>117</v>
      </c>
      <c r="H86" s="11">
        <f t="shared" si="27"/>
        <v>117</v>
      </c>
      <c r="J86" s="5"/>
      <c r="K86" s="5"/>
      <c r="L86" s="5"/>
      <c r="M86" s="5"/>
      <c r="N86" s="5"/>
      <c r="O86" s="8" t="str">
        <f t="shared" si="32"/>
        <v>n/a</v>
      </c>
      <c r="Q86" s="5"/>
      <c r="R86" s="5"/>
      <c r="S86" s="5"/>
      <c r="U86" s="6"/>
      <c r="V86" s="9" t="str">
        <f t="shared" si="28"/>
        <v/>
      </c>
      <c r="W86" s="9" t="str">
        <f t="shared" si="29"/>
        <v/>
      </c>
      <c r="X86" s="10">
        <f>SUM(V$13:V86)/COUNTA(B$13:B86)</f>
        <v>9.45945945945946E-2</v>
      </c>
      <c r="Z86" s="5"/>
      <c r="AA86" s="5"/>
      <c r="AC86" s="7"/>
      <c r="AE86" s="54" t="e">
        <f t="shared" si="30"/>
        <v>#N/A</v>
      </c>
      <c r="AF86" s="4" t="e">
        <f t="shared" si="26"/>
        <v>#N/A</v>
      </c>
    </row>
    <row r="87" spans="2:32">
      <c r="B87" s="5">
        <f t="shared" si="31"/>
        <v>75</v>
      </c>
      <c r="C87" s="5"/>
      <c r="E87" s="13"/>
      <c r="F87" s="5"/>
      <c r="G87" s="11">
        <f>IF(ISERROR(AVERAGE(F$13:F87)),"n/a",AVERAGE(F$13:F87))</f>
        <v>117</v>
      </c>
      <c r="H87" s="11">
        <f t="shared" si="27"/>
        <v>117</v>
      </c>
      <c r="J87" s="5"/>
      <c r="K87" s="5"/>
      <c r="L87" s="5"/>
      <c r="M87" s="5"/>
      <c r="N87" s="5"/>
      <c r="O87" s="8" t="str">
        <f t="shared" si="32"/>
        <v>n/a</v>
      </c>
      <c r="Q87" s="5"/>
      <c r="R87" s="5"/>
      <c r="S87" s="5"/>
      <c r="U87" s="6"/>
      <c r="V87" s="9" t="str">
        <f t="shared" si="28"/>
        <v/>
      </c>
      <c r="W87" s="9" t="str">
        <f t="shared" si="29"/>
        <v/>
      </c>
      <c r="X87" s="10">
        <f>SUM(V$13:V87)/COUNTA(B$13:B87)</f>
        <v>9.3333333333333338E-2</v>
      </c>
      <c r="Z87" s="5"/>
      <c r="AA87" s="5"/>
      <c r="AC87" s="7"/>
      <c r="AE87" s="54" t="e">
        <f t="shared" si="30"/>
        <v>#N/A</v>
      </c>
      <c r="AF87" s="4" t="e">
        <f t="shared" si="26"/>
        <v>#N/A</v>
      </c>
    </row>
    <row r="88" spans="2:32">
      <c r="B88" s="5">
        <f t="shared" si="31"/>
        <v>76</v>
      </c>
      <c r="C88" s="5"/>
      <c r="E88" s="13"/>
      <c r="F88" s="5"/>
      <c r="G88" s="11">
        <f>IF(ISERROR(AVERAGE(F$13:F88)),"n/a",AVERAGE(F$13:F88))</f>
        <v>117</v>
      </c>
      <c r="H88" s="11">
        <f t="shared" si="27"/>
        <v>117</v>
      </c>
      <c r="J88" s="5"/>
      <c r="K88" s="5"/>
      <c r="L88" s="5"/>
      <c r="M88" s="5"/>
      <c r="N88" s="5"/>
      <c r="O88" s="8" t="str">
        <f t="shared" si="32"/>
        <v>n/a</v>
      </c>
      <c r="Q88" s="5"/>
      <c r="R88" s="5"/>
      <c r="S88" s="5"/>
      <c r="U88" s="6"/>
      <c r="V88" s="9" t="str">
        <f t="shared" si="28"/>
        <v/>
      </c>
      <c r="W88" s="9" t="str">
        <f t="shared" si="29"/>
        <v/>
      </c>
      <c r="X88" s="10">
        <f>SUM(V$13:V88)/COUNTA(B$13:B88)</f>
        <v>9.2105263157894732E-2</v>
      </c>
      <c r="Z88" s="5"/>
      <c r="AA88" s="5"/>
      <c r="AC88" s="7"/>
      <c r="AE88" s="54" t="e">
        <f t="shared" si="30"/>
        <v>#N/A</v>
      </c>
      <c r="AF88" s="4" t="e">
        <f t="shared" si="26"/>
        <v>#N/A</v>
      </c>
    </row>
    <row r="89" spans="2:32">
      <c r="B89" s="5">
        <f t="shared" si="31"/>
        <v>77</v>
      </c>
      <c r="C89" s="5"/>
      <c r="E89" s="13"/>
      <c r="F89" s="5"/>
      <c r="G89" s="11">
        <f>IF(ISERROR(AVERAGE(F$13:F89)),"n/a",AVERAGE(F$13:F89))</f>
        <v>117</v>
      </c>
      <c r="H89" s="11">
        <f t="shared" si="27"/>
        <v>117</v>
      </c>
      <c r="J89" s="5"/>
      <c r="K89" s="5"/>
      <c r="L89" s="5"/>
      <c r="M89" s="5"/>
      <c r="N89" s="5"/>
      <c r="O89" s="8" t="str">
        <f t="shared" si="32"/>
        <v>n/a</v>
      </c>
      <c r="Q89" s="5"/>
      <c r="R89" s="5"/>
      <c r="S89" s="5"/>
      <c r="U89" s="6"/>
      <c r="V89" s="9" t="str">
        <f t="shared" si="28"/>
        <v/>
      </c>
      <c r="W89" s="9" t="str">
        <f t="shared" si="29"/>
        <v/>
      </c>
      <c r="X89" s="10">
        <f>SUM(V$13:V89)/COUNTA(B$13:B89)</f>
        <v>9.0909090909090912E-2</v>
      </c>
      <c r="Z89" s="5"/>
      <c r="AA89" s="5"/>
      <c r="AC89" s="7"/>
      <c r="AE89" s="54" t="e">
        <f t="shared" si="30"/>
        <v>#N/A</v>
      </c>
      <c r="AF89" s="4" t="e">
        <f t="shared" si="26"/>
        <v>#N/A</v>
      </c>
    </row>
    <row r="90" spans="2:32">
      <c r="B90" s="5">
        <f t="shared" si="31"/>
        <v>78</v>
      </c>
      <c r="C90" s="5"/>
      <c r="E90" s="13"/>
      <c r="F90" s="5"/>
      <c r="G90" s="11">
        <f>IF(ISERROR(AVERAGE(F$13:F90)),"n/a",AVERAGE(F$13:F90))</f>
        <v>117</v>
      </c>
      <c r="H90" s="11">
        <f t="shared" si="27"/>
        <v>117</v>
      </c>
      <c r="J90" s="5"/>
      <c r="K90" s="5"/>
      <c r="L90" s="5"/>
      <c r="M90" s="5"/>
      <c r="N90" s="5"/>
      <c r="O90" s="8" t="str">
        <f t="shared" si="32"/>
        <v>n/a</v>
      </c>
      <c r="Q90" s="5"/>
      <c r="R90" s="5"/>
      <c r="S90" s="5"/>
      <c r="U90" s="6"/>
      <c r="V90" s="9" t="str">
        <f t="shared" si="28"/>
        <v/>
      </c>
      <c r="W90" s="9" t="str">
        <f t="shared" si="29"/>
        <v/>
      </c>
      <c r="X90" s="10">
        <f>SUM(V$13:V90)/COUNTA(B$13:B90)</f>
        <v>8.9743589743589744E-2</v>
      </c>
      <c r="Z90" s="5"/>
      <c r="AA90" s="5"/>
      <c r="AC90" s="7"/>
      <c r="AE90" s="54" t="e">
        <f t="shared" si="30"/>
        <v>#N/A</v>
      </c>
      <c r="AF90" s="4" t="e">
        <f t="shared" si="26"/>
        <v>#N/A</v>
      </c>
    </row>
    <row r="91" spans="2:32">
      <c r="B91" s="5">
        <f t="shared" si="31"/>
        <v>79</v>
      </c>
      <c r="C91" s="5"/>
      <c r="E91" s="13"/>
      <c r="F91" s="5"/>
      <c r="G91" s="11">
        <f>IF(ISERROR(AVERAGE(F$13:F91)),"n/a",AVERAGE(F$13:F91))</f>
        <v>117</v>
      </c>
      <c r="H91" s="11">
        <f t="shared" si="27"/>
        <v>117</v>
      </c>
      <c r="J91" s="5"/>
      <c r="K91" s="5"/>
      <c r="L91" s="5"/>
      <c r="M91" s="5"/>
      <c r="N91" s="5"/>
      <c r="O91" s="8" t="str">
        <f t="shared" si="32"/>
        <v>n/a</v>
      </c>
      <c r="Q91" s="5"/>
      <c r="R91" s="5"/>
      <c r="S91" s="5"/>
      <c r="U91" s="6"/>
      <c r="V91" s="9" t="str">
        <f t="shared" si="28"/>
        <v/>
      </c>
      <c r="W91" s="9" t="str">
        <f t="shared" si="29"/>
        <v/>
      </c>
      <c r="X91" s="10">
        <f>SUM(V$13:V91)/COUNTA(B$13:B91)</f>
        <v>8.8607594936708861E-2</v>
      </c>
      <c r="Z91" s="5"/>
      <c r="AA91" s="5"/>
      <c r="AC91" s="7"/>
      <c r="AE91" s="54" t="e">
        <f t="shared" si="30"/>
        <v>#N/A</v>
      </c>
      <c r="AF91" s="4" t="e">
        <f t="shared" si="26"/>
        <v>#N/A</v>
      </c>
    </row>
    <row r="92" spans="2:32">
      <c r="B92" s="5">
        <f t="shared" si="31"/>
        <v>80</v>
      </c>
      <c r="C92" s="5"/>
      <c r="E92" s="13"/>
      <c r="F92" s="5"/>
      <c r="G92" s="11">
        <f>IF(ISERROR(AVERAGE(F$13:F92)),"n/a",AVERAGE(F$13:F92))</f>
        <v>117</v>
      </c>
      <c r="H92" s="11">
        <f t="shared" si="27"/>
        <v>117</v>
      </c>
      <c r="J92" s="5"/>
      <c r="K92" s="5"/>
      <c r="L92" s="5"/>
      <c r="M92" s="5"/>
      <c r="N92" s="5"/>
      <c r="O92" s="8" t="str">
        <f t="shared" si="32"/>
        <v>n/a</v>
      </c>
      <c r="Q92" s="5"/>
      <c r="R92" s="5"/>
      <c r="S92" s="5"/>
      <c r="U92" s="6"/>
      <c r="V92" s="9" t="str">
        <f t="shared" si="28"/>
        <v/>
      </c>
      <c r="W92" s="9" t="str">
        <f t="shared" si="29"/>
        <v/>
      </c>
      <c r="X92" s="10">
        <f>SUM(V$13:V92)/COUNTA(B$13:B92)</f>
        <v>8.7499999999999994E-2</v>
      </c>
      <c r="Z92" s="5"/>
      <c r="AA92" s="5"/>
      <c r="AC92" s="7"/>
      <c r="AE92" s="54" t="e">
        <f t="shared" si="30"/>
        <v>#N/A</v>
      </c>
      <c r="AF92" s="4" t="e">
        <f t="shared" si="26"/>
        <v>#N/A</v>
      </c>
    </row>
    <row r="93" spans="2:32">
      <c r="B93" s="5">
        <f t="shared" si="31"/>
        <v>81</v>
      </c>
      <c r="C93" s="5"/>
      <c r="E93" s="13"/>
      <c r="F93" s="5"/>
      <c r="G93" s="11">
        <f>IF(ISERROR(AVERAGE(F$13:F93)),"n/a",AVERAGE(F$13:F93))</f>
        <v>117</v>
      </c>
      <c r="H93" s="11">
        <f t="shared" si="27"/>
        <v>117</v>
      </c>
      <c r="J93" s="5"/>
      <c r="K93" s="5"/>
      <c r="L93" s="5"/>
      <c r="M93" s="5"/>
      <c r="N93" s="5"/>
      <c r="O93" s="8" t="str">
        <f t="shared" si="32"/>
        <v>n/a</v>
      </c>
      <c r="Q93" s="5"/>
      <c r="R93" s="5"/>
      <c r="S93" s="5"/>
      <c r="U93" s="6"/>
      <c r="V93" s="9" t="str">
        <f t="shared" si="28"/>
        <v/>
      </c>
      <c r="W93" s="9" t="str">
        <f t="shared" si="29"/>
        <v/>
      </c>
      <c r="X93" s="10">
        <f>SUM(V$13:V93)/COUNTA(B$13:B93)</f>
        <v>8.6419753086419748E-2</v>
      </c>
      <c r="Z93" s="5"/>
      <c r="AA93" s="5"/>
      <c r="AC93" s="7"/>
      <c r="AE93" s="54" t="e">
        <f t="shared" si="30"/>
        <v>#N/A</v>
      </c>
      <c r="AF93" s="4" t="e">
        <f t="shared" si="26"/>
        <v>#N/A</v>
      </c>
    </row>
    <row r="94" spans="2:32">
      <c r="B94" s="5">
        <f t="shared" si="31"/>
        <v>82</v>
      </c>
      <c r="C94" s="5"/>
      <c r="E94" s="13"/>
      <c r="F94" s="5"/>
      <c r="G94" s="11">
        <f>IF(ISERROR(AVERAGE(F$13:F94)),"n/a",AVERAGE(F$13:F94))</f>
        <v>117</v>
      </c>
      <c r="H94" s="11">
        <f t="shared" si="27"/>
        <v>117</v>
      </c>
      <c r="J94" s="5"/>
      <c r="K94" s="5"/>
      <c r="L94" s="5"/>
      <c r="M94" s="5"/>
      <c r="N94" s="5"/>
      <c r="O94" s="8" t="str">
        <f t="shared" si="32"/>
        <v>n/a</v>
      </c>
      <c r="Q94" s="5"/>
      <c r="R94" s="5"/>
      <c r="S94" s="5"/>
      <c r="U94" s="6"/>
      <c r="V94" s="9" t="str">
        <f t="shared" si="28"/>
        <v/>
      </c>
      <c r="W94" s="9" t="str">
        <f t="shared" si="29"/>
        <v/>
      </c>
      <c r="X94" s="10">
        <f>SUM(V$13:V94)/COUNTA(B$13:B94)</f>
        <v>8.5365853658536592E-2</v>
      </c>
      <c r="Z94" s="5"/>
      <c r="AA94" s="5"/>
      <c r="AC94" s="7"/>
      <c r="AE94" s="54" t="e">
        <f t="shared" si="30"/>
        <v>#N/A</v>
      </c>
      <c r="AF94" s="4" t="e">
        <f t="shared" si="26"/>
        <v>#N/A</v>
      </c>
    </row>
    <row r="95" spans="2:32">
      <c r="B95" s="5">
        <f t="shared" si="31"/>
        <v>83</v>
      </c>
      <c r="C95" s="5"/>
      <c r="E95" s="13"/>
      <c r="F95" s="5"/>
      <c r="G95" s="11">
        <f>IF(ISERROR(AVERAGE(F$13:F95)),"n/a",AVERAGE(F$13:F95))</f>
        <v>117</v>
      </c>
      <c r="H95" s="11">
        <f t="shared" si="27"/>
        <v>117</v>
      </c>
      <c r="J95" s="5"/>
      <c r="K95" s="5"/>
      <c r="L95" s="5"/>
      <c r="M95" s="5"/>
      <c r="N95" s="5"/>
      <c r="O95" s="8" t="str">
        <f t="shared" si="32"/>
        <v>n/a</v>
      </c>
      <c r="Q95" s="5"/>
      <c r="R95" s="5"/>
      <c r="S95" s="5"/>
      <c r="U95" s="6"/>
      <c r="V95" s="9" t="str">
        <f t="shared" si="28"/>
        <v/>
      </c>
      <c r="W95" s="9" t="str">
        <f t="shared" si="29"/>
        <v/>
      </c>
      <c r="X95" s="10">
        <f>SUM(V$13:V95)/COUNTA(B$13:B95)</f>
        <v>8.4337349397590355E-2</v>
      </c>
      <c r="Z95" s="5"/>
      <c r="AA95" s="5"/>
      <c r="AC95" s="7"/>
      <c r="AE95" s="54" t="e">
        <f t="shared" si="30"/>
        <v>#N/A</v>
      </c>
      <c r="AF95" s="4" t="e">
        <f t="shared" si="26"/>
        <v>#N/A</v>
      </c>
    </row>
    <row r="96" spans="2:32">
      <c r="B96" s="5">
        <f t="shared" si="31"/>
        <v>84</v>
      </c>
      <c r="C96" s="5"/>
      <c r="E96" s="13"/>
      <c r="F96" s="5"/>
      <c r="G96" s="11">
        <f>IF(ISERROR(AVERAGE(F$13:F96)),"n/a",AVERAGE(F$13:F96))</f>
        <v>117</v>
      </c>
      <c r="H96" s="11">
        <f t="shared" si="27"/>
        <v>117</v>
      </c>
      <c r="J96" s="5"/>
      <c r="K96" s="5"/>
      <c r="L96" s="5"/>
      <c r="M96" s="5"/>
      <c r="N96" s="5"/>
      <c r="O96" s="8" t="str">
        <f t="shared" si="32"/>
        <v>n/a</v>
      </c>
      <c r="Q96" s="5"/>
      <c r="R96" s="5"/>
      <c r="S96" s="5"/>
      <c r="U96" s="6"/>
      <c r="V96" s="9" t="str">
        <f t="shared" si="28"/>
        <v/>
      </c>
      <c r="W96" s="9" t="str">
        <f t="shared" si="29"/>
        <v/>
      </c>
      <c r="X96" s="10">
        <f>SUM(V$13:V96)/COUNTA(B$13:B96)</f>
        <v>8.3333333333333329E-2</v>
      </c>
      <c r="Z96" s="5"/>
      <c r="AA96" s="5"/>
      <c r="AC96" s="7"/>
      <c r="AE96" s="54" t="e">
        <f t="shared" si="30"/>
        <v>#N/A</v>
      </c>
      <c r="AF96" s="4" t="e">
        <f t="shared" si="26"/>
        <v>#N/A</v>
      </c>
    </row>
    <row r="97" spans="2:32">
      <c r="B97" s="5">
        <f t="shared" si="31"/>
        <v>85</v>
      </c>
      <c r="C97" s="5"/>
      <c r="E97" s="13"/>
      <c r="F97" s="5"/>
      <c r="G97" s="11">
        <f>IF(ISERROR(AVERAGE(F$13:F97)),"n/a",AVERAGE(F$13:F97))</f>
        <v>117</v>
      </c>
      <c r="H97" s="11">
        <f t="shared" si="27"/>
        <v>117</v>
      </c>
      <c r="J97" s="5"/>
      <c r="K97" s="5"/>
      <c r="L97" s="5"/>
      <c r="M97" s="5"/>
      <c r="N97" s="5"/>
      <c r="O97" s="8" t="str">
        <f t="shared" si="32"/>
        <v>n/a</v>
      </c>
      <c r="Q97" s="5"/>
      <c r="R97" s="5"/>
      <c r="S97" s="5"/>
      <c r="U97" s="6"/>
      <c r="V97" s="9" t="str">
        <f t="shared" si="28"/>
        <v/>
      </c>
      <c r="W97" s="9" t="str">
        <f t="shared" si="29"/>
        <v/>
      </c>
      <c r="X97" s="10">
        <f>SUM(V$13:V97)/COUNTA(B$13:B97)</f>
        <v>8.2352941176470587E-2</v>
      </c>
      <c r="Z97" s="5"/>
      <c r="AA97" s="5"/>
      <c r="AC97" s="7"/>
      <c r="AE97" s="54" t="e">
        <f t="shared" si="30"/>
        <v>#N/A</v>
      </c>
      <c r="AF97" s="4" t="e">
        <f t="shared" si="26"/>
        <v>#N/A</v>
      </c>
    </row>
    <row r="98" spans="2:32">
      <c r="B98" s="5">
        <f t="shared" si="31"/>
        <v>86</v>
      </c>
      <c r="C98" s="5"/>
      <c r="E98" s="13"/>
      <c r="F98" s="5"/>
      <c r="G98" s="11">
        <f>IF(ISERROR(AVERAGE(F$13:F98)),"n/a",AVERAGE(F$13:F98))</f>
        <v>117</v>
      </c>
      <c r="H98" s="11">
        <f t="shared" si="27"/>
        <v>117</v>
      </c>
      <c r="J98" s="5"/>
      <c r="K98" s="5"/>
      <c r="L98" s="5"/>
      <c r="M98" s="5"/>
      <c r="N98" s="5"/>
      <c r="O98" s="8" t="str">
        <f t="shared" si="32"/>
        <v>n/a</v>
      </c>
      <c r="Q98" s="5"/>
      <c r="R98" s="5"/>
      <c r="S98" s="5"/>
      <c r="U98" s="6"/>
      <c r="V98" s="9" t="str">
        <f t="shared" si="28"/>
        <v/>
      </c>
      <c r="W98" s="9" t="str">
        <f t="shared" si="29"/>
        <v/>
      </c>
      <c r="X98" s="10">
        <f>SUM(V$13:V98)/COUNTA(B$13:B98)</f>
        <v>8.1395348837209308E-2</v>
      </c>
      <c r="Z98" s="5"/>
      <c r="AA98" s="5"/>
      <c r="AC98" s="7"/>
      <c r="AE98" s="54" t="e">
        <f t="shared" si="30"/>
        <v>#N/A</v>
      </c>
      <c r="AF98" s="4" t="e">
        <f t="shared" si="26"/>
        <v>#N/A</v>
      </c>
    </row>
    <row r="99" spans="2:32">
      <c r="B99" s="5">
        <f t="shared" si="31"/>
        <v>87</v>
      </c>
      <c r="C99" s="5"/>
      <c r="E99" s="13"/>
      <c r="F99" s="5"/>
      <c r="G99" s="11">
        <f>IF(ISERROR(AVERAGE(F$13:F99)),"n/a",AVERAGE(F$13:F99))</f>
        <v>117</v>
      </c>
      <c r="H99" s="11">
        <f t="shared" si="27"/>
        <v>117</v>
      </c>
      <c r="J99" s="5"/>
      <c r="K99" s="5"/>
      <c r="L99" s="5"/>
      <c r="M99" s="5"/>
      <c r="N99" s="5"/>
      <c r="O99" s="8" t="str">
        <f t="shared" si="32"/>
        <v>n/a</v>
      </c>
      <c r="Q99" s="5"/>
      <c r="R99" s="5"/>
      <c r="S99" s="5"/>
      <c r="U99" s="6"/>
      <c r="V99" s="9" t="str">
        <f t="shared" si="28"/>
        <v/>
      </c>
      <c r="W99" s="9" t="str">
        <f t="shared" si="29"/>
        <v/>
      </c>
      <c r="X99" s="10">
        <f>SUM(V$13:V99)/COUNTA(B$13:B99)</f>
        <v>8.0459770114942528E-2</v>
      </c>
      <c r="Z99" s="5"/>
      <c r="AA99" s="5"/>
      <c r="AC99" s="7"/>
      <c r="AE99" s="54" t="e">
        <f t="shared" si="30"/>
        <v>#N/A</v>
      </c>
      <c r="AF99" s="4" t="e">
        <f t="shared" si="26"/>
        <v>#N/A</v>
      </c>
    </row>
    <row r="100" spans="2:32">
      <c r="B100" s="5">
        <f t="shared" si="31"/>
        <v>88</v>
      </c>
      <c r="C100" s="5"/>
      <c r="E100" s="13"/>
      <c r="F100" s="5"/>
      <c r="G100" s="11">
        <f>IF(ISERROR(AVERAGE(F$13:F100)),"n/a",AVERAGE(F$13:F100))</f>
        <v>117</v>
      </c>
      <c r="H100" s="11">
        <f t="shared" si="27"/>
        <v>117</v>
      </c>
      <c r="J100" s="5"/>
      <c r="K100" s="5"/>
      <c r="L100" s="5"/>
      <c r="M100" s="5"/>
      <c r="N100" s="5"/>
      <c r="O100" s="8" t="str">
        <f t="shared" si="32"/>
        <v>n/a</v>
      </c>
      <c r="Q100" s="5"/>
      <c r="R100" s="5"/>
      <c r="S100" s="5"/>
      <c r="U100" s="6"/>
      <c r="V100" s="9" t="str">
        <f t="shared" si="28"/>
        <v/>
      </c>
      <c r="W100" s="9" t="str">
        <f t="shared" si="29"/>
        <v/>
      </c>
      <c r="X100" s="10">
        <f>SUM(V$13:V100)/COUNTA(B$13:B100)</f>
        <v>7.9545454545454544E-2</v>
      </c>
      <c r="Z100" s="5"/>
      <c r="AA100" s="5"/>
      <c r="AC100" s="7"/>
      <c r="AE100" s="54" t="e">
        <f t="shared" si="30"/>
        <v>#N/A</v>
      </c>
      <c r="AF100" s="4" t="e">
        <f t="shared" si="26"/>
        <v>#N/A</v>
      </c>
    </row>
    <row r="101" spans="2:32">
      <c r="B101" s="5">
        <f t="shared" si="31"/>
        <v>89</v>
      </c>
      <c r="C101" s="5"/>
      <c r="E101" s="13"/>
      <c r="F101" s="5"/>
      <c r="G101" s="11">
        <f>IF(ISERROR(AVERAGE(F$13:F101)),"n/a",AVERAGE(F$13:F101))</f>
        <v>117</v>
      </c>
      <c r="H101" s="11">
        <f t="shared" si="27"/>
        <v>117</v>
      </c>
      <c r="J101" s="5"/>
      <c r="K101" s="5"/>
      <c r="L101" s="5"/>
      <c r="M101" s="5"/>
      <c r="N101" s="5"/>
      <c r="O101" s="8" t="str">
        <f t="shared" si="32"/>
        <v>n/a</v>
      </c>
      <c r="Q101" s="5"/>
      <c r="R101" s="5"/>
      <c r="S101" s="5"/>
      <c r="U101" s="6"/>
      <c r="V101" s="9" t="str">
        <f t="shared" si="28"/>
        <v/>
      </c>
      <c r="W101" s="9" t="str">
        <f t="shared" si="29"/>
        <v/>
      </c>
      <c r="X101" s="10">
        <f>SUM(V$13:V101)/COUNTA(B$13:B101)</f>
        <v>7.8651685393258425E-2</v>
      </c>
      <c r="Z101" s="5"/>
      <c r="AA101" s="5"/>
      <c r="AC101" s="7"/>
      <c r="AE101" s="54" t="e">
        <f t="shared" si="30"/>
        <v>#N/A</v>
      </c>
      <c r="AF101" s="4" t="e">
        <f t="shared" si="26"/>
        <v>#N/A</v>
      </c>
    </row>
    <row r="102" spans="2:32">
      <c r="B102" s="5">
        <f t="shared" si="31"/>
        <v>90</v>
      </c>
      <c r="C102" s="5"/>
      <c r="E102" s="13"/>
      <c r="F102" s="5"/>
      <c r="G102" s="11">
        <f>IF(ISERROR(AVERAGE(F$13:F102)),"n/a",AVERAGE(F$13:F102))</f>
        <v>117</v>
      </c>
      <c r="H102" s="11">
        <f t="shared" si="27"/>
        <v>117</v>
      </c>
      <c r="J102" s="5"/>
      <c r="K102" s="5"/>
      <c r="L102" s="5"/>
      <c r="M102" s="5"/>
      <c r="N102" s="5"/>
      <c r="O102" s="8" t="str">
        <f t="shared" si="32"/>
        <v>n/a</v>
      </c>
      <c r="Q102" s="5"/>
      <c r="R102" s="5"/>
      <c r="S102" s="5"/>
      <c r="U102" s="6"/>
      <c r="V102" s="9" t="str">
        <f t="shared" si="28"/>
        <v/>
      </c>
      <c r="W102" s="9" t="str">
        <f t="shared" si="29"/>
        <v/>
      </c>
      <c r="X102" s="10">
        <f>SUM(V$13:V102)/COUNTA(B$13:B102)</f>
        <v>7.7777777777777779E-2</v>
      </c>
      <c r="Z102" s="5"/>
      <c r="AA102" s="5"/>
      <c r="AC102" s="7"/>
      <c r="AE102" s="54" t="e">
        <f t="shared" si="30"/>
        <v>#N/A</v>
      </c>
      <c r="AF102" s="4" t="e">
        <f t="shared" si="26"/>
        <v>#N/A</v>
      </c>
    </row>
    <row r="103" spans="2:32">
      <c r="B103" s="5">
        <f t="shared" si="31"/>
        <v>91</v>
      </c>
      <c r="C103" s="5"/>
      <c r="E103" s="13"/>
      <c r="F103" s="5"/>
      <c r="G103" s="11">
        <f>IF(ISERROR(AVERAGE(F$13:F103)),"n/a",AVERAGE(F$13:F103))</f>
        <v>117</v>
      </c>
      <c r="H103" s="11">
        <f t="shared" si="27"/>
        <v>117</v>
      </c>
      <c r="J103" s="5"/>
      <c r="K103" s="5"/>
      <c r="L103" s="5"/>
      <c r="M103" s="5"/>
      <c r="N103" s="5"/>
      <c r="O103" s="8" t="str">
        <f t="shared" si="32"/>
        <v>n/a</v>
      </c>
      <c r="Q103" s="5"/>
      <c r="R103" s="5"/>
      <c r="S103" s="5"/>
      <c r="U103" s="6"/>
      <c r="V103" s="9" t="str">
        <f t="shared" si="28"/>
        <v/>
      </c>
      <c r="W103" s="9" t="str">
        <f t="shared" si="29"/>
        <v/>
      </c>
      <c r="X103" s="10">
        <f>SUM(V$13:V103)/COUNTA(B$13:B103)</f>
        <v>7.6923076923076927E-2</v>
      </c>
      <c r="Z103" s="5"/>
      <c r="AA103" s="5"/>
      <c r="AC103" s="7"/>
      <c r="AE103" s="54" t="e">
        <f t="shared" si="30"/>
        <v>#N/A</v>
      </c>
      <c r="AF103" s="4" t="e">
        <f t="shared" si="26"/>
        <v>#N/A</v>
      </c>
    </row>
    <row r="104" spans="2:32">
      <c r="B104" s="5">
        <f t="shared" si="31"/>
        <v>92</v>
      </c>
      <c r="C104" s="5"/>
      <c r="E104" s="13"/>
      <c r="F104" s="5"/>
      <c r="G104" s="11">
        <f>IF(ISERROR(AVERAGE(F$13:F104)),"n/a",AVERAGE(F$13:F104))</f>
        <v>117</v>
      </c>
      <c r="H104" s="11">
        <f t="shared" si="27"/>
        <v>117</v>
      </c>
      <c r="J104" s="5"/>
      <c r="K104" s="5"/>
      <c r="L104" s="5"/>
      <c r="M104" s="5"/>
      <c r="N104" s="5"/>
      <c r="O104" s="8" t="str">
        <f t="shared" si="32"/>
        <v>n/a</v>
      </c>
      <c r="Q104" s="5"/>
      <c r="R104" s="5"/>
      <c r="S104" s="5"/>
      <c r="U104" s="6"/>
      <c r="V104" s="9" t="str">
        <f t="shared" si="28"/>
        <v/>
      </c>
      <c r="W104" s="9" t="str">
        <f t="shared" si="29"/>
        <v/>
      </c>
      <c r="X104" s="10">
        <f>SUM(V$13:V104)/COUNTA(B$13:B104)</f>
        <v>7.6086956521739135E-2</v>
      </c>
      <c r="Z104" s="5"/>
      <c r="AA104" s="5"/>
      <c r="AC104" s="7"/>
      <c r="AE104" s="54" t="e">
        <f t="shared" si="30"/>
        <v>#N/A</v>
      </c>
      <c r="AF104" s="4" t="e">
        <f t="shared" si="26"/>
        <v>#N/A</v>
      </c>
    </row>
    <row r="105" spans="2:32">
      <c r="B105" s="5">
        <f t="shared" si="31"/>
        <v>93</v>
      </c>
      <c r="C105" s="5"/>
      <c r="E105" s="13"/>
      <c r="F105" s="5"/>
      <c r="G105" s="11">
        <f>IF(ISERROR(AVERAGE(F$13:F105)),"n/a",AVERAGE(F$13:F105))</f>
        <v>117</v>
      </c>
      <c r="H105" s="11">
        <f t="shared" si="27"/>
        <v>117</v>
      </c>
      <c r="J105" s="5"/>
      <c r="K105" s="5"/>
      <c r="L105" s="5"/>
      <c r="M105" s="5"/>
      <c r="N105" s="5"/>
      <c r="O105" s="8" t="str">
        <f t="shared" si="32"/>
        <v>n/a</v>
      </c>
      <c r="Q105" s="5"/>
      <c r="R105" s="5"/>
      <c r="S105" s="5"/>
      <c r="U105" s="6"/>
      <c r="V105" s="9" t="str">
        <f t="shared" si="28"/>
        <v/>
      </c>
      <c r="W105" s="9" t="str">
        <f t="shared" si="29"/>
        <v/>
      </c>
      <c r="X105" s="10">
        <f>SUM(V$13:V105)/COUNTA(B$13:B105)</f>
        <v>7.5268817204301078E-2</v>
      </c>
      <c r="Z105" s="5"/>
      <c r="AA105" s="5"/>
      <c r="AC105" s="7"/>
      <c r="AE105" s="54" t="e">
        <f t="shared" si="30"/>
        <v>#N/A</v>
      </c>
      <c r="AF105" s="4" t="e">
        <f t="shared" si="26"/>
        <v>#N/A</v>
      </c>
    </row>
    <row r="106" spans="2:32">
      <c r="B106" s="5">
        <f t="shared" si="31"/>
        <v>94</v>
      </c>
      <c r="C106" s="5"/>
      <c r="E106" s="13"/>
      <c r="F106" s="5"/>
      <c r="G106" s="11">
        <f>IF(ISERROR(AVERAGE(F$13:F106)),"n/a",AVERAGE(F$13:F106))</f>
        <v>117</v>
      </c>
      <c r="H106" s="11">
        <f t="shared" si="27"/>
        <v>117</v>
      </c>
      <c r="J106" s="5"/>
      <c r="K106" s="5"/>
      <c r="L106" s="5"/>
      <c r="M106" s="5"/>
      <c r="N106" s="5"/>
      <c r="O106" s="8" t="str">
        <f t="shared" si="32"/>
        <v>n/a</v>
      </c>
      <c r="Q106" s="5"/>
      <c r="R106" s="5"/>
      <c r="S106" s="5"/>
      <c r="U106" s="6"/>
      <c r="V106" s="9" t="str">
        <f t="shared" si="28"/>
        <v/>
      </c>
      <c r="W106" s="9" t="str">
        <f t="shared" si="29"/>
        <v/>
      </c>
      <c r="X106" s="10">
        <f>SUM(V$13:V106)/COUNTA(B$13:B106)</f>
        <v>7.4468085106382975E-2</v>
      </c>
      <c r="Z106" s="5"/>
      <c r="AA106" s="5"/>
      <c r="AC106" s="7"/>
      <c r="AE106" s="54" t="e">
        <f t="shared" si="30"/>
        <v>#N/A</v>
      </c>
      <c r="AF106" s="4" t="e">
        <f t="shared" si="26"/>
        <v>#N/A</v>
      </c>
    </row>
    <row r="107" spans="2:32">
      <c r="B107" s="5">
        <f t="shared" si="31"/>
        <v>95</v>
      </c>
      <c r="C107" s="5"/>
      <c r="E107" s="13"/>
      <c r="F107" s="5"/>
      <c r="G107" s="11">
        <f>IF(ISERROR(AVERAGE(F$13:F107)),"n/a",AVERAGE(F$13:F107))</f>
        <v>117</v>
      </c>
      <c r="H107" s="11">
        <f t="shared" si="27"/>
        <v>117</v>
      </c>
      <c r="J107" s="5"/>
      <c r="K107" s="5"/>
      <c r="L107" s="5"/>
      <c r="M107" s="5"/>
      <c r="N107" s="5"/>
      <c r="O107" s="8" t="str">
        <f t="shared" si="32"/>
        <v>n/a</v>
      </c>
      <c r="Q107" s="5"/>
      <c r="R107" s="5"/>
      <c r="S107" s="5"/>
      <c r="U107" s="6"/>
      <c r="V107" s="9" t="str">
        <f t="shared" si="28"/>
        <v/>
      </c>
      <c r="W107" s="9" t="str">
        <f t="shared" si="29"/>
        <v/>
      </c>
      <c r="X107" s="10">
        <f>SUM(V$13:V107)/COUNTA(B$13:B107)</f>
        <v>7.3684210526315783E-2</v>
      </c>
      <c r="Z107" s="5"/>
      <c r="AA107" s="5"/>
      <c r="AC107" s="7"/>
      <c r="AE107" s="54" t="e">
        <f t="shared" si="30"/>
        <v>#N/A</v>
      </c>
      <c r="AF107" s="4" t="e">
        <f t="shared" si="26"/>
        <v>#N/A</v>
      </c>
    </row>
    <row r="108" spans="2:32">
      <c r="B108" s="5">
        <f t="shared" si="31"/>
        <v>96</v>
      </c>
      <c r="C108" s="5"/>
      <c r="E108" s="13"/>
      <c r="F108" s="5"/>
      <c r="G108" s="11">
        <f>IF(ISERROR(AVERAGE(F$13:F108)),"n/a",AVERAGE(F$13:F108))</f>
        <v>117</v>
      </c>
      <c r="H108" s="11">
        <f t="shared" si="27"/>
        <v>117</v>
      </c>
      <c r="J108" s="5"/>
      <c r="K108" s="5"/>
      <c r="L108" s="5"/>
      <c r="M108" s="5"/>
      <c r="N108" s="5"/>
      <c r="O108" s="8" t="str">
        <f t="shared" si="32"/>
        <v>n/a</v>
      </c>
      <c r="Q108" s="5"/>
      <c r="R108" s="5"/>
      <c r="S108" s="5"/>
      <c r="U108" s="6"/>
      <c r="V108" s="9" t="str">
        <f t="shared" si="28"/>
        <v/>
      </c>
      <c r="W108" s="9" t="str">
        <f t="shared" si="29"/>
        <v/>
      </c>
      <c r="X108" s="10">
        <f>SUM(V$13:V108)/COUNTA(B$13:B108)</f>
        <v>7.2916666666666671E-2</v>
      </c>
      <c r="Z108" s="5"/>
      <c r="AA108" s="5"/>
      <c r="AC108" s="7"/>
      <c r="AE108" s="54" t="e">
        <f t="shared" si="30"/>
        <v>#N/A</v>
      </c>
      <c r="AF108" s="4" t="e">
        <f t="shared" si="26"/>
        <v>#N/A</v>
      </c>
    </row>
    <row r="109" spans="2:32">
      <c r="B109" s="5">
        <f t="shared" si="31"/>
        <v>97</v>
      </c>
      <c r="C109" s="5"/>
      <c r="E109" s="13"/>
      <c r="F109" s="5"/>
      <c r="G109" s="11">
        <f>IF(ISERROR(AVERAGE(F$13:F109)),"n/a",AVERAGE(F$13:F109))</f>
        <v>117</v>
      </c>
      <c r="H109" s="11">
        <f t="shared" si="27"/>
        <v>117</v>
      </c>
      <c r="J109" s="5"/>
      <c r="K109" s="5"/>
      <c r="L109" s="5"/>
      <c r="M109" s="5"/>
      <c r="N109" s="5"/>
      <c r="O109" s="8" t="str">
        <f t="shared" si="32"/>
        <v>n/a</v>
      </c>
      <c r="Q109" s="5"/>
      <c r="R109" s="5"/>
      <c r="S109" s="5"/>
      <c r="U109" s="6"/>
      <c r="V109" s="9" t="str">
        <f t="shared" si="28"/>
        <v/>
      </c>
      <c r="W109" s="9" t="str">
        <f t="shared" si="29"/>
        <v/>
      </c>
      <c r="X109" s="10">
        <f>SUM(V$13:V109)/COUNTA(B$13:B109)</f>
        <v>7.2164948453608241E-2</v>
      </c>
      <c r="Z109" s="5"/>
      <c r="AA109" s="5"/>
      <c r="AC109" s="7"/>
      <c r="AE109" s="54" t="e">
        <f t="shared" si="30"/>
        <v>#N/A</v>
      </c>
      <c r="AF109" s="4" t="e">
        <f t="shared" si="26"/>
        <v>#N/A</v>
      </c>
    </row>
    <row r="110" spans="2:32">
      <c r="B110" s="5">
        <f t="shared" si="31"/>
        <v>98</v>
      </c>
      <c r="C110" s="5"/>
      <c r="E110" s="13"/>
      <c r="F110" s="5"/>
      <c r="G110" s="11">
        <f>IF(ISERROR(AVERAGE(F$13:F110)),"n/a",AVERAGE(F$13:F110))</f>
        <v>117</v>
      </c>
      <c r="H110" s="11">
        <f t="shared" si="27"/>
        <v>117</v>
      </c>
      <c r="J110" s="5"/>
      <c r="K110" s="5"/>
      <c r="L110" s="5"/>
      <c r="M110" s="5"/>
      <c r="N110" s="5"/>
      <c r="O110" s="8" t="str">
        <f t="shared" si="32"/>
        <v>n/a</v>
      </c>
      <c r="Q110" s="5"/>
      <c r="R110" s="5"/>
      <c r="S110" s="5"/>
      <c r="U110" s="6"/>
      <c r="V110" s="9" t="str">
        <f t="shared" si="28"/>
        <v/>
      </c>
      <c r="W110" s="9" t="str">
        <f t="shared" si="29"/>
        <v/>
      </c>
      <c r="X110" s="10">
        <f>SUM(V$13:V110)/COUNTA(B$13:B110)</f>
        <v>7.1428571428571425E-2</v>
      </c>
      <c r="Z110" s="5"/>
      <c r="AA110" s="5"/>
      <c r="AC110" s="7"/>
      <c r="AE110" s="54" t="e">
        <f t="shared" si="30"/>
        <v>#N/A</v>
      </c>
      <c r="AF110" s="4" t="e">
        <f t="shared" si="26"/>
        <v>#N/A</v>
      </c>
    </row>
    <row r="111" spans="2:32">
      <c r="B111" s="5">
        <f t="shared" si="31"/>
        <v>99</v>
      </c>
      <c r="C111" s="5"/>
      <c r="E111" s="13"/>
      <c r="F111" s="5"/>
      <c r="G111" s="11">
        <f>IF(ISERROR(AVERAGE(F$13:F111)),"n/a",AVERAGE(F$13:F111))</f>
        <v>117</v>
      </c>
      <c r="H111" s="11">
        <f t="shared" si="27"/>
        <v>117</v>
      </c>
      <c r="J111" s="5"/>
      <c r="K111" s="5"/>
      <c r="L111" s="5"/>
      <c r="M111" s="5"/>
      <c r="N111" s="5"/>
      <c r="O111" s="8" t="str">
        <f t="shared" si="32"/>
        <v>n/a</v>
      </c>
      <c r="Q111" s="5"/>
      <c r="R111" s="5"/>
      <c r="S111" s="5"/>
      <c r="U111" s="6"/>
      <c r="V111" s="9" t="str">
        <f t="shared" si="28"/>
        <v/>
      </c>
      <c r="W111" s="9" t="str">
        <f t="shared" si="29"/>
        <v/>
      </c>
      <c r="X111" s="10">
        <f>SUM(V$13:V111)/COUNTA(B$13:B111)</f>
        <v>7.0707070707070704E-2</v>
      </c>
      <c r="Z111" s="5"/>
      <c r="AA111" s="5"/>
      <c r="AC111" s="7"/>
      <c r="AE111" s="54" t="e">
        <f t="shared" si="30"/>
        <v>#N/A</v>
      </c>
      <c r="AF111" s="4" t="e">
        <f t="shared" si="26"/>
        <v>#N/A</v>
      </c>
    </row>
    <row r="112" spans="2:32">
      <c r="B112" s="5">
        <f t="shared" si="31"/>
        <v>100</v>
      </c>
      <c r="C112" s="5"/>
      <c r="E112" s="13"/>
      <c r="F112" s="5"/>
      <c r="G112" s="11">
        <f>IF(ISERROR(AVERAGE(F$13:F112)),"n/a",AVERAGE(F$13:F112))</f>
        <v>117</v>
      </c>
      <c r="H112" s="11">
        <f t="shared" si="27"/>
        <v>117</v>
      </c>
      <c r="J112" s="5"/>
      <c r="K112" s="5"/>
      <c r="L112" s="5"/>
      <c r="M112" s="5"/>
      <c r="N112" s="5"/>
      <c r="O112" s="8" t="str">
        <f t="shared" si="32"/>
        <v>n/a</v>
      </c>
      <c r="Q112" s="5"/>
      <c r="R112" s="5"/>
      <c r="S112" s="5"/>
      <c r="U112" s="6"/>
      <c r="V112" s="9" t="str">
        <f t="shared" si="28"/>
        <v/>
      </c>
      <c r="W112" s="9" t="str">
        <f t="shared" si="29"/>
        <v/>
      </c>
      <c r="X112" s="10">
        <f>SUM(V$13:V112)/COUNTA(B$13:B112)</f>
        <v>7.0000000000000007E-2</v>
      </c>
      <c r="Z112" s="5"/>
      <c r="AA112" s="5"/>
      <c r="AC112" s="7"/>
      <c r="AE112" s="54" t="e">
        <f t="shared" si="30"/>
        <v>#N/A</v>
      </c>
      <c r="AF112" s="4" t="e">
        <f t="shared" si="26"/>
        <v>#N/A</v>
      </c>
    </row>
    <row r="113" spans="2:59" customFormat="1">
      <c r="B113" s="5">
        <f t="shared" si="31"/>
        <v>101</v>
      </c>
      <c r="C113" s="5"/>
      <c r="E113" s="13"/>
      <c r="F113" s="5"/>
      <c r="G113" s="11">
        <f>IF(ISERROR(AVERAGE(F$13:F113)),"n/a",AVERAGE(F$13:F113))</f>
        <v>117</v>
      </c>
      <c r="H113" s="11">
        <f t="shared" si="27"/>
        <v>117</v>
      </c>
      <c r="J113" s="5"/>
      <c r="K113" s="5"/>
      <c r="L113" s="5"/>
      <c r="M113" s="5"/>
      <c r="N113" s="5"/>
      <c r="O113" s="8" t="str">
        <f t="shared" ref="O113:O176" si="33">IF(J113=1,"A",IF(K113=1,"B",IF(L113=1,"C",IF(M113=1,"D",IF(N113=1,"E","n/a")))))</f>
        <v>n/a</v>
      </c>
      <c r="Q113" s="5"/>
      <c r="R113" s="5"/>
      <c r="S113" s="5"/>
      <c r="U113" s="6"/>
      <c r="V113" s="9" t="str">
        <f t="shared" si="28"/>
        <v/>
      </c>
      <c r="W113" s="9" t="str">
        <f t="shared" si="29"/>
        <v/>
      </c>
      <c r="X113" s="10">
        <f>SUM(V$13:V113)/COUNTA(B$13:B113)</f>
        <v>6.9306930693069313E-2</v>
      </c>
      <c r="Z113" s="5"/>
      <c r="AA113" s="5"/>
      <c r="AC113" s="7"/>
      <c r="AE113" s="54" t="e">
        <f t="shared" si="30"/>
        <v>#N/A</v>
      </c>
      <c r="AF113" s="4" t="e">
        <f t="shared" si="26"/>
        <v>#N/A</v>
      </c>
      <c r="BF113" s="115"/>
      <c r="BG113" s="115"/>
    </row>
    <row r="114" spans="2:59">
      <c r="B114" s="5">
        <f t="shared" si="31"/>
        <v>102</v>
      </c>
      <c r="C114" s="5"/>
      <c r="E114" s="13"/>
      <c r="F114" s="5"/>
      <c r="G114" s="11">
        <f>IF(ISERROR(AVERAGE(F$13:F114)),"n/a",AVERAGE(F$13:F114))</f>
        <v>117</v>
      </c>
      <c r="H114" s="11">
        <f t="shared" si="27"/>
        <v>117</v>
      </c>
      <c r="J114" s="5"/>
      <c r="K114" s="5"/>
      <c r="L114" s="5"/>
      <c r="M114" s="5"/>
      <c r="N114" s="5"/>
      <c r="O114" s="8" t="str">
        <f t="shared" si="33"/>
        <v>n/a</v>
      </c>
      <c r="Q114" s="5"/>
      <c r="R114" s="5"/>
      <c r="S114" s="5"/>
      <c r="U114" s="6"/>
      <c r="V114" s="9" t="str">
        <f t="shared" si="28"/>
        <v/>
      </c>
      <c r="W114" s="9" t="str">
        <f t="shared" si="29"/>
        <v/>
      </c>
      <c r="X114" s="10">
        <f>SUM(V$13:V114)/COUNTA(B$13:B114)</f>
        <v>6.8627450980392163E-2</v>
      </c>
      <c r="Z114" s="5"/>
      <c r="AA114" s="5"/>
      <c r="AC114" s="7"/>
      <c r="AE114" s="54" t="e">
        <f t="shared" si="30"/>
        <v>#N/A</v>
      </c>
      <c r="AF114" s="4" t="e">
        <f t="shared" si="26"/>
        <v>#N/A</v>
      </c>
    </row>
    <row r="115" spans="2:59">
      <c r="B115" s="5">
        <f t="shared" si="31"/>
        <v>103</v>
      </c>
      <c r="C115" s="5"/>
      <c r="E115" s="13"/>
      <c r="F115" s="5"/>
      <c r="G115" s="11">
        <f>IF(ISERROR(AVERAGE(F$13:F115)),"n/a",AVERAGE(F$13:F115))</f>
        <v>117</v>
      </c>
      <c r="H115" s="11">
        <f t="shared" si="27"/>
        <v>117</v>
      </c>
      <c r="J115" s="5"/>
      <c r="K115" s="5"/>
      <c r="L115" s="5"/>
      <c r="M115" s="5"/>
      <c r="N115" s="5"/>
      <c r="O115" s="8" t="str">
        <f t="shared" si="33"/>
        <v>n/a</v>
      </c>
      <c r="Q115" s="5"/>
      <c r="R115" s="5"/>
      <c r="S115" s="5"/>
      <c r="U115" s="6"/>
      <c r="V115" s="9" t="str">
        <f t="shared" si="28"/>
        <v/>
      </c>
      <c r="W115" s="9" t="str">
        <f t="shared" si="29"/>
        <v/>
      </c>
      <c r="X115" s="10">
        <f>SUM(V$13:V115)/COUNTA(B$13:B115)</f>
        <v>6.7961165048543687E-2</v>
      </c>
      <c r="Z115" s="5"/>
      <c r="AA115" s="5"/>
      <c r="AC115" s="7"/>
      <c r="AE115" s="54" t="e">
        <f t="shared" si="30"/>
        <v>#N/A</v>
      </c>
      <c r="AF115" s="4" t="e">
        <f t="shared" si="26"/>
        <v>#N/A</v>
      </c>
    </row>
    <row r="116" spans="2:59">
      <c r="B116" s="5">
        <f t="shared" si="31"/>
        <v>104</v>
      </c>
      <c r="C116" s="5"/>
      <c r="E116" s="13"/>
      <c r="F116" s="5"/>
      <c r="G116" s="11">
        <f>IF(ISERROR(AVERAGE(F$13:F116)),"n/a",AVERAGE(F$13:F116))</f>
        <v>117</v>
      </c>
      <c r="H116" s="11">
        <f t="shared" si="27"/>
        <v>117</v>
      </c>
      <c r="J116" s="5"/>
      <c r="K116" s="5"/>
      <c r="L116" s="5"/>
      <c r="M116" s="5"/>
      <c r="N116" s="5"/>
      <c r="O116" s="8" t="str">
        <f t="shared" si="33"/>
        <v>n/a</v>
      </c>
      <c r="Q116" s="5"/>
      <c r="R116" s="5"/>
      <c r="S116" s="5"/>
      <c r="U116" s="6"/>
      <c r="V116" s="9" t="str">
        <f t="shared" si="28"/>
        <v/>
      </c>
      <c r="W116" s="9" t="str">
        <f t="shared" si="29"/>
        <v/>
      </c>
      <c r="X116" s="10">
        <f>SUM(V$13:V116)/COUNTA(B$13:B116)</f>
        <v>6.7307692307692304E-2</v>
      </c>
      <c r="Z116" s="5"/>
      <c r="AA116" s="5"/>
      <c r="AC116" s="7"/>
      <c r="AE116" s="54" t="e">
        <f t="shared" si="30"/>
        <v>#N/A</v>
      </c>
      <c r="AF116" s="4" t="e">
        <f t="shared" si="26"/>
        <v>#N/A</v>
      </c>
    </row>
    <row r="117" spans="2:59">
      <c r="B117" s="5">
        <f t="shared" si="31"/>
        <v>105</v>
      </c>
      <c r="C117" s="5"/>
      <c r="E117" s="13"/>
      <c r="F117" s="5"/>
      <c r="G117" s="11">
        <f>IF(ISERROR(AVERAGE(F$13:F117)),"n/a",AVERAGE(F$13:F117))</f>
        <v>117</v>
      </c>
      <c r="H117" s="11">
        <f t="shared" si="27"/>
        <v>117</v>
      </c>
      <c r="J117" s="5"/>
      <c r="K117" s="5"/>
      <c r="L117" s="5"/>
      <c r="M117" s="5"/>
      <c r="N117" s="5"/>
      <c r="O117" s="8" t="str">
        <f t="shared" si="33"/>
        <v>n/a</v>
      </c>
      <c r="Q117" s="5"/>
      <c r="R117" s="5"/>
      <c r="S117" s="5"/>
      <c r="U117" s="6"/>
      <c r="V117" s="9" t="str">
        <f t="shared" si="28"/>
        <v/>
      </c>
      <c r="W117" s="9" t="str">
        <f t="shared" si="29"/>
        <v/>
      </c>
      <c r="X117" s="10">
        <f>SUM(V$13:V117)/COUNTA(B$13:B117)</f>
        <v>6.6666666666666666E-2</v>
      </c>
      <c r="Z117" s="5"/>
      <c r="AA117" s="5"/>
      <c r="AC117" s="7"/>
      <c r="AE117" s="54" t="e">
        <f t="shared" si="30"/>
        <v>#N/A</v>
      </c>
      <c r="AF117" s="4" t="e">
        <f t="shared" si="26"/>
        <v>#N/A</v>
      </c>
    </row>
    <row r="118" spans="2:59">
      <c r="B118" s="5">
        <f t="shared" si="31"/>
        <v>106</v>
      </c>
      <c r="C118" s="5"/>
      <c r="E118" s="13"/>
      <c r="F118" s="5"/>
      <c r="G118" s="11">
        <f>IF(ISERROR(AVERAGE(F$13:F118)),"n/a",AVERAGE(F$13:F118))</f>
        <v>117</v>
      </c>
      <c r="H118" s="11">
        <f t="shared" si="27"/>
        <v>117</v>
      </c>
      <c r="J118" s="5"/>
      <c r="K118" s="5"/>
      <c r="L118" s="5"/>
      <c r="M118" s="5"/>
      <c r="N118" s="5"/>
      <c r="O118" s="8" t="str">
        <f t="shared" si="33"/>
        <v>n/a</v>
      </c>
      <c r="Q118" s="5"/>
      <c r="R118" s="5"/>
      <c r="S118" s="5"/>
      <c r="U118" s="6"/>
      <c r="V118" s="9" t="str">
        <f t="shared" si="28"/>
        <v/>
      </c>
      <c r="W118" s="9" t="str">
        <f t="shared" si="29"/>
        <v/>
      </c>
      <c r="X118" s="10">
        <f>SUM(V$13:V118)/COUNTA(B$13:B118)</f>
        <v>6.6037735849056603E-2</v>
      </c>
      <c r="Z118" s="5"/>
      <c r="AA118" s="5"/>
      <c r="AC118" s="7"/>
      <c r="AE118" s="54" t="e">
        <f t="shared" si="30"/>
        <v>#N/A</v>
      </c>
      <c r="AF118" s="4" t="e">
        <f t="shared" si="26"/>
        <v>#N/A</v>
      </c>
    </row>
    <row r="119" spans="2:59">
      <c r="B119" s="5">
        <f t="shared" si="31"/>
        <v>107</v>
      </c>
      <c r="C119" s="5"/>
      <c r="E119" s="13"/>
      <c r="F119" s="5"/>
      <c r="G119" s="11">
        <f>IF(ISERROR(AVERAGE(F$13:F119)),"n/a",AVERAGE(F$13:F119))</f>
        <v>117</v>
      </c>
      <c r="H119" s="11">
        <f t="shared" si="27"/>
        <v>117</v>
      </c>
      <c r="J119" s="5"/>
      <c r="K119" s="5"/>
      <c r="L119" s="5"/>
      <c r="M119" s="5"/>
      <c r="N119" s="5"/>
      <c r="O119" s="8" t="str">
        <f t="shared" si="33"/>
        <v>n/a</v>
      </c>
      <c r="Q119" s="5"/>
      <c r="R119" s="5"/>
      <c r="S119" s="5"/>
      <c r="U119" s="6"/>
      <c r="V119" s="9" t="str">
        <f t="shared" si="28"/>
        <v/>
      </c>
      <c r="W119" s="9" t="str">
        <f t="shared" si="29"/>
        <v/>
      </c>
      <c r="X119" s="10">
        <f>SUM(V$13:V119)/COUNTA(B$13:B119)</f>
        <v>6.5420560747663545E-2</v>
      </c>
      <c r="Z119" s="5"/>
      <c r="AA119" s="5"/>
      <c r="AC119" s="7"/>
      <c r="AE119" s="54" t="e">
        <f t="shared" si="30"/>
        <v>#N/A</v>
      </c>
      <c r="AF119" s="4" t="e">
        <f t="shared" si="26"/>
        <v>#N/A</v>
      </c>
    </row>
    <row r="120" spans="2:59">
      <c r="B120" s="5">
        <f t="shared" si="31"/>
        <v>108</v>
      </c>
      <c r="C120" s="5"/>
      <c r="E120" s="13"/>
      <c r="F120" s="5"/>
      <c r="G120" s="11">
        <f>IF(ISERROR(AVERAGE(F$13:F120)),"n/a",AVERAGE(F$13:F120))</f>
        <v>117</v>
      </c>
      <c r="H120" s="11">
        <f t="shared" si="27"/>
        <v>117</v>
      </c>
      <c r="J120" s="5"/>
      <c r="K120" s="5"/>
      <c r="L120" s="5"/>
      <c r="M120" s="5"/>
      <c r="N120" s="5"/>
      <c r="O120" s="8" t="str">
        <f t="shared" si="33"/>
        <v>n/a</v>
      </c>
      <c r="Q120" s="5"/>
      <c r="R120" s="5"/>
      <c r="S120" s="5"/>
      <c r="U120" s="6"/>
      <c r="V120" s="9" t="str">
        <f t="shared" si="28"/>
        <v/>
      </c>
      <c r="W120" s="9" t="str">
        <f t="shared" si="29"/>
        <v/>
      </c>
      <c r="X120" s="10">
        <f>SUM(V$13:V120)/COUNTA(B$13:B120)</f>
        <v>6.4814814814814811E-2</v>
      </c>
      <c r="Z120" s="5"/>
      <c r="AA120" s="5"/>
      <c r="AC120" s="7"/>
      <c r="AE120" s="54" t="e">
        <f t="shared" si="30"/>
        <v>#N/A</v>
      </c>
      <c r="AF120" s="4" t="e">
        <f t="shared" si="26"/>
        <v>#N/A</v>
      </c>
    </row>
    <row r="121" spans="2:59">
      <c r="B121" s="5">
        <f t="shared" si="31"/>
        <v>109</v>
      </c>
      <c r="C121" s="5"/>
      <c r="E121" s="13"/>
      <c r="F121" s="5"/>
      <c r="G121" s="11">
        <f>IF(ISERROR(AVERAGE(F$13:F121)),"n/a",AVERAGE(F$13:F121))</f>
        <v>117</v>
      </c>
      <c r="H121" s="11">
        <f t="shared" si="27"/>
        <v>117</v>
      </c>
      <c r="J121" s="5"/>
      <c r="K121" s="5"/>
      <c r="L121" s="5"/>
      <c r="M121" s="5"/>
      <c r="N121" s="5"/>
      <c r="O121" s="8" t="str">
        <f t="shared" si="33"/>
        <v>n/a</v>
      </c>
      <c r="Q121" s="5"/>
      <c r="R121" s="5"/>
      <c r="S121" s="5"/>
      <c r="U121" s="6"/>
      <c r="V121" s="9" t="str">
        <f t="shared" si="28"/>
        <v/>
      </c>
      <c r="W121" s="9" t="str">
        <f t="shared" si="29"/>
        <v/>
      </c>
      <c r="X121" s="10">
        <f>SUM(V$13:V121)/COUNTA(B$13:B121)</f>
        <v>6.4220183486238536E-2</v>
      </c>
      <c r="Z121" s="5"/>
      <c r="AA121" s="5"/>
      <c r="AC121" s="7"/>
      <c r="AE121" s="54" t="e">
        <f t="shared" si="30"/>
        <v>#N/A</v>
      </c>
      <c r="AF121" s="4" t="e">
        <f t="shared" si="26"/>
        <v>#N/A</v>
      </c>
    </row>
    <row r="122" spans="2:59">
      <c r="B122" s="5">
        <f t="shared" si="31"/>
        <v>110</v>
      </c>
      <c r="C122" s="5"/>
      <c r="E122" s="13"/>
      <c r="F122" s="5"/>
      <c r="G122" s="11">
        <f>IF(ISERROR(AVERAGE(F$13:F122)),"n/a",AVERAGE(F$13:F122))</f>
        <v>117</v>
      </c>
      <c r="H122" s="11">
        <f t="shared" si="27"/>
        <v>117</v>
      </c>
      <c r="J122" s="5"/>
      <c r="K122" s="5"/>
      <c r="L122" s="5"/>
      <c r="M122" s="5"/>
      <c r="N122" s="5"/>
      <c r="O122" s="8" t="str">
        <f t="shared" si="33"/>
        <v>n/a</v>
      </c>
      <c r="Q122" s="5"/>
      <c r="R122" s="5"/>
      <c r="S122" s="5"/>
      <c r="U122" s="6"/>
      <c r="V122" s="9" t="str">
        <f t="shared" si="28"/>
        <v/>
      </c>
      <c r="W122" s="9" t="str">
        <f t="shared" si="29"/>
        <v/>
      </c>
      <c r="X122" s="10">
        <f>SUM(V$13:V122)/COUNTA(B$13:B122)</f>
        <v>6.363636363636363E-2</v>
      </c>
      <c r="Z122" s="5"/>
      <c r="AA122" s="5"/>
      <c r="AC122" s="7"/>
      <c r="AE122" s="54" t="e">
        <f t="shared" si="30"/>
        <v>#N/A</v>
      </c>
      <c r="AF122" s="4" t="e">
        <f t="shared" si="26"/>
        <v>#N/A</v>
      </c>
    </row>
    <row r="123" spans="2:59">
      <c r="B123" s="5">
        <f t="shared" si="31"/>
        <v>111</v>
      </c>
      <c r="C123" s="5"/>
      <c r="E123" s="13"/>
      <c r="F123" s="5"/>
      <c r="G123" s="11">
        <f>IF(ISERROR(AVERAGE(F$13:F123)),"n/a",AVERAGE(F$13:F123))</f>
        <v>117</v>
      </c>
      <c r="H123" s="11">
        <f t="shared" si="27"/>
        <v>117</v>
      </c>
      <c r="J123" s="5"/>
      <c r="K123" s="5"/>
      <c r="L123" s="5"/>
      <c r="M123" s="5"/>
      <c r="N123" s="5"/>
      <c r="O123" s="8" t="str">
        <f t="shared" si="33"/>
        <v>n/a</v>
      </c>
      <c r="Q123" s="5"/>
      <c r="R123" s="5"/>
      <c r="S123" s="5"/>
      <c r="U123" s="6"/>
      <c r="V123" s="9" t="str">
        <f t="shared" si="28"/>
        <v/>
      </c>
      <c r="W123" s="9" t="str">
        <f t="shared" si="29"/>
        <v/>
      </c>
      <c r="X123" s="10">
        <f>SUM(V$13:V123)/COUNTA(B$13:B123)</f>
        <v>6.3063063063063057E-2</v>
      </c>
      <c r="Z123" s="5"/>
      <c r="AA123" s="5"/>
      <c r="AC123" s="7"/>
      <c r="AE123" s="54" t="e">
        <f t="shared" si="30"/>
        <v>#N/A</v>
      </c>
      <c r="AF123" s="4" t="e">
        <f t="shared" si="26"/>
        <v>#N/A</v>
      </c>
    </row>
    <row r="124" spans="2:59">
      <c r="B124" s="5">
        <f t="shared" si="31"/>
        <v>112</v>
      </c>
      <c r="C124" s="5"/>
      <c r="E124" s="13"/>
      <c r="F124" s="5"/>
      <c r="G124" s="11">
        <f>IF(ISERROR(AVERAGE(F$13:F124)),"n/a",AVERAGE(F$13:F124))</f>
        <v>117</v>
      </c>
      <c r="H124" s="11">
        <f t="shared" si="27"/>
        <v>117</v>
      </c>
      <c r="J124" s="5"/>
      <c r="K124" s="5"/>
      <c r="L124" s="5"/>
      <c r="M124" s="5"/>
      <c r="N124" s="5"/>
      <c r="O124" s="8" t="str">
        <f t="shared" si="33"/>
        <v>n/a</v>
      </c>
      <c r="Q124" s="5"/>
      <c r="R124" s="5"/>
      <c r="S124" s="5"/>
      <c r="U124" s="6"/>
      <c r="V124" s="9" t="str">
        <f t="shared" si="28"/>
        <v/>
      </c>
      <c r="W124" s="9" t="str">
        <f t="shared" si="29"/>
        <v/>
      </c>
      <c r="X124" s="10">
        <f>SUM(V$13:V124)/COUNTA(B$13:B124)</f>
        <v>6.25E-2</v>
      </c>
      <c r="Z124" s="5"/>
      <c r="AA124" s="5"/>
      <c r="AC124" s="7"/>
      <c r="AE124" s="54" t="e">
        <f t="shared" si="30"/>
        <v>#N/A</v>
      </c>
      <c r="AF124" s="4" t="e">
        <f t="shared" si="26"/>
        <v>#N/A</v>
      </c>
    </row>
    <row r="125" spans="2:59">
      <c r="B125" s="5">
        <f t="shared" si="31"/>
        <v>113</v>
      </c>
      <c r="C125" s="5"/>
      <c r="E125" s="13"/>
      <c r="F125" s="5"/>
      <c r="G125" s="11">
        <f>IF(ISERROR(AVERAGE(F$13:F125)),"n/a",AVERAGE(F$13:F125))</f>
        <v>117</v>
      </c>
      <c r="H125" s="11">
        <f t="shared" si="27"/>
        <v>117</v>
      </c>
      <c r="J125" s="5"/>
      <c r="K125" s="5"/>
      <c r="L125" s="5"/>
      <c r="M125" s="5"/>
      <c r="N125" s="5"/>
      <c r="O125" s="8" t="str">
        <f t="shared" si="33"/>
        <v>n/a</v>
      </c>
      <c r="Q125" s="5"/>
      <c r="R125" s="5"/>
      <c r="S125" s="5"/>
      <c r="U125" s="6"/>
      <c r="V125" s="9" t="str">
        <f t="shared" si="28"/>
        <v/>
      </c>
      <c r="W125" s="9" t="str">
        <f t="shared" si="29"/>
        <v/>
      </c>
      <c r="X125" s="10">
        <f>SUM(V$13:V125)/COUNTA(B$13:B125)</f>
        <v>6.1946902654867256E-2</v>
      </c>
      <c r="Z125" s="5"/>
      <c r="AA125" s="5"/>
      <c r="AC125" s="7"/>
      <c r="AE125" s="54" t="e">
        <f t="shared" si="30"/>
        <v>#N/A</v>
      </c>
      <c r="AF125" s="4" t="e">
        <f t="shared" si="26"/>
        <v>#N/A</v>
      </c>
    </row>
    <row r="126" spans="2:59">
      <c r="B126" s="5">
        <f t="shared" si="31"/>
        <v>114</v>
      </c>
      <c r="C126" s="5"/>
      <c r="E126" s="13"/>
      <c r="F126" s="5"/>
      <c r="G126" s="11">
        <f>IF(ISERROR(AVERAGE(F$13:F126)),"n/a",AVERAGE(F$13:F126))</f>
        <v>117</v>
      </c>
      <c r="H126" s="11">
        <f t="shared" si="27"/>
        <v>117</v>
      </c>
      <c r="J126" s="5"/>
      <c r="K126" s="5"/>
      <c r="L126" s="5"/>
      <c r="M126" s="5"/>
      <c r="N126" s="5"/>
      <c r="O126" s="8" t="str">
        <f t="shared" si="33"/>
        <v>n/a</v>
      </c>
      <c r="Q126" s="5"/>
      <c r="R126" s="5"/>
      <c r="S126" s="5"/>
      <c r="U126" s="6"/>
      <c r="V126" s="9" t="str">
        <f t="shared" si="28"/>
        <v/>
      </c>
      <c r="W126" s="9" t="str">
        <f t="shared" si="29"/>
        <v/>
      </c>
      <c r="X126" s="10">
        <f>SUM(V$13:V126)/COUNTA(B$13:B126)</f>
        <v>6.1403508771929821E-2</v>
      </c>
      <c r="Z126" s="5"/>
      <c r="AA126" s="5"/>
      <c r="AC126" s="7"/>
      <c r="AE126" s="54" t="e">
        <f t="shared" si="30"/>
        <v>#N/A</v>
      </c>
      <c r="AF126" s="4" t="e">
        <f t="shared" si="26"/>
        <v>#N/A</v>
      </c>
    </row>
    <row r="127" spans="2:59">
      <c r="B127" s="5">
        <f t="shared" si="31"/>
        <v>115</v>
      </c>
      <c r="C127" s="5"/>
      <c r="E127" s="13"/>
      <c r="F127" s="5"/>
      <c r="G127" s="11">
        <f>IF(ISERROR(AVERAGE(F$13:F127)),"n/a",AVERAGE(F$13:F127))</f>
        <v>117</v>
      </c>
      <c r="H127" s="11">
        <f t="shared" si="27"/>
        <v>117</v>
      </c>
      <c r="J127" s="5"/>
      <c r="K127" s="5"/>
      <c r="L127" s="5"/>
      <c r="M127" s="5"/>
      <c r="N127" s="5"/>
      <c r="O127" s="8" t="str">
        <f t="shared" si="33"/>
        <v>n/a</v>
      </c>
      <c r="Q127" s="5"/>
      <c r="R127" s="5"/>
      <c r="S127" s="5"/>
      <c r="U127" s="6"/>
      <c r="V127" s="9" t="str">
        <f t="shared" si="28"/>
        <v/>
      </c>
      <c r="W127" s="9" t="str">
        <f t="shared" si="29"/>
        <v/>
      </c>
      <c r="X127" s="10">
        <f>SUM(V$13:V127)/COUNTA(B$13:B127)</f>
        <v>6.0869565217391307E-2</v>
      </c>
      <c r="Z127" s="5"/>
      <c r="AA127" s="5"/>
      <c r="AC127" s="7"/>
      <c r="AE127" s="54" t="e">
        <f t="shared" si="30"/>
        <v>#N/A</v>
      </c>
      <c r="AF127" s="4" t="e">
        <f t="shared" si="26"/>
        <v>#N/A</v>
      </c>
    </row>
    <row r="128" spans="2:59">
      <c r="B128" s="5">
        <f t="shared" si="31"/>
        <v>116</v>
      </c>
      <c r="C128" s="5"/>
      <c r="E128" s="13"/>
      <c r="F128" s="5"/>
      <c r="G128" s="11">
        <f>IF(ISERROR(AVERAGE(F$13:F128)),"n/a",AVERAGE(F$13:F128))</f>
        <v>117</v>
      </c>
      <c r="H128" s="11">
        <f t="shared" si="27"/>
        <v>117</v>
      </c>
      <c r="J128" s="5"/>
      <c r="K128" s="5"/>
      <c r="L128" s="5"/>
      <c r="M128" s="5"/>
      <c r="N128" s="5"/>
      <c r="O128" s="8" t="str">
        <f t="shared" si="33"/>
        <v>n/a</v>
      </c>
      <c r="Q128" s="5"/>
      <c r="R128" s="5"/>
      <c r="S128" s="5"/>
      <c r="U128" s="6"/>
      <c r="V128" s="9" t="str">
        <f t="shared" si="28"/>
        <v/>
      </c>
      <c r="W128" s="9" t="str">
        <f t="shared" si="29"/>
        <v/>
      </c>
      <c r="X128" s="10">
        <f>SUM(V$13:V128)/COUNTA(B$13:B128)</f>
        <v>6.0344827586206899E-2</v>
      </c>
      <c r="Z128" s="5"/>
      <c r="AA128" s="5"/>
      <c r="AC128" s="7"/>
      <c r="AE128" s="54" t="e">
        <f t="shared" si="30"/>
        <v>#N/A</v>
      </c>
      <c r="AF128" s="4" t="e">
        <f t="shared" si="26"/>
        <v>#N/A</v>
      </c>
    </row>
    <row r="129" spans="2:32">
      <c r="B129" s="5">
        <f t="shared" si="31"/>
        <v>117</v>
      </c>
      <c r="C129" s="5"/>
      <c r="E129" s="13"/>
      <c r="F129" s="5"/>
      <c r="G129" s="11">
        <f>IF(ISERROR(AVERAGE(F$13:F129)),"n/a",AVERAGE(F$13:F129))</f>
        <v>117</v>
      </c>
      <c r="H129" s="11">
        <f t="shared" si="27"/>
        <v>117</v>
      </c>
      <c r="J129" s="5"/>
      <c r="K129" s="5"/>
      <c r="L129" s="5"/>
      <c r="M129" s="5"/>
      <c r="N129" s="5"/>
      <c r="O129" s="8" t="str">
        <f t="shared" si="33"/>
        <v>n/a</v>
      </c>
      <c r="Q129" s="5"/>
      <c r="R129" s="5"/>
      <c r="S129" s="5"/>
      <c r="U129" s="6"/>
      <c r="V129" s="9" t="str">
        <f t="shared" si="28"/>
        <v/>
      </c>
      <c r="W129" s="9" t="str">
        <f t="shared" si="29"/>
        <v/>
      </c>
      <c r="X129" s="10">
        <f>SUM(V$13:V129)/COUNTA(B$13:B129)</f>
        <v>5.9829059829059832E-2</v>
      </c>
      <c r="Z129" s="5"/>
      <c r="AA129" s="5"/>
      <c r="AC129" s="7"/>
      <c r="AE129" s="54" t="e">
        <f t="shared" si="30"/>
        <v>#N/A</v>
      </c>
      <c r="AF129" s="4" t="e">
        <f t="shared" si="26"/>
        <v>#N/A</v>
      </c>
    </row>
    <row r="130" spans="2:32">
      <c r="B130" s="5">
        <f t="shared" si="31"/>
        <v>118</v>
      </c>
      <c r="C130" s="5"/>
      <c r="E130" s="13"/>
      <c r="F130" s="5"/>
      <c r="G130" s="11">
        <f>IF(ISERROR(AVERAGE(F$13:F130)),"n/a",AVERAGE(F$13:F130))</f>
        <v>117</v>
      </c>
      <c r="H130" s="11">
        <f t="shared" si="27"/>
        <v>117</v>
      </c>
      <c r="J130" s="5"/>
      <c r="K130" s="5"/>
      <c r="L130" s="5"/>
      <c r="M130" s="5"/>
      <c r="N130" s="5"/>
      <c r="O130" s="8" t="str">
        <f t="shared" si="33"/>
        <v>n/a</v>
      </c>
      <c r="Q130" s="5"/>
      <c r="R130" s="5"/>
      <c r="S130" s="5"/>
      <c r="U130" s="6"/>
      <c r="V130" s="9" t="str">
        <f t="shared" si="28"/>
        <v/>
      </c>
      <c r="W130" s="9" t="str">
        <f t="shared" si="29"/>
        <v/>
      </c>
      <c r="X130" s="10">
        <f>SUM(V$13:V130)/COUNTA(B$13:B130)</f>
        <v>5.9322033898305086E-2</v>
      </c>
      <c r="Z130" s="5"/>
      <c r="AA130" s="5"/>
      <c r="AC130" s="7"/>
      <c r="AE130" s="54" t="e">
        <f t="shared" si="30"/>
        <v>#N/A</v>
      </c>
      <c r="AF130" s="4" t="e">
        <f t="shared" si="26"/>
        <v>#N/A</v>
      </c>
    </row>
    <row r="131" spans="2:32">
      <c r="B131" s="5">
        <f t="shared" si="31"/>
        <v>119</v>
      </c>
      <c r="C131" s="5"/>
      <c r="E131" s="13"/>
      <c r="F131" s="5"/>
      <c r="G131" s="11">
        <f>IF(ISERROR(AVERAGE(F$13:F131)),"n/a",AVERAGE(F$13:F131))</f>
        <v>117</v>
      </c>
      <c r="H131" s="11">
        <f t="shared" si="27"/>
        <v>117</v>
      </c>
      <c r="J131" s="5"/>
      <c r="K131" s="5"/>
      <c r="L131" s="5"/>
      <c r="M131" s="5"/>
      <c r="N131" s="5"/>
      <c r="O131" s="8" t="str">
        <f t="shared" si="33"/>
        <v>n/a</v>
      </c>
      <c r="Q131" s="5"/>
      <c r="R131" s="5"/>
      <c r="S131" s="5"/>
      <c r="U131" s="6"/>
      <c r="V131" s="9" t="str">
        <f t="shared" si="28"/>
        <v/>
      </c>
      <c r="W131" s="9" t="str">
        <f t="shared" si="29"/>
        <v/>
      </c>
      <c r="X131" s="10">
        <f>SUM(V$13:V131)/COUNTA(B$13:B131)</f>
        <v>5.8823529411764705E-2</v>
      </c>
      <c r="Z131" s="5"/>
      <c r="AA131" s="5"/>
      <c r="AC131" s="7"/>
      <c r="AE131" s="54" t="e">
        <f t="shared" si="30"/>
        <v>#N/A</v>
      </c>
      <c r="AF131" s="4" t="e">
        <f t="shared" si="26"/>
        <v>#N/A</v>
      </c>
    </row>
    <row r="132" spans="2:32">
      <c r="B132" s="5">
        <f t="shared" si="31"/>
        <v>120</v>
      </c>
      <c r="C132" s="5"/>
      <c r="E132" s="13"/>
      <c r="F132" s="5"/>
      <c r="G132" s="11">
        <f>IF(ISERROR(AVERAGE(F$13:F132)),"n/a",AVERAGE(F$13:F132))</f>
        <v>117</v>
      </c>
      <c r="H132" s="11">
        <f t="shared" si="27"/>
        <v>117</v>
      </c>
      <c r="J132" s="5"/>
      <c r="K132" s="5"/>
      <c r="L132" s="5"/>
      <c r="M132" s="5"/>
      <c r="N132" s="5"/>
      <c r="O132" s="8" t="str">
        <f t="shared" si="33"/>
        <v>n/a</v>
      </c>
      <c r="Q132" s="5"/>
      <c r="R132" s="5"/>
      <c r="S132" s="5"/>
      <c r="U132" s="6"/>
      <c r="V132" s="9" t="str">
        <f t="shared" si="28"/>
        <v/>
      </c>
      <c r="W132" s="9" t="str">
        <f t="shared" si="29"/>
        <v/>
      </c>
      <c r="X132" s="10">
        <f>SUM(V$13:V132)/COUNTA(B$13:B132)</f>
        <v>5.8333333333333334E-2</v>
      </c>
      <c r="Z132" s="5"/>
      <c r="AA132" s="5"/>
      <c r="AC132" s="7"/>
      <c r="AE132" s="54" t="e">
        <f t="shared" si="30"/>
        <v>#N/A</v>
      </c>
      <c r="AF132" s="4" t="e">
        <f t="shared" si="26"/>
        <v>#N/A</v>
      </c>
    </row>
    <row r="133" spans="2:32">
      <c r="B133" s="5">
        <f t="shared" si="31"/>
        <v>121</v>
      </c>
      <c r="C133" s="5"/>
      <c r="E133" s="13"/>
      <c r="F133" s="5"/>
      <c r="G133" s="11">
        <f>IF(ISERROR(AVERAGE(F$13:F133)),"n/a",AVERAGE(F$13:F133))</f>
        <v>117</v>
      </c>
      <c r="H133" s="11">
        <f t="shared" si="27"/>
        <v>117</v>
      </c>
      <c r="J133" s="5"/>
      <c r="K133" s="5"/>
      <c r="L133" s="5"/>
      <c r="M133" s="5"/>
      <c r="N133" s="5"/>
      <c r="O133" s="8" t="str">
        <f t="shared" si="33"/>
        <v>n/a</v>
      </c>
      <c r="Q133" s="5"/>
      <c r="R133" s="5"/>
      <c r="S133" s="5"/>
      <c r="U133" s="6"/>
      <c r="V133" s="9" t="str">
        <f t="shared" si="28"/>
        <v/>
      </c>
      <c r="W133" s="9" t="str">
        <f t="shared" si="29"/>
        <v/>
      </c>
      <c r="X133" s="10">
        <f>SUM(V$13:V133)/COUNTA(B$13:B133)</f>
        <v>5.7851239669421489E-2</v>
      </c>
      <c r="Z133" s="5"/>
      <c r="AA133" s="5"/>
      <c r="AC133" s="7"/>
      <c r="AE133" s="54" t="e">
        <f t="shared" si="30"/>
        <v>#N/A</v>
      </c>
      <c r="AF133" s="4" t="e">
        <f t="shared" si="26"/>
        <v>#N/A</v>
      </c>
    </row>
    <row r="134" spans="2:32">
      <c r="B134" s="5">
        <f t="shared" si="31"/>
        <v>122</v>
      </c>
      <c r="C134" s="5"/>
      <c r="E134" s="13"/>
      <c r="F134" s="5"/>
      <c r="G134" s="11">
        <f>IF(ISERROR(AVERAGE(F$13:F134)),"n/a",AVERAGE(F$13:F134))</f>
        <v>117</v>
      </c>
      <c r="H134" s="11">
        <f t="shared" si="27"/>
        <v>117</v>
      </c>
      <c r="J134" s="5"/>
      <c r="K134" s="5"/>
      <c r="L134" s="5"/>
      <c r="M134" s="5"/>
      <c r="N134" s="5"/>
      <c r="O134" s="8" t="str">
        <f t="shared" si="33"/>
        <v>n/a</v>
      </c>
      <c r="Q134" s="5"/>
      <c r="R134" s="5"/>
      <c r="S134" s="5"/>
      <c r="U134" s="6"/>
      <c r="V134" s="9" t="str">
        <f t="shared" si="28"/>
        <v/>
      </c>
      <c r="W134" s="9" t="str">
        <f t="shared" si="29"/>
        <v/>
      </c>
      <c r="X134" s="10">
        <f>SUM(V$13:V134)/COUNTA(B$13:B134)</f>
        <v>5.737704918032787E-2</v>
      </c>
      <c r="Z134" s="5"/>
      <c r="AA134" s="5"/>
      <c r="AC134" s="7"/>
      <c r="AE134" s="54" t="e">
        <f t="shared" si="30"/>
        <v>#N/A</v>
      </c>
      <c r="AF134" s="4" t="e">
        <f t="shared" si="26"/>
        <v>#N/A</v>
      </c>
    </row>
    <row r="135" spans="2:32">
      <c r="B135" s="5">
        <f t="shared" si="31"/>
        <v>123</v>
      </c>
      <c r="C135" s="5"/>
      <c r="E135" s="13"/>
      <c r="F135" s="5"/>
      <c r="G135" s="11">
        <f>IF(ISERROR(AVERAGE(F$13:F135)),"n/a",AVERAGE(F$13:F135))</f>
        <v>117</v>
      </c>
      <c r="H135" s="11">
        <f t="shared" si="27"/>
        <v>117</v>
      </c>
      <c r="J135" s="5"/>
      <c r="K135" s="5"/>
      <c r="L135" s="5"/>
      <c r="M135" s="5"/>
      <c r="N135" s="5"/>
      <c r="O135" s="8" t="str">
        <f t="shared" si="33"/>
        <v>n/a</v>
      </c>
      <c r="Q135" s="5"/>
      <c r="R135" s="5"/>
      <c r="S135" s="5"/>
      <c r="U135" s="6"/>
      <c r="V135" s="9" t="str">
        <f t="shared" si="28"/>
        <v/>
      </c>
      <c r="W135" s="9" t="str">
        <f t="shared" si="29"/>
        <v/>
      </c>
      <c r="X135" s="10">
        <f>SUM(V$13:V135)/COUNTA(B$13:B135)</f>
        <v>5.6910569105691054E-2</v>
      </c>
      <c r="Z135" s="5"/>
      <c r="AA135" s="5"/>
      <c r="AC135" s="7"/>
      <c r="AE135" s="54" t="e">
        <f t="shared" si="30"/>
        <v>#N/A</v>
      </c>
      <c r="AF135" s="4" t="e">
        <f t="shared" si="26"/>
        <v>#N/A</v>
      </c>
    </row>
    <row r="136" spans="2:32">
      <c r="B136" s="5">
        <f t="shared" si="31"/>
        <v>124</v>
      </c>
      <c r="C136" s="5"/>
      <c r="E136" s="13"/>
      <c r="F136" s="5"/>
      <c r="G136" s="11">
        <f>IF(ISERROR(AVERAGE(F$13:F136)),"n/a",AVERAGE(F$13:F136))</f>
        <v>117</v>
      </c>
      <c r="H136" s="11">
        <f t="shared" si="27"/>
        <v>117</v>
      </c>
      <c r="J136" s="5"/>
      <c r="K136" s="5"/>
      <c r="L136" s="5"/>
      <c r="M136" s="5"/>
      <c r="N136" s="5"/>
      <c r="O136" s="8" t="str">
        <f t="shared" si="33"/>
        <v>n/a</v>
      </c>
      <c r="Q136" s="5"/>
      <c r="R136" s="5"/>
      <c r="S136" s="5"/>
      <c r="U136" s="6"/>
      <c r="V136" s="9" t="str">
        <f t="shared" si="28"/>
        <v/>
      </c>
      <c r="W136" s="9" t="str">
        <f t="shared" si="29"/>
        <v/>
      </c>
      <c r="X136" s="10">
        <f>SUM(V$13:V136)/COUNTA(B$13:B136)</f>
        <v>5.6451612903225805E-2</v>
      </c>
      <c r="Z136" s="5"/>
      <c r="AA136" s="5"/>
      <c r="AC136" s="7"/>
      <c r="AE136" s="54" t="e">
        <f t="shared" si="30"/>
        <v>#N/A</v>
      </c>
      <c r="AF136" s="4" t="e">
        <f t="shared" si="26"/>
        <v>#N/A</v>
      </c>
    </row>
    <row r="137" spans="2:32">
      <c r="B137" s="5">
        <f t="shared" si="31"/>
        <v>125</v>
      </c>
      <c r="C137" s="5"/>
      <c r="E137" s="13"/>
      <c r="F137" s="5"/>
      <c r="G137" s="11">
        <f>IF(ISERROR(AVERAGE(F$13:F137)),"n/a",AVERAGE(F$13:F137))</f>
        <v>117</v>
      </c>
      <c r="H137" s="11">
        <f t="shared" si="27"/>
        <v>117</v>
      </c>
      <c r="J137" s="5"/>
      <c r="K137" s="5"/>
      <c r="L137" s="5"/>
      <c r="M137" s="5"/>
      <c r="N137" s="5"/>
      <c r="O137" s="8" t="str">
        <f t="shared" si="33"/>
        <v>n/a</v>
      </c>
      <c r="Q137" s="5"/>
      <c r="R137" s="5"/>
      <c r="S137" s="5"/>
      <c r="U137" s="6"/>
      <c r="V137" s="9" t="str">
        <f t="shared" si="28"/>
        <v/>
      </c>
      <c r="W137" s="9" t="str">
        <f t="shared" si="29"/>
        <v/>
      </c>
      <c r="X137" s="10">
        <f>SUM(V$13:V137)/COUNTA(B$13:B137)</f>
        <v>5.6000000000000001E-2</v>
      </c>
      <c r="Z137" s="5"/>
      <c r="AA137" s="5"/>
      <c r="AC137" s="7"/>
      <c r="AE137" s="54" t="e">
        <f t="shared" si="30"/>
        <v>#N/A</v>
      </c>
      <c r="AF137" s="4" t="e">
        <f t="shared" si="26"/>
        <v>#N/A</v>
      </c>
    </row>
    <row r="138" spans="2:32">
      <c r="B138" s="5">
        <f t="shared" si="31"/>
        <v>126</v>
      </c>
      <c r="C138" s="5"/>
      <c r="E138" s="13"/>
      <c r="F138" s="5"/>
      <c r="G138" s="11">
        <f>IF(ISERROR(AVERAGE(F$13:F138)),"n/a",AVERAGE(F$13:F138))</f>
        <v>117</v>
      </c>
      <c r="H138" s="11">
        <f t="shared" si="27"/>
        <v>117</v>
      </c>
      <c r="J138" s="5"/>
      <c r="K138" s="5"/>
      <c r="L138" s="5"/>
      <c r="M138" s="5"/>
      <c r="N138" s="5"/>
      <c r="O138" s="8" t="str">
        <f t="shared" si="33"/>
        <v>n/a</v>
      </c>
      <c r="Q138" s="5"/>
      <c r="R138" s="5"/>
      <c r="S138" s="5"/>
      <c r="U138" s="6"/>
      <c r="V138" s="9" t="str">
        <f t="shared" si="28"/>
        <v/>
      </c>
      <c r="W138" s="9" t="str">
        <f t="shared" si="29"/>
        <v/>
      </c>
      <c r="X138" s="10">
        <f>SUM(V$13:V138)/COUNTA(B$13:B138)</f>
        <v>5.5555555555555552E-2</v>
      </c>
      <c r="Z138" s="5"/>
      <c r="AA138" s="5"/>
      <c r="AC138" s="7"/>
      <c r="AE138" s="54" t="e">
        <f t="shared" si="30"/>
        <v>#N/A</v>
      </c>
      <c r="AF138" s="4" t="e">
        <f t="shared" si="26"/>
        <v>#N/A</v>
      </c>
    </row>
    <row r="139" spans="2:32">
      <c r="B139" s="5">
        <f t="shared" si="31"/>
        <v>127</v>
      </c>
      <c r="C139" s="5"/>
      <c r="E139" s="13"/>
      <c r="F139" s="5"/>
      <c r="G139" s="11">
        <f>IF(ISERROR(AVERAGE(F$13:F139)),"n/a",AVERAGE(F$13:F139))</f>
        <v>117</v>
      </c>
      <c r="H139" s="11">
        <f t="shared" si="27"/>
        <v>117</v>
      </c>
      <c r="J139" s="5"/>
      <c r="K139" s="5"/>
      <c r="L139" s="5"/>
      <c r="M139" s="5"/>
      <c r="N139" s="5"/>
      <c r="O139" s="8" t="str">
        <f t="shared" si="33"/>
        <v>n/a</v>
      </c>
      <c r="Q139" s="5"/>
      <c r="R139" s="5"/>
      <c r="S139" s="5"/>
      <c r="U139" s="6"/>
      <c r="V139" s="9" t="str">
        <f t="shared" si="28"/>
        <v/>
      </c>
      <c r="W139" s="9" t="str">
        <f t="shared" si="29"/>
        <v/>
      </c>
      <c r="X139" s="10">
        <f>SUM(V$13:V139)/COUNTA(B$13:B139)</f>
        <v>5.5118110236220472E-2</v>
      </c>
      <c r="Z139" s="5"/>
      <c r="AA139" s="5"/>
      <c r="AC139" s="7"/>
      <c r="AE139" s="54" t="e">
        <f t="shared" si="30"/>
        <v>#N/A</v>
      </c>
      <c r="AF139" s="4" t="e">
        <f t="shared" si="26"/>
        <v>#N/A</v>
      </c>
    </row>
    <row r="140" spans="2:32">
      <c r="B140" s="5">
        <f t="shared" si="31"/>
        <v>128</v>
      </c>
      <c r="C140" s="5"/>
      <c r="E140" s="13"/>
      <c r="F140" s="5"/>
      <c r="G140" s="11">
        <f>IF(ISERROR(AVERAGE(F$13:F140)),"n/a",AVERAGE(F$13:F140))</f>
        <v>117</v>
      </c>
      <c r="H140" s="11">
        <f t="shared" si="27"/>
        <v>117</v>
      </c>
      <c r="J140" s="5"/>
      <c r="K140" s="5"/>
      <c r="L140" s="5"/>
      <c r="M140" s="5"/>
      <c r="N140" s="5"/>
      <c r="O140" s="8" t="str">
        <f t="shared" si="33"/>
        <v>n/a</v>
      </c>
      <c r="Q140" s="5"/>
      <c r="R140" s="5"/>
      <c r="S140" s="5"/>
      <c r="U140" s="6"/>
      <c r="V140" s="9" t="str">
        <f t="shared" si="28"/>
        <v/>
      </c>
      <c r="W140" s="9" t="str">
        <f t="shared" si="29"/>
        <v/>
      </c>
      <c r="X140" s="10">
        <f>SUM(V$13:V140)/COUNTA(B$13:B140)</f>
        <v>5.46875E-2</v>
      </c>
      <c r="Z140" s="5"/>
      <c r="AA140" s="5"/>
      <c r="AC140" s="7"/>
      <c r="AE140" s="54" t="e">
        <f t="shared" si="30"/>
        <v>#N/A</v>
      </c>
      <c r="AF140" s="4" t="e">
        <f t="shared" si="26"/>
        <v>#N/A</v>
      </c>
    </row>
    <row r="141" spans="2:32">
      <c r="B141" s="5">
        <f t="shared" si="31"/>
        <v>129</v>
      </c>
      <c r="C141" s="5"/>
      <c r="E141" s="13"/>
      <c r="F141" s="5"/>
      <c r="G141" s="11">
        <f>IF(ISERROR(AVERAGE(F$13:F141)),"n/a",AVERAGE(F$13:F141))</f>
        <v>117</v>
      </c>
      <c r="H141" s="11">
        <f t="shared" si="27"/>
        <v>117</v>
      </c>
      <c r="J141" s="5"/>
      <c r="K141" s="5"/>
      <c r="L141" s="5"/>
      <c r="M141" s="5"/>
      <c r="N141" s="5"/>
      <c r="O141" s="8" t="str">
        <f t="shared" si="33"/>
        <v>n/a</v>
      </c>
      <c r="Q141" s="5"/>
      <c r="R141" s="5"/>
      <c r="S141" s="5"/>
      <c r="U141" s="6"/>
      <c r="V141" s="9" t="str">
        <f t="shared" si="28"/>
        <v/>
      </c>
      <c r="W141" s="9" t="str">
        <f t="shared" si="29"/>
        <v/>
      </c>
      <c r="X141" s="10">
        <f>SUM(V$13:V141)/COUNTA(B$13:B141)</f>
        <v>5.4263565891472867E-2</v>
      </c>
      <c r="Z141" s="5"/>
      <c r="AA141" s="5"/>
      <c r="AC141" s="7"/>
      <c r="AE141" s="54" t="e">
        <f t="shared" si="30"/>
        <v>#N/A</v>
      </c>
      <c r="AF141" s="4" t="e">
        <f t="shared" ref="AF141:AF204" si="34">HLOOKUP(C141,$K$6:$O$7,2,FALSE)</f>
        <v>#N/A</v>
      </c>
    </row>
    <row r="142" spans="2:32">
      <c r="B142" s="5">
        <f t="shared" si="31"/>
        <v>130</v>
      </c>
      <c r="C142" s="5"/>
      <c r="E142" s="13"/>
      <c r="F142" s="5"/>
      <c r="G142" s="11">
        <f>IF(ISERROR(AVERAGE(F$13:F142)),"n/a",AVERAGE(F$13:F142))</f>
        <v>117</v>
      </c>
      <c r="H142" s="11">
        <f t="shared" ref="H142:H205" si="35">G142</f>
        <v>117</v>
      </c>
      <c r="J142" s="5"/>
      <c r="K142" s="5"/>
      <c r="L142" s="5"/>
      <c r="M142" s="5"/>
      <c r="N142" s="5"/>
      <c r="O142" s="8" t="str">
        <f t="shared" si="33"/>
        <v>n/a</v>
      </c>
      <c r="Q142" s="5"/>
      <c r="R142" s="5"/>
      <c r="S142" s="5"/>
      <c r="U142" s="6"/>
      <c r="V142" s="9" t="str">
        <f t="shared" ref="V142:V205" si="36">IF(O142="n/a","",IF(O142=U142,1,""))</f>
        <v/>
      </c>
      <c r="W142" s="9" t="str">
        <f t="shared" ref="W142:W205" si="37">IF(O142="n/a","",IF(O142&lt;&gt;U142,1,""))</f>
        <v/>
      </c>
      <c r="X142" s="10">
        <f>SUM(V$13:V142)/COUNTA(B$13:B142)</f>
        <v>5.3846153846153849E-2</v>
      </c>
      <c r="Z142" s="5"/>
      <c r="AA142" s="5"/>
      <c r="AC142" s="7"/>
      <c r="AE142" s="54" t="e">
        <f t="shared" ref="AE142:AE205" si="38">+IF($F$4=0,0,IF(W142=1,1,IF(OR(R142*$F$8=1,S142*$F$9=1,F142&gt;=AF142),2,0)))</f>
        <v>#N/A</v>
      </c>
      <c r="AF142" s="4" t="e">
        <f t="shared" si="34"/>
        <v>#N/A</v>
      </c>
    </row>
    <row r="143" spans="2:32">
      <c r="B143" s="5">
        <f t="shared" si="31"/>
        <v>131</v>
      </c>
      <c r="C143" s="5"/>
      <c r="E143" s="13"/>
      <c r="F143" s="5"/>
      <c r="G143" s="11">
        <f>IF(ISERROR(AVERAGE(F$13:F143)),"n/a",AVERAGE(F$13:F143))</f>
        <v>117</v>
      </c>
      <c r="H143" s="11">
        <f t="shared" si="35"/>
        <v>117</v>
      </c>
      <c r="J143" s="5"/>
      <c r="K143" s="5"/>
      <c r="L143" s="5"/>
      <c r="M143" s="5"/>
      <c r="N143" s="5"/>
      <c r="O143" s="8" t="str">
        <f t="shared" si="33"/>
        <v>n/a</v>
      </c>
      <c r="Q143" s="5"/>
      <c r="R143" s="5"/>
      <c r="S143" s="5"/>
      <c r="U143" s="6"/>
      <c r="V143" s="9" t="str">
        <f t="shared" si="36"/>
        <v/>
      </c>
      <c r="W143" s="9" t="str">
        <f t="shared" si="37"/>
        <v/>
      </c>
      <c r="X143" s="10">
        <f>SUM(V$13:V143)/COUNTA(B$13:B143)</f>
        <v>5.3435114503816793E-2</v>
      </c>
      <c r="Z143" s="5"/>
      <c r="AA143" s="5"/>
      <c r="AC143" s="7"/>
      <c r="AE143" s="54" t="e">
        <f t="shared" si="38"/>
        <v>#N/A</v>
      </c>
      <c r="AF143" s="4" t="e">
        <f t="shared" si="34"/>
        <v>#N/A</v>
      </c>
    </row>
    <row r="144" spans="2:32">
      <c r="B144" s="5">
        <f t="shared" si="31"/>
        <v>132</v>
      </c>
      <c r="C144" s="5"/>
      <c r="E144" s="13"/>
      <c r="F144" s="5"/>
      <c r="G144" s="11">
        <f>IF(ISERROR(AVERAGE(F$13:F144)),"n/a",AVERAGE(F$13:F144))</f>
        <v>117</v>
      </c>
      <c r="H144" s="11">
        <f t="shared" si="35"/>
        <v>117</v>
      </c>
      <c r="J144" s="5"/>
      <c r="K144" s="5"/>
      <c r="L144" s="5"/>
      <c r="M144" s="5"/>
      <c r="N144" s="5"/>
      <c r="O144" s="8" t="str">
        <f t="shared" si="33"/>
        <v>n/a</v>
      </c>
      <c r="Q144" s="5"/>
      <c r="R144" s="5"/>
      <c r="S144" s="5"/>
      <c r="U144" s="6"/>
      <c r="V144" s="9" t="str">
        <f t="shared" si="36"/>
        <v/>
      </c>
      <c r="W144" s="9" t="str">
        <f t="shared" si="37"/>
        <v/>
      </c>
      <c r="X144" s="10">
        <f>SUM(V$13:V144)/COUNTA(B$13:B144)</f>
        <v>5.3030303030303032E-2</v>
      </c>
      <c r="Z144" s="5"/>
      <c r="AA144" s="5"/>
      <c r="AC144" s="7"/>
      <c r="AE144" s="54" t="e">
        <f t="shared" si="38"/>
        <v>#N/A</v>
      </c>
      <c r="AF144" s="4" t="e">
        <f t="shared" si="34"/>
        <v>#N/A</v>
      </c>
    </row>
    <row r="145" spans="2:32">
      <c r="B145" s="5">
        <f t="shared" si="31"/>
        <v>133</v>
      </c>
      <c r="C145" s="5"/>
      <c r="E145" s="13"/>
      <c r="F145" s="5"/>
      <c r="G145" s="11">
        <f>IF(ISERROR(AVERAGE(F$13:F145)),"n/a",AVERAGE(F$13:F145))</f>
        <v>117</v>
      </c>
      <c r="H145" s="11">
        <f t="shared" si="35"/>
        <v>117</v>
      </c>
      <c r="J145" s="5"/>
      <c r="K145" s="5"/>
      <c r="L145" s="5"/>
      <c r="M145" s="5"/>
      <c r="N145" s="5"/>
      <c r="O145" s="8" t="str">
        <f t="shared" si="33"/>
        <v>n/a</v>
      </c>
      <c r="Q145" s="5"/>
      <c r="R145" s="5"/>
      <c r="S145" s="5"/>
      <c r="U145" s="6"/>
      <c r="V145" s="9" t="str">
        <f t="shared" si="36"/>
        <v/>
      </c>
      <c r="W145" s="9" t="str">
        <f t="shared" si="37"/>
        <v/>
      </c>
      <c r="X145" s="10">
        <f>SUM(V$13:V145)/COUNTA(B$13:B145)</f>
        <v>5.2631578947368418E-2</v>
      </c>
      <c r="Z145" s="5"/>
      <c r="AA145" s="5"/>
      <c r="AC145" s="7"/>
      <c r="AE145" s="54" t="e">
        <f t="shared" si="38"/>
        <v>#N/A</v>
      </c>
      <c r="AF145" s="4" t="e">
        <f t="shared" si="34"/>
        <v>#N/A</v>
      </c>
    </row>
    <row r="146" spans="2:32">
      <c r="B146" s="5">
        <f t="shared" si="31"/>
        <v>134</v>
      </c>
      <c r="C146" s="5"/>
      <c r="E146" s="13"/>
      <c r="F146" s="5"/>
      <c r="G146" s="11">
        <f>IF(ISERROR(AVERAGE(F$13:F146)),"n/a",AVERAGE(F$13:F146))</f>
        <v>117</v>
      </c>
      <c r="H146" s="11">
        <f t="shared" si="35"/>
        <v>117</v>
      </c>
      <c r="J146" s="5"/>
      <c r="K146" s="5"/>
      <c r="L146" s="5"/>
      <c r="M146" s="5"/>
      <c r="N146" s="5"/>
      <c r="O146" s="8" t="str">
        <f t="shared" si="33"/>
        <v>n/a</v>
      </c>
      <c r="Q146" s="5"/>
      <c r="R146" s="5"/>
      <c r="S146" s="5"/>
      <c r="U146" s="6"/>
      <c r="V146" s="9" t="str">
        <f t="shared" si="36"/>
        <v/>
      </c>
      <c r="W146" s="9" t="str">
        <f t="shared" si="37"/>
        <v/>
      </c>
      <c r="X146" s="10">
        <f>SUM(V$13:V146)/COUNTA(B$13:B146)</f>
        <v>5.2238805970149252E-2</v>
      </c>
      <c r="Z146" s="5"/>
      <c r="AA146" s="5"/>
      <c r="AC146" s="7"/>
      <c r="AE146" s="54" t="e">
        <f t="shared" si="38"/>
        <v>#N/A</v>
      </c>
      <c r="AF146" s="4" t="e">
        <f t="shared" si="34"/>
        <v>#N/A</v>
      </c>
    </row>
    <row r="147" spans="2:32">
      <c r="B147" s="5">
        <f t="shared" ref="B147:B210" si="39">+B146+1</f>
        <v>135</v>
      </c>
      <c r="C147" s="5"/>
      <c r="E147" s="13"/>
      <c r="F147" s="5"/>
      <c r="G147" s="11">
        <f>IF(ISERROR(AVERAGE(F$13:F147)),"n/a",AVERAGE(F$13:F147))</f>
        <v>117</v>
      </c>
      <c r="H147" s="11">
        <f t="shared" si="35"/>
        <v>117</v>
      </c>
      <c r="J147" s="5"/>
      <c r="K147" s="5"/>
      <c r="L147" s="5"/>
      <c r="M147" s="5"/>
      <c r="N147" s="5"/>
      <c r="O147" s="8" t="str">
        <f t="shared" si="33"/>
        <v>n/a</v>
      </c>
      <c r="Q147" s="5"/>
      <c r="R147" s="5"/>
      <c r="S147" s="5"/>
      <c r="U147" s="6"/>
      <c r="V147" s="9" t="str">
        <f t="shared" si="36"/>
        <v/>
      </c>
      <c r="W147" s="9" t="str">
        <f t="shared" si="37"/>
        <v/>
      </c>
      <c r="X147" s="10">
        <f>SUM(V$13:V147)/COUNTA(B$13:B147)</f>
        <v>5.185185185185185E-2</v>
      </c>
      <c r="Z147" s="5"/>
      <c r="AA147" s="5"/>
      <c r="AC147" s="7"/>
      <c r="AE147" s="54" t="e">
        <f t="shared" si="38"/>
        <v>#N/A</v>
      </c>
      <c r="AF147" s="4" t="e">
        <f t="shared" si="34"/>
        <v>#N/A</v>
      </c>
    </row>
    <row r="148" spans="2:32">
      <c r="B148" s="5">
        <f t="shared" si="39"/>
        <v>136</v>
      </c>
      <c r="C148" s="5"/>
      <c r="E148" s="13"/>
      <c r="F148" s="5"/>
      <c r="G148" s="11">
        <f>IF(ISERROR(AVERAGE(F$13:F148)),"n/a",AVERAGE(F$13:F148))</f>
        <v>117</v>
      </c>
      <c r="H148" s="11">
        <f t="shared" si="35"/>
        <v>117</v>
      </c>
      <c r="J148" s="5"/>
      <c r="K148" s="5"/>
      <c r="L148" s="5"/>
      <c r="M148" s="5"/>
      <c r="N148" s="5"/>
      <c r="O148" s="8" t="str">
        <f t="shared" si="33"/>
        <v>n/a</v>
      </c>
      <c r="Q148" s="5"/>
      <c r="R148" s="5"/>
      <c r="S148" s="5"/>
      <c r="U148" s="6"/>
      <c r="V148" s="9" t="str">
        <f t="shared" si="36"/>
        <v/>
      </c>
      <c r="W148" s="9" t="str">
        <f t="shared" si="37"/>
        <v/>
      </c>
      <c r="X148" s="10">
        <f>SUM(V$13:V148)/COUNTA(B$13:B148)</f>
        <v>5.1470588235294115E-2</v>
      </c>
      <c r="Z148" s="5"/>
      <c r="AA148" s="5"/>
      <c r="AC148" s="7"/>
      <c r="AE148" s="54" t="e">
        <f t="shared" si="38"/>
        <v>#N/A</v>
      </c>
      <c r="AF148" s="4" t="e">
        <f t="shared" si="34"/>
        <v>#N/A</v>
      </c>
    </row>
    <row r="149" spans="2:32">
      <c r="B149" s="5">
        <f t="shared" si="39"/>
        <v>137</v>
      </c>
      <c r="C149" s="5"/>
      <c r="E149" s="13"/>
      <c r="F149" s="5"/>
      <c r="G149" s="11">
        <f>IF(ISERROR(AVERAGE(F$13:F149)),"n/a",AVERAGE(F$13:F149))</f>
        <v>117</v>
      </c>
      <c r="H149" s="11">
        <f t="shared" si="35"/>
        <v>117</v>
      </c>
      <c r="J149" s="5"/>
      <c r="K149" s="5"/>
      <c r="L149" s="5"/>
      <c r="M149" s="5"/>
      <c r="N149" s="5"/>
      <c r="O149" s="8" t="str">
        <f t="shared" si="33"/>
        <v>n/a</v>
      </c>
      <c r="Q149" s="5"/>
      <c r="R149" s="5"/>
      <c r="S149" s="5"/>
      <c r="U149" s="6"/>
      <c r="V149" s="9" t="str">
        <f t="shared" si="36"/>
        <v/>
      </c>
      <c r="W149" s="9" t="str">
        <f t="shared" si="37"/>
        <v/>
      </c>
      <c r="X149" s="10">
        <f>SUM(V$13:V149)/COUNTA(B$13:B149)</f>
        <v>5.1094890510948905E-2</v>
      </c>
      <c r="Z149" s="5"/>
      <c r="AA149" s="5"/>
      <c r="AC149" s="7"/>
      <c r="AE149" s="54" t="e">
        <f t="shared" si="38"/>
        <v>#N/A</v>
      </c>
      <c r="AF149" s="4" t="e">
        <f t="shared" si="34"/>
        <v>#N/A</v>
      </c>
    </row>
    <row r="150" spans="2:32">
      <c r="B150" s="5">
        <f t="shared" si="39"/>
        <v>138</v>
      </c>
      <c r="C150" s="5"/>
      <c r="E150" s="13"/>
      <c r="F150" s="5"/>
      <c r="G150" s="11">
        <f>IF(ISERROR(AVERAGE(F$13:F150)),"n/a",AVERAGE(F$13:F150))</f>
        <v>117</v>
      </c>
      <c r="H150" s="11">
        <f t="shared" si="35"/>
        <v>117</v>
      </c>
      <c r="J150" s="5"/>
      <c r="K150" s="5"/>
      <c r="L150" s="5"/>
      <c r="M150" s="5"/>
      <c r="N150" s="5"/>
      <c r="O150" s="8" t="str">
        <f t="shared" si="33"/>
        <v>n/a</v>
      </c>
      <c r="Q150" s="5"/>
      <c r="R150" s="5"/>
      <c r="S150" s="5"/>
      <c r="U150" s="6"/>
      <c r="V150" s="9" t="str">
        <f t="shared" si="36"/>
        <v/>
      </c>
      <c r="W150" s="9" t="str">
        <f t="shared" si="37"/>
        <v/>
      </c>
      <c r="X150" s="10">
        <f>SUM(V$13:V150)/COUNTA(B$13:B150)</f>
        <v>5.0724637681159424E-2</v>
      </c>
      <c r="Z150" s="5"/>
      <c r="AA150" s="5"/>
      <c r="AC150" s="7"/>
      <c r="AE150" s="54" t="e">
        <f t="shared" si="38"/>
        <v>#N/A</v>
      </c>
      <c r="AF150" s="4" t="e">
        <f t="shared" si="34"/>
        <v>#N/A</v>
      </c>
    </row>
    <row r="151" spans="2:32">
      <c r="B151" s="5">
        <f t="shared" si="39"/>
        <v>139</v>
      </c>
      <c r="C151" s="5"/>
      <c r="E151" s="13"/>
      <c r="F151" s="5"/>
      <c r="G151" s="11">
        <f>IF(ISERROR(AVERAGE(F$13:F151)),"n/a",AVERAGE(F$13:F151))</f>
        <v>117</v>
      </c>
      <c r="H151" s="11">
        <f t="shared" si="35"/>
        <v>117</v>
      </c>
      <c r="J151" s="5"/>
      <c r="K151" s="5"/>
      <c r="L151" s="5"/>
      <c r="M151" s="5"/>
      <c r="N151" s="5"/>
      <c r="O151" s="8" t="str">
        <f t="shared" si="33"/>
        <v>n/a</v>
      </c>
      <c r="Q151" s="5"/>
      <c r="R151" s="5"/>
      <c r="S151" s="5"/>
      <c r="U151" s="6"/>
      <c r="V151" s="9" t="str">
        <f t="shared" si="36"/>
        <v/>
      </c>
      <c r="W151" s="9" t="str">
        <f t="shared" si="37"/>
        <v/>
      </c>
      <c r="X151" s="10">
        <f>SUM(V$13:V151)/COUNTA(B$13:B151)</f>
        <v>5.0359712230215826E-2</v>
      </c>
      <c r="Z151" s="5"/>
      <c r="AA151" s="5"/>
      <c r="AC151" s="7"/>
      <c r="AE151" s="54" t="e">
        <f t="shared" si="38"/>
        <v>#N/A</v>
      </c>
      <c r="AF151" s="4" t="e">
        <f t="shared" si="34"/>
        <v>#N/A</v>
      </c>
    </row>
    <row r="152" spans="2:32">
      <c r="B152" s="5">
        <f t="shared" si="39"/>
        <v>140</v>
      </c>
      <c r="C152" s="5"/>
      <c r="E152" s="13"/>
      <c r="F152" s="5"/>
      <c r="G152" s="11">
        <f>IF(ISERROR(AVERAGE(F$13:F152)),"n/a",AVERAGE(F$13:F152))</f>
        <v>117</v>
      </c>
      <c r="H152" s="11">
        <f t="shared" si="35"/>
        <v>117</v>
      </c>
      <c r="J152" s="5"/>
      <c r="K152" s="5"/>
      <c r="L152" s="5"/>
      <c r="M152" s="5"/>
      <c r="N152" s="5"/>
      <c r="O152" s="8" t="str">
        <f t="shared" si="33"/>
        <v>n/a</v>
      </c>
      <c r="Q152" s="5"/>
      <c r="R152" s="5"/>
      <c r="S152" s="5"/>
      <c r="U152" s="6"/>
      <c r="V152" s="9" t="str">
        <f t="shared" si="36"/>
        <v/>
      </c>
      <c r="W152" s="9" t="str">
        <f t="shared" si="37"/>
        <v/>
      </c>
      <c r="X152" s="10">
        <f>SUM(V$13:V152)/COUNTA(B$13:B152)</f>
        <v>0.05</v>
      </c>
      <c r="Z152" s="5"/>
      <c r="AA152" s="5"/>
      <c r="AC152" s="7"/>
      <c r="AE152" s="54" t="e">
        <f t="shared" si="38"/>
        <v>#N/A</v>
      </c>
      <c r="AF152" s="4" t="e">
        <f t="shared" si="34"/>
        <v>#N/A</v>
      </c>
    </row>
    <row r="153" spans="2:32">
      <c r="B153" s="5">
        <f t="shared" si="39"/>
        <v>141</v>
      </c>
      <c r="C153" s="5"/>
      <c r="E153" s="13"/>
      <c r="F153" s="5"/>
      <c r="G153" s="11">
        <f>IF(ISERROR(AVERAGE(F$13:F153)),"n/a",AVERAGE(F$13:F153))</f>
        <v>117</v>
      </c>
      <c r="H153" s="11">
        <f t="shared" si="35"/>
        <v>117</v>
      </c>
      <c r="J153" s="5"/>
      <c r="K153" s="5"/>
      <c r="L153" s="5"/>
      <c r="M153" s="5"/>
      <c r="N153" s="5"/>
      <c r="O153" s="8" t="str">
        <f t="shared" si="33"/>
        <v>n/a</v>
      </c>
      <c r="Q153" s="5"/>
      <c r="R153" s="5"/>
      <c r="S153" s="5"/>
      <c r="U153" s="6"/>
      <c r="V153" s="9" t="str">
        <f t="shared" si="36"/>
        <v/>
      </c>
      <c r="W153" s="9" t="str">
        <f t="shared" si="37"/>
        <v/>
      </c>
      <c r="X153" s="10">
        <f>SUM(V$13:V153)/COUNTA(B$13:B153)</f>
        <v>4.9645390070921988E-2</v>
      </c>
      <c r="Z153" s="5"/>
      <c r="AA153" s="5"/>
      <c r="AC153" s="7"/>
      <c r="AE153" s="54" t="e">
        <f t="shared" si="38"/>
        <v>#N/A</v>
      </c>
      <c r="AF153" s="4" t="e">
        <f t="shared" si="34"/>
        <v>#N/A</v>
      </c>
    </row>
    <row r="154" spans="2:32">
      <c r="B154" s="5">
        <f t="shared" si="39"/>
        <v>142</v>
      </c>
      <c r="C154" s="5"/>
      <c r="E154" s="13"/>
      <c r="F154" s="5"/>
      <c r="G154" s="11">
        <f>IF(ISERROR(AVERAGE(F$13:F154)),"n/a",AVERAGE(F$13:F154))</f>
        <v>117</v>
      </c>
      <c r="H154" s="11">
        <f t="shared" si="35"/>
        <v>117</v>
      </c>
      <c r="J154" s="5"/>
      <c r="K154" s="5"/>
      <c r="L154" s="5"/>
      <c r="M154" s="5"/>
      <c r="N154" s="5"/>
      <c r="O154" s="8" t="str">
        <f t="shared" si="33"/>
        <v>n/a</v>
      </c>
      <c r="Q154" s="5"/>
      <c r="R154" s="5"/>
      <c r="S154" s="5"/>
      <c r="U154" s="6"/>
      <c r="V154" s="9" t="str">
        <f t="shared" si="36"/>
        <v/>
      </c>
      <c r="W154" s="9" t="str">
        <f t="shared" si="37"/>
        <v/>
      </c>
      <c r="X154" s="10">
        <f>SUM(V$13:V154)/COUNTA(B$13:B154)</f>
        <v>4.9295774647887321E-2</v>
      </c>
      <c r="Z154" s="5"/>
      <c r="AA154" s="5"/>
      <c r="AC154" s="7"/>
      <c r="AE154" s="54" t="e">
        <f t="shared" si="38"/>
        <v>#N/A</v>
      </c>
      <c r="AF154" s="4" t="e">
        <f t="shared" si="34"/>
        <v>#N/A</v>
      </c>
    </row>
    <row r="155" spans="2:32">
      <c r="B155" s="5">
        <f t="shared" si="39"/>
        <v>143</v>
      </c>
      <c r="C155" s="5"/>
      <c r="E155" s="13"/>
      <c r="F155" s="5"/>
      <c r="G155" s="11">
        <f>IF(ISERROR(AVERAGE(F$13:F155)),"n/a",AVERAGE(F$13:F155))</f>
        <v>117</v>
      </c>
      <c r="H155" s="11">
        <f t="shared" si="35"/>
        <v>117</v>
      </c>
      <c r="J155" s="5"/>
      <c r="K155" s="5"/>
      <c r="L155" s="5"/>
      <c r="M155" s="5"/>
      <c r="N155" s="5"/>
      <c r="O155" s="8" t="str">
        <f t="shared" si="33"/>
        <v>n/a</v>
      </c>
      <c r="Q155" s="5"/>
      <c r="R155" s="5"/>
      <c r="S155" s="5"/>
      <c r="U155" s="6"/>
      <c r="V155" s="9" t="str">
        <f t="shared" si="36"/>
        <v/>
      </c>
      <c r="W155" s="9" t="str">
        <f t="shared" si="37"/>
        <v/>
      </c>
      <c r="X155" s="10">
        <f>SUM(V$13:V155)/COUNTA(B$13:B155)</f>
        <v>4.8951048951048952E-2</v>
      </c>
      <c r="Z155" s="5"/>
      <c r="AA155" s="5"/>
      <c r="AC155" s="7"/>
      <c r="AE155" s="54" t="e">
        <f t="shared" si="38"/>
        <v>#N/A</v>
      </c>
      <c r="AF155" s="4" t="e">
        <f t="shared" si="34"/>
        <v>#N/A</v>
      </c>
    </row>
    <row r="156" spans="2:32">
      <c r="B156" s="5">
        <f t="shared" si="39"/>
        <v>144</v>
      </c>
      <c r="C156" s="5"/>
      <c r="E156" s="13"/>
      <c r="F156" s="5"/>
      <c r="G156" s="11">
        <f>IF(ISERROR(AVERAGE(F$13:F156)),"n/a",AVERAGE(F$13:F156))</f>
        <v>117</v>
      </c>
      <c r="H156" s="11">
        <f t="shared" si="35"/>
        <v>117</v>
      </c>
      <c r="J156" s="5"/>
      <c r="K156" s="5"/>
      <c r="L156" s="5"/>
      <c r="M156" s="5"/>
      <c r="N156" s="5"/>
      <c r="O156" s="8" t="str">
        <f t="shared" si="33"/>
        <v>n/a</v>
      </c>
      <c r="Q156" s="5"/>
      <c r="R156" s="5"/>
      <c r="S156" s="5"/>
      <c r="U156" s="6"/>
      <c r="V156" s="9" t="str">
        <f t="shared" si="36"/>
        <v/>
      </c>
      <c r="W156" s="9" t="str">
        <f t="shared" si="37"/>
        <v/>
      </c>
      <c r="X156" s="10">
        <f>SUM(V$13:V156)/COUNTA(B$13:B156)</f>
        <v>4.8611111111111112E-2</v>
      </c>
      <c r="Z156" s="5"/>
      <c r="AA156" s="5"/>
      <c r="AC156" s="7"/>
      <c r="AE156" s="54" t="e">
        <f t="shared" si="38"/>
        <v>#N/A</v>
      </c>
      <c r="AF156" s="4" t="e">
        <f t="shared" si="34"/>
        <v>#N/A</v>
      </c>
    </row>
    <row r="157" spans="2:32">
      <c r="B157" s="5">
        <f t="shared" si="39"/>
        <v>145</v>
      </c>
      <c r="C157" s="5"/>
      <c r="E157" s="13"/>
      <c r="F157" s="5"/>
      <c r="G157" s="11">
        <f>IF(ISERROR(AVERAGE(F$13:F157)),"n/a",AVERAGE(F$13:F157))</f>
        <v>117</v>
      </c>
      <c r="H157" s="11">
        <f t="shared" si="35"/>
        <v>117</v>
      </c>
      <c r="J157" s="5"/>
      <c r="K157" s="5"/>
      <c r="L157" s="5"/>
      <c r="M157" s="5"/>
      <c r="N157" s="5"/>
      <c r="O157" s="8" t="str">
        <f t="shared" si="33"/>
        <v>n/a</v>
      </c>
      <c r="Q157" s="5"/>
      <c r="R157" s="5"/>
      <c r="S157" s="5"/>
      <c r="U157" s="6"/>
      <c r="V157" s="9" t="str">
        <f t="shared" si="36"/>
        <v/>
      </c>
      <c r="W157" s="9" t="str">
        <f t="shared" si="37"/>
        <v/>
      </c>
      <c r="X157" s="10">
        <f>SUM(V$13:V157)/COUNTA(B$13:B157)</f>
        <v>4.8275862068965517E-2</v>
      </c>
      <c r="Z157" s="5"/>
      <c r="AA157" s="5"/>
      <c r="AC157" s="7"/>
      <c r="AE157" s="54" t="e">
        <f t="shared" si="38"/>
        <v>#N/A</v>
      </c>
      <c r="AF157" s="4" t="e">
        <f t="shared" si="34"/>
        <v>#N/A</v>
      </c>
    </row>
    <row r="158" spans="2:32">
      <c r="B158" s="5">
        <f t="shared" si="39"/>
        <v>146</v>
      </c>
      <c r="C158" s="5"/>
      <c r="E158" s="13"/>
      <c r="F158" s="5"/>
      <c r="G158" s="11">
        <f>IF(ISERROR(AVERAGE(F$13:F158)),"n/a",AVERAGE(F$13:F158))</f>
        <v>117</v>
      </c>
      <c r="H158" s="11">
        <f t="shared" si="35"/>
        <v>117</v>
      </c>
      <c r="J158" s="5"/>
      <c r="K158" s="5"/>
      <c r="L158" s="5"/>
      <c r="M158" s="5"/>
      <c r="N158" s="5"/>
      <c r="O158" s="8" t="str">
        <f t="shared" si="33"/>
        <v>n/a</v>
      </c>
      <c r="Q158" s="5"/>
      <c r="R158" s="5"/>
      <c r="S158" s="5"/>
      <c r="U158" s="6"/>
      <c r="V158" s="9" t="str">
        <f t="shared" si="36"/>
        <v/>
      </c>
      <c r="W158" s="9" t="str">
        <f t="shared" si="37"/>
        <v/>
      </c>
      <c r="X158" s="10">
        <f>SUM(V$13:V158)/COUNTA(B$13:B158)</f>
        <v>4.7945205479452052E-2</v>
      </c>
      <c r="Z158" s="5"/>
      <c r="AA158" s="5"/>
      <c r="AC158" s="7"/>
      <c r="AE158" s="54" t="e">
        <f t="shared" si="38"/>
        <v>#N/A</v>
      </c>
      <c r="AF158" s="4" t="e">
        <f t="shared" si="34"/>
        <v>#N/A</v>
      </c>
    </row>
    <row r="159" spans="2:32">
      <c r="B159" s="5">
        <f t="shared" si="39"/>
        <v>147</v>
      </c>
      <c r="C159" s="5"/>
      <c r="E159" s="13"/>
      <c r="F159" s="5"/>
      <c r="G159" s="11">
        <f>IF(ISERROR(AVERAGE(F$13:F159)),"n/a",AVERAGE(F$13:F159))</f>
        <v>117</v>
      </c>
      <c r="H159" s="11">
        <f t="shared" si="35"/>
        <v>117</v>
      </c>
      <c r="J159" s="5"/>
      <c r="K159" s="5"/>
      <c r="L159" s="5"/>
      <c r="M159" s="5"/>
      <c r="N159" s="5"/>
      <c r="O159" s="8" t="str">
        <f t="shared" si="33"/>
        <v>n/a</v>
      </c>
      <c r="Q159" s="5"/>
      <c r="R159" s="5"/>
      <c r="S159" s="5"/>
      <c r="U159" s="6"/>
      <c r="V159" s="9" t="str">
        <f t="shared" si="36"/>
        <v/>
      </c>
      <c r="W159" s="9" t="str">
        <f t="shared" si="37"/>
        <v/>
      </c>
      <c r="X159" s="10">
        <f>SUM(V$13:V159)/COUNTA(B$13:B159)</f>
        <v>4.7619047619047616E-2</v>
      </c>
      <c r="Z159" s="5"/>
      <c r="AA159" s="5"/>
      <c r="AC159" s="7"/>
      <c r="AE159" s="54" t="e">
        <f t="shared" si="38"/>
        <v>#N/A</v>
      </c>
      <c r="AF159" s="4" t="e">
        <f t="shared" si="34"/>
        <v>#N/A</v>
      </c>
    </row>
    <row r="160" spans="2:32">
      <c r="B160" s="5">
        <f t="shared" si="39"/>
        <v>148</v>
      </c>
      <c r="C160" s="5"/>
      <c r="E160" s="13"/>
      <c r="F160" s="5"/>
      <c r="G160" s="11">
        <f>IF(ISERROR(AVERAGE(F$13:F160)),"n/a",AVERAGE(F$13:F160))</f>
        <v>117</v>
      </c>
      <c r="H160" s="11">
        <f t="shared" si="35"/>
        <v>117</v>
      </c>
      <c r="J160" s="5"/>
      <c r="K160" s="5"/>
      <c r="L160" s="5"/>
      <c r="M160" s="5"/>
      <c r="N160" s="5"/>
      <c r="O160" s="8" t="str">
        <f t="shared" si="33"/>
        <v>n/a</v>
      </c>
      <c r="Q160" s="5"/>
      <c r="R160" s="5"/>
      <c r="S160" s="5"/>
      <c r="U160" s="6"/>
      <c r="V160" s="9" t="str">
        <f t="shared" si="36"/>
        <v/>
      </c>
      <c r="W160" s="9" t="str">
        <f t="shared" si="37"/>
        <v/>
      </c>
      <c r="X160" s="10">
        <f>SUM(V$13:V160)/COUNTA(B$13:B160)</f>
        <v>4.72972972972973E-2</v>
      </c>
      <c r="Z160" s="5"/>
      <c r="AA160" s="5"/>
      <c r="AC160" s="7"/>
      <c r="AE160" s="54" t="e">
        <f t="shared" si="38"/>
        <v>#N/A</v>
      </c>
      <c r="AF160" s="4" t="e">
        <f t="shared" si="34"/>
        <v>#N/A</v>
      </c>
    </row>
    <row r="161" spans="2:32">
      <c r="B161" s="5">
        <f t="shared" si="39"/>
        <v>149</v>
      </c>
      <c r="C161" s="5"/>
      <c r="E161" s="13"/>
      <c r="F161" s="5"/>
      <c r="G161" s="11">
        <f>IF(ISERROR(AVERAGE(F$13:F161)),"n/a",AVERAGE(F$13:F161))</f>
        <v>117</v>
      </c>
      <c r="H161" s="11">
        <f t="shared" si="35"/>
        <v>117</v>
      </c>
      <c r="J161" s="5"/>
      <c r="K161" s="5"/>
      <c r="L161" s="5"/>
      <c r="M161" s="5"/>
      <c r="N161" s="5"/>
      <c r="O161" s="8" t="str">
        <f t="shared" si="33"/>
        <v>n/a</v>
      </c>
      <c r="Q161" s="5"/>
      <c r="R161" s="5"/>
      <c r="S161" s="5"/>
      <c r="U161" s="6"/>
      <c r="V161" s="9" t="str">
        <f t="shared" si="36"/>
        <v/>
      </c>
      <c r="W161" s="9" t="str">
        <f t="shared" si="37"/>
        <v/>
      </c>
      <c r="X161" s="10">
        <f>SUM(V$13:V161)/COUNTA(B$13:B161)</f>
        <v>4.6979865771812082E-2</v>
      </c>
      <c r="Z161" s="5"/>
      <c r="AA161" s="5"/>
      <c r="AC161" s="7"/>
      <c r="AE161" s="54" t="e">
        <f t="shared" si="38"/>
        <v>#N/A</v>
      </c>
      <c r="AF161" s="4" t="e">
        <f t="shared" si="34"/>
        <v>#N/A</v>
      </c>
    </row>
    <row r="162" spans="2:32">
      <c r="B162" s="5">
        <f t="shared" si="39"/>
        <v>150</v>
      </c>
      <c r="C162" s="5"/>
      <c r="E162" s="13"/>
      <c r="F162" s="5"/>
      <c r="G162" s="11">
        <f>IF(ISERROR(AVERAGE(F$13:F162)),"n/a",AVERAGE(F$13:F162))</f>
        <v>117</v>
      </c>
      <c r="H162" s="11">
        <f t="shared" si="35"/>
        <v>117</v>
      </c>
      <c r="J162" s="5"/>
      <c r="K162" s="5"/>
      <c r="L162" s="5"/>
      <c r="M162" s="5"/>
      <c r="N162" s="5"/>
      <c r="O162" s="8" t="str">
        <f t="shared" si="33"/>
        <v>n/a</v>
      </c>
      <c r="Q162" s="5"/>
      <c r="R162" s="5"/>
      <c r="S162" s="5"/>
      <c r="U162" s="6"/>
      <c r="V162" s="9" t="str">
        <f t="shared" si="36"/>
        <v/>
      </c>
      <c r="W162" s="9" t="str">
        <f t="shared" si="37"/>
        <v/>
      </c>
      <c r="X162" s="10">
        <f>SUM(V$13:V162)/COUNTA(B$13:B162)</f>
        <v>4.6666666666666669E-2</v>
      </c>
      <c r="Z162" s="5"/>
      <c r="AA162" s="5"/>
      <c r="AC162" s="7"/>
      <c r="AE162" s="54" t="e">
        <f t="shared" si="38"/>
        <v>#N/A</v>
      </c>
      <c r="AF162" s="4" t="e">
        <f t="shared" si="34"/>
        <v>#N/A</v>
      </c>
    </row>
    <row r="163" spans="2:32">
      <c r="B163" s="5">
        <f t="shared" si="39"/>
        <v>151</v>
      </c>
      <c r="C163" s="5"/>
      <c r="E163" s="13"/>
      <c r="F163" s="5"/>
      <c r="G163" s="11">
        <f>IF(ISERROR(AVERAGE(F$13:F163)),"n/a",AVERAGE(F$13:F163))</f>
        <v>117</v>
      </c>
      <c r="H163" s="11">
        <f t="shared" si="35"/>
        <v>117</v>
      </c>
      <c r="J163" s="5"/>
      <c r="K163" s="5"/>
      <c r="L163" s="5"/>
      <c r="M163" s="5"/>
      <c r="N163" s="5"/>
      <c r="O163" s="8" t="str">
        <f t="shared" si="33"/>
        <v>n/a</v>
      </c>
      <c r="Q163" s="5"/>
      <c r="R163" s="5"/>
      <c r="S163" s="5"/>
      <c r="U163" s="6"/>
      <c r="V163" s="9" t="str">
        <f t="shared" si="36"/>
        <v/>
      </c>
      <c r="W163" s="9" t="str">
        <f t="shared" si="37"/>
        <v/>
      </c>
      <c r="X163" s="10">
        <f>SUM(V$13:V163)/COUNTA(B$13:B163)</f>
        <v>4.6357615894039736E-2</v>
      </c>
      <c r="Z163" s="5"/>
      <c r="AA163" s="5"/>
      <c r="AC163" s="7"/>
      <c r="AE163" s="54" t="e">
        <f t="shared" si="38"/>
        <v>#N/A</v>
      </c>
      <c r="AF163" s="4" t="e">
        <f t="shared" si="34"/>
        <v>#N/A</v>
      </c>
    </row>
    <row r="164" spans="2:32">
      <c r="B164" s="5">
        <f t="shared" si="39"/>
        <v>152</v>
      </c>
      <c r="C164" s="5"/>
      <c r="E164" s="13"/>
      <c r="F164" s="5"/>
      <c r="G164" s="11">
        <f>IF(ISERROR(AVERAGE(F$13:F164)),"n/a",AVERAGE(F$13:F164))</f>
        <v>117</v>
      </c>
      <c r="H164" s="11">
        <f t="shared" si="35"/>
        <v>117</v>
      </c>
      <c r="J164" s="5"/>
      <c r="K164" s="5"/>
      <c r="L164" s="5"/>
      <c r="M164" s="5"/>
      <c r="N164" s="5"/>
      <c r="O164" s="8" t="str">
        <f t="shared" si="33"/>
        <v>n/a</v>
      </c>
      <c r="Q164" s="5"/>
      <c r="R164" s="5"/>
      <c r="S164" s="5"/>
      <c r="U164" s="6"/>
      <c r="V164" s="9" t="str">
        <f t="shared" si="36"/>
        <v/>
      </c>
      <c r="W164" s="9" t="str">
        <f t="shared" si="37"/>
        <v/>
      </c>
      <c r="X164" s="10">
        <f>SUM(V$13:V164)/COUNTA(B$13:B164)</f>
        <v>4.6052631578947366E-2</v>
      </c>
      <c r="Z164" s="5"/>
      <c r="AA164" s="5"/>
      <c r="AC164" s="7"/>
      <c r="AE164" s="54" t="e">
        <f t="shared" si="38"/>
        <v>#N/A</v>
      </c>
      <c r="AF164" s="4" t="e">
        <f t="shared" si="34"/>
        <v>#N/A</v>
      </c>
    </row>
    <row r="165" spans="2:32">
      <c r="B165" s="5">
        <f t="shared" si="39"/>
        <v>153</v>
      </c>
      <c r="C165" s="5"/>
      <c r="E165" s="13"/>
      <c r="F165" s="5"/>
      <c r="G165" s="11">
        <f>IF(ISERROR(AVERAGE(F$13:F165)),"n/a",AVERAGE(F$13:F165))</f>
        <v>117</v>
      </c>
      <c r="H165" s="11">
        <f t="shared" si="35"/>
        <v>117</v>
      </c>
      <c r="J165" s="5"/>
      <c r="K165" s="5"/>
      <c r="L165" s="5"/>
      <c r="M165" s="5"/>
      <c r="N165" s="5"/>
      <c r="O165" s="8" t="str">
        <f t="shared" si="33"/>
        <v>n/a</v>
      </c>
      <c r="Q165" s="5"/>
      <c r="R165" s="5"/>
      <c r="S165" s="5"/>
      <c r="U165" s="6"/>
      <c r="V165" s="9" t="str">
        <f t="shared" si="36"/>
        <v/>
      </c>
      <c r="W165" s="9" t="str">
        <f t="shared" si="37"/>
        <v/>
      </c>
      <c r="X165" s="10">
        <f>SUM(V$13:V165)/COUNTA(B$13:B165)</f>
        <v>4.5751633986928102E-2</v>
      </c>
      <c r="Z165" s="5"/>
      <c r="AA165" s="5"/>
      <c r="AC165" s="7"/>
      <c r="AE165" s="54" t="e">
        <f t="shared" si="38"/>
        <v>#N/A</v>
      </c>
      <c r="AF165" s="4" t="e">
        <f t="shared" si="34"/>
        <v>#N/A</v>
      </c>
    </row>
    <row r="166" spans="2:32">
      <c r="B166" s="5">
        <f t="shared" si="39"/>
        <v>154</v>
      </c>
      <c r="C166" s="5"/>
      <c r="E166" s="13"/>
      <c r="F166" s="5"/>
      <c r="G166" s="11">
        <f>IF(ISERROR(AVERAGE(F$13:F166)),"n/a",AVERAGE(F$13:F166))</f>
        <v>117</v>
      </c>
      <c r="H166" s="11">
        <f t="shared" si="35"/>
        <v>117</v>
      </c>
      <c r="J166" s="5"/>
      <c r="K166" s="5"/>
      <c r="L166" s="5"/>
      <c r="M166" s="5"/>
      <c r="N166" s="5"/>
      <c r="O166" s="8" t="str">
        <f t="shared" si="33"/>
        <v>n/a</v>
      </c>
      <c r="Q166" s="5"/>
      <c r="R166" s="5"/>
      <c r="S166" s="5"/>
      <c r="U166" s="6"/>
      <c r="V166" s="9" t="str">
        <f t="shared" si="36"/>
        <v/>
      </c>
      <c r="W166" s="9" t="str">
        <f t="shared" si="37"/>
        <v/>
      </c>
      <c r="X166" s="10">
        <f>SUM(V$13:V166)/COUNTA(B$13:B166)</f>
        <v>4.5454545454545456E-2</v>
      </c>
      <c r="Z166" s="5"/>
      <c r="AA166" s="5"/>
      <c r="AC166" s="7"/>
      <c r="AE166" s="54" t="e">
        <f t="shared" si="38"/>
        <v>#N/A</v>
      </c>
      <c r="AF166" s="4" t="e">
        <f t="shared" si="34"/>
        <v>#N/A</v>
      </c>
    </row>
    <row r="167" spans="2:32">
      <c r="B167" s="5">
        <f t="shared" si="39"/>
        <v>155</v>
      </c>
      <c r="C167" s="5"/>
      <c r="E167" s="13"/>
      <c r="F167" s="5"/>
      <c r="G167" s="11">
        <f>IF(ISERROR(AVERAGE(F$13:F167)),"n/a",AVERAGE(F$13:F167))</f>
        <v>117</v>
      </c>
      <c r="H167" s="11">
        <f t="shared" si="35"/>
        <v>117</v>
      </c>
      <c r="J167" s="5"/>
      <c r="K167" s="5"/>
      <c r="L167" s="5"/>
      <c r="M167" s="5"/>
      <c r="N167" s="5"/>
      <c r="O167" s="8" t="str">
        <f t="shared" si="33"/>
        <v>n/a</v>
      </c>
      <c r="Q167" s="5"/>
      <c r="R167" s="5"/>
      <c r="S167" s="5"/>
      <c r="U167" s="6"/>
      <c r="V167" s="9" t="str">
        <f t="shared" si="36"/>
        <v/>
      </c>
      <c r="W167" s="9" t="str">
        <f t="shared" si="37"/>
        <v/>
      </c>
      <c r="X167" s="10">
        <f>SUM(V$13:V167)/COUNTA(B$13:B167)</f>
        <v>4.5161290322580643E-2</v>
      </c>
      <c r="Z167" s="5"/>
      <c r="AA167" s="5"/>
      <c r="AC167" s="7"/>
      <c r="AE167" s="54" t="e">
        <f t="shared" si="38"/>
        <v>#N/A</v>
      </c>
      <c r="AF167" s="4" t="e">
        <f t="shared" si="34"/>
        <v>#N/A</v>
      </c>
    </row>
    <row r="168" spans="2:32">
      <c r="B168" s="5">
        <f t="shared" si="39"/>
        <v>156</v>
      </c>
      <c r="C168" s="5"/>
      <c r="E168" s="13"/>
      <c r="F168" s="5"/>
      <c r="G168" s="11">
        <f>IF(ISERROR(AVERAGE(F$13:F168)),"n/a",AVERAGE(F$13:F168))</f>
        <v>117</v>
      </c>
      <c r="H168" s="11">
        <f t="shared" si="35"/>
        <v>117</v>
      </c>
      <c r="J168" s="5"/>
      <c r="K168" s="5"/>
      <c r="L168" s="5"/>
      <c r="M168" s="5"/>
      <c r="N168" s="5"/>
      <c r="O168" s="8" t="str">
        <f t="shared" si="33"/>
        <v>n/a</v>
      </c>
      <c r="Q168" s="5"/>
      <c r="R168" s="5"/>
      <c r="S168" s="5"/>
      <c r="U168" s="6"/>
      <c r="V168" s="9" t="str">
        <f t="shared" si="36"/>
        <v/>
      </c>
      <c r="W168" s="9" t="str">
        <f t="shared" si="37"/>
        <v/>
      </c>
      <c r="X168" s="10">
        <f>SUM(V$13:V168)/COUNTA(B$13:B168)</f>
        <v>4.4871794871794872E-2</v>
      </c>
      <c r="Z168" s="5"/>
      <c r="AA168" s="5"/>
      <c r="AC168" s="7"/>
      <c r="AE168" s="54" t="e">
        <f t="shared" si="38"/>
        <v>#N/A</v>
      </c>
      <c r="AF168" s="4" t="e">
        <f t="shared" si="34"/>
        <v>#N/A</v>
      </c>
    </row>
    <row r="169" spans="2:32">
      <c r="B169" s="5">
        <f t="shared" si="39"/>
        <v>157</v>
      </c>
      <c r="C169" s="5"/>
      <c r="E169" s="13"/>
      <c r="F169" s="5"/>
      <c r="G169" s="11">
        <f>IF(ISERROR(AVERAGE(F$13:F169)),"n/a",AVERAGE(F$13:F169))</f>
        <v>117</v>
      </c>
      <c r="H169" s="11">
        <f t="shared" si="35"/>
        <v>117</v>
      </c>
      <c r="J169" s="5"/>
      <c r="K169" s="5"/>
      <c r="L169" s="5"/>
      <c r="M169" s="5"/>
      <c r="N169" s="5"/>
      <c r="O169" s="8" t="str">
        <f t="shared" si="33"/>
        <v>n/a</v>
      </c>
      <c r="Q169" s="5"/>
      <c r="R169" s="5"/>
      <c r="S169" s="5"/>
      <c r="U169" s="6"/>
      <c r="V169" s="9" t="str">
        <f t="shared" si="36"/>
        <v/>
      </c>
      <c r="W169" s="9" t="str">
        <f t="shared" si="37"/>
        <v/>
      </c>
      <c r="X169" s="10">
        <f>SUM(V$13:V169)/COUNTA(B$13:B169)</f>
        <v>4.4585987261146494E-2</v>
      </c>
      <c r="Z169" s="5"/>
      <c r="AA169" s="5"/>
      <c r="AC169" s="7"/>
      <c r="AE169" s="54" t="e">
        <f t="shared" si="38"/>
        <v>#N/A</v>
      </c>
      <c r="AF169" s="4" t="e">
        <f t="shared" si="34"/>
        <v>#N/A</v>
      </c>
    </row>
    <row r="170" spans="2:32">
      <c r="B170" s="5">
        <f t="shared" si="39"/>
        <v>158</v>
      </c>
      <c r="C170" s="5"/>
      <c r="E170" s="13"/>
      <c r="F170" s="5"/>
      <c r="G170" s="11">
        <f>IF(ISERROR(AVERAGE(F$13:F170)),"n/a",AVERAGE(F$13:F170))</f>
        <v>117</v>
      </c>
      <c r="H170" s="11">
        <f t="shared" si="35"/>
        <v>117</v>
      </c>
      <c r="J170" s="5"/>
      <c r="K170" s="5"/>
      <c r="L170" s="5"/>
      <c r="M170" s="5"/>
      <c r="N170" s="5"/>
      <c r="O170" s="8" t="str">
        <f t="shared" si="33"/>
        <v>n/a</v>
      </c>
      <c r="Q170" s="5"/>
      <c r="R170" s="5"/>
      <c r="S170" s="5"/>
      <c r="U170" s="6"/>
      <c r="V170" s="9" t="str">
        <f t="shared" si="36"/>
        <v/>
      </c>
      <c r="W170" s="9" t="str">
        <f t="shared" si="37"/>
        <v/>
      </c>
      <c r="X170" s="10">
        <f>SUM(V$13:V170)/COUNTA(B$13:B170)</f>
        <v>4.4303797468354431E-2</v>
      </c>
      <c r="Z170" s="5"/>
      <c r="AA170" s="5"/>
      <c r="AC170" s="7"/>
      <c r="AE170" s="54" t="e">
        <f t="shared" si="38"/>
        <v>#N/A</v>
      </c>
      <c r="AF170" s="4" t="e">
        <f t="shared" si="34"/>
        <v>#N/A</v>
      </c>
    </row>
    <row r="171" spans="2:32">
      <c r="B171" s="5">
        <f t="shared" si="39"/>
        <v>159</v>
      </c>
      <c r="C171" s="5"/>
      <c r="E171" s="13"/>
      <c r="F171" s="5"/>
      <c r="G171" s="11">
        <f>IF(ISERROR(AVERAGE(F$13:F171)),"n/a",AVERAGE(F$13:F171))</f>
        <v>117</v>
      </c>
      <c r="H171" s="11">
        <f t="shared" si="35"/>
        <v>117</v>
      </c>
      <c r="J171" s="5"/>
      <c r="K171" s="5"/>
      <c r="L171" s="5"/>
      <c r="M171" s="5"/>
      <c r="N171" s="5"/>
      <c r="O171" s="8" t="str">
        <f t="shared" si="33"/>
        <v>n/a</v>
      </c>
      <c r="Q171" s="5"/>
      <c r="R171" s="5"/>
      <c r="S171" s="5"/>
      <c r="U171" s="6"/>
      <c r="V171" s="9" t="str">
        <f t="shared" si="36"/>
        <v/>
      </c>
      <c r="W171" s="9" t="str">
        <f t="shared" si="37"/>
        <v/>
      </c>
      <c r="X171" s="10">
        <f>SUM(V$13:V171)/COUNTA(B$13:B171)</f>
        <v>4.40251572327044E-2</v>
      </c>
      <c r="Z171" s="5"/>
      <c r="AA171" s="5"/>
      <c r="AC171" s="7"/>
      <c r="AE171" s="54" t="e">
        <f t="shared" si="38"/>
        <v>#N/A</v>
      </c>
      <c r="AF171" s="4" t="e">
        <f t="shared" si="34"/>
        <v>#N/A</v>
      </c>
    </row>
    <row r="172" spans="2:32">
      <c r="B172" s="5">
        <f t="shared" si="39"/>
        <v>160</v>
      </c>
      <c r="C172" s="5"/>
      <c r="E172" s="13"/>
      <c r="F172" s="5"/>
      <c r="G172" s="11">
        <f>IF(ISERROR(AVERAGE(F$13:F172)),"n/a",AVERAGE(F$13:F172))</f>
        <v>117</v>
      </c>
      <c r="H172" s="11">
        <f t="shared" si="35"/>
        <v>117</v>
      </c>
      <c r="J172" s="5"/>
      <c r="K172" s="5"/>
      <c r="L172" s="5"/>
      <c r="M172" s="5"/>
      <c r="N172" s="5"/>
      <c r="O172" s="8" t="str">
        <f t="shared" si="33"/>
        <v>n/a</v>
      </c>
      <c r="Q172" s="5"/>
      <c r="R172" s="5"/>
      <c r="S172" s="5"/>
      <c r="U172" s="6"/>
      <c r="V172" s="9" t="str">
        <f t="shared" si="36"/>
        <v/>
      </c>
      <c r="W172" s="9" t="str">
        <f t="shared" si="37"/>
        <v/>
      </c>
      <c r="X172" s="10">
        <f>SUM(V$13:V172)/COUNTA(B$13:B172)</f>
        <v>4.3749999999999997E-2</v>
      </c>
      <c r="Z172" s="5"/>
      <c r="AA172" s="5"/>
      <c r="AC172" s="7"/>
      <c r="AE172" s="54" t="e">
        <f t="shared" si="38"/>
        <v>#N/A</v>
      </c>
      <c r="AF172" s="4" t="e">
        <f t="shared" si="34"/>
        <v>#N/A</v>
      </c>
    </row>
    <row r="173" spans="2:32">
      <c r="B173" s="5">
        <f t="shared" si="39"/>
        <v>161</v>
      </c>
      <c r="C173" s="5"/>
      <c r="E173" s="13"/>
      <c r="F173" s="5"/>
      <c r="G173" s="11">
        <f>IF(ISERROR(AVERAGE(F$13:F173)),"n/a",AVERAGE(F$13:F173))</f>
        <v>117</v>
      </c>
      <c r="H173" s="11">
        <f t="shared" si="35"/>
        <v>117</v>
      </c>
      <c r="J173" s="5"/>
      <c r="K173" s="5"/>
      <c r="L173" s="5"/>
      <c r="M173" s="5"/>
      <c r="N173" s="5"/>
      <c r="O173" s="8" t="str">
        <f t="shared" si="33"/>
        <v>n/a</v>
      </c>
      <c r="Q173" s="5"/>
      <c r="R173" s="5"/>
      <c r="S173" s="5"/>
      <c r="U173" s="6"/>
      <c r="V173" s="9" t="str">
        <f t="shared" si="36"/>
        <v/>
      </c>
      <c r="W173" s="9" t="str">
        <f t="shared" si="37"/>
        <v/>
      </c>
      <c r="X173" s="10">
        <f>SUM(V$13:V173)/COUNTA(B$13:B173)</f>
        <v>4.3478260869565216E-2</v>
      </c>
      <c r="Z173" s="5"/>
      <c r="AA173" s="5"/>
      <c r="AC173" s="7"/>
      <c r="AE173" s="54" t="e">
        <f t="shared" si="38"/>
        <v>#N/A</v>
      </c>
      <c r="AF173" s="4" t="e">
        <f t="shared" si="34"/>
        <v>#N/A</v>
      </c>
    </row>
    <row r="174" spans="2:32">
      <c r="B174" s="5">
        <f t="shared" si="39"/>
        <v>162</v>
      </c>
      <c r="C174" s="5"/>
      <c r="E174" s="13"/>
      <c r="F174" s="5"/>
      <c r="G174" s="11">
        <f>IF(ISERROR(AVERAGE(F$13:F174)),"n/a",AVERAGE(F$13:F174))</f>
        <v>117</v>
      </c>
      <c r="H174" s="11">
        <f t="shared" si="35"/>
        <v>117</v>
      </c>
      <c r="J174" s="5"/>
      <c r="K174" s="5"/>
      <c r="L174" s="5"/>
      <c r="M174" s="5"/>
      <c r="N174" s="5"/>
      <c r="O174" s="8" t="str">
        <f t="shared" si="33"/>
        <v>n/a</v>
      </c>
      <c r="Q174" s="5"/>
      <c r="R174" s="5"/>
      <c r="S174" s="5"/>
      <c r="U174" s="6"/>
      <c r="V174" s="9" t="str">
        <f t="shared" si="36"/>
        <v/>
      </c>
      <c r="W174" s="9" t="str">
        <f t="shared" si="37"/>
        <v/>
      </c>
      <c r="X174" s="10">
        <f>SUM(V$13:V174)/COUNTA(B$13:B174)</f>
        <v>4.3209876543209874E-2</v>
      </c>
      <c r="Z174" s="5"/>
      <c r="AA174" s="5"/>
      <c r="AC174" s="7"/>
      <c r="AE174" s="54" t="e">
        <f t="shared" si="38"/>
        <v>#N/A</v>
      </c>
      <c r="AF174" s="4" t="e">
        <f t="shared" si="34"/>
        <v>#N/A</v>
      </c>
    </row>
    <row r="175" spans="2:32">
      <c r="B175" s="5">
        <f t="shared" si="39"/>
        <v>163</v>
      </c>
      <c r="C175" s="5"/>
      <c r="E175" s="13"/>
      <c r="F175" s="5"/>
      <c r="G175" s="11">
        <f>IF(ISERROR(AVERAGE(F$13:F175)),"n/a",AVERAGE(F$13:F175))</f>
        <v>117</v>
      </c>
      <c r="H175" s="11">
        <f t="shared" si="35"/>
        <v>117</v>
      </c>
      <c r="J175" s="5"/>
      <c r="K175" s="5"/>
      <c r="L175" s="5"/>
      <c r="M175" s="5"/>
      <c r="N175" s="5"/>
      <c r="O175" s="8" t="str">
        <f t="shared" si="33"/>
        <v>n/a</v>
      </c>
      <c r="Q175" s="5"/>
      <c r="R175" s="5"/>
      <c r="S175" s="5"/>
      <c r="U175" s="6"/>
      <c r="V175" s="9" t="str">
        <f t="shared" si="36"/>
        <v/>
      </c>
      <c r="W175" s="9" t="str">
        <f t="shared" si="37"/>
        <v/>
      </c>
      <c r="X175" s="10">
        <f>SUM(V$13:V175)/COUNTA(B$13:B175)</f>
        <v>4.2944785276073622E-2</v>
      </c>
      <c r="Z175" s="5"/>
      <c r="AA175" s="5"/>
      <c r="AC175" s="7"/>
      <c r="AE175" s="54" t="e">
        <f t="shared" si="38"/>
        <v>#N/A</v>
      </c>
      <c r="AF175" s="4" t="e">
        <f t="shared" si="34"/>
        <v>#N/A</v>
      </c>
    </row>
    <row r="176" spans="2:32">
      <c r="B176" s="5">
        <f t="shared" si="39"/>
        <v>164</v>
      </c>
      <c r="C176" s="5"/>
      <c r="E176" s="13"/>
      <c r="F176" s="5"/>
      <c r="G176" s="11">
        <f>IF(ISERROR(AVERAGE(F$13:F176)),"n/a",AVERAGE(F$13:F176))</f>
        <v>117</v>
      </c>
      <c r="H176" s="11">
        <f t="shared" si="35"/>
        <v>117</v>
      </c>
      <c r="J176" s="5"/>
      <c r="K176" s="5"/>
      <c r="L176" s="5"/>
      <c r="M176" s="5"/>
      <c r="N176" s="5"/>
      <c r="O176" s="8" t="str">
        <f t="shared" si="33"/>
        <v>n/a</v>
      </c>
      <c r="Q176" s="5"/>
      <c r="R176" s="5"/>
      <c r="S176" s="5"/>
      <c r="U176" s="6"/>
      <c r="V176" s="9" t="str">
        <f t="shared" si="36"/>
        <v/>
      </c>
      <c r="W176" s="9" t="str">
        <f t="shared" si="37"/>
        <v/>
      </c>
      <c r="X176" s="10">
        <f>SUM(V$13:V176)/COUNTA(B$13:B176)</f>
        <v>4.2682926829268296E-2</v>
      </c>
      <c r="Z176" s="5"/>
      <c r="AA176" s="5"/>
      <c r="AC176" s="7"/>
      <c r="AE176" s="54" t="e">
        <f t="shared" si="38"/>
        <v>#N/A</v>
      </c>
      <c r="AF176" s="4" t="e">
        <f t="shared" si="34"/>
        <v>#N/A</v>
      </c>
    </row>
    <row r="177" spans="2:32">
      <c r="B177" s="5">
        <f t="shared" si="39"/>
        <v>165</v>
      </c>
      <c r="C177" s="5"/>
      <c r="E177" s="13"/>
      <c r="F177" s="5"/>
      <c r="G177" s="11">
        <f>IF(ISERROR(AVERAGE(F$13:F177)),"n/a",AVERAGE(F$13:F177))</f>
        <v>117</v>
      </c>
      <c r="H177" s="11">
        <f t="shared" si="35"/>
        <v>117</v>
      </c>
      <c r="J177" s="5"/>
      <c r="K177" s="5"/>
      <c r="L177" s="5"/>
      <c r="M177" s="5"/>
      <c r="N177" s="5"/>
      <c r="O177" s="8" t="str">
        <f t="shared" ref="O177:O240" si="40">IF(J177=1,"A",IF(K177=1,"B",IF(L177=1,"C",IF(M177=1,"D",IF(N177=1,"E","n/a")))))</f>
        <v>n/a</v>
      </c>
      <c r="Q177" s="5"/>
      <c r="R177" s="5"/>
      <c r="S177" s="5"/>
      <c r="U177" s="6"/>
      <c r="V177" s="9" t="str">
        <f t="shared" si="36"/>
        <v/>
      </c>
      <c r="W177" s="9" t="str">
        <f t="shared" si="37"/>
        <v/>
      </c>
      <c r="X177" s="10">
        <f>SUM(V$13:V177)/COUNTA(B$13:B177)</f>
        <v>4.2424242424242427E-2</v>
      </c>
      <c r="Z177" s="5"/>
      <c r="AA177" s="5"/>
      <c r="AC177" s="7"/>
      <c r="AE177" s="54" t="e">
        <f t="shared" si="38"/>
        <v>#N/A</v>
      </c>
      <c r="AF177" s="4" t="e">
        <f t="shared" si="34"/>
        <v>#N/A</v>
      </c>
    </row>
    <row r="178" spans="2:32">
      <c r="B178" s="5">
        <f t="shared" si="39"/>
        <v>166</v>
      </c>
      <c r="C178" s="5"/>
      <c r="E178" s="13"/>
      <c r="F178" s="5"/>
      <c r="G178" s="11">
        <f>IF(ISERROR(AVERAGE(F$13:F178)),"n/a",AVERAGE(F$13:F178))</f>
        <v>117</v>
      </c>
      <c r="H178" s="11">
        <f t="shared" si="35"/>
        <v>117</v>
      </c>
      <c r="J178" s="5"/>
      <c r="K178" s="5"/>
      <c r="L178" s="5"/>
      <c r="M178" s="5"/>
      <c r="N178" s="5"/>
      <c r="O178" s="8" t="str">
        <f t="shared" si="40"/>
        <v>n/a</v>
      </c>
      <c r="Q178" s="5"/>
      <c r="R178" s="5"/>
      <c r="S178" s="5"/>
      <c r="U178" s="6"/>
      <c r="V178" s="9" t="str">
        <f t="shared" si="36"/>
        <v/>
      </c>
      <c r="W178" s="9" t="str">
        <f t="shared" si="37"/>
        <v/>
      </c>
      <c r="X178" s="10">
        <f>SUM(V$13:V178)/COUNTA(B$13:B178)</f>
        <v>4.2168674698795178E-2</v>
      </c>
      <c r="Z178" s="5"/>
      <c r="AA178" s="5"/>
      <c r="AC178" s="7"/>
      <c r="AE178" s="54" t="e">
        <f t="shared" si="38"/>
        <v>#N/A</v>
      </c>
      <c r="AF178" s="4" t="e">
        <f t="shared" si="34"/>
        <v>#N/A</v>
      </c>
    </row>
    <row r="179" spans="2:32">
      <c r="B179" s="5">
        <f t="shared" si="39"/>
        <v>167</v>
      </c>
      <c r="C179" s="5"/>
      <c r="E179" s="13"/>
      <c r="F179" s="5"/>
      <c r="G179" s="11">
        <f>IF(ISERROR(AVERAGE(F$13:F179)),"n/a",AVERAGE(F$13:F179))</f>
        <v>117</v>
      </c>
      <c r="H179" s="11">
        <f t="shared" si="35"/>
        <v>117</v>
      </c>
      <c r="J179" s="5"/>
      <c r="K179" s="5"/>
      <c r="L179" s="5"/>
      <c r="M179" s="5"/>
      <c r="N179" s="5"/>
      <c r="O179" s="8" t="str">
        <f t="shared" si="40"/>
        <v>n/a</v>
      </c>
      <c r="Q179" s="5"/>
      <c r="R179" s="5"/>
      <c r="S179" s="5"/>
      <c r="U179" s="6"/>
      <c r="V179" s="9" t="str">
        <f t="shared" si="36"/>
        <v/>
      </c>
      <c r="W179" s="9" t="str">
        <f t="shared" si="37"/>
        <v/>
      </c>
      <c r="X179" s="10">
        <f>SUM(V$13:V179)/COUNTA(B$13:B179)</f>
        <v>4.1916167664670656E-2</v>
      </c>
      <c r="Z179" s="5"/>
      <c r="AA179" s="5"/>
      <c r="AC179" s="7"/>
      <c r="AE179" s="54" t="e">
        <f t="shared" si="38"/>
        <v>#N/A</v>
      </c>
      <c r="AF179" s="4" t="e">
        <f t="shared" si="34"/>
        <v>#N/A</v>
      </c>
    </row>
    <row r="180" spans="2:32">
      <c r="B180" s="5">
        <f t="shared" si="39"/>
        <v>168</v>
      </c>
      <c r="C180" s="5"/>
      <c r="E180" s="13"/>
      <c r="F180" s="5"/>
      <c r="G180" s="11">
        <f>IF(ISERROR(AVERAGE(F$13:F180)),"n/a",AVERAGE(F$13:F180))</f>
        <v>117</v>
      </c>
      <c r="H180" s="11">
        <f t="shared" si="35"/>
        <v>117</v>
      </c>
      <c r="J180" s="5"/>
      <c r="K180" s="5"/>
      <c r="L180" s="5"/>
      <c r="M180" s="5"/>
      <c r="N180" s="5"/>
      <c r="O180" s="8" t="str">
        <f t="shared" si="40"/>
        <v>n/a</v>
      </c>
      <c r="Q180" s="5"/>
      <c r="R180" s="5"/>
      <c r="S180" s="5"/>
      <c r="U180" s="6"/>
      <c r="V180" s="9" t="str">
        <f t="shared" si="36"/>
        <v/>
      </c>
      <c r="W180" s="9" t="str">
        <f t="shared" si="37"/>
        <v/>
      </c>
      <c r="X180" s="10">
        <f>SUM(V$13:V180)/COUNTA(B$13:B180)</f>
        <v>4.1666666666666664E-2</v>
      </c>
      <c r="Z180" s="5"/>
      <c r="AA180" s="5"/>
      <c r="AC180" s="7"/>
      <c r="AE180" s="54" t="e">
        <f t="shared" si="38"/>
        <v>#N/A</v>
      </c>
      <c r="AF180" s="4" t="e">
        <f t="shared" si="34"/>
        <v>#N/A</v>
      </c>
    </row>
    <row r="181" spans="2:32">
      <c r="B181" s="5">
        <f t="shared" si="39"/>
        <v>169</v>
      </c>
      <c r="C181" s="5"/>
      <c r="E181" s="13"/>
      <c r="F181" s="5"/>
      <c r="G181" s="11">
        <f>IF(ISERROR(AVERAGE(F$13:F181)),"n/a",AVERAGE(F$13:F181))</f>
        <v>117</v>
      </c>
      <c r="H181" s="11">
        <f t="shared" si="35"/>
        <v>117</v>
      </c>
      <c r="J181" s="5"/>
      <c r="K181" s="5"/>
      <c r="L181" s="5"/>
      <c r="M181" s="5"/>
      <c r="N181" s="5"/>
      <c r="O181" s="8" t="str">
        <f t="shared" si="40"/>
        <v>n/a</v>
      </c>
      <c r="Q181" s="5"/>
      <c r="R181" s="5"/>
      <c r="S181" s="5"/>
      <c r="U181" s="6"/>
      <c r="V181" s="9" t="str">
        <f t="shared" si="36"/>
        <v/>
      </c>
      <c r="W181" s="9" t="str">
        <f t="shared" si="37"/>
        <v/>
      </c>
      <c r="X181" s="10">
        <f>SUM(V$13:V181)/COUNTA(B$13:B181)</f>
        <v>4.142011834319527E-2</v>
      </c>
      <c r="Z181" s="5"/>
      <c r="AA181" s="5"/>
      <c r="AC181" s="7"/>
      <c r="AE181" s="54" t="e">
        <f t="shared" si="38"/>
        <v>#N/A</v>
      </c>
      <c r="AF181" s="4" t="e">
        <f t="shared" si="34"/>
        <v>#N/A</v>
      </c>
    </row>
    <row r="182" spans="2:32">
      <c r="B182" s="5">
        <f t="shared" si="39"/>
        <v>170</v>
      </c>
      <c r="C182" s="5"/>
      <c r="E182" s="13"/>
      <c r="F182" s="5"/>
      <c r="G182" s="11">
        <f>IF(ISERROR(AVERAGE(F$13:F182)),"n/a",AVERAGE(F$13:F182))</f>
        <v>117</v>
      </c>
      <c r="H182" s="11">
        <f t="shared" si="35"/>
        <v>117</v>
      </c>
      <c r="J182" s="5"/>
      <c r="K182" s="5"/>
      <c r="L182" s="5"/>
      <c r="M182" s="5"/>
      <c r="N182" s="5"/>
      <c r="O182" s="8" t="str">
        <f t="shared" si="40"/>
        <v>n/a</v>
      </c>
      <c r="Q182" s="5"/>
      <c r="R182" s="5"/>
      <c r="S182" s="5"/>
      <c r="U182" s="6"/>
      <c r="V182" s="9" t="str">
        <f t="shared" si="36"/>
        <v/>
      </c>
      <c r="W182" s="9" t="str">
        <f t="shared" si="37"/>
        <v/>
      </c>
      <c r="X182" s="10">
        <f>SUM(V$13:V182)/COUNTA(B$13:B182)</f>
        <v>4.1176470588235294E-2</v>
      </c>
      <c r="Z182" s="5"/>
      <c r="AA182" s="5"/>
      <c r="AC182" s="7"/>
      <c r="AE182" s="54" t="e">
        <f t="shared" si="38"/>
        <v>#N/A</v>
      </c>
      <c r="AF182" s="4" t="e">
        <f t="shared" si="34"/>
        <v>#N/A</v>
      </c>
    </row>
    <row r="183" spans="2:32">
      <c r="B183" s="5">
        <f t="shared" si="39"/>
        <v>171</v>
      </c>
      <c r="C183" s="5"/>
      <c r="E183" s="13"/>
      <c r="F183" s="5"/>
      <c r="G183" s="11">
        <f>IF(ISERROR(AVERAGE(F$13:F183)),"n/a",AVERAGE(F$13:F183))</f>
        <v>117</v>
      </c>
      <c r="H183" s="11">
        <f t="shared" si="35"/>
        <v>117</v>
      </c>
      <c r="J183" s="5"/>
      <c r="K183" s="5"/>
      <c r="L183" s="5"/>
      <c r="M183" s="5"/>
      <c r="N183" s="5"/>
      <c r="O183" s="8" t="str">
        <f t="shared" si="40"/>
        <v>n/a</v>
      </c>
      <c r="Q183" s="5"/>
      <c r="R183" s="5"/>
      <c r="S183" s="5"/>
      <c r="U183" s="6"/>
      <c r="V183" s="9" t="str">
        <f t="shared" si="36"/>
        <v/>
      </c>
      <c r="W183" s="9" t="str">
        <f t="shared" si="37"/>
        <v/>
      </c>
      <c r="X183" s="10">
        <f>SUM(V$13:V183)/COUNTA(B$13:B183)</f>
        <v>4.0935672514619881E-2</v>
      </c>
      <c r="Z183" s="5"/>
      <c r="AA183" s="5"/>
      <c r="AC183" s="7"/>
      <c r="AE183" s="54" t="e">
        <f t="shared" si="38"/>
        <v>#N/A</v>
      </c>
      <c r="AF183" s="4" t="e">
        <f t="shared" si="34"/>
        <v>#N/A</v>
      </c>
    </row>
    <row r="184" spans="2:32">
      <c r="B184" s="5">
        <f t="shared" si="39"/>
        <v>172</v>
      </c>
      <c r="C184" s="5"/>
      <c r="E184" s="13"/>
      <c r="F184" s="5"/>
      <c r="G184" s="11">
        <f>IF(ISERROR(AVERAGE(F$13:F184)),"n/a",AVERAGE(F$13:F184))</f>
        <v>117</v>
      </c>
      <c r="H184" s="11">
        <f t="shared" si="35"/>
        <v>117</v>
      </c>
      <c r="J184" s="5"/>
      <c r="K184" s="5"/>
      <c r="L184" s="5"/>
      <c r="M184" s="5"/>
      <c r="N184" s="5"/>
      <c r="O184" s="8" t="str">
        <f t="shared" si="40"/>
        <v>n/a</v>
      </c>
      <c r="Q184" s="5"/>
      <c r="R184" s="5"/>
      <c r="S184" s="5"/>
      <c r="U184" s="6"/>
      <c r="V184" s="9" t="str">
        <f t="shared" si="36"/>
        <v/>
      </c>
      <c r="W184" s="9" t="str">
        <f t="shared" si="37"/>
        <v/>
      </c>
      <c r="X184" s="10">
        <f>SUM(V$13:V184)/COUNTA(B$13:B184)</f>
        <v>4.0697674418604654E-2</v>
      </c>
      <c r="Z184" s="5"/>
      <c r="AA184" s="5"/>
      <c r="AC184" s="7"/>
      <c r="AE184" s="54" t="e">
        <f t="shared" si="38"/>
        <v>#N/A</v>
      </c>
      <c r="AF184" s="4" t="e">
        <f t="shared" si="34"/>
        <v>#N/A</v>
      </c>
    </row>
    <row r="185" spans="2:32">
      <c r="B185" s="5">
        <f t="shared" si="39"/>
        <v>173</v>
      </c>
      <c r="C185" s="5"/>
      <c r="E185" s="13"/>
      <c r="F185" s="5"/>
      <c r="G185" s="11">
        <f>IF(ISERROR(AVERAGE(F$13:F185)),"n/a",AVERAGE(F$13:F185))</f>
        <v>117</v>
      </c>
      <c r="H185" s="11">
        <f t="shared" si="35"/>
        <v>117</v>
      </c>
      <c r="J185" s="5"/>
      <c r="K185" s="5"/>
      <c r="L185" s="5"/>
      <c r="M185" s="5"/>
      <c r="N185" s="5"/>
      <c r="O185" s="8" t="str">
        <f t="shared" si="40"/>
        <v>n/a</v>
      </c>
      <c r="Q185" s="5"/>
      <c r="R185" s="5"/>
      <c r="S185" s="5"/>
      <c r="U185" s="6"/>
      <c r="V185" s="9" t="str">
        <f t="shared" si="36"/>
        <v/>
      </c>
      <c r="W185" s="9" t="str">
        <f t="shared" si="37"/>
        <v/>
      </c>
      <c r="X185" s="10">
        <f>SUM(V$13:V185)/COUNTA(B$13:B185)</f>
        <v>4.046242774566474E-2</v>
      </c>
      <c r="Z185" s="5"/>
      <c r="AA185" s="5"/>
      <c r="AC185" s="7"/>
      <c r="AE185" s="54" t="e">
        <f t="shared" si="38"/>
        <v>#N/A</v>
      </c>
      <c r="AF185" s="4" t="e">
        <f t="shared" si="34"/>
        <v>#N/A</v>
      </c>
    </row>
    <row r="186" spans="2:32">
      <c r="B186" s="5">
        <f t="shared" si="39"/>
        <v>174</v>
      </c>
      <c r="C186" s="5"/>
      <c r="E186" s="13"/>
      <c r="F186" s="5"/>
      <c r="G186" s="11">
        <f>IF(ISERROR(AVERAGE(F$13:F186)),"n/a",AVERAGE(F$13:F186))</f>
        <v>117</v>
      </c>
      <c r="H186" s="11">
        <f t="shared" si="35"/>
        <v>117</v>
      </c>
      <c r="J186" s="5"/>
      <c r="K186" s="5"/>
      <c r="L186" s="5"/>
      <c r="M186" s="5"/>
      <c r="N186" s="5"/>
      <c r="O186" s="8" t="str">
        <f t="shared" si="40"/>
        <v>n/a</v>
      </c>
      <c r="Q186" s="5"/>
      <c r="R186" s="5"/>
      <c r="S186" s="5"/>
      <c r="U186" s="6"/>
      <c r="V186" s="9" t="str">
        <f t="shared" si="36"/>
        <v/>
      </c>
      <c r="W186" s="9" t="str">
        <f t="shared" si="37"/>
        <v/>
      </c>
      <c r="X186" s="10">
        <f>SUM(V$13:V186)/COUNTA(B$13:B186)</f>
        <v>4.0229885057471264E-2</v>
      </c>
      <c r="Z186" s="5"/>
      <c r="AA186" s="5"/>
      <c r="AC186" s="7"/>
      <c r="AE186" s="54" t="e">
        <f t="shared" si="38"/>
        <v>#N/A</v>
      </c>
      <c r="AF186" s="4" t="e">
        <f t="shared" si="34"/>
        <v>#N/A</v>
      </c>
    </row>
    <row r="187" spans="2:32">
      <c r="B187" s="5">
        <f t="shared" si="39"/>
        <v>175</v>
      </c>
      <c r="C187" s="5"/>
      <c r="E187" s="13"/>
      <c r="F187" s="5"/>
      <c r="G187" s="11">
        <f>IF(ISERROR(AVERAGE(F$13:F187)),"n/a",AVERAGE(F$13:F187))</f>
        <v>117</v>
      </c>
      <c r="H187" s="11">
        <f t="shared" si="35"/>
        <v>117</v>
      </c>
      <c r="J187" s="5"/>
      <c r="K187" s="5"/>
      <c r="L187" s="5"/>
      <c r="M187" s="5"/>
      <c r="N187" s="5"/>
      <c r="O187" s="8" t="str">
        <f t="shared" si="40"/>
        <v>n/a</v>
      </c>
      <c r="Q187" s="5"/>
      <c r="R187" s="5"/>
      <c r="S187" s="5"/>
      <c r="U187" s="6"/>
      <c r="V187" s="9" t="str">
        <f t="shared" si="36"/>
        <v/>
      </c>
      <c r="W187" s="9" t="str">
        <f t="shared" si="37"/>
        <v/>
      </c>
      <c r="X187" s="10">
        <f>SUM(V$13:V187)/COUNTA(B$13:B187)</f>
        <v>0.04</v>
      </c>
      <c r="Z187" s="5"/>
      <c r="AA187" s="5"/>
      <c r="AC187" s="7"/>
      <c r="AE187" s="54" t="e">
        <f t="shared" si="38"/>
        <v>#N/A</v>
      </c>
      <c r="AF187" s="4" t="e">
        <f t="shared" si="34"/>
        <v>#N/A</v>
      </c>
    </row>
    <row r="188" spans="2:32">
      <c r="B188" s="5">
        <f t="shared" si="39"/>
        <v>176</v>
      </c>
      <c r="C188" s="5"/>
      <c r="E188" s="13"/>
      <c r="F188" s="5"/>
      <c r="G188" s="11">
        <f>IF(ISERROR(AVERAGE(F$13:F188)),"n/a",AVERAGE(F$13:F188))</f>
        <v>117</v>
      </c>
      <c r="H188" s="11">
        <f t="shared" si="35"/>
        <v>117</v>
      </c>
      <c r="J188" s="5"/>
      <c r="K188" s="5"/>
      <c r="L188" s="5"/>
      <c r="M188" s="5"/>
      <c r="N188" s="5"/>
      <c r="O188" s="8" t="str">
        <f t="shared" si="40"/>
        <v>n/a</v>
      </c>
      <c r="Q188" s="5"/>
      <c r="R188" s="5"/>
      <c r="S188" s="5"/>
      <c r="U188" s="6"/>
      <c r="V188" s="9" t="str">
        <f t="shared" si="36"/>
        <v/>
      </c>
      <c r="W188" s="9" t="str">
        <f t="shared" si="37"/>
        <v/>
      </c>
      <c r="X188" s="10">
        <f>SUM(V$13:V188)/COUNTA(B$13:B188)</f>
        <v>3.9772727272727272E-2</v>
      </c>
      <c r="Z188" s="5"/>
      <c r="AA188" s="5"/>
      <c r="AC188" s="7"/>
      <c r="AE188" s="54" t="e">
        <f t="shared" si="38"/>
        <v>#N/A</v>
      </c>
      <c r="AF188" s="4" t="e">
        <f t="shared" si="34"/>
        <v>#N/A</v>
      </c>
    </row>
    <row r="189" spans="2:32">
      <c r="B189" s="5">
        <f t="shared" si="39"/>
        <v>177</v>
      </c>
      <c r="C189" s="5"/>
      <c r="E189" s="13"/>
      <c r="F189" s="5"/>
      <c r="G189" s="11">
        <f>IF(ISERROR(AVERAGE(F$13:F189)),"n/a",AVERAGE(F$13:F189))</f>
        <v>117</v>
      </c>
      <c r="H189" s="11">
        <f t="shared" si="35"/>
        <v>117</v>
      </c>
      <c r="J189" s="5"/>
      <c r="K189" s="5"/>
      <c r="L189" s="5"/>
      <c r="M189" s="5"/>
      <c r="N189" s="5"/>
      <c r="O189" s="8" t="str">
        <f t="shared" si="40"/>
        <v>n/a</v>
      </c>
      <c r="Q189" s="5"/>
      <c r="R189" s="5"/>
      <c r="S189" s="5"/>
      <c r="U189" s="6"/>
      <c r="V189" s="9" t="str">
        <f t="shared" si="36"/>
        <v/>
      </c>
      <c r="W189" s="9" t="str">
        <f t="shared" si="37"/>
        <v/>
      </c>
      <c r="X189" s="10">
        <f>SUM(V$13:V189)/COUNTA(B$13:B189)</f>
        <v>3.954802259887006E-2</v>
      </c>
      <c r="Z189" s="5"/>
      <c r="AA189" s="5"/>
      <c r="AC189" s="7"/>
      <c r="AE189" s="54" t="e">
        <f t="shared" si="38"/>
        <v>#N/A</v>
      </c>
      <c r="AF189" s="4" t="e">
        <f t="shared" si="34"/>
        <v>#N/A</v>
      </c>
    </row>
    <row r="190" spans="2:32">
      <c r="B190" s="5">
        <f t="shared" si="39"/>
        <v>178</v>
      </c>
      <c r="C190" s="5"/>
      <c r="E190" s="13"/>
      <c r="F190" s="5"/>
      <c r="G190" s="11">
        <f>IF(ISERROR(AVERAGE(F$13:F190)),"n/a",AVERAGE(F$13:F190))</f>
        <v>117</v>
      </c>
      <c r="H190" s="11">
        <f t="shared" si="35"/>
        <v>117</v>
      </c>
      <c r="J190" s="5"/>
      <c r="K190" s="5"/>
      <c r="L190" s="5"/>
      <c r="M190" s="5"/>
      <c r="N190" s="5"/>
      <c r="O190" s="8" t="str">
        <f t="shared" si="40"/>
        <v>n/a</v>
      </c>
      <c r="Q190" s="5"/>
      <c r="R190" s="5"/>
      <c r="S190" s="5"/>
      <c r="U190" s="6"/>
      <c r="V190" s="9" t="str">
        <f t="shared" si="36"/>
        <v/>
      </c>
      <c r="W190" s="9" t="str">
        <f t="shared" si="37"/>
        <v/>
      </c>
      <c r="X190" s="10">
        <f>SUM(V$13:V190)/COUNTA(B$13:B190)</f>
        <v>3.9325842696629212E-2</v>
      </c>
      <c r="Z190" s="5"/>
      <c r="AA190" s="5"/>
      <c r="AC190" s="7"/>
      <c r="AE190" s="54" t="e">
        <f t="shared" si="38"/>
        <v>#N/A</v>
      </c>
      <c r="AF190" s="4" t="e">
        <f t="shared" si="34"/>
        <v>#N/A</v>
      </c>
    </row>
    <row r="191" spans="2:32">
      <c r="B191" s="5">
        <f t="shared" si="39"/>
        <v>179</v>
      </c>
      <c r="C191" s="5"/>
      <c r="E191" s="13"/>
      <c r="F191" s="5"/>
      <c r="G191" s="11">
        <f>IF(ISERROR(AVERAGE(F$13:F191)),"n/a",AVERAGE(F$13:F191))</f>
        <v>117</v>
      </c>
      <c r="H191" s="11">
        <f t="shared" si="35"/>
        <v>117</v>
      </c>
      <c r="J191" s="5"/>
      <c r="K191" s="5"/>
      <c r="L191" s="5"/>
      <c r="M191" s="5"/>
      <c r="N191" s="5"/>
      <c r="O191" s="8" t="str">
        <f t="shared" si="40"/>
        <v>n/a</v>
      </c>
      <c r="Q191" s="5"/>
      <c r="R191" s="5"/>
      <c r="S191" s="5"/>
      <c r="U191" s="6"/>
      <c r="V191" s="9" t="str">
        <f t="shared" si="36"/>
        <v/>
      </c>
      <c r="W191" s="9" t="str">
        <f t="shared" si="37"/>
        <v/>
      </c>
      <c r="X191" s="10">
        <f>SUM(V$13:V191)/COUNTA(B$13:B191)</f>
        <v>3.9106145251396648E-2</v>
      </c>
      <c r="Z191" s="5"/>
      <c r="AA191" s="5"/>
      <c r="AC191" s="7"/>
      <c r="AE191" s="54" t="e">
        <f t="shared" si="38"/>
        <v>#N/A</v>
      </c>
      <c r="AF191" s="4" t="e">
        <f t="shared" si="34"/>
        <v>#N/A</v>
      </c>
    </row>
    <row r="192" spans="2:32">
      <c r="B192" s="5">
        <f t="shared" si="39"/>
        <v>180</v>
      </c>
      <c r="C192" s="5"/>
      <c r="E192" s="13"/>
      <c r="F192" s="5"/>
      <c r="G192" s="11">
        <f>IF(ISERROR(AVERAGE(F$13:F192)),"n/a",AVERAGE(F$13:F192))</f>
        <v>117</v>
      </c>
      <c r="H192" s="11">
        <f t="shared" si="35"/>
        <v>117</v>
      </c>
      <c r="J192" s="5"/>
      <c r="K192" s="5"/>
      <c r="L192" s="5"/>
      <c r="M192" s="5"/>
      <c r="N192" s="5"/>
      <c r="O192" s="8" t="str">
        <f t="shared" si="40"/>
        <v>n/a</v>
      </c>
      <c r="Q192" s="5"/>
      <c r="R192" s="5"/>
      <c r="S192" s="5"/>
      <c r="U192" s="6"/>
      <c r="V192" s="9" t="str">
        <f t="shared" si="36"/>
        <v/>
      </c>
      <c r="W192" s="9" t="str">
        <f t="shared" si="37"/>
        <v/>
      </c>
      <c r="X192" s="10">
        <f>SUM(V$13:V192)/COUNTA(B$13:B192)</f>
        <v>3.888888888888889E-2</v>
      </c>
      <c r="Z192" s="5"/>
      <c r="AA192" s="5"/>
      <c r="AC192" s="7"/>
      <c r="AE192" s="54" t="e">
        <f t="shared" si="38"/>
        <v>#N/A</v>
      </c>
      <c r="AF192" s="4" t="e">
        <f t="shared" si="34"/>
        <v>#N/A</v>
      </c>
    </row>
    <row r="193" spans="2:32">
      <c r="B193" s="5">
        <f t="shared" si="39"/>
        <v>181</v>
      </c>
      <c r="C193" s="5"/>
      <c r="E193" s="13"/>
      <c r="F193" s="5"/>
      <c r="G193" s="11">
        <f>IF(ISERROR(AVERAGE(F$13:F193)),"n/a",AVERAGE(F$13:F193))</f>
        <v>117</v>
      </c>
      <c r="H193" s="11">
        <f t="shared" si="35"/>
        <v>117</v>
      </c>
      <c r="J193" s="5"/>
      <c r="K193" s="5"/>
      <c r="L193" s="5"/>
      <c r="M193" s="5"/>
      <c r="N193" s="5"/>
      <c r="O193" s="8" t="str">
        <f t="shared" si="40"/>
        <v>n/a</v>
      </c>
      <c r="Q193" s="5"/>
      <c r="R193" s="5"/>
      <c r="S193" s="5"/>
      <c r="U193" s="6"/>
      <c r="V193" s="9" t="str">
        <f t="shared" si="36"/>
        <v/>
      </c>
      <c r="W193" s="9" t="str">
        <f t="shared" si="37"/>
        <v/>
      </c>
      <c r="X193" s="10">
        <f>SUM(V$13:V193)/COUNTA(B$13:B193)</f>
        <v>3.8674033149171269E-2</v>
      </c>
      <c r="Z193" s="5"/>
      <c r="AA193" s="5"/>
      <c r="AC193" s="7"/>
      <c r="AE193" s="54" t="e">
        <f t="shared" si="38"/>
        <v>#N/A</v>
      </c>
      <c r="AF193" s="4" t="e">
        <f t="shared" si="34"/>
        <v>#N/A</v>
      </c>
    </row>
    <row r="194" spans="2:32">
      <c r="B194" s="5">
        <f t="shared" si="39"/>
        <v>182</v>
      </c>
      <c r="C194" s="5"/>
      <c r="E194" s="13"/>
      <c r="F194" s="5"/>
      <c r="G194" s="11">
        <f>IF(ISERROR(AVERAGE(F$13:F194)),"n/a",AVERAGE(F$13:F194))</f>
        <v>117</v>
      </c>
      <c r="H194" s="11">
        <f t="shared" si="35"/>
        <v>117</v>
      </c>
      <c r="J194" s="5"/>
      <c r="K194" s="5"/>
      <c r="L194" s="5"/>
      <c r="M194" s="5"/>
      <c r="N194" s="5"/>
      <c r="O194" s="8" t="str">
        <f t="shared" si="40"/>
        <v>n/a</v>
      </c>
      <c r="Q194" s="5"/>
      <c r="R194" s="5"/>
      <c r="S194" s="5"/>
      <c r="U194" s="6"/>
      <c r="V194" s="9" t="str">
        <f t="shared" si="36"/>
        <v/>
      </c>
      <c r="W194" s="9" t="str">
        <f t="shared" si="37"/>
        <v/>
      </c>
      <c r="X194" s="10">
        <f>SUM(V$13:V194)/COUNTA(B$13:B194)</f>
        <v>3.8461538461538464E-2</v>
      </c>
      <c r="Z194" s="5"/>
      <c r="AA194" s="5"/>
      <c r="AC194" s="7"/>
      <c r="AE194" s="54" t="e">
        <f t="shared" si="38"/>
        <v>#N/A</v>
      </c>
      <c r="AF194" s="4" t="e">
        <f t="shared" si="34"/>
        <v>#N/A</v>
      </c>
    </row>
    <row r="195" spans="2:32">
      <c r="B195" s="5">
        <f t="shared" si="39"/>
        <v>183</v>
      </c>
      <c r="C195" s="5"/>
      <c r="E195" s="13"/>
      <c r="F195" s="5"/>
      <c r="G195" s="11">
        <f>IF(ISERROR(AVERAGE(F$13:F195)),"n/a",AVERAGE(F$13:F195))</f>
        <v>117</v>
      </c>
      <c r="H195" s="11">
        <f t="shared" si="35"/>
        <v>117</v>
      </c>
      <c r="J195" s="5"/>
      <c r="K195" s="5"/>
      <c r="L195" s="5"/>
      <c r="M195" s="5"/>
      <c r="N195" s="5"/>
      <c r="O195" s="8" t="str">
        <f t="shared" si="40"/>
        <v>n/a</v>
      </c>
      <c r="Q195" s="5"/>
      <c r="R195" s="5"/>
      <c r="S195" s="5"/>
      <c r="U195" s="6"/>
      <c r="V195" s="9" t="str">
        <f t="shared" si="36"/>
        <v/>
      </c>
      <c r="W195" s="9" t="str">
        <f t="shared" si="37"/>
        <v/>
      </c>
      <c r="X195" s="10">
        <f>SUM(V$13:V195)/COUNTA(B$13:B195)</f>
        <v>3.825136612021858E-2</v>
      </c>
      <c r="Z195" s="5"/>
      <c r="AA195" s="5"/>
      <c r="AC195" s="7"/>
      <c r="AE195" s="54" t="e">
        <f t="shared" si="38"/>
        <v>#N/A</v>
      </c>
      <c r="AF195" s="4" t="e">
        <f t="shared" si="34"/>
        <v>#N/A</v>
      </c>
    </row>
    <row r="196" spans="2:32">
      <c r="B196" s="5">
        <f t="shared" si="39"/>
        <v>184</v>
      </c>
      <c r="C196" s="5"/>
      <c r="E196" s="13"/>
      <c r="F196" s="5"/>
      <c r="G196" s="11">
        <f>IF(ISERROR(AVERAGE(F$13:F196)),"n/a",AVERAGE(F$13:F196))</f>
        <v>117</v>
      </c>
      <c r="H196" s="11">
        <f t="shared" si="35"/>
        <v>117</v>
      </c>
      <c r="J196" s="5"/>
      <c r="K196" s="5"/>
      <c r="L196" s="5"/>
      <c r="M196" s="5"/>
      <c r="N196" s="5"/>
      <c r="O196" s="8" t="str">
        <f t="shared" si="40"/>
        <v>n/a</v>
      </c>
      <c r="Q196" s="5"/>
      <c r="R196" s="5"/>
      <c r="S196" s="5"/>
      <c r="U196" s="6"/>
      <c r="V196" s="9" t="str">
        <f t="shared" si="36"/>
        <v/>
      </c>
      <c r="W196" s="9" t="str">
        <f t="shared" si="37"/>
        <v/>
      </c>
      <c r="X196" s="10">
        <f>SUM(V$13:V196)/COUNTA(B$13:B196)</f>
        <v>3.8043478260869568E-2</v>
      </c>
      <c r="Z196" s="5"/>
      <c r="AA196" s="5"/>
      <c r="AC196" s="7"/>
      <c r="AE196" s="54" t="e">
        <f t="shared" si="38"/>
        <v>#N/A</v>
      </c>
      <c r="AF196" s="4" t="e">
        <f t="shared" si="34"/>
        <v>#N/A</v>
      </c>
    </row>
    <row r="197" spans="2:32">
      <c r="B197" s="5">
        <f t="shared" si="39"/>
        <v>185</v>
      </c>
      <c r="C197" s="5"/>
      <c r="E197" s="13"/>
      <c r="F197" s="5"/>
      <c r="G197" s="11">
        <f>IF(ISERROR(AVERAGE(F$13:F197)),"n/a",AVERAGE(F$13:F197))</f>
        <v>117</v>
      </c>
      <c r="H197" s="11">
        <f t="shared" si="35"/>
        <v>117</v>
      </c>
      <c r="J197" s="5"/>
      <c r="K197" s="5"/>
      <c r="L197" s="5"/>
      <c r="M197" s="5"/>
      <c r="N197" s="5"/>
      <c r="O197" s="8" t="str">
        <f t="shared" si="40"/>
        <v>n/a</v>
      </c>
      <c r="Q197" s="5"/>
      <c r="R197" s="5"/>
      <c r="S197" s="5"/>
      <c r="U197" s="6"/>
      <c r="V197" s="9" t="str">
        <f t="shared" si="36"/>
        <v/>
      </c>
      <c r="W197" s="9" t="str">
        <f t="shared" si="37"/>
        <v/>
      </c>
      <c r="X197" s="10">
        <f>SUM(V$13:V197)/COUNTA(B$13:B197)</f>
        <v>3.783783783783784E-2</v>
      </c>
      <c r="Z197" s="5"/>
      <c r="AA197" s="5"/>
      <c r="AC197" s="7"/>
      <c r="AE197" s="54" t="e">
        <f t="shared" si="38"/>
        <v>#N/A</v>
      </c>
      <c r="AF197" s="4" t="e">
        <f t="shared" si="34"/>
        <v>#N/A</v>
      </c>
    </row>
    <row r="198" spans="2:32">
      <c r="B198" s="5">
        <f t="shared" si="39"/>
        <v>186</v>
      </c>
      <c r="C198" s="5"/>
      <c r="E198" s="13"/>
      <c r="F198" s="5"/>
      <c r="G198" s="11">
        <f>IF(ISERROR(AVERAGE(F$13:F198)),"n/a",AVERAGE(F$13:F198))</f>
        <v>117</v>
      </c>
      <c r="H198" s="11">
        <f t="shared" si="35"/>
        <v>117</v>
      </c>
      <c r="J198" s="5"/>
      <c r="K198" s="5"/>
      <c r="L198" s="5"/>
      <c r="M198" s="5"/>
      <c r="N198" s="5"/>
      <c r="O198" s="8" t="str">
        <f t="shared" si="40"/>
        <v>n/a</v>
      </c>
      <c r="Q198" s="5"/>
      <c r="R198" s="5"/>
      <c r="S198" s="5"/>
      <c r="U198" s="6"/>
      <c r="V198" s="9" t="str">
        <f t="shared" si="36"/>
        <v/>
      </c>
      <c r="W198" s="9" t="str">
        <f t="shared" si="37"/>
        <v/>
      </c>
      <c r="X198" s="10">
        <f>SUM(V$13:V198)/COUNTA(B$13:B198)</f>
        <v>3.7634408602150539E-2</v>
      </c>
      <c r="Z198" s="5"/>
      <c r="AA198" s="5"/>
      <c r="AC198" s="7"/>
      <c r="AE198" s="54" t="e">
        <f t="shared" si="38"/>
        <v>#N/A</v>
      </c>
      <c r="AF198" s="4" t="e">
        <f t="shared" si="34"/>
        <v>#N/A</v>
      </c>
    </row>
    <row r="199" spans="2:32">
      <c r="B199" s="5">
        <f t="shared" si="39"/>
        <v>187</v>
      </c>
      <c r="C199" s="5"/>
      <c r="E199" s="13"/>
      <c r="F199" s="5"/>
      <c r="G199" s="11">
        <f>IF(ISERROR(AVERAGE(F$13:F199)),"n/a",AVERAGE(F$13:F199))</f>
        <v>117</v>
      </c>
      <c r="H199" s="11">
        <f t="shared" si="35"/>
        <v>117</v>
      </c>
      <c r="J199" s="5"/>
      <c r="K199" s="5"/>
      <c r="L199" s="5"/>
      <c r="M199" s="5"/>
      <c r="N199" s="5"/>
      <c r="O199" s="8" t="str">
        <f t="shared" si="40"/>
        <v>n/a</v>
      </c>
      <c r="Q199" s="5"/>
      <c r="R199" s="5"/>
      <c r="S199" s="5"/>
      <c r="U199" s="6"/>
      <c r="V199" s="9" t="str">
        <f t="shared" si="36"/>
        <v/>
      </c>
      <c r="W199" s="9" t="str">
        <f t="shared" si="37"/>
        <v/>
      </c>
      <c r="X199" s="10">
        <f>SUM(V$13:V199)/COUNTA(B$13:B199)</f>
        <v>3.7433155080213901E-2</v>
      </c>
      <c r="Z199" s="5"/>
      <c r="AA199" s="5"/>
      <c r="AC199" s="7"/>
      <c r="AE199" s="54" t="e">
        <f t="shared" si="38"/>
        <v>#N/A</v>
      </c>
      <c r="AF199" s="4" t="e">
        <f t="shared" si="34"/>
        <v>#N/A</v>
      </c>
    </row>
    <row r="200" spans="2:32">
      <c r="B200" s="5">
        <f t="shared" si="39"/>
        <v>188</v>
      </c>
      <c r="C200" s="5"/>
      <c r="E200" s="13"/>
      <c r="F200" s="5"/>
      <c r="G200" s="11">
        <f>IF(ISERROR(AVERAGE(F$13:F200)),"n/a",AVERAGE(F$13:F200))</f>
        <v>117</v>
      </c>
      <c r="H200" s="11">
        <f t="shared" si="35"/>
        <v>117</v>
      </c>
      <c r="J200" s="5"/>
      <c r="K200" s="5"/>
      <c r="L200" s="5"/>
      <c r="M200" s="5"/>
      <c r="N200" s="5"/>
      <c r="O200" s="8" t="str">
        <f t="shared" si="40"/>
        <v>n/a</v>
      </c>
      <c r="Q200" s="5"/>
      <c r="R200" s="5"/>
      <c r="S200" s="5"/>
      <c r="U200" s="6"/>
      <c r="V200" s="9" t="str">
        <f t="shared" si="36"/>
        <v/>
      </c>
      <c r="W200" s="9" t="str">
        <f t="shared" si="37"/>
        <v/>
      </c>
      <c r="X200" s="10">
        <f>SUM(V$13:V200)/COUNTA(B$13:B200)</f>
        <v>3.7234042553191488E-2</v>
      </c>
      <c r="Z200" s="5"/>
      <c r="AA200" s="5"/>
      <c r="AC200" s="7"/>
      <c r="AE200" s="54" t="e">
        <f t="shared" si="38"/>
        <v>#N/A</v>
      </c>
      <c r="AF200" s="4" t="e">
        <f t="shared" si="34"/>
        <v>#N/A</v>
      </c>
    </row>
    <row r="201" spans="2:32">
      <c r="B201" s="5">
        <f t="shared" si="39"/>
        <v>189</v>
      </c>
      <c r="C201" s="5"/>
      <c r="E201" s="13"/>
      <c r="F201" s="5"/>
      <c r="G201" s="11">
        <f>IF(ISERROR(AVERAGE(F$13:F201)),"n/a",AVERAGE(F$13:F201))</f>
        <v>117</v>
      </c>
      <c r="H201" s="11">
        <f t="shared" si="35"/>
        <v>117</v>
      </c>
      <c r="J201" s="5"/>
      <c r="K201" s="5"/>
      <c r="L201" s="5"/>
      <c r="M201" s="5"/>
      <c r="N201" s="5"/>
      <c r="O201" s="8" t="str">
        <f t="shared" si="40"/>
        <v>n/a</v>
      </c>
      <c r="Q201" s="5"/>
      <c r="R201" s="5"/>
      <c r="S201" s="5"/>
      <c r="U201" s="6"/>
      <c r="V201" s="9" t="str">
        <f t="shared" si="36"/>
        <v/>
      </c>
      <c r="W201" s="9" t="str">
        <f t="shared" si="37"/>
        <v/>
      </c>
      <c r="X201" s="10">
        <f>SUM(V$13:V201)/COUNTA(B$13:B201)</f>
        <v>3.7037037037037035E-2</v>
      </c>
      <c r="Z201" s="5"/>
      <c r="AA201" s="5"/>
      <c r="AC201" s="7"/>
      <c r="AE201" s="54" t="e">
        <f t="shared" si="38"/>
        <v>#N/A</v>
      </c>
      <c r="AF201" s="4" t="e">
        <f t="shared" si="34"/>
        <v>#N/A</v>
      </c>
    </row>
    <row r="202" spans="2:32">
      <c r="B202" s="5">
        <f t="shared" si="39"/>
        <v>190</v>
      </c>
      <c r="C202" s="5"/>
      <c r="E202" s="13"/>
      <c r="F202" s="5"/>
      <c r="G202" s="11">
        <f>IF(ISERROR(AVERAGE(F$13:F202)),"n/a",AVERAGE(F$13:F202))</f>
        <v>117</v>
      </c>
      <c r="H202" s="11">
        <f t="shared" si="35"/>
        <v>117</v>
      </c>
      <c r="J202" s="5"/>
      <c r="K202" s="5"/>
      <c r="L202" s="5"/>
      <c r="M202" s="5"/>
      <c r="N202" s="5"/>
      <c r="O202" s="8" t="str">
        <f t="shared" si="40"/>
        <v>n/a</v>
      </c>
      <c r="Q202" s="5"/>
      <c r="R202" s="5"/>
      <c r="S202" s="5"/>
      <c r="U202" s="6"/>
      <c r="V202" s="9" t="str">
        <f t="shared" si="36"/>
        <v/>
      </c>
      <c r="W202" s="9" t="str">
        <f t="shared" si="37"/>
        <v/>
      </c>
      <c r="X202" s="10">
        <f>SUM(V$13:V202)/COUNTA(B$13:B202)</f>
        <v>3.6842105263157891E-2</v>
      </c>
      <c r="Z202" s="5"/>
      <c r="AA202" s="5"/>
      <c r="AC202" s="7"/>
      <c r="AE202" s="54" t="e">
        <f t="shared" si="38"/>
        <v>#N/A</v>
      </c>
      <c r="AF202" s="4" t="e">
        <f t="shared" si="34"/>
        <v>#N/A</v>
      </c>
    </row>
    <row r="203" spans="2:32">
      <c r="B203" s="5">
        <f t="shared" si="39"/>
        <v>191</v>
      </c>
      <c r="C203" s="5"/>
      <c r="E203" s="13"/>
      <c r="F203" s="5"/>
      <c r="G203" s="11">
        <f>IF(ISERROR(AVERAGE(F$13:F203)),"n/a",AVERAGE(F$13:F203))</f>
        <v>117</v>
      </c>
      <c r="H203" s="11">
        <f t="shared" si="35"/>
        <v>117</v>
      </c>
      <c r="J203" s="5"/>
      <c r="K203" s="5"/>
      <c r="L203" s="5"/>
      <c r="M203" s="5"/>
      <c r="N203" s="5"/>
      <c r="O203" s="8" t="str">
        <f t="shared" si="40"/>
        <v>n/a</v>
      </c>
      <c r="Q203" s="5"/>
      <c r="R203" s="5"/>
      <c r="S203" s="5"/>
      <c r="U203" s="6"/>
      <c r="V203" s="9" t="str">
        <f t="shared" si="36"/>
        <v/>
      </c>
      <c r="W203" s="9" t="str">
        <f t="shared" si="37"/>
        <v/>
      </c>
      <c r="X203" s="10">
        <f>SUM(V$13:V203)/COUNTA(B$13:B203)</f>
        <v>3.6649214659685861E-2</v>
      </c>
      <c r="Z203" s="5"/>
      <c r="AA203" s="5"/>
      <c r="AC203" s="7"/>
      <c r="AE203" s="54" t="e">
        <f t="shared" si="38"/>
        <v>#N/A</v>
      </c>
      <c r="AF203" s="4" t="e">
        <f t="shared" si="34"/>
        <v>#N/A</v>
      </c>
    </row>
    <row r="204" spans="2:32">
      <c r="B204" s="5">
        <f t="shared" si="39"/>
        <v>192</v>
      </c>
      <c r="C204" s="5"/>
      <c r="E204" s="13"/>
      <c r="F204" s="5"/>
      <c r="G204" s="11">
        <f>IF(ISERROR(AVERAGE(F$13:F204)),"n/a",AVERAGE(F$13:F204))</f>
        <v>117</v>
      </c>
      <c r="H204" s="11">
        <f t="shared" si="35"/>
        <v>117</v>
      </c>
      <c r="J204" s="5"/>
      <c r="K204" s="5"/>
      <c r="L204" s="5"/>
      <c r="M204" s="5"/>
      <c r="N204" s="5"/>
      <c r="O204" s="8" t="str">
        <f t="shared" si="40"/>
        <v>n/a</v>
      </c>
      <c r="Q204" s="5"/>
      <c r="R204" s="5"/>
      <c r="S204" s="5"/>
      <c r="U204" s="6"/>
      <c r="V204" s="9" t="str">
        <f t="shared" si="36"/>
        <v/>
      </c>
      <c r="W204" s="9" t="str">
        <f t="shared" si="37"/>
        <v/>
      </c>
      <c r="X204" s="10">
        <f>SUM(V$13:V204)/COUNTA(B$13:B204)</f>
        <v>3.6458333333333336E-2</v>
      </c>
      <c r="Z204" s="5"/>
      <c r="AA204" s="5"/>
      <c r="AC204" s="7"/>
      <c r="AE204" s="54" t="e">
        <f t="shared" si="38"/>
        <v>#N/A</v>
      </c>
      <c r="AF204" s="4" t="e">
        <f t="shared" si="34"/>
        <v>#N/A</v>
      </c>
    </row>
    <row r="205" spans="2:32">
      <c r="B205" s="5">
        <f t="shared" si="39"/>
        <v>193</v>
      </c>
      <c r="C205" s="5"/>
      <c r="E205" s="13"/>
      <c r="F205" s="5"/>
      <c r="G205" s="11">
        <f>IF(ISERROR(AVERAGE(F$13:F205)),"n/a",AVERAGE(F$13:F205))</f>
        <v>117</v>
      </c>
      <c r="H205" s="11">
        <f t="shared" si="35"/>
        <v>117</v>
      </c>
      <c r="J205" s="5"/>
      <c r="K205" s="5"/>
      <c r="L205" s="5"/>
      <c r="M205" s="5"/>
      <c r="N205" s="5"/>
      <c r="O205" s="8" t="str">
        <f t="shared" si="40"/>
        <v>n/a</v>
      </c>
      <c r="Q205" s="5"/>
      <c r="R205" s="5"/>
      <c r="S205" s="5"/>
      <c r="U205" s="6"/>
      <c r="V205" s="9" t="str">
        <f t="shared" si="36"/>
        <v/>
      </c>
      <c r="W205" s="9" t="str">
        <f t="shared" si="37"/>
        <v/>
      </c>
      <c r="X205" s="10">
        <f>SUM(V$13:V205)/COUNTA(B$13:B205)</f>
        <v>3.6269430051813469E-2</v>
      </c>
      <c r="Z205" s="5"/>
      <c r="AA205" s="5"/>
      <c r="AC205" s="7"/>
      <c r="AE205" s="54" t="e">
        <f t="shared" si="38"/>
        <v>#N/A</v>
      </c>
      <c r="AF205" s="4" t="e">
        <f t="shared" ref="AF205:AF268" si="41">HLOOKUP(C205,$K$6:$O$7,2,FALSE)</f>
        <v>#N/A</v>
      </c>
    </row>
    <row r="206" spans="2:32">
      <c r="B206" s="5">
        <f t="shared" si="39"/>
        <v>194</v>
      </c>
      <c r="C206" s="5"/>
      <c r="E206" s="13"/>
      <c r="F206" s="5"/>
      <c r="G206" s="11">
        <f>IF(ISERROR(AVERAGE(F$13:F206)),"n/a",AVERAGE(F$13:F206))</f>
        <v>117</v>
      </c>
      <c r="H206" s="11">
        <f t="shared" ref="H206:H269" si="42">G206</f>
        <v>117</v>
      </c>
      <c r="J206" s="5"/>
      <c r="K206" s="5"/>
      <c r="L206" s="5"/>
      <c r="M206" s="5"/>
      <c r="N206" s="5"/>
      <c r="O206" s="8" t="str">
        <f t="shared" si="40"/>
        <v>n/a</v>
      </c>
      <c r="Q206" s="5"/>
      <c r="R206" s="5"/>
      <c r="S206" s="5"/>
      <c r="U206" s="6"/>
      <c r="V206" s="9" t="str">
        <f t="shared" ref="V206:V269" si="43">IF(O206="n/a","",IF(O206=U206,1,""))</f>
        <v/>
      </c>
      <c r="W206" s="9" t="str">
        <f t="shared" ref="W206:W269" si="44">IF(O206="n/a","",IF(O206&lt;&gt;U206,1,""))</f>
        <v/>
      </c>
      <c r="X206" s="10">
        <f>SUM(V$13:V206)/COUNTA(B$13:B206)</f>
        <v>3.608247422680412E-2</v>
      </c>
      <c r="Z206" s="5"/>
      <c r="AA206" s="5"/>
      <c r="AC206" s="7"/>
      <c r="AE206" s="54" t="e">
        <f t="shared" ref="AE206:AE269" si="45">+IF($F$4=0,0,IF(W206=1,1,IF(OR(R206*$F$8=1,S206*$F$9=1,F206&gt;=AF206),2,0)))</f>
        <v>#N/A</v>
      </c>
      <c r="AF206" s="4" t="e">
        <f t="shared" si="41"/>
        <v>#N/A</v>
      </c>
    </row>
    <row r="207" spans="2:32">
      <c r="B207" s="5">
        <f t="shared" si="39"/>
        <v>195</v>
      </c>
      <c r="C207" s="5"/>
      <c r="E207" s="13"/>
      <c r="F207" s="5"/>
      <c r="G207" s="11">
        <f>IF(ISERROR(AVERAGE(F$13:F207)),"n/a",AVERAGE(F$13:F207))</f>
        <v>117</v>
      </c>
      <c r="H207" s="11">
        <f t="shared" si="42"/>
        <v>117</v>
      </c>
      <c r="J207" s="5"/>
      <c r="K207" s="5"/>
      <c r="L207" s="5"/>
      <c r="M207" s="5"/>
      <c r="N207" s="5"/>
      <c r="O207" s="8" t="str">
        <f t="shared" si="40"/>
        <v>n/a</v>
      </c>
      <c r="Q207" s="5"/>
      <c r="R207" s="5"/>
      <c r="S207" s="5"/>
      <c r="U207" s="6"/>
      <c r="V207" s="9" t="str">
        <f t="shared" si="43"/>
        <v/>
      </c>
      <c r="W207" s="9" t="str">
        <f t="shared" si="44"/>
        <v/>
      </c>
      <c r="X207" s="10">
        <f>SUM(V$13:V207)/COUNTA(B$13:B207)</f>
        <v>3.5897435897435895E-2</v>
      </c>
      <c r="Z207" s="5"/>
      <c r="AA207" s="5"/>
      <c r="AC207" s="7"/>
      <c r="AE207" s="54" t="e">
        <f t="shared" si="45"/>
        <v>#N/A</v>
      </c>
      <c r="AF207" s="4" t="e">
        <f t="shared" si="41"/>
        <v>#N/A</v>
      </c>
    </row>
    <row r="208" spans="2:32">
      <c r="B208" s="5">
        <f t="shared" si="39"/>
        <v>196</v>
      </c>
      <c r="C208" s="5"/>
      <c r="E208" s="13"/>
      <c r="F208" s="5"/>
      <c r="G208" s="11">
        <f>IF(ISERROR(AVERAGE(F$13:F208)),"n/a",AVERAGE(F$13:F208))</f>
        <v>117</v>
      </c>
      <c r="H208" s="11">
        <f t="shared" si="42"/>
        <v>117</v>
      </c>
      <c r="J208" s="5"/>
      <c r="K208" s="5"/>
      <c r="L208" s="5"/>
      <c r="M208" s="5"/>
      <c r="N208" s="5"/>
      <c r="O208" s="8" t="str">
        <f t="shared" si="40"/>
        <v>n/a</v>
      </c>
      <c r="Q208" s="5"/>
      <c r="R208" s="5"/>
      <c r="S208" s="5"/>
      <c r="U208" s="6"/>
      <c r="V208" s="9" t="str">
        <f t="shared" si="43"/>
        <v/>
      </c>
      <c r="W208" s="9" t="str">
        <f t="shared" si="44"/>
        <v/>
      </c>
      <c r="X208" s="10">
        <f>SUM(V$13:V208)/COUNTA(B$13:B208)</f>
        <v>3.5714285714285712E-2</v>
      </c>
      <c r="Z208" s="5"/>
      <c r="AA208" s="5"/>
      <c r="AC208" s="7"/>
      <c r="AE208" s="54" t="e">
        <f t="shared" si="45"/>
        <v>#N/A</v>
      </c>
      <c r="AF208" s="4" t="e">
        <f t="shared" si="41"/>
        <v>#N/A</v>
      </c>
    </row>
    <row r="209" spans="2:32">
      <c r="B209" s="5">
        <f t="shared" si="39"/>
        <v>197</v>
      </c>
      <c r="C209" s="5"/>
      <c r="E209" s="13"/>
      <c r="F209" s="5"/>
      <c r="G209" s="11">
        <f>IF(ISERROR(AVERAGE(F$13:F209)),"n/a",AVERAGE(F$13:F209))</f>
        <v>117</v>
      </c>
      <c r="H209" s="11">
        <f t="shared" si="42"/>
        <v>117</v>
      </c>
      <c r="J209" s="5"/>
      <c r="K209" s="5"/>
      <c r="L209" s="5"/>
      <c r="M209" s="5"/>
      <c r="N209" s="5"/>
      <c r="O209" s="8" t="str">
        <f t="shared" si="40"/>
        <v>n/a</v>
      </c>
      <c r="Q209" s="5"/>
      <c r="R209" s="5"/>
      <c r="S209" s="5"/>
      <c r="U209" s="6"/>
      <c r="V209" s="9" t="str">
        <f t="shared" si="43"/>
        <v/>
      </c>
      <c r="W209" s="9" t="str">
        <f t="shared" si="44"/>
        <v/>
      </c>
      <c r="X209" s="10">
        <f>SUM(V$13:V209)/COUNTA(B$13:B209)</f>
        <v>3.553299492385787E-2</v>
      </c>
      <c r="Z209" s="5"/>
      <c r="AA209" s="5"/>
      <c r="AC209" s="7"/>
      <c r="AE209" s="54" t="e">
        <f t="shared" si="45"/>
        <v>#N/A</v>
      </c>
      <c r="AF209" s="4" t="e">
        <f t="shared" si="41"/>
        <v>#N/A</v>
      </c>
    </row>
    <row r="210" spans="2:32">
      <c r="B210" s="5">
        <f t="shared" si="39"/>
        <v>198</v>
      </c>
      <c r="C210" s="5"/>
      <c r="E210" s="13"/>
      <c r="F210" s="5"/>
      <c r="G210" s="11">
        <f>IF(ISERROR(AVERAGE(F$13:F210)),"n/a",AVERAGE(F$13:F210))</f>
        <v>117</v>
      </c>
      <c r="H210" s="11">
        <f t="shared" si="42"/>
        <v>117</v>
      </c>
      <c r="J210" s="5"/>
      <c r="K210" s="5"/>
      <c r="L210" s="5"/>
      <c r="M210" s="5"/>
      <c r="N210" s="5"/>
      <c r="O210" s="8" t="str">
        <f t="shared" si="40"/>
        <v>n/a</v>
      </c>
      <c r="Q210" s="5"/>
      <c r="R210" s="5"/>
      <c r="S210" s="5"/>
      <c r="U210" s="6"/>
      <c r="V210" s="9" t="str">
        <f t="shared" si="43"/>
        <v/>
      </c>
      <c r="W210" s="9" t="str">
        <f t="shared" si="44"/>
        <v/>
      </c>
      <c r="X210" s="10">
        <f>SUM(V$13:V210)/COUNTA(B$13:B210)</f>
        <v>3.5353535353535352E-2</v>
      </c>
      <c r="Z210" s="5"/>
      <c r="AA210" s="5"/>
      <c r="AC210" s="7"/>
      <c r="AE210" s="54" t="e">
        <f t="shared" si="45"/>
        <v>#N/A</v>
      </c>
      <c r="AF210" s="4" t="e">
        <f t="shared" si="41"/>
        <v>#N/A</v>
      </c>
    </row>
    <row r="211" spans="2:32">
      <c r="B211" s="5">
        <f t="shared" ref="B211:B274" si="46">+B210+1</f>
        <v>199</v>
      </c>
      <c r="C211" s="5"/>
      <c r="E211" s="13"/>
      <c r="F211" s="5"/>
      <c r="G211" s="11">
        <f>IF(ISERROR(AVERAGE(F$13:F211)),"n/a",AVERAGE(F$13:F211))</f>
        <v>117</v>
      </c>
      <c r="H211" s="11">
        <f t="shared" si="42"/>
        <v>117</v>
      </c>
      <c r="J211" s="5"/>
      <c r="K211" s="5"/>
      <c r="L211" s="5"/>
      <c r="M211" s="5"/>
      <c r="N211" s="5"/>
      <c r="O211" s="8" t="str">
        <f t="shared" si="40"/>
        <v>n/a</v>
      </c>
      <c r="Q211" s="5"/>
      <c r="R211" s="5"/>
      <c r="S211" s="5"/>
      <c r="U211" s="6"/>
      <c r="V211" s="9" t="str">
        <f t="shared" si="43"/>
        <v/>
      </c>
      <c r="W211" s="9" t="str">
        <f t="shared" si="44"/>
        <v/>
      </c>
      <c r="X211" s="10">
        <f>SUM(V$13:V211)/COUNTA(B$13:B211)</f>
        <v>3.5175879396984924E-2</v>
      </c>
      <c r="Z211" s="5"/>
      <c r="AA211" s="5"/>
      <c r="AC211" s="7"/>
      <c r="AE211" s="54" t="e">
        <f t="shared" si="45"/>
        <v>#N/A</v>
      </c>
      <c r="AF211" s="4" t="e">
        <f t="shared" si="41"/>
        <v>#N/A</v>
      </c>
    </row>
    <row r="212" spans="2:32">
      <c r="B212" s="5">
        <f t="shared" si="46"/>
        <v>200</v>
      </c>
      <c r="C212" s="5"/>
      <c r="E212" s="13"/>
      <c r="F212" s="5"/>
      <c r="G212" s="11">
        <f>IF(ISERROR(AVERAGE(F$13:F212)),"n/a",AVERAGE(F$13:F212))</f>
        <v>117</v>
      </c>
      <c r="H212" s="11">
        <f t="shared" si="42"/>
        <v>117</v>
      </c>
      <c r="J212" s="5"/>
      <c r="K212" s="5"/>
      <c r="L212" s="5"/>
      <c r="M212" s="5"/>
      <c r="N212" s="5"/>
      <c r="O212" s="8" t="str">
        <f t="shared" si="40"/>
        <v>n/a</v>
      </c>
      <c r="Q212" s="5"/>
      <c r="R212" s="5"/>
      <c r="S212" s="5"/>
      <c r="U212" s="6"/>
      <c r="V212" s="9" t="str">
        <f t="shared" si="43"/>
        <v/>
      </c>
      <c r="W212" s="9" t="str">
        <f t="shared" si="44"/>
        <v/>
      </c>
      <c r="X212" s="10">
        <f>SUM(V$13:V212)/COUNTA(B$13:B212)</f>
        <v>3.5000000000000003E-2</v>
      </c>
      <c r="Z212" s="5"/>
      <c r="AA212" s="5"/>
      <c r="AC212" s="7"/>
      <c r="AE212" s="54" t="e">
        <f t="shared" si="45"/>
        <v>#N/A</v>
      </c>
      <c r="AF212" s="4" t="e">
        <f t="shared" si="41"/>
        <v>#N/A</v>
      </c>
    </row>
    <row r="213" spans="2:32">
      <c r="B213" s="5">
        <f t="shared" si="46"/>
        <v>201</v>
      </c>
      <c r="C213" s="5"/>
      <c r="E213" s="13"/>
      <c r="F213" s="5"/>
      <c r="G213" s="11">
        <f>IF(ISERROR(AVERAGE(F$13:F213)),"n/a",AVERAGE(F$13:F213))</f>
        <v>117</v>
      </c>
      <c r="H213" s="11">
        <f t="shared" si="42"/>
        <v>117</v>
      </c>
      <c r="J213" s="5"/>
      <c r="K213" s="5"/>
      <c r="L213" s="5"/>
      <c r="M213" s="5"/>
      <c r="N213" s="5"/>
      <c r="O213" s="8" t="str">
        <f t="shared" si="40"/>
        <v>n/a</v>
      </c>
      <c r="Q213" s="5"/>
      <c r="R213" s="5"/>
      <c r="S213" s="5"/>
      <c r="U213" s="6"/>
      <c r="V213" s="9" t="str">
        <f t="shared" si="43"/>
        <v/>
      </c>
      <c r="W213" s="9" t="str">
        <f t="shared" si="44"/>
        <v/>
      </c>
      <c r="X213" s="10">
        <f>SUM(V$13:V213)/COUNTA(B$13:B213)</f>
        <v>3.482587064676617E-2</v>
      </c>
      <c r="Z213" s="5"/>
      <c r="AA213" s="5"/>
      <c r="AC213" s="7"/>
      <c r="AE213" s="54" t="e">
        <f t="shared" si="45"/>
        <v>#N/A</v>
      </c>
      <c r="AF213" s="4" t="e">
        <f t="shared" si="41"/>
        <v>#N/A</v>
      </c>
    </row>
    <row r="214" spans="2:32">
      <c r="B214" s="5">
        <f t="shared" si="46"/>
        <v>202</v>
      </c>
      <c r="C214" s="5"/>
      <c r="E214" s="13"/>
      <c r="F214" s="5"/>
      <c r="G214" s="11">
        <f>IF(ISERROR(AVERAGE(F$13:F214)),"n/a",AVERAGE(F$13:F214))</f>
        <v>117</v>
      </c>
      <c r="H214" s="11">
        <f t="shared" si="42"/>
        <v>117</v>
      </c>
      <c r="J214" s="5"/>
      <c r="K214" s="5"/>
      <c r="L214" s="5"/>
      <c r="M214" s="5"/>
      <c r="N214" s="5"/>
      <c r="O214" s="8" t="str">
        <f t="shared" si="40"/>
        <v>n/a</v>
      </c>
      <c r="Q214" s="5"/>
      <c r="R214" s="5"/>
      <c r="S214" s="5"/>
      <c r="U214" s="6"/>
      <c r="V214" s="9" t="str">
        <f t="shared" si="43"/>
        <v/>
      </c>
      <c r="W214" s="9" t="str">
        <f t="shared" si="44"/>
        <v/>
      </c>
      <c r="X214" s="10">
        <f>SUM(V$13:V214)/COUNTA(B$13:B214)</f>
        <v>3.4653465346534656E-2</v>
      </c>
      <c r="Z214" s="5"/>
      <c r="AA214" s="5"/>
      <c r="AC214" s="7"/>
      <c r="AE214" s="54" t="e">
        <f t="shared" si="45"/>
        <v>#N/A</v>
      </c>
      <c r="AF214" s="4" t="e">
        <f t="shared" si="41"/>
        <v>#N/A</v>
      </c>
    </row>
    <row r="215" spans="2:32">
      <c r="B215" s="5">
        <f t="shared" si="46"/>
        <v>203</v>
      </c>
      <c r="C215" s="5"/>
      <c r="E215" s="13"/>
      <c r="F215" s="5"/>
      <c r="G215" s="11">
        <f>IF(ISERROR(AVERAGE(F$13:F215)),"n/a",AVERAGE(F$13:F215))</f>
        <v>117</v>
      </c>
      <c r="H215" s="11">
        <f t="shared" si="42"/>
        <v>117</v>
      </c>
      <c r="J215" s="5"/>
      <c r="K215" s="5"/>
      <c r="L215" s="5"/>
      <c r="M215" s="5"/>
      <c r="N215" s="5"/>
      <c r="O215" s="8" t="str">
        <f t="shared" si="40"/>
        <v>n/a</v>
      </c>
      <c r="Q215" s="5"/>
      <c r="R215" s="5"/>
      <c r="S215" s="5"/>
      <c r="U215" s="6"/>
      <c r="V215" s="9" t="str">
        <f t="shared" si="43"/>
        <v/>
      </c>
      <c r="W215" s="9" t="str">
        <f t="shared" si="44"/>
        <v/>
      </c>
      <c r="X215" s="10">
        <f>SUM(V$13:V215)/COUNTA(B$13:B215)</f>
        <v>3.4482758620689655E-2</v>
      </c>
      <c r="Z215" s="5"/>
      <c r="AA215" s="5"/>
      <c r="AC215" s="7"/>
      <c r="AE215" s="54" t="e">
        <f t="shared" si="45"/>
        <v>#N/A</v>
      </c>
      <c r="AF215" s="4" t="e">
        <f t="shared" si="41"/>
        <v>#N/A</v>
      </c>
    </row>
    <row r="216" spans="2:32">
      <c r="B216" s="5">
        <f t="shared" si="46"/>
        <v>204</v>
      </c>
      <c r="C216" s="5"/>
      <c r="E216" s="13"/>
      <c r="F216" s="5"/>
      <c r="G216" s="11">
        <f>IF(ISERROR(AVERAGE(F$13:F216)),"n/a",AVERAGE(F$13:F216))</f>
        <v>117</v>
      </c>
      <c r="H216" s="11">
        <f t="shared" si="42"/>
        <v>117</v>
      </c>
      <c r="J216" s="5"/>
      <c r="K216" s="5"/>
      <c r="L216" s="5"/>
      <c r="M216" s="5"/>
      <c r="N216" s="5"/>
      <c r="O216" s="8" t="str">
        <f t="shared" si="40"/>
        <v>n/a</v>
      </c>
      <c r="Q216" s="5"/>
      <c r="R216" s="5"/>
      <c r="S216" s="5"/>
      <c r="U216" s="6"/>
      <c r="V216" s="9" t="str">
        <f t="shared" si="43"/>
        <v/>
      </c>
      <c r="W216" s="9" t="str">
        <f t="shared" si="44"/>
        <v/>
      </c>
      <c r="X216" s="10">
        <f>SUM(V$13:V216)/COUNTA(B$13:B216)</f>
        <v>3.4313725490196081E-2</v>
      </c>
      <c r="Z216" s="5"/>
      <c r="AA216" s="5"/>
      <c r="AC216" s="7"/>
      <c r="AE216" s="54" t="e">
        <f t="shared" si="45"/>
        <v>#N/A</v>
      </c>
      <c r="AF216" s="4" t="e">
        <f t="shared" si="41"/>
        <v>#N/A</v>
      </c>
    </row>
    <row r="217" spans="2:32">
      <c r="B217" s="5">
        <f t="shared" si="46"/>
        <v>205</v>
      </c>
      <c r="C217" s="5"/>
      <c r="E217" s="13"/>
      <c r="F217" s="5"/>
      <c r="G217" s="11">
        <f>IF(ISERROR(AVERAGE(F$13:F217)),"n/a",AVERAGE(F$13:F217))</f>
        <v>117</v>
      </c>
      <c r="H217" s="11">
        <f t="shared" si="42"/>
        <v>117</v>
      </c>
      <c r="J217" s="5"/>
      <c r="K217" s="5"/>
      <c r="L217" s="5"/>
      <c r="M217" s="5"/>
      <c r="N217" s="5"/>
      <c r="O217" s="8" t="str">
        <f t="shared" si="40"/>
        <v>n/a</v>
      </c>
      <c r="Q217" s="5"/>
      <c r="R217" s="5"/>
      <c r="S217" s="5"/>
      <c r="U217" s="6"/>
      <c r="V217" s="9" t="str">
        <f t="shared" si="43"/>
        <v/>
      </c>
      <c r="W217" s="9" t="str">
        <f t="shared" si="44"/>
        <v/>
      </c>
      <c r="X217" s="10">
        <f>SUM(V$13:V217)/COUNTA(B$13:B217)</f>
        <v>3.4146341463414637E-2</v>
      </c>
      <c r="Z217" s="5"/>
      <c r="AA217" s="5"/>
      <c r="AC217" s="7"/>
      <c r="AE217" s="54" t="e">
        <f t="shared" si="45"/>
        <v>#N/A</v>
      </c>
      <c r="AF217" s="4" t="e">
        <f t="shared" si="41"/>
        <v>#N/A</v>
      </c>
    </row>
    <row r="218" spans="2:32">
      <c r="B218" s="5">
        <f t="shared" si="46"/>
        <v>206</v>
      </c>
      <c r="C218" s="5"/>
      <c r="E218" s="13"/>
      <c r="F218" s="5"/>
      <c r="G218" s="11">
        <f>IF(ISERROR(AVERAGE(F$13:F218)),"n/a",AVERAGE(F$13:F218))</f>
        <v>117</v>
      </c>
      <c r="H218" s="11">
        <f t="shared" si="42"/>
        <v>117</v>
      </c>
      <c r="J218" s="5"/>
      <c r="K218" s="5"/>
      <c r="L218" s="5"/>
      <c r="M218" s="5"/>
      <c r="N218" s="5"/>
      <c r="O218" s="8" t="str">
        <f t="shared" si="40"/>
        <v>n/a</v>
      </c>
      <c r="Q218" s="5"/>
      <c r="R218" s="5"/>
      <c r="S218" s="5"/>
      <c r="U218" s="6"/>
      <c r="V218" s="9" t="str">
        <f t="shared" si="43"/>
        <v/>
      </c>
      <c r="W218" s="9" t="str">
        <f t="shared" si="44"/>
        <v/>
      </c>
      <c r="X218" s="10">
        <f>SUM(V$13:V218)/COUNTA(B$13:B218)</f>
        <v>3.3980582524271843E-2</v>
      </c>
      <c r="Z218" s="5"/>
      <c r="AA218" s="5"/>
      <c r="AC218" s="7"/>
      <c r="AE218" s="54" t="e">
        <f t="shared" si="45"/>
        <v>#N/A</v>
      </c>
      <c r="AF218" s="4" t="e">
        <f t="shared" si="41"/>
        <v>#N/A</v>
      </c>
    </row>
    <row r="219" spans="2:32">
      <c r="B219" s="5">
        <f t="shared" si="46"/>
        <v>207</v>
      </c>
      <c r="C219" s="5"/>
      <c r="E219" s="13"/>
      <c r="F219" s="5"/>
      <c r="G219" s="11">
        <f>IF(ISERROR(AVERAGE(F$13:F219)),"n/a",AVERAGE(F$13:F219))</f>
        <v>117</v>
      </c>
      <c r="H219" s="11">
        <f t="shared" si="42"/>
        <v>117</v>
      </c>
      <c r="J219" s="5"/>
      <c r="K219" s="5"/>
      <c r="L219" s="5"/>
      <c r="M219" s="5"/>
      <c r="N219" s="5"/>
      <c r="O219" s="8" t="str">
        <f t="shared" si="40"/>
        <v>n/a</v>
      </c>
      <c r="Q219" s="5"/>
      <c r="R219" s="5"/>
      <c r="S219" s="5"/>
      <c r="U219" s="6"/>
      <c r="V219" s="9" t="str">
        <f t="shared" si="43"/>
        <v/>
      </c>
      <c r="W219" s="9" t="str">
        <f t="shared" si="44"/>
        <v/>
      </c>
      <c r="X219" s="10">
        <f>SUM(V$13:V219)/COUNTA(B$13:B219)</f>
        <v>3.3816425120772944E-2</v>
      </c>
      <c r="Z219" s="5"/>
      <c r="AA219" s="5"/>
      <c r="AC219" s="7"/>
      <c r="AE219" s="54" t="e">
        <f t="shared" si="45"/>
        <v>#N/A</v>
      </c>
      <c r="AF219" s="4" t="e">
        <f t="shared" si="41"/>
        <v>#N/A</v>
      </c>
    </row>
    <row r="220" spans="2:32">
      <c r="B220" s="5">
        <f t="shared" si="46"/>
        <v>208</v>
      </c>
      <c r="C220" s="5"/>
      <c r="E220" s="13"/>
      <c r="F220" s="5"/>
      <c r="G220" s="11">
        <f>IF(ISERROR(AVERAGE(F$13:F220)),"n/a",AVERAGE(F$13:F220))</f>
        <v>117</v>
      </c>
      <c r="H220" s="11">
        <f t="shared" si="42"/>
        <v>117</v>
      </c>
      <c r="J220" s="5"/>
      <c r="K220" s="5"/>
      <c r="L220" s="5"/>
      <c r="M220" s="5"/>
      <c r="N220" s="5"/>
      <c r="O220" s="8" t="str">
        <f t="shared" si="40"/>
        <v>n/a</v>
      </c>
      <c r="Q220" s="5"/>
      <c r="R220" s="5"/>
      <c r="S220" s="5"/>
      <c r="U220" s="6"/>
      <c r="V220" s="9" t="str">
        <f t="shared" si="43"/>
        <v/>
      </c>
      <c r="W220" s="9" t="str">
        <f t="shared" si="44"/>
        <v/>
      </c>
      <c r="X220" s="10">
        <f>SUM(V$13:V220)/COUNTA(B$13:B220)</f>
        <v>3.3653846153846152E-2</v>
      </c>
      <c r="Z220" s="5"/>
      <c r="AA220" s="5"/>
      <c r="AC220" s="7"/>
      <c r="AE220" s="54" t="e">
        <f t="shared" si="45"/>
        <v>#N/A</v>
      </c>
      <c r="AF220" s="4" t="e">
        <f t="shared" si="41"/>
        <v>#N/A</v>
      </c>
    </row>
    <row r="221" spans="2:32">
      <c r="B221" s="5">
        <f t="shared" si="46"/>
        <v>209</v>
      </c>
      <c r="C221" s="5"/>
      <c r="E221" s="13"/>
      <c r="F221" s="5"/>
      <c r="G221" s="11">
        <f>IF(ISERROR(AVERAGE(F$13:F221)),"n/a",AVERAGE(F$13:F221))</f>
        <v>117</v>
      </c>
      <c r="H221" s="11">
        <f t="shared" si="42"/>
        <v>117</v>
      </c>
      <c r="J221" s="5"/>
      <c r="K221" s="5"/>
      <c r="L221" s="5"/>
      <c r="M221" s="5"/>
      <c r="N221" s="5"/>
      <c r="O221" s="8" t="str">
        <f t="shared" si="40"/>
        <v>n/a</v>
      </c>
      <c r="Q221" s="5"/>
      <c r="R221" s="5"/>
      <c r="S221" s="5"/>
      <c r="U221" s="6"/>
      <c r="V221" s="9" t="str">
        <f t="shared" si="43"/>
        <v/>
      </c>
      <c r="W221" s="9" t="str">
        <f t="shared" si="44"/>
        <v/>
      </c>
      <c r="X221" s="10">
        <f>SUM(V$13:V221)/COUNTA(B$13:B221)</f>
        <v>3.3492822966507178E-2</v>
      </c>
      <c r="Z221" s="5"/>
      <c r="AA221" s="5"/>
      <c r="AC221" s="7"/>
      <c r="AE221" s="54" t="e">
        <f t="shared" si="45"/>
        <v>#N/A</v>
      </c>
      <c r="AF221" s="4" t="e">
        <f t="shared" si="41"/>
        <v>#N/A</v>
      </c>
    </row>
    <row r="222" spans="2:32">
      <c r="B222" s="5">
        <f t="shared" si="46"/>
        <v>210</v>
      </c>
      <c r="C222" s="5"/>
      <c r="E222" s="13"/>
      <c r="F222" s="5"/>
      <c r="G222" s="11">
        <f>IF(ISERROR(AVERAGE(F$13:F222)),"n/a",AVERAGE(F$13:F222))</f>
        <v>117</v>
      </c>
      <c r="H222" s="11">
        <f t="shared" si="42"/>
        <v>117</v>
      </c>
      <c r="J222" s="5"/>
      <c r="K222" s="5"/>
      <c r="L222" s="5"/>
      <c r="M222" s="5"/>
      <c r="N222" s="5"/>
      <c r="O222" s="8" t="str">
        <f t="shared" si="40"/>
        <v>n/a</v>
      </c>
      <c r="Q222" s="5"/>
      <c r="R222" s="5"/>
      <c r="S222" s="5"/>
      <c r="U222" s="6"/>
      <c r="V222" s="9" t="str">
        <f t="shared" si="43"/>
        <v/>
      </c>
      <c r="W222" s="9" t="str">
        <f t="shared" si="44"/>
        <v/>
      </c>
      <c r="X222" s="10">
        <f>SUM(V$13:V222)/COUNTA(B$13:B222)</f>
        <v>3.3333333333333333E-2</v>
      </c>
      <c r="Z222" s="5"/>
      <c r="AA222" s="5"/>
      <c r="AC222" s="7"/>
      <c r="AE222" s="54" t="e">
        <f t="shared" si="45"/>
        <v>#N/A</v>
      </c>
      <c r="AF222" s="4" t="e">
        <f t="shared" si="41"/>
        <v>#N/A</v>
      </c>
    </row>
    <row r="223" spans="2:32">
      <c r="B223" s="5">
        <f t="shared" si="46"/>
        <v>211</v>
      </c>
      <c r="C223" s="5"/>
      <c r="E223" s="13"/>
      <c r="F223" s="5"/>
      <c r="G223" s="11">
        <f>IF(ISERROR(AVERAGE(F$13:F223)),"n/a",AVERAGE(F$13:F223))</f>
        <v>117</v>
      </c>
      <c r="H223" s="11">
        <f t="shared" si="42"/>
        <v>117</v>
      </c>
      <c r="J223" s="5"/>
      <c r="K223" s="5"/>
      <c r="L223" s="5"/>
      <c r="M223" s="5"/>
      <c r="N223" s="5"/>
      <c r="O223" s="8" t="str">
        <f t="shared" si="40"/>
        <v>n/a</v>
      </c>
      <c r="Q223" s="5"/>
      <c r="R223" s="5"/>
      <c r="S223" s="5"/>
      <c r="U223" s="6"/>
      <c r="V223" s="9" t="str">
        <f t="shared" si="43"/>
        <v/>
      </c>
      <c r="W223" s="9" t="str">
        <f t="shared" si="44"/>
        <v/>
      </c>
      <c r="X223" s="10">
        <f>SUM(V$13:V223)/COUNTA(B$13:B223)</f>
        <v>3.3175355450236969E-2</v>
      </c>
      <c r="Z223" s="5"/>
      <c r="AA223" s="5"/>
      <c r="AC223" s="7"/>
      <c r="AE223" s="54" t="e">
        <f t="shared" si="45"/>
        <v>#N/A</v>
      </c>
      <c r="AF223" s="4" t="e">
        <f t="shared" si="41"/>
        <v>#N/A</v>
      </c>
    </row>
    <row r="224" spans="2:32">
      <c r="B224" s="5">
        <f t="shared" si="46"/>
        <v>212</v>
      </c>
      <c r="C224" s="5"/>
      <c r="E224" s="13"/>
      <c r="F224" s="5"/>
      <c r="G224" s="11">
        <f>IF(ISERROR(AVERAGE(F$13:F224)),"n/a",AVERAGE(F$13:F224))</f>
        <v>117</v>
      </c>
      <c r="H224" s="11">
        <f t="shared" si="42"/>
        <v>117</v>
      </c>
      <c r="J224" s="5"/>
      <c r="K224" s="5"/>
      <c r="L224" s="5"/>
      <c r="M224" s="5"/>
      <c r="N224" s="5"/>
      <c r="O224" s="8" t="str">
        <f t="shared" si="40"/>
        <v>n/a</v>
      </c>
      <c r="Q224" s="5"/>
      <c r="R224" s="5"/>
      <c r="S224" s="5"/>
      <c r="U224" s="6"/>
      <c r="V224" s="9" t="str">
        <f t="shared" si="43"/>
        <v/>
      </c>
      <c r="W224" s="9" t="str">
        <f t="shared" si="44"/>
        <v/>
      </c>
      <c r="X224" s="10">
        <f>SUM(V$13:V224)/COUNTA(B$13:B224)</f>
        <v>3.3018867924528301E-2</v>
      </c>
      <c r="Z224" s="5"/>
      <c r="AA224" s="5"/>
      <c r="AC224" s="7"/>
      <c r="AE224" s="54" t="e">
        <f t="shared" si="45"/>
        <v>#N/A</v>
      </c>
      <c r="AF224" s="4" t="e">
        <f t="shared" si="41"/>
        <v>#N/A</v>
      </c>
    </row>
    <row r="225" spans="2:32">
      <c r="B225" s="5">
        <f t="shared" si="46"/>
        <v>213</v>
      </c>
      <c r="C225" s="5"/>
      <c r="E225" s="13"/>
      <c r="F225" s="5"/>
      <c r="G225" s="11">
        <f>IF(ISERROR(AVERAGE(F$13:F225)),"n/a",AVERAGE(F$13:F225))</f>
        <v>117</v>
      </c>
      <c r="H225" s="11">
        <f t="shared" si="42"/>
        <v>117</v>
      </c>
      <c r="J225" s="5"/>
      <c r="K225" s="5"/>
      <c r="L225" s="5"/>
      <c r="M225" s="5"/>
      <c r="N225" s="5"/>
      <c r="O225" s="8" t="str">
        <f t="shared" si="40"/>
        <v>n/a</v>
      </c>
      <c r="Q225" s="5"/>
      <c r="R225" s="5"/>
      <c r="S225" s="5"/>
      <c r="U225" s="6"/>
      <c r="V225" s="9" t="str">
        <f t="shared" si="43"/>
        <v/>
      </c>
      <c r="W225" s="9" t="str">
        <f t="shared" si="44"/>
        <v/>
      </c>
      <c r="X225" s="10">
        <f>SUM(V$13:V225)/COUNTA(B$13:B225)</f>
        <v>3.2863849765258218E-2</v>
      </c>
      <c r="Z225" s="5"/>
      <c r="AA225" s="5"/>
      <c r="AC225" s="7"/>
      <c r="AE225" s="54" t="e">
        <f t="shared" si="45"/>
        <v>#N/A</v>
      </c>
      <c r="AF225" s="4" t="e">
        <f t="shared" si="41"/>
        <v>#N/A</v>
      </c>
    </row>
    <row r="226" spans="2:32">
      <c r="B226" s="5">
        <f t="shared" si="46"/>
        <v>214</v>
      </c>
      <c r="C226" s="5"/>
      <c r="E226" s="13"/>
      <c r="F226" s="5"/>
      <c r="G226" s="11">
        <f>IF(ISERROR(AVERAGE(F$13:F226)),"n/a",AVERAGE(F$13:F226))</f>
        <v>117</v>
      </c>
      <c r="H226" s="11">
        <f t="shared" si="42"/>
        <v>117</v>
      </c>
      <c r="J226" s="5"/>
      <c r="K226" s="5"/>
      <c r="L226" s="5"/>
      <c r="M226" s="5"/>
      <c r="N226" s="5"/>
      <c r="O226" s="8" t="str">
        <f t="shared" si="40"/>
        <v>n/a</v>
      </c>
      <c r="Q226" s="5"/>
      <c r="R226" s="5"/>
      <c r="S226" s="5"/>
      <c r="U226" s="6"/>
      <c r="V226" s="9" t="str">
        <f t="shared" si="43"/>
        <v/>
      </c>
      <c r="W226" s="9" t="str">
        <f t="shared" si="44"/>
        <v/>
      </c>
      <c r="X226" s="10">
        <f>SUM(V$13:V226)/COUNTA(B$13:B226)</f>
        <v>3.2710280373831772E-2</v>
      </c>
      <c r="Z226" s="5"/>
      <c r="AA226" s="5"/>
      <c r="AC226" s="7"/>
      <c r="AE226" s="54" t="e">
        <f t="shared" si="45"/>
        <v>#N/A</v>
      </c>
      <c r="AF226" s="4" t="e">
        <f t="shared" si="41"/>
        <v>#N/A</v>
      </c>
    </row>
    <row r="227" spans="2:32">
      <c r="B227" s="5">
        <f t="shared" si="46"/>
        <v>215</v>
      </c>
      <c r="C227" s="5"/>
      <c r="E227" s="13"/>
      <c r="F227" s="5"/>
      <c r="G227" s="11">
        <f>IF(ISERROR(AVERAGE(F$13:F227)),"n/a",AVERAGE(F$13:F227))</f>
        <v>117</v>
      </c>
      <c r="H227" s="11">
        <f t="shared" si="42"/>
        <v>117</v>
      </c>
      <c r="J227" s="5"/>
      <c r="K227" s="5"/>
      <c r="L227" s="5"/>
      <c r="M227" s="5"/>
      <c r="N227" s="5"/>
      <c r="O227" s="8" t="str">
        <f t="shared" si="40"/>
        <v>n/a</v>
      </c>
      <c r="Q227" s="5"/>
      <c r="R227" s="5"/>
      <c r="S227" s="5"/>
      <c r="U227" s="6"/>
      <c r="V227" s="9" t="str">
        <f t="shared" si="43"/>
        <v/>
      </c>
      <c r="W227" s="9" t="str">
        <f t="shared" si="44"/>
        <v/>
      </c>
      <c r="X227" s="10">
        <f>SUM(V$13:V227)/COUNTA(B$13:B227)</f>
        <v>3.255813953488372E-2</v>
      </c>
      <c r="Z227" s="5"/>
      <c r="AA227" s="5"/>
      <c r="AC227" s="7"/>
      <c r="AE227" s="54" t="e">
        <f t="shared" si="45"/>
        <v>#N/A</v>
      </c>
      <c r="AF227" s="4" t="e">
        <f t="shared" si="41"/>
        <v>#N/A</v>
      </c>
    </row>
    <row r="228" spans="2:32">
      <c r="B228" s="5">
        <f t="shared" si="46"/>
        <v>216</v>
      </c>
      <c r="C228" s="5"/>
      <c r="E228" s="13"/>
      <c r="F228" s="5"/>
      <c r="G228" s="11">
        <f>IF(ISERROR(AVERAGE(F$13:F228)),"n/a",AVERAGE(F$13:F228))</f>
        <v>117</v>
      </c>
      <c r="H228" s="11">
        <f t="shared" si="42"/>
        <v>117</v>
      </c>
      <c r="J228" s="5"/>
      <c r="K228" s="5"/>
      <c r="L228" s="5"/>
      <c r="M228" s="5"/>
      <c r="N228" s="5"/>
      <c r="O228" s="8" t="str">
        <f t="shared" si="40"/>
        <v>n/a</v>
      </c>
      <c r="Q228" s="5"/>
      <c r="R228" s="5"/>
      <c r="S228" s="5"/>
      <c r="U228" s="6"/>
      <c r="V228" s="9" t="str">
        <f t="shared" si="43"/>
        <v/>
      </c>
      <c r="W228" s="9" t="str">
        <f t="shared" si="44"/>
        <v/>
      </c>
      <c r="X228" s="10">
        <f>SUM(V$13:V228)/COUNTA(B$13:B228)</f>
        <v>3.2407407407407406E-2</v>
      </c>
      <c r="Z228" s="5"/>
      <c r="AA228" s="5"/>
      <c r="AC228" s="7"/>
      <c r="AE228" s="54" t="e">
        <f t="shared" si="45"/>
        <v>#N/A</v>
      </c>
      <c r="AF228" s="4" t="e">
        <f t="shared" si="41"/>
        <v>#N/A</v>
      </c>
    </row>
    <row r="229" spans="2:32">
      <c r="B229" s="5">
        <f t="shared" si="46"/>
        <v>217</v>
      </c>
      <c r="C229" s="5"/>
      <c r="E229" s="13"/>
      <c r="F229" s="5"/>
      <c r="G229" s="11">
        <f>IF(ISERROR(AVERAGE(F$13:F229)),"n/a",AVERAGE(F$13:F229))</f>
        <v>117</v>
      </c>
      <c r="H229" s="11">
        <f t="shared" si="42"/>
        <v>117</v>
      </c>
      <c r="J229" s="5"/>
      <c r="K229" s="5"/>
      <c r="L229" s="5"/>
      <c r="M229" s="5"/>
      <c r="N229" s="5"/>
      <c r="O229" s="8" t="str">
        <f t="shared" si="40"/>
        <v>n/a</v>
      </c>
      <c r="Q229" s="5"/>
      <c r="R229" s="5"/>
      <c r="S229" s="5"/>
      <c r="U229" s="6"/>
      <c r="V229" s="9" t="str">
        <f t="shared" si="43"/>
        <v/>
      </c>
      <c r="W229" s="9" t="str">
        <f t="shared" si="44"/>
        <v/>
      </c>
      <c r="X229" s="10">
        <f>SUM(V$13:V229)/COUNTA(B$13:B229)</f>
        <v>3.2258064516129031E-2</v>
      </c>
      <c r="Z229" s="5"/>
      <c r="AA229" s="5"/>
      <c r="AC229" s="7"/>
      <c r="AE229" s="54" t="e">
        <f t="shared" si="45"/>
        <v>#N/A</v>
      </c>
      <c r="AF229" s="4" t="e">
        <f t="shared" si="41"/>
        <v>#N/A</v>
      </c>
    </row>
    <row r="230" spans="2:32">
      <c r="B230" s="5">
        <f t="shared" si="46"/>
        <v>218</v>
      </c>
      <c r="C230" s="5"/>
      <c r="E230" s="13"/>
      <c r="F230" s="5"/>
      <c r="G230" s="11">
        <f>IF(ISERROR(AVERAGE(F$13:F230)),"n/a",AVERAGE(F$13:F230))</f>
        <v>117</v>
      </c>
      <c r="H230" s="11">
        <f t="shared" si="42"/>
        <v>117</v>
      </c>
      <c r="J230" s="5"/>
      <c r="K230" s="5"/>
      <c r="L230" s="5"/>
      <c r="M230" s="5"/>
      <c r="N230" s="5"/>
      <c r="O230" s="8" t="str">
        <f t="shared" si="40"/>
        <v>n/a</v>
      </c>
      <c r="Q230" s="5"/>
      <c r="R230" s="5"/>
      <c r="S230" s="5"/>
      <c r="U230" s="6"/>
      <c r="V230" s="9" t="str">
        <f t="shared" si="43"/>
        <v/>
      </c>
      <c r="W230" s="9" t="str">
        <f t="shared" si="44"/>
        <v/>
      </c>
      <c r="X230" s="10">
        <f>SUM(V$13:V230)/COUNTA(B$13:B230)</f>
        <v>3.2110091743119268E-2</v>
      </c>
      <c r="Z230" s="5"/>
      <c r="AA230" s="5"/>
      <c r="AC230" s="7"/>
      <c r="AE230" s="54" t="e">
        <f t="shared" si="45"/>
        <v>#N/A</v>
      </c>
      <c r="AF230" s="4" t="e">
        <f t="shared" si="41"/>
        <v>#N/A</v>
      </c>
    </row>
    <row r="231" spans="2:32">
      <c r="B231" s="5">
        <f t="shared" si="46"/>
        <v>219</v>
      </c>
      <c r="C231" s="5"/>
      <c r="E231" s="13"/>
      <c r="F231" s="5"/>
      <c r="G231" s="11">
        <f>IF(ISERROR(AVERAGE(F$13:F231)),"n/a",AVERAGE(F$13:F231))</f>
        <v>117</v>
      </c>
      <c r="H231" s="11">
        <f t="shared" si="42"/>
        <v>117</v>
      </c>
      <c r="J231" s="5"/>
      <c r="K231" s="5"/>
      <c r="L231" s="5"/>
      <c r="M231" s="5"/>
      <c r="N231" s="5"/>
      <c r="O231" s="8" t="str">
        <f t="shared" si="40"/>
        <v>n/a</v>
      </c>
      <c r="Q231" s="5"/>
      <c r="R231" s="5"/>
      <c r="S231" s="5"/>
      <c r="U231" s="6"/>
      <c r="V231" s="9" t="str">
        <f t="shared" si="43"/>
        <v/>
      </c>
      <c r="W231" s="9" t="str">
        <f t="shared" si="44"/>
        <v/>
      </c>
      <c r="X231" s="10">
        <f>SUM(V$13:V231)/COUNTA(B$13:B231)</f>
        <v>3.1963470319634701E-2</v>
      </c>
      <c r="Z231" s="5"/>
      <c r="AA231" s="5"/>
      <c r="AC231" s="7"/>
      <c r="AE231" s="54" t="e">
        <f t="shared" si="45"/>
        <v>#N/A</v>
      </c>
      <c r="AF231" s="4" t="e">
        <f t="shared" si="41"/>
        <v>#N/A</v>
      </c>
    </row>
    <row r="232" spans="2:32">
      <c r="B232" s="5">
        <f t="shared" si="46"/>
        <v>220</v>
      </c>
      <c r="C232" s="5"/>
      <c r="E232" s="13"/>
      <c r="F232" s="5"/>
      <c r="G232" s="11">
        <f>IF(ISERROR(AVERAGE(F$13:F232)),"n/a",AVERAGE(F$13:F232))</f>
        <v>117</v>
      </c>
      <c r="H232" s="11">
        <f t="shared" si="42"/>
        <v>117</v>
      </c>
      <c r="J232" s="5"/>
      <c r="K232" s="5"/>
      <c r="L232" s="5"/>
      <c r="M232" s="5"/>
      <c r="N232" s="5"/>
      <c r="O232" s="8" t="str">
        <f t="shared" si="40"/>
        <v>n/a</v>
      </c>
      <c r="Q232" s="5"/>
      <c r="R232" s="5"/>
      <c r="S232" s="5"/>
      <c r="U232" s="6"/>
      <c r="V232" s="9" t="str">
        <f t="shared" si="43"/>
        <v/>
      </c>
      <c r="W232" s="9" t="str">
        <f t="shared" si="44"/>
        <v/>
      </c>
      <c r="X232" s="10">
        <f>SUM(V$13:V232)/COUNTA(B$13:B232)</f>
        <v>3.1818181818181815E-2</v>
      </c>
      <c r="Z232" s="5"/>
      <c r="AA232" s="5"/>
      <c r="AC232" s="7"/>
      <c r="AE232" s="54" t="e">
        <f t="shared" si="45"/>
        <v>#N/A</v>
      </c>
      <c r="AF232" s="4" t="e">
        <f t="shared" si="41"/>
        <v>#N/A</v>
      </c>
    </row>
    <row r="233" spans="2:32">
      <c r="B233" s="5">
        <f t="shared" si="46"/>
        <v>221</v>
      </c>
      <c r="C233" s="5"/>
      <c r="E233" s="13"/>
      <c r="F233" s="5"/>
      <c r="G233" s="11">
        <f>IF(ISERROR(AVERAGE(F$13:F233)),"n/a",AVERAGE(F$13:F233))</f>
        <v>117</v>
      </c>
      <c r="H233" s="11">
        <f t="shared" si="42"/>
        <v>117</v>
      </c>
      <c r="J233" s="5"/>
      <c r="K233" s="5"/>
      <c r="L233" s="5"/>
      <c r="M233" s="5"/>
      <c r="N233" s="5"/>
      <c r="O233" s="8" t="str">
        <f t="shared" si="40"/>
        <v>n/a</v>
      </c>
      <c r="Q233" s="5"/>
      <c r="R233" s="5"/>
      <c r="S233" s="5"/>
      <c r="U233" s="6"/>
      <c r="V233" s="9" t="str">
        <f t="shared" si="43"/>
        <v/>
      </c>
      <c r="W233" s="9" t="str">
        <f t="shared" si="44"/>
        <v/>
      </c>
      <c r="X233" s="10">
        <f>SUM(V$13:V233)/COUNTA(B$13:B233)</f>
        <v>3.1674208144796379E-2</v>
      </c>
      <c r="Z233" s="5"/>
      <c r="AA233" s="5"/>
      <c r="AC233" s="7"/>
      <c r="AE233" s="54" t="e">
        <f t="shared" si="45"/>
        <v>#N/A</v>
      </c>
      <c r="AF233" s="4" t="e">
        <f t="shared" si="41"/>
        <v>#N/A</v>
      </c>
    </row>
    <row r="234" spans="2:32">
      <c r="B234" s="5">
        <f t="shared" si="46"/>
        <v>222</v>
      </c>
      <c r="C234" s="5"/>
      <c r="E234" s="13"/>
      <c r="F234" s="5"/>
      <c r="G234" s="11">
        <f>IF(ISERROR(AVERAGE(F$13:F234)),"n/a",AVERAGE(F$13:F234))</f>
        <v>117</v>
      </c>
      <c r="H234" s="11">
        <f t="shared" si="42"/>
        <v>117</v>
      </c>
      <c r="J234" s="5"/>
      <c r="K234" s="5"/>
      <c r="L234" s="5"/>
      <c r="M234" s="5"/>
      <c r="N234" s="5"/>
      <c r="O234" s="8" t="str">
        <f t="shared" si="40"/>
        <v>n/a</v>
      </c>
      <c r="Q234" s="5"/>
      <c r="R234" s="5"/>
      <c r="S234" s="5"/>
      <c r="U234" s="6"/>
      <c r="V234" s="9" t="str">
        <f t="shared" si="43"/>
        <v/>
      </c>
      <c r="W234" s="9" t="str">
        <f t="shared" si="44"/>
        <v/>
      </c>
      <c r="X234" s="10">
        <f>SUM(V$13:V234)/COUNTA(B$13:B234)</f>
        <v>3.1531531531531529E-2</v>
      </c>
      <c r="Z234" s="5"/>
      <c r="AA234" s="5"/>
      <c r="AC234" s="7"/>
      <c r="AE234" s="54" t="e">
        <f t="shared" si="45"/>
        <v>#N/A</v>
      </c>
      <c r="AF234" s="4" t="e">
        <f t="shared" si="41"/>
        <v>#N/A</v>
      </c>
    </row>
    <row r="235" spans="2:32">
      <c r="B235" s="5">
        <f t="shared" si="46"/>
        <v>223</v>
      </c>
      <c r="C235" s="5"/>
      <c r="E235" s="13"/>
      <c r="F235" s="5"/>
      <c r="G235" s="11">
        <f>IF(ISERROR(AVERAGE(F$13:F235)),"n/a",AVERAGE(F$13:F235))</f>
        <v>117</v>
      </c>
      <c r="H235" s="11">
        <f t="shared" si="42"/>
        <v>117</v>
      </c>
      <c r="J235" s="5"/>
      <c r="K235" s="5"/>
      <c r="L235" s="5"/>
      <c r="M235" s="5"/>
      <c r="N235" s="5"/>
      <c r="O235" s="8" t="str">
        <f t="shared" si="40"/>
        <v>n/a</v>
      </c>
      <c r="Q235" s="5"/>
      <c r="R235" s="5"/>
      <c r="S235" s="5"/>
      <c r="U235" s="6"/>
      <c r="V235" s="9" t="str">
        <f t="shared" si="43"/>
        <v/>
      </c>
      <c r="W235" s="9" t="str">
        <f t="shared" si="44"/>
        <v/>
      </c>
      <c r="X235" s="10">
        <f>SUM(V$13:V235)/COUNTA(B$13:B235)</f>
        <v>3.1390134529147982E-2</v>
      </c>
      <c r="Z235" s="5"/>
      <c r="AA235" s="5"/>
      <c r="AC235" s="7"/>
      <c r="AE235" s="54" t="e">
        <f t="shared" si="45"/>
        <v>#N/A</v>
      </c>
      <c r="AF235" s="4" t="e">
        <f t="shared" si="41"/>
        <v>#N/A</v>
      </c>
    </row>
    <row r="236" spans="2:32">
      <c r="B236" s="5">
        <f t="shared" si="46"/>
        <v>224</v>
      </c>
      <c r="C236" s="5"/>
      <c r="E236" s="13"/>
      <c r="F236" s="5"/>
      <c r="G236" s="11">
        <f>IF(ISERROR(AVERAGE(F$13:F236)),"n/a",AVERAGE(F$13:F236))</f>
        <v>117</v>
      </c>
      <c r="H236" s="11">
        <f t="shared" si="42"/>
        <v>117</v>
      </c>
      <c r="J236" s="5"/>
      <c r="K236" s="5"/>
      <c r="L236" s="5"/>
      <c r="M236" s="5"/>
      <c r="N236" s="5"/>
      <c r="O236" s="8" t="str">
        <f t="shared" si="40"/>
        <v>n/a</v>
      </c>
      <c r="Q236" s="5"/>
      <c r="R236" s="5"/>
      <c r="S236" s="5"/>
      <c r="U236" s="6"/>
      <c r="V236" s="9" t="str">
        <f t="shared" si="43"/>
        <v/>
      </c>
      <c r="W236" s="9" t="str">
        <f t="shared" si="44"/>
        <v/>
      </c>
      <c r="X236" s="10">
        <f>SUM(V$13:V236)/COUNTA(B$13:B236)</f>
        <v>3.125E-2</v>
      </c>
      <c r="Z236" s="5"/>
      <c r="AA236" s="5"/>
      <c r="AC236" s="7"/>
      <c r="AE236" s="54" t="e">
        <f t="shared" si="45"/>
        <v>#N/A</v>
      </c>
      <c r="AF236" s="4" t="e">
        <f t="shared" si="41"/>
        <v>#N/A</v>
      </c>
    </row>
    <row r="237" spans="2:32">
      <c r="B237" s="5">
        <f t="shared" si="46"/>
        <v>225</v>
      </c>
      <c r="C237" s="5"/>
      <c r="E237" s="13"/>
      <c r="F237" s="5"/>
      <c r="G237" s="11">
        <f>IF(ISERROR(AVERAGE(F$13:F237)),"n/a",AVERAGE(F$13:F237))</f>
        <v>117</v>
      </c>
      <c r="H237" s="11">
        <f t="shared" si="42"/>
        <v>117</v>
      </c>
      <c r="J237" s="5"/>
      <c r="K237" s="5"/>
      <c r="L237" s="5"/>
      <c r="M237" s="5"/>
      <c r="N237" s="5"/>
      <c r="O237" s="8" t="str">
        <f t="shared" si="40"/>
        <v>n/a</v>
      </c>
      <c r="Q237" s="5"/>
      <c r="R237" s="5"/>
      <c r="S237" s="5"/>
      <c r="U237" s="6"/>
      <c r="V237" s="9" t="str">
        <f t="shared" si="43"/>
        <v/>
      </c>
      <c r="W237" s="9" t="str">
        <f t="shared" si="44"/>
        <v/>
      </c>
      <c r="X237" s="10">
        <f>SUM(V$13:V237)/COUNTA(B$13:B237)</f>
        <v>3.111111111111111E-2</v>
      </c>
      <c r="Z237" s="5"/>
      <c r="AA237" s="5"/>
      <c r="AC237" s="7"/>
      <c r="AE237" s="54" t="e">
        <f t="shared" si="45"/>
        <v>#N/A</v>
      </c>
      <c r="AF237" s="4" t="e">
        <f t="shared" si="41"/>
        <v>#N/A</v>
      </c>
    </row>
    <row r="238" spans="2:32">
      <c r="B238" s="5">
        <f t="shared" si="46"/>
        <v>226</v>
      </c>
      <c r="C238" s="5"/>
      <c r="E238" s="13"/>
      <c r="F238" s="5"/>
      <c r="G238" s="11">
        <f>IF(ISERROR(AVERAGE(F$13:F238)),"n/a",AVERAGE(F$13:F238))</f>
        <v>117</v>
      </c>
      <c r="H238" s="11">
        <f t="shared" si="42"/>
        <v>117</v>
      </c>
      <c r="J238" s="5"/>
      <c r="K238" s="5"/>
      <c r="L238" s="5"/>
      <c r="M238" s="5"/>
      <c r="N238" s="5"/>
      <c r="O238" s="8" t="str">
        <f t="shared" si="40"/>
        <v>n/a</v>
      </c>
      <c r="Q238" s="5"/>
      <c r="R238" s="5"/>
      <c r="S238" s="5"/>
      <c r="U238" s="6"/>
      <c r="V238" s="9" t="str">
        <f t="shared" si="43"/>
        <v/>
      </c>
      <c r="W238" s="9" t="str">
        <f t="shared" si="44"/>
        <v/>
      </c>
      <c r="X238" s="10">
        <f>SUM(V$13:V238)/COUNTA(B$13:B238)</f>
        <v>3.0973451327433628E-2</v>
      </c>
      <c r="Z238" s="5"/>
      <c r="AA238" s="5"/>
      <c r="AC238" s="7"/>
      <c r="AE238" s="54" t="e">
        <f t="shared" si="45"/>
        <v>#N/A</v>
      </c>
      <c r="AF238" s="4" t="e">
        <f t="shared" si="41"/>
        <v>#N/A</v>
      </c>
    </row>
    <row r="239" spans="2:32">
      <c r="B239" s="5">
        <f t="shared" si="46"/>
        <v>227</v>
      </c>
      <c r="C239" s="5"/>
      <c r="E239" s="13"/>
      <c r="F239" s="5"/>
      <c r="G239" s="11">
        <f>IF(ISERROR(AVERAGE(F$13:F239)),"n/a",AVERAGE(F$13:F239))</f>
        <v>117</v>
      </c>
      <c r="H239" s="11">
        <f t="shared" si="42"/>
        <v>117</v>
      </c>
      <c r="J239" s="5"/>
      <c r="K239" s="5"/>
      <c r="L239" s="5"/>
      <c r="M239" s="5"/>
      <c r="N239" s="5"/>
      <c r="O239" s="8" t="str">
        <f t="shared" si="40"/>
        <v>n/a</v>
      </c>
      <c r="Q239" s="5"/>
      <c r="R239" s="5"/>
      <c r="S239" s="5"/>
      <c r="U239" s="6"/>
      <c r="V239" s="9" t="str">
        <f t="shared" si="43"/>
        <v/>
      </c>
      <c r="W239" s="9" t="str">
        <f t="shared" si="44"/>
        <v/>
      </c>
      <c r="X239" s="10">
        <f>SUM(V$13:V239)/COUNTA(B$13:B239)</f>
        <v>3.0837004405286344E-2</v>
      </c>
      <c r="Z239" s="5"/>
      <c r="AA239" s="5"/>
      <c r="AC239" s="7"/>
      <c r="AE239" s="54" t="e">
        <f t="shared" si="45"/>
        <v>#N/A</v>
      </c>
      <c r="AF239" s="4" t="e">
        <f t="shared" si="41"/>
        <v>#N/A</v>
      </c>
    </row>
    <row r="240" spans="2:32">
      <c r="B240" s="5">
        <f t="shared" si="46"/>
        <v>228</v>
      </c>
      <c r="C240" s="5"/>
      <c r="E240" s="13"/>
      <c r="F240" s="5"/>
      <c r="G240" s="11">
        <f>IF(ISERROR(AVERAGE(F$13:F240)),"n/a",AVERAGE(F$13:F240))</f>
        <v>117</v>
      </c>
      <c r="H240" s="11">
        <f t="shared" si="42"/>
        <v>117</v>
      </c>
      <c r="J240" s="5"/>
      <c r="K240" s="5"/>
      <c r="L240" s="5"/>
      <c r="M240" s="5"/>
      <c r="N240" s="5"/>
      <c r="O240" s="8" t="str">
        <f t="shared" si="40"/>
        <v>n/a</v>
      </c>
      <c r="Q240" s="5"/>
      <c r="R240" s="5"/>
      <c r="S240" s="5"/>
      <c r="U240" s="6"/>
      <c r="V240" s="9" t="str">
        <f t="shared" si="43"/>
        <v/>
      </c>
      <c r="W240" s="9" t="str">
        <f t="shared" si="44"/>
        <v/>
      </c>
      <c r="X240" s="10">
        <f>SUM(V$13:V240)/COUNTA(B$13:B240)</f>
        <v>3.0701754385964911E-2</v>
      </c>
      <c r="Z240" s="5"/>
      <c r="AA240" s="5"/>
      <c r="AC240" s="7"/>
      <c r="AE240" s="54" t="e">
        <f t="shared" si="45"/>
        <v>#N/A</v>
      </c>
      <c r="AF240" s="4" t="e">
        <f t="shared" si="41"/>
        <v>#N/A</v>
      </c>
    </row>
    <row r="241" spans="2:32">
      <c r="B241" s="5">
        <f t="shared" si="46"/>
        <v>229</v>
      </c>
      <c r="C241" s="5"/>
      <c r="E241" s="13"/>
      <c r="F241" s="5"/>
      <c r="G241" s="11">
        <f>IF(ISERROR(AVERAGE(F$13:F241)),"n/a",AVERAGE(F$13:F241))</f>
        <v>117</v>
      </c>
      <c r="H241" s="11">
        <f t="shared" si="42"/>
        <v>117</v>
      </c>
      <c r="J241" s="5"/>
      <c r="K241" s="5"/>
      <c r="L241" s="5"/>
      <c r="M241" s="5"/>
      <c r="N241" s="5"/>
      <c r="O241" s="8" t="str">
        <f t="shared" ref="O241:O304" si="47">IF(J241=1,"A",IF(K241=1,"B",IF(L241=1,"C",IF(M241=1,"D",IF(N241=1,"E","n/a")))))</f>
        <v>n/a</v>
      </c>
      <c r="Q241" s="5"/>
      <c r="R241" s="5"/>
      <c r="S241" s="5"/>
      <c r="U241" s="6"/>
      <c r="V241" s="9" t="str">
        <f t="shared" si="43"/>
        <v/>
      </c>
      <c r="W241" s="9" t="str">
        <f t="shared" si="44"/>
        <v/>
      </c>
      <c r="X241" s="10">
        <f>SUM(V$13:V241)/COUNTA(B$13:B241)</f>
        <v>3.0567685589519649E-2</v>
      </c>
      <c r="Z241" s="5"/>
      <c r="AA241" s="5"/>
      <c r="AC241" s="7"/>
      <c r="AE241" s="54" t="e">
        <f t="shared" si="45"/>
        <v>#N/A</v>
      </c>
      <c r="AF241" s="4" t="e">
        <f t="shared" si="41"/>
        <v>#N/A</v>
      </c>
    </row>
    <row r="242" spans="2:32">
      <c r="B242" s="5">
        <f t="shared" si="46"/>
        <v>230</v>
      </c>
      <c r="C242" s="5"/>
      <c r="E242" s="13"/>
      <c r="F242" s="5"/>
      <c r="G242" s="11">
        <f>IF(ISERROR(AVERAGE(F$13:F242)),"n/a",AVERAGE(F$13:F242))</f>
        <v>117</v>
      </c>
      <c r="H242" s="11">
        <f t="shared" si="42"/>
        <v>117</v>
      </c>
      <c r="J242" s="5"/>
      <c r="K242" s="5"/>
      <c r="L242" s="5"/>
      <c r="M242" s="5"/>
      <c r="N242" s="5"/>
      <c r="O242" s="8" t="str">
        <f t="shared" si="47"/>
        <v>n/a</v>
      </c>
      <c r="Q242" s="5"/>
      <c r="R242" s="5"/>
      <c r="S242" s="5"/>
      <c r="U242" s="6"/>
      <c r="V242" s="9" t="str">
        <f t="shared" si="43"/>
        <v/>
      </c>
      <c r="W242" s="9" t="str">
        <f t="shared" si="44"/>
        <v/>
      </c>
      <c r="X242" s="10">
        <f>SUM(V$13:V242)/COUNTA(B$13:B242)</f>
        <v>3.0434782608695653E-2</v>
      </c>
      <c r="Z242" s="5"/>
      <c r="AA242" s="5"/>
      <c r="AC242" s="7"/>
      <c r="AE242" s="54" t="e">
        <f t="shared" si="45"/>
        <v>#N/A</v>
      </c>
      <c r="AF242" s="4" t="e">
        <f t="shared" si="41"/>
        <v>#N/A</v>
      </c>
    </row>
    <row r="243" spans="2:32">
      <c r="B243" s="5">
        <f t="shared" si="46"/>
        <v>231</v>
      </c>
      <c r="C243" s="5"/>
      <c r="E243" s="13"/>
      <c r="F243" s="5"/>
      <c r="G243" s="11">
        <f>IF(ISERROR(AVERAGE(F$13:F243)),"n/a",AVERAGE(F$13:F243))</f>
        <v>117</v>
      </c>
      <c r="H243" s="11">
        <f t="shared" si="42"/>
        <v>117</v>
      </c>
      <c r="J243" s="5"/>
      <c r="K243" s="5"/>
      <c r="L243" s="5"/>
      <c r="M243" s="5"/>
      <c r="N243" s="5"/>
      <c r="O243" s="8" t="str">
        <f t="shared" si="47"/>
        <v>n/a</v>
      </c>
      <c r="Q243" s="5"/>
      <c r="R243" s="5"/>
      <c r="S243" s="5"/>
      <c r="U243" s="6"/>
      <c r="V243" s="9" t="str">
        <f t="shared" si="43"/>
        <v/>
      </c>
      <c r="W243" s="9" t="str">
        <f t="shared" si="44"/>
        <v/>
      </c>
      <c r="X243" s="10">
        <f>SUM(V$13:V243)/COUNTA(B$13:B243)</f>
        <v>3.0303030303030304E-2</v>
      </c>
      <c r="Z243" s="5"/>
      <c r="AA243" s="5"/>
      <c r="AC243" s="7"/>
      <c r="AE243" s="54" t="e">
        <f t="shared" si="45"/>
        <v>#N/A</v>
      </c>
      <c r="AF243" s="4" t="e">
        <f t="shared" si="41"/>
        <v>#N/A</v>
      </c>
    </row>
    <row r="244" spans="2:32">
      <c r="B244" s="5">
        <f t="shared" si="46"/>
        <v>232</v>
      </c>
      <c r="C244" s="5"/>
      <c r="E244" s="13"/>
      <c r="F244" s="5"/>
      <c r="G244" s="11">
        <f>IF(ISERROR(AVERAGE(F$13:F244)),"n/a",AVERAGE(F$13:F244))</f>
        <v>117</v>
      </c>
      <c r="H244" s="11">
        <f t="shared" si="42"/>
        <v>117</v>
      </c>
      <c r="J244" s="5"/>
      <c r="K244" s="5"/>
      <c r="L244" s="5"/>
      <c r="M244" s="5"/>
      <c r="N244" s="5"/>
      <c r="O244" s="8" t="str">
        <f t="shared" si="47"/>
        <v>n/a</v>
      </c>
      <c r="Q244" s="5"/>
      <c r="R244" s="5"/>
      <c r="S244" s="5"/>
      <c r="U244" s="6"/>
      <c r="V244" s="9" t="str">
        <f t="shared" si="43"/>
        <v/>
      </c>
      <c r="W244" s="9" t="str">
        <f t="shared" si="44"/>
        <v/>
      </c>
      <c r="X244" s="10">
        <f>SUM(V$13:V244)/COUNTA(B$13:B244)</f>
        <v>3.017241379310345E-2</v>
      </c>
      <c r="Z244" s="5"/>
      <c r="AA244" s="5"/>
      <c r="AC244" s="7"/>
      <c r="AE244" s="54" t="e">
        <f t="shared" si="45"/>
        <v>#N/A</v>
      </c>
      <c r="AF244" s="4" t="e">
        <f t="shared" si="41"/>
        <v>#N/A</v>
      </c>
    </row>
    <row r="245" spans="2:32">
      <c r="B245" s="5">
        <f t="shared" si="46"/>
        <v>233</v>
      </c>
      <c r="C245" s="5"/>
      <c r="E245" s="13"/>
      <c r="F245" s="5"/>
      <c r="G245" s="11">
        <f>IF(ISERROR(AVERAGE(F$13:F245)),"n/a",AVERAGE(F$13:F245))</f>
        <v>117</v>
      </c>
      <c r="H245" s="11">
        <f t="shared" si="42"/>
        <v>117</v>
      </c>
      <c r="J245" s="5"/>
      <c r="K245" s="5"/>
      <c r="L245" s="5"/>
      <c r="M245" s="5"/>
      <c r="N245" s="5"/>
      <c r="O245" s="8" t="str">
        <f t="shared" si="47"/>
        <v>n/a</v>
      </c>
      <c r="Q245" s="5"/>
      <c r="R245" s="5"/>
      <c r="S245" s="5"/>
      <c r="U245" s="6"/>
      <c r="V245" s="9" t="str">
        <f t="shared" si="43"/>
        <v/>
      </c>
      <c r="W245" s="9" t="str">
        <f t="shared" si="44"/>
        <v/>
      </c>
      <c r="X245" s="10">
        <f>SUM(V$13:V245)/COUNTA(B$13:B245)</f>
        <v>3.0042918454935622E-2</v>
      </c>
      <c r="Z245" s="5"/>
      <c r="AA245" s="5"/>
      <c r="AC245" s="7"/>
      <c r="AE245" s="54" t="e">
        <f t="shared" si="45"/>
        <v>#N/A</v>
      </c>
      <c r="AF245" s="4" t="e">
        <f t="shared" si="41"/>
        <v>#N/A</v>
      </c>
    </row>
    <row r="246" spans="2:32">
      <c r="B246" s="5">
        <f t="shared" si="46"/>
        <v>234</v>
      </c>
      <c r="C246" s="5"/>
      <c r="E246" s="13"/>
      <c r="F246" s="5"/>
      <c r="G246" s="11">
        <f>IF(ISERROR(AVERAGE(F$13:F246)),"n/a",AVERAGE(F$13:F246))</f>
        <v>117</v>
      </c>
      <c r="H246" s="11">
        <f t="shared" si="42"/>
        <v>117</v>
      </c>
      <c r="J246" s="5"/>
      <c r="K246" s="5"/>
      <c r="L246" s="5"/>
      <c r="M246" s="5"/>
      <c r="N246" s="5"/>
      <c r="O246" s="8" t="str">
        <f t="shared" si="47"/>
        <v>n/a</v>
      </c>
      <c r="Q246" s="5"/>
      <c r="R246" s="5"/>
      <c r="S246" s="5"/>
      <c r="U246" s="6"/>
      <c r="V246" s="9" t="str">
        <f t="shared" si="43"/>
        <v/>
      </c>
      <c r="W246" s="9" t="str">
        <f t="shared" si="44"/>
        <v/>
      </c>
      <c r="X246" s="10">
        <f>SUM(V$13:V246)/COUNTA(B$13:B246)</f>
        <v>2.9914529914529916E-2</v>
      </c>
      <c r="Z246" s="5"/>
      <c r="AA246" s="5"/>
      <c r="AC246" s="7"/>
      <c r="AE246" s="54" t="e">
        <f t="shared" si="45"/>
        <v>#N/A</v>
      </c>
      <c r="AF246" s="4" t="e">
        <f t="shared" si="41"/>
        <v>#N/A</v>
      </c>
    </row>
    <row r="247" spans="2:32">
      <c r="B247" s="5">
        <f t="shared" si="46"/>
        <v>235</v>
      </c>
      <c r="C247" s="5"/>
      <c r="E247" s="13"/>
      <c r="F247" s="5"/>
      <c r="G247" s="11">
        <f>IF(ISERROR(AVERAGE(F$13:F247)),"n/a",AVERAGE(F$13:F247))</f>
        <v>117</v>
      </c>
      <c r="H247" s="11">
        <f t="shared" si="42"/>
        <v>117</v>
      </c>
      <c r="J247" s="5"/>
      <c r="K247" s="5"/>
      <c r="L247" s="5"/>
      <c r="M247" s="5"/>
      <c r="N247" s="5"/>
      <c r="O247" s="8" t="str">
        <f t="shared" si="47"/>
        <v>n/a</v>
      </c>
      <c r="Q247" s="5"/>
      <c r="R247" s="5"/>
      <c r="S247" s="5"/>
      <c r="U247" s="6"/>
      <c r="V247" s="9" t="str">
        <f t="shared" si="43"/>
        <v/>
      </c>
      <c r="W247" s="9" t="str">
        <f t="shared" si="44"/>
        <v/>
      </c>
      <c r="X247" s="10">
        <f>SUM(V$13:V247)/COUNTA(B$13:B247)</f>
        <v>2.9787234042553193E-2</v>
      </c>
      <c r="Z247" s="5"/>
      <c r="AA247" s="5"/>
      <c r="AC247" s="7"/>
      <c r="AE247" s="54" t="e">
        <f t="shared" si="45"/>
        <v>#N/A</v>
      </c>
      <c r="AF247" s="4" t="e">
        <f t="shared" si="41"/>
        <v>#N/A</v>
      </c>
    </row>
    <row r="248" spans="2:32">
      <c r="B248" s="5">
        <f t="shared" si="46"/>
        <v>236</v>
      </c>
      <c r="C248" s="5"/>
      <c r="E248" s="13"/>
      <c r="F248" s="5"/>
      <c r="G248" s="11">
        <f>IF(ISERROR(AVERAGE(F$13:F248)),"n/a",AVERAGE(F$13:F248))</f>
        <v>117</v>
      </c>
      <c r="H248" s="11">
        <f t="shared" si="42"/>
        <v>117</v>
      </c>
      <c r="J248" s="5"/>
      <c r="K248" s="5"/>
      <c r="L248" s="5"/>
      <c r="M248" s="5"/>
      <c r="N248" s="5"/>
      <c r="O248" s="8" t="str">
        <f t="shared" si="47"/>
        <v>n/a</v>
      </c>
      <c r="Q248" s="5"/>
      <c r="R248" s="5"/>
      <c r="S248" s="5"/>
      <c r="U248" s="6"/>
      <c r="V248" s="9" t="str">
        <f t="shared" si="43"/>
        <v/>
      </c>
      <c r="W248" s="9" t="str">
        <f t="shared" si="44"/>
        <v/>
      </c>
      <c r="X248" s="10">
        <f>SUM(V$13:V248)/COUNTA(B$13:B248)</f>
        <v>2.9661016949152543E-2</v>
      </c>
      <c r="Z248" s="5"/>
      <c r="AA248" s="5"/>
      <c r="AC248" s="7"/>
      <c r="AE248" s="54" t="e">
        <f t="shared" si="45"/>
        <v>#N/A</v>
      </c>
      <c r="AF248" s="4" t="e">
        <f t="shared" si="41"/>
        <v>#N/A</v>
      </c>
    </row>
    <row r="249" spans="2:32">
      <c r="B249" s="5">
        <f t="shared" si="46"/>
        <v>237</v>
      </c>
      <c r="C249" s="5"/>
      <c r="E249" s="13"/>
      <c r="F249" s="5"/>
      <c r="G249" s="11">
        <f>IF(ISERROR(AVERAGE(F$13:F249)),"n/a",AVERAGE(F$13:F249))</f>
        <v>117</v>
      </c>
      <c r="H249" s="11">
        <f t="shared" si="42"/>
        <v>117</v>
      </c>
      <c r="J249" s="5"/>
      <c r="K249" s="5"/>
      <c r="L249" s="5"/>
      <c r="M249" s="5"/>
      <c r="N249" s="5"/>
      <c r="O249" s="8" t="str">
        <f t="shared" si="47"/>
        <v>n/a</v>
      </c>
      <c r="Q249" s="5"/>
      <c r="R249" s="5"/>
      <c r="S249" s="5"/>
      <c r="U249" s="6"/>
      <c r="V249" s="9" t="str">
        <f t="shared" si="43"/>
        <v/>
      </c>
      <c r="W249" s="9" t="str">
        <f t="shared" si="44"/>
        <v/>
      </c>
      <c r="X249" s="10">
        <f>SUM(V$13:V249)/COUNTA(B$13:B249)</f>
        <v>2.9535864978902954E-2</v>
      </c>
      <c r="Z249" s="5"/>
      <c r="AA249" s="5"/>
      <c r="AC249" s="7"/>
      <c r="AE249" s="54" t="e">
        <f t="shared" si="45"/>
        <v>#N/A</v>
      </c>
      <c r="AF249" s="4" t="e">
        <f t="shared" si="41"/>
        <v>#N/A</v>
      </c>
    </row>
    <row r="250" spans="2:32">
      <c r="B250" s="5">
        <f t="shared" si="46"/>
        <v>238</v>
      </c>
      <c r="C250" s="5"/>
      <c r="E250" s="13"/>
      <c r="F250" s="5"/>
      <c r="G250" s="11">
        <f>IF(ISERROR(AVERAGE(F$13:F250)),"n/a",AVERAGE(F$13:F250))</f>
        <v>117</v>
      </c>
      <c r="H250" s="11">
        <f t="shared" si="42"/>
        <v>117</v>
      </c>
      <c r="J250" s="5"/>
      <c r="K250" s="5"/>
      <c r="L250" s="5"/>
      <c r="M250" s="5"/>
      <c r="N250" s="5"/>
      <c r="O250" s="8" t="str">
        <f t="shared" si="47"/>
        <v>n/a</v>
      </c>
      <c r="Q250" s="5"/>
      <c r="R250" s="5"/>
      <c r="S250" s="5"/>
      <c r="U250" s="6"/>
      <c r="V250" s="9" t="str">
        <f t="shared" si="43"/>
        <v/>
      </c>
      <c r="W250" s="9" t="str">
        <f t="shared" si="44"/>
        <v/>
      </c>
      <c r="X250" s="10">
        <f>SUM(V$13:V250)/COUNTA(B$13:B250)</f>
        <v>2.9411764705882353E-2</v>
      </c>
      <c r="Z250" s="5"/>
      <c r="AA250" s="5"/>
      <c r="AC250" s="7"/>
      <c r="AE250" s="54" t="e">
        <f t="shared" si="45"/>
        <v>#N/A</v>
      </c>
      <c r="AF250" s="4" t="e">
        <f t="shared" si="41"/>
        <v>#N/A</v>
      </c>
    </row>
    <row r="251" spans="2:32">
      <c r="B251" s="5">
        <f t="shared" si="46"/>
        <v>239</v>
      </c>
      <c r="C251" s="5"/>
      <c r="E251" s="13"/>
      <c r="F251" s="5"/>
      <c r="G251" s="11">
        <f>IF(ISERROR(AVERAGE(F$13:F251)),"n/a",AVERAGE(F$13:F251))</f>
        <v>117</v>
      </c>
      <c r="H251" s="11">
        <f t="shared" si="42"/>
        <v>117</v>
      </c>
      <c r="J251" s="5"/>
      <c r="K251" s="5"/>
      <c r="L251" s="5"/>
      <c r="M251" s="5"/>
      <c r="N251" s="5"/>
      <c r="O251" s="8" t="str">
        <f t="shared" si="47"/>
        <v>n/a</v>
      </c>
      <c r="Q251" s="5"/>
      <c r="R251" s="5"/>
      <c r="S251" s="5"/>
      <c r="U251" s="6"/>
      <c r="V251" s="9" t="str">
        <f t="shared" si="43"/>
        <v/>
      </c>
      <c r="W251" s="9" t="str">
        <f t="shared" si="44"/>
        <v/>
      </c>
      <c r="X251" s="10">
        <f>SUM(V$13:V251)/COUNTA(B$13:B251)</f>
        <v>2.9288702928870293E-2</v>
      </c>
      <c r="Z251" s="5"/>
      <c r="AA251" s="5"/>
      <c r="AC251" s="7"/>
      <c r="AE251" s="54" t="e">
        <f t="shared" si="45"/>
        <v>#N/A</v>
      </c>
      <c r="AF251" s="4" t="e">
        <f t="shared" si="41"/>
        <v>#N/A</v>
      </c>
    </row>
    <row r="252" spans="2:32">
      <c r="B252" s="5">
        <f t="shared" si="46"/>
        <v>240</v>
      </c>
      <c r="C252" s="5"/>
      <c r="E252" s="13"/>
      <c r="F252" s="5"/>
      <c r="G252" s="11">
        <f>IF(ISERROR(AVERAGE(F$13:F252)),"n/a",AVERAGE(F$13:F252))</f>
        <v>117</v>
      </c>
      <c r="H252" s="11">
        <f t="shared" si="42"/>
        <v>117</v>
      </c>
      <c r="J252" s="5"/>
      <c r="K252" s="5"/>
      <c r="L252" s="5"/>
      <c r="M252" s="5"/>
      <c r="N252" s="5"/>
      <c r="O252" s="8" t="str">
        <f t="shared" si="47"/>
        <v>n/a</v>
      </c>
      <c r="Q252" s="5"/>
      <c r="R252" s="5"/>
      <c r="S252" s="5"/>
      <c r="U252" s="6"/>
      <c r="V252" s="9" t="str">
        <f t="shared" si="43"/>
        <v/>
      </c>
      <c r="W252" s="9" t="str">
        <f t="shared" si="44"/>
        <v/>
      </c>
      <c r="X252" s="10">
        <f>SUM(V$13:V252)/COUNTA(B$13:B252)</f>
        <v>2.9166666666666667E-2</v>
      </c>
      <c r="Z252" s="5"/>
      <c r="AA252" s="5"/>
      <c r="AC252" s="7"/>
      <c r="AE252" s="54" t="e">
        <f t="shared" si="45"/>
        <v>#N/A</v>
      </c>
      <c r="AF252" s="4" t="e">
        <f t="shared" si="41"/>
        <v>#N/A</v>
      </c>
    </row>
    <row r="253" spans="2:32">
      <c r="B253" s="5">
        <f t="shared" si="46"/>
        <v>241</v>
      </c>
      <c r="C253" s="5"/>
      <c r="E253" s="13"/>
      <c r="F253" s="5"/>
      <c r="G253" s="11">
        <f>IF(ISERROR(AVERAGE(F$13:F253)),"n/a",AVERAGE(F$13:F253))</f>
        <v>117</v>
      </c>
      <c r="H253" s="11">
        <f t="shared" si="42"/>
        <v>117</v>
      </c>
      <c r="J253" s="5"/>
      <c r="K253" s="5"/>
      <c r="L253" s="5"/>
      <c r="M253" s="5"/>
      <c r="N253" s="5"/>
      <c r="O253" s="8" t="str">
        <f t="shared" si="47"/>
        <v>n/a</v>
      </c>
      <c r="Q253" s="5"/>
      <c r="R253" s="5"/>
      <c r="S253" s="5"/>
      <c r="U253" s="6"/>
      <c r="V253" s="9" t="str">
        <f t="shared" si="43"/>
        <v/>
      </c>
      <c r="W253" s="9" t="str">
        <f t="shared" si="44"/>
        <v/>
      </c>
      <c r="X253" s="10">
        <f>SUM(V$13:V253)/COUNTA(B$13:B253)</f>
        <v>2.9045643153526972E-2</v>
      </c>
      <c r="Z253" s="5"/>
      <c r="AA253" s="5"/>
      <c r="AC253" s="7"/>
      <c r="AE253" s="54" t="e">
        <f t="shared" si="45"/>
        <v>#N/A</v>
      </c>
      <c r="AF253" s="4" t="e">
        <f t="shared" si="41"/>
        <v>#N/A</v>
      </c>
    </row>
    <row r="254" spans="2:32">
      <c r="B254" s="5">
        <f t="shared" si="46"/>
        <v>242</v>
      </c>
      <c r="C254" s="5"/>
      <c r="E254" s="13"/>
      <c r="F254" s="5"/>
      <c r="G254" s="11">
        <f>IF(ISERROR(AVERAGE(F$13:F254)),"n/a",AVERAGE(F$13:F254))</f>
        <v>117</v>
      </c>
      <c r="H254" s="11">
        <f t="shared" si="42"/>
        <v>117</v>
      </c>
      <c r="J254" s="5"/>
      <c r="K254" s="5"/>
      <c r="L254" s="5"/>
      <c r="M254" s="5"/>
      <c r="N254" s="5"/>
      <c r="O254" s="8" t="str">
        <f t="shared" si="47"/>
        <v>n/a</v>
      </c>
      <c r="Q254" s="5"/>
      <c r="R254" s="5"/>
      <c r="S254" s="5"/>
      <c r="U254" s="6"/>
      <c r="V254" s="9" t="str">
        <f t="shared" si="43"/>
        <v/>
      </c>
      <c r="W254" s="9" t="str">
        <f t="shared" si="44"/>
        <v/>
      </c>
      <c r="X254" s="10">
        <f>SUM(V$13:V254)/COUNTA(B$13:B254)</f>
        <v>2.8925619834710745E-2</v>
      </c>
      <c r="Z254" s="5"/>
      <c r="AA254" s="5"/>
      <c r="AC254" s="7"/>
      <c r="AE254" s="54" t="e">
        <f t="shared" si="45"/>
        <v>#N/A</v>
      </c>
      <c r="AF254" s="4" t="e">
        <f t="shared" si="41"/>
        <v>#N/A</v>
      </c>
    </row>
    <row r="255" spans="2:32">
      <c r="B255" s="5">
        <f t="shared" si="46"/>
        <v>243</v>
      </c>
      <c r="C255" s="5"/>
      <c r="E255" s="13"/>
      <c r="F255" s="5"/>
      <c r="G255" s="11">
        <f>IF(ISERROR(AVERAGE(F$13:F255)),"n/a",AVERAGE(F$13:F255))</f>
        <v>117</v>
      </c>
      <c r="H255" s="11">
        <f t="shared" si="42"/>
        <v>117</v>
      </c>
      <c r="J255" s="5"/>
      <c r="K255" s="5"/>
      <c r="L255" s="5"/>
      <c r="M255" s="5"/>
      <c r="N255" s="5"/>
      <c r="O255" s="8" t="str">
        <f t="shared" si="47"/>
        <v>n/a</v>
      </c>
      <c r="Q255" s="5"/>
      <c r="R255" s="5"/>
      <c r="S255" s="5"/>
      <c r="U255" s="6"/>
      <c r="V255" s="9" t="str">
        <f t="shared" si="43"/>
        <v/>
      </c>
      <c r="W255" s="9" t="str">
        <f t="shared" si="44"/>
        <v/>
      </c>
      <c r="X255" s="10">
        <f>SUM(V$13:V255)/COUNTA(B$13:B255)</f>
        <v>2.8806584362139918E-2</v>
      </c>
      <c r="Z255" s="5"/>
      <c r="AA255" s="5"/>
      <c r="AC255" s="7"/>
      <c r="AE255" s="54" t="e">
        <f t="shared" si="45"/>
        <v>#N/A</v>
      </c>
      <c r="AF255" s="4" t="e">
        <f t="shared" si="41"/>
        <v>#N/A</v>
      </c>
    </row>
    <row r="256" spans="2:32">
      <c r="B256" s="5">
        <f t="shared" si="46"/>
        <v>244</v>
      </c>
      <c r="C256" s="5"/>
      <c r="E256" s="13"/>
      <c r="F256" s="5"/>
      <c r="G256" s="11">
        <f>IF(ISERROR(AVERAGE(F$13:F256)),"n/a",AVERAGE(F$13:F256))</f>
        <v>117</v>
      </c>
      <c r="H256" s="11">
        <f t="shared" si="42"/>
        <v>117</v>
      </c>
      <c r="J256" s="5"/>
      <c r="K256" s="5"/>
      <c r="L256" s="5"/>
      <c r="M256" s="5"/>
      <c r="N256" s="5"/>
      <c r="O256" s="8" t="str">
        <f t="shared" si="47"/>
        <v>n/a</v>
      </c>
      <c r="Q256" s="5"/>
      <c r="R256" s="5"/>
      <c r="S256" s="5"/>
      <c r="U256" s="6"/>
      <c r="V256" s="9" t="str">
        <f t="shared" si="43"/>
        <v/>
      </c>
      <c r="W256" s="9" t="str">
        <f t="shared" si="44"/>
        <v/>
      </c>
      <c r="X256" s="10">
        <f>SUM(V$13:V256)/COUNTA(B$13:B256)</f>
        <v>2.8688524590163935E-2</v>
      </c>
      <c r="Z256" s="5"/>
      <c r="AA256" s="5"/>
      <c r="AC256" s="7"/>
      <c r="AE256" s="54" t="e">
        <f t="shared" si="45"/>
        <v>#N/A</v>
      </c>
      <c r="AF256" s="4" t="e">
        <f t="shared" si="41"/>
        <v>#N/A</v>
      </c>
    </row>
    <row r="257" spans="2:32">
      <c r="B257" s="5">
        <f t="shared" si="46"/>
        <v>245</v>
      </c>
      <c r="C257" s="5"/>
      <c r="E257" s="13"/>
      <c r="F257" s="5"/>
      <c r="G257" s="11">
        <f>IF(ISERROR(AVERAGE(F$13:F257)),"n/a",AVERAGE(F$13:F257))</f>
        <v>117</v>
      </c>
      <c r="H257" s="11">
        <f t="shared" si="42"/>
        <v>117</v>
      </c>
      <c r="J257" s="5"/>
      <c r="K257" s="5"/>
      <c r="L257" s="5"/>
      <c r="M257" s="5"/>
      <c r="N257" s="5"/>
      <c r="O257" s="8" t="str">
        <f t="shared" si="47"/>
        <v>n/a</v>
      </c>
      <c r="Q257" s="5"/>
      <c r="R257" s="5"/>
      <c r="S257" s="5"/>
      <c r="U257" s="6"/>
      <c r="V257" s="9" t="str">
        <f t="shared" si="43"/>
        <v/>
      </c>
      <c r="W257" s="9" t="str">
        <f t="shared" si="44"/>
        <v/>
      </c>
      <c r="X257" s="10">
        <f>SUM(V$13:V257)/COUNTA(B$13:B257)</f>
        <v>2.8571428571428571E-2</v>
      </c>
      <c r="Z257" s="5"/>
      <c r="AA257" s="5"/>
      <c r="AC257" s="7"/>
      <c r="AE257" s="54" t="e">
        <f t="shared" si="45"/>
        <v>#N/A</v>
      </c>
      <c r="AF257" s="4" t="e">
        <f t="shared" si="41"/>
        <v>#N/A</v>
      </c>
    </row>
    <row r="258" spans="2:32">
      <c r="B258" s="5">
        <f t="shared" si="46"/>
        <v>246</v>
      </c>
      <c r="C258" s="5"/>
      <c r="E258" s="13"/>
      <c r="F258" s="5"/>
      <c r="G258" s="11">
        <f>IF(ISERROR(AVERAGE(F$13:F258)),"n/a",AVERAGE(F$13:F258))</f>
        <v>117</v>
      </c>
      <c r="H258" s="11">
        <f t="shared" si="42"/>
        <v>117</v>
      </c>
      <c r="J258" s="5"/>
      <c r="K258" s="5"/>
      <c r="L258" s="5"/>
      <c r="M258" s="5"/>
      <c r="N258" s="5"/>
      <c r="O258" s="8" t="str">
        <f t="shared" si="47"/>
        <v>n/a</v>
      </c>
      <c r="Q258" s="5"/>
      <c r="R258" s="5"/>
      <c r="S258" s="5"/>
      <c r="U258" s="6"/>
      <c r="V258" s="9" t="str">
        <f t="shared" si="43"/>
        <v/>
      </c>
      <c r="W258" s="9" t="str">
        <f t="shared" si="44"/>
        <v/>
      </c>
      <c r="X258" s="10">
        <f>SUM(V$13:V258)/COUNTA(B$13:B258)</f>
        <v>2.8455284552845527E-2</v>
      </c>
      <c r="Z258" s="5"/>
      <c r="AA258" s="5"/>
      <c r="AC258" s="7"/>
      <c r="AE258" s="54" t="e">
        <f t="shared" si="45"/>
        <v>#N/A</v>
      </c>
      <c r="AF258" s="4" t="e">
        <f t="shared" si="41"/>
        <v>#N/A</v>
      </c>
    </row>
    <row r="259" spans="2:32">
      <c r="B259" s="5">
        <f t="shared" si="46"/>
        <v>247</v>
      </c>
      <c r="C259" s="5"/>
      <c r="E259" s="13"/>
      <c r="F259" s="5"/>
      <c r="G259" s="11">
        <f>IF(ISERROR(AVERAGE(F$13:F259)),"n/a",AVERAGE(F$13:F259))</f>
        <v>117</v>
      </c>
      <c r="H259" s="11">
        <f t="shared" si="42"/>
        <v>117</v>
      </c>
      <c r="J259" s="5"/>
      <c r="K259" s="5"/>
      <c r="L259" s="5"/>
      <c r="M259" s="5"/>
      <c r="N259" s="5"/>
      <c r="O259" s="8" t="str">
        <f t="shared" si="47"/>
        <v>n/a</v>
      </c>
      <c r="Q259" s="5"/>
      <c r="R259" s="5"/>
      <c r="S259" s="5"/>
      <c r="U259" s="6"/>
      <c r="V259" s="9" t="str">
        <f t="shared" si="43"/>
        <v/>
      </c>
      <c r="W259" s="9" t="str">
        <f t="shared" si="44"/>
        <v/>
      </c>
      <c r="X259" s="10">
        <f>SUM(V$13:V259)/COUNTA(B$13:B259)</f>
        <v>2.8340080971659919E-2</v>
      </c>
      <c r="Z259" s="5"/>
      <c r="AA259" s="5"/>
      <c r="AC259" s="7"/>
      <c r="AE259" s="54" t="e">
        <f t="shared" si="45"/>
        <v>#N/A</v>
      </c>
      <c r="AF259" s="4" t="e">
        <f t="shared" si="41"/>
        <v>#N/A</v>
      </c>
    </row>
    <row r="260" spans="2:32">
      <c r="B260" s="5">
        <f t="shared" si="46"/>
        <v>248</v>
      </c>
      <c r="C260" s="5"/>
      <c r="E260" s="13"/>
      <c r="F260" s="5"/>
      <c r="G260" s="11">
        <f>IF(ISERROR(AVERAGE(F$13:F260)),"n/a",AVERAGE(F$13:F260))</f>
        <v>117</v>
      </c>
      <c r="H260" s="11">
        <f t="shared" si="42"/>
        <v>117</v>
      </c>
      <c r="J260" s="5"/>
      <c r="K260" s="5"/>
      <c r="L260" s="5"/>
      <c r="M260" s="5"/>
      <c r="N260" s="5"/>
      <c r="O260" s="8" t="str">
        <f t="shared" si="47"/>
        <v>n/a</v>
      </c>
      <c r="Q260" s="5"/>
      <c r="R260" s="5"/>
      <c r="S260" s="5"/>
      <c r="U260" s="6"/>
      <c r="V260" s="9" t="str">
        <f t="shared" si="43"/>
        <v/>
      </c>
      <c r="W260" s="9" t="str">
        <f t="shared" si="44"/>
        <v/>
      </c>
      <c r="X260" s="10">
        <f>SUM(V$13:V260)/COUNTA(B$13:B260)</f>
        <v>2.8225806451612902E-2</v>
      </c>
      <c r="Z260" s="5"/>
      <c r="AA260" s="5"/>
      <c r="AC260" s="7"/>
      <c r="AE260" s="54" t="e">
        <f t="shared" si="45"/>
        <v>#N/A</v>
      </c>
      <c r="AF260" s="4" t="e">
        <f t="shared" si="41"/>
        <v>#N/A</v>
      </c>
    </row>
    <row r="261" spans="2:32">
      <c r="B261" s="5">
        <f t="shared" si="46"/>
        <v>249</v>
      </c>
      <c r="C261" s="5"/>
      <c r="E261" s="13"/>
      <c r="F261" s="5"/>
      <c r="G261" s="11">
        <f>IF(ISERROR(AVERAGE(F$13:F261)),"n/a",AVERAGE(F$13:F261))</f>
        <v>117</v>
      </c>
      <c r="H261" s="11">
        <f t="shared" si="42"/>
        <v>117</v>
      </c>
      <c r="J261" s="5"/>
      <c r="K261" s="5"/>
      <c r="L261" s="5"/>
      <c r="M261" s="5"/>
      <c r="N261" s="5"/>
      <c r="O261" s="8" t="str">
        <f t="shared" si="47"/>
        <v>n/a</v>
      </c>
      <c r="Q261" s="5"/>
      <c r="R261" s="5"/>
      <c r="S261" s="5"/>
      <c r="U261" s="6"/>
      <c r="V261" s="9" t="str">
        <f t="shared" si="43"/>
        <v/>
      </c>
      <c r="W261" s="9" t="str">
        <f t="shared" si="44"/>
        <v/>
      </c>
      <c r="X261" s="10">
        <f>SUM(V$13:V261)/COUNTA(B$13:B261)</f>
        <v>2.8112449799196786E-2</v>
      </c>
      <c r="Z261" s="5"/>
      <c r="AA261" s="5"/>
      <c r="AC261" s="7"/>
      <c r="AE261" s="54" t="e">
        <f t="shared" si="45"/>
        <v>#N/A</v>
      </c>
      <c r="AF261" s="4" t="e">
        <f t="shared" si="41"/>
        <v>#N/A</v>
      </c>
    </row>
    <row r="262" spans="2:32">
      <c r="B262" s="5">
        <f t="shared" si="46"/>
        <v>250</v>
      </c>
      <c r="C262" s="5"/>
      <c r="E262" s="13"/>
      <c r="F262" s="5"/>
      <c r="G262" s="11">
        <f>IF(ISERROR(AVERAGE(F$13:F262)),"n/a",AVERAGE(F$13:F262))</f>
        <v>117</v>
      </c>
      <c r="H262" s="11">
        <f t="shared" si="42"/>
        <v>117</v>
      </c>
      <c r="J262" s="5"/>
      <c r="K262" s="5"/>
      <c r="L262" s="5"/>
      <c r="M262" s="5"/>
      <c r="N262" s="5"/>
      <c r="O262" s="8" t="str">
        <f t="shared" si="47"/>
        <v>n/a</v>
      </c>
      <c r="Q262" s="5"/>
      <c r="R262" s="5"/>
      <c r="S262" s="5"/>
      <c r="U262" s="6"/>
      <c r="V262" s="9" t="str">
        <f t="shared" si="43"/>
        <v/>
      </c>
      <c r="W262" s="9" t="str">
        <f t="shared" si="44"/>
        <v/>
      </c>
      <c r="X262" s="10">
        <f>SUM(V$13:V262)/COUNTA(B$13:B262)</f>
        <v>2.8000000000000001E-2</v>
      </c>
      <c r="Z262" s="5"/>
      <c r="AA262" s="5"/>
      <c r="AC262" s="7"/>
      <c r="AE262" s="54" t="e">
        <f t="shared" si="45"/>
        <v>#N/A</v>
      </c>
      <c r="AF262" s="4" t="e">
        <f t="shared" si="41"/>
        <v>#N/A</v>
      </c>
    </row>
    <row r="263" spans="2:32">
      <c r="B263" s="5">
        <f t="shared" si="46"/>
        <v>251</v>
      </c>
      <c r="C263" s="5"/>
      <c r="E263" s="13"/>
      <c r="F263" s="5"/>
      <c r="G263" s="11">
        <f>IF(ISERROR(AVERAGE(F$13:F263)),"n/a",AVERAGE(F$13:F263))</f>
        <v>117</v>
      </c>
      <c r="H263" s="11">
        <f t="shared" si="42"/>
        <v>117</v>
      </c>
      <c r="J263" s="5"/>
      <c r="K263" s="5"/>
      <c r="L263" s="5"/>
      <c r="M263" s="5"/>
      <c r="N263" s="5"/>
      <c r="O263" s="8" t="str">
        <f t="shared" si="47"/>
        <v>n/a</v>
      </c>
      <c r="Q263" s="5"/>
      <c r="R263" s="5"/>
      <c r="S263" s="5"/>
      <c r="U263" s="6"/>
      <c r="V263" s="9" t="str">
        <f t="shared" si="43"/>
        <v/>
      </c>
      <c r="W263" s="9" t="str">
        <f t="shared" si="44"/>
        <v/>
      </c>
      <c r="X263" s="10">
        <f>SUM(V$13:V263)/COUNTA(B$13:B263)</f>
        <v>2.7888446215139442E-2</v>
      </c>
      <c r="Z263" s="5"/>
      <c r="AA263" s="5"/>
      <c r="AC263" s="7"/>
      <c r="AE263" s="54" t="e">
        <f t="shared" si="45"/>
        <v>#N/A</v>
      </c>
      <c r="AF263" s="4" t="e">
        <f t="shared" si="41"/>
        <v>#N/A</v>
      </c>
    </row>
    <row r="264" spans="2:32">
      <c r="B264" s="5">
        <f t="shared" si="46"/>
        <v>252</v>
      </c>
      <c r="C264" s="5"/>
      <c r="E264" s="13"/>
      <c r="F264" s="5"/>
      <c r="G264" s="11">
        <f>IF(ISERROR(AVERAGE(F$13:F264)),"n/a",AVERAGE(F$13:F264))</f>
        <v>117</v>
      </c>
      <c r="H264" s="11">
        <f t="shared" si="42"/>
        <v>117</v>
      </c>
      <c r="J264" s="5"/>
      <c r="K264" s="5"/>
      <c r="L264" s="5"/>
      <c r="M264" s="5"/>
      <c r="N264" s="5"/>
      <c r="O264" s="8" t="str">
        <f t="shared" si="47"/>
        <v>n/a</v>
      </c>
      <c r="Q264" s="5"/>
      <c r="R264" s="5"/>
      <c r="S264" s="5"/>
      <c r="U264" s="6"/>
      <c r="V264" s="9" t="str">
        <f t="shared" si="43"/>
        <v/>
      </c>
      <c r="W264" s="9" t="str">
        <f t="shared" si="44"/>
        <v/>
      </c>
      <c r="X264" s="10">
        <f>SUM(V$13:V264)/COUNTA(B$13:B264)</f>
        <v>2.7777777777777776E-2</v>
      </c>
      <c r="Z264" s="5"/>
      <c r="AA264" s="5"/>
      <c r="AC264" s="7"/>
      <c r="AE264" s="54" t="e">
        <f t="shared" si="45"/>
        <v>#N/A</v>
      </c>
      <c r="AF264" s="4" t="e">
        <f t="shared" si="41"/>
        <v>#N/A</v>
      </c>
    </row>
    <row r="265" spans="2:32">
      <c r="B265" s="5">
        <f t="shared" si="46"/>
        <v>253</v>
      </c>
      <c r="C265" s="5"/>
      <c r="E265" s="13"/>
      <c r="F265" s="5"/>
      <c r="G265" s="11">
        <f>IF(ISERROR(AVERAGE(F$13:F265)),"n/a",AVERAGE(F$13:F265))</f>
        <v>117</v>
      </c>
      <c r="H265" s="11">
        <f t="shared" si="42"/>
        <v>117</v>
      </c>
      <c r="J265" s="5"/>
      <c r="K265" s="5"/>
      <c r="L265" s="5"/>
      <c r="M265" s="5"/>
      <c r="N265" s="5"/>
      <c r="O265" s="8" t="str">
        <f t="shared" si="47"/>
        <v>n/a</v>
      </c>
      <c r="Q265" s="5"/>
      <c r="R265" s="5"/>
      <c r="S265" s="5"/>
      <c r="U265" s="6"/>
      <c r="V265" s="9" t="str">
        <f t="shared" si="43"/>
        <v/>
      </c>
      <c r="W265" s="9" t="str">
        <f t="shared" si="44"/>
        <v/>
      </c>
      <c r="X265" s="10">
        <f>SUM(V$13:V265)/COUNTA(B$13:B265)</f>
        <v>2.766798418972332E-2</v>
      </c>
      <c r="Z265" s="5"/>
      <c r="AA265" s="5"/>
      <c r="AC265" s="7"/>
      <c r="AE265" s="54" t="e">
        <f t="shared" si="45"/>
        <v>#N/A</v>
      </c>
      <c r="AF265" s="4" t="e">
        <f t="shared" si="41"/>
        <v>#N/A</v>
      </c>
    </row>
    <row r="266" spans="2:32">
      <c r="B266" s="5">
        <f t="shared" si="46"/>
        <v>254</v>
      </c>
      <c r="C266" s="5"/>
      <c r="E266" s="13"/>
      <c r="F266" s="5"/>
      <c r="G266" s="11">
        <f>IF(ISERROR(AVERAGE(F$13:F266)),"n/a",AVERAGE(F$13:F266))</f>
        <v>117</v>
      </c>
      <c r="H266" s="11">
        <f t="shared" si="42"/>
        <v>117</v>
      </c>
      <c r="J266" s="5"/>
      <c r="K266" s="5"/>
      <c r="L266" s="5"/>
      <c r="M266" s="5"/>
      <c r="N266" s="5"/>
      <c r="O266" s="8" t="str">
        <f t="shared" si="47"/>
        <v>n/a</v>
      </c>
      <c r="Q266" s="5"/>
      <c r="R266" s="5"/>
      <c r="S266" s="5"/>
      <c r="U266" s="6"/>
      <c r="V266" s="9" t="str">
        <f t="shared" si="43"/>
        <v/>
      </c>
      <c r="W266" s="9" t="str">
        <f t="shared" si="44"/>
        <v/>
      </c>
      <c r="X266" s="10">
        <f>SUM(V$13:V266)/COUNTA(B$13:B266)</f>
        <v>2.7559055118110236E-2</v>
      </c>
      <c r="Z266" s="5"/>
      <c r="AA266" s="5"/>
      <c r="AC266" s="7"/>
      <c r="AE266" s="54" t="e">
        <f t="shared" si="45"/>
        <v>#N/A</v>
      </c>
      <c r="AF266" s="4" t="e">
        <f t="shared" si="41"/>
        <v>#N/A</v>
      </c>
    </row>
    <row r="267" spans="2:32">
      <c r="B267" s="5">
        <f t="shared" si="46"/>
        <v>255</v>
      </c>
      <c r="C267" s="5"/>
      <c r="E267" s="13"/>
      <c r="F267" s="5"/>
      <c r="G267" s="11">
        <f>IF(ISERROR(AVERAGE(F$13:F267)),"n/a",AVERAGE(F$13:F267))</f>
        <v>117</v>
      </c>
      <c r="H267" s="11">
        <f t="shared" si="42"/>
        <v>117</v>
      </c>
      <c r="J267" s="5"/>
      <c r="K267" s="5"/>
      <c r="L267" s="5"/>
      <c r="M267" s="5"/>
      <c r="N267" s="5"/>
      <c r="O267" s="8" t="str">
        <f t="shared" si="47"/>
        <v>n/a</v>
      </c>
      <c r="Q267" s="5"/>
      <c r="R267" s="5"/>
      <c r="S267" s="5"/>
      <c r="U267" s="6"/>
      <c r="V267" s="9" t="str">
        <f t="shared" si="43"/>
        <v/>
      </c>
      <c r="W267" s="9" t="str">
        <f t="shared" si="44"/>
        <v/>
      </c>
      <c r="X267" s="10">
        <f>SUM(V$13:V267)/COUNTA(B$13:B267)</f>
        <v>2.7450980392156862E-2</v>
      </c>
      <c r="Z267" s="5"/>
      <c r="AA267" s="5"/>
      <c r="AC267" s="7"/>
      <c r="AE267" s="54" t="e">
        <f t="shared" si="45"/>
        <v>#N/A</v>
      </c>
      <c r="AF267" s="4" t="e">
        <f t="shared" si="41"/>
        <v>#N/A</v>
      </c>
    </row>
    <row r="268" spans="2:32">
      <c r="B268" s="5">
        <f t="shared" si="46"/>
        <v>256</v>
      </c>
      <c r="C268" s="5"/>
      <c r="E268" s="13"/>
      <c r="F268" s="5"/>
      <c r="G268" s="11">
        <f>IF(ISERROR(AVERAGE(F$13:F268)),"n/a",AVERAGE(F$13:F268))</f>
        <v>117</v>
      </c>
      <c r="H268" s="11">
        <f t="shared" si="42"/>
        <v>117</v>
      </c>
      <c r="J268" s="5"/>
      <c r="K268" s="5"/>
      <c r="L268" s="5"/>
      <c r="M268" s="5"/>
      <c r="N268" s="5"/>
      <c r="O268" s="8" t="str">
        <f t="shared" si="47"/>
        <v>n/a</v>
      </c>
      <c r="Q268" s="5"/>
      <c r="R268" s="5"/>
      <c r="S268" s="5"/>
      <c r="U268" s="6"/>
      <c r="V268" s="9" t="str">
        <f t="shared" si="43"/>
        <v/>
      </c>
      <c r="W268" s="9" t="str">
        <f t="shared" si="44"/>
        <v/>
      </c>
      <c r="X268" s="10">
        <f>SUM(V$13:V268)/COUNTA(B$13:B268)</f>
        <v>2.734375E-2</v>
      </c>
      <c r="Z268" s="5"/>
      <c r="AA268" s="5"/>
      <c r="AC268" s="7"/>
      <c r="AE268" s="54" t="e">
        <f t="shared" si="45"/>
        <v>#N/A</v>
      </c>
      <c r="AF268" s="4" t="e">
        <f t="shared" si="41"/>
        <v>#N/A</v>
      </c>
    </row>
    <row r="269" spans="2:32">
      <c r="B269" s="5">
        <f t="shared" si="46"/>
        <v>257</v>
      </c>
      <c r="C269" s="5"/>
      <c r="E269" s="13"/>
      <c r="F269" s="5"/>
      <c r="G269" s="11">
        <f>IF(ISERROR(AVERAGE(F$13:F269)),"n/a",AVERAGE(F$13:F269))</f>
        <v>117</v>
      </c>
      <c r="H269" s="11">
        <f t="shared" si="42"/>
        <v>117</v>
      </c>
      <c r="J269" s="5"/>
      <c r="K269" s="5"/>
      <c r="L269" s="5"/>
      <c r="M269" s="5"/>
      <c r="N269" s="5"/>
      <c r="O269" s="8" t="str">
        <f t="shared" si="47"/>
        <v>n/a</v>
      </c>
      <c r="Q269" s="5"/>
      <c r="R269" s="5"/>
      <c r="S269" s="5"/>
      <c r="U269" s="6"/>
      <c r="V269" s="9" t="str">
        <f t="shared" si="43"/>
        <v/>
      </c>
      <c r="W269" s="9" t="str">
        <f t="shared" si="44"/>
        <v/>
      </c>
      <c r="X269" s="10">
        <f>SUM(V$13:V269)/COUNTA(B$13:B269)</f>
        <v>2.7237354085603113E-2</v>
      </c>
      <c r="Z269" s="5"/>
      <c r="AA269" s="5"/>
      <c r="AC269" s="7"/>
      <c r="AE269" s="54" t="e">
        <f t="shared" si="45"/>
        <v>#N/A</v>
      </c>
      <c r="AF269" s="4" t="e">
        <f t="shared" ref="AF269:AF332" si="48">HLOOKUP(C269,$K$6:$O$7,2,FALSE)</f>
        <v>#N/A</v>
      </c>
    </row>
    <row r="270" spans="2:32">
      <c r="B270" s="5">
        <f t="shared" si="46"/>
        <v>258</v>
      </c>
      <c r="C270" s="5"/>
      <c r="E270" s="13"/>
      <c r="F270" s="5"/>
      <c r="G270" s="11">
        <f>IF(ISERROR(AVERAGE(F$13:F270)),"n/a",AVERAGE(F$13:F270))</f>
        <v>117</v>
      </c>
      <c r="H270" s="11">
        <f t="shared" ref="H270:H333" si="49">G270</f>
        <v>117</v>
      </c>
      <c r="J270" s="5"/>
      <c r="K270" s="5"/>
      <c r="L270" s="5"/>
      <c r="M270" s="5"/>
      <c r="N270" s="5"/>
      <c r="O270" s="8" t="str">
        <f t="shared" si="47"/>
        <v>n/a</v>
      </c>
      <c r="Q270" s="5"/>
      <c r="R270" s="5"/>
      <c r="S270" s="5"/>
      <c r="U270" s="6"/>
      <c r="V270" s="9" t="str">
        <f t="shared" ref="V270:V333" si="50">IF(O270="n/a","",IF(O270=U270,1,""))</f>
        <v/>
      </c>
      <c r="W270" s="9" t="str">
        <f t="shared" ref="W270:W333" si="51">IF(O270="n/a","",IF(O270&lt;&gt;U270,1,""))</f>
        <v/>
      </c>
      <c r="X270" s="10">
        <f>SUM(V$13:V270)/COUNTA(B$13:B270)</f>
        <v>2.7131782945736434E-2</v>
      </c>
      <c r="Z270" s="5"/>
      <c r="AA270" s="5"/>
      <c r="AC270" s="7"/>
      <c r="AE270" s="54" t="e">
        <f t="shared" ref="AE270:AE333" si="52">+IF($F$4=0,0,IF(W270=1,1,IF(OR(R270*$F$8=1,S270*$F$9=1,F270&gt;=AF270),2,0)))</f>
        <v>#N/A</v>
      </c>
      <c r="AF270" s="4" t="e">
        <f t="shared" si="48"/>
        <v>#N/A</v>
      </c>
    </row>
    <row r="271" spans="2:32">
      <c r="B271" s="5">
        <f t="shared" si="46"/>
        <v>259</v>
      </c>
      <c r="C271" s="5"/>
      <c r="E271" s="13"/>
      <c r="F271" s="5"/>
      <c r="G271" s="11">
        <f>IF(ISERROR(AVERAGE(F$13:F271)),"n/a",AVERAGE(F$13:F271))</f>
        <v>117</v>
      </c>
      <c r="H271" s="11">
        <f t="shared" si="49"/>
        <v>117</v>
      </c>
      <c r="J271" s="5"/>
      <c r="K271" s="5"/>
      <c r="L271" s="5"/>
      <c r="M271" s="5"/>
      <c r="N271" s="5"/>
      <c r="O271" s="8" t="str">
        <f t="shared" si="47"/>
        <v>n/a</v>
      </c>
      <c r="Q271" s="5"/>
      <c r="R271" s="5"/>
      <c r="S271" s="5"/>
      <c r="U271" s="6"/>
      <c r="V271" s="9" t="str">
        <f t="shared" si="50"/>
        <v/>
      </c>
      <c r="W271" s="9" t="str">
        <f t="shared" si="51"/>
        <v/>
      </c>
      <c r="X271" s="10">
        <f>SUM(V$13:V271)/COUNTA(B$13:B271)</f>
        <v>2.7027027027027029E-2</v>
      </c>
      <c r="Z271" s="5"/>
      <c r="AA271" s="5"/>
      <c r="AC271" s="7"/>
      <c r="AE271" s="54" t="e">
        <f t="shared" si="52"/>
        <v>#N/A</v>
      </c>
      <c r="AF271" s="4" t="e">
        <f t="shared" si="48"/>
        <v>#N/A</v>
      </c>
    </row>
    <row r="272" spans="2:32">
      <c r="B272" s="5">
        <f t="shared" si="46"/>
        <v>260</v>
      </c>
      <c r="C272" s="5"/>
      <c r="E272" s="13"/>
      <c r="F272" s="5"/>
      <c r="G272" s="11">
        <f>IF(ISERROR(AVERAGE(F$13:F272)),"n/a",AVERAGE(F$13:F272))</f>
        <v>117</v>
      </c>
      <c r="H272" s="11">
        <f t="shared" si="49"/>
        <v>117</v>
      </c>
      <c r="J272" s="5"/>
      <c r="K272" s="5"/>
      <c r="L272" s="5"/>
      <c r="M272" s="5"/>
      <c r="N272" s="5"/>
      <c r="O272" s="8" t="str">
        <f t="shared" si="47"/>
        <v>n/a</v>
      </c>
      <c r="Q272" s="5"/>
      <c r="R272" s="5"/>
      <c r="S272" s="5"/>
      <c r="U272" s="6"/>
      <c r="V272" s="9" t="str">
        <f t="shared" si="50"/>
        <v/>
      </c>
      <c r="W272" s="9" t="str">
        <f t="shared" si="51"/>
        <v/>
      </c>
      <c r="X272" s="10">
        <f>SUM(V$13:V272)/COUNTA(B$13:B272)</f>
        <v>2.6923076923076925E-2</v>
      </c>
      <c r="Z272" s="5"/>
      <c r="AA272" s="5"/>
      <c r="AC272" s="7"/>
      <c r="AE272" s="54" t="e">
        <f t="shared" si="52"/>
        <v>#N/A</v>
      </c>
      <c r="AF272" s="4" t="e">
        <f t="shared" si="48"/>
        <v>#N/A</v>
      </c>
    </row>
    <row r="273" spans="2:32">
      <c r="B273" s="5">
        <f t="shared" si="46"/>
        <v>261</v>
      </c>
      <c r="C273" s="5"/>
      <c r="E273" s="13"/>
      <c r="F273" s="5"/>
      <c r="G273" s="11">
        <f>IF(ISERROR(AVERAGE(F$13:F273)),"n/a",AVERAGE(F$13:F273))</f>
        <v>117</v>
      </c>
      <c r="H273" s="11">
        <f t="shared" si="49"/>
        <v>117</v>
      </c>
      <c r="J273" s="5"/>
      <c r="K273" s="5"/>
      <c r="L273" s="5"/>
      <c r="M273" s="5"/>
      <c r="N273" s="5"/>
      <c r="O273" s="8" t="str">
        <f t="shared" si="47"/>
        <v>n/a</v>
      </c>
      <c r="Q273" s="5"/>
      <c r="R273" s="5"/>
      <c r="S273" s="5"/>
      <c r="U273" s="6"/>
      <c r="V273" s="9" t="str">
        <f t="shared" si="50"/>
        <v/>
      </c>
      <c r="W273" s="9" t="str">
        <f t="shared" si="51"/>
        <v/>
      </c>
      <c r="X273" s="10">
        <f>SUM(V$13:V273)/COUNTA(B$13:B273)</f>
        <v>2.681992337164751E-2</v>
      </c>
      <c r="Z273" s="5"/>
      <c r="AA273" s="5"/>
      <c r="AC273" s="7"/>
      <c r="AE273" s="54" t="e">
        <f t="shared" si="52"/>
        <v>#N/A</v>
      </c>
      <c r="AF273" s="4" t="e">
        <f t="shared" si="48"/>
        <v>#N/A</v>
      </c>
    </row>
    <row r="274" spans="2:32">
      <c r="B274" s="5">
        <f t="shared" si="46"/>
        <v>262</v>
      </c>
      <c r="C274" s="5"/>
      <c r="E274" s="13"/>
      <c r="F274" s="5"/>
      <c r="G274" s="11">
        <f>IF(ISERROR(AVERAGE(F$13:F274)),"n/a",AVERAGE(F$13:F274))</f>
        <v>117</v>
      </c>
      <c r="H274" s="11">
        <f t="shared" si="49"/>
        <v>117</v>
      </c>
      <c r="J274" s="5"/>
      <c r="K274" s="5"/>
      <c r="L274" s="5"/>
      <c r="M274" s="5"/>
      <c r="N274" s="5"/>
      <c r="O274" s="8" t="str">
        <f t="shared" si="47"/>
        <v>n/a</v>
      </c>
      <c r="Q274" s="5"/>
      <c r="R274" s="5"/>
      <c r="S274" s="5"/>
      <c r="U274" s="6"/>
      <c r="V274" s="9" t="str">
        <f t="shared" si="50"/>
        <v/>
      </c>
      <c r="W274" s="9" t="str">
        <f t="shared" si="51"/>
        <v/>
      </c>
      <c r="X274" s="10">
        <f>SUM(V$13:V274)/COUNTA(B$13:B274)</f>
        <v>2.6717557251908396E-2</v>
      </c>
      <c r="Z274" s="5"/>
      <c r="AA274" s="5"/>
      <c r="AC274" s="7"/>
      <c r="AE274" s="54" t="e">
        <f t="shared" si="52"/>
        <v>#N/A</v>
      </c>
      <c r="AF274" s="4" t="e">
        <f t="shared" si="48"/>
        <v>#N/A</v>
      </c>
    </row>
    <row r="275" spans="2:32">
      <c r="B275" s="5">
        <f t="shared" ref="B275:B338" si="53">+B274+1</f>
        <v>263</v>
      </c>
      <c r="C275" s="5"/>
      <c r="E275" s="13"/>
      <c r="F275" s="5"/>
      <c r="G275" s="11">
        <f>IF(ISERROR(AVERAGE(F$13:F275)),"n/a",AVERAGE(F$13:F275))</f>
        <v>117</v>
      </c>
      <c r="H275" s="11">
        <f t="shared" si="49"/>
        <v>117</v>
      </c>
      <c r="J275" s="5"/>
      <c r="K275" s="5"/>
      <c r="L275" s="5"/>
      <c r="M275" s="5"/>
      <c r="N275" s="5"/>
      <c r="O275" s="8" t="str">
        <f t="shared" si="47"/>
        <v>n/a</v>
      </c>
      <c r="Q275" s="5"/>
      <c r="R275" s="5"/>
      <c r="S275" s="5"/>
      <c r="U275" s="6"/>
      <c r="V275" s="9" t="str">
        <f t="shared" si="50"/>
        <v/>
      </c>
      <c r="W275" s="9" t="str">
        <f t="shared" si="51"/>
        <v/>
      </c>
      <c r="X275" s="10">
        <f>SUM(V$13:V275)/COUNTA(B$13:B275)</f>
        <v>2.6615969581749048E-2</v>
      </c>
      <c r="Z275" s="5"/>
      <c r="AA275" s="5"/>
      <c r="AC275" s="7"/>
      <c r="AE275" s="54" t="e">
        <f t="shared" si="52"/>
        <v>#N/A</v>
      </c>
      <c r="AF275" s="4" t="e">
        <f t="shared" si="48"/>
        <v>#N/A</v>
      </c>
    </row>
    <row r="276" spans="2:32">
      <c r="B276" s="5">
        <f t="shared" si="53"/>
        <v>264</v>
      </c>
      <c r="C276" s="5"/>
      <c r="E276" s="13"/>
      <c r="F276" s="5"/>
      <c r="G276" s="11">
        <f>IF(ISERROR(AVERAGE(F$13:F276)),"n/a",AVERAGE(F$13:F276))</f>
        <v>117</v>
      </c>
      <c r="H276" s="11">
        <f t="shared" si="49"/>
        <v>117</v>
      </c>
      <c r="J276" s="5"/>
      <c r="K276" s="5"/>
      <c r="L276" s="5"/>
      <c r="M276" s="5"/>
      <c r="N276" s="5"/>
      <c r="O276" s="8" t="str">
        <f t="shared" si="47"/>
        <v>n/a</v>
      </c>
      <c r="Q276" s="5"/>
      <c r="R276" s="5"/>
      <c r="S276" s="5"/>
      <c r="U276" s="6"/>
      <c r="V276" s="9" t="str">
        <f t="shared" si="50"/>
        <v/>
      </c>
      <c r="W276" s="9" t="str">
        <f t="shared" si="51"/>
        <v/>
      </c>
      <c r="X276" s="10">
        <f>SUM(V$13:V276)/COUNTA(B$13:B276)</f>
        <v>2.6515151515151516E-2</v>
      </c>
      <c r="Z276" s="5"/>
      <c r="AA276" s="5"/>
      <c r="AC276" s="7"/>
      <c r="AE276" s="54" t="e">
        <f t="shared" si="52"/>
        <v>#N/A</v>
      </c>
      <c r="AF276" s="4" t="e">
        <f t="shared" si="48"/>
        <v>#N/A</v>
      </c>
    </row>
    <row r="277" spans="2:32">
      <c r="B277" s="5">
        <f t="shared" si="53"/>
        <v>265</v>
      </c>
      <c r="C277" s="5"/>
      <c r="E277" s="13"/>
      <c r="F277" s="5"/>
      <c r="G277" s="11">
        <f>IF(ISERROR(AVERAGE(F$13:F277)),"n/a",AVERAGE(F$13:F277))</f>
        <v>117</v>
      </c>
      <c r="H277" s="11">
        <f t="shared" si="49"/>
        <v>117</v>
      </c>
      <c r="J277" s="5"/>
      <c r="K277" s="5"/>
      <c r="L277" s="5"/>
      <c r="M277" s="5"/>
      <c r="N277" s="5"/>
      <c r="O277" s="8" t="str">
        <f t="shared" si="47"/>
        <v>n/a</v>
      </c>
      <c r="Q277" s="5"/>
      <c r="R277" s="5"/>
      <c r="S277" s="5"/>
      <c r="U277" s="6"/>
      <c r="V277" s="9" t="str">
        <f t="shared" si="50"/>
        <v/>
      </c>
      <c r="W277" s="9" t="str">
        <f t="shared" si="51"/>
        <v/>
      </c>
      <c r="X277" s="10">
        <f>SUM(V$13:V277)/COUNTA(B$13:B277)</f>
        <v>2.6415094339622643E-2</v>
      </c>
      <c r="Z277" s="5"/>
      <c r="AA277" s="5"/>
      <c r="AC277" s="7"/>
      <c r="AE277" s="54" t="e">
        <f t="shared" si="52"/>
        <v>#N/A</v>
      </c>
      <c r="AF277" s="4" t="e">
        <f t="shared" si="48"/>
        <v>#N/A</v>
      </c>
    </row>
    <row r="278" spans="2:32">
      <c r="B278" s="5">
        <f t="shared" si="53"/>
        <v>266</v>
      </c>
      <c r="C278" s="5"/>
      <c r="E278" s="13"/>
      <c r="F278" s="5"/>
      <c r="G278" s="11">
        <f>IF(ISERROR(AVERAGE(F$13:F278)),"n/a",AVERAGE(F$13:F278))</f>
        <v>117</v>
      </c>
      <c r="H278" s="11">
        <f t="shared" si="49"/>
        <v>117</v>
      </c>
      <c r="J278" s="5"/>
      <c r="K278" s="5"/>
      <c r="L278" s="5"/>
      <c r="M278" s="5"/>
      <c r="N278" s="5"/>
      <c r="O278" s="8" t="str">
        <f t="shared" si="47"/>
        <v>n/a</v>
      </c>
      <c r="Q278" s="5"/>
      <c r="R278" s="5"/>
      <c r="S278" s="5"/>
      <c r="U278" s="6"/>
      <c r="V278" s="9" t="str">
        <f t="shared" si="50"/>
        <v/>
      </c>
      <c r="W278" s="9" t="str">
        <f t="shared" si="51"/>
        <v/>
      </c>
      <c r="X278" s="10">
        <f>SUM(V$13:V278)/COUNTA(B$13:B278)</f>
        <v>2.6315789473684209E-2</v>
      </c>
      <c r="Z278" s="5"/>
      <c r="AA278" s="5"/>
      <c r="AC278" s="7"/>
      <c r="AE278" s="54" t="e">
        <f t="shared" si="52"/>
        <v>#N/A</v>
      </c>
      <c r="AF278" s="4" t="e">
        <f t="shared" si="48"/>
        <v>#N/A</v>
      </c>
    </row>
    <row r="279" spans="2:32">
      <c r="B279" s="5">
        <f t="shared" si="53"/>
        <v>267</v>
      </c>
      <c r="C279" s="5"/>
      <c r="E279" s="13"/>
      <c r="F279" s="5"/>
      <c r="G279" s="11">
        <f>IF(ISERROR(AVERAGE(F$13:F279)),"n/a",AVERAGE(F$13:F279))</f>
        <v>117</v>
      </c>
      <c r="H279" s="11">
        <f t="shared" si="49"/>
        <v>117</v>
      </c>
      <c r="J279" s="5"/>
      <c r="K279" s="5"/>
      <c r="L279" s="5"/>
      <c r="M279" s="5"/>
      <c r="N279" s="5"/>
      <c r="O279" s="8" t="str">
        <f t="shared" si="47"/>
        <v>n/a</v>
      </c>
      <c r="Q279" s="5"/>
      <c r="R279" s="5"/>
      <c r="S279" s="5"/>
      <c r="U279" s="6"/>
      <c r="V279" s="9" t="str">
        <f t="shared" si="50"/>
        <v/>
      </c>
      <c r="W279" s="9" t="str">
        <f t="shared" si="51"/>
        <v/>
      </c>
      <c r="X279" s="10">
        <f>SUM(V$13:V279)/COUNTA(B$13:B279)</f>
        <v>2.6217228464419477E-2</v>
      </c>
      <c r="Z279" s="5"/>
      <c r="AA279" s="5"/>
      <c r="AC279" s="7"/>
      <c r="AE279" s="54" t="e">
        <f t="shared" si="52"/>
        <v>#N/A</v>
      </c>
      <c r="AF279" s="4" t="e">
        <f t="shared" si="48"/>
        <v>#N/A</v>
      </c>
    </row>
    <row r="280" spans="2:32">
      <c r="B280" s="5">
        <f t="shared" si="53"/>
        <v>268</v>
      </c>
      <c r="C280" s="5"/>
      <c r="E280" s="13"/>
      <c r="F280" s="5"/>
      <c r="G280" s="11">
        <f>IF(ISERROR(AVERAGE(F$13:F280)),"n/a",AVERAGE(F$13:F280))</f>
        <v>117</v>
      </c>
      <c r="H280" s="11">
        <f t="shared" si="49"/>
        <v>117</v>
      </c>
      <c r="J280" s="5"/>
      <c r="K280" s="5"/>
      <c r="L280" s="5"/>
      <c r="M280" s="5"/>
      <c r="N280" s="5"/>
      <c r="O280" s="8" t="str">
        <f t="shared" si="47"/>
        <v>n/a</v>
      </c>
      <c r="Q280" s="5"/>
      <c r="R280" s="5"/>
      <c r="S280" s="5"/>
      <c r="U280" s="6"/>
      <c r="V280" s="9" t="str">
        <f t="shared" si="50"/>
        <v/>
      </c>
      <c r="W280" s="9" t="str">
        <f t="shared" si="51"/>
        <v/>
      </c>
      <c r="X280" s="10">
        <f>SUM(V$13:V280)/COUNTA(B$13:B280)</f>
        <v>2.6119402985074626E-2</v>
      </c>
      <c r="Z280" s="5"/>
      <c r="AA280" s="5"/>
      <c r="AC280" s="7"/>
      <c r="AE280" s="54" t="e">
        <f t="shared" si="52"/>
        <v>#N/A</v>
      </c>
      <c r="AF280" s="4" t="e">
        <f t="shared" si="48"/>
        <v>#N/A</v>
      </c>
    </row>
    <row r="281" spans="2:32">
      <c r="B281" s="5">
        <f t="shared" si="53"/>
        <v>269</v>
      </c>
      <c r="C281" s="5"/>
      <c r="E281" s="13"/>
      <c r="F281" s="5"/>
      <c r="G281" s="11">
        <f>IF(ISERROR(AVERAGE(F$13:F281)),"n/a",AVERAGE(F$13:F281))</f>
        <v>117</v>
      </c>
      <c r="H281" s="11">
        <f t="shared" si="49"/>
        <v>117</v>
      </c>
      <c r="J281" s="5"/>
      <c r="K281" s="5"/>
      <c r="L281" s="5"/>
      <c r="M281" s="5"/>
      <c r="N281" s="5"/>
      <c r="O281" s="8" t="str">
        <f t="shared" si="47"/>
        <v>n/a</v>
      </c>
      <c r="Q281" s="5"/>
      <c r="R281" s="5"/>
      <c r="S281" s="5"/>
      <c r="U281" s="6"/>
      <c r="V281" s="9" t="str">
        <f t="shared" si="50"/>
        <v/>
      </c>
      <c r="W281" s="9" t="str">
        <f t="shared" si="51"/>
        <v/>
      </c>
      <c r="X281" s="10">
        <f>SUM(V$13:V281)/COUNTA(B$13:B281)</f>
        <v>2.6022304832713755E-2</v>
      </c>
      <c r="Z281" s="5"/>
      <c r="AA281" s="5"/>
      <c r="AC281" s="7"/>
      <c r="AE281" s="54" t="e">
        <f t="shared" si="52"/>
        <v>#N/A</v>
      </c>
      <c r="AF281" s="4" t="e">
        <f t="shared" si="48"/>
        <v>#N/A</v>
      </c>
    </row>
    <row r="282" spans="2:32">
      <c r="B282" s="5">
        <f t="shared" si="53"/>
        <v>270</v>
      </c>
      <c r="C282" s="5"/>
      <c r="E282" s="13"/>
      <c r="F282" s="5"/>
      <c r="G282" s="11">
        <f>IF(ISERROR(AVERAGE(F$13:F282)),"n/a",AVERAGE(F$13:F282))</f>
        <v>117</v>
      </c>
      <c r="H282" s="11">
        <f t="shared" si="49"/>
        <v>117</v>
      </c>
      <c r="J282" s="5"/>
      <c r="K282" s="5"/>
      <c r="L282" s="5"/>
      <c r="M282" s="5"/>
      <c r="N282" s="5"/>
      <c r="O282" s="8" t="str">
        <f t="shared" si="47"/>
        <v>n/a</v>
      </c>
      <c r="Q282" s="5"/>
      <c r="R282" s="5"/>
      <c r="S282" s="5"/>
      <c r="U282" s="6"/>
      <c r="V282" s="9" t="str">
        <f t="shared" si="50"/>
        <v/>
      </c>
      <c r="W282" s="9" t="str">
        <f t="shared" si="51"/>
        <v/>
      </c>
      <c r="X282" s="10">
        <f>SUM(V$13:V282)/COUNTA(B$13:B282)</f>
        <v>2.5925925925925925E-2</v>
      </c>
      <c r="Z282" s="5"/>
      <c r="AA282" s="5"/>
      <c r="AC282" s="7"/>
      <c r="AE282" s="54" t="e">
        <f t="shared" si="52"/>
        <v>#N/A</v>
      </c>
      <c r="AF282" s="4" t="e">
        <f t="shared" si="48"/>
        <v>#N/A</v>
      </c>
    </row>
    <row r="283" spans="2:32">
      <c r="B283" s="5">
        <f t="shared" si="53"/>
        <v>271</v>
      </c>
      <c r="C283" s="5"/>
      <c r="E283" s="13"/>
      <c r="F283" s="5"/>
      <c r="G283" s="11">
        <f>IF(ISERROR(AVERAGE(F$13:F283)),"n/a",AVERAGE(F$13:F283))</f>
        <v>117</v>
      </c>
      <c r="H283" s="11">
        <f t="shared" si="49"/>
        <v>117</v>
      </c>
      <c r="J283" s="5"/>
      <c r="K283" s="5"/>
      <c r="L283" s="5"/>
      <c r="M283" s="5"/>
      <c r="N283" s="5"/>
      <c r="O283" s="8" t="str">
        <f t="shared" si="47"/>
        <v>n/a</v>
      </c>
      <c r="Q283" s="5"/>
      <c r="R283" s="5"/>
      <c r="S283" s="5"/>
      <c r="U283" s="6"/>
      <c r="V283" s="9" t="str">
        <f t="shared" si="50"/>
        <v/>
      </c>
      <c r="W283" s="9" t="str">
        <f t="shared" si="51"/>
        <v/>
      </c>
      <c r="X283" s="10">
        <f>SUM(V$13:V283)/COUNTA(B$13:B283)</f>
        <v>2.5830258302583026E-2</v>
      </c>
      <c r="Z283" s="5"/>
      <c r="AA283" s="5"/>
      <c r="AC283" s="7"/>
      <c r="AE283" s="54" t="e">
        <f t="shared" si="52"/>
        <v>#N/A</v>
      </c>
      <c r="AF283" s="4" t="e">
        <f t="shared" si="48"/>
        <v>#N/A</v>
      </c>
    </row>
    <row r="284" spans="2:32">
      <c r="B284" s="5">
        <f t="shared" si="53"/>
        <v>272</v>
      </c>
      <c r="C284" s="5"/>
      <c r="E284" s="13"/>
      <c r="F284" s="5"/>
      <c r="G284" s="11">
        <f>IF(ISERROR(AVERAGE(F$13:F284)),"n/a",AVERAGE(F$13:F284))</f>
        <v>117</v>
      </c>
      <c r="H284" s="11">
        <f t="shared" si="49"/>
        <v>117</v>
      </c>
      <c r="J284" s="5"/>
      <c r="K284" s="5"/>
      <c r="L284" s="5"/>
      <c r="M284" s="5"/>
      <c r="N284" s="5"/>
      <c r="O284" s="8" t="str">
        <f t="shared" si="47"/>
        <v>n/a</v>
      </c>
      <c r="Q284" s="5"/>
      <c r="R284" s="5"/>
      <c r="S284" s="5"/>
      <c r="U284" s="6"/>
      <c r="V284" s="9" t="str">
        <f t="shared" si="50"/>
        <v/>
      </c>
      <c r="W284" s="9" t="str">
        <f t="shared" si="51"/>
        <v/>
      </c>
      <c r="X284" s="10">
        <f>SUM(V$13:V284)/COUNTA(B$13:B284)</f>
        <v>2.5735294117647058E-2</v>
      </c>
      <c r="Z284" s="5"/>
      <c r="AA284" s="5"/>
      <c r="AC284" s="7"/>
      <c r="AE284" s="54" t="e">
        <f t="shared" si="52"/>
        <v>#N/A</v>
      </c>
      <c r="AF284" s="4" t="e">
        <f t="shared" si="48"/>
        <v>#N/A</v>
      </c>
    </row>
    <row r="285" spans="2:32">
      <c r="B285" s="5">
        <f t="shared" si="53"/>
        <v>273</v>
      </c>
      <c r="C285" s="5"/>
      <c r="E285" s="13"/>
      <c r="F285" s="5"/>
      <c r="G285" s="11">
        <f>IF(ISERROR(AVERAGE(F$13:F285)),"n/a",AVERAGE(F$13:F285))</f>
        <v>117</v>
      </c>
      <c r="H285" s="11">
        <f t="shared" si="49"/>
        <v>117</v>
      </c>
      <c r="J285" s="5"/>
      <c r="K285" s="5"/>
      <c r="L285" s="5"/>
      <c r="M285" s="5"/>
      <c r="N285" s="5"/>
      <c r="O285" s="8" t="str">
        <f t="shared" si="47"/>
        <v>n/a</v>
      </c>
      <c r="Q285" s="5"/>
      <c r="R285" s="5"/>
      <c r="S285" s="5"/>
      <c r="U285" s="6"/>
      <c r="V285" s="9" t="str">
        <f t="shared" si="50"/>
        <v/>
      </c>
      <c r="W285" s="9" t="str">
        <f t="shared" si="51"/>
        <v/>
      </c>
      <c r="X285" s="10">
        <f>SUM(V$13:V285)/COUNTA(B$13:B285)</f>
        <v>2.564102564102564E-2</v>
      </c>
      <c r="Z285" s="5"/>
      <c r="AA285" s="5"/>
      <c r="AC285" s="7"/>
      <c r="AE285" s="54" t="e">
        <f t="shared" si="52"/>
        <v>#N/A</v>
      </c>
      <c r="AF285" s="4" t="e">
        <f t="shared" si="48"/>
        <v>#N/A</v>
      </c>
    </row>
    <row r="286" spans="2:32">
      <c r="B286" s="5">
        <f t="shared" si="53"/>
        <v>274</v>
      </c>
      <c r="C286" s="5"/>
      <c r="E286" s="13"/>
      <c r="F286" s="5"/>
      <c r="G286" s="11">
        <f>IF(ISERROR(AVERAGE(F$13:F286)),"n/a",AVERAGE(F$13:F286))</f>
        <v>117</v>
      </c>
      <c r="H286" s="11">
        <f t="shared" si="49"/>
        <v>117</v>
      </c>
      <c r="J286" s="5"/>
      <c r="K286" s="5"/>
      <c r="L286" s="5"/>
      <c r="M286" s="5"/>
      <c r="N286" s="5"/>
      <c r="O286" s="8" t="str">
        <f t="shared" si="47"/>
        <v>n/a</v>
      </c>
      <c r="Q286" s="5"/>
      <c r="R286" s="5"/>
      <c r="S286" s="5"/>
      <c r="U286" s="6"/>
      <c r="V286" s="9" t="str">
        <f t="shared" si="50"/>
        <v/>
      </c>
      <c r="W286" s="9" t="str">
        <f t="shared" si="51"/>
        <v/>
      </c>
      <c r="X286" s="10">
        <f>SUM(V$13:V286)/COUNTA(B$13:B286)</f>
        <v>2.5547445255474453E-2</v>
      </c>
      <c r="Z286" s="5"/>
      <c r="AA286" s="5"/>
      <c r="AC286" s="7"/>
      <c r="AE286" s="54" t="e">
        <f t="shared" si="52"/>
        <v>#N/A</v>
      </c>
      <c r="AF286" s="4" t="e">
        <f t="shared" si="48"/>
        <v>#N/A</v>
      </c>
    </row>
    <row r="287" spans="2:32">
      <c r="B287" s="5">
        <f t="shared" si="53"/>
        <v>275</v>
      </c>
      <c r="C287" s="5"/>
      <c r="E287" s="13"/>
      <c r="F287" s="5"/>
      <c r="G287" s="11">
        <f>IF(ISERROR(AVERAGE(F$13:F287)),"n/a",AVERAGE(F$13:F287))</f>
        <v>117</v>
      </c>
      <c r="H287" s="11">
        <f t="shared" si="49"/>
        <v>117</v>
      </c>
      <c r="J287" s="5"/>
      <c r="K287" s="5"/>
      <c r="L287" s="5"/>
      <c r="M287" s="5"/>
      <c r="N287" s="5"/>
      <c r="O287" s="8" t="str">
        <f t="shared" si="47"/>
        <v>n/a</v>
      </c>
      <c r="Q287" s="5"/>
      <c r="R287" s="5"/>
      <c r="S287" s="5"/>
      <c r="U287" s="6"/>
      <c r="V287" s="9" t="str">
        <f t="shared" si="50"/>
        <v/>
      </c>
      <c r="W287" s="9" t="str">
        <f t="shared" si="51"/>
        <v/>
      </c>
      <c r="X287" s="10">
        <f>SUM(V$13:V287)/COUNTA(B$13:B287)</f>
        <v>2.5454545454545455E-2</v>
      </c>
      <c r="Z287" s="5"/>
      <c r="AA287" s="5"/>
      <c r="AC287" s="7"/>
      <c r="AE287" s="54" t="e">
        <f t="shared" si="52"/>
        <v>#N/A</v>
      </c>
      <c r="AF287" s="4" t="e">
        <f t="shared" si="48"/>
        <v>#N/A</v>
      </c>
    </row>
    <row r="288" spans="2:32">
      <c r="B288" s="5">
        <f t="shared" si="53"/>
        <v>276</v>
      </c>
      <c r="C288" s="5"/>
      <c r="E288" s="13"/>
      <c r="F288" s="5"/>
      <c r="G288" s="11">
        <f>IF(ISERROR(AVERAGE(F$13:F288)),"n/a",AVERAGE(F$13:F288))</f>
        <v>117</v>
      </c>
      <c r="H288" s="11">
        <f t="shared" si="49"/>
        <v>117</v>
      </c>
      <c r="J288" s="5"/>
      <c r="K288" s="5"/>
      <c r="L288" s="5"/>
      <c r="M288" s="5"/>
      <c r="N288" s="5"/>
      <c r="O288" s="8" t="str">
        <f t="shared" si="47"/>
        <v>n/a</v>
      </c>
      <c r="Q288" s="5"/>
      <c r="R288" s="5"/>
      <c r="S288" s="5"/>
      <c r="U288" s="6"/>
      <c r="V288" s="9" t="str">
        <f t="shared" si="50"/>
        <v/>
      </c>
      <c r="W288" s="9" t="str">
        <f t="shared" si="51"/>
        <v/>
      </c>
      <c r="X288" s="10">
        <f>SUM(V$13:V288)/COUNTA(B$13:B288)</f>
        <v>2.5362318840579712E-2</v>
      </c>
      <c r="Z288" s="5"/>
      <c r="AA288" s="5"/>
      <c r="AC288" s="7"/>
      <c r="AE288" s="54" t="e">
        <f t="shared" si="52"/>
        <v>#N/A</v>
      </c>
      <c r="AF288" s="4" t="e">
        <f t="shared" si="48"/>
        <v>#N/A</v>
      </c>
    </row>
    <row r="289" spans="2:32">
      <c r="B289" s="5">
        <f t="shared" si="53"/>
        <v>277</v>
      </c>
      <c r="C289" s="5"/>
      <c r="E289" s="13"/>
      <c r="F289" s="5"/>
      <c r="G289" s="11">
        <f>IF(ISERROR(AVERAGE(F$13:F289)),"n/a",AVERAGE(F$13:F289))</f>
        <v>117</v>
      </c>
      <c r="H289" s="11">
        <f t="shared" si="49"/>
        <v>117</v>
      </c>
      <c r="J289" s="5"/>
      <c r="K289" s="5"/>
      <c r="L289" s="5"/>
      <c r="M289" s="5"/>
      <c r="N289" s="5"/>
      <c r="O289" s="8" t="str">
        <f t="shared" si="47"/>
        <v>n/a</v>
      </c>
      <c r="Q289" s="5"/>
      <c r="R289" s="5"/>
      <c r="S289" s="5"/>
      <c r="U289" s="6"/>
      <c r="V289" s="9" t="str">
        <f t="shared" si="50"/>
        <v/>
      </c>
      <c r="W289" s="9" t="str">
        <f t="shared" si="51"/>
        <v/>
      </c>
      <c r="X289" s="10">
        <f>SUM(V$13:V289)/COUNTA(B$13:B289)</f>
        <v>2.5270758122743681E-2</v>
      </c>
      <c r="Z289" s="5"/>
      <c r="AA289" s="5"/>
      <c r="AC289" s="7"/>
      <c r="AE289" s="54" t="e">
        <f t="shared" si="52"/>
        <v>#N/A</v>
      </c>
      <c r="AF289" s="4" t="e">
        <f t="shared" si="48"/>
        <v>#N/A</v>
      </c>
    </row>
    <row r="290" spans="2:32">
      <c r="B290" s="5">
        <f t="shared" si="53"/>
        <v>278</v>
      </c>
      <c r="C290" s="5"/>
      <c r="E290" s="13"/>
      <c r="F290" s="5"/>
      <c r="G290" s="11">
        <f>IF(ISERROR(AVERAGE(F$13:F290)),"n/a",AVERAGE(F$13:F290))</f>
        <v>117</v>
      </c>
      <c r="H290" s="11">
        <f t="shared" si="49"/>
        <v>117</v>
      </c>
      <c r="J290" s="5"/>
      <c r="K290" s="5"/>
      <c r="L290" s="5"/>
      <c r="M290" s="5"/>
      <c r="N290" s="5"/>
      <c r="O290" s="8" t="str">
        <f t="shared" si="47"/>
        <v>n/a</v>
      </c>
      <c r="Q290" s="5"/>
      <c r="R290" s="5"/>
      <c r="S290" s="5"/>
      <c r="U290" s="6"/>
      <c r="V290" s="9" t="str">
        <f t="shared" si="50"/>
        <v/>
      </c>
      <c r="W290" s="9" t="str">
        <f t="shared" si="51"/>
        <v/>
      </c>
      <c r="X290" s="10">
        <f>SUM(V$13:V290)/COUNTA(B$13:B290)</f>
        <v>2.5179856115107913E-2</v>
      </c>
      <c r="Z290" s="5"/>
      <c r="AA290" s="5"/>
      <c r="AC290" s="7"/>
      <c r="AE290" s="54" t="e">
        <f t="shared" si="52"/>
        <v>#N/A</v>
      </c>
      <c r="AF290" s="4" t="e">
        <f t="shared" si="48"/>
        <v>#N/A</v>
      </c>
    </row>
    <row r="291" spans="2:32">
      <c r="B291" s="5">
        <f t="shared" si="53"/>
        <v>279</v>
      </c>
      <c r="C291" s="5"/>
      <c r="E291" s="13"/>
      <c r="F291" s="5"/>
      <c r="G291" s="11">
        <f>IF(ISERROR(AVERAGE(F$13:F291)),"n/a",AVERAGE(F$13:F291))</f>
        <v>117</v>
      </c>
      <c r="H291" s="11">
        <f t="shared" si="49"/>
        <v>117</v>
      </c>
      <c r="J291" s="5"/>
      <c r="K291" s="5"/>
      <c r="L291" s="5"/>
      <c r="M291" s="5"/>
      <c r="N291" s="5"/>
      <c r="O291" s="8" t="str">
        <f t="shared" si="47"/>
        <v>n/a</v>
      </c>
      <c r="Q291" s="5"/>
      <c r="R291" s="5"/>
      <c r="S291" s="5"/>
      <c r="U291" s="6"/>
      <c r="V291" s="9" t="str">
        <f t="shared" si="50"/>
        <v/>
      </c>
      <c r="W291" s="9" t="str">
        <f t="shared" si="51"/>
        <v/>
      </c>
      <c r="X291" s="10">
        <f>SUM(V$13:V291)/COUNTA(B$13:B291)</f>
        <v>2.5089605734767026E-2</v>
      </c>
      <c r="Z291" s="5"/>
      <c r="AA291" s="5"/>
      <c r="AC291" s="7"/>
      <c r="AE291" s="54" t="e">
        <f t="shared" si="52"/>
        <v>#N/A</v>
      </c>
      <c r="AF291" s="4" t="e">
        <f t="shared" si="48"/>
        <v>#N/A</v>
      </c>
    </row>
    <row r="292" spans="2:32">
      <c r="B292" s="5">
        <f t="shared" si="53"/>
        <v>280</v>
      </c>
      <c r="C292" s="5"/>
      <c r="E292" s="13"/>
      <c r="F292" s="5"/>
      <c r="G292" s="11">
        <f>IF(ISERROR(AVERAGE(F$13:F292)),"n/a",AVERAGE(F$13:F292))</f>
        <v>117</v>
      </c>
      <c r="H292" s="11">
        <f t="shared" si="49"/>
        <v>117</v>
      </c>
      <c r="J292" s="5"/>
      <c r="K292" s="5"/>
      <c r="L292" s="5"/>
      <c r="M292" s="5"/>
      <c r="N292" s="5"/>
      <c r="O292" s="8" t="str">
        <f t="shared" si="47"/>
        <v>n/a</v>
      </c>
      <c r="Q292" s="5"/>
      <c r="R292" s="5"/>
      <c r="S292" s="5"/>
      <c r="U292" s="6"/>
      <c r="V292" s="9" t="str">
        <f t="shared" si="50"/>
        <v/>
      </c>
      <c r="W292" s="9" t="str">
        <f t="shared" si="51"/>
        <v/>
      </c>
      <c r="X292" s="10">
        <f>SUM(V$13:V292)/COUNTA(B$13:B292)</f>
        <v>2.5000000000000001E-2</v>
      </c>
      <c r="Z292" s="5"/>
      <c r="AA292" s="5"/>
      <c r="AC292" s="7"/>
      <c r="AE292" s="54" t="e">
        <f t="shared" si="52"/>
        <v>#N/A</v>
      </c>
      <c r="AF292" s="4" t="e">
        <f t="shared" si="48"/>
        <v>#N/A</v>
      </c>
    </row>
    <row r="293" spans="2:32">
      <c r="B293" s="5">
        <f t="shared" si="53"/>
        <v>281</v>
      </c>
      <c r="C293" s="5"/>
      <c r="E293" s="13"/>
      <c r="F293" s="5"/>
      <c r="G293" s="11">
        <f>IF(ISERROR(AVERAGE(F$13:F293)),"n/a",AVERAGE(F$13:F293))</f>
        <v>117</v>
      </c>
      <c r="H293" s="11">
        <f t="shared" si="49"/>
        <v>117</v>
      </c>
      <c r="J293" s="5"/>
      <c r="K293" s="5"/>
      <c r="L293" s="5"/>
      <c r="M293" s="5"/>
      <c r="N293" s="5"/>
      <c r="O293" s="8" t="str">
        <f t="shared" si="47"/>
        <v>n/a</v>
      </c>
      <c r="Q293" s="5"/>
      <c r="R293" s="5"/>
      <c r="S293" s="5"/>
      <c r="U293" s="6"/>
      <c r="V293" s="9" t="str">
        <f t="shared" si="50"/>
        <v/>
      </c>
      <c r="W293" s="9" t="str">
        <f t="shared" si="51"/>
        <v/>
      </c>
      <c r="X293" s="10">
        <f>SUM(V$13:V293)/COUNTA(B$13:B293)</f>
        <v>2.491103202846975E-2</v>
      </c>
      <c r="Z293" s="5"/>
      <c r="AA293" s="5"/>
      <c r="AC293" s="7"/>
      <c r="AE293" s="54" t="e">
        <f t="shared" si="52"/>
        <v>#N/A</v>
      </c>
      <c r="AF293" s="4" t="e">
        <f t="shared" si="48"/>
        <v>#N/A</v>
      </c>
    </row>
    <row r="294" spans="2:32">
      <c r="B294" s="5">
        <f t="shared" si="53"/>
        <v>282</v>
      </c>
      <c r="C294" s="5"/>
      <c r="E294" s="13"/>
      <c r="F294" s="5"/>
      <c r="G294" s="11">
        <f>IF(ISERROR(AVERAGE(F$13:F294)),"n/a",AVERAGE(F$13:F294))</f>
        <v>117</v>
      </c>
      <c r="H294" s="11">
        <f t="shared" si="49"/>
        <v>117</v>
      </c>
      <c r="J294" s="5"/>
      <c r="K294" s="5"/>
      <c r="L294" s="5"/>
      <c r="M294" s="5"/>
      <c r="N294" s="5"/>
      <c r="O294" s="8" t="str">
        <f t="shared" si="47"/>
        <v>n/a</v>
      </c>
      <c r="Q294" s="5"/>
      <c r="R294" s="5"/>
      <c r="S294" s="5"/>
      <c r="U294" s="6"/>
      <c r="V294" s="9" t="str">
        <f t="shared" si="50"/>
        <v/>
      </c>
      <c r="W294" s="9" t="str">
        <f t="shared" si="51"/>
        <v/>
      </c>
      <c r="X294" s="10">
        <f>SUM(V$13:V294)/COUNTA(B$13:B294)</f>
        <v>2.4822695035460994E-2</v>
      </c>
      <c r="Z294" s="5"/>
      <c r="AA294" s="5"/>
      <c r="AC294" s="7"/>
      <c r="AE294" s="54" t="e">
        <f t="shared" si="52"/>
        <v>#N/A</v>
      </c>
      <c r="AF294" s="4" t="e">
        <f t="shared" si="48"/>
        <v>#N/A</v>
      </c>
    </row>
    <row r="295" spans="2:32">
      <c r="B295" s="5">
        <f t="shared" si="53"/>
        <v>283</v>
      </c>
      <c r="C295" s="5"/>
      <c r="E295" s="13"/>
      <c r="F295" s="5"/>
      <c r="G295" s="11">
        <f>IF(ISERROR(AVERAGE(F$13:F295)),"n/a",AVERAGE(F$13:F295))</f>
        <v>117</v>
      </c>
      <c r="H295" s="11">
        <f t="shared" si="49"/>
        <v>117</v>
      </c>
      <c r="J295" s="5"/>
      <c r="K295" s="5"/>
      <c r="L295" s="5"/>
      <c r="M295" s="5"/>
      <c r="N295" s="5"/>
      <c r="O295" s="8" t="str">
        <f t="shared" si="47"/>
        <v>n/a</v>
      </c>
      <c r="Q295" s="5"/>
      <c r="R295" s="5"/>
      <c r="S295" s="5"/>
      <c r="U295" s="6"/>
      <c r="V295" s="9" t="str">
        <f t="shared" si="50"/>
        <v/>
      </c>
      <c r="W295" s="9" t="str">
        <f t="shared" si="51"/>
        <v/>
      </c>
      <c r="X295" s="10">
        <f>SUM(V$13:V295)/COUNTA(B$13:B295)</f>
        <v>2.4734982332155476E-2</v>
      </c>
      <c r="Z295" s="5"/>
      <c r="AA295" s="5"/>
      <c r="AC295" s="7"/>
      <c r="AE295" s="54" t="e">
        <f t="shared" si="52"/>
        <v>#N/A</v>
      </c>
      <c r="AF295" s="4" t="e">
        <f t="shared" si="48"/>
        <v>#N/A</v>
      </c>
    </row>
    <row r="296" spans="2:32">
      <c r="B296" s="5">
        <f t="shared" si="53"/>
        <v>284</v>
      </c>
      <c r="C296" s="5"/>
      <c r="E296" s="13"/>
      <c r="F296" s="5"/>
      <c r="G296" s="11">
        <f>IF(ISERROR(AVERAGE(F$13:F296)),"n/a",AVERAGE(F$13:F296))</f>
        <v>117</v>
      </c>
      <c r="H296" s="11">
        <f t="shared" si="49"/>
        <v>117</v>
      </c>
      <c r="J296" s="5"/>
      <c r="K296" s="5"/>
      <c r="L296" s="5"/>
      <c r="M296" s="5"/>
      <c r="N296" s="5"/>
      <c r="O296" s="8" t="str">
        <f t="shared" si="47"/>
        <v>n/a</v>
      </c>
      <c r="Q296" s="5"/>
      <c r="R296" s="5"/>
      <c r="S296" s="5"/>
      <c r="U296" s="6"/>
      <c r="V296" s="9" t="str">
        <f t="shared" si="50"/>
        <v/>
      </c>
      <c r="W296" s="9" t="str">
        <f t="shared" si="51"/>
        <v/>
      </c>
      <c r="X296" s="10">
        <f>SUM(V$13:V296)/COUNTA(B$13:B296)</f>
        <v>2.464788732394366E-2</v>
      </c>
      <c r="Z296" s="5"/>
      <c r="AA296" s="5"/>
      <c r="AC296" s="7"/>
      <c r="AE296" s="54" t="e">
        <f t="shared" si="52"/>
        <v>#N/A</v>
      </c>
      <c r="AF296" s="4" t="e">
        <f t="shared" si="48"/>
        <v>#N/A</v>
      </c>
    </row>
    <row r="297" spans="2:32">
      <c r="B297" s="5">
        <f t="shared" si="53"/>
        <v>285</v>
      </c>
      <c r="C297" s="5"/>
      <c r="E297" s="13"/>
      <c r="F297" s="5"/>
      <c r="G297" s="11">
        <f>IF(ISERROR(AVERAGE(F$13:F297)),"n/a",AVERAGE(F$13:F297))</f>
        <v>117</v>
      </c>
      <c r="H297" s="11">
        <f t="shared" si="49"/>
        <v>117</v>
      </c>
      <c r="J297" s="5"/>
      <c r="K297" s="5"/>
      <c r="L297" s="5"/>
      <c r="M297" s="5"/>
      <c r="N297" s="5"/>
      <c r="O297" s="8" t="str">
        <f t="shared" si="47"/>
        <v>n/a</v>
      </c>
      <c r="Q297" s="5"/>
      <c r="R297" s="5"/>
      <c r="S297" s="5"/>
      <c r="U297" s="6"/>
      <c r="V297" s="9" t="str">
        <f t="shared" si="50"/>
        <v/>
      </c>
      <c r="W297" s="9" t="str">
        <f t="shared" si="51"/>
        <v/>
      </c>
      <c r="X297" s="10">
        <f>SUM(V$13:V297)/COUNTA(B$13:B297)</f>
        <v>2.456140350877193E-2</v>
      </c>
      <c r="Z297" s="5"/>
      <c r="AA297" s="5"/>
      <c r="AC297" s="7"/>
      <c r="AE297" s="54" t="e">
        <f t="shared" si="52"/>
        <v>#N/A</v>
      </c>
      <c r="AF297" s="4" t="e">
        <f t="shared" si="48"/>
        <v>#N/A</v>
      </c>
    </row>
    <row r="298" spans="2:32">
      <c r="B298" s="5">
        <f t="shared" si="53"/>
        <v>286</v>
      </c>
      <c r="C298" s="5"/>
      <c r="E298" s="13"/>
      <c r="F298" s="5"/>
      <c r="G298" s="11">
        <f>IF(ISERROR(AVERAGE(F$13:F298)),"n/a",AVERAGE(F$13:F298))</f>
        <v>117</v>
      </c>
      <c r="H298" s="11">
        <f t="shared" si="49"/>
        <v>117</v>
      </c>
      <c r="J298" s="5"/>
      <c r="K298" s="5"/>
      <c r="L298" s="5"/>
      <c r="M298" s="5"/>
      <c r="N298" s="5"/>
      <c r="O298" s="8" t="str">
        <f t="shared" si="47"/>
        <v>n/a</v>
      </c>
      <c r="Q298" s="5"/>
      <c r="R298" s="5"/>
      <c r="S298" s="5"/>
      <c r="U298" s="6"/>
      <c r="V298" s="9" t="str">
        <f t="shared" si="50"/>
        <v/>
      </c>
      <c r="W298" s="9" t="str">
        <f t="shared" si="51"/>
        <v/>
      </c>
      <c r="X298" s="10">
        <f>SUM(V$13:V298)/COUNTA(B$13:B298)</f>
        <v>2.4475524475524476E-2</v>
      </c>
      <c r="Z298" s="5"/>
      <c r="AA298" s="5"/>
      <c r="AC298" s="7"/>
      <c r="AE298" s="54" t="e">
        <f t="shared" si="52"/>
        <v>#N/A</v>
      </c>
      <c r="AF298" s="4" t="e">
        <f t="shared" si="48"/>
        <v>#N/A</v>
      </c>
    </row>
    <row r="299" spans="2:32">
      <c r="B299" s="5">
        <f t="shared" si="53"/>
        <v>287</v>
      </c>
      <c r="C299" s="5"/>
      <c r="E299" s="13"/>
      <c r="F299" s="5"/>
      <c r="G299" s="11">
        <f>IF(ISERROR(AVERAGE(F$13:F299)),"n/a",AVERAGE(F$13:F299))</f>
        <v>117</v>
      </c>
      <c r="H299" s="11">
        <f t="shared" si="49"/>
        <v>117</v>
      </c>
      <c r="J299" s="5"/>
      <c r="K299" s="5"/>
      <c r="L299" s="5"/>
      <c r="M299" s="5"/>
      <c r="N299" s="5"/>
      <c r="O299" s="8" t="str">
        <f t="shared" si="47"/>
        <v>n/a</v>
      </c>
      <c r="Q299" s="5"/>
      <c r="R299" s="5"/>
      <c r="S299" s="5"/>
      <c r="U299" s="6"/>
      <c r="V299" s="9" t="str">
        <f t="shared" si="50"/>
        <v/>
      </c>
      <c r="W299" s="9" t="str">
        <f t="shared" si="51"/>
        <v/>
      </c>
      <c r="X299" s="10">
        <f>SUM(V$13:V299)/COUNTA(B$13:B299)</f>
        <v>2.4390243902439025E-2</v>
      </c>
      <c r="Z299" s="5"/>
      <c r="AA299" s="5"/>
      <c r="AC299" s="7"/>
      <c r="AE299" s="54" t="e">
        <f t="shared" si="52"/>
        <v>#N/A</v>
      </c>
      <c r="AF299" s="4" t="e">
        <f t="shared" si="48"/>
        <v>#N/A</v>
      </c>
    </row>
    <row r="300" spans="2:32">
      <c r="B300" s="5">
        <f t="shared" si="53"/>
        <v>288</v>
      </c>
      <c r="C300" s="5"/>
      <c r="E300" s="13"/>
      <c r="F300" s="5"/>
      <c r="G300" s="11">
        <f>IF(ISERROR(AVERAGE(F$13:F300)),"n/a",AVERAGE(F$13:F300))</f>
        <v>117</v>
      </c>
      <c r="H300" s="11">
        <f t="shared" si="49"/>
        <v>117</v>
      </c>
      <c r="J300" s="5"/>
      <c r="K300" s="5"/>
      <c r="L300" s="5"/>
      <c r="M300" s="5"/>
      <c r="N300" s="5"/>
      <c r="O300" s="8" t="str">
        <f t="shared" si="47"/>
        <v>n/a</v>
      </c>
      <c r="Q300" s="5"/>
      <c r="R300" s="5"/>
      <c r="S300" s="5"/>
      <c r="U300" s="6"/>
      <c r="V300" s="9" t="str">
        <f t="shared" si="50"/>
        <v/>
      </c>
      <c r="W300" s="9" t="str">
        <f t="shared" si="51"/>
        <v/>
      </c>
      <c r="X300" s="10">
        <f>SUM(V$13:V300)/COUNTA(B$13:B300)</f>
        <v>2.4305555555555556E-2</v>
      </c>
      <c r="Z300" s="5"/>
      <c r="AA300" s="5"/>
      <c r="AC300" s="7"/>
      <c r="AE300" s="54" t="e">
        <f t="shared" si="52"/>
        <v>#N/A</v>
      </c>
      <c r="AF300" s="4" t="e">
        <f t="shared" si="48"/>
        <v>#N/A</v>
      </c>
    </row>
    <row r="301" spans="2:32">
      <c r="B301" s="5">
        <f t="shared" si="53"/>
        <v>289</v>
      </c>
      <c r="C301" s="5"/>
      <c r="E301" s="13"/>
      <c r="F301" s="5"/>
      <c r="G301" s="11">
        <f>IF(ISERROR(AVERAGE(F$13:F301)),"n/a",AVERAGE(F$13:F301))</f>
        <v>117</v>
      </c>
      <c r="H301" s="11">
        <f t="shared" si="49"/>
        <v>117</v>
      </c>
      <c r="J301" s="5"/>
      <c r="K301" s="5"/>
      <c r="L301" s="5"/>
      <c r="M301" s="5"/>
      <c r="N301" s="5"/>
      <c r="O301" s="8" t="str">
        <f t="shared" si="47"/>
        <v>n/a</v>
      </c>
      <c r="Q301" s="5"/>
      <c r="R301" s="5"/>
      <c r="S301" s="5"/>
      <c r="U301" s="6"/>
      <c r="V301" s="9" t="str">
        <f t="shared" si="50"/>
        <v/>
      </c>
      <c r="W301" s="9" t="str">
        <f t="shared" si="51"/>
        <v/>
      </c>
      <c r="X301" s="10">
        <f>SUM(V$13:V301)/COUNTA(B$13:B301)</f>
        <v>2.4221453287197232E-2</v>
      </c>
      <c r="Z301" s="5"/>
      <c r="AA301" s="5"/>
      <c r="AC301" s="7"/>
      <c r="AE301" s="54" t="e">
        <f t="shared" si="52"/>
        <v>#N/A</v>
      </c>
      <c r="AF301" s="4" t="e">
        <f t="shared" si="48"/>
        <v>#N/A</v>
      </c>
    </row>
    <row r="302" spans="2:32">
      <c r="B302" s="5">
        <f t="shared" si="53"/>
        <v>290</v>
      </c>
      <c r="C302" s="5"/>
      <c r="E302" s="13"/>
      <c r="F302" s="5"/>
      <c r="G302" s="11">
        <f>IF(ISERROR(AVERAGE(F$13:F302)),"n/a",AVERAGE(F$13:F302))</f>
        <v>117</v>
      </c>
      <c r="H302" s="11">
        <f t="shared" si="49"/>
        <v>117</v>
      </c>
      <c r="J302" s="5"/>
      <c r="K302" s="5"/>
      <c r="L302" s="5"/>
      <c r="M302" s="5"/>
      <c r="N302" s="5"/>
      <c r="O302" s="8" t="str">
        <f t="shared" si="47"/>
        <v>n/a</v>
      </c>
      <c r="Q302" s="5"/>
      <c r="R302" s="5"/>
      <c r="S302" s="5"/>
      <c r="U302" s="6"/>
      <c r="V302" s="9" t="str">
        <f t="shared" si="50"/>
        <v/>
      </c>
      <c r="W302" s="9" t="str">
        <f t="shared" si="51"/>
        <v/>
      </c>
      <c r="X302" s="10">
        <f>SUM(V$13:V302)/COUNTA(B$13:B302)</f>
        <v>2.4137931034482758E-2</v>
      </c>
      <c r="Z302" s="5"/>
      <c r="AA302" s="5"/>
      <c r="AC302" s="7"/>
      <c r="AE302" s="54" t="e">
        <f t="shared" si="52"/>
        <v>#N/A</v>
      </c>
      <c r="AF302" s="4" t="e">
        <f t="shared" si="48"/>
        <v>#N/A</v>
      </c>
    </row>
    <row r="303" spans="2:32">
      <c r="B303" s="5">
        <f t="shared" si="53"/>
        <v>291</v>
      </c>
      <c r="C303" s="5"/>
      <c r="E303" s="13"/>
      <c r="F303" s="5"/>
      <c r="G303" s="11">
        <f>IF(ISERROR(AVERAGE(F$13:F303)),"n/a",AVERAGE(F$13:F303))</f>
        <v>117</v>
      </c>
      <c r="H303" s="11">
        <f t="shared" si="49"/>
        <v>117</v>
      </c>
      <c r="J303" s="5"/>
      <c r="K303" s="5"/>
      <c r="L303" s="5"/>
      <c r="M303" s="5"/>
      <c r="N303" s="5"/>
      <c r="O303" s="8" t="str">
        <f t="shared" si="47"/>
        <v>n/a</v>
      </c>
      <c r="Q303" s="5"/>
      <c r="R303" s="5"/>
      <c r="S303" s="5"/>
      <c r="U303" s="6"/>
      <c r="V303" s="9" t="str">
        <f t="shared" si="50"/>
        <v/>
      </c>
      <c r="W303" s="9" t="str">
        <f t="shared" si="51"/>
        <v/>
      </c>
      <c r="X303" s="10">
        <f>SUM(V$13:V303)/COUNTA(B$13:B303)</f>
        <v>2.4054982817869417E-2</v>
      </c>
      <c r="Z303" s="5"/>
      <c r="AA303" s="5"/>
      <c r="AC303" s="7"/>
      <c r="AE303" s="54" t="e">
        <f t="shared" si="52"/>
        <v>#N/A</v>
      </c>
      <c r="AF303" s="4" t="e">
        <f t="shared" si="48"/>
        <v>#N/A</v>
      </c>
    </row>
    <row r="304" spans="2:32">
      <c r="B304" s="5">
        <f t="shared" si="53"/>
        <v>292</v>
      </c>
      <c r="C304" s="5"/>
      <c r="E304" s="13"/>
      <c r="F304" s="5"/>
      <c r="G304" s="11">
        <f>IF(ISERROR(AVERAGE(F$13:F304)),"n/a",AVERAGE(F$13:F304))</f>
        <v>117</v>
      </c>
      <c r="H304" s="11">
        <f t="shared" si="49"/>
        <v>117</v>
      </c>
      <c r="J304" s="5"/>
      <c r="K304" s="5"/>
      <c r="L304" s="5"/>
      <c r="M304" s="5"/>
      <c r="N304" s="5"/>
      <c r="O304" s="8" t="str">
        <f t="shared" si="47"/>
        <v>n/a</v>
      </c>
      <c r="Q304" s="5"/>
      <c r="R304" s="5"/>
      <c r="S304" s="5"/>
      <c r="U304" s="6"/>
      <c r="V304" s="9" t="str">
        <f t="shared" si="50"/>
        <v/>
      </c>
      <c r="W304" s="9" t="str">
        <f t="shared" si="51"/>
        <v/>
      </c>
      <c r="X304" s="10">
        <f>SUM(V$13:V304)/COUNTA(B$13:B304)</f>
        <v>2.3972602739726026E-2</v>
      </c>
      <c r="Z304" s="5"/>
      <c r="AA304" s="5"/>
      <c r="AC304" s="7"/>
      <c r="AE304" s="54" t="e">
        <f t="shared" si="52"/>
        <v>#N/A</v>
      </c>
      <c r="AF304" s="4" t="e">
        <f t="shared" si="48"/>
        <v>#N/A</v>
      </c>
    </row>
    <row r="305" spans="2:32">
      <c r="B305" s="5">
        <f t="shared" si="53"/>
        <v>293</v>
      </c>
      <c r="C305" s="5"/>
      <c r="E305" s="13"/>
      <c r="F305" s="5"/>
      <c r="G305" s="11">
        <f>IF(ISERROR(AVERAGE(F$13:F305)),"n/a",AVERAGE(F$13:F305))</f>
        <v>117</v>
      </c>
      <c r="H305" s="11">
        <f t="shared" si="49"/>
        <v>117</v>
      </c>
      <c r="J305" s="5"/>
      <c r="K305" s="5"/>
      <c r="L305" s="5"/>
      <c r="M305" s="5"/>
      <c r="N305" s="5"/>
      <c r="O305" s="8" t="str">
        <f t="shared" ref="O305:O368" si="54">IF(J305=1,"A",IF(K305=1,"B",IF(L305=1,"C",IF(M305=1,"D",IF(N305=1,"E","n/a")))))</f>
        <v>n/a</v>
      </c>
      <c r="Q305" s="5"/>
      <c r="R305" s="5"/>
      <c r="S305" s="5"/>
      <c r="U305" s="6"/>
      <c r="V305" s="9" t="str">
        <f t="shared" si="50"/>
        <v/>
      </c>
      <c r="W305" s="9" t="str">
        <f t="shared" si="51"/>
        <v/>
      </c>
      <c r="X305" s="10">
        <f>SUM(V$13:V305)/COUNTA(B$13:B305)</f>
        <v>2.3890784982935155E-2</v>
      </c>
      <c r="Z305" s="5"/>
      <c r="AA305" s="5"/>
      <c r="AC305" s="7"/>
      <c r="AE305" s="54" t="e">
        <f t="shared" si="52"/>
        <v>#N/A</v>
      </c>
      <c r="AF305" s="4" t="e">
        <f t="shared" si="48"/>
        <v>#N/A</v>
      </c>
    </row>
    <row r="306" spans="2:32">
      <c r="B306" s="5">
        <f t="shared" si="53"/>
        <v>294</v>
      </c>
      <c r="C306" s="5"/>
      <c r="E306" s="13"/>
      <c r="F306" s="5"/>
      <c r="G306" s="11">
        <f>IF(ISERROR(AVERAGE(F$13:F306)),"n/a",AVERAGE(F$13:F306))</f>
        <v>117</v>
      </c>
      <c r="H306" s="11">
        <f t="shared" si="49"/>
        <v>117</v>
      </c>
      <c r="J306" s="5"/>
      <c r="K306" s="5"/>
      <c r="L306" s="5"/>
      <c r="M306" s="5"/>
      <c r="N306" s="5"/>
      <c r="O306" s="8" t="str">
        <f t="shared" si="54"/>
        <v>n/a</v>
      </c>
      <c r="Q306" s="5"/>
      <c r="R306" s="5"/>
      <c r="S306" s="5"/>
      <c r="U306" s="6"/>
      <c r="V306" s="9" t="str">
        <f t="shared" si="50"/>
        <v/>
      </c>
      <c r="W306" s="9" t="str">
        <f t="shared" si="51"/>
        <v/>
      </c>
      <c r="X306" s="10">
        <f>SUM(V$13:V306)/COUNTA(B$13:B306)</f>
        <v>2.3809523809523808E-2</v>
      </c>
      <c r="Z306" s="5"/>
      <c r="AA306" s="5"/>
      <c r="AC306" s="7"/>
      <c r="AE306" s="54" t="e">
        <f t="shared" si="52"/>
        <v>#N/A</v>
      </c>
      <c r="AF306" s="4" t="e">
        <f t="shared" si="48"/>
        <v>#N/A</v>
      </c>
    </row>
    <row r="307" spans="2:32">
      <c r="B307" s="5">
        <f t="shared" si="53"/>
        <v>295</v>
      </c>
      <c r="C307" s="5"/>
      <c r="E307" s="13"/>
      <c r="F307" s="5"/>
      <c r="G307" s="11">
        <f>IF(ISERROR(AVERAGE(F$13:F307)),"n/a",AVERAGE(F$13:F307))</f>
        <v>117</v>
      </c>
      <c r="H307" s="11">
        <f t="shared" si="49"/>
        <v>117</v>
      </c>
      <c r="J307" s="5"/>
      <c r="K307" s="5"/>
      <c r="L307" s="5"/>
      <c r="M307" s="5"/>
      <c r="N307" s="5"/>
      <c r="O307" s="8" t="str">
        <f t="shared" si="54"/>
        <v>n/a</v>
      </c>
      <c r="Q307" s="5"/>
      <c r="R307" s="5"/>
      <c r="S307" s="5"/>
      <c r="U307" s="6"/>
      <c r="V307" s="9" t="str">
        <f t="shared" si="50"/>
        <v/>
      </c>
      <c r="W307" s="9" t="str">
        <f t="shared" si="51"/>
        <v/>
      </c>
      <c r="X307" s="10">
        <f>SUM(V$13:V307)/COUNTA(B$13:B307)</f>
        <v>2.3728813559322035E-2</v>
      </c>
      <c r="Z307" s="5"/>
      <c r="AA307" s="5"/>
      <c r="AC307" s="7"/>
      <c r="AE307" s="54" t="e">
        <f t="shared" si="52"/>
        <v>#N/A</v>
      </c>
      <c r="AF307" s="4" t="e">
        <f t="shared" si="48"/>
        <v>#N/A</v>
      </c>
    </row>
    <row r="308" spans="2:32">
      <c r="B308" s="5">
        <f t="shared" si="53"/>
        <v>296</v>
      </c>
      <c r="C308" s="5"/>
      <c r="E308" s="13"/>
      <c r="F308" s="5"/>
      <c r="G308" s="11">
        <f>IF(ISERROR(AVERAGE(F$13:F308)),"n/a",AVERAGE(F$13:F308))</f>
        <v>117</v>
      </c>
      <c r="H308" s="11">
        <f t="shared" si="49"/>
        <v>117</v>
      </c>
      <c r="J308" s="5"/>
      <c r="K308" s="5"/>
      <c r="L308" s="5"/>
      <c r="M308" s="5"/>
      <c r="N308" s="5"/>
      <c r="O308" s="8" t="str">
        <f t="shared" si="54"/>
        <v>n/a</v>
      </c>
      <c r="Q308" s="5"/>
      <c r="R308" s="5"/>
      <c r="S308" s="5"/>
      <c r="U308" s="6"/>
      <c r="V308" s="9" t="str">
        <f t="shared" si="50"/>
        <v/>
      </c>
      <c r="W308" s="9" t="str">
        <f t="shared" si="51"/>
        <v/>
      </c>
      <c r="X308" s="10">
        <f>SUM(V$13:V308)/COUNTA(B$13:B308)</f>
        <v>2.364864864864865E-2</v>
      </c>
      <c r="Z308" s="5"/>
      <c r="AA308" s="5"/>
      <c r="AC308" s="7"/>
      <c r="AE308" s="54" t="e">
        <f t="shared" si="52"/>
        <v>#N/A</v>
      </c>
      <c r="AF308" s="4" t="e">
        <f t="shared" si="48"/>
        <v>#N/A</v>
      </c>
    </row>
    <row r="309" spans="2:32">
      <c r="B309" s="5">
        <f t="shared" si="53"/>
        <v>297</v>
      </c>
      <c r="C309" s="5"/>
      <c r="E309" s="13"/>
      <c r="F309" s="5"/>
      <c r="G309" s="11">
        <f>IF(ISERROR(AVERAGE(F$13:F309)),"n/a",AVERAGE(F$13:F309))</f>
        <v>117</v>
      </c>
      <c r="H309" s="11">
        <f t="shared" si="49"/>
        <v>117</v>
      </c>
      <c r="J309" s="5"/>
      <c r="K309" s="5"/>
      <c r="L309" s="5"/>
      <c r="M309" s="5"/>
      <c r="N309" s="5"/>
      <c r="O309" s="8" t="str">
        <f t="shared" si="54"/>
        <v>n/a</v>
      </c>
      <c r="Q309" s="5"/>
      <c r="R309" s="5"/>
      <c r="S309" s="5"/>
      <c r="U309" s="6"/>
      <c r="V309" s="9" t="str">
        <f t="shared" si="50"/>
        <v/>
      </c>
      <c r="W309" s="9" t="str">
        <f t="shared" si="51"/>
        <v/>
      </c>
      <c r="X309" s="10">
        <f>SUM(V$13:V309)/COUNTA(B$13:B309)</f>
        <v>2.3569023569023569E-2</v>
      </c>
      <c r="Z309" s="5"/>
      <c r="AA309" s="5"/>
      <c r="AC309" s="7"/>
      <c r="AE309" s="54" t="e">
        <f t="shared" si="52"/>
        <v>#N/A</v>
      </c>
      <c r="AF309" s="4" t="e">
        <f t="shared" si="48"/>
        <v>#N/A</v>
      </c>
    </row>
    <row r="310" spans="2:32">
      <c r="B310" s="5">
        <f t="shared" si="53"/>
        <v>298</v>
      </c>
      <c r="C310" s="5"/>
      <c r="E310" s="13"/>
      <c r="F310" s="5"/>
      <c r="G310" s="11">
        <f>IF(ISERROR(AVERAGE(F$13:F310)),"n/a",AVERAGE(F$13:F310))</f>
        <v>117</v>
      </c>
      <c r="H310" s="11">
        <f t="shared" si="49"/>
        <v>117</v>
      </c>
      <c r="J310" s="5"/>
      <c r="K310" s="5"/>
      <c r="L310" s="5"/>
      <c r="M310" s="5"/>
      <c r="N310" s="5"/>
      <c r="O310" s="8" t="str">
        <f t="shared" si="54"/>
        <v>n/a</v>
      </c>
      <c r="Q310" s="5"/>
      <c r="R310" s="5"/>
      <c r="S310" s="5"/>
      <c r="U310" s="6"/>
      <c r="V310" s="9" t="str">
        <f t="shared" si="50"/>
        <v/>
      </c>
      <c r="W310" s="9" t="str">
        <f t="shared" si="51"/>
        <v/>
      </c>
      <c r="X310" s="10">
        <f>SUM(V$13:V310)/COUNTA(B$13:B310)</f>
        <v>2.3489932885906041E-2</v>
      </c>
      <c r="Z310" s="5"/>
      <c r="AA310" s="5"/>
      <c r="AC310" s="7"/>
      <c r="AE310" s="54" t="e">
        <f t="shared" si="52"/>
        <v>#N/A</v>
      </c>
      <c r="AF310" s="4" t="e">
        <f t="shared" si="48"/>
        <v>#N/A</v>
      </c>
    </row>
    <row r="311" spans="2:32">
      <c r="B311" s="5">
        <f t="shared" si="53"/>
        <v>299</v>
      </c>
      <c r="C311" s="5"/>
      <c r="E311" s="13"/>
      <c r="F311" s="5"/>
      <c r="G311" s="11">
        <f>IF(ISERROR(AVERAGE(F$13:F311)),"n/a",AVERAGE(F$13:F311))</f>
        <v>117</v>
      </c>
      <c r="H311" s="11">
        <f t="shared" si="49"/>
        <v>117</v>
      </c>
      <c r="J311" s="5"/>
      <c r="K311" s="5"/>
      <c r="L311" s="5"/>
      <c r="M311" s="5"/>
      <c r="N311" s="5"/>
      <c r="O311" s="8" t="str">
        <f t="shared" si="54"/>
        <v>n/a</v>
      </c>
      <c r="Q311" s="5"/>
      <c r="R311" s="5"/>
      <c r="S311" s="5"/>
      <c r="U311" s="6"/>
      <c r="V311" s="9" t="str">
        <f t="shared" si="50"/>
        <v/>
      </c>
      <c r="W311" s="9" t="str">
        <f t="shared" si="51"/>
        <v/>
      </c>
      <c r="X311" s="10">
        <f>SUM(V$13:V311)/COUNTA(B$13:B311)</f>
        <v>2.3411371237458192E-2</v>
      </c>
      <c r="Z311" s="5"/>
      <c r="AA311" s="5"/>
      <c r="AC311" s="7"/>
      <c r="AE311" s="54" t="e">
        <f t="shared" si="52"/>
        <v>#N/A</v>
      </c>
      <c r="AF311" s="4" t="e">
        <f t="shared" si="48"/>
        <v>#N/A</v>
      </c>
    </row>
    <row r="312" spans="2:32">
      <c r="B312" s="5">
        <f t="shared" si="53"/>
        <v>300</v>
      </c>
      <c r="C312" s="5"/>
      <c r="E312" s="13"/>
      <c r="F312" s="5"/>
      <c r="G312" s="11">
        <f>IF(ISERROR(AVERAGE(F$13:F312)),"n/a",AVERAGE(F$13:F312))</f>
        <v>117</v>
      </c>
      <c r="H312" s="11">
        <f t="shared" si="49"/>
        <v>117</v>
      </c>
      <c r="J312" s="5"/>
      <c r="K312" s="5"/>
      <c r="L312" s="5"/>
      <c r="M312" s="5"/>
      <c r="N312" s="5"/>
      <c r="O312" s="8" t="str">
        <f t="shared" si="54"/>
        <v>n/a</v>
      </c>
      <c r="Q312" s="5"/>
      <c r="R312" s="5"/>
      <c r="S312" s="5"/>
      <c r="U312" s="6"/>
      <c r="V312" s="9" t="str">
        <f t="shared" si="50"/>
        <v/>
      </c>
      <c r="W312" s="9" t="str">
        <f t="shared" si="51"/>
        <v/>
      </c>
      <c r="X312" s="10">
        <f>SUM(V$13:V312)/COUNTA(B$13:B312)</f>
        <v>2.3333333333333334E-2</v>
      </c>
      <c r="Z312" s="5"/>
      <c r="AA312" s="5"/>
      <c r="AC312" s="7"/>
      <c r="AE312" s="54" t="e">
        <f t="shared" si="52"/>
        <v>#N/A</v>
      </c>
      <c r="AF312" s="4" t="e">
        <f t="shared" si="48"/>
        <v>#N/A</v>
      </c>
    </row>
    <row r="313" spans="2:32">
      <c r="B313" s="5">
        <f t="shared" si="53"/>
        <v>301</v>
      </c>
      <c r="C313" s="5"/>
      <c r="E313" s="13"/>
      <c r="F313" s="5"/>
      <c r="G313" s="11">
        <f>IF(ISERROR(AVERAGE(F$13:F313)),"n/a",AVERAGE(F$13:F313))</f>
        <v>117</v>
      </c>
      <c r="H313" s="11">
        <f t="shared" si="49"/>
        <v>117</v>
      </c>
      <c r="J313" s="5"/>
      <c r="K313" s="5"/>
      <c r="L313" s="5"/>
      <c r="M313" s="5"/>
      <c r="N313" s="5"/>
      <c r="O313" s="8" t="str">
        <f t="shared" si="54"/>
        <v>n/a</v>
      </c>
      <c r="Q313" s="5"/>
      <c r="R313" s="5"/>
      <c r="S313" s="5"/>
      <c r="U313" s="6"/>
      <c r="V313" s="9" t="str">
        <f t="shared" si="50"/>
        <v/>
      </c>
      <c r="W313" s="9" t="str">
        <f t="shared" si="51"/>
        <v/>
      </c>
      <c r="X313" s="10">
        <f>SUM(V$13:V313)/COUNTA(B$13:B313)</f>
        <v>2.3255813953488372E-2</v>
      </c>
      <c r="Z313" s="5"/>
      <c r="AA313" s="5"/>
      <c r="AC313" s="7"/>
      <c r="AE313" s="54" t="e">
        <f t="shared" si="52"/>
        <v>#N/A</v>
      </c>
      <c r="AF313" s="4" t="e">
        <f t="shared" si="48"/>
        <v>#N/A</v>
      </c>
    </row>
    <row r="314" spans="2:32">
      <c r="B314" s="5">
        <f t="shared" si="53"/>
        <v>302</v>
      </c>
      <c r="C314" s="5"/>
      <c r="E314" s="13"/>
      <c r="F314" s="5"/>
      <c r="G314" s="11">
        <f>IF(ISERROR(AVERAGE(F$13:F314)),"n/a",AVERAGE(F$13:F314))</f>
        <v>117</v>
      </c>
      <c r="H314" s="11">
        <f t="shared" si="49"/>
        <v>117</v>
      </c>
      <c r="J314" s="5"/>
      <c r="K314" s="5"/>
      <c r="L314" s="5"/>
      <c r="M314" s="5"/>
      <c r="N314" s="5"/>
      <c r="O314" s="8" t="str">
        <f t="shared" si="54"/>
        <v>n/a</v>
      </c>
      <c r="Q314" s="5"/>
      <c r="R314" s="5"/>
      <c r="S314" s="5"/>
      <c r="U314" s="6"/>
      <c r="V314" s="9" t="str">
        <f t="shared" si="50"/>
        <v/>
      </c>
      <c r="W314" s="9" t="str">
        <f t="shared" si="51"/>
        <v/>
      </c>
      <c r="X314" s="10">
        <f>SUM(V$13:V314)/COUNTA(B$13:B314)</f>
        <v>2.3178807947019868E-2</v>
      </c>
      <c r="Z314" s="5"/>
      <c r="AA314" s="5"/>
      <c r="AC314" s="7"/>
      <c r="AE314" s="54" t="e">
        <f t="shared" si="52"/>
        <v>#N/A</v>
      </c>
      <c r="AF314" s="4" t="e">
        <f t="shared" si="48"/>
        <v>#N/A</v>
      </c>
    </row>
    <row r="315" spans="2:32">
      <c r="B315" s="5">
        <f t="shared" si="53"/>
        <v>303</v>
      </c>
      <c r="C315" s="5"/>
      <c r="E315" s="13"/>
      <c r="F315" s="5"/>
      <c r="G315" s="11">
        <f>IF(ISERROR(AVERAGE(F$13:F315)),"n/a",AVERAGE(F$13:F315))</f>
        <v>117</v>
      </c>
      <c r="H315" s="11">
        <f t="shared" si="49"/>
        <v>117</v>
      </c>
      <c r="J315" s="5"/>
      <c r="K315" s="5"/>
      <c r="L315" s="5"/>
      <c r="M315" s="5"/>
      <c r="N315" s="5"/>
      <c r="O315" s="8" t="str">
        <f t="shared" si="54"/>
        <v>n/a</v>
      </c>
      <c r="Q315" s="5"/>
      <c r="R315" s="5"/>
      <c r="S315" s="5"/>
      <c r="U315" s="6"/>
      <c r="V315" s="9" t="str">
        <f t="shared" si="50"/>
        <v/>
      </c>
      <c r="W315" s="9" t="str">
        <f t="shared" si="51"/>
        <v/>
      </c>
      <c r="X315" s="10">
        <f>SUM(V$13:V315)/COUNTA(B$13:B315)</f>
        <v>2.3102310231023101E-2</v>
      </c>
      <c r="Z315" s="5"/>
      <c r="AA315" s="5"/>
      <c r="AC315" s="7"/>
      <c r="AE315" s="54" t="e">
        <f t="shared" si="52"/>
        <v>#N/A</v>
      </c>
      <c r="AF315" s="4" t="e">
        <f t="shared" si="48"/>
        <v>#N/A</v>
      </c>
    </row>
    <row r="316" spans="2:32">
      <c r="B316" s="5">
        <f t="shared" si="53"/>
        <v>304</v>
      </c>
      <c r="C316" s="5"/>
      <c r="E316" s="13"/>
      <c r="F316" s="5"/>
      <c r="G316" s="11">
        <f>IF(ISERROR(AVERAGE(F$13:F316)),"n/a",AVERAGE(F$13:F316))</f>
        <v>117</v>
      </c>
      <c r="H316" s="11">
        <f t="shared" si="49"/>
        <v>117</v>
      </c>
      <c r="J316" s="5"/>
      <c r="K316" s="5"/>
      <c r="L316" s="5"/>
      <c r="M316" s="5"/>
      <c r="N316" s="5"/>
      <c r="O316" s="8" t="str">
        <f t="shared" si="54"/>
        <v>n/a</v>
      </c>
      <c r="Q316" s="5"/>
      <c r="R316" s="5"/>
      <c r="S316" s="5"/>
      <c r="U316" s="6"/>
      <c r="V316" s="9" t="str">
        <f t="shared" si="50"/>
        <v/>
      </c>
      <c r="W316" s="9" t="str">
        <f t="shared" si="51"/>
        <v/>
      </c>
      <c r="X316" s="10">
        <f>SUM(V$13:V316)/COUNTA(B$13:B316)</f>
        <v>2.3026315789473683E-2</v>
      </c>
      <c r="Z316" s="5"/>
      <c r="AA316" s="5"/>
      <c r="AC316" s="7"/>
      <c r="AE316" s="54" t="e">
        <f t="shared" si="52"/>
        <v>#N/A</v>
      </c>
      <c r="AF316" s="4" t="e">
        <f t="shared" si="48"/>
        <v>#N/A</v>
      </c>
    </row>
    <row r="317" spans="2:32">
      <c r="B317" s="5">
        <f t="shared" si="53"/>
        <v>305</v>
      </c>
      <c r="C317" s="5"/>
      <c r="E317" s="13"/>
      <c r="F317" s="5"/>
      <c r="G317" s="11">
        <f>IF(ISERROR(AVERAGE(F$13:F317)),"n/a",AVERAGE(F$13:F317))</f>
        <v>117</v>
      </c>
      <c r="H317" s="11">
        <f t="shared" si="49"/>
        <v>117</v>
      </c>
      <c r="J317" s="5"/>
      <c r="K317" s="5"/>
      <c r="L317" s="5"/>
      <c r="M317" s="5"/>
      <c r="N317" s="5"/>
      <c r="O317" s="8" t="str">
        <f t="shared" si="54"/>
        <v>n/a</v>
      </c>
      <c r="Q317" s="5"/>
      <c r="R317" s="5"/>
      <c r="S317" s="5"/>
      <c r="U317" s="6"/>
      <c r="V317" s="9" t="str">
        <f t="shared" si="50"/>
        <v/>
      </c>
      <c r="W317" s="9" t="str">
        <f t="shared" si="51"/>
        <v/>
      </c>
      <c r="X317" s="10">
        <f>SUM(V$13:V317)/COUNTA(B$13:B317)</f>
        <v>2.2950819672131147E-2</v>
      </c>
      <c r="Z317" s="5"/>
      <c r="AA317" s="5"/>
      <c r="AC317" s="7"/>
      <c r="AE317" s="54" t="e">
        <f t="shared" si="52"/>
        <v>#N/A</v>
      </c>
      <c r="AF317" s="4" t="e">
        <f t="shared" si="48"/>
        <v>#N/A</v>
      </c>
    </row>
    <row r="318" spans="2:32">
      <c r="B318" s="5">
        <f t="shared" si="53"/>
        <v>306</v>
      </c>
      <c r="C318" s="5"/>
      <c r="E318" s="13"/>
      <c r="F318" s="5"/>
      <c r="G318" s="11">
        <f>IF(ISERROR(AVERAGE(F$13:F318)),"n/a",AVERAGE(F$13:F318))</f>
        <v>117</v>
      </c>
      <c r="H318" s="11">
        <f t="shared" si="49"/>
        <v>117</v>
      </c>
      <c r="J318" s="5"/>
      <c r="K318" s="5"/>
      <c r="L318" s="5"/>
      <c r="M318" s="5"/>
      <c r="N318" s="5"/>
      <c r="O318" s="8" t="str">
        <f t="shared" si="54"/>
        <v>n/a</v>
      </c>
      <c r="Q318" s="5"/>
      <c r="R318" s="5"/>
      <c r="S318" s="5"/>
      <c r="U318" s="6"/>
      <c r="V318" s="9" t="str">
        <f t="shared" si="50"/>
        <v/>
      </c>
      <c r="W318" s="9" t="str">
        <f t="shared" si="51"/>
        <v/>
      </c>
      <c r="X318" s="10">
        <f>SUM(V$13:V318)/COUNTA(B$13:B318)</f>
        <v>2.2875816993464051E-2</v>
      </c>
      <c r="Z318" s="5"/>
      <c r="AA318" s="5"/>
      <c r="AC318" s="7"/>
      <c r="AE318" s="54" t="e">
        <f t="shared" si="52"/>
        <v>#N/A</v>
      </c>
      <c r="AF318" s="4" t="e">
        <f t="shared" si="48"/>
        <v>#N/A</v>
      </c>
    </row>
    <row r="319" spans="2:32">
      <c r="B319" s="5">
        <f t="shared" si="53"/>
        <v>307</v>
      </c>
      <c r="C319" s="5"/>
      <c r="E319" s="13"/>
      <c r="F319" s="5"/>
      <c r="G319" s="11">
        <f>IF(ISERROR(AVERAGE(F$13:F319)),"n/a",AVERAGE(F$13:F319))</f>
        <v>117</v>
      </c>
      <c r="H319" s="11">
        <f t="shared" si="49"/>
        <v>117</v>
      </c>
      <c r="J319" s="5"/>
      <c r="K319" s="5"/>
      <c r="L319" s="5"/>
      <c r="M319" s="5"/>
      <c r="N319" s="5"/>
      <c r="O319" s="8" t="str">
        <f t="shared" si="54"/>
        <v>n/a</v>
      </c>
      <c r="Q319" s="5"/>
      <c r="R319" s="5"/>
      <c r="S319" s="5"/>
      <c r="U319" s="6"/>
      <c r="V319" s="9" t="str">
        <f t="shared" si="50"/>
        <v/>
      </c>
      <c r="W319" s="9" t="str">
        <f t="shared" si="51"/>
        <v/>
      </c>
      <c r="X319" s="10">
        <f>SUM(V$13:V319)/COUNTA(B$13:B319)</f>
        <v>2.2801302931596091E-2</v>
      </c>
      <c r="Z319" s="5"/>
      <c r="AA319" s="5"/>
      <c r="AC319" s="7"/>
      <c r="AE319" s="54" t="e">
        <f t="shared" si="52"/>
        <v>#N/A</v>
      </c>
      <c r="AF319" s="4" t="e">
        <f t="shared" si="48"/>
        <v>#N/A</v>
      </c>
    </row>
    <row r="320" spans="2:32">
      <c r="B320" s="5">
        <f t="shared" si="53"/>
        <v>308</v>
      </c>
      <c r="C320" s="5"/>
      <c r="E320" s="13"/>
      <c r="F320" s="5"/>
      <c r="G320" s="11">
        <f>IF(ISERROR(AVERAGE(F$13:F320)),"n/a",AVERAGE(F$13:F320))</f>
        <v>117</v>
      </c>
      <c r="H320" s="11">
        <f t="shared" si="49"/>
        <v>117</v>
      </c>
      <c r="J320" s="5"/>
      <c r="K320" s="5"/>
      <c r="L320" s="5"/>
      <c r="M320" s="5"/>
      <c r="N320" s="5"/>
      <c r="O320" s="8" t="str">
        <f t="shared" si="54"/>
        <v>n/a</v>
      </c>
      <c r="Q320" s="5"/>
      <c r="R320" s="5"/>
      <c r="S320" s="5"/>
      <c r="U320" s="6"/>
      <c r="V320" s="9" t="str">
        <f t="shared" si="50"/>
        <v/>
      </c>
      <c r="W320" s="9" t="str">
        <f t="shared" si="51"/>
        <v/>
      </c>
      <c r="X320" s="10">
        <f>SUM(V$13:V320)/COUNTA(B$13:B320)</f>
        <v>2.2727272727272728E-2</v>
      </c>
      <c r="Z320" s="5"/>
      <c r="AA320" s="5"/>
      <c r="AC320" s="7"/>
      <c r="AE320" s="54" t="e">
        <f t="shared" si="52"/>
        <v>#N/A</v>
      </c>
      <c r="AF320" s="4" t="e">
        <f t="shared" si="48"/>
        <v>#N/A</v>
      </c>
    </row>
    <row r="321" spans="2:32">
      <c r="B321" s="5">
        <f t="shared" si="53"/>
        <v>309</v>
      </c>
      <c r="C321" s="5"/>
      <c r="E321" s="13"/>
      <c r="F321" s="5"/>
      <c r="G321" s="11">
        <f>IF(ISERROR(AVERAGE(F$13:F321)),"n/a",AVERAGE(F$13:F321))</f>
        <v>117</v>
      </c>
      <c r="H321" s="11">
        <f t="shared" si="49"/>
        <v>117</v>
      </c>
      <c r="J321" s="5"/>
      <c r="K321" s="5"/>
      <c r="L321" s="5"/>
      <c r="M321" s="5"/>
      <c r="N321" s="5"/>
      <c r="O321" s="8" t="str">
        <f t="shared" si="54"/>
        <v>n/a</v>
      </c>
      <c r="Q321" s="5"/>
      <c r="R321" s="5"/>
      <c r="S321" s="5"/>
      <c r="U321" s="6"/>
      <c r="V321" s="9" t="str">
        <f t="shared" si="50"/>
        <v/>
      </c>
      <c r="W321" s="9" t="str">
        <f t="shared" si="51"/>
        <v/>
      </c>
      <c r="X321" s="10">
        <f>SUM(V$13:V321)/COUNTA(B$13:B321)</f>
        <v>2.2653721682847898E-2</v>
      </c>
      <c r="Z321" s="5"/>
      <c r="AA321" s="5"/>
      <c r="AC321" s="7"/>
      <c r="AE321" s="54" t="e">
        <f t="shared" si="52"/>
        <v>#N/A</v>
      </c>
      <c r="AF321" s="4" t="e">
        <f t="shared" si="48"/>
        <v>#N/A</v>
      </c>
    </row>
    <row r="322" spans="2:32">
      <c r="B322" s="5">
        <f t="shared" si="53"/>
        <v>310</v>
      </c>
      <c r="C322" s="5"/>
      <c r="E322" s="13"/>
      <c r="F322" s="5"/>
      <c r="G322" s="11">
        <f>IF(ISERROR(AVERAGE(F$13:F322)),"n/a",AVERAGE(F$13:F322))</f>
        <v>117</v>
      </c>
      <c r="H322" s="11">
        <f t="shared" si="49"/>
        <v>117</v>
      </c>
      <c r="J322" s="5"/>
      <c r="K322" s="5"/>
      <c r="L322" s="5"/>
      <c r="M322" s="5"/>
      <c r="N322" s="5"/>
      <c r="O322" s="8" t="str">
        <f t="shared" si="54"/>
        <v>n/a</v>
      </c>
      <c r="Q322" s="5"/>
      <c r="R322" s="5"/>
      <c r="S322" s="5"/>
      <c r="U322" s="6"/>
      <c r="V322" s="9" t="str">
        <f t="shared" si="50"/>
        <v/>
      </c>
      <c r="W322" s="9" t="str">
        <f t="shared" si="51"/>
        <v/>
      </c>
      <c r="X322" s="10">
        <f>SUM(V$13:V322)/COUNTA(B$13:B322)</f>
        <v>2.2580645161290321E-2</v>
      </c>
      <c r="Z322" s="5"/>
      <c r="AA322" s="5"/>
      <c r="AC322" s="7"/>
      <c r="AE322" s="54" t="e">
        <f t="shared" si="52"/>
        <v>#N/A</v>
      </c>
      <c r="AF322" s="4" t="e">
        <f t="shared" si="48"/>
        <v>#N/A</v>
      </c>
    </row>
    <row r="323" spans="2:32">
      <c r="B323" s="5">
        <f t="shared" si="53"/>
        <v>311</v>
      </c>
      <c r="C323" s="5"/>
      <c r="E323" s="13"/>
      <c r="F323" s="5"/>
      <c r="G323" s="11">
        <f>IF(ISERROR(AVERAGE(F$13:F323)),"n/a",AVERAGE(F$13:F323))</f>
        <v>117</v>
      </c>
      <c r="H323" s="11">
        <f t="shared" si="49"/>
        <v>117</v>
      </c>
      <c r="J323" s="5"/>
      <c r="K323" s="5"/>
      <c r="L323" s="5"/>
      <c r="M323" s="5"/>
      <c r="N323" s="5"/>
      <c r="O323" s="8" t="str">
        <f t="shared" si="54"/>
        <v>n/a</v>
      </c>
      <c r="Q323" s="5"/>
      <c r="R323" s="5"/>
      <c r="S323" s="5"/>
      <c r="U323" s="6"/>
      <c r="V323" s="9" t="str">
        <f t="shared" si="50"/>
        <v/>
      </c>
      <c r="W323" s="9" t="str">
        <f t="shared" si="51"/>
        <v/>
      </c>
      <c r="X323" s="10">
        <f>SUM(V$13:V323)/COUNTA(B$13:B323)</f>
        <v>2.2508038585209004E-2</v>
      </c>
      <c r="Z323" s="5"/>
      <c r="AA323" s="5"/>
      <c r="AC323" s="7"/>
      <c r="AE323" s="54" t="e">
        <f t="shared" si="52"/>
        <v>#N/A</v>
      </c>
      <c r="AF323" s="4" t="e">
        <f t="shared" si="48"/>
        <v>#N/A</v>
      </c>
    </row>
    <row r="324" spans="2:32">
      <c r="B324" s="5">
        <f t="shared" si="53"/>
        <v>312</v>
      </c>
      <c r="C324" s="5"/>
      <c r="E324" s="13"/>
      <c r="F324" s="5"/>
      <c r="G324" s="11">
        <f>IF(ISERROR(AVERAGE(F$13:F324)),"n/a",AVERAGE(F$13:F324))</f>
        <v>117</v>
      </c>
      <c r="H324" s="11">
        <f t="shared" si="49"/>
        <v>117</v>
      </c>
      <c r="J324" s="5"/>
      <c r="K324" s="5"/>
      <c r="L324" s="5"/>
      <c r="M324" s="5"/>
      <c r="N324" s="5"/>
      <c r="O324" s="8" t="str">
        <f t="shared" si="54"/>
        <v>n/a</v>
      </c>
      <c r="Q324" s="5"/>
      <c r="R324" s="5"/>
      <c r="S324" s="5"/>
      <c r="U324" s="6"/>
      <c r="V324" s="9" t="str">
        <f t="shared" si="50"/>
        <v/>
      </c>
      <c r="W324" s="9" t="str">
        <f t="shared" si="51"/>
        <v/>
      </c>
      <c r="X324" s="10">
        <f>SUM(V$13:V324)/COUNTA(B$13:B324)</f>
        <v>2.2435897435897436E-2</v>
      </c>
      <c r="Z324" s="5"/>
      <c r="AA324" s="5"/>
      <c r="AC324" s="7"/>
      <c r="AE324" s="54" t="e">
        <f t="shared" si="52"/>
        <v>#N/A</v>
      </c>
      <c r="AF324" s="4" t="e">
        <f t="shared" si="48"/>
        <v>#N/A</v>
      </c>
    </row>
    <row r="325" spans="2:32">
      <c r="B325" s="5">
        <f t="shared" si="53"/>
        <v>313</v>
      </c>
      <c r="C325" s="5"/>
      <c r="E325" s="13"/>
      <c r="F325" s="5"/>
      <c r="G325" s="11">
        <f>IF(ISERROR(AVERAGE(F$13:F325)),"n/a",AVERAGE(F$13:F325))</f>
        <v>117</v>
      </c>
      <c r="H325" s="11">
        <f t="shared" si="49"/>
        <v>117</v>
      </c>
      <c r="J325" s="5"/>
      <c r="K325" s="5"/>
      <c r="L325" s="5"/>
      <c r="M325" s="5"/>
      <c r="N325" s="5"/>
      <c r="O325" s="8" t="str">
        <f t="shared" si="54"/>
        <v>n/a</v>
      </c>
      <c r="Q325" s="5"/>
      <c r="R325" s="5"/>
      <c r="S325" s="5"/>
      <c r="U325" s="6"/>
      <c r="V325" s="9" t="str">
        <f t="shared" si="50"/>
        <v/>
      </c>
      <c r="W325" s="9" t="str">
        <f t="shared" si="51"/>
        <v/>
      </c>
      <c r="X325" s="10">
        <f>SUM(V$13:V325)/COUNTA(B$13:B325)</f>
        <v>2.2364217252396165E-2</v>
      </c>
      <c r="Z325" s="5"/>
      <c r="AA325" s="5"/>
      <c r="AC325" s="7"/>
      <c r="AE325" s="54" t="e">
        <f t="shared" si="52"/>
        <v>#N/A</v>
      </c>
      <c r="AF325" s="4" t="e">
        <f t="shared" si="48"/>
        <v>#N/A</v>
      </c>
    </row>
    <row r="326" spans="2:32">
      <c r="B326" s="5">
        <f t="shared" si="53"/>
        <v>314</v>
      </c>
      <c r="C326" s="5"/>
      <c r="E326" s="13"/>
      <c r="F326" s="5"/>
      <c r="G326" s="11">
        <f>IF(ISERROR(AVERAGE(F$13:F326)),"n/a",AVERAGE(F$13:F326))</f>
        <v>117</v>
      </c>
      <c r="H326" s="11">
        <f t="shared" si="49"/>
        <v>117</v>
      </c>
      <c r="J326" s="5"/>
      <c r="K326" s="5"/>
      <c r="L326" s="5"/>
      <c r="M326" s="5"/>
      <c r="N326" s="5"/>
      <c r="O326" s="8" t="str">
        <f t="shared" si="54"/>
        <v>n/a</v>
      </c>
      <c r="Q326" s="5"/>
      <c r="R326" s="5"/>
      <c r="S326" s="5"/>
      <c r="U326" s="6"/>
      <c r="V326" s="9" t="str">
        <f t="shared" si="50"/>
        <v/>
      </c>
      <c r="W326" s="9" t="str">
        <f t="shared" si="51"/>
        <v/>
      </c>
      <c r="X326" s="10">
        <f>SUM(V$13:V326)/COUNTA(B$13:B326)</f>
        <v>2.2292993630573247E-2</v>
      </c>
      <c r="Z326" s="5"/>
      <c r="AA326" s="5"/>
      <c r="AC326" s="7"/>
      <c r="AE326" s="54" t="e">
        <f t="shared" si="52"/>
        <v>#N/A</v>
      </c>
      <c r="AF326" s="4" t="e">
        <f t="shared" si="48"/>
        <v>#N/A</v>
      </c>
    </row>
    <row r="327" spans="2:32">
      <c r="B327" s="5">
        <f t="shared" si="53"/>
        <v>315</v>
      </c>
      <c r="C327" s="5"/>
      <c r="E327" s="13"/>
      <c r="F327" s="5"/>
      <c r="G327" s="11">
        <f>IF(ISERROR(AVERAGE(F$13:F327)),"n/a",AVERAGE(F$13:F327))</f>
        <v>117</v>
      </c>
      <c r="H327" s="11">
        <f t="shared" si="49"/>
        <v>117</v>
      </c>
      <c r="J327" s="5"/>
      <c r="K327" s="5"/>
      <c r="L327" s="5"/>
      <c r="M327" s="5"/>
      <c r="N327" s="5"/>
      <c r="O327" s="8" t="str">
        <f t="shared" si="54"/>
        <v>n/a</v>
      </c>
      <c r="Q327" s="5"/>
      <c r="R327" s="5"/>
      <c r="S327" s="5"/>
      <c r="U327" s="6"/>
      <c r="V327" s="9" t="str">
        <f t="shared" si="50"/>
        <v/>
      </c>
      <c r="W327" s="9" t="str">
        <f t="shared" si="51"/>
        <v/>
      </c>
      <c r="X327" s="10">
        <f>SUM(V$13:V327)/COUNTA(B$13:B327)</f>
        <v>2.2222222222222223E-2</v>
      </c>
      <c r="Z327" s="5"/>
      <c r="AA327" s="5"/>
      <c r="AC327" s="7"/>
      <c r="AE327" s="54" t="e">
        <f t="shared" si="52"/>
        <v>#N/A</v>
      </c>
      <c r="AF327" s="4" t="e">
        <f t="shared" si="48"/>
        <v>#N/A</v>
      </c>
    </row>
    <row r="328" spans="2:32">
      <c r="B328" s="5">
        <f t="shared" si="53"/>
        <v>316</v>
      </c>
      <c r="C328" s="5"/>
      <c r="E328" s="13"/>
      <c r="F328" s="5"/>
      <c r="G328" s="11">
        <f>IF(ISERROR(AVERAGE(F$13:F328)),"n/a",AVERAGE(F$13:F328))</f>
        <v>117</v>
      </c>
      <c r="H328" s="11">
        <f t="shared" si="49"/>
        <v>117</v>
      </c>
      <c r="J328" s="5"/>
      <c r="K328" s="5"/>
      <c r="L328" s="5"/>
      <c r="M328" s="5"/>
      <c r="N328" s="5"/>
      <c r="O328" s="8" t="str">
        <f t="shared" si="54"/>
        <v>n/a</v>
      </c>
      <c r="Q328" s="5"/>
      <c r="R328" s="5"/>
      <c r="S328" s="5"/>
      <c r="U328" s="6"/>
      <c r="V328" s="9" t="str">
        <f t="shared" si="50"/>
        <v/>
      </c>
      <c r="W328" s="9" t="str">
        <f t="shared" si="51"/>
        <v/>
      </c>
      <c r="X328" s="10">
        <f>SUM(V$13:V328)/COUNTA(B$13:B328)</f>
        <v>2.2151898734177215E-2</v>
      </c>
      <c r="Z328" s="5"/>
      <c r="AA328" s="5"/>
      <c r="AC328" s="7"/>
      <c r="AE328" s="54" t="e">
        <f t="shared" si="52"/>
        <v>#N/A</v>
      </c>
      <c r="AF328" s="4" t="e">
        <f t="shared" si="48"/>
        <v>#N/A</v>
      </c>
    </row>
    <row r="329" spans="2:32">
      <c r="B329" s="5">
        <f t="shared" si="53"/>
        <v>317</v>
      </c>
      <c r="C329" s="5"/>
      <c r="E329" s="13"/>
      <c r="F329" s="5"/>
      <c r="G329" s="11">
        <f>IF(ISERROR(AVERAGE(F$13:F329)),"n/a",AVERAGE(F$13:F329))</f>
        <v>117</v>
      </c>
      <c r="H329" s="11">
        <f t="shared" si="49"/>
        <v>117</v>
      </c>
      <c r="J329" s="5"/>
      <c r="K329" s="5"/>
      <c r="L329" s="5"/>
      <c r="M329" s="5"/>
      <c r="N329" s="5"/>
      <c r="O329" s="8" t="str">
        <f t="shared" si="54"/>
        <v>n/a</v>
      </c>
      <c r="Q329" s="5"/>
      <c r="R329" s="5"/>
      <c r="S329" s="5"/>
      <c r="U329" s="6"/>
      <c r="V329" s="9" t="str">
        <f t="shared" si="50"/>
        <v/>
      </c>
      <c r="W329" s="9" t="str">
        <f t="shared" si="51"/>
        <v/>
      </c>
      <c r="X329" s="10">
        <f>SUM(V$13:V329)/COUNTA(B$13:B329)</f>
        <v>2.2082018927444796E-2</v>
      </c>
      <c r="Z329" s="5"/>
      <c r="AA329" s="5"/>
      <c r="AC329" s="7"/>
      <c r="AE329" s="54" t="e">
        <f t="shared" si="52"/>
        <v>#N/A</v>
      </c>
      <c r="AF329" s="4" t="e">
        <f t="shared" si="48"/>
        <v>#N/A</v>
      </c>
    </row>
    <row r="330" spans="2:32">
      <c r="B330" s="5">
        <f t="shared" si="53"/>
        <v>318</v>
      </c>
      <c r="C330" s="5"/>
      <c r="E330" s="13"/>
      <c r="F330" s="5"/>
      <c r="G330" s="11">
        <f>IF(ISERROR(AVERAGE(F$13:F330)),"n/a",AVERAGE(F$13:F330))</f>
        <v>117</v>
      </c>
      <c r="H330" s="11">
        <f t="shared" si="49"/>
        <v>117</v>
      </c>
      <c r="J330" s="5"/>
      <c r="K330" s="5"/>
      <c r="L330" s="5"/>
      <c r="M330" s="5"/>
      <c r="N330" s="5"/>
      <c r="O330" s="8" t="str">
        <f t="shared" si="54"/>
        <v>n/a</v>
      </c>
      <c r="Q330" s="5"/>
      <c r="R330" s="5"/>
      <c r="S330" s="5"/>
      <c r="U330" s="6"/>
      <c r="V330" s="9" t="str">
        <f t="shared" si="50"/>
        <v/>
      </c>
      <c r="W330" s="9" t="str">
        <f t="shared" si="51"/>
        <v/>
      </c>
      <c r="X330" s="10">
        <f>SUM(V$13:V330)/COUNTA(B$13:B330)</f>
        <v>2.20125786163522E-2</v>
      </c>
      <c r="Z330" s="5"/>
      <c r="AA330" s="5"/>
      <c r="AC330" s="7"/>
      <c r="AE330" s="54" t="e">
        <f t="shared" si="52"/>
        <v>#N/A</v>
      </c>
      <c r="AF330" s="4" t="e">
        <f t="shared" si="48"/>
        <v>#N/A</v>
      </c>
    </row>
    <row r="331" spans="2:32">
      <c r="B331" s="5">
        <f t="shared" si="53"/>
        <v>319</v>
      </c>
      <c r="C331" s="5"/>
      <c r="E331" s="13"/>
      <c r="F331" s="5"/>
      <c r="G331" s="11">
        <f>IF(ISERROR(AVERAGE(F$13:F331)),"n/a",AVERAGE(F$13:F331))</f>
        <v>117</v>
      </c>
      <c r="H331" s="11">
        <f t="shared" si="49"/>
        <v>117</v>
      </c>
      <c r="J331" s="5"/>
      <c r="K331" s="5"/>
      <c r="L331" s="5"/>
      <c r="M331" s="5"/>
      <c r="N331" s="5"/>
      <c r="O331" s="8" t="str">
        <f t="shared" si="54"/>
        <v>n/a</v>
      </c>
      <c r="Q331" s="5"/>
      <c r="R331" s="5"/>
      <c r="S331" s="5"/>
      <c r="U331" s="6"/>
      <c r="V331" s="9" t="str">
        <f t="shared" si="50"/>
        <v/>
      </c>
      <c r="W331" s="9" t="str">
        <f t="shared" si="51"/>
        <v/>
      </c>
      <c r="X331" s="10">
        <f>SUM(V$13:V331)/COUNTA(B$13:B331)</f>
        <v>2.1943573667711599E-2</v>
      </c>
      <c r="Z331" s="5"/>
      <c r="AA331" s="5"/>
      <c r="AC331" s="7"/>
      <c r="AE331" s="54" t="e">
        <f t="shared" si="52"/>
        <v>#N/A</v>
      </c>
      <c r="AF331" s="4" t="e">
        <f t="shared" si="48"/>
        <v>#N/A</v>
      </c>
    </row>
    <row r="332" spans="2:32">
      <c r="B332" s="5">
        <f t="shared" si="53"/>
        <v>320</v>
      </c>
      <c r="C332" s="5"/>
      <c r="E332" s="13"/>
      <c r="F332" s="5"/>
      <c r="G332" s="11">
        <f>IF(ISERROR(AVERAGE(F$13:F332)),"n/a",AVERAGE(F$13:F332))</f>
        <v>117</v>
      </c>
      <c r="H332" s="11">
        <f t="shared" si="49"/>
        <v>117</v>
      </c>
      <c r="J332" s="5"/>
      <c r="K332" s="5"/>
      <c r="L332" s="5"/>
      <c r="M332" s="5"/>
      <c r="N332" s="5"/>
      <c r="O332" s="8" t="str">
        <f t="shared" si="54"/>
        <v>n/a</v>
      </c>
      <c r="Q332" s="5"/>
      <c r="R332" s="5"/>
      <c r="S332" s="5"/>
      <c r="U332" s="6"/>
      <c r="V332" s="9" t="str">
        <f t="shared" si="50"/>
        <v/>
      </c>
      <c r="W332" s="9" t="str">
        <f t="shared" si="51"/>
        <v/>
      </c>
      <c r="X332" s="10">
        <f>SUM(V$13:V332)/COUNTA(B$13:B332)</f>
        <v>2.1874999999999999E-2</v>
      </c>
      <c r="Z332" s="5"/>
      <c r="AA332" s="5"/>
      <c r="AC332" s="7"/>
      <c r="AE332" s="54" t="e">
        <f t="shared" si="52"/>
        <v>#N/A</v>
      </c>
      <c r="AF332" s="4" t="e">
        <f t="shared" si="48"/>
        <v>#N/A</v>
      </c>
    </row>
    <row r="333" spans="2:32">
      <c r="B333" s="5">
        <f t="shared" si="53"/>
        <v>321</v>
      </c>
      <c r="C333" s="5"/>
      <c r="E333" s="13"/>
      <c r="F333" s="5"/>
      <c r="G333" s="11">
        <f>IF(ISERROR(AVERAGE(F$13:F333)),"n/a",AVERAGE(F$13:F333))</f>
        <v>117</v>
      </c>
      <c r="H333" s="11">
        <f t="shared" si="49"/>
        <v>117</v>
      </c>
      <c r="J333" s="5"/>
      <c r="K333" s="5"/>
      <c r="L333" s="5"/>
      <c r="M333" s="5"/>
      <c r="N333" s="5"/>
      <c r="O333" s="8" t="str">
        <f t="shared" si="54"/>
        <v>n/a</v>
      </c>
      <c r="Q333" s="5"/>
      <c r="R333" s="5"/>
      <c r="S333" s="5"/>
      <c r="U333" s="6"/>
      <c r="V333" s="9" t="str">
        <f t="shared" si="50"/>
        <v/>
      </c>
      <c r="W333" s="9" t="str">
        <f t="shared" si="51"/>
        <v/>
      </c>
      <c r="X333" s="10">
        <f>SUM(V$13:V333)/COUNTA(B$13:B333)</f>
        <v>2.1806853582554516E-2</v>
      </c>
      <c r="Z333" s="5"/>
      <c r="AA333" s="5"/>
      <c r="AC333" s="7"/>
      <c r="AE333" s="54" t="e">
        <f t="shared" si="52"/>
        <v>#N/A</v>
      </c>
      <c r="AF333" s="4" t="e">
        <f t="shared" ref="AF333:AF396" si="55">HLOOKUP(C333,$K$6:$O$7,2,FALSE)</f>
        <v>#N/A</v>
      </c>
    </row>
    <row r="334" spans="2:32">
      <c r="B334" s="5">
        <f t="shared" si="53"/>
        <v>322</v>
      </c>
      <c r="C334" s="5"/>
      <c r="E334" s="13"/>
      <c r="F334" s="5"/>
      <c r="G334" s="11">
        <f>IF(ISERROR(AVERAGE(F$13:F334)),"n/a",AVERAGE(F$13:F334))</f>
        <v>117</v>
      </c>
      <c r="H334" s="11">
        <f t="shared" ref="H334:H397" si="56">G334</f>
        <v>117</v>
      </c>
      <c r="J334" s="5"/>
      <c r="K334" s="5"/>
      <c r="L334" s="5"/>
      <c r="M334" s="5"/>
      <c r="N334" s="5"/>
      <c r="O334" s="8" t="str">
        <f t="shared" si="54"/>
        <v>n/a</v>
      </c>
      <c r="Q334" s="5"/>
      <c r="R334" s="5"/>
      <c r="S334" s="5"/>
      <c r="U334" s="6"/>
      <c r="V334" s="9" t="str">
        <f t="shared" ref="V334:V397" si="57">IF(O334="n/a","",IF(O334=U334,1,""))</f>
        <v/>
      </c>
      <c r="W334" s="9" t="str">
        <f t="shared" ref="W334:W397" si="58">IF(O334="n/a","",IF(O334&lt;&gt;U334,1,""))</f>
        <v/>
      </c>
      <c r="X334" s="10">
        <f>SUM(V$13:V334)/COUNTA(B$13:B334)</f>
        <v>2.1739130434782608E-2</v>
      </c>
      <c r="Z334" s="5"/>
      <c r="AA334" s="5"/>
      <c r="AC334" s="7"/>
      <c r="AE334" s="54" t="e">
        <f t="shared" ref="AE334:AE397" si="59">+IF($F$4=0,0,IF(W334=1,1,IF(OR(R334*$F$8=1,S334*$F$9=1,F334&gt;=AF334),2,0)))</f>
        <v>#N/A</v>
      </c>
      <c r="AF334" s="4" t="e">
        <f t="shared" si="55"/>
        <v>#N/A</v>
      </c>
    </row>
    <row r="335" spans="2:32">
      <c r="B335" s="5">
        <f t="shared" si="53"/>
        <v>323</v>
      </c>
      <c r="C335" s="5"/>
      <c r="E335" s="13"/>
      <c r="F335" s="5"/>
      <c r="G335" s="11">
        <f>IF(ISERROR(AVERAGE(F$13:F335)),"n/a",AVERAGE(F$13:F335))</f>
        <v>117</v>
      </c>
      <c r="H335" s="11">
        <f t="shared" si="56"/>
        <v>117</v>
      </c>
      <c r="J335" s="5"/>
      <c r="K335" s="5"/>
      <c r="L335" s="5"/>
      <c r="M335" s="5"/>
      <c r="N335" s="5"/>
      <c r="O335" s="8" t="str">
        <f t="shared" si="54"/>
        <v>n/a</v>
      </c>
      <c r="Q335" s="5"/>
      <c r="R335" s="5"/>
      <c r="S335" s="5"/>
      <c r="U335" s="6"/>
      <c r="V335" s="9" t="str">
        <f t="shared" si="57"/>
        <v/>
      </c>
      <c r="W335" s="9" t="str">
        <f t="shared" si="58"/>
        <v/>
      </c>
      <c r="X335" s="10">
        <f>SUM(V$13:V335)/COUNTA(B$13:B335)</f>
        <v>2.1671826625386997E-2</v>
      </c>
      <c r="Z335" s="5"/>
      <c r="AA335" s="5"/>
      <c r="AC335" s="7"/>
      <c r="AE335" s="54" t="e">
        <f t="shared" si="59"/>
        <v>#N/A</v>
      </c>
      <c r="AF335" s="4" t="e">
        <f t="shared" si="55"/>
        <v>#N/A</v>
      </c>
    </row>
    <row r="336" spans="2:32">
      <c r="B336" s="5">
        <f t="shared" si="53"/>
        <v>324</v>
      </c>
      <c r="C336" s="5"/>
      <c r="E336" s="13"/>
      <c r="F336" s="5"/>
      <c r="G336" s="11">
        <f>IF(ISERROR(AVERAGE(F$13:F336)),"n/a",AVERAGE(F$13:F336))</f>
        <v>117</v>
      </c>
      <c r="H336" s="11">
        <f t="shared" si="56"/>
        <v>117</v>
      </c>
      <c r="J336" s="5"/>
      <c r="K336" s="5"/>
      <c r="L336" s="5"/>
      <c r="M336" s="5"/>
      <c r="N336" s="5"/>
      <c r="O336" s="8" t="str">
        <f t="shared" si="54"/>
        <v>n/a</v>
      </c>
      <c r="Q336" s="5"/>
      <c r="R336" s="5"/>
      <c r="S336" s="5"/>
      <c r="U336" s="6"/>
      <c r="V336" s="9" t="str">
        <f t="shared" si="57"/>
        <v/>
      </c>
      <c r="W336" s="9" t="str">
        <f t="shared" si="58"/>
        <v/>
      </c>
      <c r="X336" s="10">
        <f>SUM(V$13:V336)/COUNTA(B$13:B336)</f>
        <v>2.1604938271604937E-2</v>
      </c>
      <c r="Z336" s="5"/>
      <c r="AA336" s="5"/>
      <c r="AC336" s="7"/>
      <c r="AE336" s="54" t="e">
        <f t="shared" si="59"/>
        <v>#N/A</v>
      </c>
      <c r="AF336" s="4" t="e">
        <f t="shared" si="55"/>
        <v>#N/A</v>
      </c>
    </row>
    <row r="337" spans="2:32">
      <c r="B337" s="5">
        <f t="shared" si="53"/>
        <v>325</v>
      </c>
      <c r="C337" s="5"/>
      <c r="E337" s="13"/>
      <c r="F337" s="5"/>
      <c r="G337" s="11">
        <f>IF(ISERROR(AVERAGE(F$13:F337)),"n/a",AVERAGE(F$13:F337))</f>
        <v>117</v>
      </c>
      <c r="H337" s="11">
        <f t="shared" si="56"/>
        <v>117</v>
      </c>
      <c r="J337" s="5"/>
      <c r="K337" s="5"/>
      <c r="L337" s="5"/>
      <c r="M337" s="5"/>
      <c r="N337" s="5"/>
      <c r="O337" s="8" t="str">
        <f t="shared" si="54"/>
        <v>n/a</v>
      </c>
      <c r="Q337" s="5"/>
      <c r="R337" s="5"/>
      <c r="S337" s="5"/>
      <c r="U337" s="6"/>
      <c r="V337" s="9" t="str">
        <f t="shared" si="57"/>
        <v/>
      </c>
      <c r="W337" s="9" t="str">
        <f t="shared" si="58"/>
        <v/>
      </c>
      <c r="X337" s="10">
        <f>SUM(V$13:V337)/COUNTA(B$13:B337)</f>
        <v>2.1538461538461538E-2</v>
      </c>
      <c r="Z337" s="5"/>
      <c r="AA337" s="5"/>
      <c r="AC337" s="7"/>
      <c r="AE337" s="54" t="e">
        <f t="shared" si="59"/>
        <v>#N/A</v>
      </c>
      <c r="AF337" s="4" t="e">
        <f t="shared" si="55"/>
        <v>#N/A</v>
      </c>
    </row>
    <row r="338" spans="2:32">
      <c r="B338" s="5">
        <f t="shared" si="53"/>
        <v>326</v>
      </c>
      <c r="C338" s="5"/>
      <c r="E338" s="13"/>
      <c r="F338" s="5"/>
      <c r="G338" s="11">
        <f>IF(ISERROR(AVERAGE(F$13:F338)),"n/a",AVERAGE(F$13:F338))</f>
        <v>117</v>
      </c>
      <c r="H338" s="11">
        <f t="shared" si="56"/>
        <v>117</v>
      </c>
      <c r="J338" s="5"/>
      <c r="K338" s="5"/>
      <c r="L338" s="5"/>
      <c r="M338" s="5"/>
      <c r="N338" s="5"/>
      <c r="O338" s="8" t="str">
        <f t="shared" si="54"/>
        <v>n/a</v>
      </c>
      <c r="Q338" s="5"/>
      <c r="R338" s="5"/>
      <c r="S338" s="5"/>
      <c r="U338" s="6"/>
      <c r="V338" s="9" t="str">
        <f t="shared" si="57"/>
        <v/>
      </c>
      <c r="W338" s="9" t="str">
        <f t="shared" si="58"/>
        <v/>
      </c>
      <c r="X338" s="10">
        <f>SUM(V$13:V338)/COUNTA(B$13:B338)</f>
        <v>2.1472392638036811E-2</v>
      </c>
      <c r="Z338" s="5"/>
      <c r="AA338" s="5"/>
      <c r="AC338" s="7"/>
      <c r="AE338" s="54" t="e">
        <f t="shared" si="59"/>
        <v>#N/A</v>
      </c>
      <c r="AF338" s="4" t="e">
        <f t="shared" si="55"/>
        <v>#N/A</v>
      </c>
    </row>
    <row r="339" spans="2:32">
      <c r="B339" s="5">
        <f t="shared" ref="B339:B402" si="60">+B338+1</f>
        <v>327</v>
      </c>
      <c r="C339" s="5"/>
      <c r="E339" s="13"/>
      <c r="F339" s="5"/>
      <c r="G339" s="11">
        <f>IF(ISERROR(AVERAGE(F$13:F339)),"n/a",AVERAGE(F$13:F339))</f>
        <v>117</v>
      </c>
      <c r="H339" s="11">
        <f t="shared" si="56"/>
        <v>117</v>
      </c>
      <c r="J339" s="5"/>
      <c r="K339" s="5"/>
      <c r="L339" s="5"/>
      <c r="M339" s="5"/>
      <c r="N339" s="5"/>
      <c r="O339" s="8" t="str">
        <f t="shared" si="54"/>
        <v>n/a</v>
      </c>
      <c r="Q339" s="5"/>
      <c r="R339" s="5"/>
      <c r="S339" s="5"/>
      <c r="U339" s="6"/>
      <c r="V339" s="9" t="str">
        <f t="shared" si="57"/>
        <v/>
      </c>
      <c r="W339" s="9" t="str">
        <f t="shared" si="58"/>
        <v/>
      </c>
      <c r="X339" s="10">
        <f>SUM(V$13:V339)/COUNTA(B$13:B339)</f>
        <v>2.1406727828746176E-2</v>
      </c>
      <c r="Z339" s="5"/>
      <c r="AA339" s="5"/>
      <c r="AC339" s="7"/>
      <c r="AE339" s="54" t="e">
        <f t="shared" si="59"/>
        <v>#N/A</v>
      </c>
      <c r="AF339" s="4" t="e">
        <f t="shared" si="55"/>
        <v>#N/A</v>
      </c>
    </row>
    <row r="340" spans="2:32">
      <c r="B340" s="5">
        <f t="shared" si="60"/>
        <v>328</v>
      </c>
      <c r="C340" s="5"/>
      <c r="E340" s="13"/>
      <c r="F340" s="5"/>
      <c r="G340" s="11">
        <f>IF(ISERROR(AVERAGE(F$13:F340)),"n/a",AVERAGE(F$13:F340))</f>
        <v>117</v>
      </c>
      <c r="H340" s="11">
        <f t="shared" si="56"/>
        <v>117</v>
      </c>
      <c r="J340" s="5"/>
      <c r="K340" s="5"/>
      <c r="L340" s="5"/>
      <c r="M340" s="5"/>
      <c r="N340" s="5"/>
      <c r="O340" s="8" t="str">
        <f t="shared" si="54"/>
        <v>n/a</v>
      </c>
      <c r="Q340" s="5"/>
      <c r="R340" s="5"/>
      <c r="S340" s="5"/>
      <c r="U340" s="6"/>
      <c r="V340" s="9" t="str">
        <f t="shared" si="57"/>
        <v/>
      </c>
      <c r="W340" s="9" t="str">
        <f t="shared" si="58"/>
        <v/>
      </c>
      <c r="X340" s="10">
        <f>SUM(V$13:V340)/COUNTA(B$13:B340)</f>
        <v>2.1341463414634148E-2</v>
      </c>
      <c r="Z340" s="5"/>
      <c r="AA340" s="5"/>
      <c r="AC340" s="7"/>
      <c r="AE340" s="54" t="e">
        <f t="shared" si="59"/>
        <v>#N/A</v>
      </c>
      <c r="AF340" s="4" t="e">
        <f t="shared" si="55"/>
        <v>#N/A</v>
      </c>
    </row>
    <row r="341" spans="2:32">
      <c r="B341" s="5">
        <f t="shared" si="60"/>
        <v>329</v>
      </c>
      <c r="C341" s="5"/>
      <c r="E341" s="13"/>
      <c r="F341" s="5"/>
      <c r="G341" s="11">
        <f>IF(ISERROR(AVERAGE(F$13:F341)),"n/a",AVERAGE(F$13:F341))</f>
        <v>117</v>
      </c>
      <c r="H341" s="11">
        <f t="shared" si="56"/>
        <v>117</v>
      </c>
      <c r="J341" s="5"/>
      <c r="K341" s="5"/>
      <c r="L341" s="5"/>
      <c r="M341" s="5"/>
      <c r="N341" s="5"/>
      <c r="O341" s="8" t="str">
        <f t="shared" si="54"/>
        <v>n/a</v>
      </c>
      <c r="Q341" s="5"/>
      <c r="R341" s="5"/>
      <c r="S341" s="5"/>
      <c r="U341" s="6"/>
      <c r="V341" s="9" t="str">
        <f t="shared" si="57"/>
        <v/>
      </c>
      <c r="W341" s="9" t="str">
        <f t="shared" si="58"/>
        <v/>
      </c>
      <c r="X341" s="10">
        <f>SUM(V$13:V341)/COUNTA(B$13:B341)</f>
        <v>2.1276595744680851E-2</v>
      </c>
      <c r="Z341" s="5"/>
      <c r="AA341" s="5"/>
      <c r="AC341" s="7"/>
      <c r="AE341" s="54" t="e">
        <f t="shared" si="59"/>
        <v>#N/A</v>
      </c>
      <c r="AF341" s="4" t="e">
        <f t="shared" si="55"/>
        <v>#N/A</v>
      </c>
    </row>
    <row r="342" spans="2:32">
      <c r="B342" s="5">
        <f t="shared" si="60"/>
        <v>330</v>
      </c>
      <c r="C342" s="5"/>
      <c r="E342" s="13"/>
      <c r="F342" s="5"/>
      <c r="G342" s="11">
        <f>IF(ISERROR(AVERAGE(F$13:F342)),"n/a",AVERAGE(F$13:F342))</f>
        <v>117</v>
      </c>
      <c r="H342" s="11">
        <f t="shared" si="56"/>
        <v>117</v>
      </c>
      <c r="J342" s="5"/>
      <c r="K342" s="5"/>
      <c r="L342" s="5"/>
      <c r="M342" s="5"/>
      <c r="N342" s="5"/>
      <c r="O342" s="8" t="str">
        <f t="shared" si="54"/>
        <v>n/a</v>
      </c>
      <c r="Q342" s="5"/>
      <c r="R342" s="5"/>
      <c r="S342" s="5"/>
      <c r="U342" s="6"/>
      <c r="V342" s="9" t="str">
        <f t="shared" si="57"/>
        <v/>
      </c>
      <c r="W342" s="9" t="str">
        <f t="shared" si="58"/>
        <v/>
      </c>
      <c r="X342" s="10">
        <f>SUM(V$13:V342)/COUNTA(B$13:B342)</f>
        <v>2.1212121212121213E-2</v>
      </c>
      <c r="Z342" s="5"/>
      <c r="AA342" s="5"/>
      <c r="AC342" s="7"/>
      <c r="AE342" s="54" t="e">
        <f t="shared" si="59"/>
        <v>#N/A</v>
      </c>
      <c r="AF342" s="4" t="e">
        <f t="shared" si="55"/>
        <v>#N/A</v>
      </c>
    </row>
    <row r="343" spans="2:32">
      <c r="B343" s="5">
        <f t="shared" si="60"/>
        <v>331</v>
      </c>
      <c r="C343" s="5"/>
      <c r="E343" s="13"/>
      <c r="F343" s="5"/>
      <c r="G343" s="11">
        <f>IF(ISERROR(AVERAGE(F$13:F343)),"n/a",AVERAGE(F$13:F343))</f>
        <v>117</v>
      </c>
      <c r="H343" s="11">
        <f t="shared" si="56"/>
        <v>117</v>
      </c>
      <c r="J343" s="5"/>
      <c r="K343" s="5"/>
      <c r="L343" s="5"/>
      <c r="M343" s="5"/>
      <c r="N343" s="5"/>
      <c r="O343" s="8" t="str">
        <f t="shared" si="54"/>
        <v>n/a</v>
      </c>
      <c r="Q343" s="5"/>
      <c r="R343" s="5"/>
      <c r="S343" s="5"/>
      <c r="U343" s="6"/>
      <c r="V343" s="9" t="str">
        <f t="shared" si="57"/>
        <v/>
      </c>
      <c r="W343" s="9" t="str">
        <f t="shared" si="58"/>
        <v/>
      </c>
      <c r="X343" s="10">
        <f>SUM(V$13:V343)/COUNTA(B$13:B343)</f>
        <v>2.1148036253776436E-2</v>
      </c>
      <c r="Z343" s="5"/>
      <c r="AA343" s="5"/>
      <c r="AC343" s="7"/>
      <c r="AE343" s="54" t="e">
        <f t="shared" si="59"/>
        <v>#N/A</v>
      </c>
      <c r="AF343" s="4" t="e">
        <f t="shared" si="55"/>
        <v>#N/A</v>
      </c>
    </row>
    <row r="344" spans="2:32">
      <c r="B344" s="5">
        <f t="shared" si="60"/>
        <v>332</v>
      </c>
      <c r="C344" s="5"/>
      <c r="E344" s="13"/>
      <c r="F344" s="5"/>
      <c r="G344" s="11">
        <f>IF(ISERROR(AVERAGE(F$13:F344)),"n/a",AVERAGE(F$13:F344))</f>
        <v>117</v>
      </c>
      <c r="H344" s="11">
        <f t="shared" si="56"/>
        <v>117</v>
      </c>
      <c r="J344" s="5"/>
      <c r="K344" s="5"/>
      <c r="L344" s="5"/>
      <c r="M344" s="5"/>
      <c r="N344" s="5"/>
      <c r="O344" s="8" t="str">
        <f t="shared" si="54"/>
        <v>n/a</v>
      </c>
      <c r="Q344" s="5"/>
      <c r="R344" s="5"/>
      <c r="S344" s="5"/>
      <c r="U344" s="6"/>
      <c r="V344" s="9" t="str">
        <f t="shared" si="57"/>
        <v/>
      </c>
      <c r="W344" s="9" t="str">
        <f t="shared" si="58"/>
        <v/>
      </c>
      <c r="X344" s="10">
        <f>SUM(V$13:V344)/COUNTA(B$13:B344)</f>
        <v>2.1084337349397589E-2</v>
      </c>
      <c r="Z344" s="5"/>
      <c r="AA344" s="5"/>
      <c r="AC344" s="7"/>
      <c r="AE344" s="54" t="e">
        <f t="shared" si="59"/>
        <v>#N/A</v>
      </c>
      <c r="AF344" s="4" t="e">
        <f t="shared" si="55"/>
        <v>#N/A</v>
      </c>
    </row>
    <row r="345" spans="2:32">
      <c r="B345" s="5">
        <f t="shared" si="60"/>
        <v>333</v>
      </c>
      <c r="C345" s="5"/>
      <c r="E345" s="13"/>
      <c r="F345" s="5"/>
      <c r="G345" s="11">
        <f>IF(ISERROR(AVERAGE(F$13:F345)),"n/a",AVERAGE(F$13:F345))</f>
        <v>117</v>
      </c>
      <c r="H345" s="11">
        <f t="shared" si="56"/>
        <v>117</v>
      </c>
      <c r="J345" s="5"/>
      <c r="K345" s="5"/>
      <c r="L345" s="5"/>
      <c r="M345" s="5"/>
      <c r="N345" s="5"/>
      <c r="O345" s="8" t="str">
        <f t="shared" si="54"/>
        <v>n/a</v>
      </c>
      <c r="Q345" s="5"/>
      <c r="R345" s="5"/>
      <c r="S345" s="5"/>
      <c r="U345" s="6"/>
      <c r="V345" s="9" t="str">
        <f t="shared" si="57"/>
        <v/>
      </c>
      <c r="W345" s="9" t="str">
        <f t="shared" si="58"/>
        <v/>
      </c>
      <c r="X345" s="10">
        <f>SUM(V$13:V345)/COUNTA(B$13:B345)</f>
        <v>2.1021021021021023E-2</v>
      </c>
      <c r="Z345" s="5"/>
      <c r="AA345" s="5"/>
      <c r="AC345" s="7"/>
      <c r="AE345" s="54" t="e">
        <f t="shared" si="59"/>
        <v>#N/A</v>
      </c>
      <c r="AF345" s="4" t="e">
        <f t="shared" si="55"/>
        <v>#N/A</v>
      </c>
    </row>
    <row r="346" spans="2:32">
      <c r="B346" s="5">
        <f t="shared" si="60"/>
        <v>334</v>
      </c>
      <c r="C346" s="5"/>
      <c r="E346" s="13"/>
      <c r="F346" s="5"/>
      <c r="G346" s="11">
        <f>IF(ISERROR(AVERAGE(F$13:F346)),"n/a",AVERAGE(F$13:F346))</f>
        <v>117</v>
      </c>
      <c r="H346" s="11">
        <f t="shared" si="56"/>
        <v>117</v>
      </c>
      <c r="J346" s="5"/>
      <c r="K346" s="5"/>
      <c r="L346" s="5"/>
      <c r="M346" s="5"/>
      <c r="N346" s="5"/>
      <c r="O346" s="8" t="str">
        <f t="shared" si="54"/>
        <v>n/a</v>
      </c>
      <c r="Q346" s="5"/>
      <c r="R346" s="5"/>
      <c r="S346" s="5"/>
      <c r="U346" s="6"/>
      <c r="V346" s="9" t="str">
        <f t="shared" si="57"/>
        <v/>
      </c>
      <c r="W346" s="9" t="str">
        <f t="shared" si="58"/>
        <v/>
      </c>
      <c r="X346" s="10">
        <f>SUM(V$13:V346)/COUNTA(B$13:B346)</f>
        <v>2.0958083832335328E-2</v>
      </c>
      <c r="Z346" s="5"/>
      <c r="AA346" s="5"/>
      <c r="AC346" s="7"/>
      <c r="AE346" s="54" t="e">
        <f t="shared" si="59"/>
        <v>#N/A</v>
      </c>
      <c r="AF346" s="4" t="e">
        <f t="shared" si="55"/>
        <v>#N/A</v>
      </c>
    </row>
    <row r="347" spans="2:32">
      <c r="B347" s="5">
        <f t="shared" si="60"/>
        <v>335</v>
      </c>
      <c r="C347" s="5"/>
      <c r="E347" s="13"/>
      <c r="F347" s="5"/>
      <c r="G347" s="11">
        <f>IF(ISERROR(AVERAGE(F$13:F347)),"n/a",AVERAGE(F$13:F347))</f>
        <v>117</v>
      </c>
      <c r="H347" s="11">
        <f t="shared" si="56"/>
        <v>117</v>
      </c>
      <c r="J347" s="5"/>
      <c r="K347" s="5"/>
      <c r="L347" s="5"/>
      <c r="M347" s="5"/>
      <c r="N347" s="5"/>
      <c r="O347" s="8" t="str">
        <f t="shared" si="54"/>
        <v>n/a</v>
      </c>
      <c r="Q347" s="5"/>
      <c r="R347" s="5"/>
      <c r="S347" s="5"/>
      <c r="U347" s="6"/>
      <c r="V347" s="9" t="str">
        <f t="shared" si="57"/>
        <v/>
      </c>
      <c r="W347" s="9" t="str">
        <f t="shared" si="58"/>
        <v/>
      </c>
      <c r="X347" s="10">
        <f>SUM(V$13:V347)/COUNTA(B$13:B347)</f>
        <v>2.0895522388059702E-2</v>
      </c>
      <c r="Z347" s="5"/>
      <c r="AA347" s="5"/>
      <c r="AC347" s="7"/>
      <c r="AE347" s="54" t="e">
        <f t="shared" si="59"/>
        <v>#N/A</v>
      </c>
      <c r="AF347" s="4" t="e">
        <f t="shared" si="55"/>
        <v>#N/A</v>
      </c>
    </row>
    <row r="348" spans="2:32">
      <c r="B348" s="5">
        <f t="shared" si="60"/>
        <v>336</v>
      </c>
      <c r="C348" s="5"/>
      <c r="E348" s="13"/>
      <c r="F348" s="5"/>
      <c r="G348" s="11">
        <f>IF(ISERROR(AVERAGE(F$13:F348)),"n/a",AVERAGE(F$13:F348))</f>
        <v>117</v>
      </c>
      <c r="H348" s="11">
        <f t="shared" si="56"/>
        <v>117</v>
      </c>
      <c r="J348" s="5"/>
      <c r="K348" s="5"/>
      <c r="L348" s="5"/>
      <c r="M348" s="5"/>
      <c r="N348" s="5"/>
      <c r="O348" s="8" t="str">
        <f t="shared" si="54"/>
        <v>n/a</v>
      </c>
      <c r="Q348" s="5"/>
      <c r="R348" s="5"/>
      <c r="S348" s="5"/>
      <c r="U348" s="6"/>
      <c r="V348" s="9" t="str">
        <f t="shared" si="57"/>
        <v/>
      </c>
      <c r="W348" s="9" t="str">
        <f t="shared" si="58"/>
        <v/>
      </c>
      <c r="X348" s="10">
        <f>SUM(V$13:V348)/COUNTA(B$13:B348)</f>
        <v>2.0833333333333332E-2</v>
      </c>
      <c r="Z348" s="5"/>
      <c r="AA348" s="5"/>
      <c r="AC348" s="7"/>
      <c r="AE348" s="54" t="e">
        <f t="shared" si="59"/>
        <v>#N/A</v>
      </c>
      <c r="AF348" s="4" t="e">
        <f t="shared" si="55"/>
        <v>#N/A</v>
      </c>
    </row>
    <row r="349" spans="2:32">
      <c r="B349" s="5">
        <f t="shared" si="60"/>
        <v>337</v>
      </c>
      <c r="C349" s="5"/>
      <c r="E349" s="13"/>
      <c r="F349" s="5"/>
      <c r="G349" s="11">
        <f>IF(ISERROR(AVERAGE(F$13:F349)),"n/a",AVERAGE(F$13:F349))</f>
        <v>117</v>
      </c>
      <c r="H349" s="11">
        <f t="shared" si="56"/>
        <v>117</v>
      </c>
      <c r="J349" s="5"/>
      <c r="K349" s="5"/>
      <c r="L349" s="5"/>
      <c r="M349" s="5"/>
      <c r="N349" s="5"/>
      <c r="O349" s="8" t="str">
        <f t="shared" si="54"/>
        <v>n/a</v>
      </c>
      <c r="Q349" s="5"/>
      <c r="R349" s="5"/>
      <c r="S349" s="5"/>
      <c r="U349" s="6"/>
      <c r="V349" s="9" t="str">
        <f t="shared" si="57"/>
        <v/>
      </c>
      <c r="W349" s="9" t="str">
        <f t="shared" si="58"/>
        <v/>
      </c>
      <c r="X349" s="10">
        <f>SUM(V$13:V349)/COUNTA(B$13:B349)</f>
        <v>2.0771513353115726E-2</v>
      </c>
      <c r="Z349" s="5"/>
      <c r="AA349" s="5"/>
      <c r="AC349" s="7"/>
      <c r="AE349" s="54" t="e">
        <f t="shared" si="59"/>
        <v>#N/A</v>
      </c>
      <c r="AF349" s="4" t="e">
        <f t="shared" si="55"/>
        <v>#N/A</v>
      </c>
    </row>
    <row r="350" spans="2:32">
      <c r="B350" s="5">
        <f t="shared" si="60"/>
        <v>338</v>
      </c>
      <c r="C350" s="5"/>
      <c r="E350" s="13"/>
      <c r="F350" s="5"/>
      <c r="G350" s="11">
        <f>IF(ISERROR(AVERAGE(F$13:F350)),"n/a",AVERAGE(F$13:F350))</f>
        <v>117</v>
      </c>
      <c r="H350" s="11">
        <f t="shared" si="56"/>
        <v>117</v>
      </c>
      <c r="J350" s="5"/>
      <c r="K350" s="5"/>
      <c r="L350" s="5"/>
      <c r="M350" s="5"/>
      <c r="N350" s="5"/>
      <c r="O350" s="8" t="str">
        <f t="shared" si="54"/>
        <v>n/a</v>
      </c>
      <c r="Q350" s="5"/>
      <c r="R350" s="5"/>
      <c r="S350" s="5"/>
      <c r="U350" s="6"/>
      <c r="V350" s="9" t="str">
        <f t="shared" si="57"/>
        <v/>
      </c>
      <c r="W350" s="9" t="str">
        <f t="shared" si="58"/>
        <v/>
      </c>
      <c r="X350" s="10">
        <f>SUM(V$13:V350)/COUNTA(B$13:B350)</f>
        <v>2.0710059171597635E-2</v>
      </c>
      <c r="Z350" s="5"/>
      <c r="AA350" s="5"/>
      <c r="AC350" s="7"/>
      <c r="AE350" s="54" t="e">
        <f t="shared" si="59"/>
        <v>#N/A</v>
      </c>
      <c r="AF350" s="4" t="e">
        <f t="shared" si="55"/>
        <v>#N/A</v>
      </c>
    </row>
    <row r="351" spans="2:32">
      <c r="B351" s="5">
        <f t="shared" si="60"/>
        <v>339</v>
      </c>
      <c r="C351" s="5"/>
      <c r="E351" s="13"/>
      <c r="F351" s="5"/>
      <c r="G351" s="11">
        <f>IF(ISERROR(AVERAGE(F$13:F351)),"n/a",AVERAGE(F$13:F351))</f>
        <v>117</v>
      </c>
      <c r="H351" s="11">
        <f t="shared" si="56"/>
        <v>117</v>
      </c>
      <c r="J351" s="5"/>
      <c r="K351" s="5"/>
      <c r="L351" s="5"/>
      <c r="M351" s="5"/>
      <c r="N351" s="5"/>
      <c r="O351" s="8" t="str">
        <f t="shared" si="54"/>
        <v>n/a</v>
      </c>
      <c r="Q351" s="5"/>
      <c r="R351" s="5"/>
      <c r="S351" s="5"/>
      <c r="U351" s="6"/>
      <c r="V351" s="9" t="str">
        <f t="shared" si="57"/>
        <v/>
      </c>
      <c r="W351" s="9" t="str">
        <f t="shared" si="58"/>
        <v/>
      </c>
      <c r="X351" s="10">
        <f>SUM(V$13:V351)/COUNTA(B$13:B351)</f>
        <v>2.0648967551622419E-2</v>
      </c>
      <c r="Z351" s="5"/>
      <c r="AA351" s="5"/>
      <c r="AC351" s="7"/>
      <c r="AE351" s="54" t="e">
        <f t="shared" si="59"/>
        <v>#N/A</v>
      </c>
      <c r="AF351" s="4" t="e">
        <f t="shared" si="55"/>
        <v>#N/A</v>
      </c>
    </row>
    <row r="352" spans="2:32">
      <c r="B352" s="5">
        <f t="shared" si="60"/>
        <v>340</v>
      </c>
      <c r="C352" s="5"/>
      <c r="E352" s="13"/>
      <c r="F352" s="5"/>
      <c r="G352" s="11">
        <f>IF(ISERROR(AVERAGE(F$13:F352)),"n/a",AVERAGE(F$13:F352))</f>
        <v>117</v>
      </c>
      <c r="H352" s="11">
        <f t="shared" si="56"/>
        <v>117</v>
      </c>
      <c r="J352" s="5"/>
      <c r="K352" s="5"/>
      <c r="L352" s="5"/>
      <c r="M352" s="5"/>
      <c r="N352" s="5"/>
      <c r="O352" s="8" t="str">
        <f t="shared" si="54"/>
        <v>n/a</v>
      </c>
      <c r="Q352" s="5"/>
      <c r="R352" s="5"/>
      <c r="S352" s="5"/>
      <c r="U352" s="6"/>
      <c r="V352" s="9" t="str">
        <f t="shared" si="57"/>
        <v/>
      </c>
      <c r="W352" s="9" t="str">
        <f t="shared" si="58"/>
        <v/>
      </c>
      <c r="X352" s="10">
        <f>SUM(V$13:V352)/COUNTA(B$13:B352)</f>
        <v>2.0588235294117647E-2</v>
      </c>
      <c r="Z352" s="5"/>
      <c r="AA352" s="5"/>
      <c r="AC352" s="7"/>
      <c r="AE352" s="54" t="e">
        <f t="shared" si="59"/>
        <v>#N/A</v>
      </c>
      <c r="AF352" s="4" t="e">
        <f t="shared" si="55"/>
        <v>#N/A</v>
      </c>
    </row>
    <row r="353" spans="2:32">
      <c r="B353" s="5">
        <f t="shared" si="60"/>
        <v>341</v>
      </c>
      <c r="C353" s="5"/>
      <c r="E353" s="13"/>
      <c r="F353" s="5"/>
      <c r="G353" s="11">
        <f>IF(ISERROR(AVERAGE(F$13:F353)),"n/a",AVERAGE(F$13:F353))</f>
        <v>117</v>
      </c>
      <c r="H353" s="11">
        <f t="shared" si="56"/>
        <v>117</v>
      </c>
      <c r="J353" s="5"/>
      <c r="K353" s="5"/>
      <c r="L353" s="5"/>
      <c r="M353" s="5"/>
      <c r="N353" s="5"/>
      <c r="O353" s="8" t="str">
        <f t="shared" si="54"/>
        <v>n/a</v>
      </c>
      <c r="Q353" s="5"/>
      <c r="R353" s="5"/>
      <c r="S353" s="5"/>
      <c r="U353" s="6"/>
      <c r="V353" s="9" t="str">
        <f t="shared" si="57"/>
        <v/>
      </c>
      <c r="W353" s="9" t="str">
        <f t="shared" si="58"/>
        <v/>
      </c>
      <c r="X353" s="10">
        <f>SUM(V$13:V353)/COUNTA(B$13:B353)</f>
        <v>2.0527859237536656E-2</v>
      </c>
      <c r="Z353" s="5"/>
      <c r="AA353" s="5"/>
      <c r="AC353" s="7"/>
      <c r="AE353" s="54" t="e">
        <f t="shared" si="59"/>
        <v>#N/A</v>
      </c>
      <c r="AF353" s="4" t="e">
        <f t="shared" si="55"/>
        <v>#N/A</v>
      </c>
    </row>
    <row r="354" spans="2:32">
      <c r="B354" s="5">
        <f t="shared" si="60"/>
        <v>342</v>
      </c>
      <c r="C354" s="5"/>
      <c r="E354" s="13"/>
      <c r="F354" s="5"/>
      <c r="G354" s="11">
        <f>IF(ISERROR(AVERAGE(F$13:F354)),"n/a",AVERAGE(F$13:F354))</f>
        <v>117</v>
      </c>
      <c r="H354" s="11">
        <f t="shared" si="56"/>
        <v>117</v>
      </c>
      <c r="J354" s="5"/>
      <c r="K354" s="5"/>
      <c r="L354" s="5"/>
      <c r="M354" s="5"/>
      <c r="N354" s="5"/>
      <c r="O354" s="8" t="str">
        <f t="shared" si="54"/>
        <v>n/a</v>
      </c>
      <c r="Q354" s="5"/>
      <c r="R354" s="5"/>
      <c r="S354" s="5"/>
      <c r="U354" s="6"/>
      <c r="V354" s="9" t="str">
        <f t="shared" si="57"/>
        <v/>
      </c>
      <c r="W354" s="9" t="str">
        <f t="shared" si="58"/>
        <v/>
      </c>
      <c r="X354" s="10">
        <f>SUM(V$13:V354)/COUNTA(B$13:B354)</f>
        <v>2.046783625730994E-2</v>
      </c>
      <c r="Z354" s="5"/>
      <c r="AA354" s="5"/>
      <c r="AC354" s="7"/>
      <c r="AE354" s="54" t="e">
        <f t="shared" si="59"/>
        <v>#N/A</v>
      </c>
      <c r="AF354" s="4" t="e">
        <f t="shared" si="55"/>
        <v>#N/A</v>
      </c>
    </row>
    <row r="355" spans="2:32">
      <c r="B355" s="5">
        <f t="shared" si="60"/>
        <v>343</v>
      </c>
      <c r="C355" s="5"/>
      <c r="E355" s="13"/>
      <c r="F355" s="5"/>
      <c r="G355" s="11">
        <f>IF(ISERROR(AVERAGE(F$13:F355)),"n/a",AVERAGE(F$13:F355))</f>
        <v>117</v>
      </c>
      <c r="H355" s="11">
        <f t="shared" si="56"/>
        <v>117</v>
      </c>
      <c r="J355" s="5"/>
      <c r="K355" s="5"/>
      <c r="L355" s="5"/>
      <c r="M355" s="5"/>
      <c r="N355" s="5"/>
      <c r="O355" s="8" t="str">
        <f t="shared" si="54"/>
        <v>n/a</v>
      </c>
      <c r="Q355" s="5"/>
      <c r="R355" s="5"/>
      <c r="S355" s="5"/>
      <c r="U355" s="6"/>
      <c r="V355" s="9" t="str">
        <f t="shared" si="57"/>
        <v/>
      </c>
      <c r="W355" s="9" t="str">
        <f t="shared" si="58"/>
        <v/>
      </c>
      <c r="X355" s="10">
        <f>SUM(V$13:V355)/COUNTA(B$13:B355)</f>
        <v>2.0408163265306121E-2</v>
      </c>
      <c r="Z355" s="5"/>
      <c r="AA355" s="5"/>
      <c r="AC355" s="7"/>
      <c r="AE355" s="54" t="e">
        <f t="shared" si="59"/>
        <v>#N/A</v>
      </c>
      <c r="AF355" s="4" t="e">
        <f t="shared" si="55"/>
        <v>#N/A</v>
      </c>
    </row>
    <row r="356" spans="2:32">
      <c r="B356" s="5">
        <f t="shared" si="60"/>
        <v>344</v>
      </c>
      <c r="C356" s="5"/>
      <c r="E356" s="13"/>
      <c r="F356" s="5"/>
      <c r="G356" s="11">
        <f>IF(ISERROR(AVERAGE(F$13:F356)),"n/a",AVERAGE(F$13:F356))</f>
        <v>117</v>
      </c>
      <c r="H356" s="11">
        <f t="shared" si="56"/>
        <v>117</v>
      </c>
      <c r="J356" s="5"/>
      <c r="K356" s="5"/>
      <c r="L356" s="5"/>
      <c r="M356" s="5"/>
      <c r="N356" s="5"/>
      <c r="O356" s="8" t="str">
        <f t="shared" si="54"/>
        <v>n/a</v>
      </c>
      <c r="Q356" s="5"/>
      <c r="R356" s="5"/>
      <c r="S356" s="5"/>
      <c r="U356" s="6"/>
      <c r="V356" s="9" t="str">
        <f t="shared" si="57"/>
        <v/>
      </c>
      <c r="W356" s="9" t="str">
        <f t="shared" si="58"/>
        <v/>
      </c>
      <c r="X356" s="10">
        <f>SUM(V$13:V356)/COUNTA(B$13:B356)</f>
        <v>2.0348837209302327E-2</v>
      </c>
      <c r="Z356" s="5"/>
      <c r="AA356" s="5"/>
      <c r="AC356" s="7"/>
      <c r="AE356" s="54" t="e">
        <f t="shared" si="59"/>
        <v>#N/A</v>
      </c>
      <c r="AF356" s="4" t="e">
        <f t="shared" si="55"/>
        <v>#N/A</v>
      </c>
    </row>
    <row r="357" spans="2:32">
      <c r="B357" s="5">
        <f t="shared" si="60"/>
        <v>345</v>
      </c>
      <c r="C357" s="5"/>
      <c r="E357" s="13"/>
      <c r="F357" s="5"/>
      <c r="G357" s="11">
        <f>IF(ISERROR(AVERAGE(F$13:F357)),"n/a",AVERAGE(F$13:F357))</f>
        <v>117</v>
      </c>
      <c r="H357" s="11">
        <f t="shared" si="56"/>
        <v>117</v>
      </c>
      <c r="J357" s="5"/>
      <c r="K357" s="5"/>
      <c r="L357" s="5"/>
      <c r="M357" s="5"/>
      <c r="N357" s="5"/>
      <c r="O357" s="8" t="str">
        <f t="shared" si="54"/>
        <v>n/a</v>
      </c>
      <c r="Q357" s="5"/>
      <c r="R357" s="5"/>
      <c r="S357" s="5"/>
      <c r="U357" s="6"/>
      <c r="V357" s="9" t="str">
        <f t="shared" si="57"/>
        <v/>
      </c>
      <c r="W357" s="9" t="str">
        <f t="shared" si="58"/>
        <v/>
      </c>
      <c r="X357" s="10">
        <f>SUM(V$13:V357)/COUNTA(B$13:B357)</f>
        <v>2.0289855072463767E-2</v>
      </c>
      <c r="Z357" s="5"/>
      <c r="AA357" s="5"/>
      <c r="AC357" s="7"/>
      <c r="AE357" s="54" t="e">
        <f t="shared" si="59"/>
        <v>#N/A</v>
      </c>
      <c r="AF357" s="4" t="e">
        <f t="shared" si="55"/>
        <v>#N/A</v>
      </c>
    </row>
    <row r="358" spans="2:32">
      <c r="B358" s="5">
        <f t="shared" si="60"/>
        <v>346</v>
      </c>
      <c r="C358" s="5"/>
      <c r="E358" s="13"/>
      <c r="F358" s="5"/>
      <c r="G358" s="11">
        <f>IF(ISERROR(AVERAGE(F$13:F358)),"n/a",AVERAGE(F$13:F358))</f>
        <v>117</v>
      </c>
      <c r="H358" s="11">
        <f t="shared" si="56"/>
        <v>117</v>
      </c>
      <c r="J358" s="5"/>
      <c r="K358" s="5"/>
      <c r="L358" s="5"/>
      <c r="M358" s="5"/>
      <c r="N358" s="5"/>
      <c r="O358" s="8" t="str">
        <f t="shared" si="54"/>
        <v>n/a</v>
      </c>
      <c r="Q358" s="5"/>
      <c r="R358" s="5"/>
      <c r="S358" s="5"/>
      <c r="U358" s="6"/>
      <c r="V358" s="9" t="str">
        <f t="shared" si="57"/>
        <v/>
      </c>
      <c r="W358" s="9" t="str">
        <f t="shared" si="58"/>
        <v/>
      </c>
      <c r="X358" s="10">
        <f>SUM(V$13:V358)/COUNTA(B$13:B358)</f>
        <v>2.023121387283237E-2</v>
      </c>
      <c r="Z358" s="5"/>
      <c r="AA358" s="5"/>
      <c r="AC358" s="7"/>
      <c r="AE358" s="54" t="e">
        <f t="shared" si="59"/>
        <v>#N/A</v>
      </c>
      <c r="AF358" s="4" t="e">
        <f t="shared" si="55"/>
        <v>#N/A</v>
      </c>
    </row>
    <row r="359" spans="2:32">
      <c r="B359" s="5">
        <f t="shared" si="60"/>
        <v>347</v>
      </c>
      <c r="C359" s="5"/>
      <c r="E359" s="13"/>
      <c r="F359" s="5"/>
      <c r="G359" s="11">
        <f>IF(ISERROR(AVERAGE(F$13:F359)),"n/a",AVERAGE(F$13:F359))</f>
        <v>117</v>
      </c>
      <c r="H359" s="11">
        <f t="shared" si="56"/>
        <v>117</v>
      </c>
      <c r="J359" s="5"/>
      <c r="K359" s="5"/>
      <c r="L359" s="5"/>
      <c r="M359" s="5"/>
      <c r="N359" s="5"/>
      <c r="O359" s="8" t="str">
        <f t="shared" si="54"/>
        <v>n/a</v>
      </c>
      <c r="Q359" s="5"/>
      <c r="R359" s="5"/>
      <c r="S359" s="5"/>
      <c r="U359" s="6"/>
      <c r="V359" s="9" t="str">
        <f t="shared" si="57"/>
        <v/>
      </c>
      <c r="W359" s="9" t="str">
        <f t="shared" si="58"/>
        <v/>
      </c>
      <c r="X359" s="10">
        <f>SUM(V$13:V359)/COUNTA(B$13:B359)</f>
        <v>2.0172910662824207E-2</v>
      </c>
      <c r="Z359" s="5"/>
      <c r="AA359" s="5"/>
      <c r="AC359" s="7"/>
      <c r="AE359" s="54" t="e">
        <f t="shared" si="59"/>
        <v>#N/A</v>
      </c>
      <c r="AF359" s="4" t="e">
        <f t="shared" si="55"/>
        <v>#N/A</v>
      </c>
    </row>
    <row r="360" spans="2:32">
      <c r="B360" s="5">
        <f t="shared" si="60"/>
        <v>348</v>
      </c>
      <c r="C360" s="5"/>
      <c r="E360" s="13"/>
      <c r="F360" s="5"/>
      <c r="G360" s="11">
        <f>IF(ISERROR(AVERAGE(F$13:F360)),"n/a",AVERAGE(F$13:F360))</f>
        <v>117</v>
      </c>
      <c r="H360" s="11">
        <f t="shared" si="56"/>
        <v>117</v>
      </c>
      <c r="J360" s="5"/>
      <c r="K360" s="5"/>
      <c r="L360" s="5"/>
      <c r="M360" s="5"/>
      <c r="N360" s="5"/>
      <c r="O360" s="8" t="str">
        <f t="shared" si="54"/>
        <v>n/a</v>
      </c>
      <c r="Q360" s="5"/>
      <c r="R360" s="5"/>
      <c r="S360" s="5"/>
      <c r="U360" s="6"/>
      <c r="V360" s="9" t="str">
        <f t="shared" si="57"/>
        <v/>
      </c>
      <c r="W360" s="9" t="str">
        <f t="shared" si="58"/>
        <v/>
      </c>
      <c r="X360" s="10">
        <f>SUM(V$13:V360)/COUNTA(B$13:B360)</f>
        <v>2.0114942528735632E-2</v>
      </c>
      <c r="Z360" s="5"/>
      <c r="AA360" s="5"/>
      <c r="AC360" s="7"/>
      <c r="AE360" s="54" t="e">
        <f t="shared" si="59"/>
        <v>#N/A</v>
      </c>
      <c r="AF360" s="4" t="e">
        <f t="shared" si="55"/>
        <v>#N/A</v>
      </c>
    </row>
    <row r="361" spans="2:32">
      <c r="B361" s="5">
        <f t="shared" si="60"/>
        <v>349</v>
      </c>
      <c r="C361" s="5"/>
      <c r="E361" s="13"/>
      <c r="F361" s="5"/>
      <c r="G361" s="11">
        <f>IF(ISERROR(AVERAGE(F$13:F361)),"n/a",AVERAGE(F$13:F361))</f>
        <v>117</v>
      </c>
      <c r="H361" s="11">
        <f t="shared" si="56"/>
        <v>117</v>
      </c>
      <c r="J361" s="5"/>
      <c r="K361" s="5"/>
      <c r="L361" s="5"/>
      <c r="M361" s="5"/>
      <c r="N361" s="5"/>
      <c r="O361" s="8" t="str">
        <f t="shared" si="54"/>
        <v>n/a</v>
      </c>
      <c r="Q361" s="5"/>
      <c r="R361" s="5"/>
      <c r="S361" s="5"/>
      <c r="U361" s="6"/>
      <c r="V361" s="9" t="str">
        <f t="shared" si="57"/>
        <v/>
      </c>
      <c r="W361" s="9" t="str">
        <f t="shared" si="58"/>
        <v/>
      </c>
      <c r="X361" s="10">
        <f>SUM(V$13:V361)/COUNTA(B$13:B361)</f>
        <v>2.0057306590257881E-2</v>
      </c>
      <c r="Z361" s="5"/>
      <c r="AA361" s="5"/>
      <c r="AC361" s="7"/>
      <c r="AE361" s="54" t="e">
        <f t="shared" si="59"/>
        <v>#N/A</v>
      </c>
      <c r="AF361" s="4" t="e">
        <f t="shared" si="55"/>
        <v>#N/A</v>
      </c>
    </row>
    <row r="362" spans="2:32">
      <c r="B362" s="5">
        <f t="shared" si="60"/>
        <v>350</v>
      </c>
      <c r="C362" s="5"/>
      <c r="E362" s="13"/>
      <c r="F362" s="5"/>
      <c r="G362" s="11">
        <f>IF(ISERROR(AVERAGE(F$13:F362)),"n/a",AVERAGE(F$13:F362))</f>
        <v>117</v>
      </c>
      <c r="H362" s="11">
        <f t="shared" si="56"/>
        <v>117</v>
      </c>
      <c r="J362" s="5"/>
      <c r="K362" s="5"/>
      <c r="L362" s="5"/>
      <c r="M362" s="5"/>
      <c r="N362" s="5"/>
      <c r="O362" s="8" t="str">
        <f t="shared" si="54"/>
        <v>n/a</v>
      </c>
      <c r="Q362" s="5"/>
      <c r="R362" s="5"/>
      <c r="S362" s="5"/>
      <c r="U362" s="6"/>
      <c r="V362" s="9" t="str">
        <f t="shared" si="57"/>
        <v/>
      </c>
      <c r="W362" s="9" t="str">
        <f t="shared" si="58"/>
        <v/>
      </c>
      <c r="X362" s="10">
        <f>SUM(V$13:V362)/COUNTA(B$13:B362)</f>
        <v>0.02</v>
      </c>
      <c r="Z362" s="5"/>
      <c r="AA362" s="5"/>
      <c r="AC362" s="7"/>
      <c r="AE362" s="54" t="e">
        <f t="shared" si="59"/>
        <v>#N/A</v>
      </c>
      <c r="AF362" s="4" t="e">
        <f t="shared" si="55"/>
        <v>#N/A</v>
      </c>
    </row>
    <row r="363" spans="2:32">
      <c r="B363" s="5">
        <f t="shared" si="60"/>
        <v>351</v>
      </c>
      <c r="C363" s="5"/>
      <c r="E363" s="13"/>
      <c r="F363" s="5"/>
      <c r="G363" s="11">
        <f>IF(ISERROR(AVERAGE(F$13:F363)),"n/a",AVERAGE(F$13:F363))</f>
        <v>117</v>
      </c>
      <c r="H363" s="11">
        <f t="shared" si="56"/>
        <v>117</v>
      </c>
      <c r="J363" s="5"/>
      <c r="K363" s="5"/>
      <c r="L363" s="5"/>
      <c r="M363" s="5"/>
      <c r="N363" s="5"/>
      <c r="O363" s="8" t="str">
        <f t="shared" si="54"/>
        <v>n/a</v>
      </c>
      <c r="Q363" s="5"/>
      <c r="R363" s="5"/>
      <c r="S363" s="5"/>
      <c r="U363" s="6"/>
      <c r="V363" s="9" t="str">
        <f t="shared" si="57"/>
        <v/>
      </c>
      <c r="W363" s="9" t="str">
        <f t="shared" si="58"/>
        <v/>
      </c>
      <c r="X363" s="10">
        <f>SUM(V$13:V363)/COUNTA(B$13:B363)</f>
        <v>1.9943019943019943E-2</v>
      </c>
      <c r="Z363" s="5"/>
      <c r="AA363" s="5"/>
      <c r="AC363" s="7"/>
      <c r="AE363" s="54" t="e">
        <f t="shared" si="59"/>
        <v>#N/A</v>
      </c>
      <c r="AF363" s="4" t="e">
        <f t="shared" si="55"/>
        <v>#N/A</v>
      </c>
    </row>
    <row r="364" spans="2:32">
      <c r="B364" s="5">
        <f t="shared" si="60"/>
        <v>352</v>
      </c>
      <c r="C364" s="5"/>
      <c r="E364" s="13"/>
      <c r="F364" s="5"/>
      <c r="G364" s="11">
        <f>IF(ISERROR(AVERAGE(F$13:F364)),"n/a",AVERAGE(F$13:F364))</f>
        <v>117</v>
      </c>
      <c r="H364" s="11">
        <f t="shared" si="56"/>
        <v>117</v>
      </c>
      <c r="J364" s="5"/>
      <c r="K364" s="5"/>
      <c r="L364" s="5"/>
      <c r="M364" s="5"/>
      <c r="N364" s="5"/>
      <c r="O364" s="8" t="str">
        <f t="shared" si="54"/>
        <v>n/a</v>
      </c>
      <c r="Q364" s="5"/>
      <c r="R364" s="5"/>
      <c r="S364" s="5"/>
      <c r="U364" s="6"/>
      <c r="V364" s="9" t="str">
        <f t="shared" si="57"/>
        <v/>
      </c>
      <c r="W364" s="9" t="str">
        <f t="shared" si="58"/>
        <v/>
      </c>
      <c r="X364" s="10">
        <f>SUM(V$13:V364)/COUNTA(B$13:B364)</f>
        <v>1.9886363636363636E-2</v>
      </c>
      <c r="Z364" s="5"/>
      <c r="AA364" s="5"/>
      <c r="AC364" s="7"/>
      <c r="AE364" s="54" t="e">
        <f t="shared" si="59"/>
        <v>#N/A</v>
      </c>
      <c r="AF364" s="4" t="e">
        <f t="shared" si="55"/>
        <v>#N/A</v>
      </c>
    </row>
    <row r="365" spans="2:32">
      <c r="B365" s="5">
        <f t="shared" si="60"/>
        <v>353</v>
      </c>
      <c r="C365" s="5"/>
      <c r="E365" s="13"/>
      <c r="F365" s="5"/>
      <c r="G365" s="11">
        <f>IF(ISERROR(AVERAGE(F$13:F365)),"n/a",AVERAGE(F$13:F365))</f>
        <v>117</v>
      </c>
      <c r="H365" s="11">
        <f t="shared" si="56"/>
        <v>117</v>
      </c>
      <c r="J365" s="5"/>
      <c r="K365" s="5"/>
      <c r="L365" s="5"/>
      <c r="M365" s="5"/>
      <c r="N365" s="5"/>
      <c r="O365" s="8" t="str">
        <f t="shared" si="54"/>
        <v>n/a</v>
      </c>
      <c r="Q365" s="5"/>
      <c r="R365" s="5"/>
      <c r="S365" s="5"/>
      <c r="U365" s="6"/>
      <c r="V365" s="9" t="str">
        <f t="shared" si="57"/>
        <v/>
      </c>
      <c r="W365" s="9" t="str">
        <f t="shared" si="58"/>
        <v/>
      </c>
      <c r="X365" s="10">
        <f>SUM(V$13:V365)/COUNTA(B$13:B365)</f>
        <v>1.9830028328611898E-2</v>
      </c>
      <c r="Z365" s="5"/>
      <c r="AA365" s="5"/>
      <c r="AC365" s="7"/>
      <c r="AE365" s="54" t="e">
        <f t="shared" si="59"/>
        <v>#N/A</v>
      </c>
      <c r="AF365" s="4" t="e">
        <f t="shared" si="55"/>
        <v>#N/A</v>
      </c>
    </row>
    <row r="366" spans="2:32">
      <c r="B366" s="5">
        <f t="shared" si="60"/>
        <v>354</v>
      </c>
      <c r="C366" s="5"/>
      <c r="E366" s="13"/>
      <c r="F366" s="5"/>
      <c r="G366" s="11">
        <f>IF(ISERROR(AVERAGE(F$13:F366)),"n/a",AVERAGE(F$13:F366))</f>
        <v>117</v>
      </c>
      <c r="H366" s="11">
        <f t="shared" si="56"/>
        <v>117</v>
      </c>
      <c r="J366" s="5"/>
      <c r="K366" s="5"/>
      <c r="L366" s="5"/>
      <c r="M366" s="5"/>
      <c r="N366" s="5"/>
      <c r="O366" s="8" t="str">
        <f t="shared" si="54"/>
        <v>n/a</v>
      </c>
      <c r="Q366" s="5"/>
      <c r="R366" s="5"/>
      <c r="S366" s="5"/>
      <c r="U366" s="6"/>
      <c r="V366" s="9" t="str">
        <f t="shared" si="57"/>
        <v/>
      </c>
      <c r="W366" s="9" t="str">
        <f t="shared" si="58"/>
        <v/>
      </c>
      <c r="X366" s="10">
        <f>SUM(V$13:V366)/COUNTA(B$13:B366)</f>
        <v>1.977401129943503E-2</v>
      </c>
      <c r="Z366" s="5"/>
      <c r="AA366" s="5"/>
      <c r="AC366" s="7"/>
      <c r="AE366" s="54" t="e">
        <f t="shared" si="59"/>
        <v>#N/A</v>
      </c>
      <c r="AF366" s="4" t="e">
        <f t="shared" si="55"/>
        <v>#N/A</v>
      </c>
    </row>
    <row r="367" spans="2:32">
      <c r="B367" s="5">
        <f t="shared" si="60"/>
        <v>355</v>
      </c>
      <c r="C367" s="5"/>
      <c r="E367" s="13"/>
      <c r="F367" s="5"/>
      <c r="G367" s="11">
        <f>IF(ISERROR(AVERAGE(F$13:F367)),"n/a",AVERAGE(F$13:F367))</f>
        <v>117</v>
      </c>
      <c r="H367" s="11">
        <f t="shared" si="56"/>
        <v>117</v>
      </c>
      <c r="J367" s="5"/>
      <c r="K367" s="5"/>
      <c r="L367" s="5"/>
      <c r="M367" s="5"/>
      <c r="N367" s="5"/>
      <c r="O367" s="8" t="str">
        <f t="shared" si="54"/>
        <v>n/a</v>
      </c>
      <c r="Q367" s="5"/>
      <c r="R367" s="5"/>
      <c r="S367" s="5"/>
      <c r="U367" s="6"/>
      <c r="V367" s="9" t="str">
        <f t="shared" si="57"/>
        <v/>
      </c>
      <c r="W367" s="9" t="str">
        <f t="shared" si="58"/>
        <v/>
      </c>
      <c r="X367" s="10">
        <f>SUM(V$13:V367)/COUNTA(B$13:B367)</f>
        <v>1.9718309859154931E-2</v>
      </c>
      <c r="Z367" s="5"/>
      <c r="AA367" s="5"/>
      <c r="AC367" s="7"/>
      <c r="AE367" s="54" t="e">
        <f t="shared" si="59"/>
        <v>#N/A</v>
      </c>
      <c r="AF367" s="4" t="e">
        <f t="shared" si="55"/>
        <v>#N/A</v>
      </c>
    </row>
    <row r="368" spans="2:32">
      <c r="B368" s="5">
        <f t="shared" si="60"/>
        <v>356</v>
      </c>
      <c r="C368" s="5"/>
      <c r="E368" s="13"/>
      <c r="F368" s="5"/>
      <c r="G368" s="11">
        <f>IF(ISERROR(AVERAGE(F$13:F368)),"n/a",AVERAGE(F$13:F368))</f>
        <v>117</v>
      </c>
      <c r="H368" s="11">
        <f t="shared" si="56"/>
        <v>117</v>
      </c>
      <c r="J368" s="5"/>
      <c r="K368" s="5"/>
      <c r="L368" s="5"/>
      <c r="M368" s="5"/>
      <c r="N368" s="5"/>
      <c r="O368" s="8" t="str">
        <f t="shared" si="54"/>
        <v>n/a</v>
      </c>
      <c r="Q368" s="5"/>
      <c r="R368" s="5"/>
      <c r="S368" s="5"/>
      <c r="U368" s="6"/>
      <c r="V368" s="9" t="str">
        <f t="shared" si="57"/>
        <v/>
      </c>
      <c r="W368" s="9" t="str">
        <f t="shared" si="58"/>
        <v/>
      </c>
      <c r="X368" s="10">
        <f>SUM(V$13:V368)/COUNTA(B$13:B368)</f>
        <v>1.9662921348314606E-2</v>
      </c>
      <c r="Z368" s="5"/>
      <c r="AA368" s="5"/>
      <c r="AC368" s="7"/>
      <c r="AE368" s="54" t="e">
        <f t="shared" si="59"/>
        <v>#N/A</v>
      </c>
      <c r="AF368" s="4" t="e">
        <f t="shared" si="55"/>
        <v>#N/A</v>
      </c>
    </row>
    <row r="369" spans="2:32">
      <c r="B369" s="5">
        <f t="shared" si="60"/>
        <v>357</v>
      </c>
      <c r="C369" s="5"/>
      <c r="E369" s="13"/>
      <c r="F369" s="5"/>
      <c r="G369" s="11">
        <f>IF(ISERROR(AVERAGE(F$13:F369)),"n/a",AVERAGE(F$13:F369))</f>
        <v>117</v>
      </c>
      <c r="H369" s="11">
        <f t="shared" si="56"/>
        <v>117</v>
      </c>
      <c r="J369" s="5"/>
      <c r="K369" s="5"/>
      <c r="L369" s="5"/>
      <c r="M369" s="5"/>
      <c r="N369" s="5"/>
      <c r="O369" s="8" t="str">
        <f t="shared" ref="O369:O432" si="61">IF(J369=1,"A",IF(K369=1,"B",IF(L369=1,"C",IF(M369=1,"D",IF(N369=1,"E","n/a")))))</f>
        <v>n/a</v>
      </c>
      <c r="Q369" s="5"/>
      <c r="R369" s="5"/>
      <c r="S369" s="5"/>
      <c r="U369" s="6"/>
      <c r="V369" s="9" t="str">
        <f t="shared" si="57"/>
        <v/>
      </c>
      <c r="W369" s="9" t="str">
        <f t="shared" si="58"/>
        <v/>
      </c>
      <c r="X369" s="10">
        <f>SUM(V$13:V369)/COUNTA(B$13:B369)</f>
        <v>1.9607843137254902E-2</v>
      </c>
      <c r="Z369" s="5"/>
      <c r="AA369" s="5"/>
      <c r="AC369" s="7"/>
      <c r="AE369" s="54" t="e">
        <f t="shared" si="59"/>
        <v>#N/A</v>
      </c>
      <c r="AF369" s="4" t="e">
        <f t="shared" si="55"/>
        <v>#N/A</v>
      </c>
    </row>
    <row r="370" spans="2:32">
      <c r="B370" s="5">
        <f t="shared" si="60"/>
        <v>358</v>
      </c>
      <c r="C370" s="5"/>
      <c r="E370" s="13"/>
      <c r="F370" s="5"/>
      <c r="G370" s="11">
        <f>IF(ISERROR(AVERAGE(F$13:F370)),"n/a",AVERAGE(F$13:F370))</f>
        <v>117</v>
      </c>
      <c r="H370" s="11">
        <f t="shared" si="56"/>
        <v>117</v>
      </c>
      <c r="J370" s="5"/>
      <c r="K370" s="5"/>
      <c r="L370" s="5"/>
      <c r="M370" s="5"/>
      <c r="N370" s="5"/>
      <c r="O370" s="8" t="str">
        <f t="shared" si="61"/>
        <v>n/a</v>
      </c>
      <c r="Q370" s="5"/>
      <c r="R370" s="5"/>
      <c r="S370" s="5"/>
      <c r="U370" s="6"/>
      <c r="V370" s="9" t="str">
        <f t="shared" si="57"/>
        <v/>
      </c>
      <c r="W370" s="9" t="str">
        <f t="shared" si="58"/>
        <v/>
      </c>
      <c r="X370" s="10">
        <f>SUM(V$13:V370)/COUNTA(B$13:B370)</f>
        <v>1.9553072625698324E-2</v>
      </c>
      <c r="Z370" s="5"/>
      <c r="AA370" s="5"/>
      <c r="AC370" s="7"/>
      <c r="AE370" s="54" t="e">
        <f t="shared" si="59"/>
        <v>#N/A</v>
      </c>
      <c r="AF370" s="4" t="e">
        <f t="shared" si="55"/>
        <v>#N/A</v>
      </c>
    </row>
    <row r="371" spans="2:32">
      <c r="B371" s="5">
        <f t="shared" si="60"/>
        <v>359</v>
      </c>
      <c r="C371" s="5"/>
      <c r="E371" s="13"/>
      <c r="F371" s="5"/>
      <c r="G371" s="11">
        <f>IF(ISERROR(AVERAGE(F$13:F371)),"n/a",AVERAGE(F$13:F371))</f>
        <v>117</v>
      </c>
      <c r="H371" s="11">
        <f t="shared" si="56"/>
        <v>117</v>
      </c>
      <c r="J371" s="5"/>
      <c r="K371" s="5"/>
      <c r="L371" s="5"/>
      <c r="M371" s="5"/>
      <c r="N371" s="5"/>
      <c r="O371" s="8" t="str">
        <f t="shared" si="61"/>
        <v>n/a</v>
      </c>
      <c r="Q371" s="5"/>
      <c r="R371" s="5"/>
      <c r="S371" s="5"/>
      <c r="U371" s="6"/>
      <c r="V371" s="9" t="str">
        <f t="shared" si="57"/>
        <v/>
      </c>
      <c r="W371" s="9" t="str">
        <f t="shared" si="58"/>
        <v/>
      </c>
      <c r="X371" s="10">
        <f>SUM(V$13:V371)/COUNTA(B$13:B371)</f>
        <v>1.9498607242339833E-2</v>
      </c>
      <c r="Z371" s="5"/>
      <c r="AA371" s="5"/>
      <c r="AC371" s="7"/>
      <c r="AE371" s="54" t="e">
        <f t="shared" si="59"/>
        <v>#N/A</v>
      </c>
      <c r="AF371" s="4" t="e">
        <f t="shared" si="55"/>
        <v>#N/A</v>
      </c>
    </row>
    <row r="372" spans="2:32">
      <c r="B372" s="5">
        <f t="shared" si="60"/>
        <v>360</v>
      </c>
      <c r="C372" s="5"/>
      <c r="E372" s="13"/>
      <c r="F372" s="5"/>
      <c r="G372" s="11">
        <f>IF(ISERROR(AVERAGE(F$13:F372)),"n/a",AVERAGE(F$13:F372))</f>
        <v>117</v>
      </c>
      <c r="H372" s="11">
        <f t="shared" si="56"/>
        <v>117</v>
      </c>
      <c r="J372" s="5"/>
      <c r="K372" s="5"/>
      <c r="L372" s="5"/>
      <c r="M372" s="5"/>
      <c r="N372" s="5"/>
      <c r="O372" s="8" t="str">
        <f t="shared" si="61"/>
        <v>n/a</v>
      </c>
      <c r="Q372" s="5"/>
      <c r="R372" s="5"/>
      <c r="S372" s="5"/>
      <c r="U372" s="6"/>
      <c r="V372" s="9" t="str">
        <f t="shared" si="57"/>
        <v/>
      </c>
      <c r="W372" s="9" t="str">
        <f t="shared" si="58"/>
        <v/>
      </c>
      <c r="X372" s="10">
        <f>SUM(V$13:V372)/COUNTA(B$13:B372)</f>
        <v>1.9444444444444445E-2</v>
      </c>
      <c r="Z372" s="5"/>
      <c r="AA372" s="5"/>
      <c r="AC372" s="7"/>
      <c r="AE372" s="54" t="e">
        <f t="shared" si="59"/>
        <v>#N/A</v>
      </c>
      <c r="AF372" s="4" t="e">
        <f t="shared" si="55"/>
        <v>#N/A</v>
      </c>
    </row>
    <row r="373" spans="2:32">
      <c r="B373" s="5">
        <f t="shared" si="60"/>
        <v>361</v>
      </c>
      <c r="C373" s="5"/>
      <c r="E373" s="13"/>
      <c r="F373" s="5"/>
      <c r="G373" s="11">
        <f>IF(ISERROR(AVERAGE(F$13:F373)),"n/a",AVERAGE(F$13:F373))</f>
        <v>117</v>
      </c>
      <c r="H373" s="11">
        <f t="shared" si="56"/>
        <v>117</v>
      </c>
      <c r="J373" s="5"/>
      <c r="K373" s="5"/>
      <c r="L373" s="5"/>
      <c r="M373" s="5"/>
      <c r="N373" s="5"/>
      <c r="O373" s="8" t="str">
        <f t="shared" si="61"/>
        <v>n/a</v>
      </c>
      <c r="Q373" s="5"/>
      <c r="R373" s="5"/>
      <c r="S373" s="5"/>
      <c r="U373" s="6"/>
      <c r="V373" s="9" t="str">
        <f t="shared" si="57"/>
        <v/>
      </c>
      <c r="W373" s="9" t="str">
        <f t="shared" si="58"/>
        <v/>
      </c>
      <c r="X373" s="10">
        <f>SUM(V$13:V373)/COUNTA(B$13:B373)</f>
        <v>1.9390581717451522E-2</v>
      </c>
      <c r="Z373" s="5"/>
      <c r="AA373" s="5"/>
      <c r="AC373" s="7"/>
      <c r="AE373" s="54" t="e">
        <f t="shared" si="59"/>
        <v>#N/A</v>
      </c>
      <c r="AF373" s="4" t="e">
        <f t="shared" si="55"/>
        <v>#N/A</v>
      </c>
    </row>
    <row r="374" spans="2:32">
      <c r="B374" s="5">
        <f t="shared" si="60"/>
        <v>362</v>
      </c>
      <c r="C374" s="5"/>
      <c r="E374" s="13"/>
      <c r="F374" s="5"/>
      <c r="G374" s="11">
        <f>IF(ISERROR(AVERAGE(F$13:F374)),"n/a",AVERAGE(F$13:F374))</f>
        <v>117</v>
      </c>
      <c r="H374" s="11">
        <f t="shared" si="56"/>
        <v>117</v>
      </c>
      <c r="J374" s="5"/>
      <c r="K374" s="5"/>
      <c r="L374" s="5"/>
      <c r="M374" s="5"/>
      <c r="N374" s="5"/>
      <c r="O374" s="8" t="str">
        <f t="shared" si="61"/>
        <v>n/a</v>
      </c>
      <c r="Q374" s="5"/>
      <c r="R374" s="5"/>
      <c r="S374" s="5"/>
      <c r="U374" s="6"/>
      <c r="V374" s="9" t="str">
        <f t="shared" si="57"/>
        <v/>
      </c>
      <c r="W374" s="9" t="str">
        <f t="shared" si="58"/>
        <v/>
      </c>
      <c r="X374" s="10">
        <f>SUM(V$13:V374)/COUNTA(B$13:B374)</f>
        <v>1.9337016574585635E-2</v>
      </c>
      <c r="Z374" s="5"/>
      <c r="AA374" s="5"/>
      <c r="AC374" s="7"/>
      <c r="AE374" s="54" t="e">
        <f t="shared" si="59"/>
        <v>#N/A</v>
      </c>
      <c r="AF374" s="4" t="e">
        <f t="shared" si="55"/>
        <v>#N/A</v>
      </c>
    </row>
    <row r="375" spans="2:32">
      <c r="B375" s="5">
        <f t="shared" si="60"/>
        <v>363</v>
      </c>
      <c r="C375" s="5"/>
      <c r="E375" s="13"/>
      <c r="F375" s="5"/>
      <c r="G375" s="11">
        <f>IF(ISERROR(AVERAGE(F$13:F375)),"n/a",AVERAGE(F$13:F375))</f>
        <v>117</v>
      </c>
      <c r="H375" s="11">
        <f t="shared" si="56"/>
        <v>117</v>
      </c>
      <c r="J375" s="5"/>
      <c r="K375" s="5"/>
      <c r="L375" s="5"/>
      <c r="M375" s="5"/>
      <c r="N375" s="5"/>
      <c r="O375" s="8" t="str">
        <f t="shared" si="61"/>
        <v>n/a</v>
      </c>
      <c r="Q375" s="5"/>
      <c r="R375" s="5"/>
      <c r="S375" s="5"/>
      <c r="U375" s="6"/>
      <c r="V375" s="9" t="str">
        <f t="shared" si="57"/>
        <v/>
      </c>
      <c r="W375" s="9" t="str">
        <f t="shared" si="58"/>
        <v/>
      </c>
      <c r="X375" s="10">
        <f>SUM(V$13:V375)/COUNTA(B$13:B375)</f>
        <v>1.928374655647383E-2</v>
      </c>
      <c r="Z375" s="5"/>
      <c r="AA375" s="5"/>
      <c r="AC375" s="7"/>
      <c r="AE375" s="54" t="e">
        <f t="shared" si="59"/>
        <v>#N/A</v>
      </c>
      <c r="AF375" s="4" t="e">
        <f t="shared" si="55"/>
        <v>#N/A</v>
      </c>
    </row>
    <row r="376" spans="2:32">
      <c r="B376" s="5">
        <f t="shared" si="60"/>
        <v>364</v>
      </c>
      <c r="C376" s="5"/>
      <c r="E376" s="13"/>
      <c r="F376" s="5"/>
      <c r="G376" s="11">
        <f>IF(ISERROR(AVERAGE(F$13:F376)),"n/a",AVERAGE(F$13:F376))</f>
        <v>117</v>
      </c>
      <c r="H376" s="11">
        <f t="shared" si="56"/>
        <v>117</v>
      </c>
      <c r="J376" s="5"/>
      <c r="K376" s="5"/>
      <c r="L376" s="5"/>
      <c r="M376" s="5"/>
      <c r="N376" s="5"/>
      <c r="O376" s="8" t="str">
        <f t="shared" si="61"/>
        <v>n/a</v>
      </c>
      <c r="Q376" s="5"/>
      <c r="R376" s="5"/>
      <c r="S376" s="5"/>
      <c r="U376" s="6"/>
      <c r="V376" s="9" t="str">
        <f t="shared" si="57"/>
        <v/>
      </c>
      <c r="W376" s="9" t="str">
        <f t="shared" si="58"/>
        <v/>
      </c>
      <c r="X376" s="10">
        <f>SUM(V$13:V376)/COUNTA(B$13:B376)</f>
        <v>1.9230769230769232E-2</v>
      </c>
      <c r="Z376" s="5"/>
      <c r="AA376" s="5"/>
      <c r="AC376" s="7"/>
      <c r="AE376" s="54" t="e">
        <f t="shared" si="59"/>
        <v>#N/A</v>
      </c>
      <c r="AF376" s="4" t="e">
        <f t="shared" si="55"/>
        <v>#N/A</v>
      </c>
    </row>
    <row r="377" spans="2:32">
      <c r="B377" s="5">
        <f t="shared" si="60"/>
        <v>365</v>
      </c>
      <c r="C377" s="5"/>
      <c r="E377" s="13"/>
      <c r="F377" s="5"/>
      <c r="G377" s="11">
        <f>IF(ISERROR(AVERAGE(F$13:F377)),"n/a",AVERAGE(F$13:F377))</f>
        <v>117</v>
      </c>
      <c r="H377" s="11">
        <f t="shared" si="56"/>
        <v>117</v>
      </c>
      <c r="J377" s="5"/>
      <c r="K377" s="5"/>
      <c r="L377" s="5"/>
      <c r="M377" s="5"/>
      <c r="N377" s="5"/>
      <c r="O377" s="8" t="str">
        <f t="shared" si="61"/>
        <v>n/a</v>
      </c>
      <c r="Q377" s="5"/>
      <c r="R377" s="5"/>
      <c r="S377" s="5"/>
      <c r="U377" s="6"/>
      <c r="V377" s="9" t="str">
        <f t="shared" si="57"/>
        <v/>
      </c>
      <c r="W377" s="9" t="str">
        <f t="shared" si="58"/>
        <v/>
      </c>
      <c r="X377" s="10">
        <f>SUM(V$13:V377)/COUNTA(B$13:B377)</f>
        <v>1.9178082191780823E-2</v>
      </c>
      <c r="Z377" s="5"/>
      <c r="AA377" s="5"/>
      <c r="AC377" s="7"/>
      <c r="AE377" s="54" t="e">
        <f t="shared" si="59"/>
        <v>#N/A</v>
      </c>
      <c r="AF377" s="4" t="e">
        <f t="shared" si="55"/>
        <v>#N/A</v>
      </c>
    </row>
    <row r="378" spans="2:32">
      <c r="B378" s="5">
        <f t="shared" si="60"/>
        <v>366</v>
      </c>
      <c r="C378" s="5"/>
      <c r="E378" s="13"/>
      <c r="F378" s="5"/>
      <c r="G378" s="11">
        <f>IF(ISERROR(AVERAGE(F$13:F378)),"n/a",AVERAGE(F$13:F378))</f>
        <v>117</v>
      </c>
      <c r="H378" s="11">
        <f t="shared" si="56"/>
        <v>117</v>
      </c>
      <c r="J378" s="5"/>
      <c r="K378" s="5"/>
      <c r="L378" s="5"/>
      <c r="M378" s="5"/>
      <c r="N378" s="5"/>
      <c r="O378" s="8" t="str">
        <f t="shared" si="61"/>
        <v>n/a</v>
      </c>
      <c r="Q378" s="5"/>
      <c r="R378" s="5"/>
      <c r="S378" s="5"/>
      <c r="U378" s="6"/>
      <c r="V378" s="9" t="str">
        <f t="shared" si="57"/>
        <v/>
      </c>
      <c r="W378" s="9" t="str">
        <f t="shared" si="58"/>
        <v/>
      </c>
      <c r="X378" s="10">
        <f>SUM(V$13:V378)/COUNTA(B$13:B378)</f>
        <v>1.912568306010929E-2</v>
      </c>
      <c r="Z378" s="5"/>
      <c r="AA378" s="5"/>
      <c r="AC378" s="7"/>
      <c r="AE378" s="54" t="e">
        <f t="shared" si="59"/>
        <v>#N/A</v>
      </c>
      <c r="AF378" s="4" t="e">
        <f t="shared" si="55"/>
        <v>#N/A</v>
      </c>
    </row>
    <row r="379" spans="2:32">
      <c r="B379" s="5">
        <f t="shared" si="60"/>
        <v>367</v>
      </c>
      <c r="C379" s="5"/>
      <c r="E379" s="13"/>
      <c r="F379" s="5"/>
      <c r="G379" s="11">
        <f>IF(ISERROR(AVERAGE(F$13:F379)),"n/a",AVERAGE(F$13:F379))</f>
        <v>117</v>
      </c>
      <c r="H379" s="11">
        <f t="shared" si="56"/>
        <v>117</v>
      </c>
      <c r="J379" s="5"/>
      <c r="K379" s="5"/>
      <c r="L379" s="5"/>
      <c r="M379" s="5"/>
      <c r="N379" s="5"/>
      <c r="O379" s="8" t="str">
        <f t="shared" si="61"/>
        <v>n/a</v>
      </c>
      <c r="Q379" s="5"/>
      <c r="R379" s="5"/>
      <c r="S379" s="5"/>
      <c r="U379" s="6"/>
      <c r="V379" s="9" t="str">
        <f t="shared" si="57"/>
        <v/>
      </c>
      <c r="W379" s="9" t="str">
        <f t="shared" si="58"/>
        <v/>
      </c>
      <c r="X379" s="10">
        <f>SUM(V$13:V379)/COUNTA(B$13:B379)</f>
        <v>1.9073569482288829E-2</v>
      </c>
      <c r="Z379" s="5"/>
      <c r="AA379" s="5"/>
      <c r="AC379" s="7"/>
      <c r="AE379" s="54" t="e">
        <f t="shared" si="59"/>
        <v>#N/A</v>
      </c>
      <c r="AF379" s="4" t="e">
        <f t="shared" si="55"/>
        <v>#N/A</v>
      </c>
    </row>
    <row r="380" spans="2:32">
      <c r="B380" s="5">
        <f t="shared" si="60"/>
        <v>368</v>
      </c>
      <c r="C380" s="5"/>
      <c r="E380" s="13"/>
      <c r="F380" s="5"/>
      <c r="G380" s="11">
        <f>IF(ISERROR(AVERAGE(F$13:F380)),"n/a",AVERAGE(F$13:F380))</f>
        <v>117</v>
      </c>
      <c r="H380" s="11">
        <f t="shared" si="56"/>
        <v>117</v>
      </c>
      <c r="J380" s="5"/>
      <c r="K380" s="5"/>
      <c r="L380" s="5"/>
      <c r="M380" s="5"/>
      <c r="N380" s="5"/>
      <c r="O380" s="8" t="str">
        <f t="shared" si="61"/>
        <v>n/a</v>
      </c>
      <c r="Q380" s="5"/>
      <c r="R380" s="5"/>
      <c r="S380" s="5"/>
      <c r="U380" s="6"/>
      <c r="V380" s="9" t="str">
        <f t="shared" si="57"/>
        <v/>
      </c>
      <c r="W380" s="9" t="str">
        <f t="shared" si="58"/>
        <v/>
      </c>
      <c r="X380" s="10">
        <f>SUM(V$13:V380)/COUNTA(B$13:B380)</f>
        <v>1.9021739130434784E-2</v>
      </c>
      <c r="Z380" s="5"/>
      <c r="AA380" s="5"/>
      <c r="AC380" s="7"/>
      <c r="AE380" s="54" t="e">
        <f t="shared" si="59"/>
        <v>#N/A</v>
      </c>
      <c r="AF380" s="4" t="e">
        <f t="shared" si="55"/>
        <v>#N/A</v>
      </c>
    </row>
    <row r="381" spans="2:32">
      <c r="B381" s="5">
        <f t="shared" si="60"/>
        <v>369</v>
      </c>
      <c r="C381" s="5"/>
      <c r="E381" s="13"/>
      <c r="F381" s="5"/>
      <c r="G381" s="11">
        <f>IF(ISERROR(AVERAGE(F$13:F381)),"n/a",AVERAGE(F$13:F381))</f>
        <v>117</v>
      </c>
      <c r="H381" s="11">
        <f t="shared" si="56"/>
        <v>117</v>
      </c>
      <c r="J381" s="5"/>
      <c r="K381" s="5"/>
      <c r="L381" s="5"/>
      <c r="M381" s="5"/>
      <c r="N381" s="5"/>
      <c r="O381" s="8" t="str">
        <f t="shared" si="61"/>
        <v>n/a</v>
      </c>
      <c r="Q381" s="5"/>
      <c r="R381" s="5"/>
      <c r="S381" s="5"/>
      <c r="U381" s="6"/>
      <c r="V381" s="9" t="str">
        <f t="shared" si="57"/>
        <v/>
      </c>
      <c r="W381" s="9" t="str">
        <f t="shared" si="58"/>
        <v/>
      </c>
      <c r="X381" s="10">
        <f>SUM(V$13:V381)/COUNTA(B$13:B381)</f>
        <v>1.8970189701897018E-2</v>
      </c>
      <c r="Z381" s="5"/>
      <c r="AA381" s="5"/>
      <c r="AC381" s="7"/>
      <c r="AE381" s="54" t="e">
        <f t="shared" si="59"/>
        <v>#N/A</v>
      </c>
      <c r="AF381" s="4" t="e">
        <f t="shared" si="55"/>
        <v>#N/A</v>
      </c>
    </row>
    <row r="382" spans="2:32">
      <c r="B382" s="5">
        <f t="shared" si="60"/>
        <v>370</v>
      </c>
      <c r="C382" s="5"/>
      <c r="E382" s="13"/>
      <c r="F382" s="5"/>
      <c r="G382" s="11">
        <f>IF(ISERROR(AVERAGE(F$13:F382)),"n/a",AVERAGE(F$13:F382))</f>
        <v>117</v>
      </c>
      <c r="H382" s="11">
        <f t="shared" si="56"/>
        <v>117</v>
      </c>
      <c r="J382" s="5"/>
      <c r="K382" s="5"/>
      <c r="L382" s="5"/>
      <c r="M382" s="5"/>
      <c r="N382" s="5"/>
      <c r="O382" s="8" t="str">
        <f t="shared" si="61"/>
        <v>n/a</v>
      </c>
      <c r="Q382" s="5"/>
      <c r="R382" s="5"/>
      <c r="S382" s="5"/>
      <c r="U382" s="6"/>
      <c r="V382" s="9" t="str">
        <f t="shared" si="57"/>
        <v/>
      </c>
      <c r="W382" s="9" t="str">
        <f t="shared" si="58"/>
        <v/>
      </c>
      <c r="X382" s="10">
        <f>SUM(V$13:V382)/COUNTA(B$13:B382)</f>
        <v>1.891891891891892E-2</v>
      </c>
      <c r="Z382" s="5"/>
      <c r="AA382" s="5"/>
      <c r="AC382" s="7"/>
      <c r="AE382" s="54" t="e">
        <f t="shared" si="59"/>
        <v>#N/A</v>
      </c>
      <c r="AF382" s="4" t="e">
        <f t="shared" si="55"/>
        <v>#N/A</v>
      </c>
    </row>
    <row r="383" spans="2:32">
      <c r="B383" s="5">
        <f t="shared" si="60"/>
        <v>371</v>
      </c>
      <c r="C383" s="5"/>
      <c r="E383" s="13"/>
      <c r="F383" s="5"/>
      <c r="G383" s="11">
        <f>IF(ISERROR(AVERAGE(F$13:F383)),"n/a",AVERAGE(F$13:F383))</f>
        <v>117</v>
      </c>
      <c r="H383" s="11">
        <f t="shared" si="56"/>
        <v>117</v>
      </c>
      <c r="J383" s="5"/>
      <c r="K383" s="5"/>
      <c r="L383" s="5"/>
      <c r="M383" s="5"/>
      <c r="N383" s="5"/>
      <c r="O383" s="8" t="str">
        <f t="shared" si="61"/>
        <v>n/a</v>
      </c>
      <c r="Q383" s="5"/>
      <c r="R383" s="5"/>
      <c r="S383" s="5"/>
      <c r="U383" s="6"/>
      <c r="V383" s="9" t="str">
        <f t="shared" si="57"/>
        <v/>
      </c>
      <c r="W383" s="9" t="str">
        <f t="shared" si="58"/>
        <v/>
      </c>
      <c r="X383" s="10">
        <f>SUM(V$13:V383)/COUNTA(B$13:B383)</f>
        <v>1.8867924528301886E-2</v>
      </c>
      <c r="Z383" s="5"/>
      <c r="AA383" s="5"/>
      <c r="AC383" s="7"/>
      <c r="AE383" s="54" t="e">
        <f t="shared" si="59"/>
        <v>#N/A</v>
      </c>
      <c r="AF383" s="4" t="e">
        <f t="shared" si="55"/>
        <v>#N/A</v>
      </c>
    </row>
    <row r="384" spans="2:32">
      <c r="B384" s="5">
        <f t="shared" si="60"/>
        <v>372</v>
      </c>
      <c r="C384" s="5"/>
      <c r="E384" s="13"/>
      <c r="F384" s="5"/>
      <c r="G384" s="11">
        <f>IF(ISERROR(AVERAGE(F$13:F384)),"n/a",AVERAGE(F$13:F384))</f>
        <v>117</v>
      </c>
      <c r="H384" s="11">
        <f t="shared" si="56"/>
        <v>117</v>
      </c>
      <c r="J384" s="5"/>
      <c r="K384" s="5"/>
      <c r="L384" s="5"/>
      <c r="M384" s="5"/>
      <c r="N384" s="5"/>
      <c r="O384" s="8" t="str">
        <f t="shared" si="61"/>
        <v>n/a</v>
      </c>
      <c r="Q384" s="5"/>
      <c r="R384" s="5"/>
      <c r="S384" s="5"/>
      <c r="U384" s="6"/>
      <c r="V384" s="9" t="str">
        <f t="shared" si="57"/>
        <v/>
      </c>
      <c r="W384" s="9" t="str">
        <f t="shared" si="58"/>
        <v/>
      </c>
      <c r="X384" s="10">
        <f>SUM(V$13:V384)/COUNTA(B$13:B384)</f>
        <v>1.8817204301075269E-2</v>
      </c>
      <c r="Z384" s="5"/>
      <c r="AA384" s="5"/>
      <c r="AC384" s="7"/>
      <c r="AE384" s="54" t="e">
        <f t="shared" si="59"/>
        <v>#N/A</v>
      </c>
      <c r="AF384" s="4" t="e">
        <f t="shared" si="55"/>
        <v>#N/A</v>
      </c>
    </row>
    <row r="385" spans="2:32">
      <c r="B385" s="5">
        <f t="shared" si="60"/>
        <v>373</v>
      </c>
      <c r="C385" s="5"/>
      <c r="E385" s="13"/>
      <c r="F385" s="5"/>
      <c r="G385" s="11">
        <f>IF(ISERROR(AVERAGE(F$13:F385)),"n/a",AVERAGE(F$13:F385))</f>
        <v>117</v>
      </c>
      <c r="H385" s="11">
        <f t="shared" si="56"/>
        <v>117</v>
      </c>
      <c r="J385" s="5"/>
      <c r="K385" s="5"/>
      <c r="L385" s="5"/>
      <c r="M385" s="5"/>
      <c r="N385" s="5"/>
      <c r="O385" s="8" t="str">
        <f t="shared" si="61"/>
        <v>n/a</v>
      </c>
      <c r="Q385" s="5"/>
      <c r="R385" s="5"/>
      <c r="S385" s="5"/>
      <c r="U385" s="6"/>
      <c r="V385" s="9" t="str">
        <f t="shared" si="57"/>
        <v/>
      </c>
      <c r="W385" s="9" t="str">
        <f t="shared" si="58"/>
        <v/>
      </c>
      <c r="X385" s="10">
        <f>SUM(V$13:V385)/COUNTA(B$13:B385)</f>
        <v>1.876675603217158E-2</v>
      </c>
      <c r="Z385" s="5"/>
      <c r="AA385" s="5"/>
      <c r="AC385" s="7"/>
      <c r="AE385" s="54" t="e">
        <f t="shared" si="59"/>
        <v>#N/A</v>
      </c>
      <c r="AF385" s="4" t="e">
        <f t="shared" si="55"/>
        <v>#N/A</v>
      </c>
    </row>
    <row r="386" spans="2:32">
      <c r="B386" s="5">
        <f t="shared" si="60"/>
        <v>374</v>
      </c>
      <c r="C386" s="5"/>
      <c r="E386" s="13"/>
      <c r="F386" s="5"/>
      <c r="G386" s="11">
        <f>IF(ISERROR(AVERAGE(F$13:F386)),"n/a",AVERAGE(F$13:F386))</f>
        <v>117</v>
      </c>
      <c r="H386" s="11">
        <f t="shared" si="56"/>
        <v>117</v>
      </c>
      <c r="J386" s="5"/>
      <c r="K386" s="5"/>
      <c r="L386" s="5"/>
      <c r="M386" s="5"/>
      <c r="N386" s="5"/>
      <c r="O386" s="8" t="str">
        <f t="shared" si="61"/>
        <v>n/a</v>
      </c>
      <c r="Q386" s="5"/>
      <c r="R386" s="5"/>
      <c r="S386" s="5"/>
      <c r="U386" s="6"/>
      <c r="V386" s="9" t="str">
        <f t="shared" si="57"/>
        <v/>
      </c>
      <c r="W386" s="9" t="str">
        <f t="shared" si="58"/>
        <v/>
      </c>
      <c r="X386" s="10">
        <f>SUM(V$13:V386)/COUNTA(B$13:B386)</f>
        <v>1.871657754010695E-2</v>
      </c>
      <c r="Z386" s="5"/>
      <c r="AA386" s="5"/>
      <c r="AC386" s="7"/>
      <c r="AE386" s="54" t="e">
        <f t="shared" si="59"/>
        <v>#N/A</v>
      </c>
      <c r="AF386" s="4" t="e">
        <f t="shared" si="55"/>
        <v>#N/A</v>
      </c>
    </row>
    <row r="387" spans="2:32">
      <c r="B387" s="5">
        <f t="shared" si="60"/>
        <v>375</v>
      </c>
      <c r="C387" s="5"/>
      <c r="E387" s="13"/>
      <c r="F387" s="5"/>
      <c r="G387" s="11">
        <f>IF(ISERROR(AVERAGE(F$13:F387)),"n/a",AVERAGE(F$13:F387))</f>
        <v>117</v>
      </c>
      <c r="H387" s="11">
        <f t="shared" si="56"/>
        <v>117</v>
      </c>
      <c r="J387" s="5"/>
      <c r="K387" s="5"/>
      <c r="L387" s="5"/>
      <c r="M387" s="5"/>
      <c r="N387" s="5"/>
      <c r="O387" s="8" t="str">
        <f t="shared" si="61"/>
        <v>n/a</v>
      </c>
      <c r="Q387" s="5"/>
      <c r="R387" s="5"/>
      <c r="S387" s="5"/>
      <c r="U387" s="6"/>
      <c r="V387" s="9" t="str">
        <f t="shared" si="57"/>
        <v/>
      </c>
      <c r="W387" s="9" t="str">
        <f t="shared" si="58"/>
        <v/>
      </c>
      <c r="X387" s="10">
        <f>SUM(V$13:V387)/COUNTA(B$13:B387)</f>
        <v>1.8666666666666668E-2</v>
      </c>
      <c r="Z387" s="5"/>
      <c r="AA387" s="5"/>
      <c r="AC387" s="7"/>
      <c r="AE387" s="54" t="e">
        <f t="shared" si="59"/>
        <v>#N/A</v>
      </c>
      <c r="AF387" s="4" t="e">
        <f t="shared" si="55"/>
        <v>#N/A</v>
      </c>
    </row>
    <row r="388" spans="2:32">
      <c r="B388" s="5">
        <f t="shared" si="60"/>
        <v>376</v>
      </c>
      <c r="C388" s="5"/>
      <c r="E388" s="13"/>
      <c r="F388" s="5"/>
      <c r="G388" s="11">
        <f>IF(ISERROR(AVERAGE(F$13:F388)),"n/a",AVERAGE(F$13:F388))</f>
        <v>117</v>
      </c>
      <c r="H388" s="11">
        <f t="shared" si="56"/>
        <v>117</v>
      </c>
      <c r="J388" s="5"/>
      <c r="K388" s="5"/>
      <c r="L388" s="5"/>
      <c r="M388" s="5"/>
      <c r="N388" s="5"/>
      <c r="O388" s="8" t="str">
        <f t="shared" si="61"/>
        <v>n/a</v>
      </c>
      <c r="Q388" s="5"/>
      <c r="R388" s="5"/>
      <c r="S388" s="5"/>
      <c r="U388" s="6"/>
      <c r="V388" s="9" t="str">
        <f t="shared" si="57"/>
        <v/>
      </c>
      <c r="W388" s="9" t="str">
        <f t="shared" si="58"/>
        <v/>
      </c>
      <c r="X388" s="10">
        <f>SUM(V$13:V388)/COUNTA(B$13:B388)</f>
        <v>1.8617021276595744E-2</v>
      </c>
      <c r="Z388" s="5"/>
      <c r="AA388" s="5"/>
      <c r="AC388" s="7"/>
      <c r="AE388" s="54" t="e">
        <f t="shared" si="59"/>
        <v>#N/A</v>
      </c>
      <c r="AF388" s="4" t="e">
        <f t="shared" si="55"/>
        <v>#N/A</v>
      </c>
    </row>
    <row r="389" spans="2:32">
      <c r="B389" s="5">
        <f t="shared" si="60"/>
        <v>377</v>
      </c>
      <c r="C389" s="5"/>
      <c r="E389" s="13"/>
      <c r="F389" s="5"/>
      <c r="G389" s="11">
        <f>IF(ISERROR(AVERAGE(F$13:F389)),"n/a",AVERAGE(F$13:F389))</f>
        <v>117</v>
      </c>
      <c r="H389" s="11">
        <f t="shared" si="56"/>
        <v>117</v>
      </c>
      <c r="J389" s="5"/>
      <c r="K389" s="5"/>
      <c r="L389" s="5"/>
      <c r="M389" s="5"/>
      <c r="N389" s="5"/>
      <c r="O389" s="8" t="str">
        <f t="shared" si="61"/>
        <v>n/a</v>
      </c>
      <c r="Q389" s="5"/>
      <c r="R389" s="5"/>
      <c r="S389" s="5"/>
      <c r="U389" s="6"/>
      <c r="V389" s="9" t="str">
        <f t="shared" si="57"/>
        <v/>
      </c>
      <c r="W389" s="9" t="str">
        <f t="shared" si="58"/>
        <v/>
      </c>
      <c r="X389" s="10">
        <f>SUM(V$13:V389)/COUNTA(B$13:B389)</f>
        <v>1.8567639257294429E-2</v>
      </c>
      <c r="Z389" s="5"/>
      <c r="AA389" s="5"/>
      <c r="AC389" s="7"/>
      <c r="AE389" s="54" t="e">
        <f t="shared" si="59"/>
        <v>#N/A</v>
      </c>
      <c r="AF389" s="4" t="e">
        <f t="shared" si="55"/>
        <v>#N/A</v>
      </c>
    </row>
    <row r="390" spans="2:32">
      <c r="B390" s="5">
        <f t="shared" si="60"/>
        <v>378</v>
      </c>
      <c r="C390" s="5"/>
      <c r="E390" s="13"/>
      <c r="F390" s="5"/>
      <c r="G390" s="11">
        <f>IF(ISERROR(AVERAGE(F$13:F390)),"n/a",AVERAGE(F$13:F390))</f>
        <v>117</v>
      </c>
      <c r="H390" s="11">
        <f t="shared" si="56"/>
        <v>117</v>
      </c>
      <c r="J390" s="5"/>
      <c r="K390" s="5"/>
      <c r="L390" s="5"/>
      <c r="M390" s="5"/>
      <c r="N390" s="5"/>
      <c r="O390" s="8" t="str">
        <f t="shared" si="61"/>
        <v>n/a</v>
      </c>
      <c r="Q390" s="5"/>
      <c r="R390" s="5"/>
      <c r="S390" s="5"/>
      <c r="U390" s="6"/>
      <c r="V390" s="9" t="str">
        <f t="shared" si="57"/>
        <v/>
      </c>
      <c r="W390" s="9" t="str">
        <f t="shared" si="58"/>
        <v/>
      </c>
      <c r="X390" s="10">
        <f>SUM(V$13:V390)/COUNTA(B$13:B390)</f>
        <v>1.8518518518518517E-2</v>
      </c>
      <c r="Z390" s="5"/>
      <c r="AA390" s="5"/>
      <c r="AC390" s="7"/>
      <c r="AE390" s="54" t="e">
        <f t="shared" si="59"/>
        <v>#N/A</v>
      </c>
      <c r="AF390" s="4" t="e">
        <f t="shared" si="55"/>
        <v>#N/A</v>
      </c>
    </row>
    <row r="391" spans="2:32">
      <c r="B391" s="5">
        <f t="shared" si="60"/>
        <v>379</v>
      </c>
      <c r="C391" s="5"/>
      <c r="E391" s="13"/>
      <c r="F391" s="5"/>
      <c r="G391" s="11">
        <f>IF(ISERROR(AVERAGE(F$13:F391)),"n/a",AVERAGE(F$13:F391))</f>
        <v>117</v>
      </c>
      <c r="H391" s="11">
        <f t="shared" si="56"/>
        <v>117</v>
      </c>
      <c r="J391" s="5"/>
      <c r="K391" s="5"/>
      <c r="L391" s="5"/>
      <c r="M391" s="5"/>
      <c r="N391" s="5"/>
      <c r="O391" s="8" t="str">
        <f t="shared" si="61"/>
        <v>n/a</v>
      </c>
      <c r="Q391" s="5"/>
      <c r="R391" s="5"/>
      <c r="S391" s="5"/>
      <c r="U391" s="6"/>
      <c r="V391" s="9" t="str">
        <f t="shared" si="57"/>
        <v/>
      </c>
      <c r="W391" s="9" t="str">
        <f t="shared" si="58"/>
        <v/>
      </c>
      <c r="X391" s="10">
        <f>SUM(V$13:V391)/COUNTA(B$13:B391)</f>
        <v>1.8469656992084433E-2</v>
      </c>
      <c r="Z391" s="5"/>
      <c r="AA391" s="5"/>
      <c r="AC391" s="7"/>
      <c r="AE391" s="54" t="e">
        <f t="shared" si="59"/>
        <v>#N/A</v>
      </c>
      <c r="AF391" s="4" t="e">
        <f t="shared" si="55"/>
        <v>#N/A</v>
      </c>
    </row>
    <row r="392" spans="2:32">
      <c r="B392" s="5">
        <f t="shared" si="60"/>
        <v>380</v>
      </c>
      <c r="C392" s="5"/>
      <c r="E392" s="13"/>
      <c r="F392" s="5"/>
      <c r="G392" s="11">
        <f>IF(ISERROR(AVERAGE(F$13:F392)),"n/a",AVERAGE(F$13:F392))</f>
        <v>117</v>
      </c>
      <c r="H392" s="11">
        <f t="shared" si="56"/>
        <v>117</v>
      </c>
      <c r="J392" s="5"/>
      <c r="K392" s="5"/>
      <c r="L392" s="5"/>
      <c r="M392" s="5"/>
      <c r="N392" s="5"/>
      <c r="O392" s="8" t="str">
        <f t="shared" si="61"/>
        <v>n/a</v>
      </c>
      <c r="Q392" s="5"/>
      <c r="R392" s="5"/>
      <c r="S392" s="5"/>
      <c r="U392" s="6"/>
      <c r="V392" s="9" t="str">
        <f t="shared" si="57"/>
        <v/>
      </c>
      <c r="W392" s="9" t="str">
        <f t="shared" si="58"/>
        <v/>
      </c>
      <c r="X392" s="10">
        <f>SUM(V$13:V392)/COUNTA(B$13:B392)</f>
        <v>1.8421052631578946E-2</v>
      </c>
      <c r="Z392" s="5"/>
      <c r="AA392" s="5"/>
      <c r="AC392" s="7"/>
      <c r="AE392" s="54" t="e">
        <f t="shared" si="59"/>
        <v>#N/A</v>
      </c>
      <c r="AF392" s="4" t="e">
        <f t="shared" si="55"/>
        <v>#N/A</v>
      </c>
    </row>
    <row r="393" spans="2:32">
      <c r="B393" s="5">
        <f t="shared" si="60"/>
        <v>381</v>
      </c>
      <c r="C393" s="5"/>
      <c r="E393" s="13"/>
      <c r="F393" s="5"/>
      <c r="G393" s="11">
        <f>IF(ISERROR(AVERAGE(F$13:F393)),"n/a",AVERAGE(F$13:F393))</f>
        <v>117</v>
      </c>
      <c r="H393" s="11">
        <f t="shared" si="56"/>
        <v>117</v>
      </c>
      <c r="J393" s="5"/>
      <c r="K393" s="5"/>
      <c r="L393" s="5"/>
      <c r="M393" s="5"/>
      <c r="N393" s="5"/>
      <c r="O393" s="8" t="str">
        <f t="shared" si="61"/>
        <v>n/a</v>
      </c>
      <c r="Q393" s="5"/>
      <c r="R393" s="5"/>
      <c r="S393" s="5"/>
      <c r="U393" s="6"/>
      <c r="V393" s="9" t="str">
        <f t="shared" si="57"/>
        <v/>
      </c>
      <c r="W393" s="9" t="str">
        <f t="shared" si="58"/>
        <v/>
      </c>
      <c r="X393" s="10">
        <f>SUM(V$13:V393)/COUNTA(B$13:B393)</f>
        <v>1.8372703412073491E-2</v>
      </c>
      <c r="Z393" s="5"/>
      <c r="AA393" s="5"/>
      <c r="AC393" s="7"/>
      <c r="AE393" s="54" t="e">
        <f t="shared" si="59"/>
        <v>#N/A</v>
      </c>
      <c r="AF393" s="4" t="e">
        <f t="shared" si="55"/>
        <v>#N/A</v>
      </c>
    </row>
    <row r="394" spans="2:32">
      <c r="B394" s="5">
        <f t="shared" si="60"/>
        <v>382</v>
      </c>
      <c r="C394" s="5"/>
      <c r="E394" s="13"/>
      <c r="F394" s="5"/>
      <c r="G394" s="11">
        <f>IF(ISERROR(AVERAGE(F$13:F394)),"n/a",AVERAGE(F$13:F394))</f>
        <v>117</v>
      </c>
      <c r="H394" s="11">
        <f t="shared" si="56"/>
        <v>117</v>
      </c>
      <c r="J394" s="5"/>
      <c r="K394" s="5"/>
      <c r="L394" s="5"/>
      <c r="M394" s="5"/>
      <c r="N394" s="5"/>
      <c r="O394" s="8" t="str">
        <f t="shared" si="61"/>
        <v>n/a</v>
      </c>
      <c r="Q394" s="5"/>
      <c r="R394" s="5"/>
      <c r="S394" s="5"/>
      <c r="U394" s="6"/>
      <c r="V394" s="9" t="str">
        <f t="shared" si="57"/>
        <v/>
      </c>
      <c r="W394" s="9" t="str">
        <f t="shared" si="58"/>
        <v/>
      </c>
      <c r="X394" s="10">
        <f>SUM(V$13:V394)/COUNTA(B$13:B394)</f>
        <v>1.832460732984293E-2</v>
      </c>
      <c r="Z394" s="5"/>
      <c r="AA394" s="5"/>
      <c r="AC394" s="7"/>
      <c r="AE394" s="54" t="e">
        <f t="shared" si="59"/>
        <v>#N/A</v>
      </c>
      <c r="AF394" s="4" t="e">
        <f t="shared" si="55"/>
        <v>#N/A</v>
      </c>
    </row>
    <row r="395" spans="2:32">
      <c r="B395" s="5">
        <f t="shared" si="60"/>
        <v>383</v>
      </c>
      <c r="C395" s="5"/>
      <c r="E395" s="13"/>
      <c r="F395" s="5"/>
      <c r="G395" s="11">
        <f>IF(ISERROR(AVERAGE(F$13:F395)),"n/a",AVERAGE(F$13:F395))</f>
        <v>117</v>
      </c>
      <c r="H395" s="11">
        <f t="shared" si="56"/>
        <v>117</v>
      </c>
      <c r="J395" s="5"/>
      <c r="K395" s="5"/>
      <c r="L395" s="5"/>
      <c r="M395" s="5"/>
      <c r="N395" s="5"/>
      <c r="O395" s="8" t="str">
        <f t="shared" si="61"/>
        <v>n/a</v>
      </c>
      <c r="Q395" s="5"/>
      <c r="R395" s="5"/>
      <c r="S395" s="5"/>
      <c r="U395" s="6"/>
      <c r="V395" s="9" t="str">
        <f t="shared" si="57"/>
        <v/>
      </c>
      <c r="W395" s="9" t="str">
        <f t="shared" si="58"/>
        <v/>
      </c>
      <c r="X395" s="10">
        <f>SUM(V$13:V395)/COUNTA(B$13:B395)</f>
        <v>1.8276762402088774E-2</v>
      </c>
      <c r="Z395" s="5"/>
      <c r="AA395" s="5"/>
      <c r="AC395" s="7"/>
      <c r="AE395" s="54" t="e">
        <f t="shared" si="59"/>
        <v>#N/A</v>
      </c>
      <c r="AF395" s="4" t="e">
        <f t="shared" si="55"/>
        <v>#N/A</v>
      </c>
    </row>
    <row r="396" spans="2:32">
      <c r="B396" s="5">
        <f t="shared" si="60"/>
        <v>384</v>
      </c>
      <c r="C396" s="5"/>
      <c r="E396" s="13"/>
      <c r="F396" s="5"/>
      <c r="G396" s="11">
        <f>IF(ISERROR(AVERAGE(F$13:F396)),"n/a",AVERAGE(F$13:F396))</f>
        <v>117</v>
      </c>
      <c r="H396" s="11">
        <f t="shared" si="56"/>
        <v>117</v>
      </c>
      <c r="J396" s="5"/>
      <c r="K396" s="5"/>
      <c r="L396" s="5"/>
      <c r="M396" s="5"/>
      <c r="N396" s="5"/>
      <c r="O396" s="8" t="str">
        <f t="shared" si="61"/>
        <v>n/a</v>
      </c>
      <c r="Q396" s="5"/>
      <c r="R396" s="5"/>
      <c r="S396" s="5"/>
      <c r="U396" s="6"/>
      <c r="V396" s="9" t="str">
        <f t="shared" si="57"/>
        <v/>
      </c>
      <c r="W396" s="9" t="str">
        <f t="shared" si="58"/>
        <v/>
      </c>
      <c r="X396" s="10">
        <f>SUM(V$13:V396)/COUNTA(B$13:B396)</f>
        <v>1.8229166666666668E-2</v>
      </c>
      <c r="Z396" s="5"/>
      <c r="AA396" s="5"/>
      <c r="AC396" s="7"/>
      <c r="AE396" s="54" t="e">
        <f t="shared" si="59"/>
        <v>#N/A</v>
      </c>
      <c r="AF396" s="4" t="e">
        <f t="shared" si="55"/>
        <v>#N/A</v>
      </c>
    </row>
    <row r="397" spans="2:32">
      <c r="B397" s="5">
        <f t="shared" si="60"/>
        <v>385</v>
      </c>
      <c r="C397" s="5"/>
      <c r="E397" s="13"/>
      <c r="F397" s="5"/>
      <c r="G397" s="11">
        <f>IF(ISERROR(AVERAGE(F$13:F397)),"n/a",AVERAGE(F$13:F397))</f>
        <v>117</v>
      </c>
      <c r="H397" s="11">
        <f t="shared" si="56"/>
        <v>117</v>
      </c>
      <c r="J397" s="5"/>
      <c r="K397" s="5"/>
      <c r="L397" s="5"/>
      <c r="M397" s="5"/>
      <c r="N397" s="5"/>
      <c r="O397" s="8" t="str">
        <f t="shared" si="61"/>
        <v>n/a</v>
      </c>
      <c r="Q397" s="5"/>
      <c r="R397" s="5"/>
      <c r="S397" s="5"/>
      <c r="U397" s="6"/>
      <c r="V397" s="9" t="str">
        <f t="shared" si="57"/>
        <v/>
      </c>
      <c r="W397" s="9" t="str">
        <f t="shared" si="58"/>
        <v/>
      </c>
      <c r="X397" s="10">
        <f>SUM(V$13:V397)/COUNTA(B$13:B397)</f>
        <v>1.8181818181818181E-2</v>
      </c>
      <c r="Z397" s="5"/>
      <c r="AA397" s="5"/>
      <c r="AC397" s="7"/>
      <c r="AE397" s="54" t="e">
        <f t="shared" si="59"/>
        <v>#N/A</v>
      </c>
      <c r="AF397" s="4" t="e">
        <f t="shared" ref="AF397:AF460" si="62">HLOOKUP(C397,$K$6:$O$7,2,FALSE)</f>
        <v>#N/A</v>
      </c>
    </row>
    <row r="398" spans="2:32">
      <c r="B398" s="5">
        <f t="shared" si="60"/>
        <v>386</v>
      </c>
      <c r="C398" s="5"/>
      <c r="E398" s="13"/>
      <c r="F398" s="5"/>
      <c r="G398" s="11">
        <f>IF(ISERROR(AVERAGE(F$13:F398)),"n/a",AVERAGE(F$13:F398))</f>
        <v>117</v>
      </c>
      <c r="H398" s="11">
        <f t="shared" ref="H398:H461" si="63">G398</f>
        <v>117</v>
      </c>
      <c r="J398" s="5"/>
      <c r="K398" s="5"/>
      <c r="L398" s="5"/>
      <c r="M398" s="5"/>
      <c r="N398" s="5"/>
      <c r="O398" s="8" t="str">
        <f t="shared" si="61"/>
        <v>n/a</v>
      </c>
      <c r="Q398" s="5"/>
      <c r="R398" s="5"/>
      <c r="S398" s="5"/>
      <c r="U398" s="6"/>
      <c r="V398" s="9" t="str">
        <f t="shared" ref="V398:V461" si="64">IF(O398="n/a","",IF(O398=U398,1,""))</f>
        <v/>
      </c>
      <c r="W398" s="9" t="str">
        <f t="shared" ref="W398:W461" si="65">IF(O398="n/a","",IF(O398&lt;&gt;U398,1,""))</f>
        <v/>
      </c>
      <c r="X398" s="10">
        <f>SUM(V$13:V398)/COUNTA(B$13:B398)</f>
        <v>1.8134715025906734E-2</v>
      </c>
      <c r="Z398" s="5"/>
      <c r="AA398" s="5"/>
      <c r="AC398" s="7"/>
      <c r="AE398" s="54" t="e">
        <f t="shared" ref="AE398:AE461" si="66">+IF($F$4=0,0,IF(W398=1,1,IF(OR(R398*$F$8=1,S398*$F$9=1,F398&gt;=AF398),2,0)))</f>
        <v>#N/A</v>
      </c>
      <c r="AF398" s="4" t="e">
        <f t="shared" si="62"/>
        <v>#N/A</v>
      </c>
    </row>
    <row r="399" spans="2:32">
      <c r="B399" s="5">
        <f t="shared" si="60"/>
        <v>387</v>
      </c>
      <c r="C399" s="5"/>
      <c r="E399" s="13"/>
      <c r="F399" s="5"/>
      <c r="G399" s="11">
        <f>IF(ISERROR(AVERAGE(F$13:F399)),"n/a",AVERAGE(F$13:F399))</f>
        <v>117</v>
      </c>
      <c r="H399" s="11">
        <f t="shared" si="63"/>
        <v>117</v>
      </c>
      <c r="J399" s="5"/>
      <c r="K399" s="5"/>
      <c r="L399" s="5"/>
      <c r="M399" s="5"/>
      <c r="N399" s="5"/>
      <c r="O399" s="8" t="str">
        <f t="shared" si="61"/>
        <v>n/a</v>
      </c>
      <c r="Q399" s="5"/>
      <c r="R399" s="5"/>
      <c r="S399" s="5"/>
      <c r="U399" s="6"/>
      <c r="V399" s="9" t="str">
        <f t="shared" si="64"/>
        <v/>
      </c>
      <c r="W399" s="9" t="str">
        <f t="shared" si="65"/>
        <v/>
      </c>
      <c r="X399" s="10">
        <f>SUM(V$13:V399)/COUNTA(B$13:B399)</f>
        <v>1.8087855297157621E-2</v>
      </c>
      <c r="Z399" s="5"/>
      <c r="AA399" s="5"/>
      <c r="AC399" s="7"/>
      <c r="AE399" s="54" t="e">
        <f t="shared" si="66"/>
        <v>#N/A</v>
      </c>
      <c r="AF399" s="4" t="e">
        <f t="shared" si="62"/>
        <v>#N/A</v>
      </c>
    </row>
    <row r="400" spans="2:32">
      <c r="B400" s="5">
        <f t="shared" si="60"/>
        <v>388</v>
      </c>
      <c r="C400" s="5"/>
      <c r="E400" s="13"/>
      <c r="F400" s="5"/>
      <c r="G400" s="11">
        <f>IF(ISERROR(AVERAGE(F$13:F400)),"n/a",AVERAGE(F$13:F400))</f>
        <v>117</v>
      </c>
      <c r="H400" s="11">
        <f t="shared" si="63"/>
        <v>117</v>
      </c>
      <c r="J400" s="5"/>
      <c r="K400" s="5"/>
      <c r="L400" s="5"/>
      <c r="M400" s="5"/>
      <c r="N400" s="5"/>
      <c r="O400" s="8" t="str">
        <f t="shared" si="61"/>
        <v>n/a</v>
      </c>
      <c r="Q400" s="5"/>
      <c r="R400" s="5"/>
      <c r="S400" s="5"/>
      <c r="U400" s="6"/>
      <c r="V400" s="9" t="str">
        <f t="shared" si="64"/>
        <v/>
      </c>
      <c r="W400" s="9" t="str">
        <f t="shared" si="65"/>
        <v/>
      </c>
      <c r="X400" s="10">
        <f>SUM(V$13:V400)/COUNTA(B$13:B400)</f>
        <v>1.804123711340206E-2</v>
      </c>
      <c r="Z400" s="5"/>
      <c r="AA400" s="5"/>
      <c r="AC400" s="7"/>
      <c r="AE400" s="54" t="e">
        <f t="shared" si="66"/>
        <v>#N/A</v>
      </c>
      <c r="AF400" s="4" t="e">
        <f t="shared" si="62"/>
        <v>#N/A</v>
      </c>
    </row>
    <row r="401" spans="2:32">
      <c r="B401" s="5">
        <f t="shared" si="60"/>
        <v>389</v>
      </c>
      <c r="C401" s="5"/>
      <c r="E401" s="13"/>
      <c r="F401" s="5"/>
      <c r="G401" s="11">
        <f>IF(ISERROR(AVERAGE(F$13:F401)),"n/a",AVERAGE(F$13:F401))</f>
        <v>117</v>
      </c>
      <c r="H401" s="11">
        <f t="shared" si="63"/>
        <v>117</v>
      </c>
      <c r="J401" s="5"/>
      <c r="K401" s="5"/>
      <c r="L401" s="5"/>
      <c r="M401" s="5"/>
      <c r="N401" s="5"/>
      <c r="O401" s="8" t="str">
        <f t="shared" si="61"/>
        <v>n/a</v>
      </c>
      <c r="Q401" s="5"/>
      <c r="R401" s="5"/>
      <c r="S401" s="5"/>
      <c r="U401" s="6"/>
      <c r="V401" s="9" t="str">
        <f t="shared" si="64"/>
        <v/>
      </c>
      <c r="W401" s="9" t="str">
        <f t="shared" si="65"/>
        <v/>
      </c>
      <c r="X401" s="10">
        <f>SUM(V$13:V401)/COUNTA(B$13:B401)</f>
        <v>1.7994858611825194E-2</v>
      </c>
      <c r="Z401" s="5"/>
      <c r="AA401" s="5"/>
      <c r="AC401" s="7"/>
      <c r="AE401" s="54" t="e">
        <f t="shared" si="66"/>
        <v>#N/A</v>
      </c>
      <c r="AF401" s="4" t="e">
        <f t="shared" si="62"/>
        <v>#N/A</v>
      </c>
    </row>
    <row r="402" spans="2:32">
      <c r="B402" s="5">
        <f t="shared" si="60"/>
        <v>390</v>
      </c>
      <c r="C402" s="5"/>
      <c r="E402" s="13"/>
      <c r="F402" s="5"/>
      <c r="G402" s="11">
        <f>IF(ISERROR(AVERAGE(F$13:F402)),"n/a",AVERAGE(F$13:F402))</f>
        <v>117</v>
      </c>
      <c r="H402" s="11">
        <f t="shared" si="63"/>
        <v>117</v>
      </c>
      <c r="J402" s="5"/>
      <c r="K402" s="5"/>
      <c r="L402" s="5"/>
      <c r="M402" s="5"/>
      <c r="N402" s="5"/>
      <c r="O402" s="8" t="str">
        <f t="shared" si="61"/>
        <v>n/a</v>
      </c>
      <c r="Q402" s="5"/>
      <c r="R402" s="5"/>
      <c r="S402" s="5"/>
      <c r="U402" s="6"/>
      <c r="V402" s="9" t="str">
        <f t="shared" si="64"/>
        <v/>
      </c>
      <c r="W402" s="9" t="str">
        <f t="shared" si="65"/>
        <v/>
      </c>
      <c r="X402" s="10">
        <f>SUM(V$13:V402)/COUNTA(B$13:B402)</f>
        <v>1.7948717948717947E-2</v>
      </c>
      <c r="Z402" s="5"/>
      <c r="AA402" s="5"/>
      <c r="AC402" s="7"/>
      <c r="AE402" s="54" t="e">
        <f t="shared" si="66"/>
        <v>#N/A</v>
      </c>
      <c r="AF402" s="4" t="e">
        <f t="shared" si="62"/>
        <v>#N/A</v>
      </c>
    </row>
    <row r="403" spans="2:32">
      <c r="B403" s="5">
        <f t="shared" ref="B403:B466" si="67">+B402+1</f>
        <v>391</v>
      </c>
      <c r="C403" s="5"/>
      <c r="E403" s="13"/>
      <c r="F403" s="5"/>
      <c r="G403" s="11">
        <f>IF(ISERROR(AVERAGE(F$13:F403)),"n/a",AVERAGE(F$13:F403))</f>
        <v>117</v>
      </c>
      <c r="H403" s="11">
        <f t="shared" si="63"/>
        <v>117</v>
      </c>
      <c r="J403" s="5"/>
      <c r="K403" s="5"/>
      <c r="L403" s="5"/>
      <c r="M403" s="5"/>
      <c r="N403" s="5"/>
      <c r="O403" s="8" t="str">
        <f t="shared" si="61"/>
        <v>n/a</v>
      </c>
      <c r="Q403" s="5"/>
      <c r="R403" s="5"/>
      <c r="S403" s="5"/>
      <c r="U403" s="6"/>
      <c r="V403" s="9" t="str">
        <f t="shared" si="64"/>
        <v/>
      </c>
      <c r="W403" s="9" t="str">
        <f t="shared" si="65"/>
        <v/>
      </c>
      <c r="X403" s="10">
        <f>SUM(V$13:V403)/COUNTA(B$13:B403)</f>
        <v>1.7902813299232736E-2</v>
      </c>
      <c r="Z403" s="5"/>
      <c r="AA403" s="5"/>
      <c r="AC403" s="7"/>
      <c r="AE403" s="54" t="e">
        <f t="shared" si="66"/>
        <v>#N/A</v>
      </c>
      <c r="AF403" s="4" t="e">
        <f t="shared" si="62"/>
        <v>#N/A</v>
      </c>
    </row>
    <row r="404" spans="2:32">
      <c r="B404" s="5">
        <f t="shared" si="67"/>
        <v>392</v>
      </c>
      <c r="C404" s="5"/>
      <c r="E404" s="13"/>
      <c r="F404" s="5"/>
      <c r="G404" s="11">
        <f>IF(ISERROR(AVERAGE(F$13:F404)),"n/a",AVERAGE(F$13:F404))</f>
        <v>117</v>
      </c>
      <c r="H404" s="11">
        <f t="shared" si="63"/>
        <v>117</v>
      </c>
      <c r="J404" s="5"/>
      <c r="K404" s="5"/>
      <c r="L404" s="5"/>
      <c r="M404" s="5"/>
      <c r="N404" s="5"/>
      <c r="O404" s="8" t="str">
        <f t="shared" si="61"/>
        <v>n/a</v>
      </c>
      <c r="Q404" s="5"/>
      <c r="R404" s="5"/>
      <c r="S404" s="5"/>
      <c r="U404" s="6"/>
      <c r="V404" s="9" t="str">
        <f t="shared" si="64"/>
        <v/>
      </c>
      <c r="W404" s="9" t="str">
        <f t="shared" si="65"/>
        <v/>
      </c>
      <c r="X404" s="10">
        <f>SUM(V$13:V404)/COUNTA(B$13:B404)</f>
        <v>1.7857142857142856E-2</v>
      </c>
      <c r="Z404" s="5"/>
      <c r="AA404" s="5"/>
      <c r="AC404" s="7"/>
      <c r="AE404" s="54" t="e">
        <f t="shared" si="66"/>
        <v>#N/A</v>
      </c>
      <c r="AF404" s="4" t="e">
        <f t="shared" si="62"/>
        <v>#N/A</v>
      </c>
    </row>
    <row r="405" spans="2:32">
      <c r="B405" s="5">
        <f t="shared" si="67"/>
        <v>393</v>
      </c>
      <c r="C405" s="5"/>
      <c r="E405" s="13"/>
      <c r="F405" s="5"/>
      <c r="G405" s="11">
        <f>IF(ISERROR(AVERAGE(F$13:F405)),"n/a",AVERAGE(F$13:F405))</f>
        <v>117</v>
      </c>
      <c r="H405" s="11">
        <f t="shared" si="63"/>
        <v>117</v>
      </c>
      <c r="J405" s="5"/>
      <c r="K405" s="5"/>
      <c r="L405" s="5"/>
      <c r="M405" s="5"/>
      <c r="N405" s="5"/>
      <c r="O405" s="8" t="str">
        <f t="shared" si="61"/>
        <v>n/a</v>
      </c>
      <c r="Q405" s="5"/>
      <c r="R405" s="5"/>
      <c r="S405" s="5"/>
      <c r="U405" s="6"/>
      <c r="V405" s="9" t="str">
        <f t="shared" si="64"/>
        <v/>
      </c>
      <c r="W405" s="9" t="str">
        <f t="shared" si="65"/>
        <v/>
      </c>
      <c r="X405" s="10">
        <f>SUM(V$13:V405)/COUNTA(B$13:B405)</f>
        <v>1.7811704834605598E-2</v>
      </c>
      <c r="Z405" s="5"/>
      <c r="AA405" s="5"/>
      <c r="AC405" s="7"/>
      <c r="AE405" s="54" t="e">
        <f t="shared" si="66"/>
        <v>#N/A</v>
      </c>
      <c r="AF405" s="4" t="e">
        <f t="shared" si="62"/>
        <v>#N/A</v>
      </c>
    </row>
    <row r="406" spans="2:32">
      <c r="B406" s="5">
        <f t="shared" si="67"/>
        <v>394</v>
      </c>
      <c r="C406" s="5"/>
      <c r="E406" s="13"/>
      <c r="F406" s="5"/>
      <c r="G406" s="11">
        <f>IF(ISERROR(AVERAGE(F$13:F406)),"n/a",AVERAGE(F$13:F406))</f>
        <v>117</v>
      </c>
      <c r="H406" s="11">
        <f t="shared" si="63"/>
        <v>117</v>
      </c>
      <c r="J406" s="5"/>
      <c r="K406" s="5"/>
      <c r="L406" s="5"/>
      <c r="M406" s="5"/>
      <c r="N406" s="5"/>
      <c r="O406" s="8" t="str">
        <f t="shared" si="61"/>
        <v>n/a</v>
      </c>
      <c r="Q406" s="5"/>
      <c r="R406" s="5"/>
      <c r="S406" s="5"/>
      <c r="U406" s="6"/>
      <c r="V406" s="9" t="str">
        <f t="shared" si="64"/>
        <v/>
      </c>
      <c r="W406" s="9" t="str">
        <f t="shared" si="65"/>
        <v/>
      </c>
      <c r="X406" s="10">
        <f>SUM(V$13:V406)/COUNTA(B$13:B406)</f>
        <v>1.7766497461928935E-2</v>
      </c>
      <c r="Z406" s="5"/>
      <c r="AA406" s="5"/>
      <c r="AC406" s="7"/>
      <c r="AE406" s="54" t="e">
        <f t="shared" si="66"/>
        <v>#N/A</v>
      </c>
      <c r="AF406" s="4" t="e">
        <f t="shared" si="62"/>
        <v>#N/A</v>
      </c>
    </row>
    <row r="407" spans="2:32">
      <c r="B407" s="5">
        <f t="shared" si="67"/>
        <v>395</v>
      </c>
      <c r="C407" s="5"/>
      <c r="E407" s="13"/>
      <c r="F407" s="5"/>
      <c r="G407" s="11">
        <f>IF(ISERROR(AVERAGE(F$13:F407)),"n/a",AVERAGE(F$13:F407))</f>
        <v>117</v>
      </c>
      <c r="H407" s="11">
        <f t="shared" si="63"/>
        <v>117</v>
      </c>
      <c r="J407" s="5"/>
      <c r="K407" s="5"/>
      <c r="L407" s="5"/>
      <c r="M407" s="5"/>
      <c r="N407" s="5"/>
      <c r="O407" s="8" t="str">
        <f t="shared" si="61"/>
        <v>n/a</v>
      </c>
      <c r="Q407" s="5"/>
      <c r="R407" s="5"/>
      <c r="S407" s="5"/>
      <c r="U407" s="6"/>
      <c r="V407" s="9" t="str">
        <f t="shared" si="64"/>
        <v/>
      </c>
      <c r="W407" s="9" t="str">
        <f t="shared" si="65"/>
        <v/>
      </c>
      <c r="X407" s="10">
        <f>SUM(V$13:V407)/COUNTA(B$13:B407)</f>
        <v>1.7721518987341773E-2</v>
      </c>
      <c r="Z407" s="5"/>
      <c r="AA407" s="5"/>
      <c r="AC407" s="7"/>
      <c r="AE407" s="54" t="e">
        <f t="shared" si="66"/>
        <v>#N/A</v>
      </c>
      <c r="AF407" s="4" t="e">
        <f t="shared" si="62"/>
        <v>#N/A</v>
      </c>
    </row>
    <row r="408" spans="2:32">
      <c r="B408" s="5">
        <f t="shared" si="67"/>
        <v>396</v>
      </c>
      <c r="C408" s="5"/>
      <c r="E408" s="13"/>
      <c r="F408" s="5"/>
      <c r="G408" s="11">
        <f>IF(ISERROR(AVERAGE(F$13:F408)),"n/a",AVERAGE(F$13:F408))</f>
        <v>117</v>
      </c>
      <c r="H408" s="11">
        <f t="shared" si="63"/>
        <v>117</v>
      </c>
      <c r="J408" s="5"/>
      <c r="K408" s="5"/>
      <c r="L408" s="5"/>
      <c r="M408" s="5"/>
      <c r="N408" s="5"/>
      <c r="O408" s="8" t="str">
        <f t="shared" si="61"/>
        <v>n/a</v>
      </c>
      <c r="Q408" s="5"/>
      <c r="R408" s="5"/>
      <c r="S408" s="5"/>
      <c r="U408" s="6"/>
      <c r="V408" s="9" t="str">
        <f t="shared" si="64"/>
        <v/>
      </c>
      <c r="W408" s="9" t="str">
        <f t="shared" si="65"/>
        <v/>
      </c>
      <c r="X408" s="10">
        <f>SUM(V$13:V408)/COUNTA(B$13:B408)</f>
        <v>1.7676767676767676E-2</v>
      </c>
      <c r="Z408" s="5"/>
      <c r="AA408" s="5"/>
      <c r="AC408" s="7"/>
      <c r="AE408" s="54" t="e">
        <f t="shared" si="66"/>
        <v>#N/A</v>
      </c>
      <c r="AF408" s="4" t="e">
        <f t="shared" si="62"/>
        <v>#N/A</v>
      </c>
    </row>
    <row r="409" spans="2:32">
      <c r="B409" s="5">
        <f t="shared" si="67"/>
        <v>397</v>
      </c>
      <c r="C409" s="5"/>
      <c r="E409" s="13"/>
      <c r="F409" s="5"/>
      <c r="G409" s="11">
        <f>IF(ISERROR(AVERAGE(F$13:F409)),"n/a",AVERAGE(F$13:F409))</f>
        <v>117</v>
      </c>
      <c r="H409" s="11">
        <f t="shared" si="63"/>
        <v>117</v>
      </c>
      <c r="J409" s="5"/>
      <c r="K409" s="5"/>
      <c r="L409" s="5"/>
      <c r="M409" s="5"/>
      <c r="N409" s="5"/>
      <c r="O409" s="8" t="str">
        <f t="shared" si="61"/>
        <v>n/a</v>
      </c>
      <c r="Q409" s="5"/>
      <c r="R409" s="5"/>
      <c r="S409" s="5"/>
      <c r="U409" s="6"/>
      <c r="V409" s="9" t="str">
        <f t="shared" si="64"/>
        <v/>
      </c>
      <c r="W409" s="9" t="str">
        <f t="shared" si="65"/>
        <v/>
      </c>
      <c r="X409" s="10">
        <f>SUM(V$13:V409)/COUNTA(B$13:B409)</f>
        <v>1.7632241813602016E-2</v>
      </c>
      <c r="Z409" s="5"/>
      <c r="AA409" s="5"/>
      <c r="AC409" s="7"/>
      <c r="AE409" s="54" t="e">
        <f t="shared" si="66"/>
        <v>#N/A</v>
      </c>
      <c r="AF409" s="4" t="e">
        <f t="shared" si="62"/>
        <v>#N/A</v>
      </c>
    </row>
    <row r="410" spans="2:32">
      <c r="B410" s="5">
        <f t="shared" si="67"/>
        <v>398</v>
      </c>
      <c r="C410" s="5"/>
      <c r="E410" s="13"/>
      <c r="F410" s="5"/>
      <c r="G410" s="11">
        <f>IF(ISERROR(AVERAGE(F$13:F410)),"n/a",AVERAGE(F$13:F410))</f>
        <v>117</v>
      </c>
      <c r="H410" s="11">
        <f t="shared" si="63"/>
        <v>117</v>
      </c>
      <c r="J410" s="5"/>
      <c r="K410" s="5"/>
      <c r="L410" s="5"/>
      <c r="M410" s="5"/>
      <c r="N410" s="5"/>
      <c r="O410" s="8" t="str">
        <f t="shared" si="61"/>
        <v>n/a</v>
      </c>
      <c r="Q410" s="5"/>
      <c r="R410" s="5"/>
      <c r="S410" s="5"/>
      <c r="U410" s="6"/>
      <c r="V410" s="9" t="str">
        <f t="shared" si="64"/>
        <v/>
      </c>
      <c r="W410" s="9" t="str">
        <f t="shared" si="65"/>
        <v/>
      </c>
      <c r="X410" s="10">
        <f>SUM(V$13:V410)/COUNTA(B$13:B410)</f>
        <v>1.7587939698492462E-2</v>
      </c>
      <c r="Z410" s="5"/>
      <c r="AA410" s="5"/>
      <c r="AC410" s="7"/>
      <c r="AE410" s="54" t="e">
        <f t="shared" si="66"/>
        <v>#N/A</v>
      </c>
      <c r="AF410" s="4" t="e">
        <f t="shared" si="62"/>
        <v>#N/A</v>
      </c>
    </row>
    <row r="411" spans="2:32">
      <c r="B411" s="5">
        <f t="shared" si="67"/>
        <v>399</v>
      </c>
      <c r="C411" s="5"/>
      <c r="E411" s="13"/>
      <c r="F411" s="5"/>
      <c r="G411" s="11">
        <f>IF(ISERROR(AVERAGE(F$13:F411)),"n/a",AVERAGE(F$13:F411))</f>
        <v>117</v>
      </c>
      <c r="H411" s="11">
        <f t="shared" si="63"/>
        <v>117</v>
      </c>
      <c r="J411" s="5"/>
      <c r="K411" s="5"/>
      <c r="L411" s="5"/>
      <c r="M411" s="5"/>
      <c r="N411" s="5"/>
      <c r="O411" s="8" t="str">
        <f t="shared" si="61"/>
        <v>n/a</v>
      </c>
      <c r="Q411" s="5"/>
      <c r="R411" s="5"/>
      <c r="S411" s="5"/>
      <c r="U411" s="6"/>
      <c r="V411" s="9" t="str">
        <f t="shared" si="64"/>
        <v/>
      </c>
      <c r="W411" s="9" t="str">
        <f t="shared" si="65"/>
        <v/>
      </c>
      <c r="X411" s="10">
        <f>SUM(V$13:V411)/COUNTA(B$13:B411)</f>
        <v>1.7543859649122806E-2</v>
      </c>
      <c r="Z411" s="5"/>
      <c r="AA411" s="5"/>
      <c r="AC411" s="7"/>
      <c r="AE411" s="54" t="e">
        <f t="shared" si="66"/>
        <v>#N/A</v>
      </c>
      <c r="AF411" s="4" t="e">
        <f t="shared" si="62"/>
        <v>#N/A</v>
      </c>
    </row>
    <row r="412" spans="2:32">
      <c r="B412" s="5">
        <f t="shared" si="67"/>
        <v>400</v>
      </c>
      <c r="C412" s="5"/>
      <c r="E412" s="13"/>
      <c r="F412" s="5"/>
      <c r="G412" s="11">
        <f>IF(ISERROR(AVERAGE(F$13:F412)),"n/a",AVERAGE(F$13:F412))</f>
        <v>117</v>
      </c>
      <c r="H412" s="11">
        <f t="shared" si="63"/>
        <v>117</v>
      </c>
      <c r="J412" s="5"/>
      <c r="K412" s="5"/>
      <c r="L412" s="5"/>
      <c r="M412" s="5"/>
      <c r="N412" s="5"/>
      <c r="O412" s="8" t="str">
        <f t="shared" si="61"/>
        <v>n/a</v>
      </c>
      <c r="Q412" s="5"/>
      <c r="R412" s="5"/>
      <c r="S412" s="5"/>
      <c r="U412" s="6"/>
      <c r="V412" s="9" t="str">
        <f t="shared" si="64"/>
        <v/>
      </c>
      <c r="W412" s="9" t="str">
        <f t="shared" si="65"/>
        <v/>
      </c>
      <c r="X412" s="10">
        <f>SUM(V$13:V412)/COUNTA(B$13:B412)</f>
        <v>1.7500000000000002E-2</v>
      </c>
      <c r="Z412" s="5"/>
      <c r="AA412" s="5"/>
      <c r="AC412" s="7"/>
      <c r="AE412" s="54" t="e">
        <f t="shared" si="66"/>
        <v>#N/A</v>
      </c>
      <c r="AF412" s="4" t="e">
        <f t="shared" si="62"/>
        <v>#N/A</v>
      </c>
    </row>
    <row r="413" spans="2:32">
      <c r="B413" s="5">
        <f t="shared" si="67"/>
        <v>401</v>
      </c>
      <c r="C413" s="5"/>
      <c r="E413" s="13"/>
      <c r="F413" s="5"/>
      <c r="G413" s="11">
        <f>IF(ISERROR(AVERAGE(F$13:F413)),"n/a",AVERAGE(F$13:F413))</f>
        <v>117</v>
      </c>
      <c r="H413" s="11">
        <f t="shared" si="63"/>
        <v>117</v>
      </c>
      <c r="J413" s="5"/>
      <c r="K413" s="5"/>
      <c r="L413" s="5"/>
      <c r="M413" s="5"/>
      <c r="N413" s="5"/>
      <c r="O413" s="8" t="str">
        <f t="shared" si="61"/>
        <v>n/a</v>
      </c>
      <c r="Q413" s="5"/>
      <c r="R413" s="5"/>
      <c r="S413" s="5"/>
      <c r="U413" s="6"/>
      <c r="V413" s="9" t="str">
        <f t="shared" si="64"/>
        <v/>
      </c>
      <c r="W413" s="9" t="str">
        <f t="shared" si="65"/>
        <v/>
      </c>
      <c r="X413" s="10">
        <f>SUM(V$13:V413)/COUNTA(B$13:B413)</f>
        <v>1.7456359102244388E-2</v>
      </c>
      <c r="Z413" s="5"/>
      <c r="AA413" s="5"/>
      <c r="AC413" s="7"/>
      <c r="AE413" s="54" t="e">
        <f t="shared" si="66"/>
        <v>#N/A</v>
      </c>
      <c r="AF413" s="4" t="e">
        <f t="shared" si="62"/>
        <v>#N/A</v>
      </c>
    </row>
    <row r="414" spans="2:32">
      <c r="B414" s="5">
        <f t="shared" si="67"/>
        <v>402</v>
      </c>
      <c r="C414" s="5"/>
      <c r="E414" s="13"/>
      <c r="F414" s="5"/>
      <c r="G414" s="11">
        <f>IF(ISERROR(AVERAGE(F$13:F414)),"n/a",AVERAGE(F$13:F414))</f>
        <v>117</v>
      </c>
      <c r="H414" s="11">
        <f t="shared" si="63"/>
        <v>117</v>
      </c>
      <c r="J414" s="5"/>
      <c r="K414" s="5"/>
      <c r="L414" s="5"/>
      <c r="M414" s="5"/>
      <c r="N414" s="5"/>
      <c r="O414" s="8" t="str">
        <f t="shared" si="61"/>
        <v>n/a</v>
      </c>
      <c r="Q414" s="5"/>
      <c r="R414" s="5"/>
      <c r="S414" s="5"/>
      <c r="U414" s="6"/>
      <c r="V414" s="9" t="str">
        <f t="shared" si="64"/>
        <v/>
      </c>
      <c r="W414" s="9" t="str">
        <f t="shared" si="65"/>
        <v/>
      </c>
      <c r="X414" s="10">
        <f>SUM(V$13:V414)/COUNTA(B$13:B414)</f>
        <v>1.7412935323383085E-2</v>
      </c>
      <c r="Z414" s="5"/>
      <c r="AA414" s="5"/>
      <c r="AC414" s="7"/>
      <c r="AE414" s="54" t="e">
        <f t="shared" si="66"/>
        <v>#N/A</v>
      </c>
      <c r="AF414" s="4" t="e">
        <f t="shared" si="62"/>
        <v>#N/A</v>
      </c>
    </row>
    <row r="415" spans="2:32">
      <c r="B415" s="5">
        <f t="shared" si="67"/>
        <v>403</v>
      </c>
      <c r="C415" s="5"/>
      <c r="E415" s="13"/>
      <c r="F415" s="5"/>
      <c r="G415" s="11">
        <f>IF(ISERROR(AVERAGE(F$13:F415)),"n/a",AVERAGE(F$13:F415))</f>
        <v>117</v>
      </c>
      <c r="H415" s="11">
        <f t="shared" si="63"/>
        <v>117</v>
      </c>
      <c r="J415" s="5"/>
      <c r="K415" s="5"/>
      <c r="L415" s="5"/>
      <c r="M415" s="5"/>
      <c r="N415" s="5"/>
      <c r="O415" s="8" t="str">
        <f t="shared" si="61"/>
        <v>n/a</v>
      </c>
      <c r="Q415" s="5"/>
      <c r="R415" s="5"/>
      <c r="S415" s="5"/>
      <c r="U415" s="6"/>
      <c r="V415" s="9" t="str">
        <f t="shared" si="64"/>
        <v/>
      </c>
      <c r="W415" s="9" t="str">
        <f t="shared" si="65"/>
        <v/>
      </c>
      <c r="X415" s="10">
        <f>SUM(V$13:V415)/COUNTA(B$13:B415)</f>
        <v>1.7369727047146403E-2</v>
      </c>
      <c r="Z415" s="5"/>
      <c r="AA415" s="5"/>
      <c r="AC415" s="7"/>
      <c r="AE415" s="54" t="e">
        <f t="shared" si="66"/>
        <v>#N/A</v>
      </c>
      <c r="AF415" s="4" t="e">
        <f t="shared" si="62"/>
        <v>#N/A</v>
      </c>
    </row>
    <row r="416" spans="2:32">
      <c r="B416" s="5">
        <f t="shared" si="67"/>
        <v>404</v>
      </c>
      <c r="C416" s="5"/>
      <c r="E416" s="13"/>
      <c r="F416" s="5"/>
      <c r="G416" s="11">
        <f>IF(ISERROR(AVERAGE(F$13:F416)),"n/a",AVERAGE(F$13:F416))</f>
        <v>117</v>
      </c>
      <c r="H416" s="11">
        <f t="shared" si="63"/>
        <v>117</v>
      </c>
      <c r="J416" s="5"/>
      <c r="K416" s="5"/>
      <c r="L416" s="5"/>
      <c r="M416" s="5"/>
      <c r="N416" s="5"/>
      <c r="O416" s="8" t="str">
        <f t="shared" si="61"/>
        <v>n/a</v>
      </c>
      <c r="Q416" s="5"/>
      <c r="R416" s="5"/>
      <c r="S416" s="5"/>
      <c r="U416" s="6"/>
      <c r="V416" s="9" t="str">
        <f t="shared" si="64"/>
        <v/>
      </c>
      <c r="W416" s="9" t="str">
        <f t="shared" si="65"/>
        <v/>
      </c>
      <c r="X416" s="10">
        <f>SUM(V$13:V416)/COUNTA(B$13:B416)</f>
        <v>1.7326732673267328E-2</v>
      </c>
      <c r="Z416" s="5"/>
      <c r="AA416" s="5"/>
      <c r="AC416" s="7"/>
      <c r="AE416" s="54" t="e">
        <f t="shared" si="66"/>
        <v>#N/A</v>
      </c>
      <c r="AF416" s="4" t="e">
        <f t="shared" si="62"/>
        <v>#N/A</v>
      </c>
    </row>
    <row r="417" spans="2:32">
      <c r="B417" s="5">
        <f t="shared" si="67"/>
        <v>405</v>
      </c>
      <c r="C417" s="5"/>
      <c r="E417" s="13"/>
      <c r="F417" s="5"/>
      <c r="G417" s="11">
        <f>IF(ISERROR(AVERAGE(F$13:F417)),"n/a",AVERAGE(F$13:F417))</f>
        <v>117</v>
      </c>
      <c r="H417" s="11">
        <f t="shared" si="63"/>
        <v>117</v>
      </c>
      <c r="J417" s="5"/>
      <c r="K417" s="5"/>
      <c r="L417" s="5"/>
      <c r="M417" s="5"/>
      <c r="N417" s="5"/>
      <c r="O417" s="8" t="str">
        <f t="shared" si="61"/>
        <v>n/a</v>
      </c>
      <c r="Q417" s="5"/>
      <c r="R417" s="5"/>
      <c r="S417" s="5"/>
      <c r="U417" s="6"/>
      <c r="V417" s="9" t="str">
        <f t="shared" si="64"/>
        <v/>
      </c>
      <c r="W417" s="9" t="str">
        <f t="shared" si="65"/>
        <v/>
      </c>
      <c r="X417" s="10">
        <f>SUM(V$13:V417)/COUNTA(B$13:B417)</f>
        <v>1.7283950617283949E-2</v>
      </c>
      <c r="Z417" s="5"/>
      <c r="AA417" s="5"/>
      <c r="AC417" s="7"/>
      <c r="AE417" s="54" t="e">
        <f t="shared" si="66"/>
        <v>#N/A</v>
      </c>
      <c r="AF417" s="4" t="e">
        <f t="shared" si="62"/>
        <v>#N/A</v>
      </c>
    </row>
    <row r="418" spans="2:32">
      <c r="B418" s="5">
        <f t="shared" si="67"/>
        <v>406</v>
      </c>
      <c r="C418" s="5"/>
      <c r="E418" s="13"/>
      <c r="F418" s="5"/>
      <c r="G418" s="11">
        <f>IF(ISERROR(AVERAGE(F$13:F418)),"n/a",AVERAGE(F$13:F418))</f>
        <v>117</v>
      </c>
      <c r="H418" s="11">
        <f t="shared" si="63"/>
        <v>117</v>
      </c>
      <c r="J418" s="5"/>
      <c r="K418" s="5"/>
      <c r="L418" s="5"/>
      <c r="M418" s="5"/>
      <c r="N418" s="5"/>
      <c r="O418" s="8" t="str">
        <f t="shared" si="61"/>
        <v>n/a</v>
      </c>
      <c r="Q418" s="5"/>
      <c r="R418" s="5"/>
      <c r="S418" s="5"/>
      <c r="U418" s="6"/>
      <c r="V418" s="9" t="str">
        <f t="shared" si="64"/>
        <v/>
      </c>
      <c r="W418" s="9" t="str">
        <f t="shared" si="65"/>
        <v/>
      </c>
      <c r="X418" s="10">
        <f>SUM(V$13:V418)/COUNTA(B$13:B418)</f>
        <v>1.7241379310344827E-2</v>
      </c>
      <c r="Z418" s="5"/>
      <c r="AA418" s="5"/>
      <c r="AC418" s="7"/>
      <c r="AE418" s="54" t="e">
        <f t="shared" si="66"/>
        <v>#N/A</v>
      </c>
      <c r="AF418" s="4" t="e">
        <f t="shared" si="62"/>
        <v>#N/A</v>
      </c>
    </row>
    <row r="419" spans="2:32">
      <c r="B419" s="5">
        <f t="shared" si="67"/>
        <v>407</v>
      </c>
      <c r="C419" s="5"/>
      <c r="E419" s="13"/>
      <c r="F419" s="5"/>
      <c r="G419" s="11">
        <f>IF(ISERROR(AVERAGE(F$13:F419)),"n/a",AVERAGE(F$13:F419))</f>
        <v>117</v>
      </c>
      <c r="H419" s="11">
        <f t="shared" si="63"/>
        <v>117</v>
      </c>
      <c r="J419" s="5"/>
      <c r="K419" s="5"/>
      <c r="L419" s="5"/>
      <c r="M419" s="5"/>
      <c r="N419" s="5"/>
      <c r="O419" s="8" t="str">
        <f t="shared" si="61"/>
        <v>n/a</v>
      </c>
      <c r="Q419" s="5"/>
      <c r="R419" s="5"/>
      <c r="S419" s="5"/>
      <c r="U419" s="6"/>
      <c r="V419" s="9" t="str">
        <f t="shared" si="64"/>
        <v/>
      </c>
      <c r="W419" s="9" t="str">
        <f t="shared" si="65"/>
        <v/>
      </c>
      <c r="X419" s="10">
        <f>SUM(V$13:V419)/COUNTA(B$13:B419)</f>
        <v>1.7199017199017199E-2</v>
      </c>
      <c r="Z419" s="5"/>
      <c r="AA419" s="5"/>
      <c r="AC419" s="7"/>
      <c r="AE419" s="54" t="e">
        <f t="shared" si="66"/>
        <v>#N/A</v>
      </c>
      <c r="AF419" s="4" t="e">
        <f t="shared" si="62"/>
        <v>#N/A</v>
      </c>
    </row>
    <row r="420" spans="2:32">
      <c r="B420" s="5">
        <f t="shared" si="67"/>
        <v>408</v>
      </c>
      <c r="C420" s="5"/>
      <c r="E420" s="13"/>
      <c r="F420" s="5"/>
      <c r="G420" s="11">
        <f>IF(ISERROR(AVERAGE(F$13:F420)),"n/a",AVERAGE(F$13:F420))</f>
        <v>117</v>
      </c>
      <c r="H420" s="11">
        <f t="shared" si="63"/>
        <v>117</v>
      </c>
      <c r="J420" s="5"/>
      <c r="K420" s="5"/>
      <c r="L420" s="5"/>
      <c r="M420" s="5"/>
      <c r="N420" s="5"/>
      <c r="O420" s="8" t="str">
        <f t="shared" si="61"/>
        <v>n/a</v>
      </c>
      <c r="Q420" s="5"/>
      <c r="R420" s="5"/>
      <c r="S420" s="5"/>
      <c r="U420" s="6"/>
      <c r="V420" s="9" t="str">
        <f t="shared" si="64"/>
        <v/>
      </c>
      <c r="W420" s="9" t="str">
        <f t="shared" si="65"/>
        <v/>
      </c>
      <c r="X420" s="10">
        <f>SUM(V$13:V420)/COUNTA(B$13:B420)</f>
        <v>1.7156862745098041E-2</v>
      </c>
      <c r="Z420" s="5"/>
      <c r="AA420" s="5"/>
      <c r="AC420" s="7"/>
      <c r="AE420" s="54" t="e">
        <f t="shared" si="66"/>
        <v>#N/A</v>
      </c>
      <c r="AF420" s="4" t="e">
        <f t="shared" si="62"/>
        <v>#N/A</v>
      </c>
    </row>
    <row r="421" spans="2:32">
      <c r="B421" s="5">
        <f t="shared" si="67"/>
        <v>409</v>
      </c>
      <c r="C421" s="5"/>
      <c r="E421" s="13"/>
      <c r="F421" s="5"/>
      <c r="G421" s="11">
        <f>IF(ISERROR(AVERAGE(F$13:F421)),"n/a",AVERAGE(F$13:F421))</f>
        <v>117</v>
      </c>
      <c r="H421" s="11">
        <f t="shared" si="63"/>
        <v>117</v>
      </c>
      <c r="J421" s="5"/>
      <c r="K421" s="5"/>
      <c r="L421" s="5"/>
      <c r="M421" s="5"/>
      <c r="N421" s="5"/>
      <c r="O421" s="8" t="str">
        <f t="shared" si="61"/>
        <v>n/a</v>
      </c>
      <c r="Q421" s="5"/>
      <c r="R421" s="5"/>
      <c r="S421" s="5"/>
      <c r="U421" s="6"/>
      <c r="V421" s="9" t="str">
        <f t="shared" si="64"/>
        <v/>
      </c>
      <c r="W421" s="9" t="str">
        <f t="shared" si="65"/>
        <v/>
      </c>
      <c r="X421" s="10">
        <f>SUM(V$13:V421)/COUNTA(B$13:B421)</f>
        <v>1.7114914425427872E-2</v>
      </c>
      <c r="Z421" s="5"/>
      <c r="AA421" s="5"/>
      <c r="AC421" s="7"/>
      <c r="AE421" s="54" t="e">
        <f t="shared" si="66"/>
        <v>#N/A</v>
      </c>
      <c r="AF421" s="4" t="e">
        <f t="shared" si="62"/>
        <v>#N/A</v>
      </c>
    </row>
    <row r="422" spans="2:32">
      <c r="B422" s="5">
        <f t="shared" si="67"/>
        <v>410</v>
      </c>
      <c r="C422" s="5"/>
      <c r="E422" s="13"/>
      <c r="F422" s="5"/>
      <c r="G422" s="11">
        <f>IF(ISERROR(AVERAGE(F$13:F422)),"n/a",AVERAGE(F$13:F422))</f>
        <v>117</v>
      </c>
      <c r="H422" s="11">
        <f t="shared" si="63"/>
        <v>117</v>
      </c>
      <c r="J422" s="5"/>
      <c r="K422" s="5"/>
      <c r="L422" s="5"/>
      <c r="M422" s="5"/>
      <c r="N422" s="5"/>
      <c r="O422" s="8" t="str">
        <f t="shared" si="61"/>
        <v>n/a</v>
      </c>
      <c r="Q422" s="5"/>
      <c r="R422" s="5"/>
      <c r="S422" s="5"/>
      <c r="U422" s="6"/>
      <c r="V422" s="9" t="str">
        <f t="shared" si="64"/>
        <v/>
      </c>
      <c r="W422" s="9" t="str">
        <f t="shared" si="65"/>
        <v/>
      </c>
      <c r="X422" s="10">
        <f>SUM(V$13:V422)/COUNTA(B$13:B422)</f>
        <v>1.7073170731707318E-2</v>
      </c>
      <c r="Z422" s="5"/>
      <c r="AA422" s="5"/>
      <c r="AC422" s="7"/>
      <c r="AE422" s="54" t="e">
        <f t="shared" si="66"/>
        <v>#N/A</v>
      </c>
      <c r="AF422" s="4" t="e">
        <f t="shared" si="62"/>
        <v>#N/A</v>
      </c>
    </row>
    <row r="423" spans="2:32">
      <c r="B423" s="5">
        <f t="shared" si="67"/>
        <v>411</v>
      </c>
      <c r="C423" s="5"/>
      <c r="E423" s="13"/>
      <c r="F423" s="5"/>
      <c r="G423" s="11">
        <f>IF(ISERROR(AVERAGE(F$13:F423)),"n/a",AVERAGE(F$13:F423))</f>
        <v>117</v>
      </c>
      <c r="H423" s="11">
        <f t="shared" si="63"/>
        <v>117</v>
      </c>
      <c r="J423" s="5"/>
      <c r="K423" s="5"/>
      <c r="L423" s="5"/>
      <c r="M423" s="5"/>
      <c r="N423" s="5"/>
      <c r="O423" s="8" t="str">
        <f t="shared" si="61"/>
        <v>n/a</v>
      </c>
      <c r="Q423" s="5"/>
      <c r="R423" s="5"/>
      <c r="S423" s="5"/>
      <c r="U423" s="6"/>
      <c r="V423" s="9" t="str">
        <f t="shared" si="64"/>
        <v/>
      </c>
      <c r="W423" s="9" t="str">
        <f t="shared" si="65"/>
        <v/>
      </c>
      <c r="X423" s="10">
        <f>SUM(V$13:V423)/COUNTA(B$13:B423)</f>
        <v>1.7031630170316302E-2</v>
      </c>
      <c r="Z423" s="5"/>
      <c r="AA423" s="5"/>
      <c r="AC423" s="7"/>
      <c r="AE423" s="54" t="e">
        <f t="shared" si="66"/>
        <v>#N/A</v>
      </c>
      <c r="AF423" s="4" t="e">
        <f t="shared" si="62"/>
        <v>#N/A</v>
      </c>
    </row>
    <row r="424" spans="2:32">
      <c r="B424" s="5">
        <f t="shared" si="67"/>
        <v>412</v>
      </c>
      <c r="C424" s="5"/>
      <c r="E424" s="13"/>
      <c r="F424" s="5"/>
      <c r="G424" s="11">
        <f>IF(ISERROR(AVERAGE(F$13:F424)),"n/a",AVERAGE(F$13:F424))</f>
        <v>117</v>
      </c>
      <c r="H424" s="11">
        <f t="shared" si="63"/>
        <v>117</v>
      </c>
      <c r="J424" s="5"/>
      <c r="K424" s="5"/>
      <c r="L424" s="5"/>
      <c r="M424" s="5"/>
      <c r="N424" s="5"/>
      <c r="O424" s="8" t="str">
        <f t="shared" si="61"/>
        <v>n/a</v>
      </c>
      <c r="Q424" s="5"/>
      <c r="R424" s="5"/>
      <c r="S424" s="5"/>
      <c r="U424" s="6"/>
      <c r="V424" s="9" t="str">
        <f t="shared" si="64"/>
        <v/>
      </c>
      <c r="W424" s="9" t="str">
        <f t="shared" si="65"/>
        <v/>
      </c>
      <c r="X424" s="10">
        <f>SUM(V$13:V424)/COUNTA(B$13:B424)</f>
        <v>1.6990291262135922E-2</v>
      </c>
      <c r="Z424" s="5"/>
      <c r="AA424" s="5"/>
      <c r="AC424" s="7"/>
      <c r="AE424" s="54" t="e">
        <f t="shared" si="66"/>
        <v>#N/A</v>
      </c>
      <c r="AF424" s="4" t="e">
        <f t="shared" si="62"/>
        <v>#N/A</v>
      </c>
    </row>
    <row r="425" spans="2:32">
      <c r="B425" s="5">
        <f t="shared" si="67"/>
        <v>413</v>
      </c>
      <c r="C425" s="5"/>
      <c r="E425" s="13"/>
      <c r="F425" s="5"/>
      <c r="G425" s="11">
        <f>IF(ISERROR(AVERAGE(F$13:F425)),"n/a",AVERAGE(F$13:F425))</f>
        <v>117</v>
      </c>
      <c r="H425" s="11">
        <f t="shared" si="63"/>
        <v>117</v>
      </c>
      <c r="J425" s="5"/>
      <c r="K425" s="5"/>
      <c r="L425" s="5"/>
      <c r="M425" s="5"/>
      <c r="N425" s="5"/>
      <c r="O425" s="8" t="str">
        <f t="shared" si="61"/>
        <v>n/a</v>
      </c>
      <c r="Q425" s="5"/>
      <c r="R425" s="5"/>
      <c r="S425" s="5"/>
      <c r="U425" s="6"/>
      <c r="V425" s="9" t="str">
        <f t="shared" si="64"/>
        <v/>
      </c>
      <c r="W425" s="9" t="str">
        <f t="shared" si="65"/>
        <v/>
      </c>
      <c r="X425" s="10">
        <f>SUM(V$13:V425)/COUNTA(B$13:B425)</f>
        <v>1.6949152542372881E-2</v>
      </c>
      <c r="Z425" s="5"/>
      <c r="AA425" s="5"/>
      <c r="AC425" s="7"/>
      <c r="AE425" s="54" t="e">
        <f t="shared" si="66"/>
        <v>#N/A</v>
      </c>
      <c r="AF425" s="4" t="e">
        <f t="shared" si="62"/>
        <v>#N/A</v>
      </c>
    </row>
    <row r="426" spans="2:32">
      <c r="B426" s="5">
        <f t="shared" si="67"/>
        <v>414</v>
      </c>
      <c r="C426" s="5"/>
      <c r="E426" s="13"/>
      <c r="F426" s="5"/>
      <c r="G426" s="11">
        <f>IF(ISERROR(AVERAGE(F$13:F426)),"n/a",AVERAGE(F$13:F426))</f>
        <v>117</v>
      </c>
      <c r="H426" s="11">
        <f t="shared" si="63"/>
        <v>117</v>
      </c>
      <c r="J426" s="5"/>
      <c r="K426" s="5"/>
      <c r="L426" s="5"/>
      <c r="M426" s="5"/>
      <c r="N426" s="5"/>
      <c r="O426" s="8" t="str">
        <f t="shared" si="61"/>
        <v>n/a</v>
      </c>
      <c r="Q426" s="5"/>
      <c r="R426" s="5"/>
      <c r="S426" s="5"/>
      <c r="U426" s="6"/>
      <c r="V426" s="9" t="str">
        <f t="shared" si="64"/>
        <v/>
      </c>
      <c r="W426" s="9" t="str">
        <f t="shared" si="65"/>
        <v/>
      </c>
      <c r="X426" s="10">
        <f>SUM(V$13:V426)/COUNTA(B$13:B426)</f>
        <v>1.6908212560386472E-2</v>
      </c>
      <c r="Z426" s="5"/>
      <c r="AA426" s="5"/>
      <c r="AC426" s="7"/>
      <c r="AE426" s="54" t="e">
        <f t="shared" si="66"/>
        <v>#N/A</v>
      </c>
      <c r="AF426" s="4" t="e">
        <f t="shared" si="62"/>
        <v>#N/A</v>
      </c>
    </row>
    <row r="427" spans="2:32">
      <c r="B427" s="5">
        <f t="shared" si="67"/>
        <v>415</v>
      </c>
      <c r="C427" s="5"/>
      <c r="E427" s="13"/>
      <c r="F427" s="5"/>
      <c r="G427" s="11">
        <f>IF(ISERROR(AVERAGE(F$13:F427)),"n/a",AVERAGE(F$13:F427))</f>
        <v>117</v>
      </c>
      <c r="H427" s="11">
        <f t="shared" si="63"/>
        <v>117</v>
      </c>
      <c r="J427" s="5"/>
      <c r="K427" s="5"/>
      <c r="L427" s="5"/>
      <c r="M427" s="5"/>
      <c r="N427" s="5"/>
      <c r="O427" s="8" t="str">
        <f t="shared" si="61"/>
        <v>n/a</v>
      </c>
      <c r="Q427" s="5"/>
      <c r="R427" s="5"/>
      <c r="S427" s="5"/>
      <c r="U427" s="6"/>
      <c r="V427" s="9" t="str">
        <f t="shared" si="64"/>
        <v/>
      </c>
      <c r="W427" s="9" t="str">
        <f t="shared" si="65"/>
        <v/>
      </c>
      <c r="X427" s="10">
        <f>SUM(V$13:V427)/COUNTA(B$13:B427)</f>
        <v>1.6867469879518072E-2</v>
      </c>
      <c r="Z427" s="5"/>
      <c r="AA427" s="5"/>
      <c r="AC427" s="7"/>
      <c r="AE427" s="54" t="e">
        <f t="shared" si="66"/>
        <v>#N/A</v>
      </c>
      <c r="AF427" s="4" t="e">
        <f t="shared" si="62"/>
        <v>#N/A</v>
      </c>
    </row>
    <row r="428" spans="2:32">
      <c r="B428" s="5">
        <f t="shared" si="67"/>
        <v>416</v>
      </c>
      <c r="C428" s="5"/>
      <c r="E428" s="13"/>
      <c r="F428" s="5"/>
      <c r="G428" s="11">
        <f>IF(ISERROR(AVERAGE(F$13:F428)),"n/a",AVERAGE(F$13:F428))</f>
        <v>117</v>
      </c>
      <c r="H428" s="11">
        <f t="shared" si="63"/>
        <v>117</v>
      </c>
      <c r="J428" s="5"/>
      <c r="K428" s="5"/>
      <c r="L428" s="5"/>
      <c r="M428" s="5"/>
      <c r="N428" s="5"/>
      <c r="O428" s="8" t="str">
        <f t="shared" si="61"/>
        <v>n/a</v>
      </c>
      <c r="Q428" s="5"/>
      <c r="R428" s="5"/>
      <c r="S428" s="5"/>
      <c r="U428" s="6"/>
      <c r="V428" s="9" t="str">
        <f t="shared" si="64"/>
        <v/>
      </c>
      <c r="W428" s="9" t="str">
        <f t="shared" si="65"/>
        <v/>
      </c>
      <c r="X428" s="10">
        <f>SUM(V$13:V428)/COUNTA(B$13:B428)</f>
        <v>1.6826923076923076E-2</v>
      </c>
      <c r="Z428" s="5"/>
      <c r="AA428" s="5"/>
      <c r="AC428" s="7"/>
      <c r="AE428" s="54" t="e">
        <f t="shared" si="66"/>
        <v>#N/A</v>
      </c>
      <c r="AF428" s="4" t="e">
        <f t="shared" si="62"/>
        <v>#N/A</v>
      </c>
    </row>
    <row r="429" spans="2:32">
      <c r="B429" s="5">
        <f t="shared" si="67"/>
        <v>417</v>
      </c>
      <c r="C429" s="5"/>
      <c r="E429" s="13"/>
      <c r="F429" s="5"/>
      <c r="G429" s="11">
        <f>IF(ISERROR(AVERAGE(F$13:F429)),"n/a",AVERAGE(F$13:F429))</f>
        <v>117</v>
      </c>
      <c r="H429" s="11">
        <f t="shared" si="63"/>
        <v>117</v>
      </c>
      <c r="J429" s="5"/>
      <c r="K429" s="5"/>
      <c r="L429" s="5"/>
      <c r="M429" s="5"/>
      <c r="N429" s="5"/>
      <c r="O429" s="8" t="str">
        <f t="shared" si="61"/>
        <v>n/a</v>
      </c>
      <c r="Q429" s="5"/>
      <c r="R429" s="5"/>
      <c r="S429" s="5"/>
      <c r="U429" s="6"/>
      <c r="V429" s="9" t="str">
        <f t="shared" si="64"/>
        <v/>
      </c>
      <c r="W429" s="9" t="str">
        <f t="shared" si="65"/>
        <v/>
      </c>
      <c r="X429" s="10">
        <f>SUM(V$13:V429)/COUNTA(B$13:B429)</f>
        <v>1.6786570743405275E-2</v>
      </c>
      <c r="Z429" s="5"/>
      <c r="AA429" s="5"/>
      <c r="AC429" s="7"/>
      <c r="AE429" s="54" t="e">
        <f t="shared" si="66"/>
        <v>#N/A</v>
      </c>
      <c r="AF429" s="4" t="e">
        <f t="shared" si="62"/>
        <v>#N/A</v>
      </c>
    </row>
    <row r="430" spans="2:32">
      <c r="B430" s="5">
        <f t="shared" si="67"/>
        <v>418</v>
      </c>
      <c r="C430" s="5"/>
      <c r="E430" s="13"/>
      <c r="F430" s="5"/>
      <c r="G430" s="11">
        <f>IF(ISERROR(AVERAGE(F$13:F430)),"n/a",AVERAGE(F$13:F430))</f>
        <v>117</v>
      </c>
      <c r="H430" s="11">
        <f t="shared" si="63"/>
        <v>117</v>
      </c>
      <c r="J430" s="5"/>
      <c r="K430" s="5"/>
      <c r="L430" s="5"/>
      <c r="M430" s="5"/>
      <c r="N430" s="5"/>
      <c r="O430" s="8" t="str">
        <f t="shared" si="61"/>
        <v>n/a</v>
      </c>
      <c r="Q430" s="5"/>
      <c r="R430" s="5"/>
      <c r="S430" s="5"/>
      <c r="U430" s="6"/>
      <c r="V430" s="9" t="str">
        <f t="shared" si="64"/>
        <v/>
      </c>
      <c r="W430" s="9" t="str">
        <f t="shared" si="65"/>
        <v/>
      </c>
      <c r="X430" s="10">
        <f>SUM(V$13:V430)/COUNTA(B$13:B430)</f>
        <v>1.6746411483253589E-2</v>
      </c>
      <c r="Z430" s="5"/>
      <c r="AA430" s="5"/>
      <c r="AC430" s="7"/>
      <c r="AE430" s="54" t="e">
        <f t="shared" si="66"/>
        <v>#N/A</v>
      </c>
      <c r="AF430" s="4" t="e">
        <f t="shared" si="62"/>
        <v>#N/A</v>
      </c>
    </row>
    <row r="431" spans="2:32">
      <c r="B431" s="5">
        <f t="shared" si="67"/>
        <v>419</v>
      </c>
      <c r="C431" s="5"/>
      <c r="E431" s="13"/>
      <c r="F431" s="5"/>
      <c r="G431" s="11">
        <f>IF(ISERROR(AVERAGE(F$13:F431)),"n/a",AVERAGE(F$13:F431))</f>
        <v>117</v>
      </c>
      <c r="H431" s="11">
        <f t="shared" si="63"/>
        <v>117</v>
      </c>
      <c r="J431" s="5"/>
      <c r="K431" s="5"/>
      <c r="L431" s="5"/>
      <c r="M431" s="5"/>
      <c r="N431" s="5"/>
      <c r="O431" s="8" t="str">
        <f t="shared" si="61"/>
        <v>n/a</v>
      </c>
      <c r="Q431" s="5"/>
      <c r="R431" s="5"/>
      <c r="S431" s="5"/>
      <c r="U431" s="6"/>
      <c r="V431" s="9" t="str">
        <f t="shared" si="64"/>
        <v/>
      </c>
      <c r="W431" s="9" t="str">
        <f t="shared" si="65"/>
        <v/>
      </c>
      <c r="X431" s="10">
        <f>SUM(V$13:V431)/COUNTA(B$13:B431)</f>
        <v>1.6706443914081145E-2</v>
      </c>
      <c r="Z431" s="5"/>
      <c r="AA431" s="5"/>
      <c r="AC431" s="7"/>
      <c r="AE431" s="54" t="e">
        <f t="shared" si="66"/>
        <v>#N/A</v>
      </c>
      <c r="AF431" s="4" t="e">
        <f t="shared" si="62"/>
        <v>#N/A</v>
      </c>
    </row>
    <row r="432" spans="2:32">
      <c r="B432" s="5">
        <f t="shared" si="67"/>
        <v>420</v>
      </c>
      <c r="C432" s="5"/>
      <c r="E432" s="13"/>
      <c r="F432" s="5"/>
      <c r="G432" s="11">
        <f>IF(ISERROR(AVERAGE(F$13:F432)),"n/a",AVERAGE(F$13:F432))</f>
        <v>117</v>
      </c>
      <c r="H432" s="11">
        <f t="shared" si="63"/>
        <v>117</v>
      </c>
      <c r="J432" s="5"/>
      <c r="K432" s="5"/>
      <c r="L432" s="5"/>
      <c r="M432" s="5"/>
      <c r="N432" s="5"/>
      <c r="O432" s="8" t="str">
        <f t="shared" si="61"/>
        <v>n/a</v>
      </c>
      <c r="Q432" s="5"/>
      <c r="R432" s="5"/>
      <c r="S432" s="5"/>
      <c r="U432" s="6"/>
      <c r="V432" s="9" t="str">
        <f t="shared" si="64"/>
        <v/>
      </c>
      <c r="W432" s="9" t="str">
        <f t="shared" si="65"/>
        <v/>
      </c>
      <c r="X432" s="10">
        <f>SUM(V$13:V432)/COUNTA(B$13:B432)</f>
        <v>1.6666666666666666E-2</v>
      </c>
      <c r="Z432" s="5"/>
      <c r="AA432" s="5"/>
      <c r="AC432" s="7"/>
      <c r="AE432" s="54" t="e">
        <f t="shared" si="66"/>
        <v>#N/A</v>
      </c>
      <c r="AF432" s="4" t="e">
        <f t="shared" si="62"/>
        <v>#N/A</v>
      </c>
    </row>
    <row r="433" spans="2:32">
      <c r="B433" s="5">
        <f t="shared" si="67"/>
        <v>421</v>
      </c>
      <c r="C433" s="5"/>
      <c r="E433" s="13"/>
      <c r="F433" s="5"/>
      <c r="G433" s="11">
        <f>IF(ISERROR(AVERAGE(F$13:F433)),"n/a",AVERAGE(F$13:F433))</f>
        <v>117</v>
      </c>
      <c r="H433" s="11">
        <f t="shared" si="63"/>
        <v>117</v>
      </c>
      <c r="J433" s="5"/>
      <c r="K433" s="5"/>
      <c r="L433" s="5"/>
      <c r="M433" s="5"/>
      <c r="N433" s="5"/>
      <c r="O433" s="8" t="str">
        <f t="shared" ref="O433:O496" si="68">IF(J433=1,"A",IF(K433=1,"B",IF(L433=1,"C",IF(M433=1,"D",IF(N433=1,"E","n/a")))))</f>
        <v>n/a</v>
      </c>
      <c r="Q433" s="5"/>
      <c r="R433" s="5"/>
      <c r="S433" s="5"/>
      <c r="U433" s="6"/>
      <c r="V433" s="9" t="str">
        <f t="shared" si="64"/>
        <v/>
      </c>
      <c r="W433" s="9" t="str">
        <f t="shared" si="65"/>
        <v/>
      </c>
      <c r="X433" s="10">
        <f>SUM(V$13:V433)/COUNTA(B$13:B433)</f>
        <v>1.66270783847981E-2</v>
      </c>
      <c r="Z433" s="5"/>
      <c r="AA433" s="5"/>
      <c r="AC433" s="7"/>
      <c r="AE433" s="54" t="e">
        <f t="shared" si="66"/>
        <v>#N/A</v>
      </c>
      <c r="AF433" s="4" t="e">
        <f t="shared" si="62"/>
        <v>#N/A</v>
      </c>
    </row>
    <row r="434" spans="2:32">
      <c r="B434" s="5">
        <f t="shared" si="67"/>
        <v>422</v>
      </c>
      <c r="C434" s="5"/>
      <c r="E434" s="13"/>
      <c r="F434" s="5"/>
      <c r="G434" s="11">
        <f>IF(ISERROR(AVERAGE(F$13:F434)),"n/a",AVERAGE(F$13:F434))</f>
        <v>117</v>
      </c>
      <c r="H434" s="11">
        <f t="shared" si="63"/>
        <v>117</v>
      </c>
      <c r="J434" s="5"/>
      <c r="K434" s="5"/>
      <c r="L434" s="5"/>
      <c r="M434" s="5"/>
      <c r="N434" s="5"/>
      <c r="O434" s="8" t="str">
        <f t="shared" si="68"/>
        <v>n/a</v>
      </c>
      <c r="Q434" s="5"/>
      <c r="R434" s="5"/>
      <c r="S434" s="5"/>
      <c r="U434" s="6"/>
      <c r="V434" s="9" t="str">
        <f t="shared" si="64"/>
        <v/>
      </c>
      <c r="W434" s="9" t="str">
        <f t="shared" si="65"/>
        <v/>
      </c>
      <c r="X434" s="10">
        <f>SUM(V$13:V434)/COUNTA(B$13:B434)</f>
        <v>1.6587677725118485E-2</v>
      </c>
      <c r="Z434" s="5"/>
      <c r="AA434" s="5"/>
      <c r="AC434" s="7"/>
      <c r="AE434" s="54" t="e">
        <f t="shared" si="66"/>
        <v>#N/A</v>
      </c>
      <c r="AF434" s="4" t="e">
        <f t="shared" si="62"/>
        <v>#N/A</v>
      </c>
    </row>
    <row r="435" spans="2:32">
      <c r="B435" s="5">
        <f t="shared" si="67"/>
        <v>423</v>
      </c>
      <c r="C435" s="5"/>
      <c r="E435" s="13"/>
      <c r="F435" s="5"/>
      <c r="G435" s="11">
        <f>IF(ISERROR(AVERAGE(F$13:F435)),"n/a",AVERAGE(F$13:F435))</f>
        <v>117</v>
      </c>
      <c r="H435" s="11">
        <f t="shared" si="63"/>
        <v>117</v>
      </c>
      <c r="J435" s="5"/>
      <c r="K435" s="5"/>
      <c r="L435" s="5"/>
      <c r="M435" s="5"/>
      <c r="N435" s="5"/>
      <c r="O435" s="8" t="str">
        <f t="shared" si="68"/>
        <v>n/a</v>
      </c>
      <c r="Q435" s="5"/>
      <c r="R435" s="5"/>
      <c r="S435" s="5"/>
      <c r="U435" s="6"/>
      <c r="V435" s="9" t="str">
        <f t="shared" si="64"/>
        <v/>
      </c>
      <c r="W435" s="9" t="str">
        <f t="shared" si="65"/>
        <v/>
      </c>
      <c r="X435" s="10">
        <f>SUM(V$13:V435)/COUNTA(B$13:B435)</f>
        <v>1.6548463356973995E-2</v>
      </c>
      <c r="Z435" s="5"/>
      <c r="AA435" s="5"/>
      <c r="AC435" s="7"/>
      <c r="AE435" s="54" t="e">
        <f t="shared" si="66"/>
        <v>#N/A</v>
      </c>
      <c r="AF435" s="4" t="e">
        <f t="shared" si="62"/>
        <v>#N/A</v>
      </c>
    </row>
    <row r="436" spans="2:32">
      <c r="B436" s="5">
        <f t="shared" si="67"/>
        <v>424</v>
      </c>
      <c r="C436" s="5"/>
      <c r="E436" s="13"/>
      <c r="F436" s="5"/>
      <c r="G436" s="11">
        <f>IF(ISERROR(AVERAGE(F$13:F436)),"n/a",AVERAGE(F$13:F436))</f>
        <v>117</v>
      </c>
      <c r="H436" s="11">
        <f t="shared" si="63"/>
        <v>117</v>
      </c>
      <c r="J436" s="5"/>
      <c r="K436" s="5"/>
      <c r="L436" s="5"/>
      <c r="M436" s="5"/>
      <c r="N436" s="5"/>
      <c r="O436" s="8" t="str">
        <f t="shared" si="68"/>
        <v>n/a</v>
      </c>
      <c r="Q436" s="5"/>
      <c r="R436" s="5"/>
      <c r="S436" s="5"/>
      <c r="U436" s="6"/>
      <c r="V436" s="9" t="str">
        <f t="shared" si="64"/>
        <v/>
      </c>
      <c r="W436" s="9" t="str">
        <f t="shared" si="65"/>
        <v/>
      </c>
      <c r="X436" s="10">
        <f>SUM(V$13:V436)/COUNTA(B$13:B436)</f>
        <v>1.6509433962264151E-2</v>
      </c>
      <c r="Z436" s="5"/>
      <c r="AA436" s="5"/>
      <c r="AC436" s="7"/>
      <c r="AE436" s="54" t="e">
        <f t="shared" si="66"/>
        <v>#N/A</v>
      </c>
      <c r="AF436" s="4" t="e">
        <f t="shared" si="62"/>
        <v>#N/A</v>
      </c>
    </row>
    <row r="437" spans="2:32">
      <c r="B437" s="5">
        <f t="shared" si="67"/>
        <v>425</v>
      </c>
      <c r="C437" s="5"/>
      <c r="E437" s="13"/>
      <c r="F437" s="5"/>
      <c r="G437" s="11">
        <f>IF(ISERROR(AVERAGE(F$13:F437)),"n/a",AVERAGE(F$13:F437))</f>
        <v>117</v>
      </c>
      <c r="H437" s="11">
        <f t="shared" si="63"/>
        <v>117</v>
      </c>
      <c r="J437" s="5"/>
      <c r="K437" s="5"/>
      <c r="L437" s="5"/>
      <c r="M437" s="5"/>
      <c r="N437" s="5"/>
      <c r="O437" s="8" t="str">
        <f t="shared" si="68"/>
        <v>n/a</v>
      </c>
      <c r="Q437" s="5"/>
      <c r="R437" s="5"/>
      <c r="S437" s="5"/>
      <c r="U437" s="6"/>
      <c r="V437" s="9" t="str">
        <f t="shared" si="64"/>
        <v/>
      </c>
      <c r="W437" s="9" t="str">
        <f t="shared" si="65"/>
        <v/>
      </c>
      <c r="X437" s="10">
        <f>SUM(V$13:V437)/COUNTA(B$13:B437)</f>
        <v>1.6470588235294119E-2</v>
      </c>
      <c r="Z437" s="5"/>
      <c r="AA437" s="5"/>
      <c r="AC437" s="7"/>
      <c r="AE437" s="54" t="e">
        <f t="shared" si="66"/>
        <v>#N/A</v>
      </c>
      <c r="AF437" s="4" t="e">
        <f t="shared" si="62"/>
        <v>#N/A</v>
      </c>
    </row>
    <row r="438" spans="2:32">
      <c r="B438" s="5">
        <f t="shared" si="67"/>
        <v>426</v>
      </c>
      <c r="C438" s="5"/>
      <c r="E438" s="13"/>
      <c r="F438" s="5"/>
      <c r="G438" s="11">
        <f>IF(ISERROR(AVERAGE(F$13:F438)),"n/a",AVERAGE(F$13:F438))</f>
        <v>117</v>
      </c>
      <c r="H438" s="11">
        <f t="shared" si="63"/>
        <v>117</v>
      </c>
      <c r="J438" s="5"/>
      <c r="K438" s="5"/>
      <c r="L438" s="5"/>
      <c r="M438" s="5"/>
      <c r="N438" s="5"/>
      <c r="O438" s="8" t="str">
        <f t="shared" si="68"/>
        <v>n/a</v>
      </c>
      <c r="Q438" s="5"/>
      <c r="R438" s="5"/>
      <c r="S438" s="5"/>
      <c r="U438" s="6"/>
      <c r="V438" s="9" t="str">
        <f t="shared" si="64"/>
        <v/>
      </c>
      <c r="W438" s="9" t="str">
        <f t="shared" si="65"/>
        <v/>
      </c>
      <c r="X438" s="10">
        <f>SUM(V$13:V438)/COUNTA(B$13:B438)</f>
        <v>1.6431924882629109E-2</v>
      </c>
      <c r="Z438" s="5"/>
      <c r="AA438" s="5"/>
      <c r="AC438" s="7"/>
      <c r="AE438" s="54" t="e">
        <f t="shared" si="66"/>
        <v>#N/A</v>
      </c>
      <c r="AF438" s="4" t="e">
        <f t="shared" si="62"/>
        <v>#N/A</v>
      </c>
    </row>
    <row r="439" spans="2:32">
      <c r="B439" s="5">
        <f t="shared" si="67"/>
        <v>427</v>
      </c>
      <c r="C439" s="5"/>
      <c r="E439" s="13"/>
      <c r="F439" s="5"/>
      <c r="G439" s="11">
        <f>IF(ISERROR(AVERAGE(F$13:F439)),"n/a",AVERAGE(F$13:F439))</f>
        <v>117</v>
      </c>
      <c r="H439" s="11">
        <f t="shared" si="63"/>
        <v>117</v>
      </c>
      <c r="J439" s="5"/>
      <c r="K439" s="5"/>
      <c r="L439" s="5"/>
      <c r="M439" s="5"/>
      <c r="N439" s="5"/>
      <c r="O439" s="8" t="str">
        <f t="shared" si="68"/>
        <v>n/a</v>
      </c>
      <c r="Q439" s="5"/>
      <c r="R439" s="5"/>
      <c r="S439" s="5"/>
      <c r="U439" s="6"/>
      <c r="V439" s="9" t="str">
        <f t="shared" si="64"/>
        <v/>
      </c>
      <c r="W439" s="9" t="str">
        <f t="shared" si="65"/>
        <v/>
      </c>
      <c r="X439" s="10">
        <f>SUM(V$13:V439)/COUNTA(B$13:B439)</f>
        <v>1.6393442622950821E-2</v>
      </c>
      <c r="Z439" s="5"/>
      <c r="AA439" s="5"/>
      <c r="AC439" s="7"/>
      <c r="AE439" s="54" t="e">
        <f t="shared" si="66"/>
        <v>#N/A</v>
      </c>
      <c r="AF439" s="4" t="e">
        <f t="shared" si="62"/>
        <v>#N/A</v>
      </c>
    </row>
    <row r="440" spans="2:32">
      <c r="B440" s="5">
        <f t="shared" si="67"/>
        <v>428</v>
      </c>
      <c r="C440" s="5"/>
      <c r="E440" s="13"/>
      <c r="F440" s="5"/>
      <c r="G440" s="11">
        <f>IF(ISERROR(AVERAGE(F$13:F440)),"n/a",AVERAGE(F$13:F440))</f>
        <v>117</v>
      </c>
      <c r="H440" s="11">
        <f t="shared" si="63"/>
        <v>117</v>
      </c>
      <c r="J440" s="5"/>
      <c r="K440" s="5"/>
      <c r="L440" s="5"/>
      <c r="M440" s="5"/>
      <c r="N440" s="5"/>
      <c r="O440" s="8" t="str">
        <f t="shared" si="68"/>
        <v>n/a</v>
      </c>
      <c r="Q440" s="5"/>
      <c r="R440" s="5"/>
      <c r="S440" s="5"/>
      <c r="U440" s="6"/>
      <c r="V440" s="9" t="str">
        <f t="shared" si="64"/>
        <v/>
      </c>
      <c r="W440" s="9" t="str">
        <f t="shared" si="65"/>
        <v/>
      </c>
      <c r="X440" s="10">
        <f>SUM(V$13:V440)/COUNTA(B$13:B440)</f>
        <v>1.6355140186915886E-2</v>
      </c>
      <c r="Z440" s="5"/>
      <c r="AA440" s="5"/>
      <c r="AC440" s="7"/>
      <c r="AE440" s="54" t="e">
        <f t="shared" si="66"/>
        <v>#N/A</v>
      </c>
      <c r="AF440" s="4" t="e">
        <f t="shared" si="62"/>
        <v>#N/A</v>
      </c>
    </row>
    <row r="441" spans="2:32">
      <c r="B441" s="5">
        <f t="shared" si="67"/>
        <v>429</v>
      </c>
      <c r="C441" s="5"/>
      <c r="E441" s="13"/>
      <c r="F441" s="5"/>
      <c r="G441" s="11">
        <f>IF(ISERROR(AVERAGE(F$13:F441)),"n/a",AVERAGE(F$13:F441))</f>
        <v>117</v>
      </c>
      <c r="H441" s="11">
        <f t="shared" si="63"/>
        <v>117</v>
      </c>
      <c r="J441" s="5"/>
      <c r="K441" s="5"/>
      <c r="L441" s="5"/>
      <c r="M441" s="5"/>
      <c r="N441" s="5"/>
      <c r="O441" s="8" t="str">
        <f t="shared" si="68"/>
        <v>n/a</v>
      </c>
      <c r="Q441" s="5"/>
      <c r="R441" s="5"/>
      <c r="S441" s="5"/>
      <c r="U441" s="6"/>
      <c r="V441" s="9" t="str">
        <f t="shared" si="64"/>
        <v/>
      </c>
      <c r="W441" s="9" t="str">
        <f t="shared" si="65"/>
        <v/>
      </c>
      <c r="X441" s="10">
        <f>SUM(V$13:V441)/COUNTA(B$13:B441)</f>
        <v>1.6317016317016316E-2</v>
      </c>
      <c r="Z441" s="5"/>
      <c r="AA441" s="5"/>
      <c r="AC441" s="7"/>
      <c r="AE441" s="54" t="e">
        <f t="shared" si="66"/>
        <v>#N/A</v>
      </c>
      <c r="AF441" s="4" t="e">
        <f t="shared" si="62"/>
        <v>#N/A</v>
      </c>
    </row>
    <row r="442" spans="2:32">
      <c r="B442" s="5">
        <f t="shared" si="67"/>
        <v>430</v>
      </c>
      <c r="C442" s="5"/>
      <c r="E442" s="13"/>
      <c r="F442" s="5"/>
      <c r="G442" s="11">
        <f>IF(ISERROR(AVERAGE(F$13:F442)),"n/a",AVERAGE(F$13:F442))</f>
        <v>117</v>
      </c>
      <c r="H442" s="11">
        <f t="shared" si="63"/>
        <v>117</v>
      </c>
      <c r="J442" s="5"/>
      <c r="K442" s="5"/>
      <c r="L442" s="5"/>
      <c r="M442" s="5"/>
      <c r="N442" s="5"/>
      <c r="O442" s="8" t="str">
        <f t="shared" si="68"/>
        <v>n/a</v>
      </c>
      <c r="Q442" s="5"/>
      <c r="R442" s="5"/>
      <c r="S442" s="5"/>
      <c r="U442" s="6"/>
      <c r="V442" s="9" t="str">
        <f t="shared" si="64"/>
        <v/>
      </c>
      <c r="W442" s="9" t="str">
        <f t="shared" si="65"/>
        <v/>
      </c>
      <c r="X442" s="10">
        <f>SUM(V$13:V442)/COUNTA(B$13:B442)</f>
        <v>1.627906976744186E-2</v>
      </c>
      <c r="Z442" s="5"/>
      <c r="AA442" s="5"/>
      <c r="AC442" s="7"/>
      <c r="AE442" s="54" t="e">
        <f t="shared" si="66"/>
        <v>#N/A</v>
      </c>
      <c r="AF442" s="4" t="e">
        <f t="shared" si="62"/>
        <v>#N/A</v>
      </c>
    </row>
    <row r="443" spans="2:32">
      <c r="B443" s="5">
        <f t="shared" si="67"/>
        <v>431</v>
      </c>
      <c r="C443" s="5"/>
      <c r="E443" s="13"/>
      <c r="F443" s="5"/>
      <c r="G443" s="11">
        <f>IF(ISERROR(AVERAGE(F$13:F443)),"n/a",AVERAGE(F$13:F443))</f>
        <v>117</v>
      </c>
      <c r="H443" s="11">
        <f t="shared" si="63"/>
        <v>117</v>
      </c>
      <c r="J443" s="5"/>
      <c r="K443" s="5"/>
      <c r="L443" s="5"/>
      <c r="M443" s="5"/>
      <c r="N443" s="5"/>
      <c r="O443" s="8" t="str">
        <f t="shared" si="68"/>
        <v>n/a</v>
      </c>
      <c r="Q443" s="5"/>
      <c r="R443" s="5"/>
      <c r="S443" s="5"/>
      <c r="U443" s="6"/>
      <c r="V443" s="9" t="str">
        <f t="shared" si="64"/>
        <v/>
      </c>
      <c r="W443" s="9" t="str">
        <f t="shared" si="65"/>
        <v/>
      </c>
      <c r="X443" s="10">
        <f>SUM(V$13:V443)/COUNTA(B$13:B443)</f>
        <v>1.6241299303944315E-2</v>
      </c>
      <c r="Z443" s="5"/>
      <c r="AA443" s="5"/>
      <c r="AC443" s="7"/>
      <c r="AE443" s="54" t="e">
        <f t="shared" si="66"/>
        <v>#N/A</v>
      </c>
      <c r="AF443" s="4" t="e">
        <f t="shared" si="62"/>
        <v>#N/A</v>
      </c>
    </row>
    <row r="444" spans="2:32">
      <c r="B444" s="5">
        <f t="shared" si="67"/>
        <v>432</v>
      </c>
      <c r="C444" s="5"/>
      <c r="E444" s="13"/>
      <c r="F444" s="5"/>
      <c r="G444" s="11">
        <f>IF(ISERROR(AVERAGE(F$13:F444)),"n/a",AVERAGE(F$13:F444))</f>
        <v>117</v>
      </c>
      <c r="H444" s="11">
        <f t="shared" si="63"/>
        <v>117</v>
      </c>
      <c r="J444" s="5"/>
      <c r="K444" s="5"/>
      <c r="L444" s="5"/>
      <c r="M444" s="5"/>
      <c r="N444" s="5"/>
      <c r="O444" s="8" t="str">
        <f t="shared" si="68"/>
        <v>n/a</v>
      </c>
      <c r="Q444" s="5"/>
      <c r="R444" s="5"/>
      <c r="S444" s="5"/>
      <c r="U444" s="6"/>
      <c r="V444" s="9" t="str">
        <f t="shared" si="64"/>
        <v/>
      </c>
      <c r="W444" s="9" t="str">
        <f t="shared" si="65"/>
        <v/>
      </c>
      <c r="X444" s="10">
        <f>SUM(V$13:V444)/COUNTA(B$13:B444)</f>
        <v>1.6203703703703703E-2</v>
      </c>
      <c r="Z444" s="5"/>
      <c r="AA444" s="5"/>
      <c r="AC444" s="7"/>
      <c r="AE444" s="54" t="e">
        <f t="shared" si="66"/>
        <v>#N/A</v>
      </c>
      <c r="AF444" s="4" t="e">
        <f t="shared" si="62"/>
        <v>#N/A</v>
      </c>
    </row>
    <row r="445" spans="2:32">
      <c r="B445" s="5">
        <f t="shared" si="67"/>
        <v>433</v>
      </c>
      <c r="C445" s="5"/>
      <c r="E445" s="13"/>
      <c r="F445" s="5"/>
      <c r="G445" s="11">
        <f>IF(ISERROR(AVERAGE(F$13:F445)),"n/a",AVERAGE(F$13:F445))</f>
        <v>117</v>
      </c>
      <c r="H445" s="11">
        <f t="shared" si="63"/>
        <v>117</v>
      </c>
      <c r="J445" s="5"/>
      <c r="K445" s="5"/>
      <c r="L445" s="5"/>
      <c r="M445" s="5"/>
      <c r="N445" s="5"/>
      <c r="O445" s="8" t="str">
        <f t="shared" si="68"/>
        <v>n/a</v>
      </c>
      <c r="Q445" s="5"/>
      <c r="R445" s="5"/>
      <c r="S445" s="5"/>
      <c r="U445" s="6"/>
      <c r="V445" s="9" t="str">
        <f t="shared" si="64"/>
        <v/>
      </c>
      <c r="W445" s="9" t="str">
        <f t="shared" si="65"/>
        <v/>
      </c>
      <c r="X445" s="10">
        <f>SUM(V$13:V445)/COUNTA(B$13:B445)</f>
        <v>1.6166281755196306E-2</v>
      </c>
      <c r="Z445" s="5"/>
      <c r="AA445" s="5"/>
      <c r="AC445" s="7"/>
      <c r="AE445" s="54" t="e">
        <f t="shared" si="66"/>
        <v>#N/A</v>
      </c>
      <c r="AF445" s="4" t="e">
        <f t="shared" si="62"/>
        <v>#N/A</v>
      </c>
    </row>
    <row r="446" spans="2:32">
      <c r="B446" s="5">
        <f t="shared" si="67"/>
        <v>434</v>
      </c>
      <c r="C446" s="5"/>
      <c r="E446" s="13"/>
      <c r="F446" s="5"/>
      <c r="G446" s="11">
        <f>IF(ISERROR(AVERAGE(F$13:F446)),"n/a",AVERAGE(F$13:F446))</f>
        <v>117</v>
      </c>
      <c r="H446" s="11">
        <f t="shared" si="63"/>
        <v>117</v>
      </c>
      <c r="J446" s="5"/>
      <c r="K446" s="5"/>
      <c r="L446" s="5"/>
      <c r="M446" s="5"/>
      <c r="N446" s="5"/>
      <c r="O446" s="8" t="str">
        <f t="shared" si="68"/>
        <v>n/a</v>
      </c>
      <c r="Q446" s="5"/>
      <c r="R446" s="5"/>
      <c r="S446" s="5"/>
      <c r="U446" s="6"/>
      <c r="V446" s="9" t="str">
        <f t="shared" si="64"/>
        <v/>
      </c>
      <c r="W446" s="9" t="str">
        <f t="shared" si="65"/>
        <v/>
      </c>
      <c r="X446" s="10">
        <f>SUM(V$13:V446)/COUNTA(B$13:B446)</f>
        <v>1.6129032258064516E-2</v>
      </c>
      <c r="Z446" s="5"/>
      <c r="AA446" s="5"/>
      <c r="AC446" s="7"/>
      <c r="AE446" s="54" t="e">
        <f t="shared" si="66"/>
        <v>#N/A</v>
      </c>
      <c r="AF446" s="4" t="e">
        <f t="shared" si="62"/>
        <v>#N/A</v>
      </c>
    </row>
    <row r="447" spans="2:32">
      <c r="B447" s="5">
        <f t="shared" si="67"/>
        <v>435</v>
      </c>
      <c r="C447" s="5"/>
      <c r="E447" s="13"/>
      <c r="F447" s="5"/>
      <c r="G447" s="11">
        <f>IF(ISERROR(AVERAGE(F$13:F447)),"n/a",AVERAGE(F$13:F447))</f>
        <v>117</v>
      </c>
      <c r="H447" s="11">
        <f t="shared" si="63"/>
        <v>117</v>
      </c>
      <c r="J447" s="5"/>
      <c r="K447" s="5"/>
      <c r="L447" s="5"/>
      <c r="M447" s="5"/>
      <c r="N447" s="5"/>
      <c r="O447" s="8" t="str">
        <f t="shared" si="68"/>
        <v>n/a</v>
      </c>
      <c r="Q447" s="5"/>
      <c r="R447" s="5"/>
      <c r="S447" s="5"/>
      <c r="U447" s="6"/>
      <c r="V447" s="9" t="str">
        <f t="shared" si="64"/>
        <v/>
      </c>
      <c r="W447" s="9" t="str">
        <f t="shared" si="65"/>
        <v/>
      </c>
      <c r="X447" s="10">
        <f>SUM(V$13:V447)/COUNTA(B$13:B447)</f>
        <v>1.6091954022988506E-2</v>
      </c>
      <c r="Z447" s="5"/>
      <c r="AA447" s="5"/>
      <c r="AC447" s="7"/>
      <c r="AE447" s="54" t="e">
        <f t="shared" si="66"/>
        <v>#N/A</v>
      </c>
      <c r="AF447" s="4" t="e">
        <f t="shared" si="62"/>
        <v>#N/A</v>
      </c>
    </row>
    <row r="448" spans="2:32">
      <c r="B448" s="5">
        <f t="shared" si="67"/>
        <v>436</v>
      </c>
      <c r="C448" s="5"/>
      <c r="E448" s="13"/>
      <c r="F448" s="5"/>
      <c r="G448" s="11">
        <f>IF(ISERROR(AVERAGE(F$13:F448)),"n/a",AVERAGE(F$13:F448))</f>
        <v>117</v>
      </c>
      <c r="H448" s="11">
        <f t="shared" si="63"/>
        <v>117</v>
      </c>
      <c r="J448" s="5"/>
      <c r="K448" s="5"/>
      <c r="L448" s="5"/>
      <c r="M448" s="5"/>
      <c r="N448" s="5"/>
      <c r="O448" s="8" t="str">
        <f t="shared" si="68"/>
        <v>n/a</v>
      </c>
      <c r="Q448" s="5"/>
      <c r="R448" s="5"/>
      <c r="S448" s="5"/>
      <c r="U448" s="6"/>
      <c r="V448" s="9" t="str">
        <f t="shared" si="64"/>
        <v/>
      </c>
      <c r="W448" s="9" t="str">
        <f t="shared" si="65"/>
        <v/>
      </c>
      <c r="X448" s="10">
        <f>SUM(V$13:V448)/COUNTA(B$13:B448)</f>
        <v>1.6055045871559634E-2</v>
      </c>
      <c r="Z448" s="5"/>
      <c r="AA448" s="5"/>
      <c r="AC448" s="7"/>
      <c r="AE448" s="54" t="e">
        <f t="shared" si="66"/>
        <v>#N/A</v>
      </c>
      <c r="AF448" s="4" t="e">
        <f t="shared" si="62"/>
        <v>#N/A</v>
      </c>
    </row>
    <row r="449" spans="2:32">
      <c r="B449" s="5">
        <f t="shared" si="67"/>
        <v>437</v>
      </c>
      <c r="C449" s="5"/>
      <c r="E449" s="13"/>
      <c r="F449" s="5"/>
      <c r="G449" s="11">
        <f>IF(ISERROR(AVERAGE(F$13:F449)),"n/a",AVERAGE(F$13:F449))</f>
        <v>117</v>
      </c>
      <c r="H449" s="11">
        <f t="shared" si="63"/>
        <v>117</v>
      </c>
      <c r="J449" s="5"/>
      <c r="K449" s="5"/>
      <c r="L449" s="5"/>
      <c r="M449" s="5"/>
      <c r="N449" s="5"/>
      <c r="O449" s="8" t="str">
        <f t="shared" si="68"/>
        <v>n/a</v>
      </c>
      <c r="Q449" s="5"/>
      <c r="R449" s="5"/>
      <c r="S449" s="5"/>
      <c r="U449" s="6"/>
      <c r="V449" s="9" t="str">
        <f t="shared" si="64"/>
        <v/>
      </c>
      <c r="W449" s="9" t="str">
        <f t="shared" si="65"/>
        <v/>
      </c>
      <c r="X449" s="10">
        <f>SUM(V$13:V449)/COUNTA(B$13:B449)</f>
        <v>1.6018306636155607E-2</v>
      </c>
      <c r="Z449" s="5"/>
      <c r="AA449" s="5"/>
      <c r="AC449" s="7"/>
      <c r="AE449" s="54" t="e">
        <f t="shared" si="66"/>
        <v>#N/A</v>
      </c>
      <c r="AF449" s="4" t="e">
        <f t="shared" si="62"/>
        <v>#N/A</v>
      </c>
    </row>
    <row r="450" spans="2:32">
      <c r="B450" s="5">
        <f t="shared" si="67"/>
        <v>438</v>
      </c>
      <c r="C450" s="5"/>
      <c r="E450" s="13"/>
      <c r="F450" s="5"/>
      <c r="G450" s="11">
        <f>IF(ISERROR(AVERAGE(F$13:F450)),"n/a",AVERAGE(F$13:F450))</f>
        <v>117</v>
      </c>
      <c r="H450" s="11">
        <f t="shared" si="63"/>
        <v>117</v>
      </c>
      <c r="J450" s="5"/>
      <c r="K450" s="5"/>
      <c r="L450" s="5"/>
      <c r="M450" s="5"/>
      <c r="N450" s="5"/>
      <c r="O450" s="8" t="str">
        <f t="shared" si="68"/>
        <v>n/a</v>
      </c>
      <c r="Q450" s="5"/>
      <c r="R450" s="5"/>
      <c r="S450" s="5"/>
      <c r="U450" s="6"/>
      <c r="V450" s="9" t="str">
        <f t="shared" si="64"/>
        <v/>
      </c>
      <c r="W450" s="9" t="str">
        <f t="shared" si="65"/>
        <v/>
      </c>
      <c r="X450" s="10">
        <f>SUM(V$13:V450)/COUNTA(B$13:B450)</f>
        <v>1.5981735159817351E-2</v>
      </c>
      <c r="Z450" s="5"/>
      <c r="AA450" s="5"/>
      <c r="AC450" s="7"/>
      <c r="AE450" s="54" t="e">
        <f t="shared" si="66"/>
        <v>#N/A</v>
      </c>
      <c r="AF450" s="4" t="e">
        <f t="shared" si="62"/>
        <v>#N/A</v>
      </c>
    </row>
    <row r="451" spans="2:32">
      <c r="B451" s="5">
        <f t="shared" si="67"/>
        <v>439</v>
      </c>
      <c r="C451" s="5"/>
      <c r="E451" s="13"/>
      <c r="F451" s="5"/>
      <c r="G451" s="11">
        <f>IF(ISERROR(AVERAGE(F$13:F451)),"n/a",AVERAGE(F$13:F451))</f>
        <v>117</v>
      </c>
      <c r="H451" s="11">
        <f t="shared" si="63"/>
        <v>117</v>
      </c>
      <c r="J451" s="5"/>
      <c r="K451" s="5"/>
      <c r="L451" s="5"/>
      <c r="M451" s="5"/>
      <c r="N451" s="5"/>
      <c r="O451" s="8" t="str">
        <f t="shared" si="68"/>
        <v>n/a</v>
      </c>
      <c r="Q451" s="5"/>
      <c r="R451" s="5"/>
      <c r="S451" s="5"/>
      <c r="U451" s="6"/>
      <c r="V451" s="9" t="str">
        <f t="shared" si="64"/>
        <v/>
      </c>
      <c r="W451" s="9" t="str">
        <f t="shared" si="65"/>
        <v/>
      </c>
      <c r="X451" s="10">
        <f>SUM(V$13:V451)/COUNTA(B$13:B451)</f>
        <v>1.5945330296127564E-2</v>
      </c>
      <c r="Z451" s="5"/>
      <c r="AA451" s="5"/>
      <c r="AC451" s="7"/>
      <c r="AE451" s="54" t="e">
        <f t="shared" si="66"/>
        <v>#N/A</v>
      </c>
      <c r="AF451" s="4" t="e">
        <f t="shared" si="62"/>
        <v>#N/A</v>
      </c>
    </row>
    <row r="452" spans="2:32">
      <c r="B452" s="5">
        <f t="shared" si="67"/>
        <v>440</v>
      </c>
      <c r="C452" s="5"/>
      <c r="E452" s="13"/>
      <c r="F452" s="5"/>
      <c r="G452" s="11">
        <f>IF(ISERROR(AVERAGE(F$13:F452)),"n/a",AVERAGE(F$13:F452))</f>
        <v>117</v>
      </c>
      <c r="H452" s="11">
        <f t="shared" si="63"/>
        <v>117</v>
      </c>
      <c r="J452" s="5"/>
      <c r="K452" s="5"/>
      <c r="L452" s="5"/>
      <c r="M452" s="5"/>
      <c r="N452" s="5"/>
      <c r="O452" s="8" t="str">
        <f t="shared" si="68"/>
        <v>n/a</v>
      </c>
      <c r="Q452" s="5"/>
      <c r="R452" s="5"/>
      <c r="S452" s="5"/>
      <c r="U452" s="6"/>
      <c r="V452" s="9" t="str">
        <f t="shared" si="64"/>
        <v/>
      </c>
      <c r="W452" s="9" t="str">
        <f t="shared" si="65"/>
        <v/>
      </c>
      <c r="X452" s="10">
        <f>SUM(V$13:V452)/COUNTA(B$13:B452)</f>
        <v>1.5909090909090907E-2</v>
      </c>
      <c r="Z452" s="5"/>
      <c r="AA452" s="5"/>
      <c r="AC452" s="7"/>
      <c r="AE452" s="54" t="e">
        <f t="shared" si="66"/>
        <v>#N/A</v>
      </c>
      <c r="AF452" s="4" t="e">
        <f t="shared" si="62"/>
        <v>#N/A</v>
      </c>
    </row>
    <row r="453" spans="2:32">
      <c r="B453" s="5">
        <f t="shared" si="67"/>
        <v>441</v>
      </c>
      <c r="C453" s="5"/>
      <c r="E453" s="13"/>
      <c r="F453" s="5"/>
      <c r="G453" s="11">
        <f>IF(ISERROR(AVERAGE(F$13:F453)),"n/a",AVERAGE(F$13:F453))</f>
        <v>117</v>
      </c>
      <c r="H453" s="11">
        <f t="shared" si="63"/>
        <v>117</v>
      </c>
      <c r="J453" s="5"/>
      <c r="K453" s="5"/>
      <c r="L453" s="5"/>
      <c r="M453" s="5"/>
      <c r="N453" s="5"/>
      <c r="O453" s="8" t="str">
        <f t="shared" si="68"/>
        <v>n/a</v>
      </c>
      <c r="Q453" s="5"/>
      <c r="R453" s="5"/>
      <c r="S453" s="5"/>
      <c r="U453" s="6"/>
      <c r="V453" s="9" t="str">
        <f t="shared" si="64"/>
        <v/>
      </c>
      <c r="W453" s="9" t="str">
        <f t="shared" si="65"/>
        <v/>
      </c>
      <c r="X453" s="10">
        <f>SUM(V$13:V453)/COUNTA(B$13:B453)</f>
        <v>1.5873015873015872E-2</v>
      </c>
      <c r="Z453" s="5"/>
      <c r="AA453" s="5"/>
      <c r="AC453" s="7"/>
      <c r="AE453" s="54" t="e">
        <f t="shared" si="66"/>
        <v>#N/A</v>
      </c>
      <c r="AF453" s="4" t="e">
        <f t="shared" si="62"/>
        <v>#N/A</v>
      </c>
    </row>
    <row r="454" spans="2:32">
      <c r="B454" s="5">
        <f t="shared" si="67"/>
        <v>442</v>
      </c>
      <c r="C454" s="5"/>
      <c r="E454" s="13"/>
      <c r="F454" s="5"/>
      <c r="G454" s="11">
        <f>IF(ISERROR(AVERAGE(F$13:F454)),"n/a",AVERAGE(F$13:F454))</f>
        <v>117</v>
      </c>
      <c r="H454" s="11">
        <f t="shared" si="63"/>
        <v>117</v>
      </c>
      <c r="J454" s="5"/>
      <c r="K454" s="5"/>
      <c r="L454" s="5"/>
      <c r="M454" s="5"/>
      <c r="N454" s="5"/>
      <c r="O454" s="8" t="str">
        <f t="shared" si="68"/>
        <v>n/a</v>
      </c>
      <c r="Q454" s="5"/>
      <c r="R454" s="5"/>
      <c r="S454" s="5"/>
      <c r="U454" s="6"/>
      <c r="V454" s="9" t="str">
        <f t="shared" si="64"/>
        <v/>
      </c>
      <c r="W454" s="9" t="str">
        <f t="shared" si="65"/>
        <v/>
      </c>
      <c r="X454" s="10">
        <f>SUM(V$13:V454)/COUNTA(B$13:B454)</f>
        <v>1.5837104072398189E-2</v>
      </c>
      <c r="Z454" s="5"/>
      <c r="AA454" s="5"/>
      <c r="AC454" s="7"/>
      <c r="AE454" s="54" t="e">
        <f t="shared" si="66"/>
        <v>#N/A</v>
      </c>
      <c r="AF454" s="4" t="e">
        <f t="shared" si="62"/>
        <v>#N/A</v>
      </c>
    </row>
    <row r="455" spans="2:32">
      <c r="B455" s="5">
        <f t="shared" si="67"/>
        <v>443</v>
      </c>
      <c r="C455" s="5"/>
      <c r="E455" s="13"/>
      <c r="F455" s="5"/>
      <c r="G455" s="11">
        <f>IF(ISERROR(AVERAGE(F$13:F455)),"n/a",AVERAGE(F$13:F455))</f>
        <v>117</v>
      </c>
      <c r="H455" s="11">
        <f t="shared" si="63"/>
        <v>117</v>
      </c>
      <c r="J455" s="5"/>
      <c r="K455" s="5"/>
      <c r="L455" s="5"/>
      <c r="M455" s="5"/>
      <c r="N455" s="5"/>
      <c r="O455" s="8" t="str">
        <f t="shared" si="68"/>
        <v>n/a</v>
      </c>
      <c r="Q455" s="5"/>
      <c r="R455" s="5"/>
      <c r="S455" s="5"/>
      <c r="U455" s="6"/>
      <c r="V455" s="9" t="str">
        <f t="shared" si="64"/>
        <v/>
      </c>
      <c r="W455" s="9" t="str">
        <f t="shared" si="65"/>
        <v/>
      </c>
      <c r="X455" s="10">
        <f>SUM(V$13:V455)/COUNTA(B$13:B455)</f>
        <v>1.580135440180587E-2</v>
      </c>
      <c r="Z455" s="5"/>
      <c r="AA455" s="5"/>
      <c r="AC455" s="7"/>
      <c r="AE455" s="54" t="e">
        <f t="shared" si="66"/>
        <v>#N/A</v>
      </c>
      <c r="AF455" s="4" t="e">
        <f t="shared" si="62"/>
        <v>#N/A</v>
      </c>
    </row>
    <row r="456" spans="2:32">
      <c r="B456" s="5">
        <f t="shared" si="67"/>
        <v>444</v>
      </c>
      <c r="C456" s="5"/>
      <c r="E456" s="13"/>
      <c r="F456" s="5"/>
      <c r="G456" s="11">
        <f>IF(ISERROR(AVERAGE(F$13:F456)),"n/a",AVERAGE(F$13:F456))</f>
        <v>117</v>
      </c>
      <c r="H456" s="11">
        <f t="shared" si="63"/>
        <v>117</v>
      </c>
      <c r="J456" s="5"/>
      <c r="K456" s="5"/>
      <c r="L456" s="5"/>
      <c r="M456" s="5"/>
      <c r="N456" s="5"/>
      <c r="O456" s="8" t="str">
        <f t="shared" si="68"/>
        <v>n/a</v>
      </c>
      <c r="Q456" s="5"/>
      <c r="R456" s="5"/>
      <c r="S456" s="5"/>
      <c r="U456" s="6"/>
      <c r="V456" s="9" t="str">
        <f t="shared" si="64"/>
        <v/>
      </c>
      <c r="W456" s="9" t="str">
        <f t="shared" si="65"/>
        <v/>
      </c>
      <c r="X456" s="10">
        <f>SUM(V$13:V456)/COUNTA(B$13:B456)</f>
        <v>1.5765765765765764E-2</v>
      </c>
      <c r="Z456" s="5"/>
      <c r="AA456" s="5"/>
      <c r="AC456" s="7"/>
      <c r="AE456" s="54" t="e">
        <f t="shared" si="66"/>
        <v>#N/A</v>
      </c>
      <c r="AF456" s="4" t="e">
        <f t="shared" si="62"/>
        <v>#N/A</v>
      </c>
    </row>
    <row r="457" spans="2:32">
      <c r="B457" s="5">
        <f t="shared" si="67"/>
        <v>445</v>
      </c>
      <c r="C457" s="5"/>
      <c r="E457" s="13"/>
      <c r="F457" s="5"/>
      <c r="G457" s="11">
        <f>IF(ISERROR(AVERAGE(F$13:F457)),"n/a",AVERAGE(F$13:F457))</f>
        <v>117</v>
      </c>
      <c r="H457" s="11">
        <f t="shared" si="63"/>
        <v>117</v>
      </c>
      <c r="J457" s="5"/>
      <c r="K457" s="5"/>
      <c r="L457" s="5"/>
      <c r="M457" s="5"/>
      <c r="N457" s="5"/>
      <c r="O457" s="8" t="str">
        <f t="shared" si="68"/>
        <v>n/a</v>
      </c>
      <c r="Q457" s="5"/>
      <c r="R457" s="5"/>
      <c r="S457" s="5"/>
      <c r="U457" s="6"/>
      <c r="V457" s="9" t="str">
        <f t="shared" si="64"/>
        <v/>
      </c>
      <c r="W457" s="9" t="str">
        <f t="shared" si="65"/>
        <v/>
      </c>
      <c r="X457" s="10">
        <f>SUM(V$13:V457)/COUNTA(B$13:B457)</f>
        <v>1.5730337078651686E-2</v>
      </c>
      <c r="Z457" s="5"/>
      <c r="AA457" s="5"/>
      <c r="AC457" s="7"/>
      <c r="AE457" s="54" t="e">
        <f t="shared" si="66"/>
        <v>#N/A</v>
      </c>
      <c r="AF457" s="4" t="e">
        <f t="shared" si="62"/>
        <v>#N/A</v>
      </c>
    </row>
    <row r="458" spans="2:32">
      <c r="B458" s="5">
        <f t="shared" si="67"/>
        <v>446</v>
      </c>
      <c r="C458" s="5"/>
      <c r="E458" s="13"/>
      <c r="F458" s="5"/>
      <c r="G458" s="11">
        <f>IF(ISERROR(AVERAGE(F$13:F458)),"n/a",AVERAGE(F$13:F458))</f>
        <v>117</v>
      </c>
      <c r="H458" s="11">
        <f t="shared" si="63"/>
        <v>117</v>
      </c>
      <c r="J458" s="5"/>
      <c r="K458" s="5"/>
      <c r="L458" s="5"/>
      <c r="M458" s="5"/>
      <c r="N458" s="5"/>
      <c r="O458" s="8" t="str">
        <f t="shared" si="68"/>
        <v>n/a</v>
      </c>
      <c r="Q458" s="5"/>
      <c r="R458" s="5"/>
      <c r="S458" s="5"/>
      <c r="U458" s="6"/>
      <c r="V458" s="9" t="str">
        <f t="shared" si="64"/>
        <v/>
      </c>
      <c r="W458" s="9" t="str">
        <f t="shared" si="65"/>
        <v/>
      </c>
      <c r="X458" s="10">
        <f>SUM(V$13:V458)/COUNTA(B$13:B458)</f>
        <v>1.5695067264573991E-2</v>
      </c>
      <c r="Z458" s="5"/>
      <c r="AA458" s="5"/>
      <c r="AC458" s="7"/>
      <c r="AE458" s="54" t="e">
        <f t="shared" si="66"/>
        <v>#N/A</v>
      </c>
      <c r="AF458" s="4" t="e">
        <f t="shared" si="62"/>
        <v>#N/A</v>
      </c>
    </row>
    <row r="459" spans="2:32">
      <c r="B459" s="5">
        <f t="shared" si="67"/>
        <v>447</v>
      </c>
      <c r="C459" s="5"/>
      <c r="E459" s="13"/>
      <c r="F459" s="5"/>
      <c r="G459" s="11">
        <f>IF(ISERROR(AVERAGE(F$13:F459)),"n/a",AVERAGE(F$13:F459))</f>
        <v>117</v>
      </c>
      <c r="H459" s="11">
        <f t="shared" si="63"/>
        <v>117</v>
      </c>
      <c r="J459" s="5"/>
      <c r="K459" s="5"/>
      <c r="L459" s="5"/>
      <c r="M459" s="5"/>
      <c r="N459" s="5"/>
      <c r="O459" s="8" t="str">
        <f t="shared" si="68"/>
        <v>n/a</v>
      </c>
      <c r="Q459" s="5"/>
      <c r="R459" s="5"/>
      <c r="S459" s="5"/>
      <c r="U459" s="6"/>
      <c r="V459" s="9" t="str">
        <f t="shared" si="64"/>
        <v/>
      </c>
      <c r="W459" s="9" t="str">
        <f t="shared" si="65"/>
        <v/>
      </c>
      <c r="X459" s="10">
        <f>SUM(V$13:V459)/COUNTA(B$13:B459)</f>
        <v>1.5659955257270694E-2</v>
      </c>
      <c r="Z459" s="5"/>
      <c r="AA459" s="5"/>
      <c r="AC459" s="7"/>
      <c r="AE459" s="54" t="e">
        <f t="shared" si="66"/>
        <v>#N/A</v>
      </c>
      <c r="AF459" s="4" t="e">
        <f t="shared" si="62"/>
        <v>#N/A</v>
      </c>
    </row>
    <row r="460" spans="2:32">
      <c r="B460" s="5">
        <f t="shared" si="67"/>
        <v>448</v>
      </c>
      <c r="C460" s="5"/>
      <c r="E460" s="13"/>
      <c r="F460" s="5"/>
      <c r="G460" s="11">
        <f>IF(ISERROR(AVERAGE(F$13:F460)),"n/a",AVERAGE(F$13:F460))</f>
        <v>117</v>
      </c>
      <c r="H460" s="11">
        <f t="shared" si="63"/>
        <v>117</v>
      </c>
      <c r="J460" s="5"/>
      <c r="K460" s="5"/>
      <c r="L460" s="5"/>
      <c r="M460" s="5"/>
      <c r="N460" s="5"/>
      <c r="O460" s="8" t="str">
        <f t="shared" si="68"/>
        <v>n/a</v>
      </c>
      <c r="Q460" s="5"/>
      <c r="R460" s="5"/>
      <c r="S460" s="5"/>
      <c r="U460" s="6"/>
      <c r="V460" s="9" t="str">
        <f t="shared" si="64"/>
        <v/>
      </c>
      <c r="W460" s="9" t="str">
        <f t="shared" si="65"/>
        <v/>
      </c>
      <c r="X460" s="10">
        <f>SUM(V$13:V460)/COUNTA(B$13:B460)</f>
        <v>1.5625E-2</v>
      </c>
      <c r="Z460" s="5"/>
      <c r="AA460" s="5"/>
      <c r="AC460" s="7"/>
      <c r="AE460" s="54" t="e">
        <f t="shared" si="66"/>
        <v>#N/A</v>
      </c>
      <c r="AF460" s="4" t="e">
        <f t="shared" si="62"/>
        <v>#N/A</v>
      </c>
    </row>
    <row r="461" spans="2:32">
      <c r="B461" s="5">
        <f t="shared" si="67"/>
        <v>449</v>
      </c>
      <c r="C461" s="5"/>
      <c r="E461" s="13"/>
      <c r="F461" s="5"/>
      <c r="G461" s="11">
        <f>IF(ISERROR(AVERAGE(F$13:F461)),"n/a",AVERAGE(F$13:F461))</f>
        <v>117</v>
      </c>
      <c r="H461" s="11">
        <f t="shared" si="63"/>
        <v>117</v>
      </c>
      <c r="J461" s="5"/>
      <c r="K461" s="5"/>
      <c r="L461" s="5"/>
      <c r="M461" s="5"/>
      <c r="N461" s="5"/>
      <c r="O461" s="8" t="str">
        <f t="shared" si="68"/>
        <v>n/a</v>
      </c>
      <c r="Q461" s="5"/>
      <c r="R461" s="5"/>
      <c r="S461" s="5"/>
      <c r="U461" s="6"/>
      <c r="V461" s="9" t="str">
        <f t="shared" si="64"/>
        <v/>
      </c>
      <c r="W461" s="9" t="str">
        <f t="shared" si="65"/>
        <v/>
      </c>
      <c r="X461" s="10">
        <f>SUM(V$13:V461)/COUNTA(B$13:B461)</f>
        <v>1.5590200445434299E-2</v>
      </c>
      <c r="Z461" s="5"/>
      <c r="AA461" s="5"/>
      <c r="AC461" s="7"/>
      <c r="AE461" s="54" t="e">
        <f t="shared" si="66"/>
        <v>#N/A</v>
      </c>
      <c r="AF461" s="4" t="e">
        <f t="shared" ref="AF461:AF524" si="69">HLOOKUP(C461,$K$6:$O$7,2,FALSE)</f>
        <v>#N/A</v>
      </c>
    </row>
    <row r="462" spans="2:32">
      <c r="B462" s="5">
        <f t="shared" si="67"/>
        <v>450</v>
      </c>
      <c r="C462" s="5"/>
      <c r="E462" s="13"/>
      <c r="F462" s="5"/>
      <c r="G462" s="11">
        <f>IF(ISERROR(AVERAGE(F$13:F462)),"n/a",AVERAGE(F$13:F462))</f>
        <v>117</v>
      </c>
      <c r="H462" s="11">
        <f t="shared" ref="H462:H525" si="70">G462</f>
        <v>117</v>
      </c>
      <c r="J462" s="5"/>
      <c r="K462" s="5"/>
      <c r="L462" s="5"/>
      <c r="M462" s="5"/>
      <c r="N462" s="5"/>
      <c r="O462" s="8" t="str">
        <f t="shared" si="68"/>
        <v>n/a</v>
      </c>
      <c r="Q462" s="5"/>
      <c r="R462" s="5"/>
      <c r="S462" s="5"/>
      <c r="U462" s="6"/>
      <c r="V462" s="9" t="str">
        <f t="shared" ref="V462:V525" si="71">IF(O462="n/a","",IF(O462=U462,1,""))</f>
        <v/>
      </c>
      <c r="W462" s="9" t="str">
        <f t="shared" ref="W462:W525" si="72">IF(O462="n/a","",IF(O462&lt;&gt;U462,1,""))</f>
        <v/>
      </c>
      <c r="X462" s="10">
        <f>SUM(V$13:V462)/COUNTA(B$13:B462)</f>
        <v>1.5555555555555555E-2</v>
      </c>
      <c r="Z462" s="5"/>
      <c r="AA462" s="5"/>
      <c r="AC462" s="7"/>
      <c r="AE462" s="54" t="e">
        <f t="shared" ref="AE462:AE525" si="73">+IF($F$4=0,0,IF(W462=1,1,IF(OR(R462*$F$8=1,S462*$F$9=1,F462&gt;=AF462),2,0)))</f>
        <v>#N/A</v>
      </c>
      <c r="AF462" s="4" t="e">
        <f t="shared" si="69"/>
        <v>#N/A</v>
      </c>
    </row>
    <row r="463" spans="2:32">
      <c r="B463" s="5">
        <f t="shared" si="67"/>
        <v>451</v>
      </c>
      <c r="C463" s="5"/>
      <c r="E463" s="13"/>
      <c r="F463" s="5"/>
      <c r="G463" s="11">
        <f>IF(ISERROR(AVERAGE(F$13:F463)),"n/a",AVERAGE(F$13:F463))</f>
        <v>117</v>
      </c>
      <c r="H463" s="11">
        <f t="shared" si="70"/>
        <v>117</v>
      </c>
      <c r="J463" s="5"/>
      <c r="K463" s="5"/>
      <c r="L463" s="5"/>
      <c r="M463" s="5"/>
      <c r="N463" s="5"/>
      <c r="O463" s="8" t="str">
        <f t="shared" si="68"/>
        <v>n/a</v>
      </c>
      <c r="Q463" s="5"/>
      <c r="R463" s="5"/>
      <c r="S463" s="5"/>
      <c r="U463" s="6"/>
      <c r="V463" s="9" t="str">
        <f t="shared" si="71"/>
        <v/>
      </c>
      <c r="W463" s="9" t="str">
        <f t="shared" si="72"/>
        <v/>
      </c>
      <c r="X463" s="10">
        <f>SUM(V$13:V463)/COUNTA(B$13:B463)</f>
        <v>1.5521064301552107E-2</v>
      </c>
      <c r="Z463" s="5"/>
      <c r="AA463" s="5"/>
      <c r="AC463" s="7"/>
      <c r="AE463" s="54" t="e">
        <f t="shared" si="73"/>
        <v>#N/A</v>
      </c>
      <c r="AF463" s="4" t="e">
        <f t="shared" si="69"/>
        <v>#N/A</v>
      </c>
    </row>
    <row r="464" spans="2:32">
      <c r="B464" s="5">
        <f t="shared" si="67"/>
        <v>452</v>
      </c>
      <c r="C464" s="5"/>
      <c r="E464" s="13"/>
      <c r="F464" s="5"/>
      <c r="G464" s="11">
        <f>IF(ISERROR(AVERAGE(F$13:F464)),"n/a",AVERAGE(F$13:F464))</f>
        <v>117</v>
      </c>
      <c r="H464" s="11">
        <f t="shared" si="70"/>
        <v>117</v>
      </c>
      <c r="J464" s="5"/>
      <c r="K464" s="5"/>
      <c r="L464" s="5"/>
      <c r="M464" s="5"/>
      <c r="N464" s="5"/>
      <c r="O464" s="8" t="str">
        <f t="shared" si="68"/>
        <v>n/a</v>
      </c>
      <c r="Q464" s="5"/>
      <c r="R464" s="5"/>
      <c r="S464" s="5"/>
      <c r="U464" s="6"/>
      <c r="V464" s="9" t="str">
        <f t="shared" si="71"/>
        <v/>
      </c>
      <c r="W464" s="9" t="str">
        <f t="shared" si="72"/>
        <v/>
      </c>
      <c r="X464" s="10">
        <f>SUM(V$13:V464)/COUNTA(B$13:B464)</f>
        <v>1.5486725663716814E-2</v>
      </c>
      <c r="Z464" s="5"/>
      <c r="AA464" s="5"/>
      <c r="AC464" s="7"/>
      <c r="AE464" s="54" t="e">
        <f t="shared" si="73"/>
        <v>#N/A</v>
      </c>
      <c r="AF464" s="4" t="e">
        <f t="shared" si="69"/>
        <v>#N/A</v>
      </c>
    </row>
    <row r="465" spans="2:32">
      <c r="B465" s="5">
        <f t="shared" si="67"/>
        <v>453</v>
      </c>
      <c r="C465" s="5"/>
      <c r="E465" s="13"/>
      <c r="F465" s="5"/>
      <c r="G465" s="11">
        <f>IF(ISERROR(AVERAGE(F$13:F465)),"n/a",AVERAGE(F$13:F465))</f>
        <v>117</v>
      </c>
      <c r="H465" s="11">
        <f t="shared" si="70"/>
        <v>117</v>
      </c>
      <c r="J465" s="5"/>
      <c r="K465" s="5"/>
      <c r="L465" s="5"/>
      <c r="M465" s="5"/>
      <c r="N465" s="5"/>
      <c r="O465" s="8" t="str">
        <f t="shared" si="68"/>
        <v>n/a</v>
      </c>
      <c r="Q465" s="5"/>
      <c r="R465" s="5"/>
      <c r="S465" s="5"/>
      <c r="U465" s="6"/>
      <c r="V465" s="9" t="str">
        <f t="shared" si="71"/>
        <v/>
      </c>
      <c r="W465" s="9" t="str">
        <f t="shared" si="72"/>
        <v/>
      </c>
      <c r="X465" s="10">
        <f>SUM(V$13:V465)/COUNTA(B$13:B465)</f>
        <v>1.5452538631346579E-2</v>
      </c>
      <c r="Z465" s="5"/>
      <c r="AA465" s="5"/>
      <c r="AC465" s="7"/>
      <c r="AE465" s="54" t="e">
        <f t="shared" si="73"/>
        <v>#N/A</v>
      </c>
      <c r="AF465" s="4" t="e">
        <f t="shared" si="69"/>
        <v>#N/A</v>
      </c>
    </row>
    <row r="466" spans="2:32">
      <c r="B466" s="5">
        <f t="shared" si="67"/>
        <v>454</v>
      </c>
      <c r="C466" s="5"/>
      <c r="E466" s="13"/>
      <c r="F466" s="5"/>
      <c r="G466" s="11">
        <f>IF(ISERROR(AVERAGE(F$13:F466)),"n/a",AVERAGE(F$13:F466))</f>
        <v>117</v>
      </c>
      <c r="H466" s="11">
        <f t="shared" si="70"/>
        <v>117</v>
      </c>
      <c r="J466" s="5"/>
      <c r="K466" s="5"/>
      <c r="L466" s="5"/>
      <c r="M466" s="5"/>
      <c r="N466" s="5"/>
      <c r="O466" s="8" t="str">
        <f t="shared" si="68"/>
        <v>n/a</v>
      </c>
      <c r="Q466" s="5"/>
      <c r="R466" s="5"/>
      <c r="S466" s="5"/>
      <c r="U466" s="6"/>
      <c r="V466" s="9" t="str">
        <f t="shared" si="71"/>
        <v/>
      </c>
      <c r="W466" s="9" t="str">
        <f t="shared" si="72"/>
        <v/>
      </c>
      <c r="X466" s="10">
        <f>SUM(V$13:V466)/COUNTA(B$13:B466)</f>
        <v>1.5418502202643172E-2</v>
      </c>
      <c r="Z466" s="5"/>
      <c r="AA466" s="5"/>
      <c r="AC466" s="7"/>
      <c r="AE466" s="54" t="e">
        <f t="shared" si="73"/>
        <v>#N/A</v>
      </c>
      <c r="AF466" s="4" t="e">
        <f t="shared" si="69"/>
        <v>#N/A</v>
      </c>
    </row>
    <row r="467" spans="2:32">
      <c r="B467" s="5">
        <f t="shared" ref="B467:B530" si="74">+B466+1</f>
        <v>455</v>
      </c>
      <c r="C467" s="5"/>
      <c r="E467" s="13"/>
      <c r="F467" s="5"/>
      <c r="G467" s="11">
        <f>IF(ISERROR(AVERAGE(F$13:F467)),"n/a",AVERAGE(F$13:F467))</f>
        <v>117</v>
      </c>
      <c r="H467" s="11">
        <f t="shared" si="70"/>
        <v>117</v>
      </c>
      <c r="J467" s="5"/>
      <c r="K467" s="5"/>
      <c r="L467" s="5"/>
      <c r="M467" s="5"/>
      <c r="N467" s="5"/>
      <c r="O467" s="8" t="str">
        <f t="shared" si="68"/>
        <v>n/a</v>
      </c>
      <c r="Q467" s="5"/>
      <c r="R467" s="5"/>
      <c r="S467" s="5"/>
      <c r="U467" s="6"/>
      <c r="V467" s="9" t="str">
        <f t="shared" si="71"/>
        <v/>
      </c>
      <c r="W467" s="9" t="str">
        <f t="shared" si="72"/>
        <v/>
      </c>
      <c r="X467" s="10">
        <f>SUM(V$13:V467)/COUNTA(B$13:B467)</f>
        <v>1.5384615384615385E-2</v>
      </c>
      <c r="Z467" s="5"/>
      <c r="AA467" s="5"/>
      <c r="AC467" s="7"/>
      <c r="AE467" s="54" t="e">
        <f t="shared" si="73"/>
        <v>#N/A</v>
      </c>
      <c r="AF467" s="4" t="e">
        <f t="shared" si="69"/>
        <v>#N/A</v>
      </c>
    </row>
    <row r="468" spans="2:32">
      <c r="B468" s="5">
        <f t="shared" si="74"/>
        <v>456</v>
      </c>
      <c r="C468" s="5"/>
      <c r="E468" s="13"/>
      <c r="F468" s="5"/>
      <c r="G468" s="11">
        <f>IF(ISERROR(AVERAGE(F$13:F468)),"n/a",AVERAGE(F$13:F468))</f>
        <v>117</v>
      </c>
      <c r="H468" s="11">
        <f t="shared" si="70"/>
        <v>117</v>
      </c>
      <c r="J468" s="5"/>
      <c r="K468" s="5"/>
      <c r="L468" s="5"/>
      <c r="M468" s="5"/>
      <c r="N468" s="5"/>
      <c r="O468" s="8" t="str">
        <f t="shared" si="68"/>
        <v>n/a</v>
      </c>
      <c r="Q468" s="5"/>
      <c r="R468" s="5"/>
      <c r="S468" s="5"/>
      <c r="U468" s="6"/>
      <c r="V468" s="9" t="str">
        <f t="shared" si="71"/>
        <v/>
      </c>
      <c r="W468" s="9" t="str">
        <f t="shared" si="72"/>
        <v/>
      </c>
      <c r="X468" s="10">
        <f>SUM(V$13:V468)/COUNTA(B$13:B468)</f>
        <v>1.5350877192982455E-2</v>
      </c>
      <c r="Z468" s="5"/>
      <c r="AA468" s="5"/>
      <c r="AC468" s="7"/>
      <c r="AE468" s="54" t="e">
        <f t="shared" si="73"/>
        <v>#N/A</v>
      </c>
      <c r="AF468" s="4" t="e">
        <f t="shared" si="69"/>
        <v>#N/A</v>
      </c>
    </row>
    <row r="469" spans="2:32">
      <c r="B469" s="5">
        <f t="shared" si="74"/>
        <v>457</v>
      </c>
      <c r="C469" s="5"/>
      <c r="E469" s="13"/>
      <c r="F469" s="5"/>
      <c r="G469" s="11">
        <f>IF(ISERROR(AVERAGE(F$13:F469)),"n/a",AVERAGE(F$13:F469))</f>
        <v>117</v>
      </c>
      <c r="H469" s="11">
        <f t="shared" si="70"/>
        <v>117</v>
      </c>
      <c r="J469" s="5"/>
      <c r="K469" s="5"/>
      <c r="L469" s="5"/>
      <c r="M469" s="5"/>
      <c r="N469" s="5"/>
      <c r="O469" s="8" t="str">
        <f t="shared" si="68"/>
        <v>n/a</v>
      </c>
      <c r="Q469" s="5"/>
      <c r="R469" s="5"/>
      <c r="S469" s="5"/>
      <c r="U469" s="6"/>
      <c r="V469" s="9" t="str">
        <f t="shared" si="71"/>
        <v/>
      </c>
      <c r="W469" s="9" t="str">
        <f t="shared" si="72"/>
        <v/>
      </c>
      <c r="X469" s="10">
        <f>SUM(V$13:V469)/COUNTA(B$13:B469)</f>
        <v>1.5317286652078774E-2</v>
      </c>
      <c r="Z469" s="5"/>
      <c r="AA469" s="5"/>
      <c r="AC469" s="7"/>
      <c r="AE469" s="54" t="e">
        <f t="shared" si="73"/>
        <v>#N/A</v>
      </c>
      <c r="AF469" s="4" t="e">
        <f t="shared" si="69"/>
        <v>#N/A</v>
      </c>
    </row>
    <row r="470" spans="2:32">
      <c r="B470" s="5">
        <f t="shared" si="74"/>
        <v>458</v>
      </c>
      <c r="C470" s="5"/>
      <c r="E470" s="13"/>
      <c r="F470" s="5"/>
      <c r="G470" s="11">
        <f>IF(ISERROR(AVERAGE(F$13:F470)),"n/a",AVERAGE(F$13:F470))</f>
        <v>117</v>
      </c>
      <c r="H470" s="11">
        <f t="shared" si="70"/>
        <v>117</v>
      </c>
      <c r="J470" s="5"/>
      <c r="K470" s="5"/>
      <c r="L470" s="5"/>
      <c r="M470" s="5"/>
      <c r="N470" s="5"/>
      <c r="O470" s="8" t="str">
        <f t="shared" si="68"/>
        <v>n/a</v>
      </c>
      <c r="Q470" s="5"/>
      <c r="R470" s="5"/>
      <c r="S470" s="5"/>
      <c r="U470" s="6"/>
      <c r="V470" s="9" t="str">
        <f t="shared" si="71"/>
        <v/>
      </c>
      <c r="W470" s="9" t="str">
        <f t="shared" si="72"/>
        <v/>
      </c>
      <c r="X470" s="10">
        <f>SUM(V$13:V470)/COUNTA(B$13:B470)</f>
        <v>1.5283842794759825E-2</v>
      </c>
      <c r="Z470" s="5"/>
      <c r="AA470" s="5"/>
      <c r="AC470" s="7"/>
      <c r="AE470" s="54" t="e">
        <f t="shared" si="73"/>
        <v>#N/A</v>
      </c>
      <c r="AF470" s="4" t="e">
        <f t="shared" si="69"/>
        <v>#N/A</v>
      </c>
    </row>
    <row r="471" spans="2:32">
      <c r="B471" s="5">
        <f t="shared" si="74"/>
        <v>459</v>
      </c>
      <c r="C471" s="5"/>
      <c r="E471" s="13"/>
      <c r="F471" s="5"/>
      <c r="G471" s="11">
        <f>IF(ISERROR(AVERAGE(F$13:F471)),"n/a",AVERAGE(F$13:F471))</f>
        <v>117</v>
      </c>
      <c r="H471" s="11">
        <f t="shared" si="70"/>
        <v>117</v>
      </c>
      <c r="J471" s="5"/>
      <c r="K471" s="5"/>
      <c r="L471" s="5"/>
      <c r="M471" s="5"/>
      <c r="N471" s="5"/>
      <c r="O471" s="8" t="str">
        <f t="shared" si="68"/>
        <v>n/a</v>
      </c>
      <c r="Q471" s="5"/>
      <c r="R471" s="5"/>
      <c r="S471" s="5"/>
      <c r="U471" s="6"/>
      <c r="V471" s="9" t="str">
        <f t="shared" si="71"/>
        <v/>
      </c>
      <c r="W471" s="9" t="str">
        <f t="shared" si="72"/>
        <v/>
      </c>
      <c r="X471" s="10">
        <f>SUM(V$13:V471)/COUNTA(B$13:B471)</f>
        <v>1.5250544662309368E-2</v>
      </c>
      <c r="Z471" s="5"/>
      <c r="AA471" s="5"/>
      <c r="AC471" s="7"/>
      <c r="AE471" s="54" t="e">
        <f t="shared" si="73"/>
        <v>#N/A</v>
      </c>
      <c r="AF471" s="4" t="e">
        <f t="shared" si="69"/>
        <v>#N/A</v>
      </c>
    </row>
    <row r="472" spans="2:32">
      <c r="B472" s="5">
        <f t="shared" si="74"/>
        <v>460</v>
      </c>
      <c r="C472" s="5"/>
      <c r="E472" s="13"/>
      <c r="F472" s="5"/>
      <c r="G472" s="11">
        <f>IF(ISERROR(AVERAGE(F$13:F472)),"n/a",AVERAGE(F$13:F472))</f>
        <v>117</v>
      </c>
      <c r="H472" s="11">
        <f t="shared" si="70"/>
        <v>117</v>
      </c>
      <c r="J472" s="5"/>
      <c r="K472" s="5"/>
      <c r="L472" s="5"/>
      <c r="M472" s="5"/>
      <c r="N472" s="5"/>
      <c r="O472" s="8" t="str">
        <f t="shared" si="68"/>
        <v>n/a</v>
      </c>
      <c r="Q472" s="5"/>
      <c r="R472" s="5"/>
      <c r="S472" s="5"/>
      <c r="U472" s="6"/>
      <c r="V472" s="9" t="str">
        <f t="shared" si="71"/>
        <v/>
      </c>
      <c r="W472" s="9" t="str">
        <f t="shared" si="72"/>
        <v/>
      </c>
      <c r="X472" s="10">
        <f>SUM(V$13:V472)/COUNTA(B$13:B472)</f>
        <v>1.5217391304347827E-2</v>
      </c>
      <c r="Z472" s="5"/>
      <c r="AA472" s="5"/>
      <c r="AC472" s="7"/>
      <c r="AE472" s="54" t="e">
        <f t="shared" si="73"/>
        <v>#N/A</v>
      </c>
      <c r="AF472" s="4" t="e">
        <f t="shared" si="69"/>
        <v>#N/A</v>
      </c>
    </row>
    <row r="473" spans="2:32">
      <c r="B473" s="5">
        <f t="shared" si="74"/>
        <v>461</v>
      </c>
      <c r="C473" s="5"/>
      <c r="E473" s="13"/>
      <c r="F473" s="5"/>
      <c r="G473" s="11">
        <f>IF(ISERROR(AVERAGE(F$13:F473)),"n/a",AVERAGE(F$13:F473))</f>
        <v>117</v>
      </c>
      <c r="H473" s="11">
        <f t="shared" si="70"/>
        <v>117</v>
      </c>
      <c r="J473" s="5"/>
      <c r="K473" s="5"/>
      <c r="L473" s="5"/>
      <c r="M473" s="5"/>
      <c r="N473" s="5"/>
      <c r="O473" s="8" t="str">
        <f t="shared" si="68"/>
        <v>n/a</v>
      </c>
      <c r="Q473" s="5"/>
      <c r="R473" s="5"/>
      <c r="S473" s="5"/>
      <c r="U473" s="6"/>
      <c r="V473" s="9" t="str">
        <f t="shared" si="71"/>
        <v/>
      </c>
      <c r="W473" s="9" t="str">
        <f t="shared" si="72"/>
        <v/>
      </c>
      <c r="X473" s="10">
        <f>SUM(V$13:V473)/COUNTA(B$13:B473)</f>
        <v>1.5184381778741865E-2</v>
      </c>
      <c r="Z473" s="5"/>
      <c r="AA473" s="5"/>
      <c r="AC473" s="7"/>
      <c r="AE473" s="54" t="e">
        <f t="shared" si="73"/>
        <v>#N/A</v>
      </c>
      <c r="AF473" s="4" t="e">
        <f t="shared" si="69"/>
        <v>#N/A</v>
      </c>
    </row>
    <row r="474" spans="2:32">
      <c r="B474" s="5">
        <f t="shared" si="74"/>
        <v>462</v>
      </c>
      <c r="C474" s="5"/>
      <c r="E474" s="13"/>
      <c r="F474" s="5"/>
      <c r="G474" s="11">
        <f>IF(ISERROR(AVERAGE(F$13:F474)),"n/a",AVERAGE(F$13:F474))</f>
        <v>117</v>
      </c>
      <c r="H474" s="11">
        <f t="shared" si="70"/>
        <v>117</v>
      </c>
      <c r="J474" s="5"/>
      <c r="K474" s="5"/>
      <c r="L474" s="5"/>
      <c r="M474" s="5"/>
      <c r="N474" s="5"/>
      <c r="O474" s="8" t="str">
        <f t="shared" si="68"/>
        <v>n/a</v>
      </c>
      <c r="Q474" s="5"/>
      <c r="R474" s="5"/>
      <c r="S474" s="5"/>
      <c r="U474" s="6"/>
      <c r="V474" s="9" t="str">
        <f t="shared" si="71"/>
        <v/>
      </c>
      <c r="W474" s="9" t="str">
        <f t="shared" si="72"/>
        <v/>
      </c>
      <c r="X474" s="10">
        <f>SUM(V$13:V474)/COUNTA(B$13:B474)</f>
        <v>1.5151515151515152E-2</v>
      </c>
      <c r="Z474" s="5"/>
      <c r="AA474" s="5"/>
      <c r="AC474" s="7"/>
      <c r="AE474" s="54" t="e">
        <f t="shared" si="73"/>
        <v>#N/A</v>
      </c>
      <c r="AF474" s="4" t="e">
        <f t="shared" si="69"/>
        <v>#N/A</v>
      </c>
    </row>
    <row r="475" spans="2:32">
      <c r="B475" s="5">
        <f t="shared" si="74"/>
        <v>463</v>
      </c>
      <c r="C475" s="5"/>
      <c r="E475" s="13"/>
      <c r="F475" s="5"/>
      <c r="G475" s="11">
        <f>IF(ISERROR(AVERAGE(F$13:F475)),"n/a",AVERAGE(F$13:F475))</f>
        <v>117</v>
      </c>
      <c r="H475" s="11">
        <f t="shared" si="70"/>
        <v>117</v>
      </c>
      <c r="J475" s="5"/>
      <c r="K475" s="5"/>
      <c r="L475" s="5"/>
      <c r="M475" s="5"/>
      <c r="N475" s="5"/>
      <c r="O475" s="8" t="str">
        <f t="shared" si="68"/>
        <v>n/a</v>
      </c>
      <c r="Q475" s="5"/>
      <c r="R475" s="5"/>
      <c r="S475" s="5"/>
      <c r="U475" s="6"/>
      <c r="V475" s="9" t="str">
        <f t="shared" si="71"/>
        <v/>
      </c>
      <c r="W475" s="9" t="str">
        <f t="shared" si="72"/>
        <v/>
      </c>
      <c r="X475" s="10">
        <f>SUM(V$13:V475)/COUNTA(B$13:B475)</f>
        <v>1.511879049676026E-2</v>
      </c>
      <c r="Z475" s="5"/>
      <c r="AA475" s="5"/>
      <c r="AC475" s="7"/>
      <c r="AE475" s="54" t="e">
        <f t="shared" si="73"/>
        <v>#N/A</v>
      </c>
      <c r="AF475" s="4" t="e">
        <f t="shared" si="69"/>
        <v>#N/A</v>
      </c>
    </row>
    <row r="476" spans="2:32">
      <c r="B476" s="5">
        <f t="shared" si="74"/>
        <v>464</v>
      </c>
      <c r="C476" s="5"/>
      <c r="E476" s="13"/>
      <c r="F476" s="5"/>
      <c r="G476" s="11">
        <f>IF(ISERROR(AVERAGE(F$13:F476)),"n/a",AVERAGE(F$13:F476))</f>
        <v>117</v>
      </c>
      <c r="H476" s="11">
        <f t="shared" si="70"/>
        <v>117</v>
      </c>
      <c r="J476" s="5"/>
      <c r="K476" s="5"/>
      <c r="L476" s="5"/>
      <c r="M476" s="5"/>
      <c r="N476" s="5"/>
      <c r="O476" s="8" t="str">
        <f t="shared" si="68"/>
        <v>n/a</v>
      </c>
      <c r="Q476" s="5"/>
      <c r="R476" s="5"/>
      <c r="S476" s="5"/>
      <c r="U476" s="6"/>
      <c r="V476" s="9" t="str">
        <f t="shared" si="71"/>
        <v/>
      </c>
      <c r="W476" s="9" t="str">
        <f t="shared" si="72"/>
        <v/>
      </c>
      <c r="X476" s="10">
        <f>SUM(V$13:V476)/COUNTA(B$13:B476)</f>
        <v>1.5086206896551725E-2</v>
      </c>
      <c r="Z476" s="5"/>
      <c r="AA476" s="5"/>
      <c r="AC476" s="7"/>
      <c r="AE476" s="54" t="e">
        <f t="shared" si="73"/>
        <v>#N/A</v>
      </c>
      <c r="AF476" s="4" t="e">
        <f t="shared" si="69"/>
        <v>#N/A</v>
      </c>
    </row>
    <row r="477" spans="2:32">
      <c r="B477" s="5">
        <f t="shared" si="74"/>
        <v>465</v>
      </c>
      <c r="C477" s="5"/>
      <c r="E477" s="13"/>
      <c r="F477" s="5"/>
      <c r="G477" s="11">
        <f>IF(ISERROR(AVERAGE(F$13:F477)),"n/a",AVERAGE(F$13:F477))</f>
        <v>117</v>
      </c>
      <c r="H477" s="11">
        <f t="shared" si="70"/>
        <v>117</v>
      </c>
      <c r="J477" s="5"/>
      <c r="K477" s="5"/>
      <c r="L477" s="5"/>
      <c r="M477" s="5"/>
      <c r="N477" s="5"/>
      <c r="O477" s="8" t="str">
        <f t="shared" si="68"/>
        <v>n/a</v>
      </c>
      <c r="Q477" s="5"/>
      <c r="R477" s="5"/>
      <c r="S477" s="5"/>
      <c r="U477" s="6"/>
      <c r="V477" s="9" t="str">
        <f t="shared" si="71"/>
        <v/>
      </c>
      <c r="W477" s="9" t="str">
        <f t="shared" si="72"/>
        <v/>
      </c>
      <c r="X477" s="10">
        <f>SUM(V$13:V477)/COUNTA(B$13:B477)</f>
        <v>1.5053763440860216E-2</v>
      </c>
      <c r="Z477" s="5"/>
      <c r="AA477" s="5"/>
      <c r="AC477" s="7"/>
      <c r="AE477" s="54" t="e">
        <f t="shared" si="73"/>
        <v>#N/A</v>
      </c>
      <c r="AF477" s="4" t="e">
        <f t="shared" si="69"/>
        <v>#N/A</v>
      </c>
    </row>
    <row r="478" spans="2:32">
      <c r="B478" s="5">
        <f t="shared" si="74"/>
        <v>466</v>
      </c>
      <c r="C478" s="5"/>
      <c r="E478" s="13"/>
      <c r="F478" s="5"/>
      <c r="G478" s="11">
        <f>IF(ISERROR(AVERAGE(F$13:F478)),"n/a",AVERAGE(F$13:F478))</f>
        <v>117</v>
      </c>
      <c r="H478" s="11">
        <f t="shared" si="70"/>
        <v>117</v>
      </c>
      <c r="J478" s="5"/>
      <c r="K478" s="5"/>
      <c r="L478" s="5"/>
      <c r="M478" s="5"/>
      <c r="N478" s="5"/>
      <c r="O478" s="8" t="str">
        <f t="shared" si="68"/>
        <v>n/a</v>
      </c>
      <c r="Q478" s="5"/>
      <c r="R478" s="5"/>
      <c r="S478" s="5"/>
      <c r="U478" s="6"/>
      <c r="V478" s="9" t="str">
        <f t="shared" si="71"/>
        <v/>
      </c>
      <c r="W478" s="9" t="str">
        <f t="shared" si="72"/>
        <v/>
      </c>
      <c r="X478" s="10">
        <f>SUM(V$13:V478)/COUNTA(B$13:B478)</f>
        <v>1.5021459227467811E-2</v>
      </c>
      <c r="Z478" s="5"/>
      <c r="AA478" s="5"/>
      <c r="AC478" s="7"/>
      <c r="AE478" s="54" t="e">
        <f t="shared" si="73"/>
        <v>#N/A</v>
      </c>
      <c r="AF478" s="4" t="e">
        <f t="shared" si="69"/>
        <v>#N/A</v>
      </c>
    </row>
    <row r="479" spans="2:32">
      <c r="B479" s="5">
        <f t="shared" si="74"/>
        <v>467</v>
      </c>
      <c r="C479" s="5"/>
      <c r="E479" s="13"/>
      <c r="F479" s="5"/>
      <c r="G479" s="11">
        <f>IF(ISERROR(AVERAGE(F$13:F479)),"n/a",AVERAGE(F$13:F479))</f>
        <v>117</v>
      </c>
      <c r="H479" s="11">
        <f t="shared" si="70"/>
        <v>117</v>
      </c>
      <c r="J479" s="5"/>
      <c r="K479" s="5"/>
      <c r="L479" s="5"/>
      <c r="M479" s="5"/>
      <c r="N479" s="5"/>
      <c r="O479" s="8" t="str">
        <f t="shared" si="68"/>
        <v>n/a</v>
      </c>
      <c r="Q479" s="5"/>
      <c r="R479" s="5"/>
      <c r="S479" s="5"/>
      <c r="U479" s="6"/>
      <c r="V479" s="9" t="str">
        <f t="shared" si="71"/>
        <v/>
      </c>
      <c r="W479" s="9" t="str">
        <f t="shared" si="72"/>
        <v/>
      </c>
      <c r="X479" s="10">
        <f>SUM(V$13:V479)/COUNTA(B$13:B479)</f>
        <v>1.4989293361884369E-2</v>
      </c>
      <c r="Z479" s="5"/>
      <c r="AA479" s="5"/>
      <c r="AC479" s="7"/>
      <c r="AE479" s="54" t="e">
        <f t="shared" si="73"/>
        <v>#N/A</v>
      </c>
      <c r="AF479" s="4" t="e">
        <f t="shared" si="69"/>
        <v>#N/A</v>
      </c>
    </row>
    <row r="480" spans="2:32">
      <c r="B480" s="5">
        <f t="shared" si="74"/>
        <v>468</v>
      </c>
      <c r="C480" s="5"/>
      <c r="E480" s="13"/>
      <c r="F480" s="5"/>
      <c r="G480" s="11">
        <f>IF(ISERROR(AVERAGE(F$13:F480)),"n/a",AVERAGE(F$13:F480))</f>
        <v>117</v>
      </c>
      <c r="H480" s="11">
        <f t="shared" si="70"/>
        <v>117</v>
      </c>
      <c r="J480" s="5"/>
      <c r="K480" s="5"/>
      <c r="L480" s="5"/>
      <c r="M480" s="5"/>
      <c r="N480" s="5"/>
      <c r="O480" s="8" t="str">
        <f t="shared" si="68"/>
        <v>n/a</v>
      </c>
      <c r="Q480" s="5"/>
      <c r="R480" s="5"/>
      <c r="S480" s="5"/>
      <c r="U480" s="6"/>
      <c r="V480" s="9" t="str">
        <f t="shared" si="71"/>
        <v/>
      </c>
      <c r="W480" s="9" t="str">
        <f t="shared" si="72"/>
        <v/>
      </c>
      <c r="X480" s="10">
        <f>SUM(V$13:V480)/COUNTA(B$13:B480)</f>
        <v>1.4957264957264958E-2</v>
      </c>
      <c r="Z480" s="5"/>
      <c r="AA480" s="5"/>
      <c r="AC480" s="7"/>
      <c r="AE480" s="54" t="e">
        <f t="shared" si="73"/>
        <v>#N/A</v>
      </c>
      <c r="AF480" s="4" t="e">
        <f t="shared" si="69"/>
        <v>#N/A</v>
      </c>
    </row>
    <row r="481" spans="2:32">
      <c r="B481" s="5">
        <f t="shared" si="74"/>
        <v>469</v>
      </c>
      <c r="C481" s="5"/>
      <c r="E481" s="13"/>
      <c r="F481" s="5"/>
      <c r="G481" s="11">
        <f>IF(ISERROR(AVERAGE(F$13:F481)),"n/a",AVERAGE(F$13:F481))</f>
        <v>117</v>
      </c>
      <c r="H481" s="11">
        <f t="shared" si="70"/>
        <v>117</v>
      </c>
      <c r="J481" s="5"/>
      <c r="K481" s="5"/>
      <c r="L481" s="5"/>
      <c r="M481" s="5"/>
      <c r="N481" s="5"/>
      <c r="O481" s="8" t="str">
        <f t="shared" si="68"/>
        <v>n/a</v>
      </c>
      <c r="Q481" s="5"/>
      <c r="R481" s="5"/>
      <c r="S481" s="5"/>
      <c r="U481" s="6"/>
      <c r="V481" s="9" t="str">
        <f t="shared" si="71"/>
        <v/>
      </c>
      <c r="W481" s="9" t="str">
        <f t="shared" si="72"/>
        <v/>
      </c>
      <c r="X481" s="10">
        <f>SUM(V$13:V481)/COUNTA(B$13:B481)</f>
        <v>1.4925373134328358E-2</v>
      </c>
      <c r="Z481" s="5"/>
      <c r="AA481" s="5"/>
      <c r="AC481" s="7"/>
      <c r="AE481" s="54" t="e">
        <f t="shared" si="73"/>
        <v>#N/A</v>
      </c>
      <c r="AF481" s="4" t="e">
        <f t="shared" si="69"/>
        <v>#N/A</v>
      </c>
    </row>
    <row r="482" spans="2:32">
      <c r="B482" s="5">
        <f t="shared" si="74"/>
        <v>470</v>
      </c>
      <c r="C482" s="5"/>
      <c r="E482" s="13"/>
      <c r="F482" s="5"/>
      <c r="G482" s="11">
        <f>IF(ISERROR(AVERAGE(F$13:F482)),"n/a",AVERAGE(F$13:F482))</f>
        <v>117</v>
      </c>
      <c r="H482" s="11">
        <f t="shared" si="70"/>
        <v>117</v>
      </c>
      <c r="J482" s="5"/>
      <c r="K482" s="5"/>
      <c r="L482" s="5"/>
      <c r="M482" s="5"/>
      <c r="N482" s="5"/>
      <c r="O482" s="8" t="str">
        <f t="shared" si="68"/>
        <v>n/a</v>
      </c>
      <c r="Q482" s="5"/>
      <c r="R482" s="5"/>
      <c r="S482" s="5"/>
      <c r="U482" s="6"/>
      <c r="V482" s="9" t="str">
        <f t="shared" si="71"/>
        <v/>
      </c>
      <c r="W482" s="9" t="str">
        <f t="shared" si="72"/>
        <v/>
      </c>
      <c r="X482" s="10">
        <f>SUM(V$13:V482)/COUNTA(B$13:B482)</f>
        <v>1.4893617021276596E-2</v>
      </c>
      <c r="Z482" s="5"/>
      <c r="AA482" s="5"/>
      <c r="AC482" s="7"/>
      <c r="AE482" s="54" t="e">
        <f t="shared" si="73"/>
        <v>#N/A</v>
      </c>
      <c r="AF482" s="4" t="e">
        <f t="shared" si="69"/>
        <v>#N/A</v>
      </c>
    </row>
    <row r="483" spans="2:32">
      <c r="B483" s="5">
        <f t="shared" si="74"/>
        <v>471</v>
      </c>
      <c r="C483" s="5"/>
      <c r="E483" s="13"/>
      <c r="F483" s="5"/>
      <c r="G483" s="11">
        <f>IF(ISERROR(AVERAGE(F$13:F483)),"n/a",AVERAGE(F$13:F483))</f>
        <v>117</v>
      </c>
      <c r="H483" s="11">
        <f t="shared" si="70"/>
        <v>117</v>
      </c>
      <c r="J483" s="5"/>
      <c r="K483" s="5"/>
      <c r="L483" s="5"/>
      <c r="M483" s="5"/>
      <c r="N483" s="5"/>
      <c r="O483" s="8" t="str">
        <f t="shared" si="68"/>
        <v>n/a</v>
      </c>
      <c r="Q483" s="5"/>
      <c r="R483" s="5"/>
      <c r="S483" s="5"/>
      <c r="U483" s="6"/>
      <c r="V483" s="9" t="str">
        <f t="shared" si="71"/>
        <v/>
      </c>
      <c r="W483" s="9" t="str">
        <f t="shared" si="72"/>
        <v/>
      </c>
      <c r="X483" s="10">
        <f>SUM(V$13:V483)/COUNTA(B$13:B483)</f>
        <v>1.4861995753715499E-2</v>
      </c>
      <c r="Z483" s="5"/>
      <c r="AA483" s="5"/>
      <c r="AC483" s="7"/>
      <c r="AE483" s="54" t="e">
        <f t="shared" si="73"/>
        <v>#N/A</v>
      </c>
      <c r="AF483" s="4" t="e">
        <f t="shared" si="69"/>
        <v>#N/A</v>
      </c>
    </row>
    <row r="484" spans="2:32">
      <c r="B484" s="5">
        <f t="shared" si="74"/>
        <v>472</v>
      </c>
      <c r="C484" s="5"/>
      <c r="E484" s="13"/>
      <c r="F484" s="5"/>
      <c r="G484" s="11">
        <f>IF(ISERROR(AVERAGE(F$13:F484)),"n/a",AVERAGE(F$13:F484))</f>
        <v>117</v>
      </c>
      <c r="H484" s="11">
        <f t="shared" si="70"/>
        <v>117</v>
      </c>
      <c r="J484" s="5"/>
      <c r="K484" s="5"/>
      <c r="L484" s="5"/>
      <c r="M484" s="5"/>
      <c r="N484" s="5"/>
      <c r="O484" s="8" t="str">
        <f t="shared" si="68"/>
        <v>n/a</v>
      </c>
      <c r="Q484" s="5"/>
      <c r="R484" s="5"/>
      <c r="S484" s="5"/>
      <c r="U484" s="6"/>
      <c r="V484" s="9" t="str">
        <f t="shared" si="71"/>
        <v/>
      </c>
      <c r="W484" s="9" t="str">
        <f t="shared" si="72"/>
        <v/>
      </c>
      <c r="X484" s="10">
        <f>SUM(V$13:V484)/COUNTA(B$13:B484)</f>
        <v>1.4830508474576272E-2</v>
      </c>
      <c r="Z484" s="5"/>
      <c r="AA484" s="5"/>
      <c r="AC484" s="7"/>
      <c r="AE484" s="54" t="e">
        <f t="shared" si="73"/>
        <v>#N/A</v>
      </c>
      <c r="AF484" s="4" t="e">
        <f t="shared" si="69"/>
        <v>#N/A</v>
      </c>
    </row>
    <row r="485" spans="2:32">
      <c r="B485" s="5">
        <f t="shared" si="74"/>
        <v>473</v>
      </c>
      <c r="C485" s="5"/>
      <c r="E485" s="13"/>
      <c r="F485" s="5"/>
      <c r="G485" s="11">
        <f>IF(ISERROR(AVERAGE(F$13:F485)),"n/a",AVERAGE(F$13:F485))</f>
        <v>117</v>
      </c>
      <c r="H485" s="11">
        <f t="shared" si="70"/>
        <v>117</v>
      </c>
      <c r="J485" s="5"/>
      <c r="K485" s="5"/>
      <c r="L485" s="5"/>
      <c r="M485" s="5"/>
      <c r="N485" s="5"/>
      <c r="O485" s="8" t="str">
        <f t="shared" si="68"/>
        <v>n/a</v>
      </c>
      <c r="Q485" s="5"/>
      <c r="R485" s="5"/>
      <c r="S485" s="5"/>
      <c r="U485" s="6"/>
      <c r="V485" s="9" t="str">
        <f t="shared" si="71"/>
        <v/>
      </c>
      <c r="W485" s="9" t="str">
        <f t="shared" si="72"/>
        <v/>
      </c>
      <c r="X485" s="10">
        <f>SUM(V$13:V485)/COUNTA(B$13:B485)</f>
        <v>1.4799154334038054E-2</v>
      </c>
      <c r="Z485" s="5"/>
      <c r="AA485" s="5"/>
      <c r="AC485" s="7"/>
      <c r="AE485" s="54" t="e">
        <f t="shared" si="73"/>
        <v>#N/A</v>
      </c>
      <c r="AF485" s="4" t="e">
        <f t="shared" si="69"/>
        <v>#N/A</v>
      </c>
    </row>
    <row r="486" spans="2:32">
      <c r="B486" s="5">
        <f t="shared" si="74"/>
        <v>474</v>
      </c>
      <c r="C486" s="5"/>
      <c r="E486" s="13"/>
      <c r="F486" s="5"/>
      <c r="G486" s="11">
        <f>IF(ISERROR(AVERAGE(F$13:F486)),"n/a",AVERAGE(F$13:F486))</f>
        <v>117</v>
      </c>
      <c r="H486" s="11">
        <f t="shared" si="70"/>
        <v>117</v>
      </c>
      <c r="J486" s="5"/>
      <c r="K486" s="5"/>
      <c r="L486" s="5"/>
      <c r="M486" s="5"/>
      <c r="N486" s="5"/>
      <c r="O486" s="8" t="str">
        <f t="shared" si="68"/>
        <v>n/a</v>
      </c>
      <c r="Q486" s="5"/>
      <c r="R486" s="5"/>
      <c r="S486" s="5"/>
      <c r="U486" s="6"/>
      <c r="V486" s="9" t="str">
        <f t="shared" si="71"/>
        <v/>
      </c>
      <c r="W486" s="9" t="str">
        <f t="shared" si="72"/>
        <v/>
      </c>
      <c r="X486" s="10">
        <f>SUM(V$13:V486)/COUNTA(B$13:B486)</f>
        <v>1.4767932489451477E-2</v>
      </c>
      <c r="Z486" s="5"/>
      <c r="AA486" s="5"/>
      <c r="AC486" s="7"/>
      <c r="AE486" s="54" t="e">
        <f t="shared" si="73"/>
        <v>#N/A</v>
      </c>
      <c r="AF486" s="4" t="e">
        <f t="shared" si="69"/>
        <v>#N/A</v>
      </c>
    </row>
    <row r="487" spans="2:32">
      <c r="B487" s="5">
        <f t="shared" si="74"/>
        <v>475</v>
      </c>
      <c r="C487" s="5"/>
      <c r="E487" s="13"/>
      <c r="F487" s="5"/>
      <c r="G487" s="11">
        <f>IF(ISERROR(AVERAGE(F$13:F487)),"n/a",AVERAGE(F$13:F487))</f>
        <v>117</v>
      </c>
      <c r="H487" s="11">
        <f t="shared" si="70"/>
        <v>117</v>
      </c>
      <c r="J487" s="5"/>
      <c r="K487" s="5"/>
      <c r="L487" s="5"/>
      <c r="M487" s="5"/>
      <c r="N487" s="5"/>
      <c r="O487" s="8" t="str">
        <f t="shared" si="68"/>
        <v>n/a</v>
      </c>
      <c r="Q487" s="5"/>
      <c r="R487" s="5"/>
      <c r="S487" s="5"/>
      <c r="U487" s="6"/>
      <c r="V487" s="9" t="str">
        <f t="shared" si="71"/>
        <v/>
      </c>
      <c r="W487" s="9" t="str">
        <f t="shared" si="72"/>
        <v/>
      </c>
      <c r="X487" s="10">
        <f>SUM(V$13:V487)/COUNTA(B$13:B487)</f>
        <v>1.4736842105263158E-2</v>
      </c>
      <c r="Z487" s="5"/>
      <c r="AA487" s="5"/>
      <c r="AC487" s="7"/>
      <c r="AE487" s="54" t="e">
        <f t="shared" si="73"/>
        <v>#N/A</v>
      </c>
      <c r="AF487" s="4" t="e">
        <f t="shared" si="69"/>
        <v>#N/A</v>
      </c>
    </row>
    <row r="488" spans="2:32">
      <c r="B488" s="5">
        <f t="shared" si="74"/>
        <v>476</v>
      </c>
      <c r="C488" s="5"/>
      <c r="E488" s="13"/>
      <c r="F488" s="5"/>
      <c r="G488" s="11">
        <f>IF(ISERROR(AVERAGE(F$13:F488)),"n/a",AVERAGE(F$13:F488))</f>
        <v>117</v>
      </c>
      <c r="H488" s="11">
        <f t="shared" si="70"/>
        <v>117</v>
      </c>
      <c r="J488" s="5"/>
      <c r="K488" s="5"/>
      <c r="L488" s="5"/>
      <c r="M488" s="5"/>
      <c r="N488" s="5"/>
      <c r="O488" s="8" t="str">
        <f t="shared" si="68"/>
        <v>n/a</v>
      </c>
      <c r="Q488" s="5"/>
      <c r="R488" s="5"/>
      <c r="S488" s="5"/>
      <c r="U488" s="6"/>
      <c r="V488" s="9" t="str">
        <f t="shared" si="71"/>
        <v/>
      </c>
      <c r="W488" s="9" t="str">
        <f t="shared" si="72"/>
        <v/>
      </c>
      <c r="X488" s="10">
        <f>SUM(V$13:V488)/COUNTA(B$13:B488)</f>
        <v>1.4705882352941176E-2</v>
      </c>
      <c r="Z488" s="5"/>
      <c r="AA488" s="5"/>
      <c r="AC488" s="7"/>
      <c r="AE488" s="54" t="e">
        <f t="shared" si="73"/>
        <v>#N/A</v>
      </c>
      <c r="AF488" s="4" t="e">
        <f t="shared" si="69"/>
        <v>#N/A</v>
      </c>
    </row>
    <row r="489" spans="2:32">
      <c r="B489" s="5">
        <f t="shared" si="74"/>
        <v>477</v>
      </c>
      <c r="C489" s="5"/>
      <c r="E489" s="13"/>
      <c r="F489" s="5"/>
      <c r="G489" s="11">
        <f>IF(ISERROR(AVERAGE(F$13:F489)),"n/a",AVERAGE(F$13:F489))</f>
        <v>117</v>
      </c>
      <c r="H489" s="11">
        <f t="shared" si="70"/>
        <v>117</v>
      </c>
      <c r="J489" s="5"/>
      <c r="K489" s="5"/>
      <c r="L489" s="5"/>
      <c r="M489" s="5"/>
      <c r="N489" s="5"/>
      <c r="O489" s="8" t="str">
        <f t="shared" si="68"/>
        <v>n/a</v>
      </c>
      <c r="Q489" s="5"/>
      <c r="R489" s="5"/>
      <c r="S489" s="5"/>
      <c r="U489" s="6"/>
      <c r="V489" s="9" t="str">
        <f t="shared" si="71"/>
        <v/>
      </c>
      <c r="W489" s="9" t="str">
        <f t="shared" si="72"/>
        <v/>
      </c>
      <c r="X489" s="10">
        <f>SUM(V$13:V489)/COUNTA(B$13:B489)</f>
        <v>1.4675052410901468E-2</v>
      </c>
      <c r="Z489" s="5"/>
      <c r="AA489" s="5"/>
      <c r="AC489" s="7"/>
      <c r="AE489" s="54" t="e">
        <f t="shared" si="73"/>
        <v>#N/A</v>
      </c>
      <c r="AF489" s="4" t="e">
        <f t="shared" si="69"/>
        <v>#N/A</v>
      </c>
    </row>
    <row r="490" spans="2:32">
      <c r="B490" s="5">
        <f t="shared" si="74"/>
        <v>478</v>
      </c>
      <c r="C490" s="5"/>
      <c r="E490" s="13"/>
      <c r="F490" s="5"/>
      <c r="G490" s="11">
        <f>IF(ISERROR(AVERAGE(F$13:F490)),"n/a",AVERAGE(F$13:F490))</f>
        <v>117</v>
      </c>
      <c r="H490" s="11">
        <f t="shared" si="70"/>
        <v>117</v>
      </c>
      <c r="J490" s="5"/>
      <c r="K490" s="5"/>
      <c r="L490" s="5"/>
      <c r="M490" s="5"/>
      <c r="N490" s="5"/>
      <c r="O490" s="8" t="str">
        <f t="shared" si="68"/>
        <v>n/a</v>
      </c>
      <c r="Q490" s="5"/>
      <c r="R490" s="5"/>
      <c r="S490" s="5"/>
      <c r="U490" s="6"/>
      <c r="V490" s="9" t="str">
        <f t="shared" si="71"/>
        <v/>
      </c>
      <c r="W490" s="9" t="str">
        <f t="shared" si="72"/>
        <v/>
      </c>
      <c r="X490" s="10">
        <f>SUM(V$13:V490)/COUNTA(B$13:B490)</f>
        <v>1.4644351464435146E-2</v>
      </c>
      <c r="Z490" s="5"/>
      <c r="AA490" s="5"/>
      <c r="AC490" s="7"/>
      <c r="AE490" s="54" t="e">
        <f t="shared" si="73"/>
        <v>#N/A</v>
      </c>
      <c r="AF490" s="4" t="e">
        <f t="shared" si="69"/>
        <v>#N/A</v>
      </c>
    </row>
    <row r="491" spans="2:32">
      <c r="B491" s="5">
        <f t="shared" si="74"/>
        <v>479</v>
      </c>
      <c r="C491" s="5"/>
      <c r="E491" s="13"/>
      <c r="F491" s="5"/>
      <c r="G491" s="11">
        <f>IF(ISERROR(AVERAGE(F$13:F491)),"n/a",AVERAGE(F$13:F491))</f>
        <v>117</v>
      </c>
      <c r="H491" s="11">
        <f t="shared" si="70"/>
        <v>117</v>
      </c>
      <c r="J491" s="5"/>
      <c r="K491" s="5"/>
      <c r="L491" s="5"/>
      <c r="M491" s="5"/>
      <c r="N491" s="5"/>
      <c r="O491" s="8" t="str">
        <f t="shared" si="68"/>
        <v>n/a</v>
      </c>
      <c r="Q491" s="5"/>
      <c r="R491" s="5"/>
      <c r="S491" s="5"/>
      <c r="U491" s="6"/>
      <c r="V491" s="9" t="str">
        <f t="shared" si="71"/>
        <v/>
      </c>
      <c r="W491" s="9" t="str">
        <f t="shared" si="72"/>
        <v/>
      </c>
      <c r="X491" s="10">
        <f>SUM(V$13:V491)/COUNTA(B$13:B491)</f>
        <v>1.4613778705636743E-2</v>
      </c>
      <c r="Z491" s="5"/>
      <c r="AA491" s="5"/>
      <c r="AC491" s="7"/>
      <c r="AE491" s="54" t="e">
        <f t="shared" si="73"/>
        <v>#N/A</v>
      </c>
      <c r="AF491" s="4" t="e">
        <f t="shared" si="69"/>
        <v>#N/A</v>
      </c>
    </row>
    <row r="492" spans="2:32">
      <c r="B492" s="5">
        <f t="shared" si="74"/>
        <v>480</v>
      </c>
      <c r="C492" s="5"/>
      <c r="E492" s="13"/>
      <c r="F492" s="5"/>
      <c r="G492" s="11">
        <f>IF(ISERROR(AVERAGE(F$13:F492)),"n/a",AVERAGE(F$13:F492))</f>
        <v>117</v>
      </c>
      <c r="H492" s="11">
        <f t="shared" si="70"/>
        <v>117</v>
      </c>
      <c r="J492" s="5"/>
      <c r="K492" s="5"/>
      <c r="L492" s="5"/>
      <c r="M492" s="5"/>
      <c r="N492" s="5"/>
      <c r="O492" s="8" t="str">
        <f t="shared" si="68"/>
        <v>n/a</v>
      </c>
      <c r="Q492" s="5"/>
      <c r="R492" s="5"/>
      <c r="S492" s="5"/>
      <c r="U492" s="6"/>
      <c r="V492" s="9" t="str">
        <f t="shared" si="71"/>
        <v/>
      </c>
      <c r="W492" s="9" t="str">
        <f t="shared" si="72"/>
        <v/>
      </c>
      <c r="X492" s="10">
        <f>SUM(V$13:V492)/COUNTA(B$13:B492)</f>
        <v>1.4583333333333334E-2</v>
      </c>
      <c r="Z492" s="5"/>
      <c r="AA492" s="5"/>
      <c r="AC492" s="7"/>
      <c r="AE492" s="54" t="e">
        <f t="shared" si="73"/>
        <v>#N/A</v>
      </c>
      <c r="AF492" s="4" t="e">
        <f t="shared" si="69"/>
        <v>#N/A</v>
      </c>
    </row>
    <row r="493" spans="2:32">
      <c r="B493" s="5">
        <f t="shared" si="74"/>
        <v>481</v>
      </c>
      <c r="C493" s="5"/>
      <c r="E493" s="13"/>
      <c r="F493" s="5"/>
      <c r="G493" s="11">
        <f>IF(ISERROR(AVERAGE(F$13:F493)),"n/a",AVERAGE(F$13:F493))</f>
        <v>117</v>
      </c>
      <c r="H493" s="11">
        <f t="shared" si="70"/>
        <v>117</v>
      </c>
      <c r="J493" s="5"/>
      <c r="K493" s="5"/>
      <c r="L493" s="5"/>
      <c r="M493" s="5"/>
      <c r="N493" s="5"/>
      <c r="O493" s="8" t="str">
        <f t="shared" si="68"/>
        <v>n/a</v>
      </c>
      <c r="Q493" s="5"/>
      <c r="R493" s="5"/>
      <c r="S493" s="5"/>
      <c r="U493" s="6"/>
      <c r="V493" s="9" t="str">
        <f t="shared" si="71"/>
        <v/>
      </c>
      <c r="W493" s="9" t="str">
        <f t="shared" si="72"/>
        <v/>
      </c>
      <c r="X493" s="10">
        <f>SUM(V$13:V493)/COUNTA(B$13:B493)</f>
        <v>1.4553014553014554E-2</v>
      </c>
      <c r="Z493" s="5"/>
      <c r="AA493" s="5"/>
      <c r="AC493" s="7"/>
      <c r="AE493" s="54" t="e">
        <f t="shared" si="73"/>
        <v>#N/A</v>
      </c>
      <c r="AF493" s="4" t="e">
        <f t="shared" si="69"/>
        <v>#N/A</v>
      </c>
    </row>
    <row r="494" spans="2:32">
      <c r="B494" s="5">
        <f t="shared" si="74"/>
        <v>482</v>
      </c>
      <c r="C494" s="5"/>
      <c r="E494" s="13"/>
      <c r="F494" s="5"/>
      <c r="G494" s="11">
        <f>IF(ISERROR(AVERAGE(F$13:F494)),"n/a",AVERAGE(F$13:F494))</f>
        <v>117</v>
      </c>
      <c r="H494" s="11">
        <f t="shared" si="70"/>
        <v>117</v>
      </c>
      <c r="J494" s="5"/>
      <c r="K494" s="5"/>
      <c r="L494" s="5"/>
      <c r="M494" s="5"/>
      <c r="N494" s="5"/>
      <c r="O494" s="8" t="str">
        <f t="shared" si="68"/>
        <v>n/a</v>
      </c>
      <c r="Q494" s="5"/>
      <c r="R494" s="5"/>
      <c r="S494" s="5"/>
      <c r="U494" s="6"/>
      <c r="V494" s="9" t="str">
        <f t="shared" si="71"/>
        <v/>
      </c>
      <c r="W494" s="9" t="str">
        <f t="shared" si="72"/>
        <v/>
      </c>
      <c r="X494" s="10">
        <f>SUM(V$13:V494)/COUNTA(B$13:B494)</f>
        <v>1.4522821576763486E-2</v>
      </c>
      <c r="Z494" s="5"/>
      <c r="AA494" s="5"/>
      <c r="AC494" s="7"/>
      <c r="AE494" s="54" t="e">
        <f t="shared" si="73"/>
        <v>#N/A</v>
      </c>
      <c r="AF494" s="4" t="e">
        <f t="shared" si="69"/>
        <v>#N/A</v>
      </c>
    </row>
    <row r="495" spans="2:32">
      <c r="B495" s="5">
        <f t="shared" si="74"/>
        <v>483</v>
      </c>
      <c r="C495" s="5"/>
      <c r="E495" s="13"/>
      <c r="F495" s="5"/>
      <c r="G495" s="11">
        <f>IF(ISERROR(AVERAGE(F$13:F495)),"n/a",AVERAGE(F$13:F495))</f>
        <v>117</v>
      </c>
      <c r="H495" s="11">
        <f t="shared" si="70"/>
        <v>117</v>
      </c>
      <c r="J495" s="5"/>
      <c r="K495" s="5"/>
      <c r="L495" s="5"/>
      <c r="M495" s="5"/>
      <c r="N495" s="5"/>
      <c r="O495" s="8" t="str">
        <f t="shared" si="68"/>
        <v>n/a</v>
      </c>
      <c r="Q495" s="5"/>
      <c r="R495" s="5"/>
      <c r="S495" s="5"/>
      <c r="U495" s="6"/>
      <c r="V495" s="9" t="str">
        <f t="shared" si="71"/>
        <v/>
      </c>
      <c r="W495" s="9" t="str">
        <f t="shared" si="72"/>
        <v/>
      </c>
      <c r="X495" s="10">
        <f>SUM(V$13:V495)/COUNTA(B$13:B495)</f>
        <v>1.4492753623188406E-2</v>
      </c>
      <c r="Z495" s="5"/>
      <c r="AA495" s="5"/>
      <c r="AC495" s="7"/>
      <c r="AE495" s="54" t="e">
        <f t="shared" si="73"/>
        <v>#N/A</v>
      </c>
      <c r="AF495" s="4" t="e">
        <f t="shared" si="69"/>
        <v>#N/A</v>
      </c>
    </row>
    <row r="496" spans="2:32">
      <c r="B496" s="5">
        <f t="shared" si="74"/>
        <v>484</v>
      </c>
      <c r="C496" s="5"/>
      <c r="E496" s="13"/>
      <c r="F496" s="5"/>
      <c r="G496" s="11">
        <f>IF(ISERROR(AVERAGE(F$13:F496)),"n/a",AVERAGE(F$13:F496))</f>
        <v>117</v>
      </c>
      <c r="H496" s="11">
        <f t="shared" si="70"/>
        <v>117</v>
      </c>
      <c r="J496" s="5"/>
      <c r="K496" s="5"/>
      <c r="L496" s="5"/>
      <c r="M496" s="5"/>
      <c r="N496" s="5"/>
      <c r="O496" s="8" t="str">
        <f t="shared" si="68"/>
        <v>n/a</v>
      </c>
      <c r="Q496" s="5"/>
      <c r="R496" s="5"/>
      <c r="S496" s="5"/>
      <c r="U496" s="6"/>
      <c r="V496" s="9" t="str">
        <f t="shared" si="71"/>
        <v/>
      </c>
      <c r="W496" s="9" t="str">
        <f t="shared" si="72"/>
        <v/>
      </c>
      <c r="X496" s="10">
        <f>SUM(V$13:V496)/COUNTA(B$13:B496)</f>
        <v>1.4462809917355372E-2</v>
      </c>
      <c r="Z496" s="5"/>
      <c r="AA496" s="5"/>
      <c r="AC496" s="7"/>
      <c r="AE496" s="54" t="e">
        <f t="shared" si="73"/>
        <v>#N/A</v>
      </c>
      <c r="AF496" s="4" t="e">
        <f t="shared" si="69"/>
        <v>#N/A</v>
      </c>
    </row>
    <row r="497" spans="2:32">
      <c r="B497" s="5">
        <f t="shared" si="74"/>
        <v>485</v>
      </c>
      <c r="C497" s="5"/>
      <c r="E497" s="13"/>
      <c r="F497" s="5"/>
      <c r="G497" s="11">
        <f>IF(ISERROR(AVERAGE(F$13:F497)),"n/a",AVERAGE(F$13:F497))</f>
        <v>117</v>
      </c>
      <c r="H497" s="11">
        <f t="shared" si="70"/>
        <v>117</v>
      </c>
      <c r="J497" s="5"/>
      <c r="K497" s="5"/>
      <c r="L497" s="5"/>
      <c r="M497" s="5"/>
      <c r="N497" s="5"/>
      <c r="O497" s="8" t="str">
        <f t="shared" ref="O497:O560" si="75">IF(J497=1,"A",IF(K497=1,"B",IF(L497=1,"C",IF(M497=1,"D",IF(N497=1,"E","n/a")))))</f>
        <v>n/a</v>
      </c>
      <c r="Q497" s="5"/>
      <c r="R497" s="5"/>
      <c r="S497" s="5"/>
      <c r="U497" s="6"/>
      <c r="V497" s="9" t="str">
        <f t="shared" si="71"/>
        <v/>
      </c>
      <c r="W497" s="9" t="str">
        <f t="shared" si="72"/>
        <v/>
      </c>
      <c r="X497" s="10">
        <f>SUM(V$13:V497)/COUNTA(B$13:B497)</f>
        <v>1.443298969072165E-2</v>
      </c>
      <c r="Z497" s="5"/>
      <c r="AA497" s="5"/>
      <c r="AC497" s="7"/>
      <c r="AE497" s="54" t="e">
        <f t="shared" si="73"/>
        <v>#N/A</v>
      </c>
      <c r="AF497" s="4" t="e">
        <f t="shared" si="69"/>
        <v>#N/A</v>
      </c>
    </row>
    <row r="498" spans="2:32">
      <c r="B498" s="5">
        <f t="shared" si="74"/>
        <v>486</v>
      </c>
      <c r="C498" s="5"/>
      <c r="E498" s="13"/>
      <c r="F498" s="5"/>
      <c r="G498" s="11">
        <f>IF(ISERROR(AVERAGE(F$13:F498)),"n/a",AVERAGE(F$13:F498))</f>
        <v>117</v>
      </c>
      <c r="H498" s="11">
        <f t="shared" si="70"/>
        <v>117</v>
      </c>
      <c r="J498" s="5"/>
      <c r="K498" s="5"/>
      <c r="L498" s="5"/>
      <c r="M498" s="5"/>
      <c r="N498" s="5"/>
      <c r="O498" s="8" t="str">
        <f t="shared" si="75"/>
        <v>n/a</v>
      </c>
      <c r="Q498" s="5"/>
      <c r="R498" s="5"/>
      <c r="S498" s="5"/>
      <c r="U498" s="6"/>
      <c r="V498" s="9" t="str">
        <f t="shared" si="71"/>
        <v/>
      </c>
      <c r="W498" s="9" t="str">
        <f t="shared" si="72"/>
        <v/>
      </c>
      <c r="X498" s="10">
        <f>SUM(V$13:V498)/COUNTA(B$13:B498)</f>
        <v>1.4403292181069959E-2</v>
      </c>
      <c r="Z498" s="5"/>
      <c r="AA498" s="5"/>
      <c r="AC498" s="7"/>
      <c r="AE498" s="54" t="e">
        <f t="shared" si="73"/>
        <v>#N/A</v>
      </c>
      <c r="AF498" s="4" t="e">
        <f t="shared" si="69"/>
        <v>#N/A</v>
      </c>
    </row>
    <row r="499" spans="2:32">
      <c r="B499" s="5">
        <f t="shared" si="74"/>
        <v>487</v>
      </c>
      <c r="C499" s="5"/>
      <c r="E499" s="13"/>
      <c r="F499" s="5"/>
      <c r="G499" s="11">
        <f>IF(ISERROR(AVERAGE(F$13:F499)),"n/a",AVERAGE(F$13:F499))</f>
        <v>117</v>
      </c>
      <c r="H499" s="11">
        <f t="shared" si="70"/>
        <v>117</v>
      </c>
      <c r="J499" s="5"/>
      <c r="K499" s="5"/>
      <c r="L499" s="5"/>
      <c r="M499" s="5"/>
      <c r="N499" s="5"/>
      <c r="O499" s="8" t="str">
        <f t="shared" si="75"/>
        <v>n/a</v>
      </c>
      <c r="Q499" s="5"/>
      <c r="R499" s="5"/>
      <c r="S499" s="5"/>
      <c r="U499" s="6"/>
      <c r="V499" s="9" t="str">
        <f t="shared" si="71"/>
        <v/>
      </c>
      <c r="W499" s="9" t="str">
        <f t="shared" si="72"/>
        <v/>
      </c>
      <c r="X499" s="10">
        <f>SUM(V$13:V499)/COUNTA(B$13:B499)</f>
        <v>1.4373716632443531E-2</v>
      </c>
      <c r="Z499" s="5"/>
      <c r="AA499" s="5"/>
      <c r="AC499" s="7"/>
      <c r="AE499" s="54" t="e">
        <f t="shared" si="73"/>
        <v>#N/A</v>
      </c>
      <c r="AF499" s="4" t="e">
        <f t="shared" si="69"/>
        <v>#N/A</v>
      </c>
    </row>
    <row r="500" spans="2:32">
      <c r="B500" s="5">
        <f t="shared" si="74"/>
        <v>488</v>
      </c>
      <c r="C500" s="5"/>
      <c r="E500" s="13"/>
      <c r="F500" s="5"/>
      <c r="G500" s="11">
        <f>IF(ISERROR(AVERAGE(F$13:F500)),"n/a",AVERAGE(F$13:F500))</f>
        <v>117</v>
      </c>
      <c r="H500" s="11">
        <f t="shared" si="70"/>
        <v>117</v>
      </c>
      <c r="J500" s="5"/>
      <c r="K500" s="5"/>
      <c r="L500" s="5"/>
      <c r="M500" s="5"/>
      <c r="N500" s="5"/>
      <c r="O500" s="8" t="str">
        <f t="shared" si="75"/>
        <v>n/a</v>
      </c>
      <c r="Q500" s="5"/>
      <c r="R500" s="5"/>
      <c r="S500" s="5"/>
      <c r="U500" s="6"/>
      <c r="V500" s="9" t="str">
        <f t="shared" si="71"/>
        <v/>
      </c>
      <c r="W500" s="9" t="str">
        <f t="shared" si="72"/>
        <v/>
      </c>
      <c r="X500" s="10">
        <f>SUM(V$13:V500)/COUNTA(B$13:B500)</f>
        <v>1.4344262295081968E-2</v>
      </c>
      <c r="Z500" s="5"/>
      <c r="AA500" s="5"/>
      <c r="AC500" s="7"/>
      <c r="AE500" s="54" t="e">
        <f t="shared" si="73"/>
        <v>#N/A</v>
      </c>
      <c r="AF500" s="4" t="e">
        <f t="shared" si="69"/>
        <v>#N/A</v>
      </c>
    </row>
    <row r="501" spans="2:32">
      <c r="B501" s="5">
        <f t="shared" si="74"/>
        <v>489</v>
      </c>
      <c r="C501" s="5"/>
      <c r="E501" s="13"/>
      <c r="F501" s="5"/>
      <c r="G501" s="11">
        <f>IF(ISERROR(AVERAGE(F$13:F501)),"n/a",AVERAGE(F$13:F501))</f>
        <v>117</v>
      </c>
      <c r="H501" s="11">
        <f t="shared" si="70"/>
        <v>117</v>
      </c>
      <c r="J501" s="5"/>
      <c r="K501" s="5"/>
      <c r="L501" s="5"/>
      <c r="M501" s="5"/>
      <c r="N501" s="5"/>
      <c r="O501" s="8" t="str">
        <f t="shared" si="75"/>
        <v>n/a</v>
      </c>
      <c r="Q501" s="5"/>
      <c r="R501" s="5"/>
      <c r="S501" s="5"/>
      <c r="U501" s="6"/>
      <c r="V501" s="9" t="str">
        <f t="shared" si="71"/>
        <v/>
      </c>
      <c r="W501" s="9" t="str">
        <f t="shared" si="72"/>
        <v/>
      </c>
      <c r="X501" s="10">
        <f>SUM(V$13:V501)/COUNTA(B$13:B501)</f>
        <v>1.4314928425357873E-2</v>
      </c>
      <c r="Z501" s="5"/>
      <c r="AA501" s="5"/>
      <c r="AC501" s="7"/>
      <c r="AE501" s="54" t="e">
        <f t="shared" si="73"/>
        <v>#N/A</v>
      </c>
      <c r="AF501" s="4" t="e">
        <f t="shared" si="69"/>
        <v>#N/A</v>
      </c>
    </row>
    <row r="502" spans="2:32">
      <c r="B502" s="5">
        <f t="shared" si="74"/>
        <v>490</v>
      </c>
      <c r="C502" s="5"/>
      <c r="E502" s="13"/>
      <c r="F502" s="5"/>
      <c r="G502" s="11">
        <f>IF(ISERROR(AVERAGE(F$13:F502)),"n/a",AVERAGE(F$13:F502))</f>
        <v>117</v>
      </c>
      <c r="H502" s="11">
        <f t="shared" si="70"/>
        <v>117</v>
      </c>
      <c r="J502" s="5"/>
      <c r="K502" s="5"/>
      <c r="L502" s="5"/>
      <c r="M502" s="5"/>
      <c r="N502" s="5"/>
      <c r="O502" s="8" t="str">
        <f t="shared" si="75"/>
        <v>n/a</v>
      </c>
      <c r="Q502" s="5"/>
      <c r="R502" s="5"/>
      <c r="S502" s="5"/>
      <c r="U502" s="6"/>
      <c r="V502" s="9" t="str">
        <f t="shared" si="71"/>
        <v/>
      </c>
      <c r="W502" s="9" t="str">
        <f t="shared" si="72"/>
        <v/>
      </c>
      <c r="X502" s="10">
        <f>SUM(V$13:V502)/COUNTA(B$13:B502)</f>
        <v>1.4285714285714285E-2</v>
      </c>
      <c r="Z502" s="5"/>
      <c r="AA502" s="5"/>
      <c r="AC502" s="7"/>
      <c r="AE502" s="54" t="e">
        <f t="shared" si="73"/>
        <v>#N/A</v>
      </c>
      <c r="AF502" s="4" t="e">
        <f t="shared" si="69"/>
        <v>#N/A</v>
      </c>
    </row>
    <row r="503" spans="2:32">
      <c r="B503" s="5">
        <f t="shared" si="74"/>
        <v>491</v>
      </c>
      <c r="C503" s="5"/>
      <c r="E503" s="13"/>
      <c r="F503" s="5"/>
      <c r="G503" s="11">
        <f>IF(ISERROR(AVERAGE(F$13:F503)),"n/a",AVERAGE(F$13:F503))</f>
        <v>117</v>
      </c>
      <c r="H503" s="11">
        <f t="shared" si="70"/>
        <v>117</v>
      </c>
      <c r="J503" s="5"/>
      <c r="K503" s="5"/>
      <c r="L503" s="5"/>
      <c r="M503" s="5"/>
      <c r="N503" s="5"/>
      <c r="O503" s="8" t="str">
        <f t="shared" si="75"/>
        <v>n/a</v>
      </c>
      <c r="Q503" s="5"/>
      <c r="R503" s="5"/>
      <c r="S503" s="5"/>
      <c r="U503" s="6"/>
      <c r="V503" s="9" t="str">
        <f t="shared" si="71"/>
        <v/>
      </c>
      <c r="W503" s="9" t="str">
        <f t="shared" si="72"/>
        <v/>
      </c>
      <c r="X503" s="10">
        <f>SUM(V$13:V503)/COUNTA(B$13:B503)</f>
        <v>1.4256619144602852E-2</v>
      </c>
      <c r="Z503" s="5"/>
      <c r="AA503" s="5"/>
      <c r="AC503" s="7"/>
      <c r="AE503" s="54" t="e">
        <f t="shared" si="73"/>
        <v>#N/A</v>
      </c>
      <c r="AF503" s="4" t="e">
        <f t="shared" si="69"/>
        <v>#N/A</v>
      </c>
    </row>
    <row r="504" spans="2:32">
      <c r="B504" s="5">
        <f t="shared" si="74"/>
        <v>492</v>
      </c>
      <c r="C504" s="5"/>
      <c r="E504" s="13"/>
      <c r="F504" s="5"/>
      <c r="G504" s="11">
        <f>IF(ISERROR(AVERAGE(F$13:F504)),"n/a",AVERAGE(F$13:F504))</f>
        <v>117</v>
      </c>
      <c r="H504" s="11">
        <f t="shared" si="70"/>
        <v>117</v>
      </c>
      <c r="J504" s="5"/>
      <c r="K504" s="5"/>
      <c r="L504" s="5"/>
      <c r="M504" s="5"/>
      <c r="N504" s="5"/>
      <c r="O504" s="8" t="str">
        <f t="shared" si="75"/>
        <v>n/a</v>
      </c>
      <c r="Q504" s="5"/>
      <c r="R504" s="5"/>
      <c r="S504" s="5"/>
      <c r="U504" s="6"/>
      <c r="V504" s="9" t="str">
        <f t="shared" si="71"/>
        <v/>
      </c>
      <c r="W504" s="9" t="str">
        <f t="shared" si="72"/>
        <v/>
      </c>
      <c r="X504" s="10">
        <f>SUM(V$13:V504)/COUNTA(B$13:B504)</f>
        <v>1.4227642276422764E-2</v>
      </c>
      <c r="Z504" s="5"/>
      <c r="AA504" s="5"/>
      <c r="AC504" s="7"/>
      <c r="AE504" s="54" t="e">
        <f t="shared" si="73"/>
        <v>#N/A</v>
      </c>
      <c r="AF504" s="4" t="e">
        <f t="shared" si="69"/>
        <v>#N/A</v>
      </c>
    </row>
    <row r="505" spans="2:32">
      <c r="B505" s="5">
        <f t="shared" si="74"/>
        <v>493</v>
      </c>
      <c r="C505" s="5"/>
      <c r="E505" s="13"/>
      <c r="F505" s="5"/>
      <c r="G505" s="11">
        <f>IF(ISERROR(AVERAGE(F$13:F505)),"n/a",AVERAGE(F$13:F505))</f>
        <v>117</v>
      </c>
      <c r="H505" s="11">
        <f t="shared" si="70"/>
        <v>117</v>
      </c>
      <c r="J505" s="5"/>
      <c r="K505" s="5"/>
      <c r="L505" s="5"/>
      <c r="M505" s="5"/>
      <c r="N505" s="5"/>
      <c r="O505" s="8" t="str">
        <f t="shared" si="75"/>
        <v>n/a</v>
      </c>
      <c r="Q505" s="5"/>
      <c r="R505" s="5"/>
      <c r="S505" s="5"/>
      <c r="U505" s="6"/>
      <c r="V505" s="9" t="str">
        <f t="shared" si="71"/>
        <v/>
      </c>
      <c r="W505" s="9" t="str">
        <f t="shared" si="72"/>
        <v/>
      </c>
      <c r="X505" s="10">
        <f>SUM(V$13:V505)/COUNTA(B$13:B505)</f>
        <v>1.4198782961460446E-2</v>
      </c>
      <c r="Z505" s="5"/>
      <c r="AA505" s="5"/>
      <c r="AC505" s="7"/>
      <c r="AE505" s="54" t="e">
        <f t="shared" si="73"/>
        <v>#N/A</v>
      </c>
      <c r="AF505" s="4" t="e">
        <f t="shared" si="69"/>
        <v>#N/A</v>
      </c>
    </row>
    <row r="506" spans="2:32">
      <c r="B506" s="5">
        <f t="shared" si="74"/>
        <v>494</v>
      </c>
      <c r="C506" s="5"/>
      <c r="E506" s="13"/>
      <c r="F506" s="5"/>
      <c r="G506" s="11">
        <f>IF(ISERROR(AVERAGE(F$13:F506)),"n/a",AVERAGE(F$13:F506))</f>
        <v>117</v>
      </c>
      <c r="H506" s="11">
        <f t="shared" si="70"/>
        <v>117</v>
      </c>
      <c r="J506" s="5"/>
      <c r="K506" s="5"/>
      <c r="L506" s="5"/>
      <c r="M506" s="5"/>
      <c r="N506" s="5"/>
      <c r="O506" s="8" t="str">
        <f t="shared" si="75"/>
        <v>n/a</v>
      </c>
      <c r="Q506" s="5"/>
      <c r="R506" s="5"/>
      <c r="S506" s="5"/>
      <c r="U506" s="6"/>
      <c r="V506" s="9" t="str">
        <f t="shared" si="71"/>
        <v/>
      </c>
      <c r="W506" s="9" t="str">
        <f t="shared" si="72"/>
        <v/>
      </c>
      <c r="X506" s="10">
        <f>SUM(V$13:V506)/COUNTA(B$13:B506)</f>
        <v>1.417004048582996E-2</v>
      </c>
      <c r="Z506" s="5"/>
      <c r="AA506" s="5"/>
      <c r="AC506" s="7"/>
      <c r="AE506" s="54" t="e">
        <f t="shared" si="73"/>
        <v>#N/A</v>
      </c>
      <c r="AF506" s="4" t="e">
        <f t="shared" si="69"/>
        <v>#N/A</v>
      </c>
    </row>
    <row r="507" spans="2:32">
      <c r="B507" s="5">
        <f t="shared" si="74"/>
        <v>495</v>
      </c>
      <c r="C507" s="5"/>
      <c r="E507" s="13"/>
      <c r="F507" s="5"/>
      <c r="G507" s="11">
        <f>IF(ISERROR(AVERAGE(F$13:F507)),"n/a",AVERAGE(F$13:F507))</f>
        <v>117</v>
      </c>
      <c r="H507" s="11">
        <f t="shared" si="70"/>
        <v>117</v>
      </c>
      <c r="J507" s="5"/>
      <c r="K507" s="5"/>
      <c r="L507" s="5"/>
      <c r="M507" s="5"/>
      <c r="N507" s="5"/>
      <c r="O507" s="8" t="str">
        <f t="shared" si="75"/>
        <v>n/a</v>
      </c>
      <c r="Q507" s="5"/>
      <c r="R507" s="5"/>
      <c r="S507" s="5"/>
      <c r="U507" s="6"/>
      <c r="V507" s="9" t="str">
        <f t="shared" si="71"/>
        <v/>
      </c>
      <c r="W507" s="9" t="str">
        <f t="shared" si="72"/>
        <v/>
      </c>
      <c r="X507" s="10">
        <f>SUM(V$13:V507)/COUNTA(B$13:B507)</f>
        <v>1.4141414141414142E-2</v>
      </c>
      <c r="Z507" s="5"/>
      <c r="AA507" s="5"/>
      <c r="AC507" s="7"/>
      <c r="AE507" s="54" t="e">
        <f t="shared" si="73"/>
        <v>#N/A</v>
      </c>
      <c r="AF507" s="4" t="e">
        <f t="shared" si="69"/>
        <v>#N/A</v>
      </c>
    </row>
    <row r="508" spans="2:32">
      <c r="B508" s="5">
        <f t="shared" si="74"/>
        <v>496</v>
      </c>
      <c r="C508" s="5"/>
      <c r="E508" s="13"/>
      <c r="F508" s="5"/>
      <c r="G508" s="11">
        <f>IF(ISERROR(AVERAGE(F$13:F508)),"n/a",AVERAGE(F$13:F508))</f>
        <v>117</v>
      </c>
      <c r="H508" s="11">
        <f t="shared" si="70"/>
        <v>117</v>
      </c>
      <c r="J508" s="5"/>
      <c r="K508" s="5"/>
      <c r="L508" s="5"/>
      <c r="M508" s="5"/>
      <c r="N508" s="5"/>
      <c r="O508" s="8" t="str">
        <f t="shared" si="75"/>
        <v>n/a</v>
      </c>
      <c r="Q508" s="5"/>
      <c r="R508" s="5"/>
      <c r="S508" s="5"/>
      <c r="U508" s="6"/>
      <c r="V508" s="9" t="str">
        <f t="shared" si="71"/>
        <v/>
      </c>
      <c r="W508" s="9" t="str">
        <f t="shared" si="72"/>
        <v/>
      </c>
      <c r="X508" s="10">
        <f>SUM(V$13:V508)/COUNTA(B$13:B508)</f>
        <v>1.4112903225806451E-2</v>
      </c>
      <c r="Z508" s="5"/>
      <c r="AA508" s="5"/>
      <c r="AC508" s="7"/>
      <c r="AE508" s="54" t="e">
        <f t="shared" si="73"/>
        <v>#N/A</v>
      </c>
      <c r="AF508" s="4" t="e">
        <f t="shared" si="69"/>
        <v>#N/A</v>
      </c>
    </row>
    <row r="509" spans="2:32">
      <c r="B509" s="5">
        <f t="shared" si="74"/>
        <v>497</v>
      </c>
      <c r="C509" s="5"/>
      <c r="E509" s="13"/>
      <c r="F509" s="5"/>
      <c r="G509" s="11">
        <f>IF(ISERROR(AVERAGE(F$13:F509)),"n/a",AVERAGE(F$13:F509))</f>
        <v>117</v>
      </c>
      <c r="H509" s="11">
        <f t="shared" si="70"/>
        <v>117</v>
      </c>
      <c r="J509" s="5"/>
      <c r="K509" s="5"/>
      <c r="L509" s="5"/>
      <c r="M509" s="5"/>
      <c r="N509" s="5"/>
      <c r="O509" s="8" t="str">
        <f t="shared" si="75"/>
        <v>n/a</v>
      </c>
      <c r="Q509" s="5"/>
      <c r="R509" s="5"/>
      <c r="S509" s="5"/>
      <c r="U509" s="6"/>
      <c r="V509" s="9" t="str">
        <f t="shared" si="71"/>
        <v/>
      </c>
      <c r="W509" s="9" t="str">
        <f t="shared" si="72"/>
        <v/>
      </c>
      <c r="X509" s="10">
        <f>SUM(V$13:V509)/COUNTA(B$13:B509)</f>
        <v>1.4084507042253521E-2</v>
      </c>
      <c r="Z509" s="5"/>
      <c r="AA509" s="5"/>
      <c r="AC509" s="7"/>
      <c r="AE509" s="54" t="e">
        <f t="shared" si="73"/>
        <v>#N/A</v>
      </c>
      <c r="AF509" s="4" t="e">
        <f t="shared" si="69"/>
        <v>#N/A</v>
      </c>
    </row>
    <row r="510" spans="2:32">
      <c r="B510" s="5">
        <f t="shared" si="74"/>
        <v>498</v>
      </c>
      <c r="C510" s="5"/>
      <c r="E510" s="13"/>
      <c r="F510" s="5"/>
      <c r="G510" s="11">
        <f>IF(ISERROR(AVERAGE(F$13:F510)),"n/a",AVERAGE(F$13:F510))</f>
        <v>117</v>
      </c>
      <c r="H510" s="11">
        <f t="shared" si="70"/>
        <v>117</v>
      </c>
      <c r="J510" s="5"/>
      <c r="K510" s="5"/>
      <c r="L510" s="5"/>
      <c r="M510" s="5"/>
      <c r="N510" s="5"/>
      <c r="O510" s="8" t="str">
        <f t="shared" si="75"/>
        <v>n/a</v>
      </c>
      <c r="Q510" s="5"/>
      <c r="R510" s="5"/>
      <c r="S510" s="5"/>
      <c r="U510" s="6"/>
      <c r="V510" s="9" t="str">
        <f t="shared" si="71"/>
        <v/>
      </c>
      <c r="W510" s="9" t="str">
        <f t="shared" si="72"/>
        <v/>
      </c>
      <c r="X510" s="10">
        <f>SUM(V$13:V510)/COUNTA(B$13:B510)</f>
        <v>1.4056224899598393E-2</v>
      </c>
      <c r="Z510" s="5"/>
      <c r="AA510" s="5"/>
      <c r="AC510" s="7"/>
      <c r="AE510" s="54" t="e">
        <f t="shared" si="73"/>
        <v>#N/A</v>
      </c>
      <c r="AF510" s="4" t="e">
        <f t="shared" si="69"/>
        <v>#N/A</v>
      </c>
    </row>
    <row r="511" spans="2:32">
      <c r="B511" s="5">
        <f t="shared" si="74"/>
        <v>499</v>
      </c>
      <c r="C511" s="5"/>
      <c r="E511" s="13"/>
      <c r="F511" s="5"/>
      <c r="G511" s="11">
        <f>IF(ISERROR(AVERAGE(F$13:F511)),"n/a",AVERAGE(F$13:F511))</f>
        <v>117</v>
      </c>
      <c r="H511" s="11">
        <f t="shared" si="70"/>
        <v>117</v>
      </c>
      <c r="J511" s="5"/>
      <c r="K511" s="5"/>
      <c r="L511" s="5"/>
      <c r="M511" s="5"/>
      <c r="N511" s="5"/>
      <c r="O511" s="8" t="str">
        <f t="shared" si="75"/>
        <v>n/a</v>
      </c>
      <c r="Q511" s="5"/>
      <c r="R511" s="5"/>
      <c r="S511" s="5"/>
      <c r="U511" s="6"/>
      <c r="V511" s="9" t="str">
        <f t="shared" si="71"/>
        <v/>
      </c>
      <c r="W511" s="9" t="str">
        <f t="shared" si="72"/>
        <v/>
      </c>
      <c r="X511" s="10">
        <f>SUM(V$13:V511)/COUNTA(B$13:B511)</f>
        <v>1.4028056112224449E-2</v>
      </c>
      <c r="Z511" s="5"/>
      <c r="AA511" s="5"/>
      <c r="AC511" s="7"/>
      <c r="AE511" s="54" t="e">
        <f t="shared" si="73"/>
        <v>#N/A</v>
      </c>
      <c r="AF511" s="4" t="e">
        <f t="shared" si="69"/>
        <v>#N/A</v>
      </c>
    </row>
    <row r="512" spans="2:32">
      <c r="B512" s="5">
        <f t="shared" si="74"/>
        <v>500</v>
      </c>
      <c r="C512" s="5"/>
      <c r="E512" s="13"/>
      <c r="F512" s="5"/>
      <c r="G512" s="11">
        <f>IF(ISERROR(AVERAGE(F$13:F512)),"n/a",AVERAGE(F$13:F512))</f>
        <v>117</v>
      </c>
      <c r="H512" s="11">
        <f t="shared" si="70"/>
        <v>117</v>
      </c>
      <c r="J512" s="5"/>
      <c r="K512" s="5"/>
      <c r="L512" s="5"/>
      <c r="M512" s="5"/>
      <c r="N512" s="5"/>
      <c r="O512" s="8" t="str">
        <f t="shared" si="75"/>
        <v>n/a</v>
      </c>
      <c r="Q512" s="5"/>
      <c r="R512" s="5"/>
      <c r="S512" s="5"/>
      <c r="U512" s="6"/>
      <c r="V512" s="9" t="str">
        <f t="shared" si="71"/>
        <v/>
      </c>
      <c r="W512" s="9" t="str">
        <f t="shared" si="72"/>
        <v/>
      </c>
      <c r="X512" s="10">
        <f>SUM(V$13:V512)/COUNTA(B$13:B512)</f>
        <v>1.4E-2</v>
      </c>
      <c r="Z512" s="5"/>
      <c r="AA512" s="5"/>
      <c r="AC512" s="7"/>
      <c r="AE512" s="54" t="e">
        <f t="shared" si="73"/>
        <v>#N/A</v>
      </c>
      <c r="AF512" s="4" t="e">
        <f t="shared" si="69"/>
        <v>#N/A</v>
      </c>
    </row>
    <row r="513" spans="2:32">
      <c r="B513" s="5">
        <f t="shared" si="74"/>
        <v>501</v>
      </c>
      <c r="C513" s="5"/>
      <c r="E513" s="13"/>
      <c r="F513" s="5"/>
      <c r="G513" s="11">
        <f>IF(ISERROR(AVERAGE(F$13:F513)),"n/a",AVERAGE(F$13:F513))</f>
        <v>117</v>
      </c>
      <c r="H513" s="11">
        <f t="shared" si="70"/>
        <v>117</v>
      </c>
      <c r="J513" s="5"/>
      <c r="K513" s="5"/>
      <c r="L513" s="5"/>
      <c r="M513" s="5"/>
      <c r="N513" s="5"/>
      <c r="O513" s="8" t="str">
        <f t="shared" si="75"/>
        <v>n/a</v>
      </c>
      <c r="Q513" s="5"/>
      <c r="R513" s="5"/>
      <c r="S513" s="5"/>
      <c r="U513" s="6"/>
      <c r="V513" s="9" t="str">
        <f t="shared" si="71"/>
        <v/>
      </c>
      <c r="W513" s="9" t="str">
        <f t="shared" si="72"/>
        <v/>
      </c>
      <c r="X513" s="10">
        <f>SUM(V$13:V513)/COUNTA(B$13:B513)</f>
        <v>1.3972055888223553E-2</v>
      </c>
      <c r="Z513" s="5"/>
      <c r="AA513" s="5"/>
      <c r="AC513" s="7"/>
      <c r="AE513" s="54" t="e">
        <f t="shared" si="73"/>
        <v>#N/A</v>
      </c>
      <c r="AF513" s="4" t="e">
        <f t="shared" si="69"/>
        <v>#N/A</v>
      </c>
    </row>
    <row r="514" spans="2:32">
      <c r="B514" s="5">
        <f t="shared" si="74"/>
        <v>502</v>
      </c>
      <c r="C514" s="5"/>
      <c r="E514" s="13"/>
      <c r="F514" s="5"/>
      <c r="G514" s="11">
        <f>IF(ISERROR(AVERAGE(F$13:F514)),"n/a",AVERAGE(F$13:F514))</f>
        <v>117</v>
      </c>
      <c r="H514" s="11">
        <f t="shared" si="70"/>
        <v>117</v>
      </c>
      <c r="J514" s="5"/>
      <c r="K514" s="5"/>
      <c r="L514" s="5"/>
      <c r="M514" s="5"/>
      <c r="N514" s="5"/>
      <c r="O514" s="8" t="str">
        <f t="shared" si="75"/>
        <v>n/a</v>
      </c>
      <c r="Q514" s="5"/>
      <c r="R514" s="5"/>
      <c r="S514" s="5"/>
      <c r="U514" s="6"/>
      <c r="V514" s="9" t="str">
        <f t="shared" si="71"/>
        <v/>
      </c>
      <c r="W514" s="9" t="str">
        <f t="shared" si="72"/>
        <v/>
      </c>
      <c r="X514" s="10">
        <f>SUM(V$13:V514)/COUNTA(B$13:B514)</f>
        <v>1.3944223107569721E-2</v>
      </c>
      <c r="Z514" s="5"/>
      <c r="AA514" s="5"/>
      <c r="AC514" s="7"/>
      <c r="AE514" s="54" t="e">
        <f t="shared" si="73"/>
        <v>#N/A</v>
      </c>
      <c r="AF514" s="4" t="e">
        <f t="shared" si="69"/>
        <v>#N/A</v>
      </c>
    </row>
    <row r="515" spans="2:32">
      <c r="B515" s="5">
        <f t="shared" si="74"/>
        <v>503</v>
      </c>
      <c r="C515" s="5"/>
      <c r="E515" s="13"/>
      <c r="F515" s="5"/>
      <c r="G515" s="11">
        <f>IF(ISERROR(AVERAGE(F$13:F515)),"n/a",AVERAGE(F$13:F515))</f>
        <v>117</v>
      </c>
      <c r="H515" s="11">
        <f t="shared" si="70"/>
        <v>117</v>
      </c>
      <c r="J515" s="5"/>
      <c r="K515" s="5"/>
      <c r="L515" s="5"/>
      <c r="M515" s="5"/>
      <c r="N515" s="5"/>
      <c r="O515" s="8" t="str">
        <f t="shared" si="75"/>
        <v>n/a</v>
      </c>
      <c r="Q515" s="5"/>
      <c r="R515" s="5"/>
      <c r="S515" s="5"/>
      <c r="U515" s="6"/>
      <c r="V515" s="9" t="str">
        <f t="shared" si="71"/>
        <v/>
      </c>
      <c r="W515" s="9" t="str">
        <f t="shared" si="72"/>
        <v/>
      </c>
      <c r="X515" s="10">
        <f>SUM(V$13:V515)/COUNTA(B$13:B515)</f>
        <v>1.3916500994035786E-2</v>
      </c>
      <c r="Z515" s="5"/>
      <c r="AA515" s="5"/>
      <c r="AC515" s="7"/>
      <c r="AE515" s="54" t="e">
        <f t="shared" si="73"/>
        <v>#N/A</v>
      </c>
      <c r="AF515" s="4" t="e">
        <f t="shared" si="69"/>
        <v>#N/A</v>
      </c>
    </row>
    <row r="516" spans="2:32">
      <c r="B516" s="5">
        <f t="shared" si="74"/>
        <v>504</v>
      </c>
      <c r="C516" s="5"/>
      <c r="E516" s="13"/>
      <c r="F516" s="5"/>
      <c r="G516" s="11">
        <f>IF(ISERROR(AVERAGE(F$13:F516)),"n/a",AVERAGE(F$13:F516))</f>
        <v>117</v>
      </c>
      <c r="H516" s="11">
        <f t="shared" si="70"/>
        <v>117</v>
      </c>
      <c r="J516" s="5"/>
      <c r="K516" s="5"/>
      <c r="L516" s="5"/>
      <c r="M516" s="5"/>
      <c r="N516" s="5"/>
      <c r="O516" s="8" t="str">
        <f t="shared" si="75"/>
        <v>n/a</v>
      </c>
      <c r="Q516" s="5"/>
      <c r="R516" s="5"/>
      <c r="S516" s="5"/>
      <c r="U516" s="6"/>
      <c r="V516" s="9" t="str">
        <f t="shared" si="71"/>
        <v/>
      </c>
      <c r="W516" s="9" t="str">
        <f t="shared" si="72"/>
        <v/>
      </c>
      <c r="X516" s="10">
        <f>SUM(V$13:V516)/COUNTA(B$13:B516)</f>
        <v>1.3888888888888888E-2</v>
      </c>
      <c r="Z516" s="5"/>
      <c r="AA516" s="5"/>
      <c r="AC516" s="7"/>
      <c r="AE516" s="54" t="e">
        <f t="shared" si="73"/>
        <v>#N/A</v>
      </c>
      <c r="AF516" s="4" t="e">
        <f t="shared" si="69"/>
        <v>#N/A</v>
      </c>
    </row>
    <row r="517" spans="2:32">
      <c r="B517" s="5">
        <f t="shared" si="74"/>
        <v>505</v>
      </c>
      <c r="C517" s="5"/>
      <c r="E517" s="13"/>
      <c r="F517" s="5"/>
      <c r="G517" s="11">
        <f>IF(ISERROR(AVERAGE(F$13:F517)),"n/a",AVERAGE(F$13:F517))</f>
        <v>117</v>
      </c>
      <c r="H517" s="11">
        <f t="shared" si="70"/>
        <v>117</v>
      </c>
      <c r="J517" s="5"/>
      <c r="K517" s="5"/>
      <c r="L517" s="5"/>
      <c r="M517" s="5"/>
      <c r="N517" s="5"/>
      <c r="O517" s="8" t="str">
        <f t="shared" si="75"/>
        <v>n/a</v>
      </c>
      <c r="Q517" s="5"/>
      <c r="R517" s="5"/>
      <c r="S517" s="5"/>
      <c r="U517" s="6"/>
      <c r="V517" s="9" t="str">
        <f t="shared" si="71"/>
        <v/>
      </c>
      <c r="W517" s="9" t="str">
        <f t="shared" si="72"/>
        <v/>
      </c>
      <c r="X517" s="10">
        <f>SUM(V$13:V517)/COUNTA(B$13:B517)</f>
        <v>1.3861386138613862E-2</v>
      </c>
      <c r="Z517" s="5"/>
      <c r="AA517" s="5"/>
      <c r="AC517" s="7"/>
      <c r="AE517" s="54" t="e">
        <f t="shared" si="73"/>
        <v>#N/A</v>
      </c>
      <c r="AF517" s="4" t="e">
        <f t="shared" si="69"/>
        <v>#N/A</v>
      </c>
    </row>
    <row r="518" spans="2:32">
      <c r="B518" s="5">
        <f t="shared" si="74"/>
        <v>506</v>
      </c>
      <c r="C518" s="5"/>
      <c r="E518" s="13"/>
      <c r="F518" s="5"/>
      <c r="G518" s="11">
        <f>IF(ISERROR(AVERAGE(F$13:F518)),"n/a",AVERAGE(F$13:F518))</f>
        <v>117</v>
      </c>
      <c r="H518" s="11">
        <f t="shared" si="70"/>
        <v>117</v>
      </c>
      <c r="J518" s="5"/>
      <c r="K518" s="5"/>
      <c r="L518" s="5"/>
      <c r="M518" s="5"/>
      <c r="N518" s="5"/>
      <c r="O518" s="8" t="str">
        <f t="shared" si="75"/>
        <v>n/a</v>
      </c>
      <c r="Q518" s="5"/>
      <c r="R518" s="5"/>
      <c r="S518" s="5"/>
      <c r="U518" s="6"/>
      <c r="V518" s="9" t="str">
        <f t="shared" si="71"/>
        <v/>
      </c>
      <c r="W518" s="9" t="str">
        <f t="shared" si="72"/>
        <v/>
      </c>
      <c r="X518" s="10">
        <f>SUM(V$13:V518)/COUNTA(B$13:B518)</f>
        <v>1.383399209486166E-2</v>
      </c>
      <c r="Z518" s="5"/>
      <c r="AA518" s="5"/>
      <c r="AC518" s="7"/>
      <c r="AE518" s="54" t="e">
        <f t="shared" si="73"/>
        <v>#N/A</v>
      </c>
      <c r="AF518" s="4" t="e">
        <f t="shared" si="69"/>
        <v>#N/A</v>
      </c>
    </row>
    <row r="519" spans="2:32">
      <c r="B519" s="5">
        <f t="shared" si="74"/>
        <v>507</v>
      </c>
      <c r="C519" s="5"/>
      <c r="E519" s="13"/>
      <c r="F519" s="5"/>
      <c r="G519" s="11">
        <f>IF(ISERROR(AVERAGE(F$13:F519)),"n/a",AVERAGE(F$13:F519))</f>
        <v>117</v>
      </c>
      <c r="H519" s="11">
        <f t="shared" si="70"/>
        <v>117</v>
      </c>
      <c r="J519" s="5"/>
      <c r="K519" s="5"/>
      <c r="L519" s="5"/>
      <c r="M519" s="5"/>
      <c r="N519" s="5"/>
      <c r="O519" s="8" t="str">
        <f t="shared" si="75"/>
        <v>n/a</v>
      </c>
      <c r="Q519" s="5"/>
      <c r="R519" s="5"/>
      <c r="S519" s="5"/>
      <c r="U519" s="6"/>
      <c r="V519" s="9" t="str">
        <f t="shared" si="71"/>
        <v/>
      </c>
      <c r="W519" s="9" t="str">
        <f t="shared" si="72"/>
        <v/>
      </c>
      <c r="X519" s="10">
        <f>SUM(V$13:V519)/COUNTA(B$13:B519)</f>
        <v>1.3806706114398421E-2</v>
      </c>
      <c r="Z519" s="5"/>
      <c r="AA519" s="5"/>
      <c r="AC519" s="7"/>
      <c r="AE519" s="54" t="e">
        <f t="shared" si="73"/>
        <v>#N/A</v>
      </c>
      <c r="AF519" s="4" t="e">
        <f t="shared" si="69"/>
        <v>#N/A</v>
      </c>
    </row>
    <row r="520" spans="2:32">
      <c r="B520" s="5">
        <f t="shared" si="74"/>
        <v>508</v>
      </c>
      <c r="C520" s="5"/>
      <c r="E520" s="13"/>
      <c r="F520" s="5"/>
      <c r="G520" s="11">
        <f>IF(ISERROR(AVERAGE(F$13:F520)),"n/a",AVERAGE(F$13:F520))</f>
        <v>117</v>
      </c>
      <c r="H520" s="11">
        <f t="shared" si="70"/>
        <v>117</v>
      </c>
      <c r="J520" s="5"/>
      <c r="K520" s="5"/>
      <c r="L520" s="5"/>
      <c r="M520" s="5"/>
      <c r="N520" s="5"/>
      <c r="O520" s="8" t="str">
        <f t="shared" si="75"/>
        <v>n/a</v>
      </c>
      <c r="Q520" s="5"/>
      <c r="R520" s="5"/>
      <c r="S520" s="5"/>
      <c r="U520" s="6"/>
      <c r="V520" s="9" t="str">
        <f t="shared" si="71"/>
        <v/>
      </c>
      <c r="W520" s="9" t="str">
        <f t="shared" si="72"/>
        <v/>
      </c>
      <c r="X520" s="10">
        <f>SUM(V$13:V520)/COUNTA(B$13:B520)</f>
        <v>1.3779527559055118E-2</v>
      </c>
      <c r="Z520" s="5"/>
      <c r="AA520" s="5"/>
      <c r="AC520" s="7"/>
      <c r="AE520" s="54" t="e">
        <f t="shared" si="73"/>
        <v>#N/A</v>
      </c>
      <c r="AF520" s="4" t="e">
        <f t="shared" si="69"/>
        <v>#N/A</v>
      </c>
    </row>
    <row r="521" spans="2:32">
      <c r="B521" s="5">
        <f t="shared" si="74"/>
        <v>509</v>
      </c>
      <c r="C521" s="5"/>
      <c r="E521" s="13"/>
      <c r="F521" s="5"/>
      <c r="G521" s="11">
        <f>IF(ISERROR(AVERAGE(F$13:F521)),"n/a",AVERAGE(F$13:F521))</f>
        <v>117</v>
      </c>
      <c r="H521" s="11">
        <f t="shared" si="70"/>
        <v>117</v>
      </c>
      <c r="J521" s="5"/>
      <c r="K521" s="5"/>
      <c r="L521" s="5"/>
      <c r="M521" s="5"/>
      <c r="N521" s="5"/>
      <c r="O521" s="8" t="str">
        <f t="shared" si="75"/>
        <v>n/a</v>
      </c>
      <c r="Q521" s="5"/>
      <c r="R521" s="5"/>
      <c r="S521" s="5"/>
      <c r="U521" s="6"/>
      <c r="V521" s="9" t="str">
        <f t="shared" si="71"/>
        <v/>
      </c>
      <c r="W521" s="9" t="str">
        <f t="shared" si="72"/>
        <v/>
      </c>
      <c r="X521" s="10">
        <f>SUM(V$13:V521)/COUNTA(B$13:B521)</f>
        <v>1.37524557956778E-2</v>
      </c>
      <c r="Z521" s="5"/>
      <c r="AA521" s="5"/>
      <c r="AC521" s="7"/>
      <c r="AE521" s="54" t="e">
        <f t="shared" si="73"/>
        <v>#N/A</v>
      </c>
      <c r="AF521" s="4" t="e">
        <f t="shared" si="69"/>
        <v>#N/A</v>
      </c>
    </row>
    <row r="522" spans="2:32">
      <c r="B522" s="5">
        <f t="shared" si="74"/>
        <v>510</v>
      </c>
      <c r="C522" s="5"/>
      <c r="E522" s="13"/>
      <c r="F522" s="5"/>
      <c r="G522" s="11">
        <f>IF(ISERROR(AVERAGE(F$13:F522)),"n/a",AVERAGE(F$13:F522))</f>
        <v>117</v>
      </c>
      <c r="H522" s="11">
        <f t="shared" si="70"/>
        <v>117</v>
      </c>
      <c r="J522" s="5"/>
      <c r="K522" s="5"/>
      <c r="L522" s="5"/>
      <c r="M522" s="5"/>
      <c r="N522" s="5"/>
      <c r="O522" s="8" t="str">
        <f t="shared" si="75"/>
        <v>n/a</v>
      </c>
      <c r="Q522" s="5"/>
      <c r="R522" s="5"/>
      <c r="S522" s="5"/>
      <c r="U522" s="6"/>
      <c r="V522" s="9" t="str">
        <f t="shared" si="71"/>
        <v/>
      </c>
      <c r="W522" s="9" t="str">
        <f t="shared" si="72"/>
        <v/>
      </c>
      <c r="X522" s="10">
        <f>SUM(V$13:V522)/COUNTA(B$13:B522)</f>
        <v>1.3725490196078431E-2</v>
      </c>
      <c r="Z522" s="5"/>
      <c r="AA522" s="5"/>
      <c r="AC522" s="7"/>
      <c r="AE522" s="54" t="e">
        <f t="shared" si="73"/>
        <v>#N/A</v>
      </c>
      <c r="AF522" s="4" t="e">
        <f t="shared" si="69"/>
        <v>#N/A</v>
      </c>
    </row>
    <row r="523" spans="2:32">
      <c r="B523" s="5">
        <f t="shared" si="74"/>
        <v>511</v>
      </c>
      <c r="C523" s="5"/>
      <c r="E523" s="13"/>
      <c r="F523" s="5"/>
      <c r="G523" s="11">
        <f>IF(ISERROR(AVERAGE(F$13:F523)),"n/a",AVERAGE(F$13:F523))</f>
        <v>117</v>
      </c>
      <c r="H523" s="11">
        <f t="shared" si="70"/>
        <v>117</v>
      </c>
      <c r="J523" s="5"/>
      <c r="K523" s="5"/>
      <c r="L523" s="5"/>
      <c r="M523" s="5"/>
      <c r="N523" s="5"/>
      <c r="O523" s="8" t="str">
        <f t="shared" si="75"/>
        <v>n/a</v>
      </c>
      <c r="Q523" s="5"/>
      <c r="R523" s="5"/>
      <c r="S523" s="5"/>
      <c r="U523" s="6"/>
      <c r="V523" s="9" t="str">
        <f t="shared" si="71"/>
        <v/>
      </c>
      <c r="W523" s="9" t="str">
        <f t="shared" si="72"/>
        <v/>
      </c>
      <c r="X523" s="10">
        <f>SUM(V$13:V523)/COUNTA(B$13:B523)</f>
        <v>1.3698630136986301E-2</v>
      </c>
      <c r="Z523" s="5"/>
      <c r="AA523" s="5"/>
      <c r="AC523" s="7"/>
      <c r="AE523" s="54" t="e">
        <f t="shared" si="73"/>
        <v>#N/A</v>
      </c>
      <c r="AF523" s="4" t="e">
        <f t="shared" si="69"/>
        <v>#N/A</v>
      </c>
    </row>
    <row r="524" spans="2:32">
      <c r="B524" s="5">
        <f t="shared" si="74"/>
        <v>512</v>
      </c>
      <c r="C524" s="5"/>
      <c r="E524" s="13"/>
      <c r="F524" s="5"/>
      <c r="G524" s="11">
        <f>IF(ISERROR(AVERAGE(F$13:F524)),"n/a",AVERAGE(F$13:F524))</f>
        <v>117</v>
      </c>
      <c r="H524" s="11">
        <f t="shared" si="70"/>
        <v>117</v>
      </c>
      <c r="J524" s="5"/>
      <c r="K524" s="5"/>
      <c r="L524" s="5"/>
      <c r="M524" s="5"/>
      <c r="N524" s="5"/>
      <c r="O524" s="8" t="str">
        <f t="shared" si="75"/>
        <v>n/a</v>
      </c>
      <c r="Q524" s="5"/>
      <c r="R524" s="5"/>
      <c r="S524" s="5"/>
      <c r="U524" s="6"/>
      <c r="V524" s="9" t="str">
        <f t="shared" si="71"/>
        <v/>
      </c>
      <c r="W524" s="9" t="str">
        <f t="shared" si="72"/>
        <v/>
      </c>
      <c r="X524" s="10">
        <f>SUM(V$13:V524)/COUNTA(B$13:B524)</f>
        <v>1.3671875E-2</v>
      </c>
      <c r="Z524" s="5"/>
      <c r="AA524" s="5"/>
      <c r="AC524" s="7"/>
      <c r="AE524" s="54" t="e">
        <f t="shared" si="73"/>
        <v>#N/A</v>
      </c>
      <c r="AF524" s="4" t="e">
        <f t="shared" si="69"/>
        <v>#N/A</v>
      </c>
    </row>
    <row r="525" spans="2:32">
      <c r="B525" s="5">
        <f t="shared" si="74"/>
        <v>513</v>
      </c>
      <c r="C525" s="5"/>
      <c r="E525" s="13"/>
      <c r="F525" s="5"/>
      <c r="G525" s="11">
        <f>IF(ISERROR(AVERAGE(F$13:F525)),"n/a",AVERAGE(F$13:F525))</f>
        <v>117</v>
      </c>
      <c r="H525" s="11">
        <f t="shared" si="70"/>
        <v>117</v>
      </c>
      <c r="J525" s="5"/>
      <c r="K525" s="5"/>
      <c r="L525" s="5"/>
      <c r="M525" s="5"/>
      <c r="N525" s="5"/>
      <c r="O525" s="8" t="str">
        <f t="shared" si="75"/>
        <v>n/a</v>
      </c>
      <c r="Q525" s="5"/>
      <c r="R525" s="5"/>
      <c r="S525" s="5"/>
      <c r="U525" s="6"/>
      <c r="V525" s="9" t="str">
        <f t="shared" si="71"/>
        <v/>
      </c>
      <c r="W525" s="9" t="str">
        <f t="shared" si="72"/>
        <v/>
      </c>
      <c r="X525" s="10">
        <f>SUM(V$13:V525)/COUNTA(B$13:B525)</f>
        <v>1.364522417153996E-2</v>
      </c>
      <c r="Z525" s="5"/>
      <c r="AA525" s="5"/>
      <c r="AC525" s="7"/>
      <c r="AE525" s="54" t="e">
        <f t="shared" si="73"/>
        <v>#N/A</v>
      </c>
      <c r="AF525" s="4" t="e">
        <f t="shared" ref="AF525:AF588" si="76">HLOOKUP(C525,$K$6:$O$7,2,FALSE)</f>
        <v>#N/A</v>
      </c>
    </row>
    <row r="526" spans="2:32">
      <c r="B526" s="5">
        <f t="shared" si="74"/>
        <v>514</v>
      </c>
      <c r="C526" s="5"/>
      <c r="E526" s="13"/>
      <c r="F526" s="5"/>
      <c r="G526" s="11">
        <f>IF(ISERROR(AVERAGE(F$13:F526)),"n/a",AVERAGE(F$13:F526))</f>
        <v>117</v>
      </c>
      <c r="H526" s="11">
        <f t="shared" ref="H526:H589" si="77">G526</f>
        <v>117</v>
      </c>
      <c r="J526" s="5"/>
      <c r="K526" s="5"/>
      <c r="L526" s="5"/>
      <c r="M526" s="5"/>
      <c r="N526" s="5"/>
      <c r="O526" s="8" t="str">
        <f t="shared" si="75"/>
        <v>n/a</v>
      </c>
      <c r="Q526" s="5"/>
      <c r="R526" s="5"/>
      <c r="S526" s="5"/>
      <c r="U526" s="6"/>
      <c r="V526" s="9" t="str">
        <f t="shared" ref="V526:V589" si="78">IF(O526="n/a","",IF(O526=U526,1,""))</f>
        <v/>
      </c>
      <c r="W526" s="9" t="str">
        <f t="shared" ref="W526:W589" si="79">IF(O526="n/a","",IF(O526&lt;&gt;U526,1,""))</f>
        <v/>
      </c>
      <c r="X526" s="10">
        <f>SUM(V$13:V526)/COUNTA(B$13:B526)</f>
        <v>1.3618677042801557E-2</v>
      </c>
      <c r="Z526" s="5"/>
      <c r="AA526" s="5"/>
      <c r="AC526" s="7"/>
      <c r="AE526" s="54" t="e">
        <f t="shared" ref="AE526:AE589" si="80">+IF($F$4=0,0,IF(W526=1,1,IF(OR(R526*$F$8=1,S526*$F$9=1,F526&gt;=AF526),2,0)))</f>
        <v>#N/A</v>
      </c>
      <c r="AF526" s="4" t="e">
        <f t="shared" si="76"/>
        <v>#N/A</v>
      </c>
    </row>
    <row r="527" spans="2:32">
      <c r="B527" s="5">
        <f t="shared" si="74"/>
        <v>515</v>
      </c>
      <c r="C527" s="5"/>
      <c r="E527" s="13"/>
      <c r="F527" s="5"/>
      <c r="G527" s="11">
        <f>IF(ISERROR(AVERAGE(F$13:F527)),"n/a",AVERAGE(F$13:F527))</f>
        <v>117</v>
      </c>
      <c r="H527" s="11">
        <f t="shared" si="77"/>
        <v>117</v>
      </c>
      <c r="J527" s="5"/>
      <c r="K527" s="5"/>
      <c r="L527" s="5"/>
      <c r="M527" s="5"/>
      <c r="N527" s="5"/>
      <c r="O527" s="8" t="str">
        <f t="shared" si="75"/>
        <v>n/a</v>
      </c>
      <c r="Q527" s="5"/>
      <c r="R527" s="5"/>
      <c r="S527" s="5"/>
      <c r="U527" s="6"/>
      <c r="V527" s="9" t="str">
        <f t="shared" si="78"/>
        <v/>
      </c>
      <c r="W527" s="9" t="str">
        <f t="shared" si="79"/>
        <v/>
      </c>
      <c r="X527" s="10">
        <f>SUM(V$13:V527)/COUNTA(B$13:B527)</f>
        <v>1.3592233009708738E-2</v>
      </c>
      <c r="Z527" s="5"/>
      <c r="AA527" s="5"/>
      <c r="AC527" s="7"/>
      <c r="AE527" s="54" t="e">
        <f t="shared" si="80"/>
        <v>#N/A</v>
      </c>
      <c r="AF527" s="4" t="e">
        <f t="shared" si="76"/>
        <v>#N/A</v>
      </c>
    </row>
    <row r="528" spans="2:32">
      <c r="B528" s="5">
        <f t="shared" si="74"/>
        <v>516</v>
      </c>
      <c r="C528" s="5"/>
      <c r="E528" s="13"/>
      <c r="F528" s="5"/>
      <c r="G528" s="11">
        <f>IF(ISERROR(AVERAGE(F$13:F528)),"n/a",AVERAGE(F$13:F528))</f>
        <v>117</v>
      </c>
      <c r="H528" s="11">
        <f t="shared" si="77"/>
        <v>117</v>
      </c>
      <c r="J528" s="5"/>
      <c r="K528" s="5"/>
      <c r="L528" s="5"/>
      <c r="M528" s="5"/>
      <c r="N528" s="5"/>
      <c r="O528" s="8" t="str">
        <f t="shared" si="75"/>
        <v>n/a</v>
      </c>
      <c r="Q528" s="5"/>
      <c r="R528" s="5"/>
      <c r="S528" s="5"/>
      <c r="U528" s="6"/>
      <c r="V528" s="9" t="str">
        <f t="shared" si="78"/>
        <v/>
      </c>
      <c r="W528" s="9" t="str">
        <f t="shared" si="79"/>
        <v/>
      </c>
      <c r="X528" s="10">
        <f>SUM(V$13:V528)/COUNTA(B$13:B528)</f>
        <v>1.3565891472868217E-2</v>
      </c>
      <c r="Z528" s="5"/>
      <c r="AA528" s="5"/>
      <c r="AC528" s="7"/>
      <c r="AE528" s="54" t="e">
        <f t="shared" si="80"/>
        <v>#N/A</v>
      </c>
      <c r="AF528" s="4" t="e">
        <f t="shared" si="76"/>
        <v>#N/A</v>
      </c>
    </row>
    <row r="529" spans="2:32">
      <c r="B529" s="5">
        <f t="shared" si="74"/>
        <v>517</v>
      </c>
      <c r="C529" s="5"/>
      <c r="E529" s="13"/>
      <c r="F529" s="5"/>
      <c r="G529" s="11">
        <f>IF(ISERROR(AVERAGE(F$13:F529)),"n/a",AVERAGE(F$13:F529))</f>
        <v>117</v>
      </c>
      <c r="H529" s="11">
        <f t="shared" si="77"/>
        <v>117</v>
      </c>
      <c r="J529" s="5"/>
      <c r="K529" s="5"/>
      <c r="L529" s="5"/>
      <c r="M529" s="5"/>
      <c r="N529" s="5"/>
      <c r="O529" s="8" t="str">
        <f t="shared" si="75"/>
        <v>n/a</v>
      </c>
      <c r="Q529" s="5"/>
      <c r="R529" s="5"/>
      <c r="S529" s="5"/>
      <c r="U529" s="6"/>
      <c r="V529" s="9" t="str">
        <f t="shared" si="78"/>
        <v/>
      </c>
      <c r="W529" s="9" t="str">
        <f t="shared" si="79"/>
        <v/>
      </c>
      <c r="X529" s="10">
        <f>SUM(V$13:V529)/COUNTA(B$13:B529)</f>
        <v>1.3539651837524178E-2</v>
      </c>
      <c r="Z529" s="5"/>
      <c r="AA529" s="5"/>
      <c r="AC529" s="7"/>
      <c r="AE529" s="54" t="e">
        <f t="shared" si="80"/>
        <v>#N/A</v>
      </c>
      <c r="AF529" s="4" t="e">
        <f t="shared" si="76"/>
        <v>#N/A</v>
      </c>
    </row>
    <row r="530" spans="2:32">
      <c r="B530" s="5">
        <f t="shared" si="74"/>
        <v>518</v>
      </c>
      <c r="C530" s="5"/>
      <c r="E530" s="13"/>
      <c r="F530" s="5"/>
      <c r="G530" s="11">
        <f>IF(ISERROR(AVERAGE(F$13:F530)),"n/a",AVERAGE(F$13:F530))</f>
        <v>117</v>
      </c>
      <c r="H530" s="11">
        <f t="shared" si="77"/>
        <v>117</v>
      </c>
      <c r="J530" s="5"/>
      <c r="K530" s="5"/>
      <c r="L530" s="5"/>
      <c r="M530" s="5"/>
      <c r="N530" s="5"/>
      <c r="O530" s="8" t="str">
        <f t="shared" si="75"/>
        <v>n/a</v>
      </c>
      <c r="Q530" s="5"/>
      <c r="R530" s="5"/>
      <c r="S530" s="5"/>
      <c r="U530" s="6"/>
      <c r="V530" s="9" t="str">
        <f t="shared" si="78"/>
        <v/>
      </c>
      <c r="W530" s="9" t="str">
        <f t="shared" si="79"/>
        <v/>
      </c>
      <c r="X530" s="10">
        <f>SUM(V$13:V530)/COUNTA(B$13:B530)</f>
        <v>1.3513513513513514E-2</v>
      </c>
      <c r="Z530" s="5"/>
      <c r="AA530" s="5"/>
      <c r="AC530" s="7"/>
      <c r="AE530" s="54" t="e">
        <f t="shared" si="80"/>
        <v>#N/A</v>
      </c>
      <c r="AF530" s="4" t="e">
        <f t="shared" si="76"/>
        <v>#N/A</v>
      </c>
    </row>
    <row r="531" spans="2:32">
      <c r="B531" s="5">
        <f t="shared" ref="B531:B594" si="81">+B530+1</f>
        <v>519</v>
      </c>
      <c r="C531" s="5"/>
      <c r="E531" s="13"/>
      <c r="F531" s="5"/>
      <c r="G531" s="11">
        <f>IF(ISERROR(AVERAGE(F$13:F531)),"n/a",AVERAGE(F$13:F531))</f>
        <v>117</v>
      </c>
      <c r="H531" s="11">
        <f t="shared" si="77"/>
        <v>117</v>
      </c>
      <c r="J531" s="5"/>
      <c r="K531" s="5"/>
      <c r="L531" s="5"/>
      <c r="M531" s="5"/>
      <c r="N531" s="5"/>
      <c r="O531" s="8" t="str">
        <f t="shared" si="75"/>
        <v>n/a</v>
      </c>
      <c r="Q531" s="5"/>
      <c r="R531" s="5"/>
      <c r="S531" s="5"/>
      <c r="U531" s="6"/>
      <c r="V531" s="9" t="str">
        <f t="shared" si="78"/>
        <v/>
      </c>
      <c r="W531" s="9" t="str">
        <f t="shared" si="79"/>
        <v/>
      </c>
      <c r="X531" s="10">
        <f>SUM(V$13:V531)/COUNTA(B$13:B531)</f>
        <v>1.348747591522158E-2</v>
      </c>
      <c r="Z531" s="5"/>
      <c r="AA531" s="5"/>
      <c r="AC531" s="7"/>
      <c r="AE531" s="54" t="e">
        <f t="shared" si="80"/>
        <v>#N/A</v>
      </c>
      <c r="AF531" s="4" t="e">
        <f t="shared" si="76"/>
        <v>#N/A</v>
      </c>
    </row>
    <row r="532" spans="2:32">
      <c r="B532" s="5">
        <f t="shared" si="81"/>
        <v>520</v>
      </c>
      <c r="C532" s="5"/>
      <c r="E532" s="13"/>
      <c r="F532" s="5"/>
      <c r="G532" s="11">
        <f>IF(ISERROR(AVERAGE(F$13:F532)),"n/a",AVERAGE(F$13:F532))</f>
        <v>117</v>
      </c>
      <c r="H532" s="11">
        <f t="shared" si="77"/>
        <v>117</v>
      </c>
      <c r="J532" s="5"/>
      <c r="K532" s="5"/>
      <c r="L532" s="5"/>
      <c r="M532" s="5"/>
      <c r="N532" s="5"/>
      <c r="O532" s="8" t="str">
        <f t="shared" si="75"/>
        <v>n/a</v>
      </c>
      <c r="Q532" s="5"/>
      <c r="R532" s="5"/>
      <c r="S532" s="5"/>
      <c r="U532" s="6"/>
      <c r="V532" s="9" t="str">
        <f t="shared" si="78"/>
        <v/>
      </c>
      <c r="W532" s="9" t="str">
        <f t="shared" si="79"/>
        <v/>
      </c>
      <c r="X532" s="10">
        <f>SUM(V$13:V532)/COUNTA(B$13:B532)</f>
        <v>1.3461538461538462E-2</v>
      </c>
      <c r="Z532" s="5"/>
      <c r="AA532" s="5"/>
      <c r="AC532" s="7"/>
      <c r="AE532" s="54" t="e">
        <f t="shared" si="80"/>
        <v>#N/A</v>
      </c>
      <c r="AF532" s="4" t="e">
        <f t="shared" si="76"/>
        <v>#N/A</v>
      </c>
    </row>
    <row r="533" spans="2:32">
      <c r="B533" s="5">
        <f t="shared" si="81"/>
        <v>521</v>
      </c>
      <c r="C533" s="5"/>
      <c r="E533" s="13"/>
      <c r="F533" s="5"/>
      <c r="G533" s="11">
        <f>IF(ISERROR(AVERAGE(F$13:F533)),"n/a",AVERAGE(F$13:F533))</f>
        <v>117</v>
      </c>
      <c r="H533" s="11">
        <f t="shared" si="77"/>
        <v>117</v>
      </c>
      <c r="J533" s="5"/>
      <c r="K533" s="5"/>
      <c r="L533" s="5"/>
      <c r="M533" s="5"/>
      <c r="N533" s="5"/>
      <c r="O533" s="8" t="str">
        <f t="shared" si="75"/>
        <v>n/a</v>
      </c>
      <c r="Q533" s="5"/>
      <c r="R533" s="5"/>
      <c r="S533" s="5"/>
      <c r="U533" s="6"/>
      <c r="V533" s="9" t="str">
        <f t="shared" si="78"/>
        <v/>
      </c>
      <c r="W533" s="9" t="str">
        <f t="shared" si="79"/>
        <v/>
      </c>
      <c r="X533" s="10">
        <f>SUM(V$13:V533)/COUNTA(B$13:B533)</f>
        <v>1.3435700575815739E-2</v>
      </c>
      <c r="Z533" s="5"/>
      <c r="AA533" s="5"/>
      <c r="AC533" s="7"/>
      <c r="AE533" s="54" t="e">
        <f t="shared" si="80"/>
        <v>#N/A</v>
      </c>
      <c r="AF533" s="4" t="e">
        <f t="shared" si="76"/>
        <v>#N/A</v>
      </c>
    </row>
    <row r="534" spans="2:32">
      <c r="B534" s="5">
        <f t="shared" si="81"/>
        <v>522</v>
      </c>
      <c r="C534" s="5"/>
      <c r="E534" s="13"/>
      <c r="F534" s="5"/>
      <c r="G534" s="11">
        <f>IF(ISERROR(AVERAGE(F$13:F534)),"n/a",AVERAGE(F$13:F534))</f>
        <v>117</v>
      </c>
      <c r="H534" s="11">
        <f t="shared" si="77"/>
        <v>117</v>
      </c>
      <c r="J534" s="5"/>
      <c r="K534" s="5"/>
      <c r="L534" s="5"/>
      <c r="M534" s="5"/>
      <c r="N534" s="5"/>
      <c r="O534" s="8" t="str">
        <f t="shared" si="75"/>
        <v>n/a</v>
      </c>
      <c r="Q534" s="5"/>
      <c r="R534" s="5"/>
      <c r="S534" s="5"/>
      <c r="U534" s="6"/>
      <c r="V534" s="9" t="str">
        <f t="shared" si="78"/>
        <v/>
      </c>
      <c r="W534" s="9" t="str">
        <f t="shared" si="79"/>
        <v/>
      </c>
      <c r="X534" s="10">
        <f>SUM(V$13:V534)/COUNTA(B$13:B534)</f>
        <v>1.3409961685823755E-2</v>
      </c>
      <c r="Z534" s="5"/>
      <c r="AA534" s="5"/>
      <c r="AC534" s="7"/>
      <c r="AE534" s="54" t="e">
        <f t="shared" si="80"/>
        <v>#N/A</v>
      </c>
      <c r="AF534" s="4" t="e">
        <f t="shared" si="76"/>
        <v>#N/A</v>
      </c>
    </row>
    <row r="535" spans="2:32">
      <c r="B535" s="5">
        <f t="shared" si="81"/>
        <v>523</v>
      </c>
      <c r="C535" s="5"/>
      <c r="E535" s="13"/>
      <c r="F535" s="5"/>
      <c r="G535" s="11">
        <f>IF(ISERROR(AVERAGE(F$13:F535)),"n/a",AVERAGE(F$13:F535))</f>
        <v>117</v>
      </c>
      <c r="H535" s="11">
        <f t="shared" si="77"/>
        <v>117</v>
      </c>
      <c r="J535" s="5"/>
      <c r="K535" s="5"/>
      <c r="L535" s="5"/>
      <c r="M535" s="5"/>
      <c r="N535" s="5"/>
      <c r="O535" s="8" t="str">
        <f t="shared" si="75"/>
        <v>n/a</v>
      </c>
      <c r="Q535" s="5"/>
      <c r="R535" s="5"/>
      <c r="S535" s="5"/>
      <c r="U535" s="6"/>
      <c r="V535" s="9" t="str">
        <f t="shared" si="78"/>
        <v/>
      </c>
      <c r="W535" s="9" t="str">
        <f t="shared" si="79"/>
        <v/>
      </c>
      <c r="X535" s="10">
        <f>SUM(V$13:V535)/COUNTA(B$13:B535)</f>
        <v>1.338432122370937E-2</v>
      </c>
      <c r="Z535" s="5"/>
      <c r="AA535" s="5"/>
      <c r="AC535" s="7"/>
      <c r="AE535" s="54" t="e">
        <f t="shared" si="80"/>
        <v>#N/A</v>
      </c>
      <c r="AF535" s="4" t="e">
        <f t="shared" si="76"/>
        <v>#N/A</v>
      </c>
    </row>
    <row r="536" spans="2:32">
      <c r="B536" s="5">
        <f t="shared" si="81"/>
        <v>524</v>
      </c>
      <c r="C536" s="5"/>
      <c r="E536" s="13"/>
      <c r="F536" s="5"/>
      <c r="G536" s="11">
        <f>IF(ISERROR(AVERAGE(F$13:F536)),"n/a",AVERAGE(F$13:F536))</f>
        <v>117</v>
      </c>
      <c r="H536" s="11">
        <f t="shared" si="77"/>
        <v>117</v>
      </c>
      <c r="J536" s="5"/>
      <c r="K536" s="5"/>
      <c r="L536" s="5"/>
      <c r="M536" s="5"/>
      <c r="N536" s="5"/>
      <c r="O536" s="8" t="str">
        <f t="shared" si="75"/>
        <v>n/a</v>
      </c>
      <c r="Q536" s="5"/>
      <c r="R536" s="5"/>
      <c r="S536" s="5"/>
      <c r="U536" s="6"/>
      <c r="V536" s="9" t="str">
        <f t="shared" si="78"/>
        <v/>
      </c>
      <c r="W536" s="9" t="str">
        <f t="shared" si="79"/>
        <v/>
      </c>
      <c r="X536" s="10">
        <f>SUM(V$13:V536)/COUNTA(B$13:B536)</f>
        <v>1.3358778625954198E-2</v>
      </c>
      <c r="Z536" s="5"/>
      <c r="AA536" s="5"/>
      <c r="AC536" s="7"/>
      <c r="AE536" s="54" t="e">
        <f t="shared" si="80"/>
        <v>#N/A</v>
      </c>
      <c r="AF536" s="4" t="e">
        <f t="shared" si="76"/>
        <v>#N/A</v>
      </c>
    </row>
    <row r="537" spans="2:32">
      <c r="B537" s="5">
        <f t="shared" si="81"/>
        <v>525</v>
      </c>
      <c r="C537" s="5"/>
      <c r="E537" s="13"/>
      <c r="F537" s="5"/>
      <c r="G537" s="11">
        <f>IF(ISERROR(AVERAGE(F$13:F537)),"n/a",AVERAGE(F$13:F537))</f>
        <v>117</v>
      </c>
      <c r="H537" s="11">
        <f t="shared" si="77"/>
        <v>117</v>
      </c>
      <c r="J537" s="5"/>
      <c r="K537" s="5"/>
      <c r="L537" s="5"/>
      <c r="M537" s="5"/>
      <c r="N537" s="5"/>
      <c r="O537" s="8" t="str">
        <f t="shared" si="75"/>
        <v>n/a</v>
      </c>
      <c r="Q537" s="5"/>
      <c r="R537" s="5"/>
      <c r="S537" s="5"/>
      <c r="U537" s="6"/>
      <c r="V537" s="9" t="str">
        <f t="shared" si="78"/>
        <v/>
      </c>
      <c r="W537" s="9" t="str">
        <f t="shared" si="79"/>
        <v/>
      </c>
      <c r="X537" s="10">
        <f>SUM(V$13:V537)/COUNTA(B$13:B537)</f>
        <v>1.3333333333333334E-2</v>
      </c>
      <c r="Z537" s="5"/>
      <c r="AA537" s="5"/>
      <c r="AC537" s="7"/>
      <c r="AE537" s="54" t="e">
        <f t="shared" si="80"/>
        <v>#N/A</v>
      </c>
      <c r="AF537" s="4" t="e">
        <f t="shared" si="76"/>
        <v>#N/A</v>
      </c>
    </row>
    <row r="538" spans="2:32">
      <c r="B538" s="5">
        <f t="shared" si="81"/>
        <v>526</v>
      </c>
      <c r="C538" s="5"/>
      <c r="E538" s="13"/>
      <c r="F538" s="5"/>
      <c r="G538" s="11">
        <f>IF(ISERROR(AVERAGE(F$13:F538)),"n/a",AVERAGE(F$13:F538))</f>
        <v>117</v>
      </c>
      <c r="H538" s="11">
        <f t="shared" si="77"/>
        <v>117</v>
      </c>
      <c r="J538" s="5"/>
      <c r="K538" s="5"/>
      <c r="L538" s="5"/>
      <c r="M538" s="5"/>
      <c r="N538" s="5"/>
      <c r="O538" s="8" t="str">
        <f t="shared" si="75"/>
        <v>n/a</v>
      </c>
      <c r="Q538" s="5"/>
      <c r="R538" s="5"/>
      <c r="S538" s="5"/>
      <c r="U538" s="6"/>
      <c r="V538" s="9" t="str">
        <f t="shared" si="78"/>
        <v/>
      </c>
      <c r="W538" s="9" t="str">
        <f t="shared" si="79"/>
        <v/>
      </c>
      <c r="X538" s="10">
        <f>SUM(V$13:V538)/COUNTA(B$13:B538)</f>
        <v>1.3307984790874524E-2</v>
      </c>
      <c r="Z538" s="5"/>
      <c r="AA538" s="5"/>
      <c r="AC538" s="7"/>
      <c r="AE538" s="54" t="e">
        <f t="shared" si="80"/>
        <v>#N/A</v>
      </c>
      <c r="AF538" s="4" t="e">
        <f t="shared" si="76"/>
        <v>#N/A</v>
      </c>
    </row>
    <row r="539" spans="2:32">
      <c r="B539" s="5">
        <f t="shared" si="81"/>
        <v>527</v>
      </c>
      <c r="C539" s="5"/>
      <c r="E539" s="13"/>
      <c r="F539" s="5"/>
      <c r="G539" s="11">
        <f>IF(ISERROR(AVERAGE(F$13:F539)),"n/a",AVERAGE(F$13:F539))</f>
        <v>117</v>
      </c>
      <c r="H539" s="11">
        <f t="shared" si="77"/>
        <v>117</v>
      </c>
      <c r="J539" s="5"/>
      <c r="K539" s="5"/>
      <c r="L539" s="5"/>
      <c r="M539" s="5"/>
      <c r="N539" s="5"/>
      <c r="O539" s="8" t="str">
        <f t="shared" si="75"/>
        <v>n/a</v>
      </c>
      <c r="Q539" s="5"/>
      <c r="R539" s="5"/>
      <c r="S539" s="5"/>
      <c r="U539" s="6"/>
      <c r="V539" s="9" t="str">
        <f t="shared" si="78"/>
        <v/>
      </c>
      <c r="W539" s="9" t="str">
        <f t="shared" si="79"/>
        <v/>
      </c>
      <c r="X539" s="10">
        <f>SUM(V$13:V539)/COUNTA(B$13:B539)</f>
        <v>1.3282732447817837E-2</v>
      </c>
      <c r="Z539" s="5"/>
      <c r="AA539" s="5"/>
      <c r="AC539" s="7"/>
      <c r="AE539" s="54" t="e">
        <f t="shared" si="80"/>
        <v>#N/A</v>
      </c>
      <c r="AF539" s="4" t="e">
        <f t="shared" si="76"/>
        <v>#N/A</v>
      </c>
    </row>
    <row r="540" spans="2:32">
      <c r="B540" s="5">
        <f t="shared" si="81"/>
        <v>528</v>
      </c>
      <c r="C540" s="5"/>
      <c r="E540" s="13"/>
      <c r="F540" s="5"/>
      <c r="G540" s="11">
        <f>IF(ISERROR(AVERAGE(F$13:F540)),"n/a",AVERAGE(F$13:F540))</f>
        <v>117</v>
      </c>
      <c r="H540" s="11">
        <f t="shared" si="77"/>
        <v>117</v>
      </c>
      <c r="J540" s="5"/>
      <c r="K540" s="5"/>
      <c r="L540" s="5"/>
      <c r="M540" s="5"/>
      <c r="N540" s="5"/>
      <c r="O540" s="8" t="str">
        <f t="shared" si="75"/>
        <v>n/a</v>
      </c>
      <c r="Q540" s="5"/>
      <c r="R540" s="5"/>
      <c r="S540" s="5"/>
      <c r="U540" s="6"/>
      <c r="V540" s="9" t="str">
        <f t="shared" si="78"/>
        <v/>
      </c>
      <c r="W540" s="9" t="str">
        <f t="shared" si="79"/>
        <v/>
      </c>
      <c r="X540" s="10">
        <f>SUM(V$13:V540)/COUNTA(B$13:B540)</f>
        <v>1.3257575757575758E-2</v>
      </c>
      <c r="Z540" s="5"/>
      <c r="AA540" s="5"/>
      <c r="AC540" s="7"/>
      <c r="AE540" s="54" t="e">
        <f t="shared" si="80"/>
        <v>#N/A</v>
      </c>
      <c r="AF540" s="4" t="e">
        <f t="shared" si="76"/>
        <v>#N/A</v>
      </c>
    </row>
    <row r="541" spans="2:32">
      <c r="B541" s="5">
        <f t="shared" si="81"/>
        <v>529</v>
      </c>
      <c r="C541" s="5"/>
      <c r="E541" s="13"/>
      <c r="F541" s="5"/>
      <c r="G541" s="11">
        <f>IF(ISERROR(AVERAGE(F$13:F541)),"n/a",AVERAGE(F$13:F541))</f>
        <v>117</v>
      </c>
      <c r="H541" s="11">
        <f t="shared" si="77"/>
        <v>117</v>
      </c>
      <c r="J541" s="5"/>
      <c r="K541" s="5"/>
      <c r="L541" s="5"/>
      <c r="M541" s="5"/>
      <c r="N541" s="5"/>
      <c r="O541" s="8" t="str">
        <f t="shared" si="75"/>
        <v>n/a</v>
      </c>
      <c r="Q541" s="5"/>
      <c r="R541" s="5"/>
      <c r="S541" s="5"/>
      <c r="U541" s="6"/>
      <c r="V541" s="9" t="str">
        <f t="shared" si="78"/>
        <v/>
      </c>
      <c r="W541" s="9" t="str">
        <f t="shared" si="79"/>
        <v/>
      </c>
      <c r="X541" s="10">
        <f>SUM(V$13:V541)/COUNTA(B$13:B541)</f>
        <v>1.3232514177693762E-2</v>
      </c>
      <c r="Z541" s="5"/>
      <c r="AA541" s="5"/>
      <c r="AC541" s="7"/>
      <c r="AE541" s="54" t="e">
        <f t="shared" si="80"/>
        <v>#N/A</v>
      </c>
      <c r="AF541" s="4" t="e">
        <f t="shared" si="76"/>
        <v>#N/A</v>
      </c>
    </row>
    <row r="542" spans="2:32">
      <c r="B542" s="5">
        <f t="shared" si="81"/>
        <v>530</v>
      </c>
      <c r="C542" s="5"/>
      <c r="E542" s="13"/>
      <c r="F542" s="5"/>
      <c r="G542" s="11">
        <f>IF(ISERROR(AVERAGE(F$13:F542)),"n/a",AVERAGE(F$13:F542))</f>
        <v>117</v>
      </c>
      <c r="H542" s="11">
        <f t="shared" si="77"/>
        <v>117</v>
      </c>
      <c r="J542" s="5"/>
      <c r="K542" s="5"/>
      <c r="L542" s="5"/>
      <c r="M542" s="5"/>
      <c r="N542" s="5"/>
      <c r="O542" s="8" t="str">
        <f t="shared" si="75"/>
        <v>n/a</v>
      </c>
      <c r="Q542" s="5"/>
      <c r="R542" s="5"/>
      <c r="S542" s="5"/>
      <c r="U542" s="6"/>
      <c r="V542" s="9" t="str">
        <f t="shared" si="78"/>
        <v/>
      </c>
      <c r="W542" s="9" t="str">
        <f t="shared" si="79"/>
        <v/>
      </c>
      <c r="X542" s="10">
        <f>SUM(V$13:V542)/COUNTA(B$13:B542)</f>
        <v>1.3207547169811321E-2</v>
      </c>
      <c r="Z542" s="5"/>
      <c r="AA542" s="5"/>
      <c r="AC542" s="7"/>
      <c r="AE542" s="54" t="e">
        <f t="shared" si="80"/>
        <v>#N/A</v>
      </c>
      <c r="AF542" s="4" t="e">
        <f t="shared" si="76"/>
        <v>#N/A</v>
      </c>
    </row>
    <row r="543" spans="2:32">
      <c r="B543" s="5">
        <f t="shared" si="81"/>
        <v>531</v>
      </c>
      <c r="C543" s="5"/>
      <c r="E543" s="13"/>
      <c r="F543" s="5"/>
      <c r="G543" s="11">
        <f>IF(ISERROR(AVERAGE(F$13:F543)),"n/a",AVERAGE(F$13:F543))</f>
        <v>117</v>
      </c>
      <c r="H543" s="11">
        <f t="shared" si="77"/>
        <v>117</v>
      </c>
      <c r="J543" s="5"/>
      <c r="K543" s="5"/>
      <c r="L543" s="5"/>
      <c r="M543" s="5"/>
      <c r="N543" s="5"/>
      <c r="O543" s="8" t="str">
        <f t="shared" si="75"/>
        <v>n/a</v>
      </c>
      <c r="Q543" s="5"/>
      <c r="R543" s="5"/>
      <c r="S543" s="5"/>
      <c r="U543" s="6"/>
      <c r="V543" s="9" t="str">
        <f t="shared" si="78"/>
        <v/>
      </c>
      <c r="W543" s="9" t="str">
        <f t="shared" si="79"/>
        <v/>
      </c>
      <c r="X543" s="10">
        <f>SUM(V$13:V543)/COUNTA(B$13:B543)</f>
        <v>1.3182674199623353E-2</v>
      </c>
      <c r="Z543" s="5"/>
      <c r="AA543" s="5"/>
      <c r="AC543" s="7"/>
      <c r="AE543" s="54" t="e">
        <f t="shared" si="80"/>
        <v>#N/A</v>
      </c>
      <c r="AF543" s="4" t="e">
        <f t="shared" si="76"/>
        <v>#N/A</v>
      </c>
    </row>
    <row r="544" spans="2:32">
      <c r="B544" s="5">
        <f t="shared" si="81"/>
        <v>532</v>
      </c>
      <c r="C544" s="5"/>
      <c r="E544" s="13"/>
      <c r="F544" s="5"/>
      <c r="G544" s="11">
        <f>IF(ISERROR(AVERAGE(F$13:F544)),"n/a",AVERAGE(F$13:F544))</f>
        <v>117</v>
      </c>
      <c r="H544" s="11">
        <f t="shared" si="77"/>
        <v>117</v>
      </c>
      <c r="J544" s="5"/>
      <c r="K544" s="5"/>
      <c r="L544" s="5"/>
      <c r="M544" s="5"/>
      <c r="N544" s="5"/>
      <c r="O544" s="8" t="str">
        <f t="shared" si="75"/>
        <v>n/a</v>
      </c>
      <c r="Q544" s="5"/>
      <c r="R544" s="5"/>
      <c r="S544" s="5"/>
      <c r="U544" s="6"/>
      <c r="V544" s="9" t="str">
        <f t="shared" si="78"/>
        <v/>
      </c>
      <c r="W544" s="9" t="str">
        <f t="shared" si="79"/>
        <v/>
      </c>
      <c r="X544" s="10">
        <f>SUM(V$13:V544)/COUNTA(B$13:B544)</f>
        <v>1.3157894736842105E-2</v>
      </c>
      <c r="Z544" s="5"/>
      <c r="AA544" s="5"/>
      <c r="AC544" s="7"/>
      <c r="AE544" s="54" t="e">
        <f t="shared" si="80"/>
        <v>#N/A</v>
      </c>
      <c r="AF544" s="4" t="e">
        <f t="shared" si="76"/>
        <v>#N/A</v>
      </c>
    </row>
    <row r="545" spans="2:32">
      <c r="B545" s="5">
        <f t="shared" si="81"/>
        <v>533</v>
      </c>
      <c r="C545" s="5"/>
      <c r="E545" s="13"/>
      <c r="F545" s="5"/>
      <c r="G545" s="11">
        <f>IF(ISERROR(AVERAGE(F$13:F545)),"n/a",AVERAGE(F$13:F545))</f>
        <v>117</v>
      </c>
      <c r="H545" s="11">
        <f t="shared" si="77"/>
        <v>117</v>
      </c>
      <c r="J545" s="5"/>
      <c r="K545" s="5"/>
      <c r="L545" s="5"/>
      <c r="M545" s="5"/>
      <c r="N545" s="5"/>
      <c r="O545" s="8" t="str">
        <f t="shared" si="75"/>
        <v>n/a</v>
      </c>
      <c r="Q545" s="5"/>
      <c r="R545" s="5"/>
      <c r="S545" s="5"/>
      <c r="U545" s="6"/>
      <c r="V545" s="9" t="str">
        <f t="shared" si="78"/>
        <v/>
      </c>
      <c r="W545" s="9" t="str">
        <f t="shared" si="79"/>
        <v/>
      </c>
      <c r="X545" s="10">
        <f>SUM(V$13:V545)/COUNTA(B$13:B545)</f>
        <v>1.3133208255159476E-2</v>
      </c>
      <c r="Z545" s="5"/>
      <c r="AA545" s="5"/>
      <c r="AC545" s="7"/>
      <c r="AE545" s="54" t="e">
        <f t="shared" si="80"/>
        <v>#N/A</v>
      </c>
      <c r="AF545" s="4" t="e">
        <f t="shared" si="76"/>
        <v>#N/A</v>
      </c>
    </row>
    <row r="546" spans="2:32">
      <c r="B546" s="5">
        <f t="shared" si="81"/>
        <v>534</v>
      </c>
      <c r="C546" s="5"/>
      <c r="E546" s="13"/>
      <c r="F546" s="5"/>
      <c r="G546" s="11">
        <f>IF(ISERROR(AVERAGE(F$13:F546)),"n/a",AVERAGE(F$13:F546))</f>
        <v>117</v>
      </c>
      <c r="H546" s="11">
        <f t="shared" si="77"/>
        <v>117</v>
      </c>
      <c r="J546" s="5"/>
      <c r="K546" s="5"/>
      <c r="L546" s="5"/>
      <c r="M546" s="5"/>
      <c r="N546" s="5"/>
      <c r="O546" s="8" t="str">
        <f t="shared" si="75"/>
        <v>n/a</v>
      </c>
      <c r="Q546" s="5"/>
      <c r="R546" s="5"/>
      <c r="S546" s="5"/>
      <c r="U546" s="6"/>
      <c r="V546" s="9" t="str">
        <f t="shared" si="78"/>
        <v/>
      </c>
      <c r="W546" s="9" t="str">
        <f t="shared" si="79"/>
        <v/>
      </c>
      <c r="X546" s="10">
        <f>SUM(V$13:V546)/COUNTA(B$13:B546)</f>
        <v>1.3108614232209739E-2</v>
      </c>
      <c r="Z546" s="5"/>
      <c r="AA546" s="5"/>
      <c r="AC546" s="7"/>
      <c r="AE546" s="54" t="e">
        <f t="shared" si="80"/>
        <v>#N/A</v>
      </c>
      <c r="AF546" s="4" t="e">
        <f t="shared" si="76"/>
        <v>#N/A</v>
      </c>
    </row>
    <row r="547" spans="2:32">
      <c r="B547" s="5">
        <f t="shared" si="81"/>
        <v>535</v>
      </c>
      <c r="C547" s="5"/>
      <c r="E547" s="13"/>
      <c r="F547" s="5"/>
      <c r="G547" s="11">
        <f>IF(ISERROR(AVERAGE(F$13:F547)),"n/a",AVERAGE(F$13:F547))</f>
        <v>117</v>
      </c>
      <c r="H547" s="11">
        <f t="shared" si="77"/>
        <v>117</v>
      </c>
      <c r="J547" s="5"/>
      <c r="K547" s="5"/>
      <c r="L547" s="5"/>
      <c r="M547" s="5"/>
      <c r="N547" s="5"/>
      <c r="O547" s="8" t="str">
        <f t="shared" si="75"/>
        <v>n/a</v>
      </c>
      <c r="Q547" s="5"/>
      <c r="R547" s="5"/>
      <c r="S547" s="5"/>
      <c r="U547" s="6"/>
      <c r="V547" s="9" t="str">
        <f t="shared" si="78"/>
        <v/>
      </c>
      <c r="W547" s="9" t="str">
        <f t="shared" si="79"/>
        <v/>
      </c>
      <c r="X547" s="10">
        <f>SUM(V$13:V547)/COUNTA(B$13:B547)</f>
        <v>1.3084112149532711E-2</v>
      </c>
      <c r="Z547" s="5"/>
      <c r="AA547" s="5"/>
      <c r="AC547" s="7"/>
      <c r="AE547" s="54" t="e">
        <f t="shared" si="80"/>
        <v>#N/A</v>
      </c>
      <c r="AF547" s="4" t="e">
        <f t="shared" si="76"/>
        <v>#N/A</v>
      </c>
    </row>
    <row r="548" spans="2:32">
      <c r="B548" s="5">
        <f t="shared" si="81"/>
        <v>536</v>
      </c>
      <c r="C548" s="5"/>
      <c r="E548" s="13"/>
      <c r="F548" s="5"/>
      <c r="G548" s="11">
        <f>IF(ISERROR(AVERAGE(F$13:F548)),"n/a",AVERAGE(F$13:F548))</f>
        <v>117</v>
      </c>
      <c r="H548" s="11">
        <f t="shared" si="77"/>
        <v>117</v>
      </c>
      <c r="J548" s="5"/>
      <c r="K548" s="5"/>
      <c r="L548" s="5"/>
      <c r="M548" s="5"/>
      <c r="N548" s="5"/>
      <c r="O548" s="8" t="str">
        <f t="shared" si="75"/>
        <v>n/a</v>
      </c>
      <c r="Q548" s="5"/>
      <c r="R548" s="5"/>
      <c r="S548" s="5"/>
      <c r="U548" s="6"/>
      <c r="V548" s="9" t="str">
        <f t="shared" si="78"/>
        <v/>
      </c>
      <c r="W548" s="9" t="str">
        <f t="shared" si="79"/>
        <v/>
      </c>
      <c r="X548" s="10">
        <f>SUM(V$13:V548)/COUNTA(B$13:B548)</f>
        <v>1.3059701492537313E-2</v>
      </c>
      <c r="Z548" s="5"/>
      <c r="AA548" s="5"/>
      <c r="AC548" s="7"/>
      <c r="AE548" s="54" t="e">
        <f t="shared" si="80"/>
        <v>#N/A</v>
      </c>
      <c r="AF548" s="4" t="e">
        <f t="shared" si="76"/>
        <v>#N/A</v>
      </c>
    </row>
    <row r="549" spans="2:32">
      <c r="B549" s="5">
        <f t="shared" si="81"/>
        <v>537</v>
      </c>
      <c r="C549" s="5"/>
      <c r="E549" s="13"/>
      <c r="F549" s="5"/>
      <c r="G549" s="11">
        <f>IF(ISERROR(AVERAGE(F$13:F549)),"n/a",AVERAGE(F$13:F549))</f>
        <v>117</v>
      </c>
      <c r="H549" s="11">
        <f t="shared" si="77"/>
        <v>117</v>
      </c>
      <c r="J549" s="5"/>
      <c r="K549" s="5"/>
      <c r="L549" s="5"/>
      <c r="M549" s="5"/>
      <c r="N549" s="5"/>
      <c r="O549" s="8" t="str">
        <f t="shared" si="75"/>
        <v>n/a</v>
      </c>
      <c r="Q549" s="5"/>
      <c r="R549" s="5"/>
      <c r="S549" s="5"/>
      <c r="U549" s="6"/>
      <c r="V549" s="9" t="str">
        <f t="shared" si="78"/>
        <v/>
      </c>
      <c r="W549" s="9" t="str">
        <f t="shared" si="79"/>
        <v/>
      </c>
      <c r="X549" s="10">
        <f>SUM(V$13:V549)/COUNTA(B$13:B549)</f>
        <v>1.3035381750465549E-2</v>
      </c>
      <c r="Z549" s="5"/>
      <c r="AA549" s="5"/>
      <c r="AC549" s="7"/>
      <c r="AE549" s="54" t="e">
        <f t="shared" si="80"/>
        <v>#N/A</v>
      </c>
      <c r="AF549" s="4" t="e">
        <f t="shared" si="76"/>
        <v>#N/A</v>
      </c>
    </row>
    <row r="550" spans="2:32">
      <c r="B550" s="5">
        <f t="shared" si="81"/>
        <v>538</v>
      </c>
      <c r="C550" s="5"/>
      <c r="E550" s="13"/>
      <c r="F550" s="5"/>
      <c r="G550" s="11">
        <f>IF(ISERROR(AVERAGE(F$13:F550)),"n/a",AVERAGE(F$13:F550))</f>
        <v>117</v>
      </c>
      <c r="H550" s="11">
        <f t="shared" si="77"/>
        <v>117</v>
      </c>
      <c r="J550" s="5"/>
      <c r="K550" s="5"/>
      <c r="L550" s="5"/>
      <c r="M550" s="5"/>
      <c r="N550" s="5"/>
      <c r="O550" s="8" t="str">
        <f t="shared" si="75"/>
        <v>n/a</v>
      </c>
      <c r="Q550" s="5"/>
      <c r="R550" s="5"/>
      <c r="S550" s="5"/>
      <c r="U550" s="6"/>
      <c r="V550" s="9" t="str">
        <f t="shared" si="78"/>
        <v/>
      </c>
      <c r="W550" s="9" t="str">
        <f t="shared" si="79"/>
        <v/>
      </c>
      <c r="X550" s="10">
        <f>SUM(V$13:V550)/COUNTA(B$13:B550)</f>
        <v>1.3011152416356878E-2</v>
      </c>
      <c r="Z550" s="5"/>
      <c r="AA550" s="5"/>
      <c r="AC550" s="7"/>
      <c r="AE550" s="54" t="e">
        <f t="shared" si="80"/>
        <v>#N/A</v>
      </c>
      <c r="AF550" s="4" t="e">
        <f t="shared" si="76"/>
        <v>#N/A</v>
      </c>
    </row>
    <row r="551" spans="2:32">
      <c r="B551" s="5">
        <f t="shared" si="81"/>
        <v>539</v>
      </c>
      <c r="C551" s="5"/>
      <c r="E551" s="13"/>
      <c r="F551" s="5"/>
      <c r="G551" s="11">
        <f>IF(ISERROR(AVERAGE(F$13:F551)),"n/a",AVERAGE(F$13:F551))</f>
        <v>117</v>
      </c>
      <c r="H551" s="11">
        <f t="shared" si="77"/>
        <v>117</v>
      </c>
      <c r="J551" s="5"/>
      <c r="K551" s="5"/>
      <c r="L551" s="5"/>
      <c r="M551" s="5"/>
      <c r="N551" s="5"/>
      <c r="O551" s="8" t="str">
        <f t="shared" si="75"/>
        <v>n/a</v>
      </c>
      <c r="Q551" s="5"/>
      <c r="R551" s="5"/>
      <c r="S551" s="5"/>
      <c r="U551" s="6"/>
      <c r="V551" s="9" t="str">
        <f t="shared" si="78"/>
        <v/>
      </c>
      <c r="W551" s="9" t="str">
        <f t="shared" si="79"/>
        <v/>
      </c>
      <c r="X551" s="10">
        <f>SUM(V$13:V551)/COUNTA(B$13:B551)</f>
        <v>1.2987012987012988E-2</v>
      </c>
      <c r="Z551" s="5"/>
      <c r="AA551" s="5"/>
      <c r="AC551" s="7"/>
      <c r="AE551" s="54" t="e">
        <f t="shared" si="80"/>
        <v>#N/A</v>
      </c>
      <c r="AF551" s="4" t="e">
        <f t="shared" si="76"/>
        <v>#N/A</v>
      </c>
    </row>
    <row r="552" spans="2:32">
      <c r="B552" s="5">
        <f t="shared" si="81"/>
        <v>540</v>
      </c>
      <c r="C552" s="5"/>
      <c r="E552" s="13"/>
      <c r="F552" s="5"/>
      <c r="G552" s="11">
        <f>IF(ISERROR(AVERAGE(F$13:F552)),"n/a",AVERAGE(F$13:F552))</f>
        <v>117</v>
      </c>
      <c r="H552" s="11">
        <f t="shared" si="77"/>
        <v>117</v>
      </c>
      <c r="J552" s="5"/>
      <c r="K552" s="5"/>
      <c r="L552" s="5"/>
      <c r="M552" s="5"/>
      <c r="N552" s="5"/>
      <c r="O552" s="8" t="str">
        <f t="shared" si="75"/>
        <v>n/a</v>
      </c>
      <c r="Q552" s="5"/>
      <c r="R552" s="5"/>
      <c r="S552" s="5"/>
      <c r="U552" s="6"/>
      <c r="V552" s="9" t="str">
        <f t="shared" si="78"/>
        <v/>
      </c>
      <c r="W552" s="9" t="str">
        <f t="shared" si="79"/>
        <v/>
      </c>
      <c r="X552" s="10">
        <f>SUM(V$13:V552)/COUNTA(B$13:B552)</f>
        <v>1.2962962962962963E-2</v>
      </c>
      <c r="Z552" s="5"/>
      <c r="AA552" s="5"/>
      <c r="AC552" s="7"/>
      <c r="AE552" s="54" t="e">
        <f t="shared" si="80"/>
        <v>#N/A</v>
      </c>
      <c r="AF552" s="4" t="e">
        <f t="shared" si="76"/>
        <v>#N/A</v>
      </c>
    </row>
    <row r="553" spans="2:32">
      <c r="B553" s="5">
        <f t="shared" si="81"/>
        <v>541</v>
      </c>
      <c r="C553" s="5"/>
      <c r="E553" s="13"/>
      <c r="F553" s="5"/>
      <c r="G553" s="11">
        <f>IF(ISERROR(AVERAGE(F$13:F553)),"n/a",AVERAGE(F$13:F553))</f>
        <v>117</v>
      </c>
      <c r="H553" s="11">
        <f t="shared" si="77"/>
        <v>117</v>
      </c>
      <c r="J553" s="5"/>
      <c r="K553" s="5"/>
      <c r="L553" s="5"/>
      <c r="M553" s="5"/>
      <c r="N553" s="5"/>
      <c r="O553" s="8" t="str">
        <f t="shared" si="75"/>
        <v>n/a</v>
      </c>
      <c r="Q553" s="5"/>
      <c r="R553" s="5"/>
      <c r="S553" s="5"/>
      <c r="U553" s="6"/>
      <c r="V553" s="9" t="str">
        <f t="shared" si="78"/>
        <v/>
      </c>
      <c r="W553" s="9" t="str">
        <f t="shared" si="79"/>
        <v/>
      </c>
      <c r="X553" s="10">
        <f>SUM(V$13:V553)/COUNTA(B$13:B553)</f>
        <v>1.2939001848428836E-2</v>
      </c>
      <c r="Z553" s="5"/>
      <c r="AA553" s="5"/>
      <c r="AC553" s="7"/>
      <c r="AE553" s="54" t="e">
        <f t="shared" si="80"/>
        <v>#N/A</v>
      </c>
      <c r="AF553" s="4" t="e">
        <f t="shared" si="76"/>
        <v>#N/A</v>
      </c>
    </row>
    <row r="554" spans="2:32">
      <c r="B554" s="5">
        <f t="shared" si="81"/>
        <v>542</v>
      </c>
      <c r="C554" s="5"/>
      <c r="E554" s="13"/>
      <c r="F554" s="5"/>
      <c r="G554" s="11">
        <f>IF(ISERROR(AVERAGE(F$13:F554)),"n/a",AVERAGE(F$13:F554))</f>
        <v>117</v>
      </c>
      <c r="H554" s="11">
        <f t="shared" si="77"/>
        <v>117</v>
      </c>
      <c r="J554" s="5"/>
      <c r="K554" s="5"/>
      <c r="L554" s="5"/>
      <c r="M554" s="5"/>
      <c r="N554" s="5"/>
      <c r="O554" s="8" t="str">
        <f t="shared" si="75"/>
        <v>n/a</v>
      </c>
      <c r="Q554" s="5"/>
      <c r="R554" s="5"/>
      <c r="S554" s="5"/>
      <c r="U554" s="6"/>
      <c r="V554" s="9" t="str">
        <f t="shared" si="78"/>
        <v/>
      </c>
      <c r="W554" s="9" t="str">
        <f t="shared" si="79"/>
        <v/>
      </c>
      <c r="X554" s="10">
        <f>SUM(V$13:V554)/COUNTA(B$13:B554)</f>
        <v>1.2915129151291513E-2</v>
      </c>
      <c r="Z554" s="5"/>
      <c r="AA554" s="5"/>
      <c r="AC554" s="7"/>
      <c r="AE554" s="54" t="e">
        <f t="shared" si="80"/>
        <v>#N/A</v>
      </c>
      <c r="AF554" s="4" t="e">
        <f t="shared" si="76"/>
        <v>#N/A</v>
      </c>
    </row>
    <row r="555" spans="2:32">
      <c r="B555" s="5">
        <f t="shared" si="81"/>
        <v>543</v>
      </c>
      <c r="C555" s="5"/>
      <c r="E555" s="13"/>
      <c r="F555" s="5"/>
      <c r="G555" s="11">
        <f>IF(ISERROR(AVERAGE(F$13:F555)),"n/a",AVERAGE(F$13:F555))</f>
        <v>117</v>
      </c>
      <c r="H555" s="11">
        <f t="shared" si="77"/>
        <v>117</v>
      </c>
      <c r="J555" s="5"/>
      <c r="K555" s="5"/>
      <c r="L555" s="5"/>
      <c r="M555" s="5"/>
      <c r="N555" s="5"/>
      <c r="O555" s="8" t="str">
        <f t="shared" si="75"/>
        <v>n/a</v>
      </c>
      <c r="Q555" s="5"/>
      <c r="R555" s="5"/>
      <c r="S555" s="5"/>
      <c r="U555" s="6"/>
      <c r="V555" s="9" t="str">
        <f t="shared" si="78"/>
        <v/>
      </c>
      <c r="W555" s="9" t="str">
        <f t="shared" si="79"/>
        <v/>
      </c>
      <c r="X555" s="10">
        <f>SUM(V$13:V555)/COUNTA(B$13:B555)</f>
        <v>1.289134438305709E-2</v>
      </c>
      <c r="Z555" s="5"/>
      <c r="AA555" s="5"/>
      <c r="AC555" s="7"/>
      <c r="AE555" s="54" t="e">
        <f t="shared" si="80"/>
        <v>#N/A</v>
      </c>
      <c r="AF555" s="4" t="e">
        <f t="shared" si="76"/>
        <v>#N/A</v>
      </c>
    </row>
    <row r="556" spans="2:32">
      <c r="B556" s="5">
        <f t="shared" si="81"/>
        <v>544</v>
      </c>
      <c r="C556" s="5"/>
      <c r="E556" s="13"/>
      <c r="F556" s="5"/>
      <c r="G556" s="11">
        <f>IF(ISERROR(AVERAGE(F$13:F556)),"n/a",AVERAGE(F$13:F556))</f>
        <v>117</v>
      </c>
      <c r="H556" s="11">
        <f t="shared" si="77"/>
        <v>117</v>
      </c>
      <c r="J556" s="5"/>
      <c r="K556" s="5"/>
      <c r="L556" s="5"/>
      <c r="M556" s="5"/>
      <c r="N556" s="5"/>
      <c r="O556" s="8" t="str">
        <f t="shared" si="75"/>
        <v>n/a</v>
      </c>
      <c r="Q556" s="5"/>
      <c r="R556" s="5"/>
      <c r="S556" s="5"/>
      <c r="U556" s="6"/>
      <c r="V556" s="9" t="str">
        <f t="shared" si="78"/>
        <v/>
      </c>
      <c r="W556" s="9" t="str">
        <f t="shared" si="79"/>
        <v/>
      </c>
      <c r="X556" s="10">
        <f>SUM(V$13:V556)/COUNTA(B$13:B556)</f>
        <v>1.2867647058823529E-2</v>
      </c>
      <c r="Z556" s="5"/>
      <c r="AA556" s="5"/>
      <c r="AC556" s="7"/>
      <c r="AE556" s="54" t="e">
        <f t="shared" si="80"/>
        <v>#N/A</v>
      </c>
      <c r="AF556" s="4" t="e">
        <f t="shared" si="76"/>
        <v>#N/A</v>
      </c>
    </row>
    <row r="557" spans="2:32">
      <c r="B557" s="5">
        <f t="shared" si="81"/>
        <v>545</v>
      </c>
      <c r="C557" s="5"/>
      <c r="E557" s="13"/>
      <c r="F557" s="5"/>
      <c r="G557" s="11">
        <f>IF(ISERROR(AVERAGE(F$13:F557)),"n/a",AVERAGE(F$13:F557))</f>
        <v>117</v>
      </c>
      <c r="H557" s="11">
        <f t="shared" si="77"/>
        <v>117</v>
      </c>
      <c r="J557" s="5"/>
      <c r="K557" s="5"/>
      <c r="L557" s="5"/>
      <c r="M557" s="5"/>
      <c r="N557" s="5"/>
      <c r="O557" s="8" t="str">
        <f t="shared" si="75"/>
        <v>n/a</v>
      </c>
      <c r="Q557" s="5"/>
      <c r="R557" s="5"/>
      <c r="S557" s="5"/>
      <c r="U557" s="6"/>
      <c r="V557" s="9" t="str">
        <f t="shared" si="78"/>
        <v/>
      </c>
      <c r="W557" s="9" t="str">
        <f t="shared" si="79"/>
        <v/>
      </c>
      <c r="X557" s="10">
        <f>SUM(V$13:V557)/COUNTA(B$13:B557)</f>
        <v>1.2844036697247707E-2</v>
      </c>
      <c r="Z557" s="5"/>
      <c r="AA557" s="5"/>
      <c r="AC557" s="7"/>
      <c r="AE557" s="54" t="e">
        <f t="shared" si="80"/>
        <v>#N/A</v>
      </c>
      <c r="AF557" s="4" t="e">
        <f t="shared" si="76"/>
        <v>#N/A</v>
      </c>
    </row>
    <row r="558" spans="2:32">
      <c r="B558" s="5">
        <f t="shared" si="81"/>
        <v>546</v>
      </c>
      <c r="C558" s="5"/>
      <c r="E558" s="13"/>
      <c r="F558" s="5"/>
      <c r="G558" s="11">
        <f>IF(ISERROR(AVERAGE(F$13:F558)),"n/a",AVERAGE(F$13:F558))</f>
        <v>117</v>
      </c>
      <c r="H558" s="11">
        <f t="shared" si="77"/>
        <v>117</v>
      </c>
      <c r="J558" s="5"/>
      <c r="K558" s="5"/>
      <c r="L558" s="5"/>
      <c r="M558" s="5"/>
      <c r="N558" s="5"/>
      <c r="O558" s="8" t="str">
        <f t="shared" si="75"/>
        <v>n/a</v>
      </c>
      <c r="Q558" s="5"/>
      <c r="R558" s="5"/>
      <c r="S558" s="5"/>
      <c r="U558" s="6"/>
      <c r="V558" s="9" t="str">
        <f t="shared" si="78"/>
        <v/>
      </c>
      <c r="W558" s="9" t="str">
        <f t="shared" si="79"/>
        <v/>
      </c>
      <c r="X558" s="10">
        <f>SUM(V$13:V558)/COUNTA(B$13:B558)</f>
        <v>1.282051282051282E-2</v>
      </c>
      <c r="Z558" s="5"/>
      <c r="AA558" s="5"/>
      <c r="AC558" s="7"/>
      <c r="AE558" s="54" t="e">
        <f t="shared" si="80"/>
        <v>#N/A</v>
      </c>
      <c r="AF558" s="4" t="e">
        <f t="shared" si="76"/>
        <v>#N/A</v>
      </c>
    </row>
    <row r="559" spans="2:32">
      <c r="B559" s="5">
        <f t="shared" si="81"/>
        <v>547</v>
      </c>
      <c r="C559" s="5"/>
      <c r="E559" s="13"/>
      <c r="F559" s="5"/>
      <c r="G559" s="11">
        <f>IF(ISERROR(AVERAGE(F$13:F559)),"n/a",AVERAGE(F$13:F559))</f>
        <v>117</v>
      </c>
      <c r="H559" s="11">
        <f t="shared" si="77"/>
        <v>117</v>
      </c>
      <c r="J559" s="5"/>
      <c r="K559" s="5"/>
      <c r="L559" s="5"/>
      <c r="M559" s="5"/>
      <c r="N559" s="5"/>
      <c r="O559" s="8" t="str">
        <f t="shared" si="75"/>
        <v>n/a</v>
      </c>
      <c r="Q559" s="5"/>
      <c r="R559" s="5"/>
      <c r="S559" s="5"/>
      <c r="U559" s="6"/>
      <c r="V559" s="9" t="str">
        <f t="shared" si="78"/>
        <v/>
      </c>
      <c r="W559" s="9" t="str">
        <f t="shared" si="79"/>
        <v/>
      </c>
      <c r="X559" s="10">
        <f>SUM(V$13:V559)/COUNTA(B$13:B559)</f>
        <v>1.2797074954296161E-2</v>
      </c>
      <c r="Z559" s="5"/>
      <c r="AA559" s="5"/>
      <c r="AC559" s="7"/>
      <c r="AE559" s="54" t="e">
        <f t="shared" si="80"/>
        <v>#N/A</v>
      </c>
      <c r="AF559" s="4" t="e">
        <f t="shared" si="76"/>
        <v>#N/A</v>
      </c>
    </row>
    <row r="560" spans="2:32">
      <c r="B560" s="5">
        <f t="shared" si="81"/>
        <v>548</v>
      </c>
      <c r="C560" s="5"/>
      <c r="E560" s="13"/>
      <c r="F560" s="5"/>
      <c r="G560" s="11">
        <f>IF(ISERROR(AVERAGE(F$13:F560)),"n/a",AVERAGE(F$13:F560))</f>
        <v>117</v>
      </c>
      <c r="H560" s="11">
        <f t="shared" si="77"/>
        <v>117</v>
      </c>
      <c r="J560" s="5"/>
      <c r="K560" s="5"/>
      <c r="L560" s="5"/>
      <c r="M560" s="5"/>
      <c r="N560" s="5"/>
      <c r="O560" s="8" t="str">
        <f t="shared" si="75"/>
        <v>n/a</v>
      </c>
      <c r="Q560" s="5"/>
      <c r="R560" s="5"/>
      <c r="S560" s="5"/>
      <c r="U560" s="6"/>
      <c r="V560" s="9" t="str">
        <f t="shared" si="78"/>
        <v/>
      </c>
      <c r="W560" s="9" t="str">
        <f t="shared" si="79"/>
        <v/>
      </c>
      <c r="X560" s="10">
        <f>SUM(V$13:V560)/COUNTA(B$13:B560)</f>
        <v>1.2773722627737226E-2</v>
      </c>
      <c r="Z560" s="5"/>
      <c r="AA560" s="5"/>
      <c r="AC560" s="7"/>
      <c r="AE560" s="54" t="e">
        <f t="shared" si="80"/>
        <v>#N/A</v>
      </c>
      <c r="AF560" s="4" t="e">
        <f t="shared" si="76"/>
        <v>#N/A</v>
      </c>
    </row>
    <row r="561" spans="2:32">
      <c r="B561" s="5">
        <f t="shared" si="81"/>
        <v>549</v>
      </c>
      <c r="C561" s="5"/>
      <c r="E561" s="13"/>
      <c r="F561" s="5"/>
      <c r="G561" s="11">
        <f>IF(ISERROR(AVERAGE(F$13:F561)),"n/a",AVERAGE(F$13:F561))</f>
        <v>117</v>
      </c>
      <c r="H561" s="11">
        <f t="shared" si="77"/>
        <v>117</v>
      </c>
      <c r="J561" s="5"/>
      <c r="K561" s="5"/>
      <c r="L561" s="5"/>
      <c r="M561" s="5"/>
      <c r="N561" s="5"/>
      <c r="O561" s="8" t="str">
        <f t="shared" ref="O561:O624" si="82">IF(J561=1,"A",IF(K561=1,"B",IF(L561=1,"C",IF(M561=1,"D",IF(N561=1,"E","n/a")))))</f>
        <v>n/a</v>
      </c>
      <c r="Q561" s="5"/>
      <c r="R561" s="5"/>
      <c r="S561" s="5"/>
      <c r="U561" s="6"/>
      <c r="V561" s="9" t="str">
        <f t="shared" si="78"/>
        <v/>
      </c>
      <c r="W561" s="9" t="str">
        <f t="shared" si="79"/>
        <v/>
      </c>
      <c r="X561" s="10">
        <f>SUM(V$13:V561)/COUNTA(B$13:B561)</f>
        <v>1.2750455373406194E-2</v>
      </c>
      <c r="Z561" s="5"/>
      <c r="AA561" s="5"/>
      <c r="AC561" s="7"/>
      <c r="AE561" s="54" t="e">
        <f t="shared" si="80"/>
        <v>#N/A</v>
      </c>
      <c r="AF561" s="4" t="e">
        <f t="shared" si="76"/>
        <v>#N/A</v>
      </c>
    </row>
    <row r="562" spans="2:32">
      <c r="B562" s="5">
        <f t="shared" si="81"/>
        <v>550</v>
      </c>
      <c r="C562" s="5"/>
      <c r="E562" s="13"/>
      <c r="F562" s="5"/>
      <c r="G562" s="11">
        <f>IF(ISERROR(AVERAGE(F$13:F562)),"n/a",AVERAGE(F$13:F562))</f>
        <v>117</v>
      </c>
      <c r="H562" s="11">
        <f t="shared" si="77"/>
        <v>117</v>
      </c>
      <c r="J562" s="5"/>
      <c r="K562" s="5"/>
      <c r="L562" s="5"/>
      <c r="M562" s="5"/>
      <c r="N562" s="5"/>
      <c r="O562" s="8" t="str">
        <f t="shared" si="82"/>
        <v>n/a</v>
      </c>
      <c r="Q562" s="5"/>
      <c r="R562" s="5"/>
      <c r="S562" s="5"/>
      <c r="U562" s="6"/>
      <c r="V562" s="9" t="str">
        <f t="shared" si="78"/>
        <v/>
      </c>
      <c r="W562" s="9" t="str">
        <f t="shared" si="79"/>
        <v/>
      </c>
      <c r="X562" s="10">
        <f>SUM(V$13:V562)/COUNTA(B$13:B562)</f>
        <v>1.2727272727272728E-2</v>
      </c>
      <c r="Z562" s="5"/>
      <c r="AA562" s="5"/>
      <c r="AC562" s="7"/>
      <c r="AE562" s="54" t="e">
        <f t="shared" si="80"/>
        <v>#N/A</v>
      </c>
      <c r="AF562" s="4" t="e">
        <f t="shared" si="76"/>
        <v>#N/A</v>
      </c>
    </row>
    <row r="563" spans="2:32">
      <c r="B563" s="5">
        <f t="shared" si="81"/>
        <v>551</v>
      </c>
      <c r="C563" s="5"/>
      <c r="E563" s="13"/>
      <c r="F563" s="5"/>
      <c r="G563" s="11">
        <f>IF(ISERROR(AVERAGE(F$13:F563)),"n/a",AVERAGE(F$13:F563))</f>
        <v>117</v>
      </c>
      <c r="H563" s="11">
        <f t="shared" si="77"/>
        <v>117</v>
      </c>
      <c r="J563" s="5"/>
      <c r="K563" s="5"/>
      <c r="L563" s="5"/>
      <c r="M563" s="5"/>
      <c r="N563" s="5"/>
      <c r="O563" s="8" t="str">
        <f t="shared" si="82"/>
        <v>n/a</v>
      </c>
      <c r="Q563" s="5"/>
      <c r="R563" s="5"/>
      <c r="S563" s="5"/>
      <c r="U563" s="6"/>
      <c r="V563" s="9" t="str">
        <f t="shared" si="78"/>
        <v/>
      </c>
      <c r="W563" s="9" t="str">
        <f t="shared" si="79"/>
        <v/>
      </c>
      <c r="X563" s="10">
        <f>SUM(V$13:V563)/COUNTA(B$13:B563)</f>
        <v>1.2704174228675136E-2</v>
      </c>
      <c r="Z563" s="5"/>
      <c r="AA563" s="5"/>
      <c r="AC563" s="7"/>
      <c r="AE563" s="54" t="e">
        <f t="shared" si="80"/>
        <v>#N/A</v>
      </c>
      <c r="AF563" s="4" t="e">
        <f t="shared" si="76"/>
        <v>#N/A</v>
      </c>
    </row>
    <row r="564" spans="2:32">
      <c r="B564" s="5">
        <f t="shared" si="81"/>
        <v>552</v>
      </c>
      <c r="C564" s="5"/>
      <c r="E564" s="13"/>
      <c r="F564" s="5"/>
      <c r="G564" s="11">
        <f>IF(ISERROR(AVERAGE(F$13:F564)),"n/a",AVERAGE(F$13:F564))</f>
        <v>117</v>
      </c>
      <c r="H564" s="11">
        <f t="shared" si="77"/>
        <v>117</v>
      </c>
      <c r="J564" s="5"/>
      <c r="K564" s="5"/>
      <c r="L564" s="5"/>
      <c r="M564" s="5"/>
      <c r="N564" s="5"/>
      <c r="O564" s="8" t="str">
        <f t="shared" si="82"/>
        <v>n/a</v>
      </c>
      <c r="Q564" s="5"/>
      <c r="R564" s="5"/>
      <c r="S564" s="5"/>
      <c r="U564" s="6"/>
      <c r="V564" s="9" t="str">
        <f t="shared" si="78"/>
        <v/>
      </c>
      <c r="W564" s="9" t="str">
        <f t="shared" si="79"/>
        <v/>
      </c>
      <c r="X564" s="10">
        <f>SUM(V$13:V564)/COUNTA(B$13:B564)</f>
        <v>1.2681159420289856E-2</v>
      </c>
      <c r="Z564" s="5"/>
      <c r="AA564" s="5"/>
      <c r="AC564" s="7"/>
      <c r="AE564" s="54" t="e">
        <f t="shared" si="80"/>
        <v>#N/A</v>
      </c>
      <c r="AF564" s="4" t="e">
        <f t="shared" si="76"/>
        <v>#N/A</v>
      </c>
    </row>
    <row r="565" spans="2:32">
      <c r="B565" s="5">
        <f t="shared" si="81"/>
        <v>553</v>
      </c>
      <c r="C565" s="5"/>
      <c r="E565" s="13"/>
      <c r="F565" s="5"/>
      <c r="G565" s="11">
        <f>IF(ISERROR(AVERAGE(F$13:F565)),"n/a",AVERAGE(F$13:F565))</f>
        <v>117</v>
      </c>
      <c r="H565" s="11">
        <f t="shared" si="77"/>
        <v>117</v>
      </c>
      <c r="J565" s="5"/>
      <c r="K565" s="5"/>
      <c r="L565" s="5"/>
      <c r="M565" s="5"/>
      <c r="N565" s="5"/>
      <c r="O565" s="8" t="str">
        <f t="shared" si="82"/>
        <v>n/a</v>
      </c>
      <c r="Q565" s="5"/>
      <c r="R565" s="5"/>
      <c r="S565" s="5"/>
      <c r="U565" s="6"/>
      <c r="V565" s="9" t="str">
        <f t="shared" si="78"/>
        <v/>
      </c>
      <c r="W565" s="9" t="str">
        <f t="shared" si="79"/>
        <v/>
      </c>
      <c r="X565" s="10">
        <f>SUM(V$13:V565)/COUNTA(B$13:B565)</f>
        <v>1.2658227848101266E-2</v>
      </c>
      <c r="Z565" s="5"/>
      <c r="AA565" s="5"/>
      <c r="AC565" s="7"/>
      <c r="AE565" s="54" t="e">
        <f t="shared" si="80"/>
        <v>#N/A</v>
      </c>
      <c r="AF565" s="4" t="e">
        <f t="shared" si="76"/>
        <v>#N/A</v>
      </c>
    </row>
    <row r="566" spans="2:32">
      <c r="B566" s="5">
        <f t="shared" si="81"/>
        <v>554</v>
      </c>
      <c r="C566" s="5"/>
      <c r="E566" s="13"/>
      <c r="F566" s="5"/>
      <c r="G566" s="11">
        <f>IF(ISERROR(AVERAGE(F$13:F566)),"n/a",AVERAGE(F$13:F566))</f>
        <v>117</v>
      </c>
      <c r="H566" s="11">
        <f t="shared" si="77"/>
        <v>117</v>
      </c>
      <c r="J566" s="5"/>
      <c r="K566" s="5"/>
      <c r="L566" s="5"/>
      <c r="M566" s="5"/>
      <c r="N566" s="5"/>
      <c r="O566" s="8" t="str">
        <f t="shared" si="82"/>
        <v>n/a</v>
      </c>
      <c r="Q566" s="5"/>
      <c r="R566" s="5"/>
      <c r="S566" s="5"/>
      <c r="U566" s="6"/>
      <c r="V566" s="9" t="str">
        <f t="shared" si="78"/>
        <v/>
      </c>
      <c r="W566" s="9" t="str">
        <f t="shared" si="79"/>
        <v/>
      </c>
      <c r="X566" s="10">
        <f>SUM(V$13:V566)/COUNTA(B$13:B566)</f>
        <v>1.263537906137184E-2</v>
      </c>
      <c r="Z566" s="5"/>
      <c r="AA566" s="5"/>
      <c r="AC566" s="7"/>
      <c r="AE566" s="54" t="e">
        <f t="shared" si="80"/>
        <v>#N/A</v>
      </c>
      <c r="AF566" s="4" t="e">
        <f t="shared" si="76"/>
        <v>#N/A</v>
      </c>
    </row>
    <row r="567" spans="2:32">
      <c r="B567" s="5">
        <f t="shared" si="81"/>
        <v>555</v>
      </c>
      <c r="C567" s="5"/>
      <c r="E567" s="13"/>
      <c r="F567" s="5"/>
      <c r="G567" s="11">
        <f>IF(ISERROR(AVERAGE(F$13:F567)),"n/a",AVERAGE(F$13:F567))</f>
        <v>117</v>
      </c>
      <c r="H567" s="11">
        <f t="shared" si="77"/>
        <v>117</v>
      </c>
      <c r="J567" s="5"/>
      <c r="K567" s="5"/>
      <c r="L567" s="5"/>
      <c r="M567" s="5"/>
      <c r="N567" s="5"/>
      <c r="O567" s="8" t="str">
        <f t="shared" si="82"/>
        <v>n/a</v>
      </c>
      <c r="Q567" s="5"/>
      <c r="R567" s="5"/>
      <c r="S567" s="5"/>
      <c r="U567" s="6"/>
      <c r="V567" s="9" t="str">
        <f t="shared" si="78"/>
        <v/>
      </c>
      <c r="W567" s="9" t="str">
        <f t="shared" si="79"/>
        <v/>
      </c>
      <c r="X567" s="10">
        <f>SUM(V$13:V567)/COUNTA(B$13:B567)</f>
        <v>1.2612612612612612E-2</v>
      </c>
      <c r="Z567" s="5"/>
      <c r="AA567" s="5"/>
      <c r="AC567" s="7"/>
      <c r="AE567" s="54" t="e">
        <f t="shared" si="80"/>
        <v>#N/A</v>
      </c>
      <c r="AF567" s="4" t="e">
        <f t="shared" si="76"/>
        <v>#N/A</v>
      </c>
    </row>
    <row r="568" spans="2:32">
      <c r="B568" s="5">
        <f t="shared" si="81"/>
        <v>556</v>
      </c>
      <c r="C568" s="5"/>
      <c r="E568" s="13"/>
      <c r="F568" s="5"/>
      <c r="G568" s="11">
        <f>IF(ISERROR(AVERAGE(F$13:F568)),"n/a",AVERAGE(F$13:F568))</f>
        <v>117</v>
      </c>
      <c r="H568" s="11">
        <f t="shared" si="77"/>
        <v>117</v>
      </c>
      <c r="J568" s="5"/>
      <c r="K568" s="5"/>
      <c r="L568" s="5"/>
      <c r="M568" s="5"/>
      <c r="N568" s="5"/>
      <c r="O568" s="8" t="str">
        <f t="shared" si="82"/>
        <v>n/a</v>
      </c>
      <c r="Q568" s="5"/>
      <c r="R568" s="5"/>
      <c r="S568" s="5"/>
      <c r="U568" s="6"/>
      <c r="V568" s="9" t="str">
        <f t="shared" si="78"/>
        <v/>
      </c>
      <c r="W568" s="9" t="str">
        <f t="shared" si="79"/>
        <v/>
      </c>
      <c r="X568" s="10">
        <f>SUM(V$13:V568)/COUNTA(B$13:B568)</f>
        <v>1.2589928057553957E-2</v>
      </c>
      <c r="Z568" s="5"/>
      <c r="AA568" s="5"/>
      <c r="AC568" s="7"/>
      <c r="AE568" s="54" t="e">
        <f t="shared" si="80"/>
        <v>#N/A</v>
      </c>
      <c r="AF568" s="4" t="e">
        <f t="shared" si="76"/>
        <v>#N/A</v>
      </c>
    </row>
    <row r="569" spans="2:32">
      <c r="B569" s="5">
        <f t="shared" si="81"/>
        <v>557</v>
      </c>
      <c r="C569" s="5"/>
      <c r="E569" s="13"/>
      <c r="F569" s="5"/>
      <c r="G569" s="11">
        <f>IF(ISERROR(AVERAGE(F$13:F569)),"n/a",AVERAGE(F$13:F569))</f>
        <v>117</v>
      </c>
      <c r="H569" s="11">
        <f t="shared" si="77"/>
        <v>117</v>
      </c>
      <c r="J569" s="5"/>
      <c r="K569" s="5"/>
      <c r="L569" s="5"/>
      <c r="M569" s="5"/>
      <c r="N569" s="5"/>
      <c r="O569" s="8" t="str">
        <f t="shared" si="82"/>
        <v>n/a</v>
      </c>
      <c r="Q569" s="5"/>
      <c r="R569" s="5"/>
      <c r="S569" s="5"/>
      <c r="U569" s="6"/>
      <c r="V569" s="9" t="str">
        <f t="shared" si="78"/>
        <v/>
      </c>
      <c r="W569" s="9" t="str">
        <f t="shared" si="79"/>
        <v/>
      </c>
      <c r="X569" s="10">
        <f>SUM(V$13:V569)/COUNTA(B$13:B569)</f>
        <v>1.2567324955116697E-2</v>
      </c>
      <c r="Z569" s="5"/>
      <c r="AA569" s="5"/>
      <c r="AC569" s="7"/>
      <c r="AE569" s="54" t="e">
        <f t="shared" si="80"/>
        <v>#N/A</v>
      </c>
      <c r="AF569" s="4" t="e">
        <f t="shared" si="76"/>
        <v>#N/A</v>
      </c>
    </row>
    <row r="570" spans="2:32">
      <c r="B570" s="5">
        <f t="shared" si="81"/>
        <v>558</v>
      </c>
      <c r="C570" s="5"/>
      <c r="E570" s="13"/>
      <c r="F570" s="5"/>
      <c r="G570" s="11">
        <f>IF(ISERROR(AVERAGE(F$13:F570)),"n/a",AVERAGE(F$13:F570))</f>
        <v>117</v>
      </c>
      <c r="H570" s="11">
        <f t="shared" si="77"/>
        <v>117</v>
      </c>
      <c r="J570" s="5"/>
      <c r="K570" s="5"/>
      <c r="L570" s="5"/>
      <c r="M570" s="5"/>
      <c r="N570" s="5"/>
      <c r="O570" s="8" t="str">
        <f t="shared" si="82"/>
        <v>n/a</v>
      </c>
      <c r="Q570" s="5"/>
      <c r="R570" s="5"/>
      <c r="S570" s="5"/>
      <c r="U570" s="6"/>
      <c r="V570" s="9" t="str">
        <f t="shared" si="78"/>
        <v/>
      </c>
      <c r="W570" s="9" t="str">
        <f t="shared" si="79"/>
        <v/>
      </c>
      <c r="X570" s="10">
        <f>SUM(V$13:V570)/COUNTA(B$13:B570)</f>
        <v>1.2544802867383513E-2</v>
      </c>
      <c r="Z570" s="5"/>
      <c r="AA570" s="5"/>
      <c r="AC570" s="7"/>
      <c r="AE570" s="54" t="e">
        <f t="shared" si="80"/>
        <v>#N/A</v>
      </c>
      <c r="AF570" s="4" t="e">
        <f t="shared" si="76"/>
        <v>#N/A</v>
      </c>
    </row>
    <row r="571" spans="2:32">
      <c r="B571" s="5">
        <f t="shared" si="81"/>
        <v>559</v>
      </c>
      <c r="C571" s="5"/>
      <c r="E571" s="13"/>
      <c r="F571" s="5"/>
      <c r="G571" s="11">
        <f>IF(ISERROR(AVERAGE(F$13:F571)),"n/a",AVERAGE(F$13:F571))</f>
        <v>117</v>
      </c>
      <c r="H571" s="11">
        <f t="shared" si="77"/>
        <v>117</v>
      </c>
      <c r="J571" s="5"/>
      <c r="K571" s="5"/>
      <c r="L571" s="5"/>
      <c r="M571" s="5"/>
      <c r="N571" s="5"/>
      <c r="O571" s="8" t="str">
        <f t="shared" si="82"/>
        <v>n/a</v>
      </c>
      <c r="Q571" s="5"/>
      <c r="R571" s="5"/>
      <c r="S571" s="5"/>
      <c r="U571" s="6"/>
      <c r="V571" s="9" t="str">
        <f t="shared" si="78"/>
        <v/>
      </c>
      <c r="W571" s="9" t="str">
        <f t="shared" si="79"/>
        <v/>
      </c>
      <c r="X571" s="10">
        <f>SUM(V$13:V571)/COUNTA(B$13:B571)</f>
        <v>1.2522361359570662E-2</v>
      </c>
      <c r="Z571" s="5"/>
      <c r="AA571" s="5"/>
      <c r="AC571" s="7"/>
      <c r="AE571" s="54" t="e">
        <f t="shared" si="80"/>
        <v>#N/A</v>
      </c>
      <c r="AF571" s="4" t="e">
        <f t="shared" si="76"/>
        <v>#N/A</v>
      </c>
    </row>
    <row r="572" spans="2:32">
      <c r="B572" s="5">
        <f t="shared" si="81"/>
        <v>560</v>
      </c>
      <c r="C572" s="5"/>
      <c r="E572" s="13"/>
      <c r="F572" s="5"/>
      <c r="G572" s="11">
        <f>IF(ISERROR(AVERAGE(F$13:F572)),"n/a",AVERAGE(F$13:F572))</f>
        <v>117</v>
      </c>
      <c r="H572" s="11">
        <f t="shared" si="77"/>
        <v>117</v>
      </c>
      <c r="J572" s="5"/>
      <c r="K572" s="5"/>
      <c r="L572" s="5"/>
      <c r="M572" s="5"/>
      <c r="N572" s="5"/>
      <c r="O572" s="8" t="str">
        <f t="shared" si="82"/>
        <v>n/a</v>
      </c>
      <c r="Q572" s="5"/>
      <c r="R572" s="5"/>
      <c r="S572" s="5"/>
      <c r="U572" s="6"/>
      <c r="V572" s="9" t="str">
        <f t="shared" si="78"/>
        <v/>
      </c>
      <c r="W572" s="9" t="str">
        <f t="shared" si="79"/>
        <v/>
      </c>
      <c r="X572" s="10">
        <f>SUM(V$13:V572)/COUNTA(B$13:B572)</f>
        <v>1.2500000000000001E-2</v>
      </c>
      <c r="Z572" s="5"/>
      <c r="AA572" s="5"/>
      <c r="AC572" s="7"/>
      <c r="AE572" s="54" t="e">
        <f t="shared" si="80"/>
        <v>#N/A</v>
      </c>
      <c r="AF572" s="4" t="e">
        <f t="shared" si="76"/>
        <v>#N/A</v>
      </c>
    </row>
    <row r="573" spans="2:32">
      <c r="B573" s="5">
        <f t="shared" si="81"/>
        <v>561</v>
      </c>
      <c r="C573" s="5"/>
      <c r="E573" s="13"/>
      <c r="F573" s="5"/>
      <c r="G573" s="11">
        <f>IF(ISERROR(AVERAGE(F$13:F573)),"n/a",AVERAGE(F$13:F573))</f>
        <v>117</v>
      </c>
      <c r="H573" s="11">
        <f t="shared" si="77"/>
        <v>117</v>
      </c>
      <c r="J573" s="5"/>
      <c r="K573" s="5"/>
      <c r="L573" s="5"/>
      <c r="M573" s="5"/>
      <c r="N573" s="5"/>
      <c r="O573" s="8" t="str">
        <f t="shared" si="82"/>
        <v>n/a</v>
      </c>
      <c r="Q573" s="5"/>
      <c r="R573" s="5"/>
      <c r="S573" s="5"/>
      <c r="U573" s="6"/>
      <c r="V573" s="9" t="str">
        <f t="shared" si="78"/>
        <v/>
      </c>
      <c r="W573" s="9" t="str">
        <f t="shared" si="79"/>
        <v/>
      </c>
      <c r="X573" s="10">
        <f>SUM(V$13:V573)/COUNTA(B$13:B573)</f>
        <v>1.2477718360071301E-2</v>
      </c>
      <c r="Z573" s="5"/>
      <c r="AA573" s="5"/>
      <c r="AC573" s="7"/>
      <c r="AE573" s="54" t="e">
        <f t="shared" si="80"/>
        <v>#N/A</v>
      </c>
      <c r="AF573" s="4" t="e">
        <f t="shared" si="76"/>
        <v>#N/A</v>
      </c>
    </row>
    <row r="574" spans="2:32">
      <c r="B574" s="5">
        <f t="shared" si="81"/>
        <v>562</v>
      </c>
      <c r="C574" s="5"/>
      <c r="E574" s="13"/>
      <c r="F574" s="5"/>
      <c r="G574" s="11">
        <f>IF(ISERROR(AVERAGE(F$13:F574)),"n/a",AVERAGE(F$13:F574))</f>
        <v>117</v>
      </c>
      <c r="H574" s="11">
        <f t="shared" si="77"/>
        <v>117</v>
      </c>
      <c r="J574" s="5"/>
      <c r="K574" s="5"/>
      <c r="L574" s="5"/>
      <c r="M574" s="5"/>
      <c r="N574" s="5"/>
      <c r="O574" s="8" t="str">
        <f t="shared" si="82"/>
        <v>n/a</v>
      </c>
      <c r="Q574" s="5"/>
      <c r="R574" s="5"/>
      <c r="S574" s="5"/>
      <c r="U574" s="6"/>
      <c r="V574" s="9" t="str">
        <f t="shared" si="78"/>
        <v/>
      </c>
      <c r="W574" s="9" t="str">
        <f t="shared" si="79"/>
        <v/>
      </c>
      <c r="X574" s="10">
        <f>SUM(V$13:V574)/COUNTA(B$13:B574)</f>
        <v>1.2455516014234875E-2</v>
      </c>
      <c r="Z574" s="5"/>
      <c r="AA574" s="5"/>
      <c r="AC574" s="7"/>
      <c r="AE574" s="54" t="e">
        <f t="shared" si="80"/>
        <v>#N/A</v>
      </c>
      <c r="AF574" s="4" t="e">
        <f t="shared" si="76"/>
        <v>#N/A</v>
      </c>
    </row>
    <row r="575" spans="2:32">
      <c r="B575" s="5">
        <f t="shared" si="81"/>
        <v>563</v>
      </c>
      <c r="C575" s="5"/>
      <c r="E575" s="13"/>
      <c r="F575" s="5"/>
      <c r="G575" s="11">
        <f>IF(ISERROR(AVERAGE(F$13:F575)),"n/a",AVERAGE(F$13:F575))</f>
        <v>117</v>
      </c>
      <c r="H575" s="11">
        <f t="shared" si="77"/>
        <v>117</v>
      </c>
      <c r="J575" s="5"/>
      <c r="K575" s="5"/>
      <c r="L575" s="5"/>
      <c r="M575" s="5"/>
      <c r="N575" s="5"/>
      <c r="O575" s="8" t="str">
        <f t="shared" si="82"/>
        <v>n/a</v>
      </c>
      <c r="Q575" s="5"/>
      <c r="R575" s="5"/>
      <c r="S575" s="5"/>
      <c r="U575" s="6"/>
      <c r="V575" s="9" t="str">
        <f t="shared" si="78"/>
        <v/>
      </c>
      <c r="W575" s="9" t="str">
        <f t="shared" si="79"/>
        <v/>
      </c>
      <c r="X575" s="10">
        <f>SUM(V$13:V575)/COUNTA(B$13:B575)</f>
        <v>1.2433392539964476E-2</v>
      </c>
      <c r="Z575" s="5"/>
      <c r="AA575" s="5"/>
      <c r="AC575" s="7"/>
      <c r="AE575" s="54" t="e">
        <f t="shared" si="80"/>
        <v>#N/A</v>
      </c>
      <c r="AF575" s="4" t="e">
        <f t="shared" si="76"/>
        <v>#N/A</v>
      </c>
    </row>
    <row r="576" spans="2:32">
      <c r="B576" s="5">
        <f t="shared" si="81"/>
        <v>564</v>
      </c>
      <c r="C576" s="5"/>
      <c r="E576" s="13"/>
      <c r="F576" s="5"/>
      <c r="G576" s="11">
        <f>IF(ISERROR(AVERAGE(F$13:F576)),"n/a",AVERAGE(F$13:F576))</f>
        <v>117</v>
      </c>
      <c r="H576" s="11">
        <f t="shared" si="77"/>
        <v>117</v>
      </c>
      <c r="J576" s="5"/>
      <c r="K576" s="5"/>
      <c r="L576" s="5"/>
      <c r="M576" s="5"/>
      <c r="N576" s="5"/>
      <c r="O576" s="8" t="str">
        <f t="shared" si="82"/>
        <v>n/a</v>
      </c>
      <c r="Q576" s="5"/>
      <c r="R576" s="5"/>
      <c r="S576" s="5"/>
      <c r="U576" s="6"/>
      <c r="V576" s="9" t="str">
        <f t="shared" si="78"/>
        <v/>
      </c>
      <c r="W576" s="9" t="str">
        <f t="shared" si="79"/>
        <v/>
      </c>
      <c r="X576" s="10">
        <f>SUM(V$13:V576)/COUNTA(B$13:B576)</f>
        <v>1.2411347517730497E-2</v>
      </c>
      <c r="Z576" s="5"/>
      <c r="AA576" s="5"/>
      <c r="AC576" s="7"/>
      <c r="AE576" s="54" t="e">
        <f t="shared" si="80"/>
        <v>#N/A</v>
      </c>
      <c r="AF576" s="4" t="e">
        <f t="shared" si="76"/>
        <v>#N/A</v>
      </c>
    </row>
    <row r="577" spans="2:32">
      <c r="B577" s="5">
        <f t="shared" si="81"/>
        <v>565</v>
      </c>
      <c r="C577" s="5"/>
      <c r="E577" s="13"/>
      <c r="F577" s="5"/>
      <c r="G577" s="11">
        <f>IF(ISERROR(AVERAGE(F$13:F577)),"n/a",AVERAGE(F$13:F577))</f>
        <v>117</v>
      </c>
      <c r="H577" s="11">
        <f t="shared" si="77"/>
        <v>117</v>
      </c>
      <c r="J577" s="5"/>
      <c r="K577" s="5"/>
      <c r="L577" s="5"/>
      <c r="M577" s="5"/>
      <c r="N577" s="5"/>
      <c r="O577" s="8" t="str">
        <f t="shared" si="82"/>
        <v>n/a</v>
      </c>
      <c r="Q577" s="5"/>
      <c r="R577" s="5"/>
      <c r="S577" s="5"/>
      <c r="U577" s="6"/>
      <c r="V577" s="9" t="str">
        <f t="shared" si="78"/>
        <v/>
      </c>
      <c r="W577" s="9" t="str">
        <f t="shared" si="79"/>
        <v/>
      </c>
      <c r="X577" s="10">
        <f>SUM(V$13:V577)/COUNTA(B$13:B577)</f>
        <v>1.2389380530973451E-2</v>
      </c>
      <c r="Z577" s="5"/>
      <c r="AA577" s="5"/>
      <c r="AC577" s="7"/>
      <c r="AE577" s="54" t="e">
        <f t="shared" si="80"/>
        <v>#N/A</v>
      </c>
      <c r="AF577" s="4" t="e">
        <f t="shared" si="76"/>
        <v>#N/A</v>
      </c>
    </row>
    <row r="578" spans="2:32">
      <c r="B578" s="5">
        <f t="shared" si="81"/>
        <v>566</v>
      </c>
      <c r="C578" s="5"/>
      <c r="E578" s="13"/>
      <c r="F578" s="5"/>
      <c r="G578" s="11">
        <f>IF(ISERROR(AVERAGE(F$13:F578)),"n/a",AVERAGE(F$13:F578))</f>
        <v>117</v>
      </c>
      <c r="H578" s="11">
        <f t="shared" si="77"/>
        <v>117</v>
      </c>
      <c r="J578" s="5"/>
      <c r="K578" s="5"/>
      <c r="L578" s="5"/>
      <c r="M578" s="5"/>
      <c r="N578" s="5"/>
      <c r="O578" s="8" t="str">
        <f t="shared" si="82"/>
        <v>n/a</v>
      </c>
      <c r="Q578" s="5"/>
      <c r="R578" s="5"/>
      <c r="S578" s="5"/>
      <c r="U578" s="6"/>
      <c r="V578" s="9" t="str">
        <f t="shared" si="78"/>
        <v/>
      </c>
      <c r="W578" s="9" t="str">
        <f t="shared" si="79"/>
        <v/>
      </c>
      <c r="X578" s="10">
        <f>SUM(V$13:V578)/COUNTA(B$13:B578)</f>
        <v>1.2367491166077738E-2</v>
      </c>
      <c r="Z578" s="5"/>
      <c r="AA578" s="5"/>
      <c r="AC578" s="7"/>
      <c r="AE578" s="54" t="e">
        <f t="shared" si="80"/>
        <v>#N/A</v>
      </c>
      <c r="AF578" s="4" t="e">
        <f t="shared" si="76"/>
        <v>#N/A</v>
      </c>
    </row>
    <row r="579" spans="2:32">
      <c r="B579" s="5">
        <f t="shared" si="81"/>
        <v>567</v>
      </c>
      <c r="C579" s="5"/>
      <c r="E579" s="13"/>
      <c r="F579" s="5"/>
      <c r="G579" s="11">
        <f>IF(ISERROR(AVERAGE(F$13:F579)),"n/a",AVERAGE(F$13:F579))</f>
        <v>117</v>
      </c>
      <c r="H579" s="11">
        <f t="shared" si="77"/>
        <v>117</v>
      </c>
      <c r="J579" s="5"/>
      <c r="K579" s="5"/>
      <c r="L579" s="5"/>
      <c r="M579" s="5"/>
      <c r="N579" s="5"/>
      <c r="O579" s="8" t="str">
        <f t="shared" si="82"/>
        <v>n/a</v>
      </c>
      <c r="Q579" s="5"/>
      <c r="R579" s="5"/>
      <c r="S579" s="5"/>
      <c r="U579" s="6"/>
      <c r="V579" s="9" t="str">
        <f t="shared" si="78"/>
        <v/>
      </c>
      <c r="W579" s="9" t="str">
        <f t="shared" si="79"/>
        <v/>
      </c>
      <c r="X579" s="10">
        <f>SUM(V$13:V579)/COUNTA(B$13:B579)</f>
        <v>1.2345679012345678E-2</v>
      </c>
      <c r="Z579" s="5"/>
      <c r="AA579" s="5"/>
      <c r="AC579" s="7"/>
      <c r="AE579" s="54" t="e">
        <f t="shared" si="80"/>
        <v>#N/A</v>
      </c>
      <c r="AF579" s="4" t="e">
        <f t="shared" si="76"/>
        <v>#N/A</v>
      </c>
    </row>
    <row r="580" spans="2:32">
      <c r="B580" s="5">
        <f t="shared" si="81"/>
        <v>568</v>
      </c>
      <c r="C580" s="5"/>
      <c r="E580" s="13"/>
      <c r="F580" s="5"/>
      <c r="G580" s="11">
        <f>IF(ISERROR(AVERAGE(F$13:F580)),"n/a",AVERAGE(F$13:F580))</f>
        <v>117</v>
      </c>
      <c r="H580" s="11">
        <f t="shared" si="77"/>
        <v>117</v>
      </c>
      <c r="J580" s="5"/>
      <c r="K580" s="5"/>
      <c r="L580" s="5"/>
      <c r="M580" s="5"/>
      <c r="N580" s="5"/>
      <c r="O580" s="8" t="str">
        <f t="shared" si="82"/>
        <v>n/a</v>
      </c>
      <c r="Q580" s="5"/>
      <c r="R580" s="5"/>
      <c r="S580" s="5"/>
      <c r="U580" s="6"/>
      <c r="V580" s="9" t="str">
        <f t="shared" si="78"/>
        <v/>
      </c>
      <c r="W580" s="9" t="str">
        <f t="shared" si="79"/>
        <v/>
      </c>
      <c r="X580" s="10">
        <f>SUM(V$13:V580)/COUNTA(B$13:B580)</f>
        <v>1.232394366197183E-2</v>
      </c>
      <c r="Z580" s="5"/>
      <c r="AA580" s="5"/>
      <c r="AC580" s="7"/>
      <c r="AE580" s="54" t="e">
        <f t="shared" si="80"/>
        <v>#N/A</v>
      </c>
      <c r="AF580" s="4" t="e">
        <f t="shared" si="76"/>
        <v>#N/A</v>
      </c>
    </row>
    <row r="581" spans="2:32">
      <c r="B581" s="5">
        <f t="shared" si="81"/>
        <v>569</v>
      </c>
      <c r="C581" s="5"/>
      <c r="E581" s="13"/>
      <c r="F581" s="5"/>
      <c r="G581" s="11">
        <f>IF(ISERROR(AVERAGE(F$13:F581)),"n/a",AVERAGE(F$13:F581))</f>
        <v>117</v>
      </c>
      <c r="H581" s="11">
        <f t="shared" si="77"/>
        <v>117</v>
      </c>
      <c r="J581" s="5"/>
      <c r="K581" s="5"/>
      <c r="L581" s="5"/>
      <c r="M581" s="5"/>
      <c r="N581" s="5"/>
      <c r="O581" s="8" t="str">
        <f t="shared" si="82"/>
        <v>n/a</v>
      </c>
      <c r="Q581" s="5"/>
      <c r="R581" s="5"/>
      <c r="S581" s="5"/>
      <c r="U581" s="6"/>
      <c r="V581" s="9" t="str">
        <f t="shared" si="78"/>
        <v/>
      </c>
      <c r="W581" s="9" t="str">
        <f t="shared" si="79"/>
        <v/>
      </c>
      <c r="X581" s="10">
        <f>SUM(V$13:V581)/COUNTA(B$13:B581)</f>
        <v>1.2302284710017574E-2</v>
      </c>
      <c r="Z581" s="5"/>
      <c r="AA581" s="5"/>
      <c r="AC581" s="7"/>
      <c r="AE581" s="54" t="e">
        <f t="shared" si="80"/>
        <v>#N/A</v>
      </c>
      <c r="AF581" s="4" t="e">
        <f t="shared" si="76"/>
        <v>#N/A</v>
      </c>
    </row>
    <row r="582" spans="2:32">
      <c r="B582" s="5">
        <f t="shared" si="81"/>
        <v>570</v>
      </c>
      <c r="C582" s="5"/>
      <c r="E582" s="13"/>
      <c r="F582" s="5"/>
      <c r="G582" s="11">
        <f>IF(ISERROR(AVERAGE(F$13:F582)),"n/a",AVERAGE(F$13:F582))</f>
        <v>117</v>
      </c>
      <c r="H582" s="11">
        <f t="shared" si="77"/>
        <v>117</v>
      </c>
      <c r="J582" s="5"/>
      <c r="K582" s="5"/>
      <c r="L582" s="5"/>
      <c r="M582" s="5"/>
      <c r="N582" s="5"/>
      <c r="O582" s="8" t="str">
        <f t="shared" si="82"/>
        <v>n/a</v>
      </c>
      <c r="Q582" s="5"/>
      <c r="R582" s="5"/>
      <c r="S582" s="5"/>
      <c r="U582" s="6"/>
      <c r="V582" s="9" t="str">
        <f t="shared" si="78"/>
        <v/>
      </c>
      <c r="W582" s="9" t="str">
        <f t="shared" si="79"/>
        <v/>
      </c>
      <c r="X582" s="10">
        <f>SUM(V$13:V582)/COUNTA(B$13:B582)</f>
        <v>1.2280701754385965E-2</v>
      </c>
      <c r="Z582" s="5"/>
      <c r="AA582" s="5"/>
      <c r="AC582" s="7"/>
      <c r="AE582" s="54" t="e">
        <f t="shared" si="80"/>
        <v>#N/A</v>
      </c>
      <c r="AF582" s="4" t="e">
        <f t="shared" si="76"/>
        <v>#N/A</v>
      </c>
    </row>
    <row r="583" spans="2:32">
      <c r="B583" s="5">
        <f t="shared" si="81"/>
        <v>571</v>
      </c>
      <c r="C583" s="5"/>
      <c r="E583" s="13"/>
      <c r="F583" s="5"/>
      <c r="G583" s="11">
        <f>IF(ISERROR(AVERAGE(F$13:F583)),"n/a",AVERAGE(F$13:F583))</f>
        <v>117</v>
      </c>
      <c r="H583" s="11">
        <f t="shared" si="77"/>
        <v>117</v>
      </c>
      <c r="J583" s="5"/>
      <c r="K583" s="5"/>
      <c r="L583" s="5"/>
      <c r="M583" s="5"/>
      <c r="N583" s="5"/>
      <c r="O583" s="8" t="str">
        <f t="shared" si="82"/>
        <v>n/a</v>
      </c>
      <c r="Q583" s="5"/>
      <c r="R583" s="5"/>
      <c r="S583" s="5"/>
      <c r="U583" s="6"/>
      <c r="V583" s="9" t="str">
        <f t="shared" si="78"/>
        <v/>
      </c>
      <c r="W583" s="9" t="str">
        <f t="shared" si="79"/>
        <v/>
      </c>
      <c r="X583" s="10">
        <f>SUM(V$13:V583)/COUNTA(B$13:B583)</f>
        <v>1.2259194395796848E-2</v>
      </c>
      <c r="Z583" s="5"/>
      <c r="AA583" s="5"/>
      <c r="AC583" s="7"/>
      <c r="AE583" s="54" t="e">
        <f t="shared" si="80"/>
        <v>#N/A</v>
      </c>
      <c r="AF583" s="4" t="e">
        <f t="shared" si="76"/>
        <v>#N/A</v>
      </c>
    </row>
    <row r="584" spans="2:32">
      <c r="B584" s="5">
        <f t="shared" si="81"/>
        <v>572</v>
      </c>
      <c r="C584" s="5"/>
      <c r="E584" s="13"/>
      <c r="F584" s="5"/>
      <c r="G584" s="11">
        <f>IF(ISERROR(AVERAGE(F$13:F584)),"n/a",AVERAGE(F$13:F584))</f>
        <v>117</v>
      </c>
      <c r="H584" s="11">
        <f t="shared" si="77"/>
        <v>117</v>
      </c>
      <c r="J584" s="5"/>
      <c r="K584" s="5"/>
      <c r="L584" s="5"/>
      <c r="M584" s="5"/>
      <c r="N584" s="5"/>
      <c r="O584" s="8" t="str">
        <f t="shared" si="82"/>
        <v>n/a</v>
      </c>
      <c r="Q584" s="5"/>
      <c r="R584" s="5"/>
      <c r="S584" s="5"/>
      <c r="U584" s="6"/>
      <c r="V584" s="9" t="str">
        <f t="shared" si="78"/>
        <v/>
      </c>
      <c r="W584" s="9" t="str">
        <f t="shared" si="79"/>
        <v/>
      </c>
      <c r="X584" s="10">
        <f>SUM(V$13:V584)/COUNTA(B$13:B584)</f>
        <v>1.2237762237762238E-2</v>
      </c>
      <c r="Z584" s="5"/>
      <c r="AA584" s="5"/>
      <c r="AC584" s="7"/>
      <c r="AE584" s="54" t="e">
        <f t="shared" si="80"/>
        <v>#N/A</v>
      </c>
      <c r="AF584" s="4" t="e">
        <f t="shared" si="76"/>
        <v>#N/A</v>
      </c>
    </row>
    <row r="585" spans="2:32">
      <c r="B585" s="5">
        <f t="shared" si="81"/>
        <v>573</v>
      </c>
      <c r="C585" s="5"/>
      <c r="E585" s="13"/>
      <c r="F585" s="5"/>
      <c r="G585" s="11">
        <f>IF(ISERROR(AVERAGE(F$13:F585)),"n/a",AVERAGE(F$13:F585))</f>
        <v>117</v>
      </c>
      <c r="H585" s="11">
        <f t="shared" si="77"/>
        <v>117</v>
      </c>
      <c r="J585" s="5"/>
      <c r="K585" s="5"/>
      <c r="L585" s="5"/>
      <c r="M585" s="5"/>
      <c r="N585" s="5"/>
      <c r="O585" s="8" t="str">
        <f t="shared" si="82"/>
        <v>n/a</v>
      </c>
      <c r="Q585" s="5"/>
      <c r="R585" s="5"/>
      <c r="S585" s="5"/>
      <c r="U585" s="6"/>
      <c r="V585" s="9" t="str">
        <f t="shared" si="78"/>
        <v/>
      </c>
      <c r="W585" s="9" t="str">
        <f t="shared" si="79"/>
        <v/>
      </c>
      <c r="X585" s="10">
        <f>SUM(V$13:V585)/COUNTA(B$13:B585)</f>
        <v>1.2216404886561954E-2</v>
      </c>
      <c r="Z585" s="5"/>
      <c r="AA585" s="5"/>
      <c r="AC585" s="7"/>
      <c r="AE585" s="54" t="e">
        <f t="shared" si="80"/>
        <v>#N/A</v>
      </c>
      <c r="AF585" s="4" t="e">
        <f t="shared" si="76"/>
        <v>#N/A</v>
      </c>
    </row>
    <row r="586" spans="2:32">
      <c r="B586" s="5">
        <f t="shared" si="81"/>
        <v>574</v>
      </c>
      <c r="C586" s="5"/>
      <c r="E586" s="13"/>
      <c r="F586" s="5"/>
      <c r="G586" s="11">
        <f>IF(ISERROR(AVERAGE(F$13:F586)),"n/a",AVERAGE(F$13:F586))</f>
        <v>117</v>
      </c>
      <c r="H586" s="11">
        <f t="shared" si="77"/>
        <v>117</v>
      </c>
      <c r="J586" s="5"/>
      <c r="K586" s="5"/>
      <c r="L586" s="5"/>
      <c r="M586" s="5"/>
      <c r="N586" s="5"/>
      <c r="O586" s="8" t="str">
        <f t="shared" si="82"/>
        <v>n/a</v>
      </c>
      <c r="Q586" s="5"/>
      <c r="R586" s="5"/>
      <c r="S586" s="5"/>
      <c r="U586" s="6"/>
      <c r="V586" s="9" t="str">
        <f t="shared" si="78"/>
        <v/>
      </c>
      <c r="W586" s="9" t="str">
        <f t="shared" si="79"/>
        <v/>
      </c>
      <c r="X586" s="10">
        <f>SUM(V$13:V586)/COUNTA(B$13:B586)</f>
        <v>1.2195121951219513E-2</v>
      </c>
      <c r="Z586" s="5"/>
      <c r="AA586" s="5"/>
      <c r="AC586" s="7"/>
      <c r="AE586" s="54" t="e">
        <f t="shared" si="80"/>
        <v>#N/A</v>
      </c>
      <c r="AF586" s="4" t="e">
        <f t="shared" si="76"/>
        <v>#N/A</v>
      </c>
    </row>
    <row r="587" spans="2:32">
      <c r="B587" s="5">
        <f t="shared" si="81"/>
        <v>575</v>
      </c>
      <c r="C587" s="5"/>
      <c r="E587" s="13"/>
      <c r="F587" s="5"/>
      <c r="G587" s="11">
        <f>IF(ISERROR(AVERAGE(F$13:F587)),"n/a",AVERAGE(F$13:F587))</f>
        <v>117</v>
      </c>
      <c r="H587" s="11">
        <f t="shared" si="77"/>
        <v>117</v>
      </c>
      <c r="J587" s="5"/>
      <c r="K587" s="5"/>
      <c r="L587" s="5"/>
      <c r="M587" s="5"/>
      <c r="N587" s="5"/>
      <c r="O587" s="8" t="str">
        <f t="shared" si="82"/>
        <v>n/a</v>
      </c>
      <c r="Q587" s="5"/>
      <c r="R587" s="5"/>
      <c r="S587" s="5"/>
      <c r="U587" s="6"/>
      <c r="V587" s="9" t="str">
        <f t="shared" si="78"/>
        <v/>
      </c>
      <c r="W587" s="9" t="str">
        <f t="shared" si="79"/>
        <v/>
      </c>
      <c r="X587" s="10">
        <f>SUM(V$13:V587)/COUNTA(B$13:B587)</f>
        <v>1.2173913043478261E-2</v>
      </c>
      <c r="Z587" s="5"/>
      <c r="AA587" s="5"/>
      <c r="AC587" s="7"/>
      <c r="AE587" s="54" t="e">
        <f t="shared" si="80"/>
        <v>#N/A</v>
      </c>
      <c r="AF587" s="4" t="e">
        <f t="shared" si="76"/>
        <v>#N/A</v>
      </c>
    </row>
    <row r="588" spans="2:32">
      <c r="B588" s="5">
        <f t="shared" si="81"/>
        <v>576</v>
      </c>
      <c r="C588" s="5"/>
      <c r="E588" s="13"/>
      <c r="F588" s="5"/>
      <c r="G588" s="11">
        <f>IF(ISERROR(AVERAGE(F$13:F588)),"n/a",AVERAGE(F$13:F588))</f>
        <v>117</v>
      </c>
      <c r="H588" s="11">
        <f t="shared" si="77"/>
        <v>117</v>
      </c>
      <c r="J588" s="5"/>
      <c r="K588" s="5"/>
      <c r="L588" s="5"/>
      <c r="M588" s="5"/>
      <c r="N588" s="5"/>
      <c r="O588" s="8" t="str">
        <f t="shared" si="82"/>
        <v>n/a</v>
      </c>
      <c r="Q588" s="5"/>
      <c r="R588" s="5"/>
      <c r="S588" s="5"/>
      <c r="U588" s="6"/>
      <c r="V588" s="9" t="str">
        <f t="shared" si="78"/>
        <v/>
      </c>
      <c r="W588" s="9" t="str">
        <f t="shared" si="79"/>
        <v/>
      </c>
      <c r="X588" s="10">
        <f>SUM(V$13:V588)/COUNTA(B$13:B588)</f>
        <v>1.2152777777777778E-2</v>
      </c>
      <c r="Z588" s="5"/>
      <c r="AA588" s="5"/>
      <c r="AC588" s="7"/>
      <c r="AE588" s="54" t="e">
        <f t="shared" si="80"/>
        <v>#N/A</v>
      </c>
      <c r="AF588" s="4" t="e">
        <f t="shared" si="76"/>
        <v>#N/A</v>
      </c>
    </row>
    <row r="589" spans="2:32">
      <c r="B589" s="5">
        <f t="shared" si="81"/>
        <v>577</v>
      </c>
      <c r="C589" s="5"/>
      <c r="E589" s="13"/>
      <c r="F589" s="5"/>
      <c r="G589" s="11">
        <f>IF(ISERROR(AVERAGE(F$13:F589)),"n/a",AVERAGE(F$13:F589))</f>
        <v>117</v>
      </c>
      <c r="H589" s="11">
        <f t="shared" si="77"/>
        <v>117</v>
      </c>
      <c r="J589" s="5"/>
      <c r="K589" s="5"/>
      <c r="L589" s="5"/>
      <c r="M589" s="5"/>
      <c r="N589" s="5"/>
      <c r="O589" s="8" t="str">
        <f t="shared" si="82"/>
        <v>n/a</v>
      </c>
      <c r="Q589" s="5"/>
      <c r="R589" s="5"/>
      <c r="S589" s="5"/>
      <c r="U589" s="6"/>
      <c r="V589" s="9" t="str">
        <f t="shared" si="78"/>
        <v/>
      </c>
      <c r="W589" s="9" t="str">
        <f t="shared" si="79"/>
        <v/>
      </c>
      <c r="X589" s="10">
        <f>SUM(V$13:V589)/COUNTA(B$13:B589)</f>
        <v>1.2131715771230503E-2</v>
      </c>
      <c r="Z589" s="5"/>
      <c r="AA589" s="5"/>
      <c r="AC589" s="7"/>
      <c r="AE589" s="54" t="e">
        <f t="shared" si="80"/>
        <v>#N/A</v>
      </c>
      <c r="AF589" s="4" t="e">
        <f t="shared" ref="AF589:AF652" si="83">HLOOKUP(C589,$K$6:$O$7,2,FALSE)</f>
        <v>#N/A</v>
      </c>
    </row>
    <row r="590" spans="2:32">
      <c r="B590" s="5">
        <f t="shared" si="81"/>
        <v>578</v>
      </c>
      <c r="C590" s="5"/>
      <c r="E590" s="13"/>
      <c r="F590" s="5"/>
      <c r="G590" s="11">
        <f>IF(ISERROR(AVERAGE(F$13:F590)),"n/a",AVERAGE(F$13:F590))</f>
        <v>117</v>
      </c>
      <c r="H590" s="11">
        <f t="shared" ref="H590:H653" si="84">G590</f>
        <v>117</v>
      </c>
      <c r="J590" s="5"/>
      <c r="K590" s="5"/>
      <c r="L590" s="5"/>
      <c r="M590" s="5"/>
      <c r="N590" s="5"/>
      <c r="O590" s="8" t="str">
        <f t="shared" si="82"/>
        <v>n/a</v>
      </c>
      <c r="Q590" s="5"/>
      <c r="R590" s="5"/>
      <c r="S590" s="5"/>
      <c r="U590" s="6"/>
      <c r="V590" s="9" t="str">
        <f t="shared" ref="V590:V653" si="85">IF(O590="n/a","",IF(O590=U590,1,""))</f>
        <v/>
      </c>
      <c r="W590" s="9" t="str">
        <f t="shared" ref="W590:W653" si="86">IF(O590="n/a","",IF(O590&lt;&gt;U590,1,""))</f>
        <v/>
      </c>
      <c r="X590" s="10">
        <f>SUM(V$13:V590)/COUNTA(B$13:B590)</f>
        <v>1.2110726643598616E-2</v>
      </c>
      <c r="Z590" s="5"/>
      <c r="AA590" s="5"/>
      <c r="AC590" s="7"/>
      <c r="AE590" s="54" t="e">
        <f t="shared" ref="AE590:AE653" si="87">+IF($F$4=0,0,IF(W590=1,1,IF(OR(R590*$F$8=1,S590*$F$9=1,F590&gt;=AF590),2,0)))</f>
        <v>#N/A</v>
      </c>
      <c r="AF590" s="4" t="e">
        <f t="shared" si="83"/>
        <v>#N/A</v>
      </c>
    </row>
    <row r="591" spans="2:32">
      <c r="B591" s="5">
        <f t="shared" si="81"/>
        <v>579</v>
      </c>
      <c r="C591" s="5"/>
      <c r="E591" s="13"/>
      <c r="F591" s="5"/>
      <c r="G591" s="11">
        <f>IF(ISERROR(AVERAGE(F$13:F591)),"n/a",AVERAGE(F$13:F591))</f>
        <v>117</v>
      </c>
      <c r="H591" s="11">
        <f t="shared" si="84"/>
        <v>117</v>
      </c>
      <c r="J591" s="5"/>
      <c r="K591" s="5"/>
      <c r="L591" s="5"/>
      <c r="M591" s="5"/>
      <c r="N591" s="5"/>
      <c r="O591" s="8" t="str">
        <f t="shared" si="82"/>
        <v>n/a</v>
      </c>
      <c r="Q591" s="5"/>
      <c r="R591" s="5"/>
      <c r="S591" s="5"/>
      <c r="U591" s="6"/>
      <c r="V591" s="9" t="str">
        <f t="shared" si="85"/>
        <v/>
      </c>
      <c r="W591" s="9" t="str">
        <f t="shared" si="86"/>
        <v/>
      </c>
      <c r="X591" s="10">
        <f>SUM(V$13:V591)/COUNTA(B$13:B591)</f>
        <v>1.2089810017271158E-2</v>
      </c>
      <c r="Z591" s="5"/>
      <c r="AA591" s="5"/>
      <c r="AC591" s="7"/>
      <c r="AE591" s="54" t="e">
        <f t="shared" si="87"/>
        <v>#N/A</v>
      </c>
      <c r="AF591" s="4" t="e">
        <f t="shared" si="83"/>
        <v>#N/A</v>
      </c>
    </row>
    <row r="592" spans="2:32">
      <c r="B592" s="5">
        <f t="shared" si="81"/>
        <v>580</v>
      </c>
      <c r="C592" s="5"/>
      <c r="E592" s="13"/>
      <c r="F592" s="5"/>
      <c r="G592" s="11">
        <f>IF(ISERROR(AVERAGE(F$13:F592)),"n/a",AVERAGE(F$13:F592))</f>
        <v>117</v>
      </c>
      <c r="H592" s="11">
        <f t="shared" si="84"/>
        <v>117</v>
      </c>
      <c r="J592" s="5"/>
      <c r="K592" s="5"/>
      <c r="L592" s="5"/>
      <c r="M592" s="5"/>
      <c r="N592" s="5"/>
      <c r="O592" s="8" t="str">
        <f t="shared" si="82"/>
        <v>n/a</v>
      </c>
      <c r="Q592" s="5"/>
      <c r="R592" s="5"/>
      <c r="S592" s="5"/>
      <c r="U592" s="6"/>
      <c r="V592" s="9" t="str">
        <f t="shared" si="85"/>
        <v/>
      </c>
      <c r="W592" s="9" t="str">
        <f t="shared" si="86"/>
        <v/>
      </c>
      <c r="X592" s="10">
        <f>SUM(V$13:V592)/COUNTA(B$13:B592)</f>
        <v>1.2068965517241379E-2</v>
      </c>
      <c r="Z592" s="5"/>
      <c r="AA592" s="5"/>
      <c r="AC592" s="7"/>
      <c r="AE592" s="54" t="e">
        <f t="shared" si="87"/>
        <v>#N/A</v>
      </c>
      <c r="AF592" s="4" t="e">
        <f t="shared" si="83"/>
        <v>#N/A</v>
      </c>
    </row>
    <row r="593" spans="2:32">
      <c r="B593" s="5">
        <f t="shared" si="81"/>
        <v>581</v>
      </c>
      <c r="C593" s="5"/>
      <c r="E593" s="13"/>
      <c r="F593" s="5"/>
      <c r="G593" s="11">
        <f>IF(ISERROR(AVERAGE(F$13:F593)),"n/a",AVERAGE(F$13:F593))</f>
        <v>117</v>
      </c>
      <c r="H593" s="11">
        <f t="shared" si="84"/>
        <v>117</v>
      </c>
      <c r="J593" s="5"/>
      <c r="K593" s="5"/>
      <c r="L593" s="5"/>
      <c r="M593" s="5"/>
      <c r="N593" s="5"/>
      <c r="O593" s="8" t="str">
        <f t="shared" si="82"/>
        <v>n/a</v>
      </c>
      <c r="Q593" s="5"/>
      <c r="R593" s="5"/>
      <c r="S593" s="5"/>
      <c r="U593" s="6"/>
      <c r="V593" s="9" t="str">
        <f t="shared" si="85"/>
        <v/>
      </c>
      <c r="W593" s="9" t="str">
        <f t="shared" si="86"/>
        <v/>
      </c>
      <c r="X593" s="10">
        <f>SUM(V$13:V593)/COUNTA(B$13:B593)</f>
        <v>1.2048192771084338E-2</v>
      </c>
      <c r="Z593" s="5"/>
      <c r="AA593" s="5"/>
      <c r="AC593" s="7"/>
      <c r="AE593" s="54" t="e">
        <f t="shared" si="87"/>
        <v>#N/A</v>
      </c>
      <c r="AF593" s="4" t="e">
        <f t="shared" si="83"/>
        <v>#N/A</v>
      </c>
    </row>
    <row r="594" spans="2:32">
      <c r="B594" s="5">
        <f t="shared" si="81"/>
        <v>582</v>
      </c>
      <c r="C594" s="5"/>
      <c r="E594" s="13"/>
      <c r="F594" s="5"/>
      <c r="G594" s="11">
        <f>IF(ISERROR(AVERAGE(F$13:F594)),"n/a",AVERAGE(F$13:F594))</f>
        <v>117</v>
      </c>
      <c r="H594" s="11">
        <f t="shared" si="84"/>
        <v>117</v>
      </c>
      <c r="J594" s="5"/>
      <c r="K594" s="5"/>
      <c r="L594" s="5"/>
      <c r="M594" s="5"/>
      <c r="N594" s="5"/>
      <c r="O594" s="8" t="str">
        <f t="shared" si="82"/>
        <v>n/a</v>
      </c>
      <c r="Q594" s="5"/>
      <c r="R594" s="5"/>
      <c r="S594" s="5"/>
      <c r="U594" s="6"/>
      <c r="V594" s="9" t="str">
        <f t="shared" si="85"/>
        <v/>
      </c>
      <c r="W594" s="9" t="str">
        <f t="shared" si="86"/>
        <v/>
      </c>
      <c r="X594" s="10">
        <f>SUM(V$13:V594)/COUNTA(B$13:B594)</f>
        <v>1.2027491408934709E-2</v>
      </c>
      <c r="Z594" s="5"/>
      <c r="AA594" s="5"/>
      <c r="AC594" s="7"/>
      <c r="AE594" s="54" t="e">
        <f t="shared" si="87"/>
        <v>#N/A</v>
      </c>
      <c r="AF594" s="4" t="e">
        <f t="shared" si="83"/>
        <v>#N/A</v>
      </c>
    </row>
    <row r="595" spans="2:32">
      <c r="B595" s="5">
        <f t="shared" ref="B595:B658" si="88">+B594+1</f>
        <v>583</v>
      </c>
      <c r="C595" s="5"/>
      <c r="E595" s="13"/>
      <c r="F595" s="5"/>
      <c r="G595" s="11">
        <f>IF(ISERROR(AVERAGE(F$13:F595)),"n/a",AVERAGE(F$13:F595))</f>
        <v>117</v>
      </c>
      <c r="H595" s="11">
        <f t="shared" si="84"/>
        <v>117</v>
      </c>
      <c r="J595" s="5"/>
      <c r="K595" s="5"/>
      <c r="L595" s="5"/>
      <c r="M595" s="5"/>
      <c r="N595" s="5"/>
      <c r="O595" s="8" t="str">
        <f t="shared" si="82"/>
        <v>n/a</v>
      </c>
      <c r="Q595" s="5"/>
      <c r="R595" s="5"/>
      <c r="S595" s="5"/>
      <c r="U595" s="6"/>
      <c r="V595" s="9" t="str">
        <f t="shared" si="85"/>
        <v/>
      </c>
      <c r="W595" s="9" t="str">
        <f t="shared" si="86"/>
        <v/>
      </c>
      <c r="X595" s="10">
        <f>SUM(V$13:V595)/COUNTA(B$13:B595)</f>
        <v>1.2006861063464836E-2</v>
      </c>
      <c r="Z595" s="5"/>
      <c r="AA595" s="5"/>
      <c r="AC595" s="7"/>
      <c r="AE595" s="54" t="e">
        <f t="shared" si="87"/>
        <v>#N/A</v>
      </c>
      <c r="AF595" s="4" t="e">
        <f t="shared" si="83"/>
        <v>#N/A</v>
      </c>
    </row>
    <row r="596" spans="2:32">
      <c r="B596" s="5">
        <f t="shared" si="88"/>
        <v>584</v>
      </c>
      <c r="C596" s="5"/>
      <c r="E596" s="13"/>
      <c r="F596" s="5"/>
      <c r="G596" s="11">
        <f>IF(ISERROR(AVERAGE(F$13:F596)),"n/a",AVERAGE(F$13:F596))</f>
        <v>117</v>
      </c>
      <c r="H596" s="11">
        <f t="shared" si="84"/>
        <v>117</v>
      </c>
      <c r="J596" s="5"/>
      <c r="K596" s="5"/>
      <c r="L596" s="5"/>
      <c r="M596" s="5"/>
      <c r="N596" s="5"/>
      <c r="O596" s="8" t="str">
        <f t="shared" si="82"/>
        <v>n/a</v>
      </c>
      <c r="Q596" s="5"/>
      <c r="R596" s="5"/>
      <c r="S596" s="5"/>
      <c r="U596" s="6"/>
      <c r="V596" s="9" t="str">
        <f t="shared" si="85"/>
        <v/>
      </c>
      <c r="W596" s="9" t="str">
        <f t="shared" si="86"/>
        <v/>
      </c>
      <c r="X596" s="10">
        <f>SUM(V$13:V596)/COUNTA(B$13:B596)</f>
        <v>1.1986301369863013E-2</v>
      </c>
      <c r="Z596" s="5"/>
      <c r="AA596" s="5"/>
      <c r="AC596" s="7"/>
      <c r="AE596" s="54" t="e">
        <f t="shared" si="87"/>
        <v>#N/A</v>
      </c>
      <c r="AF596" s="4" t="e">
        <f t="shared" si="83"/>
        <v>#N/A</v>
      </c>
    </row>
    <row r="597" spans="2:32">
      <c r="B597" s="5">
        <f t="shared" si="88"/>
        <v>585</v>
      </c>
      <c r="C597" s="5"/>
      <c r="E597" s="13"/>
      <c r="F597" s="5"/>
      <c r="G597" s="11">
        <f>IF(ISERROR(AVERAGE(F$13:F597)),"n/a",AVERAGE(F$13:F597))</f>
        <v>117</v>
      </c>
      <c r="H597" s="11">
        <f t="shared" si="84"/>
        <v>117</v>
      </c>
      <c r="J597" s="5"/>
      <c r="K597" s="5"/>
      <c r="L597" s="5"/>
      <c r="M597" s="5"/>
      <c r="N597" s="5"/>
      <c r="O597" s="8" t="str">
        <f t="shared" si="82"/>
        <v>n/a</v>
      </c>
      <c r="Q597" s="5"/>
      <c r="R597" s="5"/>
      <c r="S597" s="5"/>
      <c r="U597" s="6"/>
      <c r="V597" s="9" t="str">
        <f t="shared" si="85"/>
        <v/>
      </c>
      <c r="W597" s="9" t="str">
        <f t="shared" si="86"/>
        <v/>
      </c>
      <c r="X597" s="10">
        <f>SUM(V$13:V597)/COUNTA(B$13:B597)</f>
        <v>1.1965811965811967E-2</v>
      </c>
      <c r="Z597" s="5"/>
      <c r="AA597" s="5"/>
      <c r="AC597" s="7"/>
      <c r="AE597" s="54" t="e">
        <f t="shared" si="87"/>
        <v>#N/A</v>
      </c>
      <c r="AF597" s="4" t="e">
        <f t="shared" si="83"/>
        <v>#N/A</v>
      </c>
    </row>
    <row r="598" spans="2:32">
      <c r="B598" s="5">
        <f t="shared" si="88"/>
        <v>586</v>
      </c>
      <c r="C598" s="5"/>
      <c r="E598" s="13"/>
      <c r="F598" s="5"/>
      <c r="G598" s="11">
        <f>IF(ISERROR(AVERAGE(F$13:F598)),"n/a",AVERAGE(F$13:F598))</f>
        <v>117</v>
      </c>
      <c r="H598" s="11">
        <f t="shared" si="84"/>
        <v>117</v>
      </c>
      <c r="J598" s="5"/>
      <c r="K598" s="5"/>
      <c r="L598" s="5"/>
      <c r="M598" s="5"/>
      <c r="N598" s="5"/>
      <c r="O598" s="8" t="str">
        <f t="shared" si="82"/>
        <v>n/a</v>
      </c>
      <c r="Q598" s="5"/>
      <c r="R598" s="5"/>
      <c r="S598" s="5"/>
      <c r="U598" s="6"/>
      <c r="V598" s="9" t="str">
        <f t="shared" si="85"/>
        <v/>
      </c>
      <c r="W598" s="9" t="str">
        <f t="shared" si="86"/>
        <v/>
      </c>
      <c r="X598" s="10">
        <f>SUM(V$13:V598)/COUNTA(B$13:B598)</f>
        <v>1.1945392491467578E-2</v>
      </c>
      <c r="Z598" s="5"/>
      <c r="AA598" s="5"/>
      <c r="AC598" s="7"/>
      <c r="AE598" s="54" t="e">
        <f t="shared" si="87"/>
        <v>#N/A</v>
      </c>
      <c r="AF598" s="4" t="e">
        <f t="shared" si="83"/>
        <v>#N/A</v>
      </c>
    </row>
    <row r="599" spans="2:32">
      <c r="B599" s="5">
        <f t="shared" si="88"/>
        <v>587</v>
      </c>
      <c r="C599" s="5"/>
      <c r="E599" s="13"/>
      <c r="F599" s="5"/>
      <c r="G599" s="11">
        <f>IF(ISERROR(AVERAGE(F$13:F599)),"n/a",AVERAGE(F$13:F599))</f>
        <v>117</v>
      </c>
      <c r="H599" s="11">
        <f t="shared" si="84"/>
        <v>117</v>
      </c>
      <c r="J599" s="5"/>
      <c r="K599" s="5"/>
      <c r="L599" s="5"/>
      <c r="M599" s="5"/>
      <c r="N599" s="5"/>
      <c r="O599" s="8" t="str">
        <f t="shared" si="82"/>
        <v>n/a</v>
      </c>
      <c r="Q599" s="5"/>
      <c r="R599" s="5"/>
      <c r="S599" s="5"/>
      <c r="U599" s="6"/>
      <c r="V599" s="9" t="str">
        <f t="shared" si="85"/>
        <v/>
      </c>
      <c r="W599" s="9" t="str">
        <f t="shared" si="86"/>
        <v/>
      </c>
      <c r="X599" s="10">
        <f>SUM(V$13:V599)/COUNTA(B$13:B599)</f>
        <v>1.192504258943782E-2</v>
      </c>
      <c r="Z599" s="5"/>
      <c r="AA599" s="5"/>
      <c r="AC599" s="7"/>
      <c r="AE599" s="54" t="e">
        <f t="shared" si="87"/>
        <v>#N/A</v>
      </c>
      <c r="AF599" s="4" t="e">
        <f t="shared" si="83"/>
        <v>#N/A</v>
      </c>
    </row>
    <row r="600" spans="2:32">
      <c r="B600" s="5">
        <f t="shared" si="88"/>
        <v>588</v>
      </c>
      <c r="C600" s="5"/>
      <c r="E600" s="13"/>
      <c r="F600" s="5"/>
      <c r="G600" s="11">
        <f>IF(ISERROR(AVERAGE(F$13:F600)),"n/a",AVERAGE(F$13:F600))</f>
        <v>117</v>
      </c>
      <c r="H600" s="11">
        <f t="shared" si="84"/>
        <v>117</v>
      </c>
      <c r="J600" s="5"/>
      <c r="K600" s="5"/>
      <c r="L600" s="5"/>
      <c r="M600" s="5"/>
      <c r="N600" s="5"/>
      <c r="O600" s="8" t="str">
        <f t="shared" si="82"/>
        <v>n/a</v>
      </c>
      <c r="Q600" s="5"/>
      <c r="R600" s="5"/>
      <c r="S600" s="5"/>
      <c r="U600" s="6"/>
      <c r="V600" s="9" t="str">
        <f t="shared" si="85"/>
        <v/>
      </c>
      <c r="W600" s="9" t="str">
        <f t="shared" si="86"/>
        <v/>
      </c>
      <c r="X600" s="10">
        <f>SUM(V$13:V600)/COUNTA(B$13:B600)</f>
        <v>1.1904761904761904E-2</v>
      </c>
      <c r="Z600" s="5"/>
      <c r="AA600" s="5"/>
      <c r="AC600" s="7"/>
      <c r="AE600" s="54" t="e">
        <f t="shared" si="87"/>
        <v>#N/A</v>
      </c>
      <c r="AF600" s="4" t="e">
        <f t="shared" si="83"/>
        <v>#N/A</v>
      </c>
    </row>
    <row r="601" spans="2:32">
      <c r="B601" s="5">
        <f t="shared" si="88"/>
        <v>589</v>
      </c>
      <c r="C601" s="5"/>
      <c r="E601" s="13"/>
      <c r="F601" s="5"/>
      <c r="G601" s="11">
        <f>IF(ISERROR(AVERAGE(F$13:F601)),"n/a",AVERAGE(F$13:F601))</f>
        <v>117</v>
      </c>
      <c r="H601" s="11">
        <f t="shared" si="84"/>
        <v>117</v>
      </c>
      <c r="J601" s="5"/>
      <c r="K601" s="5"/>
      <c r="L601" s="5"/>
      <c r="M601" s="5"/>
      <c r="N601" s="5"/>
      <c r="O601" s="8" t="str">
        <f t="shared" si="82"/>
        <v>n/a</v>
      </c>
      <c r="Q601" s="5"/>
      <c r="R601" s="5"/>
      <c r="S601" s="5"/>
      <c r="U601" s="6"/>
      <c r="V601" s="9" t="str">
        <f t="shared" si="85"/>
        <v/>
      </c>
      <c r="W601" s="9" t="str">
        <f t="shared" si="86"/>
        <v/>
      </c>
      <c r="X601" s="10">
        <f>SUM(V$13:V601)/COUNTA(B$13:B601)</f>
        <v>1.1884550084889643E-2</v>
      </c>
      <c r="Z601" s="5"/>
      <c r="AA601" s="5"/>
      <c r="AC601" s="7"/>
      <c r="AE601" s="54" t="e">
        <f t="shared" si="87"/>
        <v>#N/A</v>
      </c>
      <c r="AF601" s="4" t="e">
        <f t="shared" si="83"/>
        <v>#N/A</v>
      </c>
    </row>
    <row r="602" spans="2:32">
      <c r="B602" s="5">
        <f t="shared" si="88"/>
        <v>590</v>
      </c>
      <c r="C602" s="5"/>
      <c r="E602" s="13"/>
      <c r="F602" s="5"/>
      <c r="G602" s="11">
        <f>IF(ISERROR(AVERAGE(F$13:F602)),"n/a",AVERAGE(F$13:F602))</f>
        <v>117</v>
      </c>
      <c r="H602" s="11">
        <f t="shared" si="84"/>
        <v>117</v>
      </c>
      <c r="J602" s="5"/>
      <c r="K602" s="5"/>
      <c r="L602" s="5"/>
      <c r="M602" s="5"/>
      <c r="N602" s="5"/>
      <c r="O602" s="8" t="str">
        <f t="shared" si="82"/>
        <v>n/a</v>
      </c>
      <c r="Q602" s="5"/>
      <c r="R602" s="5"/>
      <c r="S602" s="5"/>
      <c r="U602" s="6"/>
      <c r="V602" s="9" t="str">
        <f t="shared" si="85"/>
        <v/>
      </c>
      <c r="W602" s="9" t="str">
        <f t="shared" si="86"/>
        <v/>
      </c>
      <c r="X602" s="10">
        <f>SUM(V$13:V602)/COUNTA(B$13:B602)</f>
        <v>1.1864406779661017E-2</v>
      </c>
      <c r="Z602" s="5"/>
      <c r="AA602" s="5"/>
      <c r="AC602" s="7"/>
      <c r="AE602" s="54" t="e">
        <f t="shared" si="87"/>
        <v>#N/A</v>
      </c>
      <c r="AF602" s="4" t="e">
        <f t="shared" si="83"/>
        <v>#N/A</v>
      </c>
    </row>
    <row r="603" spans="2:32">
      <c r="B603" s="5">
        <f t="shared" si="88"/>
        <v>591</v>
      </c>
      <c r="C603" s="5"/>
      <c r="E603" s="13"/>
      <c r="F603" s="5"/>
      <c r="G603" s="11">
        <f>IF(ISERROR(AVERAGE(F$13:F603)),"n/a",AVERAGE(F$13:F603))</f>
        <v>117</v>
      </c>
      <c r="H603" s="11">
        <f t="shared" si="84"/>
        <v>117</v>
      </c>
      <c r="J603" s="5"/>
      <c r="K603" s="5"/>
      <c r="L603" s="5"/>
      <c r="M603" s="5"/>
      <c r="N603" s="5"/>
      <c r="O603" s="8" t="str">
        <f t="shared" si="82"/>
        <v>n/a</v>
      </c>
      <c r="Q603" s="5"/>
      <c r="R603" s="5"/>
      <c r="S603" s="5"/>
      <c r="U603" s="6"/>
      <c r="V603" s="9" t="str">
        <f t="shared" si="85"/>
        <v/>
      </c>
      <c r="W603" s="9" t="str">
        <f t="shared" si="86"/>
        <v/>
      </c>
      <c r="X603" s="10">
        <f>SUM(V$13:V603)/COUNTA(B$13:B603)</f>
        <v>1.1844331641285956E-2</v>
      </c>
      <c r="Z603" s="5"/>
      <c r="AA603" s="5"/>
      <c r="AC603" s="7"/>
      <c r="AE603" s="54" t="e">
        <f t="shared" si="87"/>
        <v>#N/A</v>
      </c>
      <c r="AF603" s="4" t="e">
        <f t="shared" si="83"/>
        <v>#N/A</v>
      </c>
    </row>
    <row r="604" spans="2:32">
      <c r="B604" s="5">
        <f t="shared" si="88"/>
        <v>592</v>
      </c>
      <c r="C604" s="5"/>
      <c r="E604" s="13"/>
      <c r="F604" s="5"/>
      <c r="G604" s="11">
        <f>IF(ISERROR(AVERAGE(F$13:F604)),"n/a",AVERAGE(F$13:F604))</f>
        <v>117</v>
      </c>
      <c r="H604" s="11">
        <f t="shared" si="84"/>
        <v>117</v>
      </c>
      <c r="J604" s="5"/>
      <c r="K604" s="5"/>
      <c r="L604" s="5"/>
      <c r="M604" s="5"/>
      <c r="N604" s="5"/>
      <c r="O604" s="8" t="str">
        <f t="shared" si="82"/>
        <v>n/a</v>
      </c>
      <c r="Q604" s="5"/>
      <c r="R604" s="5"/>
      <c r="S604" s="5"/>
      <c r="U604" s="6"/>
      <c r="V604" s="9" t="str">
        <f t="shared" si="85"/>
        <v/>
      </c>
      <c r="W604" s="9" t="str">
        <f t="shared" si="86"/>
        <v/>
      </c>
      <c r="X604" s="10">
        <f>SUM(V$13:V604)/COUNTA(B$13:B604)</f>
        <v>1.1824324324324325E-2</v>
      </c>
      <c r="Z604" s="5"/>
      <c r="AA604" s="5"/>
      <c r="AC604" s="7"/>
      <c r="AE604" s="54" t="e">
        <f t="shared" si="87"/>
        <v>#N/A</v>
      </c>
      <c r="AF604" s="4" t="e">
        <f t="shared" si="83"/>
        <v>#N/A</v>
      </c>
    </row>
    <row r="605" spans="2:32">
      <c r="B605" s="5">
        <f t="shared" si="88"/>
        <v>593</v>
      </c>
      <c r="C605" s="5"/>
      <c r="E605" s="13"/>
      <c r="F605" s="5"/>
      <c r="G605" s="11">
        <f>IF(ISERROR(AVERAGE(F$13:F605)),"n/a",AVERAGE(F$13:F605))</f>
        <v>117</v>
      </c>
      <c r="H605" s="11">
        <f t="shared" si="84"/>
        <v>117</v>
      </c>
      <c r="J605" s="5"/>
      <c r="K605" s="5"/>
      <c r="L605" s="5"/>
      <c r="M605" s="5"/>
      <c r="N605" s="5"/>
      <c r="O605" s="8" t="str">
        <f t="shared" si="82"/>
        <v>n/a</v>
      </c>
      <c r="Q605" s="5"/>
      <c r="R605" s="5"/>
      <c r="S605" s="5"/>
      <c r="U605" s="6"/>
      <c r="V605" s="9" t="str">
        <f t="shared" si="85"/>
        <v/>
      </c>
      <c r="W605" s="9" t="str">
        <f t="shared" si="86"/>
        <v/>
      </c>
      <c r="X605" s="10">
        <f>SUM(V$13:V605)/COUNTA(B$13:B605)</f>
        <v>1.1804384485666104E-2</v>
      </c>
      <c r="Z605" s="5"/>
      <c r="AA605" s="5"/>
      <c r="AC605" s="7"/>
      <c r="AE605" s="54" t="e">
        <f t="shared" si="87"/>
        <v>#N/A</v>
      </c>
      <c r="AF605" s="4" t="e">
        <f t="shared" si="83"/>
        <v>#N/A</v>
      </c>
    </row>
    <row r="606" spans="2:32">
      <c r="B606" s="5">
        <f t="shared" si="88"/>
        <v>594</v>
      </c>
      <c r="C606" s="5"/>
      <c r="E606" s="13"/>
      <c r="F606" s="5"/>
      <c r="G606" s="11">
        <f>IF(ISERROR(AVERAGE(F$13:F606)),"n/a",AVERAGE(F$13:F606))</f>
        <v>117</v>
      </c>
      <c r="H606" s="11">
        <f t="shared" si="84"/>
        <v>117</v>
      </c>
      <c r="J606" s="5"/>
      <c r="K606" s="5"/>
      <c r="L606" s="5"/>
      <c r="M606" s="5"/>
      <c r="N606" s="5"/>
      <c r="O606" s="8" t="str">
        <f t="shared" si="82"/>
        <v>n/a</v>
      </c>
      <c r="Q606" s="5"/>
      <c r="R606" s="5"/>
      <c r="S606" s="5"/>
      <c r="U606" s="6"/>
      <c r="V606" s="9" t="str">
        <f t="shared" si="85"/>
        <v/>
      </c>
      <c r="W606" s="9" t="str">
        <f t="shared" si="86"/>
        <v/>
      </c>
      <c r="X606" s="10">
        <f>SUM(V$13:V606)/COUNTA(B$13:B606)</f>
        <v>1.1784511784511785E-2</v>
      </c>
      <c r="Z606" s="5"/>
      <c r="AA606" s="5"/>
      <c r="AC606" s="7"/>
      <c r="AE606" s="54" t="e">
        <f t="shared" si="87"/>
        <v>#N/A</v>
      </c>
      <c r="AF606" s="4" t="e">
        <f t="shared" si="83"/>
        <v>#N/A</v>
      </c>
    </row>
    <row r="607" spans="2:32">
      <c r="B607" s="5">
        <f t="shared" si="88"/>
        <v>595</v>
      </c>
      <c r="C607" s="5"/>
      <c r="E607" s="13"/>
      <c r="F607" s="5"/>
      <c r="G607" s="11">
        <f>IF(ISERROR(AVERAGE(F$13:F607)),"n/a",AVERAGE(F$13:F607))</f>
        <v>117</v>
      </c>
      <c r="H607" s="11">
        <f t="shared" si="84"/>
        <v>117</v>
      </c>
      <c r="J607" s="5"/>
      <c r="K607" s="5"/>
      <c r="L607" s="5"/>
      <c r="M607" s="5"/>
      <c r="N607" s="5"/>
      <c r="O607" s="8" t="str">
        <f t="shared" si="82"/>
        <v>n/a</v>
      </c>
      <c r="Q607" s="5"/>
      <c r="R607" s="5"/>
      <c r="S607" s="5"/>
      <c r="U607" s="6"/>
      <c r="V607" s="9" t="str">
        <f t="shared" si="85"/>
        <v/>
      </c>
      <c r="W607" s="9" t="str">
        <f t="shared" si="86"/>
        <v/>
      </c>
      <c r="X607" s="10">
        <f>SUM(V$13:V607)/COUNTA(B$13:B607)</f>
        <v>1.1764705882352941E-2</v>
      </c>
      <c r="Z607" s="5"/>
      <c r="AA607" s="5"/>
      <c r="AC607" s="7"/>
      <c r="AE607" s="54" t="e">
        <f t="shared" si="87"/>
        <v>#N/A</v>
      </c>
      <c r="AF607" s="4" t="e">
        <f t="shared" si="83"/>
        <v>#N/A</v>
      </c>
    </row>
    <row r="608" spans="2:32">
      <c r="B608" s="5">
        <f t="shared" si="88"/>
        <v>596</v>
      </c>
      <c r="C608" s="5"/>
      <c r="E608" s="13"/>
      <c r="F608" s="5"/>
      <c r="G608" s="11">
        <f>IF(ISERROR(AVERAGE(F$13:F608)),"n/a",AVERAGE(F$13:F608))</f>
        <v>117</v>
      </c>
      <c r="H608" s="11">
        <f t="shared" si="84"/>
        <v>117</v>
      </c>
      <c r="J608" s="5"/>
      <c r="K608" s="5"/>
      <c r="L608" s="5"/>
      <c r="M608" s="5"/>
      <c r="N608" s="5"/>
      <c r="O608" s="8" t="str">
        <f t="shared" si="82"/>
        <v>n/a</v>
      </c>
      <c r="Q608" s="5"/>
      <c r="R608" s="5"/>
      <c r="S608" s="5"/>
      <c r="U608" s="6"/>
      <c r="V608" s="9" t="str">
        <f t="shared" si="85"/>
        <v/>
      </c>
      <c r="W608" s="9" t="str">
        <f t="shared" si="86"/>
        <v/>
      </c>
      <c r="X608" s="10">
        <f>SUM(V$13:V608)/COUNTA(B$13:B608)</f>
        <v>1.1744966442953021E-2</v>
      </c>
      <c r="Z608" s="5"/>
      <c r="AA608" s="5"/>
      <c r="AC608" s="7"/>
      <c r="AE608" s="54" t="e">
        <f t="shared" si="87"/>
        <v>#N/A</v>
      </c>
      <c r="AF608" s="4" t="e">
        <f t="shared" si="83"/>
        <v>#N/A</v>
      </c>
    </row>
    <row r="609" spans="2:32">
      <c r="B609" s="5">
        <f t="shared" si="88"/>
        <v>597</v>
      </c>
      <c r="C609" s="5"/>
      <c r="E609" s="13"/>
      <c r="F609" s="5"/>
      <c r="G609" s="11">
        <f>IF(ISERROR(AVERAGE(F$13:F609)),"n/a",AVERAGE(F$13:F609))</f>
        <v>117</v>
      </c>
      <c r="H609" s="11">
        <f t="shared" si="84"/>
        <v>117</v>
      </c>
      <c r="J609" s="5"/>
      <c r="K609" s="5"/>
      <c r="L609" s="5"/>
      <c r="M609" s="5"/>
      <c r="N609" s="5"/>
      <c r="O609" s="8" t="str">
        <f t="shared" si="82"/>
        <v>n/a</v>
      </c>
      <c r="Q609" s="5"/>
      <c r="R609" s="5"/>
      <c r="S609" s="5"/>
      <c r="U609" s="6"/>
      <c r="V609" s="9" t="str">
        <f t="shared" si="85"/>
        <v/>
      </c>
      <c r="W609" s="9" t="str">
        <f t="shared" si="86"/>
        <v/>
      </c>
      <c r="X609" s="10">
        <f>SUM(V$13:V609)/COUNTA(B$13:B609)</f>
        <v>1.1725293132328308E-2</v>
      </c>
      <c r="Z609" s="5"/>
      <c r="AA609" s="5"/>
      <c r="AC609" s="7"/>
      <c r="AE609" s="54" t="e">
        <f t="shared" si="87"/>
        <v>#N/A</v>
      </c>
      <c r="AF609" s="4" t="e">
        <f t="shared" si="83"/>
        <v>#N/A</v>
      </c>
    </row>
    <row r="610" spans="2:32">
      <c r="B610" s="5">
        <f t="shared" si="88"/>
        <v>598</v>
      </c>
      <c r="C610" s="5"/>
      <c r="E610" s="13"/>
      <c r="F610" s="5"/>
      <c r="G610" s="11">
        <f>IF(ISERROR(AVERAGE(F$13:F610)),"n/a",AVERAGE(F$13:F610))</f>
        <v>117</v>
      </c>
      <c r="H610" s="11">
        <f t="shared" si="84"/>
        <v>117</v>
      </c>
      <c r="J610" s="5"/>
      <c r="K610" s="5"/>
      <c r="L610" s="5"/>
      <c r="M610" s="5"/>
      <c r="N610" s="5"/>
      <c r="O610" s="8" t="str">
        <f t="shared" si="82"/>
        <v>n/a</v>
      </c>
      <c r="Q610" s="5"/>
      <c r="R610" s="5"/>
      <c r="S610" s="5"/>
      <c r="U610" s="6"/>
      <c r="V610" s="9" t="str">
        <f t="shared" si="85"/>
        <v/>
      </c>
      <c r="W610" s="9" t="str">
        <f t="shared" si="86"/>
        <v/>
      </c>
      <c r="X610" s="10">
        <f>SUM(V$13:V610)/COUNTA(B$13:B610)</f>
        <v>1.1705685618729096E-2</v>
      </c>
      <c r="Z610" s="5"/>
      <c r="AA610" s="5"/>
      <c r="AC610" s="7"/>
      <c r="AE610" s="54" t="e">
        <f t="shared" si="87"/>
        <v>#N/A</v>
      </c>
      <c r="AF610" s="4" t="e">
        <f t="shared" si="83"/>
        <v>#N/A</v>
      </c>
    </row>
    <row r="611" spans="2:32">
      <c r="B611" s="5">
        <f t="shared" si="88"/>
        <v>599</v>
      </c>
      <c r="C611" s="5"/>
      <c r="E611" s="13"/>
      <c r="F611" s="5"/>
      <c r="G611" s="11">
        <f>IF(ISERROR(AVERAGE(F$13:F611)),"n/a",AVERAGE(F$13:F611))</f>
        <v>117</v>
      </c>
      <c r="H611" s="11">
        <f t="shared" si="84"/>
        <v>117</v>
      </c>
      <c r="J611" s="5"/>
      <c r="K611" s="5"/>
      <c r="L611" s="5"/>
      <c r="M611" s="5"/>
      <c r="N611" s="5"/>
      <c r="O611" s="8" t="str">
        <f t="shared" si="82"/>
        <v>n/a</v>
      </c>
      <c r="Q611" s="5"/>
      <c r="R611" s="5"/>
      <c r="S611" s="5"/>
      <c r="U611" s="6"/>
      <c r="V611" s="9" t="str">
        <f t="shared" si="85"/>
        <v/>
      </c>
      <c r="W611" s="9" t="str">
        <f t="shared" si="86"/>
        <v/>
      </c>
      <c r="X611" s="10">
        <f>SUM(V$13:V611)/COUNTA(B$13:B611)</f>
        <v>1.1686143572621035E-2</v>
      </c>
      <c r="Z611" s="5"/>
      <c r="AA611" s="5"/>
      <c r="AC611" s="7"/>
      <c r="AE611" s="54" t="e">
        <f t="shared" si="87"/>
        <v>#N/A</v>
      </c>
      <c r="AF611" s="4" t="e">
        <f t="shared" si="83"/>
        <v>#N/A</v>
      </c>
    </row>
    <row r="612" spans="2:32">
      <c r="B612" s="5">
        <f t="shared" si="88"/>
        <v>600</v>
      </c>
      <c r="C612" s="5"/>
      <c r="E612" s="13"/>
      <c r="F612" s="5"/>
      <c r="G612" s="11">
        <f>IF(ISERROR(AVERAGE(F$13:F612)),"n/a",AVERAGE(F$13:F612))</f>
        <v>117</v>
      </c>
      <c r="H612" s="11">
        <f t="shared" si="84"/>
        <v>117</v>
      </c>
      <c r="J612" s="5"/>
      <c r="K612" s="5"/>
      <c r="L612" s="5"/>
      <c r="M612" s="5"/>
      <c r="N612" s="5"/>
      <c r="O612" s="8" t="str">
        <f t="shared" si="82"/>
        <v>n/a</v>
      </c>
      <c r="Q612" s="5"/>
      <c r="R612" s="5"/>
      <c r="S612" s="5"/>
      <c r="U612" s="6"/>
      <c r="V612" s="9" t="str">
        <f t="shared" si="85"/>
        <v/>
      </c>
      <c r="W612" s="9" t="str">
        <f t="shared" si="86"/>
        <v/>
      </c>
      <c r="X612" s="10">
        <f>SUM(V$13:V612)/COUNTA(B$13:B612)</f>
        <v>1.1666666666666667E-2</v>
      </c>
      <c r="Z612" s="5"/>
      <c r="AA612" s="5"/>
      <c r="AC612" s="7"/>
      <c r="AE612" s="54" t="e">
        <f t="shared" si="87"/>
        <v>#N/A</v>
      </c>
      <c r="AF612" s="4" t="e">
        <f t="shared" si="83"/>
        <v>#N/A</v>
      </c>
    </row>
    <row r="613" spans="2:32">
      <c r="B613" s="5">
        <f t="shared" si="88"/>
        <v>601</v>
      </c>
      <c r="C613" s="5"/>
      <c r="E613" s="13"/>
      <c r="F613" s="5"/>
      <c r="G613" s="11">
        <f>IF(ISERROR(AVERAGE(F$13:F613)),"n/a",AVERAGE(F$13:F613))</f>
        <v>117</v>
      </c>
      <c r="H613" s="11">
        <f t="shared" si="84"/>
        <v>117</v>
      </c>
      <c r="J613" s="5"/>
      <c r="K613" s="5"/>
      <c r="L613" s="5"/>
      <c r="M613" s="5"/>
      <c r="N613" s="5"/>
      <c r="O613" s="8" t="str">
        <f t="shared" si="82"/>
        <v>n/a</v>
      </c>
      <c r="Q613" s="5"/>
      <c r="R613" s="5"/>
      <c r="S613" s="5"/>
      <c r="U613" s="6"/>
      <c r="V613" s="9" t="str">
        <f t="shared" si="85"/>
        <v/>
      </c>
      <c r="W613" s="9" t="str">
        <f t="shared" si="86"/>
        <v/>
      </c>
      <c r="X613" s="10">
        <f>SUM(V$13:V613)/COUNTA(B$13:B613)</f>
        <v>1.1647254575707155E-2</v>
      </c>
      <c r="Z613" s="5"/>
      <c r="AA613" s="5"/>
      <c r="AC613" s="7"/>
      <c r="AE613" s="54" t="e">
        <f t="shared" si="87"/>
        <v>#N/A</v>
      </c>
      <c r="AF613" s="4" t="e">
        <f t="shared" si="83"/>
        <v>#N/A</v>
      </c>
    </row>
    <row r="614" spans="2:32">
      <c r="B614" s="5">
        <f t="shared" si="88"/>
        <v>602</v>
      </c>
      <c r="C614" s="5"/>
      <c r="E614" s="13"/>
      <c r="F614" s="5"/>
      <c r="G614" s="11">
        <f>IF(ISERROR(AVERAGE(F$13:F614)),"n/a",AVERAGE(F$13:F614))</f>
        <v>117</v>
      </c>
      <c r="H614" s="11">
        <f t="shared" si="84"/>
        <v>117</v>
      </c>
      <c r="J614" s="5"/>
      <c r="K614" s="5"/>
      <c r="L614" s="5"/>
      <c r="M614" s="5"/>
      <c r="N614" s="5"/>
      <c r="O614" s="8" t="str">
        <f t="shared" si="82"/>
        <v>n/a</v>
      </c>
      <c r="Q614" s="5"/>
      <c r="R614" s="5"/>
      <c r="S614" s="5"/>
      <c r="U614" s="6"/>
      <c r="V614" s="9" t="str">
        <f t="shared" si="85"/>
        <v/>
      </c>
      <c r="W614" s="9" t="str">
        <f t="shared" si="86"/>
        <v/>
      </c>
      <c r="X614" s="10">
        <f>SUM(V$13:V614)/COUNTA(B$13:B614)</f>
        <v>1.1627906976744186E-2</v>
      </c>
      <c r="Z614" s="5"/>
      <c r="AA614" s="5"/>
      <c r="AC614" s="7"/>
      <c r="AE614" s="54" t="e">
        <f t="shared" si="87"/>
        <v>#N/A</v>
      </c>
      <c r="AF614" s="4" t="e">
        <f t="shared" si="83"/>
        <v>#N/A</v>
      </c>
    </row>
    <row r="615" spans="2:32">
      <c r="B615" s="5">
        <f t="shared" si="88"/>
        <v>603</v>
      </c>
      <c r="C615" s="5"/>
      <c r="E615" s="13"/>
      <c r="F615" s="5"/>
      <c r="G615" s="11">
        <f>IF(ISERROR(AVERAGE(F$13:F615)),"n/a",AVERAGE(F$13:F615))</f>
        <v>117</v>
      </c>
      <c r="H615" s="11">
        <f t="shared" si="84"/>
        <v>117</v>
      </c>
      <c r="J615" s="5"/>
      <c r="K615" s="5"/>
      <c r="L615" s="5"/>
      <c r="M615" s="5"/>
      <c r="N615" s="5"/>
      <c r="O615" s="8" t="str">
        <f t="shared" si="82"/>
        <v>n/a</v>
      </c>
      <c r="Q615" s="5"/>
      <c r="R615" s="5"/>
      <c r="S615" s="5"/>
      <c r="U615" s="6"/>
      <c r="V615" s="9" t="str">
        <f t="shared" si="85"/>
        <v/>
      </c>
      <c r="W615" s="9" t="str">
        <f t="shared" si="86"/>
        <v/>
      </c>
      <c r="X615" s="10">
        <f>SUM(V$13:V615)/COUNTA(B$13:B615)</f>
        <v>1.1608623548922056E-2</v>
      </c>
      <c r="Z615" s="5"/>
      <c r="AA615" s="5"/>
      <c r="AC615" s="7"/>
      <c r="AE615" s="54" t="e">
        <f t="shared" si="87"/>
        <v>#N/A</v>
      </c>
      <c r="AF615" s="4" t="e">
        <f t="shared" si="83"/>
        <v>#N/A</v>
      </c>
    </row>
    <row r="616" spans="2:32">
      <c r="B616" s="5">
        <f t="shared" si="88"/>
        <v>604</v>
      </c>
      <c r="C616" s="5"/>
      <c r="E616" s="13"/>
      <c r="F616" s="5"/>
      <c r="G616" s="11">
        <f>IF(ISERROR(AVERAGE(F$13:F616)),"n/a",AVERAGE(F$13:F616))</f>
        <v>117</v>
      </c>
      <c r="H616" s="11">
        <f t="shared" si="84"/>
        <v>117</v>
      </c>
      <c r="J616" s="5"/>
      <c r="K616" s="5"/>
      <c r="L616" s="5"/>
      <c r="M616" s="5"/>
      <c r="N616" s="5"/>
      <c r="O616" s="8" t="str">
        <f t="shared" si="82"/>
        <v>n/a</v>
      </c>
      <c r="Q616" s="5"/>
      <c r="R616" s="5"/>
      <c r="S616" s="5"/>
      <c r="U616" s="6"/>
      <c r="V616" s="9" t="str">
        <f t="shared" si="85"/>
        <v/>
      </c>
      <c r="W616" s="9" t="str">
        <f t="shared" si="86"/>
        <v/>
      </c>
      <c r="X616" s="10">
        <f>SUM(V$13:V616)/COUNTA(B$13:B616)</f>
        <v>1.1589403973509934E-2</v>
      </c>
      <c r="Z616" s="5"/>
      <c r="AA616" s="5"/>
      <c r="AC616" s="7"/>
      <c r="AE616" s="54" t="e">
        <f t="shared" si="87"/>
        <v>#N/A</v>
      </c>
      <c r="AF616" s="4" t="e">
        <f t="shared" si="83"/>
        <v>#N/A</v>
      </c>
    </row>
    <row r="617" spans="2:32">
      <c r="B617" s="5">
        <f t="shared" si="88"/>
        <v>605</v>
      </c>
      <c r="C617" s="5"/>
      <c r="E617" s="13"/>
      <c r="F617" s="5"/>
      <c r="G617" s="11">
        <f>IF(ISERROR(AVERAGE(F$13:F617)),"n/a",AVERAGE(F$13:F617))</f>
        <v>117</v>
      </c>
      <c r="H617" s="11">
        <f t="shared" si="84"/>
        <v>117</v>
      </c>
      <c r="J617" s="5"/>
      <c r="K617" s="5"/>
      <c r="L617" s="5"/>
      <c r="M617" s="5"/>
      <c r="N617" s="5"/>
      <c r="O617" s="8" t="str">
        <f t="shared" si="82"/>
        <v>n/a</v>
      </c>
      <c r="Q617" s="5"/>
      <c r="R617" s="5"/>
      <c r="S617" s="5"/>
      <c r="U617" s="6"/>
      <c r="V617" s="9" t="str">
        <f t="shared" si="85"/>
        <v/>
      </c>
      <c r="W617" s="9" t="str">
        <f t="shared" si="86"/>
        <v/>
      </c>
      <c r="X617" s="10">
        <f>SUM(V$13:V617)/COUNTA(B$13:B617)</f>
        <v>1.1570247933884297E-2</v>
      </c>
      <c r="Z617" s="5"/>
      <c r="AA617" s="5"/>
      <c r="AC617" s="7"/>
      <c r="AE617" s="54" t="e">
        <f t="shared" si="87"/>
        <v>#N/A</v>
      </c>
      <c r="AF617" s="4" t="e">
        <f t="shared" si="83"/>
        <v>#N/A</v>
      </c>
    </row>
    <row r="618" spans="2:32">
      <c r="B618" s="5">
        <f t="shared" si="88"/>
        <v>606</v>
      </c>
      <c r="C618" s="5"/>
      <c r="E618" s="13"/>
      <c r="F618" s="5"/>
      <c r="G618" s="11">
        <f>IF(ISERROR(AVERAGE(F$13:F618)),"n/a",AVERAGE(F$13:F618))</f>
        <v>117</v>
      </c>
      <c r="H618" s="11">
        <f t="shared" si="84"/>
        <v>117</v>
      </c>
      <c r="J618" s="5"/>
      <c r="K618" s="5"/>
      <c r="L618" s="5"/>
      <c r="M618" s="5"/>
      <c r="N618" s="5"/>
      <c r="O618" s="8" t="str">
        <f t="shared" si="82"/>
        <v>n/a</v>
      </c>
      <c r="Q618" s="5"/>
      <c r="R618" s="5"/>
      <c r="S618" s="5"/>
      <c r="U618" s="6"/>
      <c r="V618" s="9" t="str">
        <f t="shared" si="85"/>
        <v/>
      </c>
      <c r="W618" s="9" t="str">
        <f t="shared" si="86"/>
        <v/>
      </c>
      <c r="X618" s="10">
        <f>SUM(V$13:V618)/COUNTA(B$13:B618)</f>
        <v>1.155115511551155E-2</v>
      </c>
      <c r="Z618" s="5"/>
      <c r="AA618" s="5"/>
      <c r="AC618" s="7"/>
      <c r="AE618" s="54" t="e">
        <f t="shared" si="87"/>
        <v>#N/A</v>
      </c>
      <c r="AF618" s="4" t="e">
        <f t="shared" si="83"/>
        <v>#N/A</v>
      </c>
    </row>
    <row r="619" spans="2:32">
      <c r="B619" s="5">
        <f t="shared" si="88"/>
        <v>607</v>
      </c>
      <c r="C619" s="5"/>
      <c r="E619" s="13"/>
      <c r="F619" s="5"/>
      <c r="G619" s="11">
        <f>IF(ISERROR(AVERAGE(F$13:F619)),"n/a",AVERAGE(F$13:F619))</f>
        <v>117</v>
      </c>
      <c r="H619" s="11">
        <f t="shared" si="84"/>
        <v>117</v>
      </c>
      <c r="J619" s="5"/>
      <c r="K619" s="5"/>
      <c r="L619" s="5"/>
      <c r="M619" s="5"/>
      <c r="N619" s="5"/>
      <c r="O619" s="8" t="str">
        <f t="shared" si="82"/>
        <v>n/a</v>
      </c>
      <c r="Q619" s="5"/>
      <c r="R619" s="5"/>
      <c r="S619" s="5"/>
      <c r="U619" s="6"/>
      <c r="V619" s="9" t="str">
        <f t="shared" si="85"/>
        <v/>
      </c>
      <c r="W619" s="9" t="str">
        <f t="shared" si="86"/>
        <v/>
      </c>
      <c r="X619" s="10">
        <f>SUM(V$13:V619)/COUNTA(B$13:B619)</f>
        <v>1.1532125205930808E-2</v>
      </c>
      <c r="Z619" s="5"/>
      <c r="AA619" s="5"/>
      <c r="AC619" s="7"/>
      <c r="AE619" s="54" t="e">
        <f t="shared" si="87"/>
        <v>#N/A</v>
      </c>
      <c r="AF619" s="4" t="e">
        <f t="shared" si="83"/>
        <v>#N/A</v>
      </c>
    </row>
    <row r="620" spans="2:32">
      <c r="B620" s="5">
        <f t="shared" si="88"/>
        <v>608</v>
      </c>
      <c r="C620" s="5"/>
      <c r="E620" s="13"/>
      <c r="F620" s="5"/>
      <c r="G620" s="11">
        <f>IF(ISERROR(AVERAGE(F$13:F620)),"n/a",AVERAGE(F$13:F620))</f>
        <v>117</v>
      </c>
      <c r="H620" s="11">
        <f t="shared" si="84"/>
        <v>117</v>
      </c>
      <c r="J620" s="5"/>
      <c r="K620" s="5"/>
      <c r="L620" s="5"/>
      <c r="M620" s="5"/>
      <c r="N620" s="5"/>
      <c r="O620" s="8" t="str">
        <f t="shared" si="82"/>
        <v>n/a</v>
      </c>
      <c r="Q620" s="5"/>
      <c r="R620" s="5"/>
      <c r="S620" s="5"/>
      <c r="U620" s="6"/>
      <c r="V620" s="9" t="str">
        <f t="shared" si="85"/>
        <v/>
      </c>
      <c r="W620" s="9" t="str">
        <f t="shared" si="86"/>
        <v/>
      </c>
      <c r="X620" s="10">
        <f>SUM(V$13:V620)/COUNTA(B$13:B620)</f>
        <v>1.1513157894736841E-2</v>
      </c>
      <c r="Z620" s="5"/>
      <c r="AA620" s="5"/>
      <c r="AC620" s="7"/>
      <c r="AE620" s="54" t="e">
        <f t="shared" si="87"/>
        <v>#N/A</v>
      </c>
      <c r="AF620" s="4" t="e">
        <f t="shared" si="83"/>
        <v>#N/A</v>
      </c>
    </row>
    <row r="621" spans="2:32">
      <c r="B621" s="5">
        <f t="shared" si="88"/>
        <v>609</v>
      </c>
      <c r="C621" s="5"/>
      <c r="E621" s="13"/>
      <c r="F621" s="5"/>
      <c r="G621" s="11">
        <f>IF(ISERROR(AVERAGE(F$13:F621)),"n/a",AVERAGE(F$13:F621))</f>
        <v>117</v>
      </c>
      <c r="H621" s="11">
        <f t="shared" si="84"/>
        <v>117</v>
      </c>
      <c r="J621" s="5"/>
      <c r="K621" s="5"/>
      <c r="L621" s="5"/>
      <c r="M621" s="5"/>
      <c r="N621" s="5"/>
      <c r="O621" s="8" t="str">
        <f t="shared" si="82"/>
        <v>n/a</v>
      </c>
      <c r="Q621" s="5"/>
      <c r="R621" s="5"/>
      <c r="S621" s="5"/>
      <c r="U621" s="6"/>
      <c r="V621" s="9" t="str">
        <f t="shared" si="85"/>
        <v/>
      </c>
      <c r="W621" s="9" t="str">
        <f t="shared" si="86"/>
        <v/>
      </c>
      <c r="X621" s="10">
        <f>SUM(V$13:V621)/COUNTA(B$13:B621)</f>
        <v>1.1494252873563218E-2</v>
      </c>
      <c r="Z621" s="5"/>
      <c r="AA621" s="5"/>
      <c r="AC621" s="7"/>
      <c r="AE621" s="54" t="e">
        <f t="shared" si="87"/>
        <v>#N/A</v>
      </c>
      <c r="AF621" s="4" t="e">
        <f t="shared" si="83"/>
        <v>#N/A</v>
      </c>
    </row>
    <row r="622" spans="2:32">
      <c r="B622" s="5">
        <f t="shared" si="88"/>
        <v>610</v>
      </c>
      <c r="C622" s="5"/>
      <c r="E622" s="13"/>
      <c r="F622" s="5"/>
      <c r="G622" s="11">
        <f>IF(ISERROR(AVERAGE(F$13:F622)),"n/a",AVERAGE(F$13:F622))</f>
        <v>117</v>
      </c>
      <c r="H622" s="11">
        <f t="shared" si="84"/>
        <v>117</v>
      </c>
      <c r="J622" s="5"/>
      <c r="K622" s="5"/>
      <c r="L622" s="5"/>
      <c r="M622" s="5"/>
      <c r="N622" s="5"/>
      <c r="O622" s="8" t="str">
        <f t="shared" si="82"/>
        <v>n/a</v>
      </c>
      <c r="Q622" s="5"/>
      <c r="R622" s="5"/>
      <c r="S622" s="5"/>
      <c r="U622" s="6"/>
      <c r="V622" s="9" t="str">
        <f t="shared" si="85"/>
        <v/>
      </c>
      <c r="W622" s="9" t="str">
        <f t="shared" si="86"/>
        <v/>
      </c>
      <c r="X622" s="10">
        <f>SUM(V$13:V622)/COUNTA(B$13:B622)</f>
        <v>1.1475409836065573E-2</v>
      </c>
      <c r="Z622" s="5"/>
      <c r="AA622" s="5"/>
      <c r="AC622" s="7"/>
      <c r="AE622" s="54" t="e">
        <f t="shared" si="87"/>
        <v>#N/A</v>
      </c>
      <c r="AF622" s="4" t="e">
        <f t="shared" si="83"/>
        <v>#N/A</v>
      </c>
    </row>
    <row r="623" spans="2:32">
      <c r="B623" s="5">
        <f t="shared" si="88"/>
        <v>611</v>
      </c>
      <c r="C623" s="5"/>
      <c r="E623" s="13"/>
      <c r="F623" s="5"/>
      <c r="G623" s="11">
        <f>IF(ISERROR(AVERAGE(F$13:F623)),"n/a",AVERAGE(F$13:F623))</f>
        <v>117</v>
      </c>
      <c r="H623" s="11">
        <f t="shared" si="84"/>
        <v>117</v>
      </c>
      <c r="J623" s="5"/>
      <c r="K623" s="5"/>
      <c r="L623" s="5"/>
      <c r="M623" s="5"/>
      <c r="N623" s="5"/>
      <c r="O623" s="8" t="str">
        <f t="shared" si="82"/>
        <v>n/a</v>
      </c>
      <c r="Q623" s="5"/>
      <c r="R623" s="5"/>
      <c r="S623" s="5"/>
      <c r="U623" s="6"/>
      <c r="V623" s="9" t="str">
        <f t="shared" si="85"/>
        <v/>
      </c>
      <c r="W623" s="9" t="str">
        <f t="shared" si="86"/>
        <v/>
      </c>
      <c r="X623" s="10">
        <f>SUM(V$13:V623)/COUNTA(B$13:B623)</f>
        <v>1.1456628477905073E-2</v>
      </c>
      <c r="Z623" s="5"/>
      <c r="AA623" s="5"/>
      <c r="AC623" s="7"/>
      <c r="AE623" s="54" t="e">
        <f t="shared" si="87"/>
        <v>#N/A</v>
      </c>
      <c r="AF623" s="4" t="e">
        <f t="shared" si="83"/>
        <v>#N/A</v>
      </c>
    </row>
    <row r="624" spans="2:32">
      <c r="B624" s="5">
        <f t="shared" si="88"/>
        <v>612</v>
      </c>
      <c r="C624" s="5"/>
      <c r="E624" s="13"/>
      <c r="F624" s="5"/>
      <c r="G624" s="11">
        <f>IF(ISERROR(AVERAGE(F$13:F624)),"n/a",AVERAGE(F$13:F624))</f>
        <v>117</v>
      </c>
      <c r="H624" s="11">
        <f t="shared" si="84"/>
        <v>117</v>
      </c>
      <c r="J624" s="5"/>
      <c r="K624" s="5"/>
      <c r="L624" s="5"/>
      <c r="M624" s="5"/>
      <c r="N624" s="5"/>
      <c r="O624" s="8" t="str">
        <f t="shared" si="82"/>
        <v>n/a</v>
      </c>
      <c r="Q624" s="5"/>
      <c r="R624" s="5"/>
      <c r="S624" s="5"/>
      <c r="U624" s="6"/>
      <c r="V624" s="9" t="str">
        <f t="shared" si="85"/>
        <v/>
      </c>
      <c r="W624" s="9" t="str">
        <f t="shared" si="86"/>
        <v/>
      </c>
      <c r="X624" s="10">
        <f>SUM(V$13:V624)/COUNTA(B$13:B624)</f>
        <v>1.1437908496732025E-2</v>
      </c>
      <c r="Z624" s="5"/>
      <c r="AA624" s="5"/>
      <c r="AC624" s="7"/>
      <c r="AE624" s="54" t="e">
        <f t="shared" si="87"/>
        <v>#N/A</v>
      </c>
      <c r="AF624" s="4" t="e">
        <f t="shared" si="83"/>
        <v>#N/A</v>
      </c>
    </row>
    <row r="625" spans="2:32">
      <c r="B625" s="5">
        <f t="shared" si="88"/>
        <v>613</v>
      </c>
      <c r="C625" s="5"/>
      <c r="E625" s="13"/>
      <c r="F625" s="5"/>
      <c r="G625" s="11">
        <f>IF(ISERROR(AVERAGE(F$13:F625)),"n/a",AVERAGE(F$13:F625))</f>
        <v>117</v>
      </c>
      <c r="H625" s="11">
        <f t="shared" si="84"/>
        <v>117</v>
      </c>
      <c r="J625" s="5"/>
      <c r="K625" s="5"/>
      <c r="L625" s="5"/>
      <c r="M625" s="5"/>
      <c r="N625" s="5"/>
      <c r="O625" s="8" t="str">
        <f t="shared" ref="O625:O688" si="89">IF(J625=1,"A",IF(K625=1,"B",IF(L625=1,"C",IF(M625=1,"D",IF(N625=1,"E","n/a")))))</f>
        <v>n/a</v>
      </c>
      <c r="Q625" s="5"/>
      <c r="R625" s="5"/>
      <c r="S625" s="5"/>
      <c r="U625" s="6"/>
      <c r="V625" s="9" t="str">
        <f t="shared" si="85"/>
        <v/>
      </c>
      <c r="W625" s="9" t="str">
        <f t="shared" si="86"/>
        <v/>
      </c>
      <c r="X625" s="10">
        <f>SUM(V$13:V625)/COUNTA(B$13:B625)</f>
        <v>1.1419249592169658E-2</v>
      </c>
      <c r="Z625" s="5"/>
      <c r="AA625" s="5"/>
      <c r="AC625" s="7"/>
      <c r="AE625" s="54" t="e">
        <f t="shared" si="87"/>
        <v>#N/A</v>
      </c>
      <c r="AF625" s="4" t="e">
        <f t="shared" si="83"/>
        <v>#N/A</v>
      </c>
    </row>
    <row r="626" spans="2:32">
      <c r="B626" s="5">
        <f t="shared" si="88"/>
        <v>614</v>
      </c>
      <c r="C626" s="5"/>
      <c r="E626" s="13"/>
      <c r="F626" s="5"/>
      <c r="G626" s="11">
        <f>IF(ISERROR(AVERAGE(F$13:F626)),"n/a",AVERAGE(F$13:F626))</f>
        <v>117</v>
      </c>
      <c r="H626" s="11">
        <f t="shared" si="84"/>
        <v>117</v>
      </c>
      <c r="J626" s="5"/>
      <c r="K626" s="5"/>
      <c r="L626" s="5"/>
      <c r="M626" s="5"/>
      <c r="N626" s="5"/>
      <c r="O626" s="8" t="str">
        <f t="shared" si="89"/>
        <v>n/a</v>
      </c>
      <c r="Q626" s="5"/>
      <c r="R626" s="5"/>
      <c r="S626" s="5"/>
      <c r="U626" s="6"/>
      <c r="V626" s="9" t="str">
        <f t="shared" si="85"/>
        <v/>
      </c>
      <c r="W626" s="9" t="str">
        <f t="shared" si="86"/>
        <v/>
      </c>
      <c r="X626" s="10">
        <f>SUM(V$13:V626)/COUNTA(B$13:B626)</f>
        <v>1.1400651465798045E-2</v>
      </c>
      <c r="Z626" s="5"/>
      <c r="AA626" s="5"/>
      <c r="AC626" s="7"/>
      <c r="AE626" s="54" t="e">
        <f t="shared" si="87"/>
        <v>#N/A</v>
      </c>
      <c r="AF626" s="4" t="e">
        <f t="shared" si="83"/>
        <v>#N/A</v>
      </c>
    </row>
    <row r="627" spans="2:32">
      <c r="B627" s="5">
        <f t="shared" si="88"/>
        <v>615</v>
      </c>
      <c r="C627" s="5"/>
      <c r="E627" s="13"/>
      <c r="F627" s="5"/>
      <c r="G627" s="11">
        <f>IF(ISERROR(AVERAGE(F$13:F627)),"n/a",AVERAGE(F$13:F627))</f>
        <v>117</v>
      </c>
      <c r="H627" s="11">
        <f t="shared" si="84"/>
        <v>117</v>
      </c>
      <c r="J627" s="5"/>
      <c r="K627" s="5"/>
      <c r="L627" s="5"/>
      <c r="M627" s="5"/>
      <c r="N627" s="5"/>
      <c r="O627" s="8" t="str">
        <f t="shared" si="89"/>
        <v>n/a</v>
      </c>
      <c r="Q627" s="5"/>
      <c r="R627" s="5"/>
      <c r="S627" s="5"/>
      <c r="U627" s="6"/>
      <c r="V627" s="9" t="str">
        <f t="shared" si="85"/>
        <v/>
      </c>
      <c r="W627" s="9" t="str">
        <f t="shared" si="86"/>
        <v/>
      </c>
      <c r="X627" s="10">
        <f>SUM(V$13:V627)/COUNTA(B$13:B627)</f>
        <v>1.1382113821138212E-2</v>
      </c>
      <c r="Z627" s="5"/>
      <c r="AA627" s="5"/>
      <c r="AC627" s="7"/>
      <c r="AE627" s="54" t="e">
        <f t="shared" si="87"/>
        <v>#N/A</v>
      </c>
      <c r="AF627" s="4" t="e">
        <f t="shared" si="83"/>
        <v>#N/A</v>
      </c>
    </row>
    <row r="628" spans="2:32">
      <c r="B628" s="5">
        <f t="shared" si="88"/>
        <v>616</v>
      </c>
      <c r="C628" s="5"/>
      <c r="E628" s="13"/>
      <c r="F628" s="5"/>
      <c r="G628" s="11">
        <f>IF(ISERROR(AVERAGE(F$13:F628)),"n/a",AVERAGE(F$13:F628))</f>
        <v>117</v>
      </c>
      <c r="H628" s="11">
        <f t="shared" si="84"/>
        <v>117</v>
      </c>
      <c r="J628" s="5"/>
      <c r="K628" s="5"/>
      <c r="L628" s="5"/>
      <c r="M628" s="5"/>
      <c r="N628" s="5"/>
      <c r="O628" s="8" t="str">
        <f t="shared" si="89"/>
        <v>n/a</v>
      </c>
      <c r="Q628" s="5"/>
      <c r="R628" s="5"/>
      <c r="S628" s="5"/>
      <c r="U628" s="6"/>
      <c r="V628" s="9" t="str">
        <f t="shared" si="85"/>
        <v/>
      </c>
      <c r="W628" s="9" t="str">
        <f t="shared" si="86"/>
        <v/>
      </c>
      <c r="X628" s="10">
        <f>SUM(V$13:V628)/COUNTA(B$13:B628)</f>
        <v>1.1363636363636364E-2</v>
      </c>
      <c r="Z628" s="5"/>
      <c r="AA628" s="5"/>
      <c r="AC628" s="7"/>
      <c r="AE628" s="54" t="e">
        <f t="shared" si="87"/>
        <v>#N/A</v>
      </c>
      <c r="AF628" s="4" t="e">
        <f t="shared" si="83"/>
        <v>#N/A</v>
      </c>
    </row>
    <row r="629" spans="2:32">
      <c r="B629" s="5">
        <f t="shared" si="88"/>
        <v>617</v>
      </c>
      <c r="C629" s="5"/>
      <c r="E629" s="13"/>
      <c r="F629" s="5"/>
      <c r="G629" s="11">
        <f>IF(ISERROR(AVERAGE(F$13:F629)),"n/a",AVERAGE(F$13:F629))</f>
        <v>117</v>
      </c>
      <c r="H629" s="11">
        <f t="shared" si="84"/>
        <v>117</v>
      </c>
      <c r="J629" s="5"/>
      <c r="K629" s="5"/>
      <c r="L629" s="5"/>
      <c r="M629" s="5"/>
      <c r="N629" s="5"/>
      <c r="O629" s="8" t="str">
        <f t="shared" si="89"/>
        <v>n/a</v>
      </c>
      <c r="Q629" s="5"/>
      <c r="R629" s="5"/>
      <c r="S629" s="5"/>
      <c r="U629" s="6"/>
      <c r="V629" s="9" t="str">
        <f t="shared" si="85"/>
        <v/>
      </c>
      <c r="W629" s="9" t="str">
        <f t="shared" si="86"/>
        <v/>
      </c>
      <c r="X629" s="10">
        <f>SUM(V$13:V629)/COUNTA(B$13:B629)</f>
        <v>1.1345218800648298E-2</v>
      </c>
      <c r="Z629" s="5"/>
      <c r="AA629" s="5"/>
      <c r="AC629" s="7"/>
      <c r="AE629" s="54" t="e">
        <f t="shared" si="87"/>
        <v>#N/A</v>
      </c>
      <c r="AF629" s="4" t="e">
        <f t="shared" si="83"/>
        <v>#N/A</v>
      </c>
    </row>
    <row r="630" spans="2:32">
      <c r="B630" s="5">
        <f t="shared" si="88"/>
        <v>618</v>
      </c>
      <c r="C630" s="5"/>
      <c r="E630" s="13"/>
      <c r="F630" s="5"/>
      <c r="G630" s="11">
        <f>IF(ISERROR(AVERAGE(F$13:F630)),"n/a",AVERAGE(F$13:F630))</f>
        <v>117</v>
      </c>
      <c r="H630" s="11">
        <f t="shared" si="84"/>
        <v>117</v>
      </c>
      <c r="J630" s="5"/>
      <c r="K630" s="5"/>
      <c r="L630" s="5"/>
      <c r="M630" s="5"/>
      <c r="N630" s="5"/>
      <c r="O630" s="8" t="str">
        <f t="shared" si="89"/>
        <v>n/a</v>
      </c>
      <c r="Q630" s="5"/>
      <c r="R630" s="5"/>
      <c r="S630" s="5"/>
      <c r="U630" s="6"/>
      <c r="V630" s="9" t="str">
        <f t="shared" si="85"/>
        <v/>
      </c>
      <c r="W630" s="9" t="str">
        <f t="shared" si="86"/>
        <v/>
      </c>
      <c r="X630" s="10">
        <f>SUM(V$13:V630)/COUNTA(B$13:B630)</f>
        <v>1.1326860841423949E-2</v>
      </c>
      <c r="Z630" s="5"/>
      <c r="AA630" s="5"/>
      <c r="AC630" s="7"/>
      <c r="AE630" s="54" t="e">
        <f t="shared" si="87"/>
        <v>#N/A</v>
      </c>
      <c r="AF630" s="4" t="e">
        <f t="shared" si="83"/>
        <v>#N/A</v>
      </c>
    </row>
    <row r="631" spans="2:32">
      <c r="B631" s="5">
        <f t="shared" si="88"/>
        <v>619</v>
      </c>
      <c r="C631" s="5"/>
      <c r="E631" s="13"/>
      <c r="F631" s="5"/>
      <c r="G631" s="11">
        <f>IF(ISERROR(AVERAGE(F$13:F631)),"n/a",AVERAGE(F$13:F631))</f>
        <v>117</v>
      </c>
      <c r="H631" s="11">
        <f t="shared" si="84"/>
        <v>117</v>
      </c>
      <c r="J631" s="5"/>
      <c r="K631" s="5"/>
      <c r="L631" s="5"/>
      <c r="M631" s="5"/>
      <c r="N631" s="5"/>
      <c r="O631" s="8" t="str">
        <f t="shared" si="89"/>
        <v>n/a</v>
      </c>
      <c r="Q631" s="5"/>
      <c r="R631" s="5"/>
      <c r="S631" s="5"/>
      <c r="U631" s="6"/>
      <c r="V631" s="9" t="str">
        <f t="shared" si="85"/>
        <v/>
      </c>
      <c r="W631" s="9" t="str">
        <f t="shared" si="86"/>
        <v/>
      </c>
      <c r="X631" s="10">
        <f>SUM(V$13:V631)/COUNTA(B$13:B631)</f>
        <v>1.1308562197092083E-2</v>
      </c>
      <c r="Z631" s="5"/>
      <c r="AA631" s="5"/>
      <c r="AC631" s="7"/>
      <c r="AE631" s="54" t="e">
        <f t="shared" si="87"/>
        <v>#N/A</v>
      </c>
      <c r="AF631" s="4" t="e">
        <f t="shared" si="83"/>
        <v>#N/A</v>
      </c>
    </row>
    <row r="632" spans="2:32">
      <c r="B632" s="5">
        <f t="shared" si="88"/>
        <v>620</v>
      </c>
      <c r="C632" s="5"/>
      <c r="E632" s="13"/>
      <c r="F632" s="5"/>
      <c r="G632" s="11">
        <f>IF(ISERROR(AVERAGE(F$13:F632)),"n/a",AVERAGE(F$13:F632))</f>
        <v>117</v>
      </c>
      <c r="H632" s="11">
        <f t="shared" si="84"/>
        <v>117</v>
      </c>
      <c r="J632" s="5"/>
      <c r="K632" s="5"/>
      <c r="L632" s="5"/>
      <c r="M632" s="5"/>
      <c r="N632" s="5"/>
      <c r="O632" s="8" t="str">
        <f t="shared" si="89"/>
        <v>n/a</v>
      </c>
      <c r="Q632" s="5"/>
      <c r="R632" s="5"/>
      <c r="S632" s="5"/>
      <c r="U632" s="6"/>
      <c r="V632" s="9" t="str">
        <f t="shared" si="85"/>
        <v/>
      </c>
      <c r="W632" s="9" t="str">
        <f t="shared" si="86"/>
        <v/>
      </c>
      <c r="X632" s="10">
        <f>SUM(V$13:V632)/COUNTA(B$13:B632)</f>
        <v>1.1290322580645161E-2</v>
      </c>
      <c r="Z632" s="5"/>
      <c r="AA632" s="5"/>
      <c r="AC632" s="7"/>
      <c r="AE632" s="54" t="e">
        <f t="shared" si="87"/>
        <v>#N/A</v>
      </c>
      <c r="AF632" s="4" t="e">
        <f t="shared" si="83"/>
        <v>#N/A</v>
      </c>
    </row>
    <row r="633" spans="2:32">
      <c r="B633" s="5">
        <f t="shared" si="88"/>
        <v>621</v>
      </c>
      <c r="C633" s="5"/>
      <c r="E633" s="13"/>
      <c r="F633" s="5"/>
      <c r="G633" s="11">
        <f>IF(ISERROR(AVERAGE(F$13:F633)),"n/a",AVERAGE(F$13:F633))</f>
        <v>117</v>
      </c>
      <c r="H633" s="11">
        <f t="shared" si="84"/>
        <v>117</v>
      </c>
      <c r="J633" s="5"/>
      <c r="K633" s="5"/>
      <c r="L633" s="5"/>
      <c r="M633" s="5"/>
      <c r="N633" s="5"/>
      <c r="O633" s="8" t="str">
        <f t="shared" si="89"/>
        <v>n/a</v>
      </c>
      <c r="Q633" s="5"/>
      <c r="R633" s="5"/>
      <c r="S633" s="5"/>
      <c r="U633" s="6"/>
      <c r="V633" s="9" t="str">
        <f t="shared" si="85"/>
        <v/>
      </c>
      <c r="W633" s="9" t="str">
        <f t="shared" si="86"/>
        <v/>
      </c>
      <c r="X633" s="10">
        <f>SUM(V$13:V633)/COUNTA(B$13:B633)</f>
        <v>1.1272141706924315E-2</v>
      </c>
      <c r="Z633" s="5"/>
      <c r="AA633" s="5"/>
      <c r="AC633" s="7"/>
      <c r="AE633" s="54" t="e">
        <f t="shared" si="87"/>
        <v>#N/A</v>
      </c>
      <c r="AF633" s="4" t="e">
        <f t="shared" si="83"/>
        <v>#N/A</v>
      </c>
    </row>
    <row r="634" spans="2:32">
      <c r="B634" s="5">
        <f t="shared" si="88"/>
        <v>622</v>
      </c>
      <c r="C634" s="5"/>
      <c r="E634" s="13"/>
      <c r="F634" s="5"/>
      <c r="G634" s="11">
        <f>IF(ISERROR(AVERAGE(F$13:F634)),"n/a",AVERAGE(F$13:F634))</f>
        <v>117</v>
      </c>
      <c r="H634" s="11">
        <f t="shared" si="84"/>
        <v>117</v>
      </c>
      <c r="J634" s="5"/>
      <c r="K634" s="5"/>
      <c r="L634" s="5"/>
      <c r="M634" s="5"/>
      <c r="N634" s="5"/>
      <c r="O634" s="8" t="str">
        <f t="shared" si="89"/>
        <v>n/a</v>
      </c>
      <c r="Q634" s="5"/>
      <c r="R634" s="5"/>
      <c r="S634" s="5"/>
      <c r="U634" s="6"/>
      <c r="V634" s="9" t="str">
        <f t="shared" si="85"/>
        <v/>
      </c>
      <c r="W634" s="9" t="str">
        <f t="shared" si="86"/>
        <v/>
      </c>
      <c r="X634" s="10">
        <f>SUM(V$13:V634)/COUNTA(B$13:B634)</f>
        <v>1.1254019292604502E-2</v>
      </c>
      <c r="Z634" s="5"/>
      <c r="AA634" s="5"/>
      <c r="AC634" s="7"/>
      <c r="AE634" s="54" t="e">
        <f t="shared" si="87"/>
        <v>#N/A</v>
      </c>
      <c r="AF634" s="4" t="e">
        <f t="shared" si="83"/>
        <v>#N/A</v>
      </c>
    </row>
    <row r="635" spans="2:32">
      <c r="B635" s="5">
        <f t="shared" si="88"/>
        <v>623</v>
      </c>
      <c r="C635" s="5"/>
      <c r="E635" s="13"/>
      <c r="F635" s="5"/>
      <c r="G635" s="11">
        <f>IF(ISERROR(AVERAGE(F$13:F635)),"n/a",AVERAGE(F$13:F635))</f>
        <v>117</v>
      </c>
      <c r="H635" s="11">
        <f t="shared" si="84"/>
        <v>117</v>
      </c>
      <c r="J635" s="5"/>
      <c r="K635" s="5"/>
      <c r="L635" s="5"/>
      <c r="M635" s="5"/>
      <c r="N635" s="5"/>
      <c r="O635" s="8" t="str">
        <f t="shared" si="89"/>
        <v>n/a</v>
      </c>
      <c r="Q635" s="5"/>
      <c r="R635" s="5"/>
      <c r="S635" s="5"/>
      <c r="U635" s="6"/>
      <c r="V635" s="9" t="str">
        <f t="shared" si="85"/>
        <v/>
      </c>
      <c r="W635" s="9" t="str">
        <f t="shared" si="86"/>
        <v/>
      </c>
      <c r="X635" s="10">
        <f>SUM(V$13:V635)/COUNTA(B$13:B635)</f>
        <v>1.1235955056179775E-2</v>
      </c>
      <c r="Z635" s="5"/>
      <c r="AA635" s="5"/>
      <c r="AC635" s="7"/>
      <c r="AE635" s="54" t="e">
        <f t="shared" si="87"/>
        <v>#N/A</v>
      </c>
      <c r="AF635" s="4" t="e">
        <f t="shared" si="83"/>
        <v>#N/A</v>
      </c>
    </row>
    <row r="636" spans="2:32">
      <c r="B636" s="5">
        <f t="shared" si="88"/>
        <v>624</v>
      </c>
      <c r="C636" s="5"/>
      <c r="E636" s="13"/>
      <c r="F636" s="5"/>
      <c r="G636" s="11">
        <f>IF(ISERROR(AVERAGE(F$13:F636)),"n/a",AVERAGE(F$13:F636))</f>
        <v>117</v>
      </c>
      <c r="H636" s="11">
        <f t="shared" si="84"/>
        <v>117</v>
      </c>
      <c r="J636" s="5"/>
      <c r="K636" s="5"/>
      <c r="L636" s="5"/>
      <c r="M636" s="5"/>
      <c r="N636" s="5"/>
      <c r="O636" s="8" t="str">
        <f t="shared" si="89"/>
        <v>n/a</v>
      </c>
      <c r="Q636" s="5"/>
      <c r="R636" s="5"/>
      <c r="S636" s="5"/>
      <c r="U636" s="6"/>
      <c r="V636" s="9" t="str">
        <f t="shared" si="85"/>
        <v/>
      </c>
      <c r="W636" s="9" t="str">
        <f t="shared" si="86"/>
        <v/>
      </c>
      <c r="X636" s="10">
        <f>SUM(V$13:V636)/COUNTA(B$13:B636)</f>
        <v>1.1217948717948718E-2</v>
      </c>
      <c r="Z636" s="5"/>
      <c r="AA636" s="5"/>
      <c r="AC636" s="7"/>
      <c r="AE636" s="54" t="e">
        <f t="shared" si="87"/>
        <v>#N/A</v>
      </c>
      <c r="AF636" s="4" t="e">
        <f t="shared" si="83"/>
        <v>#N/A</v>
      </c>
    </row>
    <row r="637" spans="2:32">
      <c r="B637" s="5">
        <f t="shared" si="88"/>
        <v>625</v>
      </c>
      <c r="C637" s="5"/>
      <c r="E637" s="13"/>
      <c r="F637" s="5"/>
      <c r="G637" s="11">
        <f>IF(ISERROR(AVERAGE(F$13:F637)),"n/a",AVERAGE(F$13:F637))</f>
        <v>117</v>
      </c>
      <c r="H637" s="11">
        <f t="shared" si="84"/>
        <v>117</v>
      </c>
      <c r="J637" s="5"/>
      <c r="K637" s="5"/>
      <c r="L637" s="5"/>
      <c r="M637" s="5"/>
      <c r="N637" s="5"/>
      <c r="O637" s="8" t="str">
        <f t="shared" si="89"/>
        <v>n/a</v>
      </c>
      <c r="Q637" s="5"/>
      <c r="R637" s="5"/>
      <c r="S637" s="5"/>
      <c r="U637" s="6"/>
      <c r="V637" s="9" t="str">
        <f t="shared" si="85"/>
        <v/>
      </c>
      <c r="W637" s="9" t="str">
        <f t="shared" si="86"/>
        <v/>
      </c>
      <c r="X637" s="10">
        <f>SUM(V$13:V637)/COUNTA(B$13:B637)</f>
        <v>1.12E-2</v>
      </c>
      <c r="Z637" s="5"/>
      <c r="AA637" s="5"/>
      <c r="AC637" s="7"/>
      <c r="AE637" s="54" t="e">
        <f t="shared" si="87"/>
        <v>#N/A</v>
      </c>
      <c r="AF637" s="4" t="e">
        <f t="shared" si="83"/>
        <v>#N/A</v>
      </c>
    </row>
    <row r="638" spans="2:32">
      <c r="B638" s="5">
        <f t="shared" si="88"/>
        <v>626</v>
      </c>
      <c r="C638" s="5"/>
      <c r="E638" s="13"/>
      <c r="F638" s="5"/>
      <c r="G638" s="11">
        <f>IF(ISERROR(AVERAGE(F$13:F638)),"n/a",AVERAGE(F$13:F638))</f>
        <v>117</v>
      </c>
      <c r="H638" s="11">
        <f t="shared" si="84"/>
        <v>117</v>
      </c>
      <c r="J638" s="5"/>
      <c r="K638" s="5"/>
      <c r="L638" s="5"/>
      <c r="M638" s="5"/>
      <c r="N638" s="5"/>
      <c r="O638" s="8" t="str">
        <f t="shared" si="89"/>
        <v>n/a</v>
      </c>
      <c r="Q638" s="5"/>
      <c r="R638" s="5"/>
      <c r="S638" s="5"/>
      <c r="U638" s="6"/>
      <c r="V638" s="9" t="str">
        <f t="shared" si="85"/>
        <v/>
      </c>
      <c r="W638" s="9" t="str">
        <f t="shared" si="86"/>
        <v/>
      </c>
      <c r="X638" s="10">
        <f>SUM(V$13:V638)/COUNTA(B$13:B638)</f>
        <v>1.1182108626198083E-2</v>
      </c>
      <c r="Z638" s="5"/>
      <c r="AA638" s="5"/>
      <c r="AC638" s="7"/>
      <c r="AE638" s="54" t="e">
        <f t="shared" si="87"/>
        <v>#N/A</v>
      </c>
      <c r="AF638" s="4" t="e">
        <f t="shared" si="83"/>
        <v>#N/A</v>
      </c>
    </row>
    <row r="639" spans="2:32">
      <c r="B639" s="5">
        <f t="shared" si="88"/>
        <v>627</v>
      </c>
      <c r="C639" s="5"/>
      <c r="E639" s="13"/>
      <c r="F639" s="5"/>
      <c r="G639" s="11">
        <f>IF(ISERROR(AVERAGE(F$13:F639)),"n/a",AVERAGE(F$13:F639))</f>
        <v>117</v>
      </c>
      <c r="H639" s="11">
        <f t="shared" si="84"/>
        <v>117</v>
      </c>
      <c r="J639" s="5"/>
      <c r="K639" s="5"/>
      <c r="L639" s="5"/>
      <c r="M639" s="5"/>
      <c r="N639" s="5"/>
      <c r="O639" s="8" t="str">
        <f t="shared" si="89"/>
        <v>n/a</v>
      </c>
      <c r="Q639" s="5"/>
      <c r="R639" s="5"/>
      <c r="S639" s="5"/>
      <c r="U639" s="6"/>
      <c r="V639" s="9" t="str">
        <f t="shared" si="85"/>
        <v/>
      </c>
      <c r="W639" s="9" t="str">
        <f t="shared" si="86"/>
        <v/>
      </c>
      <c r="X639" s="10">
        <f>SUM(V$13:V639)/COUNTA(B$13:B639)</f>
        <v>1.1164274322169059E-2</v>
      </c>
      <c r="Z639" s="5"/>
      <c r="AA639" s="5"/>
      <c r="AC639" s="7"/>
      <c r="AE639" s="54" t="e">
        <f t="shared" si="87"/>
        <v>#N/A</v>
      </c>
      <c r="AF639" s="4" t="e">
        <f t="shared" si="83"/>
        <v>#N/A</v>
      </c>
    </row>
    <row r="640" spans="2:32">
      <c r="B640" s="5">
        <f t="shared" si="88"/>
        <v>628</v>
      </c>
      <c r="C640" s="5"/>
      <c r="E640" s="13"/>
      <c r="F640" s="5"/>
      <c r="G640" s="11">
        <f>IF(ISERROR(AVERAGE(F$13:F640)),"n/a",AVERAGE(F$13:F640))</f>
        <v>117</v>
      </c>
      <c r="H640" s="11">
        <f t="shared" si="84"/>
        <v>117</v>
      </c>
      <c r="J640" s="5"/>
      <c r="K640" s="5"/>
      <c r="L640" s="5"/>
      <c r="M640" s="5"/>
      <c r="N640" s="5"/>
      <c r="O640" s="8" t="str">
        <f t="shared" si="89"/>
        <v>n/a</v>
      </c>
      <c r="Q640" s="5"/>
      <c r="R640" s="5"/>
      <c r="S640" s="5"/>
      <c r="U640" s="6"/>
      <c r="V640" s="9" t="str">
        <f t="shared" si="85"/>
        <v/>
      </c>
      <c r="W640" s="9" t="str">
        <f t="shared" si="86"/>
        <v/>
      </c>
      <c r="X640" s="10">
        <f>SUM(V$13:V640)/COUNTA(B$13:B640)</f>
        <v>1.1146496815286623E-2</v>
      </c>
      <c r="Z640" s="5"/>
      <c r="AA640" s="5"/>
      <c r="AC640" s="7"/>
      <c r="AE640" s="54" t="e">
        <f t="shared" si="87"/>
        <v>#N/A</v>
      </c>
      <c r="AF640" s="4" t="e">
        <f t="shared" si="83"/>
        <v>#N/A</v>
      </c>
    </row>
    <row r="641" spans="2:32">
      <c r="B641" s="5">
        <f t="shared" si="88"/>
        <v>629</v>
      </c>
      <c r="C641" s="5"/>
      <c r="E641" s="13"/>
      <c r="F641" s="5"/>
      <c r="G641" s="11">
        <f>IF(ISERROR(AVERAGE(F$13:F641)),"n/a",AVERAGE(F$13:F641))</f>
        <v>117</v>
      </c>
      <c r="H641" s="11">
        <f t="shared" si="84"/>
        <v>117</v>
      </c>
      <c r="J641" s="5"/>
      <c r="K641" s="5"/>
      <c r="L641" s="5"/>
      <c r="M641" s="5"/>
      <c r="N641" s="5"/>
      <c r="O641" s="8" t="str">
        <f t="shared" si="89"/>
        <v>n/a</v>
      </c>
      <c r="Q641" s="5"/>
      <c r="R641" s="5"/>
      <c r="S641" s="5"/>
      <c r="U641" s="6"/>
      <c r="V641" s="9" t="str">
        <f t="shared" si="85"/>
        <v/>
      </c>
      <c r="W641" s="9" t="str">
        <f t="shared" si="86"/>
        <v/>
      </c>
      <c r="X641" s="10">
        <f>SUM(V$13:V641)/COUNTA(B$13:B641)</f>
        <v>1.1128775834658187E-2</v>
      </c>
      <c r="Z641" s="5"/>
      <c r="AA641" s="5"/>
      <c r="AC641" s="7"/>
      <c r="AE641" s="54" t="e">
        <f t="shared" si="87"/>
        <v>#N/A</v>
      </c>
      <c r="AF641" s="4" t="e">
        <f t="shared" si="83"/>
        <v>#N/A</v>
      </c>
    </row>
    <row r="642" spans="2:32">
      <c r="B642" s="5">
        <f t="shared" si="88"/>
        <v>630</v>
      </c>
      <c r="C642" s="5"/>
      <c r="E642" s="13"/>
      <c r="F642" s="5"/>
      <c r="G642" s="11">
        <f>IF(ISERROR(AVERAGE(F$13:F642)),"n/a",AVERAGE(F$13:F642))</f>
        <v>117</v>
      </c>
      <c r="H642" s="11">
        <f t="shared" si="84"/>
        <v>117</v>
      </c>
      <c r="J642" s="5"/>
      <c r="K642" s="5"/>
      <c r="L642" s="5"/>
      <c r="M642" s="5"/>
      <c r="N642" s="5"/>
      <c r="O642" s="8" t="str">
        <f t="shared" si="89"/>
        <v>n/a</v>
      </c>
      <c r="Q642" s="5"/>
      <c r="R642" s="5"/>
      <c r="S642" s="5"/>
      <c r="U642" s="6"/>
      <c r="V642" s="9" t="str">
        <f t="shared" si="85"/>
        <v/>
      </c>
      <c r="W642" s="9" t="str">
        <f t="shared" si="86"/>
        <v/>
      </c>
      <c r="X642" s="10">
        <f>SUM(V$13:V642)/COUNTA(B$13:B642)</f>
        <v>1.1111111111111112E-2</v>
      </c>
      <c r="Z642" s="5"/>
      <c r="AA642" s="5"/>
      <c r="AC642" s="7"/>
      <c r="AE642" s="54" t="e">
        <f t="shared" si="87"/>
        <v>#N/A</v>
      </c>
      <c r="AF642" s="4" t="e">
        <f t="shared" si="83"/>
        <v>#N/A</v>
      </c>
    </row>
    <row r="643" spans="2:32">
      <c r="B643" s="5">
        <f t="shared" si="88"/>
        <v>631</v>
      </c>
      <c r="C643" s="5"/>
      <c r="E643" s="13"/>
      <c r="F643" s="5"/>
      <c r="G643" s="11">
        <f>IF(ISERROR(AVERAGE(F$13:F643)),"n/a",AVERAGE(F$13:F643))</f>
        <v>117</v>
      </c>
      <c r="H643" s="11">
        <f t="shared" si="84"/>
        <v>117</v>
      </c>
      <c r="J643" s="5"/>
      <c r="K643" s="5"/>
      <c r="L643" s="5"/>
      <c r="M643" s="5"/>
      <c r="N643" s="5"/>
      <c r="O643" s="8" t="str">
        <f t="shared" si="89"/>
        <v>n/a</v>
      </c>
      <c r="Q643" s="5"/>
      <c r="R643" s="5"/>
      <c r="S643" s="5"/>
      <c r="U643" s="6"/>
      <c r="V643" s="9" t="str">
        <f t="shared" si="85"/>
        <v/>
      </c>
      <c r="W643" s="9" t="str">
        <f t="shared" si="86"/>
        <v/>
      </c>
      <c r="X643" s="10">
        <f>SUM(V$13:V643)/COUNTA(B$13:B643)</f>
        <v>1.1093502377179081E-2</v>
      </c>
      <c r="Z643" s="5"/>
      <c r="AA643" s="5"/>
      <c r="AC643" s="7"/>
      <c r="AE643" s="54" t="e">
        <f t="shared" si="87"/>
        <v>#N/A</v>
      </c>
      <c r="AF643" s="4" t="e">
        <f t="shared" si="83"/>
        <v>#N/A</v>
      </c>
    </row>
    <row r="644" spans="2:32">
      <c r="B644" s="5">
        <f t="shared" si="88"/>
        <v>632</v>
      </c>
      <c r="C644" s="5"/>
      <c r="E644" s="13"/>
      <c r="F644" s="5"/>
      <c r="G644" s="11">
        <f>IF(ISERROR(AVERAGE(F$13:F644)),"n/a",AVERAGE(F$13:F644))</f>
        <v>117</v>
      </c>
      <c r="H644" s="11">
        <f t="shared" si="84"/>
        <v>117</v>
      </c>
      <c r="J644" s="5"/>
      <c r="K644" s="5"/>
      <c r="L644" s="5"/>
      <c r="M644" s="5"/>
      <c r="N644" s="5"/>
      <c r="O644" s="8" t="str">
        <f t="shared" si="89"/>
        <v>n/a</v>
      </c>
      <c r="Q644" s="5"/>
      <c r="R644" s="5"/>
      <c r="S644" s="5"/>
      <c r="U644" s="6"/>
      <c r="V644" s="9" t="str">
        <f t="shared" si="85"/>
        <v/>
      </c>
      <c r="W644" s="9" t="str">
        <f t="shared" si="86"/>
        <v/>
      </c>
      <c r="X644" s="10">
        <f>SUM(V$13:V644)/COUNTA(B$13:B644)</f>
        <v>1.1075949367088608E-2</v>
      </c>
      <c r="Z644" s="5"/>
      <c r="AA644" s="5"/>
      <c r="AC644" s="7"/>
      <c r="AE644" s="54" t="e">
        <f t="shared" si="87"/>
        <v>#N/A</v>
      </c>
      <c r="AF644" s="4" t="e">
        <f t="shared" si="83"/>
        <v>#N/A</v>
      </c>
    </row>
    <row r="645" spans="2:32">
      <c r="B645" s="5">
        <f t="shared" si="88"/>
        <v>633</v>
      </c>
      <c r="C645" s="5"/>
      <c r="E645" s="13"/>
      <c r="F645" s="5"/>
      <c r="G645" s="11">
        <f>IF(ISERROR(AVERAGE(F$13:F645)),"n/a",AVERAGE(F$13:F645))</f>
        <v>117</v>
      </c>
      <c r="H645" s="11">
        <f t="shared" si="84"/>
        <v>117</v>
      </c>
      <c r="J645" s="5"/>
      <c r="K645" s="5"/>
      <c r="L645" s="5"/>
      <c r="M645" s="5"/>
      <c r="N645" s="5"/>
      <c r="O645" s="8" t="str">
        <f t="shared" si="89"/>
        <v>n/a</v>
      </c>
      <c r="Q645" s="5"/>
      <c r="R645" s="5"/>
      <c r="S645" s="5"/>
      <c r="U645" s="6"/>
      <c r="V645" s="9" t="str">
        <f t="shared" si="85"/>
        <v/>
      </c>
      <c r="W645" s="9" t="str">
        <f t="shared" si="86"/>
        <v/>
      </c>
      <c r="X645" s="10">
        <f>SUM(V$13:V645)/COUNTA(B$13:B645)</f>
        <v>1.1058451816745656E-2</v>
      </c>
      <c r="Z645" s="5"/>
      <c r="AA645" s="5"/>
      <c r="AC645" s="7"/>
      <c r="AE645" s="54" t="e">
        <f t="shared" si="87"/>
        <v>#N/A</v>
      </c>
      <c r="AF645" s="4" t="e">
        <f t="shared" si="83"/>
        <v>#N/A</v>
      </c>
    </row>
    <row r="646" spans="2:32">
      <c r="B646" s="5">
        <f t="shared" si="88"/>
        <v>634</v>
      </c>
      <c r="C646" s="5"/>
      <c r="E646" s="13"/>
      <c r="F646" s="5"/>
      <c r="G646" s="11">
        <f>IF(ISERROR(AVERAGE(F$13:F646)),"n/a",AVERAGE(F$13:F646))</f>
        <v>117</v>
      </c>
      <c r="H646" s="11">
        <f t="shared" si="84"/>
        <v>117</v>
      </c>
      <c r="J646" s="5"/>
      <c r="K646" s="5"/>
      <c r="L646" s="5"/>
      <c r="M646" s="5"/>
      <c r="N646" s="5"/>
      <c r="O646" s="8" t="str">
        <f t="shared" si="89"/>
        <v>n/a</v>
      </c>
      <c r="Q646" s="5"/>
      <c r="R646" s="5"/>
      <c r="S646" s="5"/>
      <c r="U646" s="6"/>
      <c r="V646" s="9" t="str">
        <f t="shared" si="85"/>
        <v/>
      </c>
      <c r="W646" s="9" t="str">
        <f t="shared" si="86"/>
        <v/>
      </c>
      <c r="X646" s="10">
        <f>SUM(V$13:V646)/COUNTA(B$13:B646)</f>
        <v>1.1041009463722398E-2</v>
      </c>
      <c r="Z646" s="5"/>
      <c r="AA646" s="5"/>
      <c r="AC646" s="7"/>
      <c r="AE646" s="54" t="e">
        <f t="shared" si="87"/>
        <v>#N/A</v>
      </c>
      <c r="AF646" s="4" t="e">
        <f t="shared" si="83"/>
        <v>#N/A</v>
      </c>
    </row>
    <row r="647" spans="2:32">
      <c r="B647" s="5">
        <f t="shared" si="88"/>
        <v>635</v>
      </c>
      <c r="C647" s="5"/>
      <c r="E647" s="13"/>
      <c r="F647" s="5"/>
      <c r="G647" s="11">
        <f>IF(ISERROR(AVERAGE(F$13:F647)),"n/a",AVERAGE(F$13:F647))</f>
        <v>117</v>
      </c>
      <c r="H647" s="11">
        <f t="shared" si="84"/>
        <v>117</v>
      </c>
      <c r="J647" s="5"/>
      <c r="K647" s="5"/>
      <c r="L647" s="5"/>
      <c r="M647" s="5"/>
      <c r="N647" s="5"/>
      <c r="O647" s="8" t="str">
        <f t="shared" si="89"/>
        <v>n/a</v>
      </c>
      <c r="Q647" s="5"/>
      <c r="R647" s="5"/>
      <c r="S647" s="5"/>
      <c r="U647" s="6"/>
      <c r="V647" s="9" t="str">
        <f t="shared" si="85"/>
        <v/>
      </c>
      <c r="W647" s="9" t="str">
        <f t="shared" si="86"/>
        <v/>
      </c>
      <c r="X647" s="10">
        <f>SUM(V$13:V647)/COUNTA(B$13:B647)</f>
        <v>1.1023622047244094E-2</v>
      </c>
      <c r="Z647" s="5"/>
      <c r="AA647" s="5"/>
      <c r="AC647" s="7"/>
      <c r="AE647" s="54" t="e">
        <f t="shared" si="87"/>
        <v>#N/A</v>
      </c>
      <c r="AF647" s="4" t="e">
        <f t="shared" si="83"/>
        <v>#N/A</v>
      </c>
    </row>
    <row r="648" spans="2:32">
      <c r="B648" s="5">
        <f t="shared" si="88"/>
        <v>636</v>
      </c>
      <c r="C648" s="5"/>
      <c r="E648" s="13"/>
      <c r="F648" s="5"/>
      <c r="G648" s="11">
        <f>IF(ISERROR(AVERAGE(F$13:F648)),"n/a",AVERAGE(F$13:F648))</f>
        <v>117</v>
      </c>
      <c r="H648" s="11">
        <f t="shared" si="84"/>
        <v>117</v>
      </c>
      <c r="J648" s="5"/>
      <c r="K648" s="5"/>
      <c r="L648" s="5"/>
      <c r="M648" s="5"/>
      <c r="N648" s="5"/>
      <c r="O648" s="8" t="str">
        <f t="shared" si="89"/>
        <v>n/a</v>
      </c>
      <c r="Q648" s="5"/>
      <c r="R648" s="5"/>
      <c r="S648" s="5"/>
      <c r="U648" s="6"/>
      <c r="V648" s="9" t="str">
        <f t="shared" si="85"/>
        <v/>
      </c>
      <c r="W648" s="9" t="str">
        <f t="shared" si="86"/>
        <v/>
      </c>
      <c r="X648" s="10">
        <f>SUM(V$13:V648)/COUNTA(B$13:B648)</f>
        <v>1.10062893081761E-2</v>
      </c>
      <c r="Z648" s="5"/>
      <c r="AA648" s="5"/>
      <c r="AC648" s="7"/>
      <c r="AE648" s="54" t="e">
        <f t="shared" si="87"/>
        <v>#N/A</v>
      </c>
      <c r="AF648" s="4" t="e">
        <f t="shared" si="83"/>
        <v>#N/A</v>
      </c>
    </row>
    <row r="649" spans="2:32">
      <c r="B649" s="5">
        <f t="shared" si="88"/>
        <v>637</v>
      </c>
      <c r="C649" s="5"/>
      <c r="E649" s="13"/>
      <c r="F649" s="5"/>
      <c r="G649" s="11">
        <f>IF(ISERROR(AVERAGE(F$13:F649)),"n/a",AVERAGE(F$13:F649))</f>
        <v>117</v>
      </c>
      <c r="H649" s="11">
        <f t="shared" si="84"/>
        <v>117</v>
      </c>
      <c r="J649" s="5"/>
      <c r="K649" s="5"/>
      <c r="L649" s="5"/>
      <c r="M649" s="5"/>
      <c r="N649" s="5"/>
      <c r="O649" s="8" t="str">
        <f t="shared" si="89"/>
        <v>n/a</v>
      </c>
      <c r="Q649" s="5"/>
      <c r="R649" s="5"/>
      <c r="S649" s="5"/>
      <c r="U649" s="6"/>
      <c r="V649" s="9" t="str">
        <f t="shared" si="85"/>
        <v/>
      </c>
      <c r="W649" s="9" t="str">
        <f t="shared" si="86"/>
        <v/>
      </c>
      <c r="X649" s="10">
        <f>SUM(V$13:V649)/COUNTA(B$13:B649)</f>
        <v>1.098901098901099E-2</v>
      </c>
      <c r="Z649" s="5"/>
      <c r="AA649" s="5"/>
      <c r="AC649" s="7"/>
      <c r="AE649" s="54" t="e">
        <f t="shared" si="87"/>
        <v>#N/A</v>
      </c>
      <c r="AF649" s="4" t="e">
        <f t="shared" si="83"/>
        <v>#N/A</v>
      </c>
    </row>
    <row r="650" spans="2:32">
      <c r="B650" s="5">
        <f t="shared" si="88"/>
        <v>638</v>
      </c>
      <c r="C650" s="5"/>
      <c r="E650" s="13"/>
      <c r="F650" s="5"/>
      <c r="G650" s="11">
        <f>IF(ISERROR(AVERAGE(F$13:F650)),"n/a",AVERAGE(F$13:F650))</f>
        <v>117</v>
      </c>
      <c r="H650" s="11">
        <f t="shared" si="84"/>
        <v>117</v>
      </c>
      <c r="J650" s="5"/>
      <c r="K650" s="5"/>
      <c r="L650" s="5"/>
      <c r="M650" s="5"/>
      <c r="N650" s="5"/>
      <c r="O650" s="8" t="str">
        <f t="shared" si="89"/>
        <v>n/a</v>
      </c>
      <c r="Q650" s="5"/>
      <c r="R650" s="5"/>
      <c r="S650" s="5"/>
      <c r="U650" s="6"/>
      <c r="V650" s="9" t="str">
        <f t="shared" si="85"/>
        <v/>
      </c>
      <c r="W650" s="9" t="str">
        <f t="shared" si="86"/>
        <v/>
      </c>
      <c r="X650" s="10">
        <f>SUM(V$13:V650)/COUNTA(B$13:B650)</f>
        <v>1.0971786833855799E-2</v>
      </c>
      <c r="Z650" s="5"/>
      <c r="AA650" s="5"/>
      <c r="AC650" s="7"/>
      <c r="AE650" s="54" t="e">
        <f t="shared" si="87"/>
        <v>#N/A</v>
      </c>
      <c r="AF650" s="4" t="e">
        <f t="shared" si="83"/>
        <v>#N/A</v>
      </c>
    </row>
    <row r="651" spans="2:32">
      <c r="B651" s="5">
        <f t="shared" si="88"/>
        <v>639</v>
      </c>
      <c r="C651" s="5"/>
      <c r="E651" s="13"/>
      <c r="F651" s="5"/>
      <c r="G651" s="11">
        <f>IF(ISERROR(AVERAGE(F$13:F651)),"n/a",AVERAGE(F$13:F651))</f>
        <v>117</v>
      </c>
      <c r="H651" s="11">
        <f t="shared" si="84"/>
        <v>117</v>
      </c>
      <c r="J651" s="5"/>
      <c r="K651" s="5"/>
      <c r="L651" s="5"/>
      <c r="M651" s="5"/>
      <c r="N651" s="5"/>
      <c r="O651" s="8" t="str">
        <f t="shared" si="89"/>
        <v>n/a</v>
      </c>
      <c r="Q651" s="5"/>
      <c r="R651" s="5"/>
      <c r="S651" s="5"/>
      <c r="U651" s="6"/>
      <c r="V651" s="9" t="str">
        <f t="shared" si="85"/>
        <v/>
      </c>
      <c r="W651" s="9" t="str">
        <f t="shared" si="86"/>
        <v/>
      </c>
      <c r="X651" s="10">
        <f>SUM(V$13:V651)/COUNTA(B$13:B651)</f>
        <v>1.0954616588419406E-2</v>
      </c>
      <c r="Z651" s="5"/>
      <c r="AA651" s="5"/>
      <c r="AC651" s="7"/>
      <c r="AE651" s="54" t="e">
        <f t="shared" si="87"/>
        <v>#N/A</v>
      </c>
      <c r="AF651" s="4" t="e">
        <f t="shared" si="83"/>
        <v>#N/A</v>
      </c>
    </row>
    <row r="652" spans="2:32">
      <c r="B652" s="5">
        <f t="shared" si="88"/>
        <v>640</v>
      </c>
      <c r="C652" s="5"/>
      <c r="E652" s="13"/>
      <c r="F652" s="5"/>
      <c r="G652" s="11">
        <f>IF(ISERROR(AVERAGE(F$13:F652)),"n/a",AVERAGE(F$13:F652))</f>
        <v>117</v>
      </c>
      <c r="H652" s="11">
        <f t="shared" si="84"/>
        <v>117</v>
      </c>
      <c r="J652" s="5"/>
      <c r="K652" s="5"/>
      <c r="L652" s="5"/>
      <c r="M652" s="5"/>
      <c r="N652" s="5"/>
      <c r="O652" s="8" t="str">
        <f t="shared" si="89"/>
        <v>n/a</v>
      </c>
      <c r="Q652" s="5"/>
      <c r="R652" s="5"/>
      <c r="S652" s="5"/>
      <c r="U652" s="6"/>
      <c r="V652" s="9" t="str">
        <f t="shared" si="85"/>
        <v/>
      </c>
      <c r="W652" s="9" t="str">
        <f t="shared" si="86"/>
        <v/>
      </c>
      <c r="X652" s="10">
        <f>SUM(V$13:V652)/COUNTA(B$13:B652)</f>
        <v>1.0937499999999999E-2</v>
      </c>
      <c r="Z652" s="5"/>
      <c r="AA652" s="5"/>
      <c r="AC652" s="7"/>
      <c r="AE652" s="54" t="e">
        <f t="shared" si="87"/>
        <v>#N/A</v>
      </c>
      <c r="AF652" s="4" t="e">
        <f t="shared" si="83"/>
        <v>#N/A</v>
      </c>
    </row>
    <row r="653" spans="2:32">
      <c r="B653" s="5">
        <f t="shared" si="88"/>
        <v>641</v>
      </c>
      <c r="C653" s="5"/>
      <c r="E653" s="13"/>
      <c r="F653" s="5"/>
      <c r="G653" s="11">
        <f>IF(ISERROR(AVERAGE(F$13:F653)),"n/a",AVERAGE(F$13:F653))</f>
        <v>117</v>
      </c>
      <c r="H653" s="11">
        <f t="shared" si="84"/>
        <v>117</v>
      </c>
      <c r="J653" s="5"/>
      <c r="K653" s="5"/>
      <c r="L653" s="5"/>
      <c r="M653" s="5"/>
      <c r="N653" s="5"/>
      <c r="O653" s="8" t="str">
        <f t="shared" si="89"/>
        <v>n/a</v>
      </c>
      <c r="Q653" s="5"/>
      <c r="R653" s="5"/>
      <c r="S653" s="5"/>
      <c r="U653" s="6"/>
      <c r="V653" s="9" t="str">
        <f t="shared" si="85"/>
        <v/>
      </c>
      <c r="W653" s="9" t="str">
        <f t="shared" si="86"/>
        <v/>
      </c>
      <c r="X653" s="10">
        <f>SUM(V$13:V653)/COUNTA(B$13:B653)</f>
        <v>1.0920436817472699E-2</v>
      </c>
      <c r="Z653" s="5"/>
      <c r="AA653" s="5"/>
      <c r="AC653" s="7"/>
      <c r="AE653" s="54" t="e">
        <f t="shared" si="87"/>
        <v>#N/A</v>
      </c>
      <c r="AF653" s="4" t="e">
        <f t="shared" ref="AF653:AF716" si="90">HLOOKUP(C653,$K$6:$O$7,2,FALSE)</f>
        <v>#N/A</v>
      </c>
    </row>
    <row r="654" spans="2:32">
      <c r="B654" s="5">
        <f t="shared" si="88"/>
        <v>642</v>
      </c>
      <c r="C654" s="5"/>
      <c r="E654" s="13"/>
      <c r="F654" s="5"/>
      <c r="G654" s="11">
        <f>IF(ISERROR(AVERAGE(F$13:F654)),"n/a",AVERAGE(F$13:F654))</f>
        <v>117</v>
      </c>
      <c r="H654" s="11">
        <f t="shared" ref="H654:H717" si="91">G654</f>
        <v>117</v>
      </c>
      <c r="J654" s="5"/>
      <c r="K654" s="5"/>
      <c r="L654" s="5"/>
      <c r="M654" s="5"/>
      <c r="N654" s="5"/>
      <c r="O654" s="8" t="str">
        <f t="shared" si="89"/>
        <v>n/a</v>
      </c>
      <c r="Q654" s="5"/>
      <c r="R654" s="5"/>
      <c r="S654" s="5"/>
      <c r="U654" s="6"/>
      <c r="V654" s="9" t="str">
        <f t="shared" ref="V654:V717" si="92">IF(O654="n/a","",IF(O654=U654,1,""))</f>
        <v/>
      </c>
      <c r="W654" s="9" t="str">
        <f t="shared" ref="W654:W717" si="93">IF(O654="n/a","",IF(O654&lt;&gt;U654,1,""))</f>
        <v/>
      </c>
      <c r="X654" s="10">
        <f>SUM(V$13:V654)/COUNTA(B$13:B654)</f>
        <v>1.0903426791277258E-2</v>
      </c>
      <c r="Z654" s="5"/>
      <c r="AA654" s="5"/>
      <c r="AC654" s="7"/>
      <c r="AE654" s="54" t="e">
        <f t="shared" ref="AE654:AE717" si="94">+IF($F$4=0,0,IF(W654=1,1,IF(OR(R654*$F$8=1,S654*$F$9=1,F654&gt;=AF654),2,0)))</f>
        <v>#N/A</v>
      </c>
      <c r="AF654" s="4" t="e">
        <f t="shared" si="90"/>
        <v>#N/A</v>
      </c>
    </row>
    <row r="655" spans="2:32">
      <c r="B655" s="5">
        <f t="shared" si="88"/>
        <v>643</v>
      </c>
      <c r="C655" s="5"/>
      <c r="E655" s="13"/>
      <c r="F655" s="5"/>
      <c r="G655" s="11">
        <f>IF(ISERROR(AVERAGE(F$13:F655)),"n/a",AVERAGE(F$13:F655))</f>
        <v>117</v>
      </c>
      <c r="H655" s="11">
        <f t="shared" si="91"/>
        <v>117</v>
      </c>
      <c r="J655" s="5"/>
      <c r="K655" s="5"/>
      <c r="L655" s="5"/>
      <c r="M655" s="5"/>
      <c r="N655" s="5"/>
      <c r="O655" s="8" t="str">
        <f t="shared" si="89"/>
        <v>n/a</v>
      </c>
      <c r="Q655" s="5"/>
      <c r="R655" s="5"/>
      <c r="S655" s="5"/>
      <c r="U655" s="6"/>
      <c r="V655" s="9" t="str">
        <f t="shared" si="92"/>
        <v/>
      </c>
      <c r="W655" s="9" t="str">
        <f t="shared" si="93"/>
        <v/>
      </c>
      <c r="X655" s="10">
        <f>SUM(V$13:V655)/COUNTA(B$13:B655)</f>
        <v>1.088646967340591E-2</v>
      </c>
      <c r="Z655" s="5"/>
      <c r="AA655" s="5"/>
      <c r="AC655" s="7"/>
      <c r="AE655" s="54" t="e">
        <f t="shared" si="94"/>
        <v>#N/A</v>
      </c>
      <c r="AF655" s="4" t="e">
        <f t="shared" si="90"/>
        <v>#N/A</v>
      </c>
    </row>
    <row r="656" spans="2:32">
      <c r="B656" s="5">
        <f t="shared" si="88"/>
        <v>644</v>
      </c>
      <c r="C656" s="5"/>
      <c r="E656" s="13"/>
      <c r="F656" s="5"/>
      <c r="G656" s="11">
        <f>IF(ISERROR(AVERAGE(F$13:F656)),"n/a",AVERAGE(F$13:F656))</f>
        <v>117</v>
      </c>
      <c r="H656" s="11">
        <f t="shared" si="91"/>
        <v>117</v>
      </c>
      <c r="J656" s="5"/>
      <c r="K656" s="5"/>
      <c r="L656" s="5"/>
      <c r="M656" s="5"/>
      <c r="N656" s="5"/>
      <c r="O656" s="8" t="str">
        <f t="shared" si="89"/>
        <v>n/a</v>
      </c>
      <c r="Q656" s="5"/>
      <c r="R656" s="5"/>
      <c r="S656" s="5"/>
      <c r="U656" s="6"/>
      <c r="V656" s="9" t="str">
        <f t="shared" si="92"/>
        <v/>
      </c>
      <c r="W656" s="9" t="str">
        <f t="shared" si="93"/>
        <v/>
      </c>
      <c r="X656" s="10">
        <f>SUM(V$13:V656)/COUNTA(B$13:B656)</f>
        <v>1.0869565217391304E-2</v>
      </c>
      <c r="Z656" s="5"/>
      <c r="AA656" s="5"/>
      <c r="AC656" s="7"/>
      <c r="AE656" s="54" t="e">
        <f t="shared" si="94"/>
        <v>#N/A</v>
      </c>
      <c r="AF656" s="4" t="e">
        <f t="shared" si="90"/>
        <v>#N/A</v>
      </c>
    </row>
    <row r="657" spans="2:32">
      <c r="B657" s="5">
        <f t="shared" si="88"/>
        <v>645</v>
      </c>
      <c r="C657" s="5"/>
      <c r="E657" s="13"/>
      <c r="F657" s="5"/>
      <c r="G657" s="11">
        <f>IF(ISERROR(AVERAGE(F$13:F657)),"n/a",AVERAGE(F$13:F657))</f>
        <v>117</v>
      </c>
      <c r="H657" s="11">
        <f t="shared" si="91"/>
        <v>117</v>
      </c>
      <c r="J657" s="5"/>
      <c r="K657" s="5"/>
      <c r="L657" s="5"/>
      <c r="M657" s="5"/>
      <c r="N657" s="5"/>
      <c r="O657" s="8" t="str">
        <f t="shared" si="89"/>
        <v>n/a</v>
      </c>
      <c r="Q657" s="5"/>
      <c r="R657" s="5"/>
      <c r="S657" s="5"/>
      <c r="U657" s="6"/>
      <c r="V657" s="9" t="str">
        <f t="shared" si="92"/>
        <v/>
      </c>
      <c r="W657" s="9" t="str">
        <f t="shared" si="93"/>
        <v/>
      </c>
      <c r="X657" s="10">
        <f>SUM(V$13:V657)/COUNTA(B$13:B657)</f>
        <v>1.0852713178294573E-2</v>
      </c>
      <c r="Z657" s="5"/>
      <c r="AA657" s="5"/>
      <c r="AC657" s="7"/>
      <c r="AE657" s="54" t="e">
        <f t="shared" si="94"/>
        <v>#N/A</v>
      </c>
      <c r="AF657" s="4" t="e">
        <f t="shared" si="90"/>
        <v>#N/A</v>
      </c>
    </row>
    <row r="658" spans="2:32">
      <c r="B658" s="5">
        <f t="shared" si="88"/>
        <v>646</v>
      </c>
      <c r="C658" s="5"/>
      <c r="E658" s="13"/>
      <c r="F658" s="5"/>
      <c r="G658" s="11">
        <f>IF(ISERROR(AVERAGE(F$13:F658)),"n/a",AVERAGE(F$13:F658))</f>
        <v>117</v>
      </c>
      <c r="H658" s="11">
        <f t="shared" si="91"/>
        <v>117</v>
      </c>
      <c r="J658" s="5"/>
      <c r="K658" s="5"/>
      <c r="L658" s="5"/>
      <c r="M658" s="5"/>
      <c r="N658" s="5"/>
      <c r="O658" s="8" t="str">
        <f t="shared" si="89"/>
        <v>n/a</v>
      </c>
      <c r="Q658" s="5"/>
      <c r="R658" s="5"/>
      <c r="S658" s="5"/>
      <c r="U658" s="6"/>
      <c r="V658" s="9" t="str">
        <f t="shared" si="92"/>
        <v/>
      </c>
      <c r="W658" s="9" t="str">
        <f t="shared" si="93"/>
        <v/>
      </c>
      <c r="X658" s="10">
        <f>SUM(V$13:V658)/COUNTA(B$13:B658)</f>
        <v>1.0835913312693499E-2</v>
      </c>
      <c r="Z658" s="5"/>
      <c r="AA658" s="5"/>
      <c r="AC658" s="7"/>
      <c r="AE658" s="54" t="e">
        <f t="shared" si="94"/>
        <v>#N/A</v>
      </c>
      <c r="AF658" s="4" t="e">
        <f t="shared" si="90"/>
        <v>#N/A</v>
      </c>
    </row>
    <row r="659" spans="2:32">
      <c r="B659" s="5">
        <f t="shared" ref="B659:B722" si="95">+B658+1</f>
        <v>647</v>
      </c>
      <c r="C659" s="5"/>
      <c r="E659" s="13"/>
      <c r="F659" s="5"/>
      <c r="G659" s="11">
        <f>IF(ISERROR(AVERAGE(F$13:F659)),"n/a",AVERAGE(F$13:F659))</f>
        <v>117</v>
      </c>
      <c r="H659" s="11">
        <f t="shared" si="91"/>
        <v>117</v>
      </c>
      <c r="J659" s="5"/>
      <c r="K659" s="5"/>
      <c r="L659" s="5"/>
      <c r="M659" s="5"/>
      <c r="N659" s="5"/>
      <c r="O659" s="8" t="str">
        <f t="shared" si="89"/>
        <v>n/a</v>
      </c>
      <c r="Q659" s="5"/>
      <c r="R659" s="5"/>
      <c r="S659" s="5"/>
      <c r="U659" s="6"/>
      <c r="V659" s="9" t="str">
        <f t="shared" si="92"/>
        <v/>
      </c>
      <c r="W659" s="9" t="str">
        <f t="shared" si="93"/>
        <v/>
      </c>
      <c r="X659" s="10">
        <f>SUM(V$13:V659)/COUNTA(B$13:B659)</f>
        <v>1.0819165378670788E-2</v>
      </c>
      <c r="Z659" s="5"/>
      <c r="AA659" s="5"/>
      <c r="AC659" s="7"/>
      <c r="AE659" s="54" t="e">
        <f t="shared" si="94"/>
        <v>#N/A</v>
      </c>
      <c r="AF659" s="4" t="e">
        <f t="shared" si="90"/>
        <v>#N/A</v>
      </c>
    </row>
    <row r="660" spans="2:32">
      <c r="B660" s="5">
        <f t="shared" si="95"/>
        <v>648</v>
      </c>
      <c r="C660" s="5"/>
      <c r="E660" s="13"/>
      <c r="F660" s="5"/>
      <c r="G660" s="11">
        <f>IF(ISERROR(AVERAGE(F$13:F660)),"n/a",AVERAGE(F$13:F660))</f>
        <v>117</v>
      </c>
      <c r="H660" s="11">
        <f t="shared" si="91"/>
        <v>117</v>
      </c>
      <c r="J660" s="5"/>
      <c r="K660" s="5"/>
      <c r="L660" s="5"/>
      <c r="M660" s="5"/>
      <c r="N660" s="5"/>
      <c r="O660" s="8" t="str">
        <f t="shared" si="89"/>
        <v>n/a</v>
      </c>
      <c r="Q660" s="5"/>
      <c r="R660" s="5"/>
      <c r="S660" s="5"/>
      <c r="U660" s="6"/>
      <c r="V660" s="9" t="str">
        <f t="shared" si="92"/>
        <v/>
      </c>
      <c r="W660" s="9" t="str">
        <f t="shared" si="93"/>
        <v/>
      </c>
      <c r="X660" s="10">
        <f>SUM(V$13:V660)/COUNTA(B$13:B660)</f>
        <v>1.0802469135802469E-2</v>
      </c>
      <c r="Z660" s="5"/>
      <c r="AA660" s="5"/>
      <c r="AC660" s="7"/>
      <c r="AE660" s="54" t="e">
        <f t="shared" si="94"/>
        <v>#N/A</v>
      </c>
      <c r="AF660" s="4" t="e">
        <f t="shared" si="90"/>
        <v>#N/A</v>
      </c>
    </row>
    <row r="661" spans="2:32">
      <c r="B661" s="5">
        <f t="shared" si="95"/>
        <v>649</v>
      </c>
      <c r="C661" s="5"/>
      <c r="E661" s="13"/>
      <c r="F661" s="5"/>
      <c r="G661" s="11">
        <f>IF(ISERROR(AVERAGE(F$13:F661)),"n/a",AVERAGE(F$13:F661))</f>
        <v>117</v>
      </c>
      <c r="H661" s="11">
        <f t="shared" si="91"/>
        <v>117</v>
      </c>
      <c r="J661" s="5"/>
      <c r="K661" s="5"/>
      <c r="L661" s="5"/>
      <c r="M661" s="5"/>
      <c r="N661" s="5"/>
      <c r="O661" s="8" t="str">
        <f t="shared" si="89"/>
        <v>n/a</v>
      </c>
      <c r="Q661" s="5"/>
      <c r="R661" s="5"/>
      <c r="S661" s="5"/>
      <c r="U661" s="6"/>
      <c r="V661" s="9" t="str">
        <f t="shared" si="92"/>
        <v/>
      </c>
      <c r="W661" s="9" t="str">
        <f t="shared" si="93"/>
        <v/>
      </c>
      <c r="X661" s="10">
        <f>SUM(V$13:V661)/COUNTA(B$13:B661)</f>
        <v>1.078582434514638E-2</v>
      </c>
      <c r="Z661" s="5"/>
      <c r="AA661" s="5"/>
      <c r="AC661" s="7"/>
      <c r="AE661" s="54" t="e">
        <f t="shared" si="94"/>
        <v>#N/A</v>
      </c>
      <c r="AF661" s="4" t="e">
        <f t="shared" si="90"/>
        <v>#N/A</v>
      </c>
    </row>
    <row r="662" spans="2:32">
      <c r="B662" s="5">
        <f t="shared" si="95"/>
        <v>650</v>
      </c>
      <c r="C662" s="5"/>
      <c r="E662" s="13"/>
      <c r="F662" s="5"/>
      <c r="G662" s="11">
        <f>IF(ISERROR(AVERAGE(F$13:F662)),"n/a",AVERAGE(F$13:F662))</f>
        <v>117</v>
      </c>
      <c r="H662" s="11">
        <f t="shared" si="91"/>
        <v>117</v>
      </c>
      <c r="J662" s="5"/>
      <c r="K662" s="5"/>
      <c r="L662" s="5"/>
      <c r="M662" s="5"/>
      <c r="N662" s="5"/>
      <c r="O662" s="8" t="str">
        <f t="shared" si="89"/>
        <v>n/a</v>
      </c>
      <c r="Q662" s="5"/>
      <c r="R662" s="5"/>
      <c r="S662" s="5"/>
      <c r="U662" s="6"/>
      <c r="V662" s="9" t="str">
        <f t="shared" si="92"/>
        <v/>
      </c>
      <c r="W662" s="9" t="str">
        <f t="shared" si="93"/>
        <v/>
      </c>
      <c r="X662" s="10">
        <f>SUM(V$13:V662)/COUNTA(B$13:B662)</f>
        <v>1.0769230769230769E-2</v>
      </c>
      <c r="Z662" s="5"/>
      <c r="AA662" s="5"/>
      <c r="AC662" s="7"/>
      <c r="AE662" s="54" t="e">
        <f t="shared" si="94"/>
        <v>#N/A</v>
      </c>
      <c r="AF662" s="4" t="e">
        <f t="shared" si="90"/>
        <v>#N/A</v>
      </c>
    </row>
    <row r="663" spans="2:32">
      <c r="B663" s="5">
        <f t="shared" si="95"/>
        <v>651</v>
      </c>
      <c r="C663" s="5"/>
      <c r="E663" s="13"/>
      <c r="F663" s="5"/>
      <c r="G663" s="11">
        <f>IF(ISERROR(AVERAGE(F$13:F663)),"n/a",AVERAGE(F$13:F663))</f>
        <v>117</v>
      </c>
      <c r="H663" s="11">
        <f t="shared" si="91"/>
        <v>117</v>
      </c>
      <c r="J663" s="5"/>
      <c r="K663" s="5"/>
      <c r="L663" s="5"/>
      <c r="M663" s="5"/>
      <c r="N663" s="5"/>
      <c r="O663" s="8" t="str">
        <f t="shared" si="89"/>
        <v>n/a</v>
      </c>
      <c r="Q663" s="5"/>
      <c r="R663" s="5"/>
      <c r="S663" s="5"/>
      <c r="U663" s="6"/>
      <c r="V663" s="9" t="str">
        <f t="shared" si="92"/>
        <v/>
      </c>
      <c r="W663" s="9" t="str">
        <f t="shared" si="93"/>
        <v/>
      </c>
      <c r="X663" s="10">
        <f>SUM(V$13:V663)/COUNTA(B$13:B663)</f>
        <v>1.0752688172043012E-2</v>
      </c>
      <c r="Z663" s="5"/>
      <c r="AA663" s="5"/>
      <c r="AC663" s="7"/>
      <c r="AE663" s="54" t="e">
        <f t="shared" si="94"/>
        <v>#N/A</v>
      </c>
      <c r="AF663" s="4" t="e">
        <f t="shared" si="90"/>
        <v>#N/A</v>
      </c>
    </row>
    <row r="664" spans="2:32">
      <c r="B664" s="5">
        <f t="shared" si="95"/>
        <v>652</v>
      </c>
      <c r="C664" s="5"/>
      <c r="E664" s="13"/>
      <c r="F664" s="5"/>
      <c r="G664" s="11">
        <f>IF(ISERROR(AVERAGE(F$13:F664)),"n/a",AVERAGE(F$13:F664))</f>
        <v>117</v>
      </c>
      <c r="H664" s="11">
        <f t="shared" si="91"/>
        <v>117</v>
      </c>
      <c r="J664" s="5"/>
      <c r="K664" s="5"/>
      <c r="L664" s="5"/>
      <c r="M664" s="5"/>
      <c r="N664" s="5"/>
      <c r="O664" s="8" t="str">
        <f t="shared" si="89"/>
        <v>n/a</v>
      </c>
      <c r="Q664" s="5"/>
      <c r="R664" s="5"/>
      <c r="S664" s="5"/>
      <c r="U664" s="6"/>
      <c r="V664" s="9" t="str">
        <f t="shared" si="92"/>
        <v/>
      </c>
      <c r="W664" s="9" t="str">
        <f t="shared" si="93"/>
        <v/>
      </c>
      <c r="X664" s="10">
        <f>SUM(V$13:V664)/COUNTA(B$13:B664)</f>
        <v>1.0736196319018405E-2</v>
      </c>
      <c r="Z664" s="5"/>
      <c r="AA664" s="5"/>
      <c r="AC664" s="7"/>
      <c r="AE664" s="54" t="e">
        <f t="shared" si="94"/>
        <v>#N/A</v>
      </c>
      <c r="AF664" s="4" t="e">
        <f t="shared" si="90"/>
        <v>#N/A</v>
      </c>
    </row>
    <row r="665" spans="2:32">
      <c r="B665" s="5">
        <f t="shared" si="95"/>
        <v>653</v>
      </c>
      <c r="C665" s="5"/>
      <c r="E665" s="13"/>
      <c r="F665" s="5"/>
      <c r="G665" s="11">
        <f>IF(ISERROR(AVERAGE(F$13:F665)),"n/a",AVERAGE(F$13:F665))</f>
        <v>117</v>
      </c>
      <c r="H665" s="11">
        <f t="shared" si="91"/>
        <v>117</v>
      </c>
      <c r="J665" s="5"/>
      <c r="K665" s="5"/>
      <c r="L665" s="5"/>
      <c r="M665" s="5"/>
      <c r="N665" s="5"/>
      <c r="O665" s="8" t="str">
        <f t="shared" si="89"/>
        <v>n/a</v>
      </c>
      <c r="Q665" s="5"/>
      <c r="R665" s="5"/>
      <c r="S665" s="5"/>
      <c r="U665" s="6"/>
      <c r="V665" s="9" t="str">
        <f t="shared" si="92"/>
        <v/>
      </c>
      <c r="W665" s="9" t="str">
        <f t="shared" si="93"/>
        <v/>
      </c>
      <c r="X665" s="10">
        <f>SUM(V$13:V665)/COUNTA(B$13:B665)</f>
        <v>1.0719754977029096E-2</v>
      </c>
      <c r="Z665" s="5"/>
      <c r="AA665" s="5"/>
      <c r="AC665" s="7"/>
      <c r="AE665" s="54" t="e">
        <f t="shared" si="94"/>
        <v>#N/A</v>
      </c>
      <c r="AF665" s="4" t="e">
        <f t="shared" si="90"/>
        <v>#N/A</v>
      </c>
    </row>
    <row r="666" spans="2:32">
      <c r="B666" s="5">
        <f t="shared" si="95"/>
        <v>654</v>
      </c>
      <c r="C666" s="5"/>
      <c r="E666" s="13"/>
      <c r="F666" s="5"/>
      <c r="G666" s="11">
        <f>IF(ISERROR(AVERAGE(F$13:F666)),"n/a",AVERAGE(F$13:F666))</f>
        <v>117</v>
      </c>
      <c r="H666" s="11">
        <f t="shared" si="91"/>
        <v>117</v>
      </c>
      <c r="J666" s="5"/>
      <c r="K666" s="5"/>
      <c r="L666" s="5"/>
      <c r="M666" s="5"/>
      <c r="N666" s="5"/>
      <c r="O666" s="8" t="str">
        <f t="shared" si="89"/>
        <v>n/a</v>
      </c>
      <c r="Q666" s="5"/>
      <c r="R666" s="5"/>
      <c r="S666" s="5"/>
      <c r="U666" s="6"/>
      <c r="V666" s="9" t="str">
        <f t="shared" si="92"/>
        <v/>
      </c>
      <c r="W666" s="9" t="str">
        <f t="shared" si="93"/>
        <v/>
      </c>
      <c r="X666" s="10">
        <f>SUM(V$13:V666)/COUNTA(B$13:B666)</f>
        <v>1.0703363914373088E-2</v>
      </c>
      <c r="Z666" s="5"/>
      <c r="AA666" s="5"/>
      <c r="AC666" s="7"/>
      <c r="AE666" s="54" t="e">
        <f t="shared" si="94"/>
        <v>#N/A</v>
      </c>
      <c r="AF666" s="4" t="e">
        <f t="shared" si="90"/>
        <v>#N/A</v>
      </c>
    </row>
    <row r="667" spans="2:32">
      <c r="B667" s="5">
        <f t="shared" si="95"/>
        <v>655</v>
      </c>
      <c r="C667" s="5"/>
      <c r="E667" s="13"/>
      <c r="F667" s="5"/>
      <c r="G667" s="11">
        <f>IF(ISERROR(AVERAGE(F$13:F667)),"n/a",AVERAGE(F$13:F667))</f>
        <v>117</v>
      </c>
      <c r="H667" s="11">
        <f t="shared" si="91"/>
        <v>117</v>
      </c>
      <c r="J667" s="5"/>
      <c r="K667" s="5"/>
      <c r="L667" s="5"/>
      <c r="M667" s="5"/>
      <c r="N667" s="5"/>
      <c r="O667" s="8" t="str">
        <f t="shared" si="89"/>
        <v>n/a</v>
      </c>
      <c r="Q667" s="5"/>
      <c r="R667" s="5"/>
      <c r="S667" s="5"/>
      <c r="U667" s="6"/>
      <c r="V667" s="9" t="str">
        <f t="shared" si="92"/>
        <v/>
      </c>
      <c r="W667" s="9" t="str">
        <f t="shared" si="93"/>
        <v/>
      </c>
      <c r="X667" s="10">
        <f>SUM(V$13:V667)/COUNTA(B$13:B667)</f>
        <v>1.0687022900763359E-2</v>
      </c>
      <c r="Z667" s="5"/>
      <c r="AA667" s="5"/>
      <c r="AC667" s="7"/>
      <c r="AE667" s="54" t="e">
        <f t="shared" si="94"/>
        <v>#N/A</v>
      </c>
      <c r="AF667" s="4" t="e">
        <f t="shared" si="90"/>
        <v>#N/A</v>
      </c>
    </row>
    <row r="668" spans="2:32">
      <c r="B668" s="5">
        <f t="shared" si="95"/>
        <v>656</v>
      </c>
      <c r="C668" s="5"/>
      <c r="E668" s="13"/>
      <c r="F668" s="5"/>
      <c r="G668" s="11">
        <f>IF(ISERROR(AVERAGE(F$13:F668)),"n/a",AVERAGE(F$13:F668))</f>
        <v>117</v>
      </c>
      <c r="H668" s="11">
        <f t="shared" si="91"/>
        <v>117</v>
      </c>
      <c r="J668" s="5"/>
      <c r="K668" s="5"/>
      <c r="L668" s="5"/>
      <c r="M668" s="5"/>
      <c r="N668" s="5"/>
      <c r="O668" s="8" t="str">
        <f t="shared" si="89"/>
        <v>n/a</v>
      </c>
      <c r="Q668" s="5"/>
      <c r="R668" s="5"/>
      <c r="S668" s="5"/>
      <c r="U668" s="6"/>
      <c r="V668" s="9" t="str">
        <f t="shared" si="92"/>
        <v/>
      </c>
      <c r="W668" s="9" t="str">
        <f t="shared" si="93"/>
        <v/>
      </c>
      <c r="X668" s="10">
        <f>SUM(V$13:V668)/COUNTA(B$13:B668)</f>
        <v>1.0670731707317074E-2</v>
      </c>
      <c r="Z668" s="5"/>
      <c r="AA668" s="5"/>
      <c r="AC668" s="7"/>
      <c r="AE668" s="54" t="e">
        <f t="shared" si="94"/>
        <v>#N/A</v>
      </c>
      <c r="AF668" s="4" t="e">
        <f t="shared" si="90"/>
        <v>#N/A</v>
      </c>
    </row>
    <row r="669" spans="2:32">
      <c r="B669" s="5">
        <f t="shared" si="95"/>
        <v>657</v>
      </c>
      <c r="C669" s="5"/>
      <c r="E669" s="13"/>
      <c r="F669" s="5"/>
      <c r="G669" s="11">
        <f>IF(ISERROR(AVERAGE(F$13:F669)),"n/a",AVERAGE(F$13:F669))</f>
        <v>117</v>
      </c>
      <c r="H669" s="11">
        <f t="shared" si="91"/>
        <v>117</v>
      </c>
      <c r="J669" s="5"/>
      <c r="K669" s="5"/>
      <c r="L669" s="5"/>
      <c r="M669" s="5"/>
      <c r="N669" s="5"/>
      <c r="O669" s="8" t="str">
        <f t="shared" si="89"/>
        <v>n/a</v>
      </c>
      <c r="Q669" s="5"/>
      <c r="R669" s="5"/>
      <c r="S669" s="5"/>
      <c r="U669" s="6"/>
      <c r="V669" s="9" t="str">
        <f t="shared" si="92"/>
        <v/>
      </c>
      <c r="W669" s="9" t="str">
        <f t="shared" si="93"/>
        <v/>
      </c>
      <c r="X669" s="10">
        <f>SUM(V$13:V669)/COUNTA(B$13:B669)</f>
        <v>1.06544901065449E-2</v>
      </c>
      <c r="Z669" s="5"/>
      <c r="AA669" s="5"/>
      <c r="AC669" s="7"/>
      <c r="AE669" s="54" t="e">
        <f t="shared" si="94"/>
        <v>#N/A</v>
      </c>
      <c r="AF669" s="4" t="e">
        <f t="shared" si="90"/>
        <v>#N/A</v>
      </c>
    </row>
    <row r="670" spans="2:32">
      <c r="B670" s="5">
        <f t="shared" si="95"/>
        <v>658</v>
      </c>
      <c r="C670" s="5"/>
      <c r="E670" s="13"/>
      <c r="F670" s="5"/>
      <c r="G670" s="11">
        <f>IF(ISERROR(AVERAGE(F$13:F670)),"n/a",AVERAGE(F$13:F670))</f>
        <v>117</v>
      </c>
      <c r="H670" s="11">
        <f t="shared" si="91"/>
        <v>117</v>
      </c>
      <c r="J670" s="5"/>
      <c r="K670" s="5"/>
      <c r="L670" s="5"/>
      <c r="M670" s="5"/>
      <c r="N670" s="5"/>
      <c r="O670" s="8" t="str">
        <f t="shared" si="89"/>
        <v>n/a</v>
      </c>
      <c r="Q670" s="5"/>
      <c r="R670" s="5"/>
      <c r="S670" s="5"/>
      <c r="U670" s="6"/>
      <c r="V670" s="9" t="str">
        <f t="shared" si="92"/>
        <v/>
      </c>
      <c r="W670" s="9" t="str">
        <f t="shared" si="93"/>
        <v/>
      </c>
      <c r="X670" s="10">
        <f>SUM(V$13:V670)/COUNTA(B$13:B670)</f>
        <v>1.0638297872340425E-2</v>
      </c>
      <c r="Z670" s="5"/>
      <c r="AA670" s="5"/>
      <c r="AC670" s="7"/>
      <c r="AE670" s="54" t="e">
        <f t="shared" si="94"/>
        <v>#N/A</v>
      </c>
      <c r="AF670" s="4" t="e">
        <f t="shared" si="90"/>
        <v>#N/A</v>
      </c>
    </row>
    <row r="671" spans="2:32">
      <c r="B671" s="5">
        <f t="shared" si="95"/>
        <v>659</v>
      </c>
      <c r="C671" s="5"/>
      <c r="E671" s="13"/>
      <c r="F671" s="5"/>
      <c r="G671" s="11">
        <f>IF(ISERROR(AVERAGE(F$13:F671)),"n/a",AVERAGE(F$13:F671))</f>
        <v>117</v>
      </c>
      <c r="H671" s="11">
        <f t="shared" si="91"/>
        <v>117</v>
      </c>
      <c r="J671" s="5"/>
      <c r="K671" s="5"/>
      <c r="L671" s="5"/>
      <c r="M671" s="5"/>
      <c r="N671" s="5"/>
      <c r="O671" s="8" t="str">
        <f t="shared" si="89"/>
        <v>n/a</v>
      </c>
      <c r="Q671" s="5"/>
      <c r="R671" s="5"/>
      <c r="S671" s="5"/>
      <c r="U671" s="6"/>
      <c r="V671" s="9" t="str">
        <f t="shared" si="92"/>
        <v/>
      </c>
      <c r="W671" s="9" t="str">
        <f t="shared" si="93"/>
        <v/>
      </c>
      <c r="X671" s="10">
        <f>SUM(V$13:V671)/COUNTA(B$13:B671)</f>
        <v>1.0622154779969651E-2</v>
      </c>
      <c r="Z671" s="5"/>
      <c r="AA671" s="5"/>
      <c r="AC671" s="7"/>
      <c r="AE671" s="54" t="e">
        <f t="shared" si="94"/>
        <v>#N/A</v>
      </c>
      <c r="AF671" s="4" t="e">
        <f t="shared" si="90"/>
        <v>#N/A</v>
      </c>
    </row>
    <row r="672" spans="2:32">
      <c r="B672" s="5">
        <f t="shared" si="95"/>
        <v>660</v>
      </c>
      <c r="C672" s="5"/>
      <c r="E672" s="13"/>
      <c r="F672" s="5"/>
      <c r="G672" s="11">
        <f>IF(ISERROR(AVERAGE(F$13:F672)),"n/a",AVERAGE(F$13:F672))</f>
        <v>117</v>
      </c>
      <c r="H672" s="11">
        <f t="shared" si="91"/>
        <v>117</v>
      </c>
      <c r="J672" s="5"/>
      <c r="K672" s="5"/>
      <c r="L672" s="5"/>
      <c r="M672" s="5"/>
      <c r="N672" s="5"/>
      <c r="O672" s="8" t="str">
        <f t="shared" si="89"/>
        <v>n/a</v>
      </c>
      <c r="Q672" s="5"/>
      <c r="R672" s="5"/>
      <c r="S672" s="5"/>
      <c r="U672" s="6"/>
      <c r="V672" s="9" t="str">
        <f t="shared" si="92"/>
        <v/>
      </c>
      <c r="W672" s="9" t="str">
        <f t="shared" si="93"/>
        <v/>
      </c>
      <c r="X672" s="10">
        <f>SUM(V$13:V672)/COUNTA(B$13:B672)</f>
        <v>1.0606060606060607E-2</v>
      </c>
      <c r="Z672" s="5"/>
      <c r="AA672" s="5"/>
      <c r="AC672" s="7"/>
      <c r="AE672" s="54" t="e">
        <f t="shared" si="94"/>
        <v>#N/A</v>
      </c>
      <c r="AF672" s="4" t="e">
        <f t="shared" si="90"/>
        <v>#N/A</v>
      </c>
    </row>
    <row r="673" spans="2:32">
      <c r="B673" s="5">
        <f t="shared" si="95"/>
        <v>661</v>
      </c>
      <c r="C673" s="5"/>
      <c r="E673" s="13"/>
      <c r="F673" s="5"/>
      <c r="G673" s="11">
        <f>IF(ISERROR(AVERAGE(F$13:F673)),"n/a",AVERAGE(F$13:F673))</f>
        <v>117</v>
      </c>
      <c r="H673" s="11">
        <f t="shared" si="91"/>
        <v>117</v>
      </c>
      <c r="J673" s="5"/>
      <c r="K673" s="5"/>
      <c r="L673" s="5"/>
      <c r="M673" s="5"/>
      <c r="N673" s="5"/>
      <c r="O673" s="8" t="str">
        <f t="shared" si="89"/>
        <v>n/a</v>
      </c>
      <c r="Q673" s="5"/>
      <c r="R673" s="5"/>
      <c r="S673" s="5"/>
      <c r="U673" s="6"/>
      <c r="V673" s="9" t="str">
        <f t="shared" si="92"/>
        <v/>
      </c>
      <c r="W673" s="9" t="str">
        <f t="shared" si="93"/>
        <v/>
      </c>
      <c r="X673" s="10">
        <f>SUM(V$13:V673)/COUNTA(B$13:B673)</f>
        <v>1.059001512859304E-2</v>
      </c>
      <c r="Z673" s="5"/>
      <c r="AA673" s="5"/>
      <c r="AC673" s="7"/>
      <c r="AE673" s="54" t="e">
        <f t="shared" si="94"/>
        <v>#N/A</v>
      </c>
      <c r="AF673" s="4" t="e">
        <f t="shared" si="90"/>
        <v>#N/A</v>
      </c>
    </row>
    <row r="674" spans="2:32">
      <c r="B674" s="5">
        <f t="shared" si="95"/>
        <v>662</v>
      </c>
      <c r="C674" s="5"/>
      <c r="E674" s="13"/>
      <c r="F674" s="5"/>
      <c r="G674" s="11">
        <f>IF(ISERROR(AVERAGE(F$13:F674)),"n/a",AVERAGE(F$13:F674))</f>
        <v>117</v>
      </c>
      <c r="H674" s="11">
        <f t="shared" si="91"/>
        <v>117</v>
      </c>
      <c r="J674" s="5"/>
      <c r="K674" s="5"/>
      <c r="L674" s="5"/>
      <c r="M674" s="5"/>
      <c r="N674" s="5"/>
      <c r="O674" s="8" t="str">
        <f t="shared" si="89"/>
        <v>n/a</v>
      </c>
      <c r="Q674" s="5"/>
      <c r="R674" s="5"/>
      <c r="S674" s="5"/>
      <c r="U674" s="6"/>
      <c r="V674" s="9" t="str">
        <f t="shared" si="92"/>
        <v/>
      </c>
      <c r="W674" s="9" t="str">
        <f t="shared" si="93"/>
        <v/>
      </c>
      <c r="X674" s="10">
        <f>SUM(V$13:V674)/COUNTA(B$13:B674)</f>
        <v>1.0574018126888218E-2</v>
      </c>
      <c r="Z674" s="5"/>
      <c r="AA674" s="5"/>
      <c r="AC674" s="7"/>
      <c r="AE674" s="54" t="e">
        <f t="shared" si="94"/>
        <v>#N/A</v>
      </c>
      <c r="AF674" s="4" t="e">
        <f t="shared" si="90"/>
        <v>#N/A</v>
      </c>
    </row>
    <row r="675" spans="2:32">
      <c r="B675" s="5">
        <f t="shared" si="95"/>
        <v>663</v>
      </c>
      <c r="C675" s="5"/>
      <c r="E675" s="13"/>
      <c r="F675" s="5"/>
      <c r="G675" s="11">
        <f>IF(ISERROR(AVERAGE(F$13:F675)),"n/a",AVERAGE(F$13:F675))</f>
        <v>117</v>
      </c>
      <c r="H675" s="11">
        <f t="shared" si="91"/>
        <v>117</v>
      </c>
      <c r="J675" s="5"/>
      <c r="K675" s="5"/>
      <c r="L675" s="5"/>
      <c r="M675" s="5"/>
      <c r="N675" s="5"/>
      <c r="O675" s="8" t="str">
        <f t="shared" si="89"/>
        <v>n/a</v>
      </c>
      <c r="Q675" s="5"/>
      <c r="R675" s="5"/>
      <c r="S675" s="5"/>
      <c r="U675" s="6"/>
      <c r="V675" s="9" t="str">
        <f t="shared" si="92"/>
        <v/>
      </c>
      <c r="W675" s="9" t="str">
        <f t="shared" si="93"/>
        <v/>
      </c>
      <c r="X675" s="10">
        <f>SUM(V$13:V675)/COUNTA(B$13:B675)</f>
        <v>1.0558069381598794E-2</v>
      </c>
      <c r="Z675" s="5"/>
      <c r="AA675" s="5"/>
      <c r="AC675" s="7"/>
      <c r="AE675" s="54" t="e">
        <f t="shared" si="94"/>
        <v>#N/A</v>
      </c>
      <c r="AF675" s="4" t="e">
        <f t="shared" si="90"/>
        <v>#N/A</v>
      </c>
    </row>
    <row r="676" spans="2:32">
      <c r="B676" s="5">
        <f t="shared" si="95"/>
        <v>664</v>
      </c>
      <c r="C676" s="5"/>
      <c r="E676" s="13"/>
      <c r="F676" s="5"/>
      <c r="G676" s="11">
        <f>IF(ISERROR(AVERAGE(F$13:F676)),"n/a",AVERAGE(F$13:F676))</f>
        <v>117</v>
      </c>
      <c r="H676" s="11">
        <f t="shared" si="91"/>
        <v>117</v>
      </c>
      <c r="J676" s="5"/>
      <c r="K676" s="5"/>
      <c r="L676" s="5"/>
      <c r="M676" s="5"/>
      <c r="N676" s="5"/>
      <c r="O676" s="8" t="str">
        <f t="shared" si="89"/>
        <v>n/a</v>
      </c>
      <c r="Q676" s="5"/>
      <c r="R676" s="5"/>
      <c r="S676" s="5"/>
      <c r="U676" s="6"/>
      <c r="V676" s="9" t="str">
        <f t="shared" si="92"/>
        <v/>
      </c>
      <c r="W676" s="9" t="str">
        <f t="shared" si="93"/>
        <v/>
      </c>
      <c r="X676" s="10">
        <f>SUM(V$13:V676)/COUNTA(B$13:B676)</f>
        <v>1.0542168674698794E-2</v>
      </c>
      <c r="Z676" s="5"/>
      <c r="AA676" s="5"/>
      <c r="AC676" s="7"/>
      <c r="AE676" s="54" t="e">
        <f t="shared" si="94"/>
        <v>#N/A</v>
      </c>
      <c r="AF676" s="4" t="e">
        <f t="shared" si="90"/>
        <v>#N/A</v>
      </c>
    </row>
    <row r="677" spans="2:32">
      <c r="B677" s="5">
        <f t="shared" si="95"/>
        <v>665</v>
      </c>
      <c r="C677" s="5"/>
      <c r="E677" s="13"/>
      <c r="F677" s="5"/>
      <c r="G677" s="11">
        <f>IF(ISERROR(AVERAGE(F$13:F677)),"n/a",AVERAGE(F$13:F677))</f>
        <v>117</v>
      </c>
      <c r="H677" s="11">
        <f t="shared" si="91"/>
        <v>117</v>
      </c>
      <c r="J677" s="5"/>
      <c r="K677" s="5"/>
      <c r="L677" s="5"/>
      <c r="M677" s="5"/>
      <c r="N677" s="5"/>
      <c r="O677" s="8" t="str">
        <f t="shared" si="89"/>
        <v>n/a</v>
      </c>
      <c r="Q677" s="5"/>
      <c r="R677" s="5"/>
      <c r="S677" s="5"/>
      <c r="U677" s="6"/>
      <c r="V677" s="9" t="str">
        <f t="shared" si="92"/>
        <v/>
      </c>
      <c r="W677" s="9" t="str">
        <f t="shared" si="93"/>
        <v/>
      </c>
      <c r="X677" s="10">
        <f>SUM(V$13:V677)/COUNTA(B$13:B677)</f>
        <v>1.0526315789473684E-2</v>
      </c>
      <c r="Z677" s="5"/>
      <c r="AA677" s="5"/>
      <c r="AC677" s="7"/>
      <c r="AE677" s="54" t="e">
        <f t="shared" si="94"/>
        <v>#N/A</v>
      </c>
      <c r="AF677" s="4" t="e">
        <f t="shared" si="90"/>
        <v>#N/A</v>
      </c>
    </row>
    <row r="678" spans="2:32">
      <c r="B678" s="5">
        <f t="shared" si="95"/>
        <v>666</v>
      </c>
      <c r="C678" s="5"/>
      <c r="E678" s="13"/>
      <c r="F678" s="5"/>
      <c r="G678" s="11">
        <f>IF(ISERROR(AVERAGE(F$13:F678)),"n/a",AVERAGE(F$13:F678))</f>
        <v>117</v>
      </c>
      <c r="H678" s="11">
        <f t="shared" si="91"/>
        <v>117</v>
      </c>
      <c r="J678" s="5"/>
      <c r="K678" s="5"/>
      <c r="L678" s="5"/>
      <c r="M678" s="5"/>
      <c r="N678" s="5"/>
      <c r="O678" s="8" t="str">
        <f t="shared" si="89"/>
        <v>n/a</v>
      </c>
      <c r="Q678" s="5"/>
      <c r="R678" s="5"/>
      <c r="S678" s="5"/>
      <c r="U678" s="6"/>
      <c r="V678" s="9" t="str">
        <f t="shared" si="92"/>
        <v/>
      </c>
      <c r="W678" s="9" t="str">
        <f t="shared" si="93"/>
        <v/>
      </c>
      <c r="X678" s="10">
        <f>SUM(V$13:V678)/COUNTA(B$13:B678)</f>
        <v>1.0510510510510511E-2</v>
      </c>
      <c r="Z678" s="5"/>
      <c r="AA678" s="5"/>
      <c r="AC678" s="7"/>
      <c r="AE678" s="54" t="e">
        <f t="shared" si="94"/>
        <v>#N/A</v>
      </c>
      <c r="AF678" s="4" t="e">
        <f t="shared" si="90"/>
        <v>#N/A</v>
      </c>
    </row>
    <row r="679" spans="2:32">
      <c r="B679" s="5">
        <f t="shared" si="95"/>
        <v>667</v>
      </c>
      <c r="C679" s="5"/>
      <c r="E679" s="13"/>
      <c r="F679" s="5"/>
      <c r="G679" s="11">
        <f>IF(ISERROR(AVERAGE(F$13:F679)),"n/a",AVERAGE(F$13:F679))</f>
        <v>117</v>
      </c>
      <c r="H679" s="11">
        <f t="shared" si="91"/>
        <v>117</v>
      </c>
      <c r="J679" s="5"/>
      <c r="K679" s="5"/>
      <c r="L679" s="5"/>
      <c r="M679" s="5"/>
      <c r="N679" s="5"/>
      <c r="O679" s="8" t="str">
        <f t="shared" si="89"/>
        <v>n/a</v>
      </c>
      <c r="Q679" s="5"/>
      <c r="R679" s="5"/>
      <c r="S679" s="5"/>
      <c r="U679" s="6"/>
      <c r="V679" s="9" t="str">
        <f t="shared" si="92"/>
        <v/>
      </c>
      <c r="W679" s="9" t="str">
        <f t="shared" si="93"/>
        <v/>
      </c>
      <c r="X679" s="10">
        <f>SUM(V$13:V679)/COUNTA(B$13:B679)</f>
        <v>1.0494752623688156E-2</v>
      </c>
      <c r="Z679" s="5"/>
      <c r="AA679" s="5"/>
      <c r="AC679" s="7"/>
      <c r="AE679" s="54" t="e">
        <f t="shared" si="94"/>
        <v>#N/A</v>
      </c>
      <c r="AF679" s="4" t="e">
        <f t="shared" si="90"/>
        <v>#N/A</v>
      </c>
    </row>
    <row r="680" spans="2:32">
      <c r="B680" s="5">
        <f t="shared" si="95"/>
        <v>668</v>
      </c>
      <c r="C680" s="5"/>
      <c r="E680" s="13"/>
      <c r="F680" s="5"/>
      <c r="G680" s="11">
        <f>IF(ISERROR(AVERAGE(F$13:F680)),"n/a",AVERAGE(F$13:F680))</f>
        <v>117</v>
      </c>
      <c r="H680" s="11">
        <f t="shared" si="91"/>
        <v>117</v>
      </c>
      <c r="J680" s="5"/>
      <c r="K680" s="5"/>
      <c r="L680" s="5"/>
      <c r="M680" s="5"/>
      <c r="N680" s="5"/>
      <c r="O680" s="8" t="str">
        <f t="shared" si="89"/>
        <v>n/a</v>
      </c>
      <c r="Q680" s="5"/>
      <c r="R680" s="5"/>
      <c r="S680" s="5"/>
      <c r="U680" s="6"/>
      <c r="V680" s="9" t="str">
        <f t="shared" si="92"/>
        <v/>
      </c>
      <c r="W680" s="9" t="str">
        <f t="shared" si="93"/>
        <v/>
      </c>
      <c r="X680" s="10">
        <f>SUM(V$13:V680)/COUNTA(B$13:B680)</f>
        <v>1.0479041916167664E-2</v>
      </c>
      <c r="Z680" s="5"/>
      <c r="AA680" s="5"/>
      <c r="AC680" s="7"/>
      <c r="AE680" s="54" t="e">
        <f t="shared" si="94"/>
        <v>#N/A</v>
      </c>
      <c r="AF680" s="4" t="e">
        <f t="shared" si="90"/>
        <v>#N/A</v>
      </c>
    </row>
    <row r="681" spans="2:32">
      <c r="B681" s="5">
        <f t="shared" si="95"/>
        <v>669</v>
      </c>
      <c r="C681" s="5"/>
      <c r="E681" s="13"/>
      <c r="F681" s="5"/>
      <c r="G681" s="11">
        <f>IF(ISERROR(AVERAGE(F$13:F681)),"n/a",AVERAGE(F$13:F681))</f>
        <v>117</v>
      </c>
      <c r="H681" s="11">
        <f t="shared" si="91"/>
        <v>117</v>
      </c>
      <c r="J681" s="5"/>
      <c r="K681" s="5"/>
      <c r="L681" s="5"/>
      <c r="M681" s="5"/>
      <c r="N681" s="5"/>
      <c r="O681" s="8" t="str">
        <f t="shared" si="89"/>
        <v>n/a</v>
      </c>
      <c r="Q681" s="5"/>
      <c r="R681" s="5"/>
      <c r="S681" s="5"/>
      <c r="U681" s="6"/>
      <c r="V681" s="9" t="str">
        <f t="shared" si="92"/>
        <v/>
      </c>
      <c r="W681" s="9" t="str">
        <f t="shared" si="93"/>
        <v/>
      </c>
      <c r="X681" s="10">
        <f>SUM(V$13:V681)/COUNTA(B$13:B681)</f>
        <v>1.0463378176382661E-2</v>
      </c>
      <c r="Z681" s="5"/>
      <c r="AA681" s="5"/>
      <c r="AC681" s="7"/>
      <c r="AE681" s="54" t="e">
        <f t="shared" si="94"/>
        <v>#N/A</v>
      </c>
      <c r="AF681" s="4" t="e">
        <f t="shared" si="90"/>
        <v>#N/A</v>
      </c>
    </row>
    <row r="682" spans="2:32">
      <c r="B682" s="5">
        <f t="shared" si="95"/>
        <v>670</v>
      </c>
      <c r="C682" s="5"/>
      <c r="E682" s="13"/>
      <c r="F682" s="5"/>
      <c r="G682" s="11">
        <f>IF(ISERROR(AVERAGE(F$13:F682)),"n/a",AVERAGE(F$13:F682))</f>
        <v>117</v>
      </c>
      <c r="H682" s="11">
        <f t="shared" si="91"/>
        <v>117</v>
      </c>
      <c r="J682" s="5"/>
      <c r="K682" s="5"/>
      <c r="L682" s="5"/>
      <c r="M682" s="5"/>
      <c r="N682" s="5"/>
      <c r="O682" s="8" t="str">
        <f t="shared" si="89"/>
        <v>n/a</v>
      </c>
      <c r="Q682" s="5"/>
      <c r="R682" s="5"/>
      <c r="S682" s="5"/>
      <c r="U682" s="6"/>
      <c r="V682" s="9" t="str">
        <f t="shared" si="92"/>
        <v/>
      </c>
      <c r="W682" s="9" t="str">
        <f t="shared" si="93"/>
        <v/>
      </c>
      <c r="X682" s="10">
        <f>SUM(V$13:V682)/COUNTA(B$13:B682)</f>
        <v>1.0447761194029851E-2</v>
      </c>
      <c r="Z682" s="5"/>
      <c r="AA682" s="5"/>
      <c r="AC682" s="7"/>
      <c r="AE682" s="54" t="e">
        <f t="shared" si="94"/>
        <v>#N/A</v>
      </c>
      <c r="AF682" s="4" t="e">
        <f t="shared" si="90"/>
        <v>#N/A</v>
      </c>
    </row>
    <row r="683" spans="2:32">
      <c r="B683" s="5">
        <f t="shared" si="95"/>
        <v>671</v>
      </c>
      <c r="C683" s="5"/>
      <c r="E683" s="13"/>
      <c r="F683" s="5"/>
      <c r="G683" s="11">
        <f>IF(ISERROR(AVERAGE(F$13:F683)),"n/a",AVERAGE(F$13:F683))</f>
        <v>117</v>
      </c>
      <c r="H683" s="11">
        <f t="shared" si="91"/>
        <v>117</v>
      </c>
      <c r="J683" s="5"/>
      <c r="K683" s="5"/>
      <c r="L683" s="5"/>
      <c r="M683" s="5"/>
      <c r="N683" s="5"/>
      <c r="O683" s="8" t="str">
        <f t="shared" si="89"/>
        <v>n/a</v>
      </c>
      <c r="Q683" s="5"/>
      <c r="R683" s="5"/>
      <c r="S683" s="5"/>
      <c r="U683" s="6"/>
      <c r="V683" s="9" t="str">
        <f t="shared" si="92"/>
        <v/>
      </c>
      <c r="W683" s="9" t="str">
        <f t="shared" si="93"/>
        <v/>
      </c>
      <c r="X683" s="10">
        <f>SUM(V$13:V683)/COUNTA(B$13:B683)</f>
        <v>1.0432190760059613E-2</v>
      </c>
      <c r="Z683" s="5"/>
      <c r="AA683" s="5"/>
      <c r="AC683" s="7"/>
      <c r="AE683" s="54" t="e">
        <f t="shared" si="94"/>
        <v>#N/A</v>
      </c>
      <c r="AF683" s="4" t="e">
        <f t="shared" si="90"/>
        <v>#N/A</v>
      </c>
    </row>
    <row r="684" spans="2:32">
      <c r="B684" s="5">
        <f t="shared" si="95"/>
        <v>672</v>
      </c>
      <c r="C684" s="5"/>
      <c r="E684" s="13"/>
      <c r="F684" s="5"/>
      <c r="G684" s="11">
        <f>IF(ISERROR(AVERAGE(F$13:F684)),"n/a",AVERAGE(F$13:F684))</f>
        <v>117</v>
      </c>
      <c r="H684" s="11">
        <f t="shared" si="91"/>
        <v>117</v>
      </c>
      <c r="J684" s="5"/>
      <c r="K684" s="5"/>
      <c r="L684" s="5"/>
      <c r="M684" s="5"/>
      <c r="N684" s="5"/>
      <c r="O684" s="8" t="str">
        <f t="shared" si="89"/>
        <v>n/a</v>
      </c>
      <c r="Q684" s="5"/>
      <c r="R684" s="5"/>
      <c r="S684" s="5"/>
      <c r="U684" s="6"/>
      <c r="V684" s="9" t="str">
        <f t="shared" si="92"/>
        <v/>
      </c>
      <c r="W684" s="9" t="str">
        <f t="shared" si="93"/>
        <v/>
      </c>
      <c r="X684" s="10">
        <f>SUM(V$13:V684)/COUNTA(B$13:B684)</f>
        <v>1.0416666666666666E-2</v>
      </c>
      <c r="Z684" s="5"/>
      <c r="AA684" s="5"/>
      <c r="AC684" s="7"/>
      <c r="AE684" s="54" t="e">
        <f t="shared" si="94"/>
        <v>#N/A</v>
      </c>
      <c r="AF684" s="4" t="e">
        <f t="shared" si="90"/>
        <v>#N/A</v>
      </c>
    </row>
    <row r="685" spans="2:32">
      <c r="B685" s="5">
        <f t="shared" si="95"/>
        <v>673</v>
      </c>
      <c r="C685" s="5"/>
      <c r="E685" s="13"/>
      <c r="F685" s="5"/>
      <c r="G685" s="11">
        <f>IF(ISERROR(AVERAGE(F$13:F685)),"n/a",AVERAGE(F$13:F685))</f>
        <v>117</v>
      </c>
      <c r="H685" s="11">
        <f t="shared" si="91"/>
        <v>117</v>
      </c>
      <c r="J685" s="5"/>
      <c r="K685" s="5"/>
      <c r="L685" s="5"/>
      <c r="M685" s="5"/>
      <c r="N685" s="5"/>
      <c r="O685" s="8" t="str">
        <f t="shared" si="89"/>
        <v>n/a</v>
      </c>
      <c r="Q685" s="5"/>
      <c r="R685" s="5"/>
      <c r="S685" s="5"/>
      <c r="U685" s="6"/>
      <c r="V685" s="9" t="str">
        <f t="shared" si="92"/>
        <v/>
      </c>
      <c r="W685" s="9" t="str">
        <f t="shared" si="93"/>
        <v/>
      </c>
      <c r="X685" s="10">
        <f>SUM(V$13:V685)/COUNTA(B$13:B685)</f>
        <v>1.0401188707280832E-2</v>
      </c>
      <c r="Z685" s="5"/>
      <c r="AA685" s="5"/>
      <c r="AC685" s="7"/>
      <c r="AE685" s="54" t="e">
        <f t="shared" si="94"/>
        <v>#N/A</v>
      </c>
      <c r="AF685" s="4" t="e">
        <f t="shared" si="90"/>
        <v>#N/A</v>
      </c>
    </row>
    <row r="686" spans="2:32">
      <c r="B686" s="5">
        <f t="shared" si="95"/>
        <v>674</v>
      </c>
      <c r="C686" s="5"/>
      <c r="E686" s="13"/>
      <c r="F686" s="5"/>
      <c r="G686" s="11">
        <f>IF(ISERROR(AVERAGE(F$13:F686)),"n/a",AVERAGE(F$13:F686))</f>
        <v>117</v>
      </c>
      <c r="H686" s="11">
        <f t="shared" si="91"/>
        <v>117</v>
      </c>
      <c r="J686" s="5"/>
      <c r="K686" s="5"/>
      <c r="L686" s="5"/>
      <c r="M686" s="5"/>
      <c r="N686" s="5"/>
      <c r="O686" s="8" t="str">
        <f t="shared" si="89"/>
        <v>n/a</v>
      </c>
      <c r="Q686" s="5"/>
      <c r="R686" s="5"/>
      <c r="S686" s="5"/>
      <c r="U686" s="6"/>
      <c r="V686" s="9" t="str">
        <f t="shared" si="92"/>
        <v/>
      </c>
      <c r="W686" s="9" t="str">
        <f t="shared" si="93"/>
        <v/>
      </c>
      <c r="X686" s="10">
        <f>SUM(V$13:V686)/COUNTA(B$13:B686)</f>
        <v>1.0385756676557863E-2</v>
      </c>
      <c r="Z686" s="5"/>
      <c r="AA686" s="5"/>
      <c r="AC686" s="7"/>
      <c r="AE686" s="54" t="e">
        <f t="shared" si="94"/>
        <v>#N/A</v>
      </c>
      <c r="AF686" s="4" t="e">
        <f t="shared" si="90"/>
        <v>#N/A</v>
      </c>
    </row>
    <row r="687" spans="2:32">
      <c r="B687" s="5">
        <f t="shared" si="95"/>
        <v>675</v>
      </c>
      <c r="C687" s="5"/>
      <c r="E687" s="13"/>
      <c r="F687" s="5"/>
      <c r="G687" s="11">
        <f>IF(ISERROR(AVERAGE(F$13:F687)),"n/a",AVERAGE(F$13:F687))</f>
        <v>117</v>
      </c>
      <c r="H687" s="11">
        <f t="shared" si="91"/>
        <v>117</v>
      </c>
      <c r="J687" s="5"/>
      <c r="K687" s="5"/>
      <c r="L687" s="5"/>
      <c r="M687" s="5"/>
      <c r="N687" s="5"/>
      <c r="O687" s="8" t="str">
        <f t="shared" si="89"/>
        <v>n/a</v>
      </c>
      <c r="Q687" s="5"/>
      <c r="R687" s="5"/>
      <c r="S687" s="5"/>
      <c r="U687" s="6"/>
      <c r="V687" s="9" t="str">
        <f t="shared" si="92"/>
        <v/>
      </c>
      <c r="W687" s="9" t="str">
        <f t="shared" si="93"/>
        <v/>
      </c>
      <c r="X687" s="10">
        <f>SUM(V$13:V687)/COUNTA(B$13:B687)</f>
        <v>1.037037037037037E-2</v>
      </c>
      <c r="Z687" s="5"/>
      <c r="AA687" s="5"/>
      <c r="AC687" s="7"/>
      <c r="AE687" s="54" t="e">
        <f t="shared" si="94"/>
        <v>#N/A</v>
      </c>
      <c r="AF687" s="4" t="e">
        <f t="shared" si="90"/>
        <v>#N/A</v>
      </c>
    </row>
    <row r="688" spans="2:32">
      <c r="B688" s="5">
        <f t="shared" si="95"/>
        <v>676</v>
      </c>
      <c r="C688" s="5"/>
      <c r="E688" s="13"/>
      <c r="F688" s="5"/>
      <c r="G688" s="11">
        <f>IF(ISERROR(AVERAGE(F$13:F688)),"n/a",AVERAGE(F$13:F688))</f>
        <v>117</v>
      </c>
      <c r="H688" s="11">
        <f t="shared" si="91"/>
        <v>117</v>
      </c>
      <c r="J688" s="5"/>
      <c r="K688" s="5"/>
      <c r="L688" s="5"/>
      <c r="M688" s="5"/>
      <c r="N688" s="5"/>
      <c r="O688" s="8" t="str">
        <f t="shared" si="89"/>
        <v>n/a</v>
      </c>
      <c r="Q688" s="5"/>
      <c r="R688" s="5"/>
      <c r="S688" s="5"/>
      <c r="U688" s="6"/>
      <c r="V688" s="9" t="str">
        <f t="shared" si="92"/>
        <v/>
      </c>
      <c r="W688" s="9" t="str">
        <f t="shared" si="93"/>
        <v/>
      </c>
      <c r="X688" s="10">
        <f>SUM(V$13:V688)/COUNTA(B$13:B688)</f>
        <v>1.0355029585798817E-2</v>
      </c>
      <c r="Z688" s="5"/>
      <c r="AA688" s="5"/>
      <c r="AC688" s="7"/>
      <c r="AE688" s="54" t="e">
        <f t="shared" si="94"/>
        <v>#N/A</v>
      </c>
      <c r="AF688" s="4" t="e">
        <f t="shared" si="90"/>
        <v>#N/A</v>
      </c>
    </row>
    <row r="689" spans="2:32">
      <c r="B689" s="5">
        <f t="shared" si="95"/>
        <v>677</v>
      </c>
      <c r="C689" s="5"/>
      <c r="E689" s="13"/>
      <c r="F689" s="5"/>
      <c r="G689" s="11">
        <f>IF(ISERROR(AVERAGE(F$13:F689)),"n/a",AVERAGE(F$13:F689))</f>
        <v>117</v>
      </c>
      <c r="H689" s="11">
        <f t="shared" si="91"/>
        <v>117</v>
      </c>
      <c r="J689" s="5"/>
      <c r="K689" s="5"/>
      <c r="L689" s="5"/>
      <c r="M689" s="5"/>
      <c r="N689" s="5"/>
      <c r="O689" s="8" t="str">
        <f t="shared" ref="O689:O752" si="96">IF(J689=1,"A",IF(K689=1,"B",IF(L689=1,"C",IF(M689=1,"D",IF(N689=1,"E","n/a")))))</f>
        <v>n/a</v>
      </c>
      <c r="Q689" s="5"/>
      <c r="R689" s="5"/>
      <c r="S689" s="5"/>
      <c r="U689" s="6"/>
      <c r="V689" s="9" t="str">
        <f t="shared" si="92"/>
        <v/>
      </c>
      <c r="W689" s="9" t="str">
        <f t="shared" si="93"/>
        <v/>
      </c>
      <c r="X689" s="10">
        <f>SUM(V$13:V689)/COUNTA(B$13:B689)</f>
        <v>1.03397341211226E-2</v>
      </c>
      <c r="Z689" s="5"/>
      <c r="AA689" s="5"/>
      <c r="AC689" s="7"/>
      <c r="AE689" s="54" t="e">
        <f t="shared" si="94"/>
        <v>#N/A</v>
      </c>
      <c r="AF689" s="4" t="e">
        <f t="shared" si="90"/>
        <v>#N/A</v>
      </c>
    </row>
    <row r="690" spans="2:32">
      <c r="B690" s="5">
        <f t="shared" si="95"/>
        <v>678</v>
      </c>
      <c r="C690" s="5"/>
      <c r="E690" s="13"/>
      <c r="F690" s="5"/>
      <c r="G690" s="11">
        <f>IF(ISERROR(AVERAGE(F$13:F690)),"n/a",AVERAGE(F$13:F690))</f>
        <v>117</v>
      </c>
      <c r="H690" s="11">
        <f t="shared" si="91"/>
        <v>117</v>
      </c>
      <c r="J690" s="5"/>
      <c r="K690" s="5"/>
      <c r="L690" s="5"/>
      <c r="M690" s="5"/>
      <c r="N690" s="5"/>
      <c r="O690" s="8" t="str">
        <f t="shared" si="96"/>
        <v>n/a</v>
      </c>
      <c r="Q690" s="5"/>
      <c r="R690" s="5"/>
      <c r="S690" s="5"/>
      <c r="U690" s="6"/>
      <c r="V690" s="9" t="str">
        <f t="shared" si="92"/>
        <v/>
      </c>
      <c r="W690" s="9" t="str">
        <f t="shared" si="93"/>
        <v/>
      </c>
      <c r="X690" s="10">
        <f>SUM(V$13:V690)/COUNTA(B$13:B690)</f>
        <v>1.0324483775811209E-2</v>
      </c>
      <c r="Z690" s="5"/>
      <c r="AA690" s="5"/>
      <c r="AC690" s="7"/>
      <c r="AE690" s="54" t="e">
        <f t="shared" si="94"/>
        <v>#N/A</v>
      </c>
      <c r="AF690" s="4" t="e">
        <f t="shared" si="90"/>
        <v>#N/A</v>
      </c>
    </row>
    <row r="691" spans="2:32">
      <c r="B691" s="5">
        <f t="shared" si="95"/>
        <v>679</v>
      </c>
      <c r="C691" s="5"/>
      <c r="E691" s="13"/>
      <c r="F691" s="5"/>
      <c r="G691" s="11">
        <f>IF(ISERROR(AVERAGE(F$13:F691)),"n/a",AVERAGE(F$13:F691))</f>
        <v>117</v>
      </c>
      <c r="H691" s="11">
        <f t="shared" si="91"/>
        <v>117</v>
      </c>
      <c r="J691" s="5"/>
      <c r="K691" s="5"/>
      <c r="L691" s="5"/>
      <c r="M691" s="5"/>
      <c r="N691" s="5"/>
      <c r="O691" s="8" t="str">
        <f t="shared" si="96"/>
        <v>n/a</v>
      </c>
      <c r="Q691" s="5"/>
      <c r="R691" s="5"/>
      <c r="S691" s="5"/>
      <c r="U691" s="6"/>
      <c r="V691" s="9" t="str">
        <f t="shared" si="92"/>
        <v/>
      </c>
      <c r="W691" s="9" t="str">
        <f t="shared" si="93"/>
        <v/>
      </c>
      <c r="X691" s="10">
        <f>SUM(V$13:V691)/COUNTA(B$13:B691)</f>
        <v>1.0309278350515464E-2</v>
      </c>
      <c r="Z691" s="5"/>
      <c r="AA691" s="5"/>
      <c r="AC691" s="7"/>
      <c r="AE691" s="54" t="e">
        <f t="shared" si="94"/>
        <v>#N/A</v>
      </c>
      <c r="AF691" s="4" t="e">
        <f t="shared" si="90"/>
        <v>#N/A</v>
      </c>
    </row>
    <row r="692" spans="2:32">
      <c r="B692" s="5">
        <f t="shared" si="95"/>
        <v>680</v>
      </c>
      <c r="C692" s="5"/>
      <c r="E692" s="13"/>
      <c r="F692" s="5"/>
      <c r="G692" s="11">
        <f>IF(ISERROR(AVERAGE(F$13:F692)),"n/a",AVERAGE(F$13:F692))</f>
        <v>117</v>
      </c>
      <c r="H692" s="11">
        <f t="shared" si="91"/>
        <v>117</v>
      </c>
      <c r="J692" s="5"/>
      <c r="K692" s="5"/>
      <c r="L692" s="5"/>
      <c r="M692" s="5"/>
      <c r="N692" s="5"/>
      <c r="O692" s="8" t="str">
        <f t="shared" si="96"/>
        <v>n/a</v>
      </c>
      <c r="Q692" s="5"/>
      <c r="R692" s="5"/>
      <c r="S692" s="5"/>
      <c r="U692" s="6"/>
      <c r="V692" s="9" t="str">
        <f t="shared" si="92"/>
        <v/>
      </c>
      <c r="W692" s="9" t="str">
        <f t="shared" si="93"/>
        <v/>
      </c>
      <c r="X692" s="10">
        <f>SUM(V$13:V692)/COUNTA(B$13:B692)</f>
        <v>1.0294117647058823E-2</v>
      </c>
      <c r="Z692" s="5"/>
      <c r="AA692" s="5"/>
      <c r="AC692" s="7"/>
      <c r="AE692" s="54" t="e">
        <f t="shared" si="94"/>
        <v>#N/A</v>
      </c>
      <c r="AF692" s="4" t="e">
        <f t="shared" si="90"/>
        <v>#N/A</v>
      </c>
    </row>
    <row r="693" spans="2:32">
      <c r="B693" s="5">
        <f t="shared" si="95"/>
        <v>681</v>
      </c>
      <c r="C693" s="5"/>
      <c r="E693" s="13"/>
      <c r="F693" s="5"/>
      <c r="G693" s="11">
        <f>IF(ISERROR(AVERAGE(F$13:F693)),"n/a",AVERAGE(F$13:F693))</f>
        <v>117</v>
      </c>
      <c r="H693" s="11">
        <f t="shared" si="91"/>
        <v>117</v>
      </c>
      <c r="J693" s="5"/>
      <c r="K693" s="5"/>
      <c r="L693" s="5"/>
      <c r="M693" s="5"/>
      <c r="N693" s="5"/>
      <c r="O693" s="8" t="str">
        <f t="shared" si="96"/>
        <v>n/a</v>
      </c>
      <c r="Q693" s="5"/>
      <c r="R693" s="5"/>
      <c r="S693" s="5"/>
      <c r="U693" s="6"/>
      <c r="V693" s="9" t="str">
        <f t="shared" si="92"/>
        <v/>
      </c>
      <c r="W693" s="9" t="str">
        <f t="shared" si="93"/>
        <v/>
      </c>
      <c r="X693" s="10">
        <f>SUM(V$13:V693)/COUNTA(B$13:B693)</f>
        <v>1.0279001468428781E-2</v>
      </c>
      <c r="Z693" s="5"/>
      <c r="AA693" s="5"/>
      <c r="AC693" s="7"/>
      <c r="AE693" s="54" t="e">
        <f t="shared" si="94"/>
        <v>#N/A</v>
      </c>
      <c r="AF693" s="4" t="e">
        <f t="shared" si="90"/>
        <v>#N/A</v>
      </c>
    </row>
    <row r="694" spans="2:32">
      <c r="B694" s="5">
        <f t="shared" si="95"/>
        <v>682</v>
      </c>
      <c r="C694" s="5"/>
      <c r="E694" s="13"/>
      <c r="F694" s="5"/>
      <c r="G694" s="11">
        <f>IF(ISERROR(AVERAGE(F$13:F694)),"n/a",AVERAGE(F$13:F694))</f>
        <v>117</v>
      </c>
      <c r="H694" s="11">
        <f t="shared" si="91"/>
        <v>117</v>
      </c>
      <c r="J694" s="5"/>
      <c r="K694" s="5"/>
      <c r="L694" s="5"/>
      <c r="M694" s="5"/>
      <c r="N694" s="5"/>
      <c r="O694" s="8" t="str">
        <f t="shared" si="96"/>
        <v>n/a</v>
      </c>
      <c r="Q694" s="5"/>
      <c r="R694" s="5"/>
      <c r="S694" s="5"/>
      <c r="U694" s="6"/>
      <c r="V694" s="9" t="str">
        <f t="shared" si="92"/>
        <v/>
      </c>
      <c r="W694" s="9" t="str">
        <f t="shared" si="93"/>
        <v/>
      </c>
      <c r="X694" s="10">
        <f>SUM(V$13:V694)/COUNTA(B$13:B694)</f>
        <v>1.0263929618768328E-2</v>
      </c>
      <c r="Z694" s="5"/>
      <c r="AA694" s="5"/>
      <c r="AC694" s="7"/>
      <c r="AE694" s="54" t="e">
        <f t="shared" si="94"/>
        <v>#N/A</v>
      </c>
      <c r="AF694" s="4" t="e">
        <f t="shared" si="90"/>
        <v>#N/A</v>
      </c>
    </row>
    <row r="695" spans="2:32">
      <c r="B695" s="5">
        <f t="shared" si="95"/>
        <v>683</v>
      </c>
      <c r="C695" s="5"/>
      <c r="E695" s="13"/>
      <c r="F695" s="5"/>
      <c r="G695" s="11">
        <f>IF(ISERROR(AVERAGE(F$13:F695)),"n/a",AVERAGE(F$13:F695))</f>
        <v>117</v>
      </c>
      <c r="H695" s="11">
        <f t="shared" si="91"/>
        <v>117</v>
      </c>
      <c r="J695" s="5"/>
      <c r="K695" s="5"/>
      <c r="L695" s="5"/>
      <c r="M695" s="5"/>
      <c r="N695" s="5"/>
      <c r="O695" s="8" t="str">
        <f t="shared" si="96"/>
        <v>n/a</v>
      </c>
      <c r="Q695" s="5"/>
      <c r="R695" s="5"/>
      <c r="S695" s="5"/>
      <c r="U695" s="6"/>
      <c r="V695" s="9" t="str">
        <f t="shared" si="92"/>
        <v/>
      </c>
      <c r="W695" s="9" t="str">
        <f t="shared" si="93"/>
        <v/>
      </c>
      <c r="X695" s="10">
        <f>SUM(V$13:V695)/COUNTA(B$13:B695)</f>
        <v>1.0248901903367497E-2</v>
      </c>
      <c r="Z695" s="5"/>
      <c r="AA695" s="5"/>
      <c r="AC695" s="7"/>
      <c r="AE695" s="54" t="e">
        <f t="shared" si="94"/>
        <v>#N/A</v>
      </c>
      <c r="AF695" s="4" t="e">
        <f t="shared" si="90"/>
        <v>#N/A</v>
      </c>
    </row>
    <row r="696" spans="2:32">
      <c r="B696" s="5">
        <f t="shared" si="95"/>
        <v>684</v>
      </c>
      <c r="C696" s="5"/>
      <c r="E696" s="13"/>
      <c r="F696" s="5"/>
      <c r="G696" s="11">
        <f>IF(ISERROR(AVERAGE(F$13:F696)),"n/a",AVERAGE(F$13:F696))</f>
        <v>117</v>
      </c>
      <c r="H696" s="11">
        <f t="shared" si="91"/>
        <v>117</v>
      </c>
      <c r="J696" s="5"/>
      <c r="K696" s="5"/>
      <c r="L696" s="5"/>
      <c r="M696" s="5"/>
      <c r="N696" s="5"/>
      <c r="O696" s="8" t="str">
        <f t="shared" si="96"/>
        <v>n/a</v>
      </c>
      <c r="Q696" s="5"/>
      <c r="R696" s="5"/>
      <c r="S696" s="5"/>
      <c r="U696" s="6"/>
      <c r="V696" s="9" t="str">
        <f t="shared" si="92"/>
        <v/>
      </c>
      <c r="W696" s="9" t="str">
        <f t="shared" si="93"/>
        <v/>
      </c>
      <c r="X696" s="10">
        <f>SUM(V$13:V696)/COUNTA(B$13:B696)</f>
        <v>1.023391812865497E-2</v>
      </c>
      <c r="Z696" s="5"/>
      <c r="AA696" s="5"/>
      <c r="AC696" s="7"/>
      <c r="AE696" s="54" t="e">
        <f t="shared" si="94"/>
        <v>#N/A</v>
      </c>
      <c r="AF696" s="4" t="e">
        <f t="shared" si="90"/>
        <v>#N/A</v>
      </c>
    </row>
    <row r="697" spans="2:32">
      <c r="B697" s="5">
        <f t="shared" si="95"/>
        <v>685</v>
      </c>
      <c r="C697" s="5"/>
      <c r="E697" s="13"/>
      <c r="F697" s="5"/>
      <c r="G697" s="11">
        <f>IF(ISERROR(AVERAGE(F$13:F697)),"n/a",AVERAGE(F$13:F697))</f>
        <v>117</v>
      </c>
      <c r="H697" s="11">
        <f t="shared" si="91"/>
        <v>117</v>
      </c>
      <c r="J697" s="5"/>
      <c r="K697" s="5"/>
      <c r="L697" s="5"/>
      <c r="M697" s="5"/>
      <c r="N697" s="5"/>
      <c r="O697" s="8" t="str">
        <f t="shared" si="96"/>
        <v>n/a</v>
      </c>
      <c r="Q697" s="5"/>
      <c r="R697" s="5"/>
      <c r="S697" s="5"/>
      <c r="U697" s="6"/>
      <c r="V697" s="9" t="str">
        <f t="shared" si="92"/>
        <v/>
      </c>
      <c r="W697" s="9" t="str">
        <f t="shared" si="93"/>
        <v/>
      </c>
      <c r="X697" s="10">
        <f>SUM(V$13:V697)/COUNTA(B$13:B697)</f>
        <v>1.0218978102189781E-2</v>
      </c>
      <c r="Z697" s="5"/>
      <c r="AA697" s="5"/>
      <c r="AC697" s="7"/>
      <c r="AE697" s="54" t="e">
        <f t="shared" si="94"/>
        <v>#N/A</v>
      </c>
      <c r="AF697" s="4" t="e">
        <f t="shared" si="90"/>
        <v>#N/A</v>
      </c>
    </row>
    <row r="698" spans="2:32">
      <c r="B698" s="5">
        <f t="shared" si="95"/>
        <v>686</v>
      </c>
      <c r="C698" s="5"/>
      <c r="E698" s="13"/>
      <c r="F698" s="5"/>
      <c r="G698" s="11">
        <f>IF(ISERROR(AVERAGE(F$13:F698)),"n/a",AVERAGE(F$13:F698))</f>
        <v>117</v>
      </c>
      <c r="H698" s="11">
        <f t="shared" si="91"/>
        <v>117</v>
      </c>
      <c r="J698" s="5"/>
      <c r="K698" s="5"/>
      <c r="L698" s="5"/>
      <c r="M698" s="5"/>
      <c r="N698" s="5"/>
      <c r="O698" s="8" t="str">
        <f t="shared" si="96"/>
        <v>n/a</v>
      </c>
      <c r="Q698" s="5"/>
      <c r="R698" s="5"/>
      <c r="S698" s="5"/>
      <c r="U698" s="6"/>
      <c r="V698" s="9" t="str">
        <f t="shared" si="92"/>
        <v/>
      </c>
      <c r="W698" s="9" t="str">
        <f t="shared" si="93"/>
        <v/>
      </c>
      <c r="X698" s="10">
        <f>SUM(V$13:V698)/COUNTA(B$13:B698)</f>
        <v>1.020408163265306E-2</v>
      </c>
      <c r="Z698" s="5"/>
      <c r="AA698" s="5"/>
      <c r="AC698" s="7"/>
      <c r="AE698" s="54" t="e">
        <f t="shared" si="94"/>
        <v>#N/A</v>
      </c>
      <c r="AF698" s="4" t="e">
        <f t="shared" si="90"/>
        <v>#N/A</v>
      </c>
    </row>
    <row r="699" spans="2:32">
      <c r="B699" s="5">
        <f t="shared" si="95"/>
        <v>687</v>
      </c>
      <c r="C699" s="5"/>
      <c r="E699" s="13"/>
      <c r="F699" s="5"/>
      <c r="G699" s="11">
        <f>IF(ISERROR(AVERAGE(F$13:F699)),"n/a",AVERAGE(F$13:F699))</f>
        <v>117</v>
      </c>
      <c r="H699" s="11">
        <f t="shared" si="91"/>
        <v>117</v>
      </c>
      <c r="J699" s="5"/>
      <c r="K699" s="5"/>
      <c r="L699" s="5"/>
      <c r="M699" s="5"/>
      <c r="N699" s="5"/>
      <c r="O699" s="8" t="str">
        <f t="shared" si="96"/>
        <v>n/a</v>
      </c>
      <c r="Q699" s="5"/>
      <c r="R699" s="5"/>
      <c r="S699" s="5"/>
      <c r="U699" s="6"/>
      <c r="V699" s="9" t="str">
        <f t="shared" si="92"/>
        <v/>
      </c>
      <c r="W699" s="9" t="str">
        <f t="shared" si="93"/>
        <v/>
      </c>
      <c r="X699" s="10">
        <f>SUM(V$13:V699)/COUNTA(B$13:B699)</f>
        <v>1.0189228529839884E-2</v>
      </c>
      <c r="Z699" s="5"/>
      <c r="AA699" s="5"/>
      <c r="AC699" s="7"/>
      <c r="AE699" s="54" t="e">
        <f t="shared" si="94"/>
        <v>#N/A</v>
      </c>
      <c r="AF699" s="4" t="e">
        <f t="shared" si="90"/>
        <v>#N/A</v>
      </c>
    </row>
    <row r="700" spans="2:32">
      <c r="B700" s="5">
        <f t="shared" si="95"/>
        <v>688</v>
      </c>
      <c r="C700" s="5"/>
      <c r="E700" s="13"/>
      <c r="F700" s="5"/>
      <c r="G700" s="11">
        <f>IF(ISERROR(AVERAGE(F$13:F700)),"n/a",AVERAGE(F$13:F700))</f>
        <v>117</v>
      </c>
      <c r="H700" s="11">
        <f t="shared" si="91"/>
        <v>117</v>
      </c>
      <c r="J700" s="5"/>
      <c r="K700" s="5"/>
      <c r="L700" s="5"/>
      <c r="M700" s="5"/>
      <c r="N700" s="5"/>
      <c r="O700" s="8" t="str">
        <f t="shared" si="96"/>
        <v>n/a</v>
      </c>
      <c r="Q700" s="5"/>
      <c r="R700" s="5"/>
      <c r="S700" s="5"/>
      <c r="U700" s="6"/>
      <c r="V700" s="9" t="str">
        <f t="shared" si="92"/>
        <v/>
      </c>
      <c r="W700" s="9" t="str">
        <f t="shared" si="93"/>
        <v/>
      </c>
      <c r="X700" s="10">
        <f>SUM(V$13:V700)/COUNTA(B$13:B700)</f>
        <v>1.0174418604651164E-2</v>
      </c>
      <c r="Z700" s="5"/>
      <c r="AA700" s="5"/>
      <c r="AC700" s="7"/>
      <c r="AE700" s="54" t="e">
        <f t="shared" si="94"/>
        <v>#N/A</v>
      </c>
      <c r="AF700" s="4" t="e">
        <f t="shared" si="90"/>
        <v>#N/A</v>
      </c>
    </row>
    <row r="701" spans="2:32">
      <c r="B701" s="5">
        <f t="shared" si="95"/>
        <v>689</v>
      </c>
      <c r="C701" s="5"/>
      <c r="E701" s="13"/>
      <c r="F701" s="5"/>
      <c r="G701" s="11">
        <f>IF(ISERROR(AVERAGE(F$13:F701)),"n/a",AVERAGE(F$13:F701))</f>
        <v>117</v>
      </c>
      <c r="H701" s="11">
        <f t="shared" si="91"/>
        <v>117</v>
      </c>
      <c r="J701" s="5"/>
      <c r="K701" s="5"/>
      <c r="L701" s="5"/>
      <c r="M701" s="5"/>
      <c r="N701" s="5"/>
      <c r="O701" s="8" t="str">
        <f t="shared" si="96"/>
        <v>n/a</v>
      </c>
      <c r="Q701" s="5"/>
      <c r="R701" s="5"/>
      <c r="S701" s="5"/>
      <c r="U701" s="6"/>
      <c r="V701" s="9" t="str">
        <f t="shared" si="92"/>
        <v/>
      </c>
      <c r="W701" s="9" t="str">
        <f t="shared" si="93"/>
        <v/>
      </c>
      <c r="X701" s="10">
        <f>SUM(V$13:V701)/COUNTA(B$13:B701)</f>
        <v>1.0159651669085631E-2</v>
      </c>
      <c r="Z701" s="5"/>
      <c r="AA701" s="5"/>
      <c r="AC701" s="7"/>
      <c r="AE701" s="54" t="e">
        <f t="shared" si="94"/>
        <v>#N/A</v>
      </c>
      <c r="AF701" s="4" t="e">
        <f t="shared" si="90"/>
        <v>#N/A</v>
      </c>
    </row>
    <row r="702" spans="2:32">
      <c r="B702" s="5">
        <f t="shared" si="95"/>
        <v>690</v>
      </c>
      <c r="C702" s="5"/>
      <c r="E702" s="13"/>
      <c r="F702" s="5"/>
      <c r="G702" s="11">
        <f>IF(ISERROR(AVERAGE(F$13:F702)),"n/a",AVERAGE(F$13:F702))</f>
        <v>117</v>
      </c>
      <c r="H702" s="11">
        <f t="shared" si="91"/>
        <v>117</v>
      </c>
      <c r="J702" s="5"/>
      <c r="K702" s="5"/>
      <c r="L702" s="5"/>
      <c r="M702" s="5"/>
      <c r="N702" s="5"/>
      <c r="O702" s="8" t="str">
        <f t="shared" si="96"/>
        <v>n/a</v>
      </c>
      <c r="Q702" s="5"/>
      <c r="R702" s="5"/>
      <c r="S702" s="5"/>
      <c r="U702" s="6"/>
      <c r="V702" s="9" t="str">
        <f t="shared" si="92"/>
        <v/>
      </c>
      <c r="W702" s="9" t="str">
        <f t="shared" si="93"/>
        <v/>
      </c>
      <c r="X702" s="10">
        <f>SUM(V$13:V702)/COUNTA(B$13:B702)</f>
        <v>1.0144927536231883E-2</v>
      </c>
      <c r="Z702" s="5"/>
      <c r="AA702" s="5"/>
      <c r="AC702" s="7"/>
      <c r="AE702" s="54" t="e">
        <f t="shared" si="94"/>
        <v>#N/A</v>
      </c>
      <c r="AF702" s="4" t="e">
        <f t="shared" si="90"/>
        <v>#N/A</v>
      </c>
    </row>
    <row r="703" spans="2:32">
      <c r="B703" s="5">
        <f t="shared" si="95"/>
        <v>691</v>
      </c>
      <c r="C703" s="5"/>
      <c r="E703" s="13"/>
      <c r="F703" s="5"/>
      <c r="G703" s="11">
        <f>IF(ISERROR(AVERAGE(F$13:F703)),"n/a",AVERAGE(F$13:F703))</f>
        <v>117</v>
      </c>
      <c r="H703" s="11">
        <f t="shared" si="91"/>
        <v>117</v>
      </c>
      <c r="J703" s="5"/>
      <c r="K703" s="5"/>
      <c r="L703" s="5"/>
      <c r="M703" s="5"/>
      <c r="N703" s="5"/>
      <c r="O703" s="8" t="str">
        <f t="shared" si="96"/>
        <v>n/a</v>
      </c>
      <c r="Q703" s="5"/>
      <c r="R703" s="5"/>
      <c r="S703" s="5"/>
      <c r="U703" s="6"/>
      <c r="V703" s="9" t="str">
        <f t="shared" si="92"/>
        <v/>
      </c>
      <c r="W703" s="9" t="str">
        <f t="shared" si="93"/>
        <v/>
      </c>
      <c r="X703" s="10">
        <f>SUM(V$13:V703)/COUNTA(B$13:B703)</f>
        <v>1.0130246020260492E-2</v>
      </c>
      <c r="Z703" s="5"/>
      <c r="AA703" s="5"/>
      <c r="AC703" s="7"/>
      <c r="AE703" s="54" t="e">
        <f t="shared" si="94"/>
        <v>#N/A</v>
      </c>
      <c r="AF703" s="4" t="e">
        <f t="shared" si="90"/>
        <v>#N/A</v>
      </c>
    </row>
    <row r="704" spans="2:32">
      <c r="B704" s="5">
        <f t="shared" si="95"/>
        <v>692</v>
      </c>
      <c r="C704" s="5"/>
      <c r="E704" s="13"/>
      <c r="F704" s="5"/>
      <c r="G704" s="11">
        <f>IF(ISERROR(AVERAGE(F$13:F704)),"n/a",AVERAGE(F$13:F704))</f>
        <v>117</v>
      </c>
      <c r="H704" s="11">
        <f t="shared" si="91"/>
        <v>117</v>
      </c>
      <c r="J704" s="5"/>
      <c r="K704" s="5"/>
      <c r="L704" s="5"/>
      <c r="M704" s="5"/>
      <c r="N704" s="5"/>
      <c r="O704" s="8" t="str">
        <f t="shared" si="96"/>
        <v>n/a</v>
      </c>
      <c r="Q704" s="5"/>
      <c r="R704" s="5"/>
      <c r="S704" s="5"/>
      <c r="U704" s="6"/>
      <c r="V704" s="9" t="str">
        <f t="shared" si="92"/>
        <v/>
      </c>
      <c r="W704" s="9" t="str">
        <f t="shared" si="93"/>
        <v/>
      </c>
      <c r="X704" s="10">
        <f>SUM(V$13:V704)/COUNTA(B$13:B704)</f>
        <v>1.0115606936416185E-2</v>
      </c>
      <c r="Z704" s="5"/>
      <c r="AA704" s="5"/>
      <c r="AC704" s="7"/>
      <c r="AE704" s="54" t="e">
        <f t="shared" si="94"/>
        <v>#N/A</v>
      </c>
      <c r="AF704" s="4" t="e">
        <f t="shared" si="90"/>
        <v>#N/A</v>
      </c>
    </row>
    <row r="705" spans="2:32">
      <c r="B705" s="5">
        <f t="shared" si="95"/>
        <v>693</v>
      </c>
      <c r="C705" s="5"/>
      <c r="E705" s="13"/>
      <c r="F705" s="5"/>
      <c r="G705" s="11">
        <f>IF(ISERROR(AVERAGE(F$13:F705)),"n/a",AVERAGE(F$13:F705))</f>
        <v>117</v>
      </c>
      <c r="H705" s="11">
        <f t="shared" si="91"/>
        <v>117</v>
      </c>
      <c r="J705" s="5"/>
      <c r="K705" s="5"/>
      <c r="L705" s="5"/>
      <c r="M705" s="5"/>
      <c r="N705" s="5"/>
      <c r="O705" s="8" t="str">
        <f t="shared" si="96"/>
        <v>n/a</v>
      </c>
      <c r="Q705" s="5"/>
      <c r="R705" s="5"/>
      <c r="S705" s="5"/>
      <c r="U705" s="6"/>
      <c r="V705" s="9" t="str">
        <f t="shared" si="92"/>
        <v/>
      </c>
      <c r="W705" s="9" t="str">
        <f t="shared" si="93"/>
        <v/>
      </c>
      <c r="X705" s="10">
        <f>SUM(V$13:V705)/COUNTA(B$13:B705)</f>
        <v>1.0101010101010102E-2</v>
      </c>
      <c r="Z705" s="5"/>
      <c r="AA705" s="5"/>
      <c r="AC705" s="7"/>
      <c r="AE705" s="54" t="e">
        <f t="shared" si="94"/>
        <v>#N/A</v>
      </c>
      <c r="AF705" s="4" t="e">
        <f t="shared" si="90"/>
        <v>#N/A</v>
      </c>
    </row>
    <row r="706" spans="2:32">
      <c r="B706" s="5">
        <f t="shared" si="95"/>
        <v>694</v>
      </c>
      <c r="C706" s="5"/>
      <c r="E706" s="13"/>
      <c r="F706" s="5"/>
      <c r="G706" s="11">
        <f>IF(ISERROR(AVERAGE(F$13:F706)),"n/a",AVERAGE(F$13:F706))</f>
        <v>117</v>
      </c>
      <c r="H706" s="11">
        <f t="shared" si="91"/>
        <v>117</v>
      </c>
      <c r="J706" s="5"/>
      <c r="K706" s="5"/>
      <c r="L706" s="5"/>
      <c r="M706" s="5"/>
      <c r="N706" s="5"/>
      <c r="O706" s="8" t="str">
        <f t="shared" si="96"/>
        <v>n/a</v>
      </c>
      <c r="Q706" s="5"/>
      <c r="R706" s="5"/>
      <c r="S706" s="5"/>
      <c r="U706" s="6"/>
      <c r="V706" s="9" t="str">
        <f t="shared" si="92"/>
        <v/>
      </c>
      <c r="W706" s="9" t="str">
        <f t="shared" si="93"/>
        <v/>
      </c>
      <c r="X706" s="10">
        <f>SUM(V$13:V706)/COUNTA(B$13:B706)</f>
        <v>1.0086455331412104E-2</v>
      </c>
      <c r="Z706" s="5"/>
      <c r="AA706" s="5"/>
      <c r="AC706" s="7"/>
      <c r="AE706" s="54" t="e">
        <f t="shared" si="94"/>
        <v>#N/A</v>
      </c>
      <c r="AF706" s="4" t="e">
        <f t="shared" si="90"/>
        <v>#N/A</v>
      </c>
    </row>
    <row r="707" spans="2:32">
      <c r="B707" s="5">
        <f t="shared" si="95"/>
        <v>695</v>
      </c>
      <c r="C707" s="5"/>
      <c r="E707" s="13"/>
      <c r="F707" s="5"/>
      <c r="G707" s="11">
        <f>IF(ISERROR(AVERAGE(F$13:F707)),"n/a",AVERAGE(F$13:F707))</f>
        <v>117</v>
      </c>
      <c r="H707" s="11">
        <f t="shared" si="91"/>
        <v>117</v>
      </c>
      <c r="J707" s="5"/>
      <c r="K707" s="5"/>
      <c r="L707" s="5"/>
      <c r="M707" s="5"/>
      <c r="N707" s="5"/>
      <c r="O707" s="8" t="str">
        <f t="shared" si="96"/>
        <v>n/a</v>
      </c>
      <c r="Q707" s="5"/>
      <c r="R707" s="5"/>
      <c r="S707" s="5"/>
      <c r="U707" s="6"/>
      <c r="V707" s="9" t="str">
        <f t="shared" si="92"/>
        <v/>
      </c>
      <c r="W707" s="9" t="str">
        <f t="shared" si="93"/>
        <v/>
      </c>
      <c r="X707" s="10">
        <f>SUM(V$13:V707)/COUNTA(B$13:B707)</f>
        <v>1.0071942446043165E-2</v>
      </c>
      <c r="Z707" s="5"/>
      <c r="AA707" s="5"/>
      <c r="AC707" s="7"/>
      <c r="AE707" s="54" t="e">
        <f t="shared" si="94"/>
        <v>#N/A</v>
      </c>
      <c r="AF707" s="4" t="e">
        <f t="shared" si="90"/>
        <v>#N/A</v>
      </c>
    </row>
    <row r="708" spans="2:32">
      <c r="B708" s="5">
        <f t="shared" si="95"/>
        <v>696</v>
      </c>
      <c r="C708" s="5"/>
      <c r="E708" s="13"/>
      <c r="F708" s="5"/>
      <c r="G708" s="11">
        <f>IF(ISERROR(AVERAGE(F$13:F708)),"n/a",AVERAGE(F$13:F708))</f>
        <v>117</v>
      </c>
      <c r="H708" s="11">
        <f t="shared" si="91"/>
        <v>117</v>
      </c>
      <c r="J708" s="5"/>
      <c r="K708" s="5"/>
      <c r="L708" s="5"/>
      <c r="M708" s="5"/>
      <c r="N708" s="5"/>
      <c r="O708" s="8" t="str">
        <f t="shared" si="96"/>
        <v>n/a</v>
      </c>
      <c r="Q708" s="5"/>
      <c r="R708" s="5"/>
      <c r="S708" s="5"/>
      <c r="U708" s="6"/>
      <c r="V708" s="9" t="str">
        <f t="shared" si="92"/>
        <v/>
      </c>
      <c r="W708" s="9" t="str">
        <f t="shared" si="93"/>
        <v/>
      </c>
      <c r="X708" s="10">
        <f>SUM(V$13:V708)/COUNTA(B$13:B708)</f>
        <v>1.0057471264367816E-2</v>
      </c>
      <c r="Z708" s="5"/>
      <c r="AA708" s="5"/>
      <c r="AC708" s="7"/>
      <c r="AE708" s="54" t="e">
        <f t="shared" si="94"/>
        <v>#N/A</v>
      </c>
      <c r="AF708" s="4" t="e">
        <f t="shared" si="90"/>
        <v>#N/A</v>
      </c>
    </row>
    <row r="709" spans="2:32">
      <c r="B709" s="5">
        <f t="shared" si="95"/>
        <v>697</v>
      </c>
      <c r="C709" s="5"/>
      <c r="E709" s="13"/>
      <c r="F709" s="5"/>
      <c r="G709" s="11">
        <f>IF(ISERROR(AVERAGE(F$13:F709)),"n/a",AVERAGE(F$13:F709))</f>
        <v>117</v>
      </c>
      <c r="H709" s="11">
        <f t="shared" si="91"/>
        <v>117</v>
      </c>
      <c r="J709" s="5"/>
      <c r="K709" s="5"/>
      <c r="L709" s="5"/>
      <c r="M709" s="5"/>
      <c r="N709" s="5"/>
      <c r="O709" s="8" t="str">
        <f t="shared" si="96"/>
        <v>n/a</v>
      </c>
      <c r="Q709" s="5"/>
      <c r="R709" s="5"/>
      <c r="S709" s="5"/>
      <c r="U709" s="6"/>
      <c r="V709" s="9" t="str">
        <f t="shared" si="92"/>
        <v/>
      </c>
      <c r="W709" s="9" t="str">
        <f t="shared" si="93"/>
        <v/>
      </c>
      <c r="X709" s="10">
        <f>SUM(V$13:V709)/COUNTA(B$13:B709)</f>
        <v>1.0043041606886656E-2</v>
      </c>
      <c r="Z709" s="5"/>
      <c r="AA709" s="5"/>
      <c r="AC709" s="7"/>
      <c r="AE709" s="54" t="e">
        <f t="shared" si="94"/>
        <v>#N/A</v>
      </c>
      <c r="AF709" s="4" t="e">
        <f t="shared" si="90"/>
        <v>#N/A</v>
      </c>
    </row>
    <row r="710" spans="2:32">
      <c r="B710" s="5">
        <f t="shared" si="95"/>
        <v>698</v>
      </c>
      <c r="C710" s="5"/>
      <c r="E710" s="13"/>
      <c r="F710" s="5"/>
      <c r="G710" s="11">
        <f>IF(ISERROR(AVERAGE(F$13:F710)),"n/a",AVERAGE(F$13:F710))</f>
        <v>117</v>
      </c>
      <c r="H710" s="11">
        <f t="shared" si="91"/>
        <v>117</v>
      </c>
      <c r="J710" s="5"/>
      <c r="K710" s="5"/>
      <c r="L710" s="5"/>
      <c r="M710" s="5"/>
      <c r="N710" s="5"/>
      <c r="O710" s="8" t="str">
        <f t="shared" si="96"/>
        <v>n/a</v>
      </c>
      <c r="Q710" s="5"/>
      <c r="R710" s="5"/>
      <c r="S710" s="5"/>
      <c r="U710" s="6"/>
      <c r="V710" s="9" t="str">
        <f t="shared" si="92"/>
        <v/>
      </c>
      <c r="W710" s="9" t="str">
        <f t="shared" si="93"/>
        <v/>
      </c>
      <c r="X710" s="10">
        <f>SUM(V$13:V710)/COUNTA(B$13:B710)</f>
        <v>1.0028653295128941E-2</v>
      </c>
      <c r="Z710" s="5"/>
      <c r="AA710" s="5"/>
      <c r="AC710" s="7"/>
      <c r="AE710" s="54" t="e">
        <f t="shared" si="94"/>
        <v>#N/A</v>
      </c>
      <c r="AF710" s="4" t="e">
        <f t="shared" si="90"/>
        <v>#N/A</v>
      </c>
    </row>
    <row r="711" spans="2:32">
      <c r="B711" s="5">
        <f t="shared" si="95"/>
        <v>699</v>
      </c>
      <c r="C711" s="5"/>
      <c r="E711" s="13"/>
      <c r="F711" s="5"/>
      <c r="G711" s="11">
        <f>IF(ISERROR(AVERAGE(F$13:F711)),"n/a",AVERAGE(F$13:F711))</f>
        <v>117</v>
      </c>
      <c r="H711" s="11">
        <f t="shared" si="91"/>
        <v>117</v>
      </c>
      <c r="J711" s="5"/>
      <c r="K711" s="5"/>
      <c r="L711" s="5"/>
      <c r="M711" s="5"/>
      <c r="N711" s="5"/>
      <c r="O711" s="8" t="str">
        <f t="shared" si="96"/>
        <v>n/a</v>
      </c>
      <c r="Q711" s="5"/>
      <c r="R711" s="5"/>
      <c r="S711" s="5"/>
      <c r="U711" s="6"/>
      <c r="V711" s="9" t="str">
        <f t="shared" si="92"/>
        <v/>
      </c>
      <c r="W711" s="9" t="str">
        <f t="shared" si="93"/>
        <v/>
      </c>
      <c r="X711" s="10">
        <f>SUM(V$13:V711)/COUNTA(B$13:B711)</f>
        <v>1.0014306151645207E-2</v>
      </c>
      <c r="Z711" s="5"/>
      <c r="AA711" s="5"/>
      <c r="AC711" s="7"/>
      <c r="AE711" s="54" t="e">
        <f t="shared" si="94"/>
        <v>#N/A</v>
      </c>
      <c r="AF711" s="4" t="e">
        <f t="shared" si="90"/>
        <v>#N/A</v>
      </c>
    </row>
    <row r="712" spans="2:32">
      <c r="B712" s="5">
        <f t="shared" si="95"/>
        <v>700</v>
      </c>
      <c r="C712" s="5"/>
      <c r="E712" s="13"/>
      <c r="F712" s="5"/>
      <c r="G712" s="11">
        <f>IF(ISERROR(AVERAGE(F$13:F712)),"n/a",AVERAGE(F$13:F712))</f>
        <v>117</v>
      </c>
      <c r="H712" s="11">
        <f t="shared" si="91"/>
        <v>117</v>
      </c>
      <c r="J712" s="5"/>
      <c r="K712" s="5"/>
      <c r="L712" s="5"/>
      <c r="M712" s="5"/>
      <c r="N712" s="5"/>
      <c r="O712" s="8" t="str">
        <f t="shared" si="96"/>
        <v>n/a</v>
      </c>
      <c r="Q712" s="5"/>
      <c r="R712" s="5"/>
      <c r="S712" s="5"/>
      <c r="U712" s="6"/>
      <c r="V712" s="9" t="str">
        <f t="shared" si="92"/>
        <v/>
      </c>
      <c r="W712" s="9" t="str">
        <f t="shared" si="93"/>
        <v/>
      </c>
      <c r="X712" s="10">
        <f>SUM(V$13:V712)/COUNTA(B$13:B712)</f>
        <v>0.01</v>
      </c>
      <c r="Z712" s="5"/>
      <c r="AA712" s="5"/>
      <c r="AC712" s="7"/>
      <c r="AE712" s="54" t="e">
        <f t="shared" si="94"/>
        <v>#N/A</v>
      </c>
      <c r="AF712" s="4" t="e">
        <f t="shared" si="90"/>
        <v>#N/A</v>
      </c>
    </row>
    <row r="713" spans="2:32">
      <c r="B713" s="5">
        <f t="shared" si="95"/>
        <v>701</v>
      </c>
      <c r="C713" s="5"/>
      <c r="E713" s="13"/>
      <c r="F713" s="5"/>
      <c r="G713" s="11">
        <f>IF(ISERROR(AVERAGE(F$13:F713)),"n/a",AVERAGE(F$13:F713))</f>
        <v>117</v>
      </c>
      <c r="H713" s="11">
        <f t="shared" si="91"/>
        <v>117</v>
      </c>
      <c r="J713" s="5"/>
      <c r="K713" s="5"/>
      <c r="L713" s="5"/>
      <c r="M713" s="5"/>
      <c r="N713" s="5"/>
      <c r="O713" s="8" t="str">
        <f t="shared" si="96"/>
        <v>n/a</v>
      </c>
      <c r="Q713" s="5"/>
      <c r="R713" s="5"/>
      <c r="S713" s="5"/>
      <c r="U713" s="6"/>
      <c r="V713" s="9" t="str">
        <f t="shared" si="92"/>
        <v/>
      </c>
      <c r="W713" s="9" t="str">
        <f t="shared" si="93"/>
        <v/>
      </c>
      <c r="X713" s="10">
        <f>SUM(V$13:V713)/COUNTA(B$13:B713)</f>
        <v>9.9857346647646214E-3</v>
      </c>
      <c r="Z713" s="5"/>
      <c r="AA713" s="5"/>
      <c r="AC713" s="7"/>
      <c r="AE713" s="54" t="e">
        <f t="shared" si="94"/>
        <v>#N/A</v>
      </c>
      <c r="AF713" s="4" t="e">
        <f t="shared" si="90"/>
        <v>#N/A</v>
      </c>
    </row>
    <row r="714" spans="2:32">
      <c r="B714" s="5">
        <f t="shared" si="95"/>
        <v>702</v>
      </c>
      <c r="C714" s="5"/>
      <c r="E714" s="13"/>
      <c r="F714" s="5"/>
      <c r="G714" s="11">
        <f>IF(ISERROR(AVERAGE(F$13:F714)),"n/a",AVERAGE(F$13:F714))</f>
        <v>117</v>
      </c>
      <c r="H714" s="11">
        <f t="shared" si="91"/>
        <v>117</v>
      </c>
      <c r="J714" s="5"/>
      <c r="K714" s="5"/>
      <c r="L714" s="5"/>
      <c r="M714" s="5"/>
      <c r="N714" s="5"/>
      <c r="O714" s="8" t="str">
        <f t="shared" si="96"/>
        <v>n/a</v>
      </c>
      <c r="Q714" s="5"/>
      <c r="R714" s="5"/>
      <c r="S714" s="5"/>
      <c r="U714" s="6"/>
      <c r="V714" s="9" t="str">
        <f t="shared" si="92"/>
        <v/>
      </c>
      <c r="W714" s="9" t="str">
        <f t="shared" si="93"/>
        <v/>
      </c>
      <c r="X714" s="10">
        <f>SUM(V$13:V714)/COUNTA(B$13:B714)</f>
        <v>9.9715099715099714E-3</v>
      </c>
      <c r="Z714" s="5"/>
      <c r="AA714" s="5"/>
      <c r="AC714" s="7"/>
      <c r="AE714" s="54" t="e">
        <f t="shared" si="94"/>
        <v>#N/A</v>
      </c>
      <c r="AF714" s="4" t="e">
        <f t="shared" si="90"/>
        <v>#N/A</v>
      </c>
    </row>
    <row r="715" spans="2:32">
      <c r="B715" s="5">
        <f t="shared" si="95"/>
        <v>703</v>
      </c>
      <c r="C715" s="5"/>
      <c r="E715" s="13"/>
      <c r="F715" s="5"/>
      <c r="G715" s="11">
        <f>IF(ISERROR(AVERAGE(F$13:F715)),"n/a",AVERAGE(F$13:F715))</f>
        <v>117</v>
      </c>
      <c r="H715" s="11">
        <f t="shared" si="91"/>
        <v>117</v>
      </c>
      <c r="J715" s="5"/>
      <c r="K715" s="5"/>
      <c r="L715" s="5"/>
      <c r="M715" s="5"/>
      <c r="N715" s="5"/>
      <c r="O715" s="8" t="str">
        <f t="shared" si="96"/>
        <v>n/a</v>
      </c>
      <c r="Q715" s="5"/>
      <c r="R715" s="5"/>
      <c r="S715" s="5"/>
      <c r="U715" s="6"/>
      <c r="V715" s="9" t="str">
        <f t="shared" si="92"/>
        <v/>
      </c>
      <c r="W715" s="9" t="str">
        <f t="shared" si="93"/>
        <v/>
      </c>
      <c r="X715" s="10">
        <f>SUM(V$13:V715)/COUNTA(B$13:B715)</f>
        <v>9.9573257467994308E-3</v>
      </c>
      <c r="Z715" s="5"/>
      <c r="AA715" s="5"/>
      <c r="AC715" s="7"/>
      <c r="AE715" s="54" t="e">
        <f t="shared" si="94"/>
        <v>#N/A</v>
      </c>
      <c r="AF715" s="4" t="e">
        <f t="shared" si="90"/>
        <v>#N/A</v>
      </c>
    </row>
    <row r="716" spans="2:32">
      <c r="B716" s="5">
        <f t="shared" si="95"/>
        <v>704</v>
      </c>
      <c r="C716" s="5"/>
      <c r="E716" s="13"/>
      <c r="F716" s="5"/>
      <c r="G716" s="11">
        <f>IF(ISERROR(AVERAGE(F$13:F716)),"n/a",AVERAGE(F$13:F716))</f>
        <v>117</v>
      </c>
      <c r="H716" s="11">
        <f t="shared" si="91"/>
        <v>117</v>
      </c>
      <c r="J716" s="5"/>
      <c r="K716" s="5"/>
      <c r="L716" s="5"/>
      <c r="M716" s="5"/>
      <c r="N716" s="5"/>
      <c r="O716" s="8" t="str">
        <f t="shared" si="96"/>
        <v>n/a</v>
      </c>
      <c r="Q716" s="5"/>
      <c r="R716" s="5"/>
      <c r="S716" s="5"/>
      <c r="U716" s="6"/>
      <c r="V716" s="9" t="str">
        <f t="shared" si="92"/>
        <v/>
      </c>
      <c r="W716" s="9" t="str">
        <f t="shared" si="93"/>
        <v/>
      </c>
      <c r="X716" s="10">
        <f>SUM(V$13:V716)/COUNTA(B$13:B716)</f>
        <v>9.943181818181818E-3</v>
      </c>
      <c r="Z716" s="5"/>
      <c r="AA716" s="5"/>
      <c r="AC716" s="7"/>
      <c r="AE716" s="54" t="e">
        <f t="shared" si="94"/>
        <v>#N/A</v>
      </c>
      <c r="AF716" s="4" t="e">
        <f t="shared" si="90"/>
        <v>#N/A</v>
      </c>
    </row>
    <row r="717" spans="2:32">
      <c r="B717" s="5">
        <f t="shared" si="95"/>
        <v>705</v>
      </c>
      <c r="C717" s="5"/>
      <c r="E717" s="13"/>
      <c r="F717" s="5"/>
      <c r="G717" s="11">
        <f>IF(ISERROR(AVERAGE(F$13:F717)),"n/a",AVERAGE(F$13:F717))</f>
        <v>117</v>
      </c>
      <c r="H717" s="11">
        <f t="shared" si="91"/>
        <v>117</v>
      </c>
      <c r="J717" s="5"/>
      <c r="K717" s="5"/>
      <c r="L717" s="5"/>
      <c r="M717" s="5"/>
      <c r="N717" s="5"/>
      <c r="O717" s="8" t="str">
        <f t="shared" si="96"/>
        <v>n/a</v>
      </c>
      <c r="Q717" s="5"/>
      <c r="R717" s="5"/>
      <c r="S717" s="5"/>
      <c r="U717" s="6"/>
      <c r="V717" s="9" t="str">
        <f t="shared" si="92"/>
        <v/>
      </c>
      <c r="W717" s="9" t="str">
        <f t="shared" si="93"/>
        <v/>
      </c>
      <c r="X717" s="10">
        <f>SUM(V$13:V717)/COUNTA(B$13:B717)</f>
        <v>9.9290780141843976E-3</v>
      </c>
      <c r="Z717" s="5"/>
      <c r="AA717" s="5"/>
      <c r="AC717" s="7"/>
      <c r="AE717" s="54" t="e">
        <f t="shared" si="94"/>
        <v>#N/A</v>
      </c>
      <c r="AF717" s="4" t="e">
        <f t="shared" ref="AF717:AF780" si="97">HLOOKUP(C717,$K$6:$O$7,2,FALSE)</f>
        <v>#N/A</v>
      </c>
    </row>
    <row r="718" spans="2:32">
      <c r="B718" s="5">
        <f t="shared" si="95"/>
        <v>706</v>
      </c>
      <c r="C718" s="5"/>
      <c r="E718" s="13"/>
      <c r="F718" s="5"/>
      <c r="G718" s="11">
        <f>IF(ISERROR(AVERAGE(F$13:F718)),"n/a",AVERAGE(F$13:F718))</f>
        <v>117</v>
      </c>
      <c r="H718" s="11">
        <f t="shared" ref="H718:H781" si="98">G718</f>
        <v>117</v>
      </c>
      <c r="J718" s="5"/>
      <c r="K718" s="5"/>
      <c r="L718" s="5"/>
      <c r="M718" s="5"/>
      <c r="N718" s="5"/>
      <c r="O718" s="8" t="str">
        <f t="shared" si="96"/>
        <v>n/a</v>
      </c>
      <c r="Q718" s="5"/>
      <c r="R718" s="5"/>
      <c r="S718" s="5"/>
      <c r="U718" s="6"/>
      <c r="V718" s="9" t="str">
        <f t="shared" ref="V718:V781" si="99">IF(O718="n/a","",IF(O718=U718,1,""))</f>
        <v/>
      </c>
      <c r="W718" s="9" t="str">
        <f t="shared" ref="W718:W781" si="100">IF(O718="n/a","",IF(O718&lt;&gt;U718,1,""))</f>
        <v/>
      </c>
      <c r="X718" s="10">
        <f>SUM(V$13:V718)/COUNTA(B$13:B718)</f>
        <v>9.9150141643059488E-3</v>
      </c>
      <c r="Z718" s="5"/>
      <c r="AA718" s="5"/>
      <c r="AC718" s="7"/>
      <c r="AE718" s="54" t="e">
        <f t="shared" ref="AE718:AE781" si="101">+IF($F$4=0,0,IF(W718=1,1,IF(OR(R718*$F$8=1,S718*$F$9=1,F718&gt;=AF718),2,0)))</f>
        <v>#N/A</v>
      </c>
      <c r="AF718" s="4" t="e">
        <f t="shared" si="97"/>
        <v>#N/A</v>
      </c>
    </row>
    <row r="719" spans="2:32">
      <c r="B719" s="5">
        <f t="shared" si="95"/>
        <v>707</v>
      </c>
      <c r="C719" s="5"/>
      <c r="E719" s="13"/>
      <c r="F719" s="5"/>
      <c r="G719" s="11">
        <f>IF(ISERROR(AVERAGE(F$13:F719)),"n/a",AVERAGE(F$13:F719))</f>
        <v>117</v>
      </c>
      <c r="H719" s="11">
        <f t="shared" si="98"/>
        <v>117</v>
      </c>
      <c r="J719" s="5"/>
      <c r="K719" s="5"/>
      <c r="L719" s="5"/>
      <c r="M719" s="5"/>
      <c r="N719" s="5"/>
      <c r="O719" s="8" t="str">
        <f t="shared" si="96"/>
        <v>n/a</v>
      </c>
      <c r="Q719" s="5"/>
      <c r="R719" s="5"/>
      <c r="S719" s="5"/>
      <c r="U719" s="6"/>
      <c r="V719" s="9" t="str">
        <f t="shared" si="99"/>
        <v/>
      </c>
      <c r="W719" s="9" t="str">
        <f t="shared" si="100"/>
        <v/>
      </c>
      <c r="X719" s="10">
        <f>SUM(V$13:V719)/COUNTA(B$13:B719)</f>
        <v>9.9009900990099011E-3</v>
      </c>
      <c r="Z719" s="5"/>
      <c r="AA719" s="5"/>
      <c r="AC719" s="7"/>
      <c r="AE719" s="54" t="e">
        <f t="shared" si="101"/>
        <v>#N/A</v>
      </c>
      <c r="AF719" s="4" t="e">
        <f t="shared" si="97"/>
        <v>#N/A</v>
      </c>
    </row>
    <row r="720" spans="2:32">
      <c r="B720" s="5">
        <f t="shared" si="95"/>
        <v>708</v>
      </c>
      <c r="C720" s="5"/>
      <c r="E720" s="13"/>
      <c r="F720" s="5"/>
      <c r="G720" s="11">
        <f>IF(ISERROR(AVERAGE(F$13:F720)),"n/a",AVERAGE(F$13:F720))</f>
        <v>117</v>
      </c>
      <c r="H720" s="11">
        <f t="shared" si="98"/>
        <v>117</v>
      </c>
      <c r="J720" s="5"/>
      <c r="K720" s="5"/>
      <c r="L720" s="5"/>
      <c r="M720" s="5"/>
      <c r="N720" s="5"/>
      <c r="O720" s="8" t="str">
        <f t="shared" si="96"/>
        <v>n/a</v>
      </c>
      <c r="Q720" s="5"/>
      <c r="R720" s="5"/>
      <c r="S720" s="5"/>
      <c r="U720" s="6"/>
      <c r="V720" s="9" t="str">
        <f t="shared" si="99"/>
        <v/>
      </c>
      <c r="W720" s="9" t="str">
        <f t="shared" si="100"/>
        <v/>
      </c>
      <c r="X720" s="10">
        <f>SUM(V$13:V720)/COUNTA(B$13:B720)</f>
        <v>9.887005649717515E-3</v>
      </c>
      <c r="Z720" s="5"/>
      <c r="AA720" s="5"/>
      <c r="AC720" s="7"/>
      <c r="AE720" s="54" t="e">
        <f t="shared" si="101"/>
        <v>#N/A</v>
      </c>
      <c r="AF720" s="4" t="e">
        <f t="shared" si="97"/>
        <v>#N/A</v>
      </c>
    </row>
    <row r="721" spans="2:32">
      <c r="B721" s="5">
        <f t="shared" si="95"/>
        <v>709</v>
      </c>
      <c r="C721" s="5"/>
      <c r="E721" s="13"/>
      <c r="F721" s="5"/>
      <c r="G721" s="11">
        <f>IF(ISERROR(AVERAGE(F$13:F721)),"n/a",AVERAGE(F$13:F721))</f>
        <v>117</v>
      </c>
      <c r="H721" s="11">
        <f t="shared" si="98"/>
        <v>117</v>
      </c>
      <c r="J721" s="5"/>
      <c r="K721" s="5"/>
      <c r="L721" s="5"/>
      <c r="M721" s="5"/>
      <c r="N721" s="5"/>
      <c r="O721" s="8" t="str">
        <f t="shared" si="96"/>
        <v>n/a</v>
      </c>
      <c r="Q721" s="5"/>
      <c r="R721" s="5"/>
      <c r="S721" s="5"/>
      <c r="U721" s="6"/>
      <c r="V721" s="9" t="str">
        <f t="shared" si="99"/>
        <v/>
      </c>
      <c r="W721" s="9" t="str">
        <f t="shared" si="100"/>
        <v/>
      </c>
      <c r="X721" s="10">
        <f>SUM(V$13:V721)/COUNTA(B$13:B721)</f>
        <v>9.8730606488011286E-3</v>
      </c>
      <c r="Z721" s="5"/>
      <c r="AA721" s="5"/>
      <c r="AC721" s="7"/>
      <c r="AE721" s="54" t="e">
        <f t="shared" si="101"/>
        <v>#N/A</v>
      </c>
      <c r="AF721" s="4" t="e">
        <f t="shared" si="97"/>
        <v>#N/A</v>
      </c>
    </row>
    <row r="722" spans="2:32">
      <c r="B722" s="5">
        <f t="shared" si="95"/>
        <v>710</v>
      </c>
      <c r="C722" s="5"/>
      <c r="E722" s="13"/>
      <c r="F722" s="5"/>
      <c r="G722" s="11">
        <f>IF(ISERROR(AVERAGE(F$13:F722)),"n/a",AVERAGE(F$13:F722))</f>
        <v>117</v>
      </c>
      <c r="H722" s="11">
        <f t="shared" si="98"/>
        <v>117</v>
      </c>
      <c r="J722" s="5"/>
      <c r="K722" s="5"/>
      <c r="L722" s="5"/>
      <c r="M722" s="5"/>
      <c r="N722" s="5"/>
      <c r="O722" s="8" t="str">
        <f t="shared" si="96"/>
        <v>n/a</v>
      </c>
      <c r="Q722" s="5"/>
      <c r="R722" s="5"/>
      <c r="S722" s="5"/>
      <c r="U722" s="6"/>
      <c r="V722" s="9" t="str">
        <f t="shared" si="99"/>
        <v/>
      </c>
      <c r="W722" s="9" t="str">
        <f t="shared" si="100"/>
        <v/>
      </c>
      <c r="X722" s="10">
        <f>SUM(V$13:V722)/COUNTA(B$13:B722)</f>
        <v>9.8591549295774655E-3</v>
      </c>
      <c r="Z722" s="5"/>
      <c r="AA722" s="5"/>
      <c r="AC722" s="7"/>
      <c r="AE722" s="54" t="e">
        <f t="shared" si="101"/>
        <v>#N/A</v>
      </c>
      <c r="AF722" s="4" t="e">
        <f t="shared" si="97"/>
        <v>#N/A</v>
      </c>
    </row>
    <row r="723" spans="2:32">
      <c r="B723" s="5">
        <f t="shared" ref="B723:B786" si="102">+B722+1</f>
        <v>711</v>
      </c>
      <c r="C723" s="5"/>
      <c r="E723" s="13"/>
      <c r="F723" s="5"/>
      <c r="G723" s="11">
        <f>IF(ISERROR(AVERAGE(F$13:F723)),"n/a",AVERAGE(F$13:F723))</f>
        <v>117</v>
      </c>
      <c r="H723" s="11">
        <f t="shared" si="98"/>
        <v>117</v>
      </c>
      <c r="J723" s="5"/>
      <c r="K723" s="5"/>
      <c r="L723" s="5"/>
      <c r="M723" s="5"/>
      <c r="N723" s="5"/>
      <c r="O723" s="8" t="str">
        <f t="shared" si="96"/>
        <v>n/a</v>
      </c>
      <c r="Q723" s="5"/>
      <c r="R723" s="5"/>
      <c r="S723" s="5"/>
      <c r="U723" s="6"/>
      <c r="V723" s="9" t="str">
        <f t="shared" si="99"/>
        <v/>
      </c>
      <c r="W723" s="9" t="str">
        <f t="shared" si="100"/>
        <v/>
      </c>
      <c r="X723" s="10">
        <f>SUM(V$13:V723)/COUNTA(B$13:B723)</f>
        <v>9.8452883263009851E-3</v>
      </c>
      <c r="Z723" s="5"/>
      <c r="AA723" s="5"/>
      <c r="AC723" s="7"/>
      <c r="AE723" s="54" t="e">
        <f t="shared" si="101"/>
        <v>#N/A</v>
      </c>
      <c r="AF723" s="4" t="e">
        <f t="shared" si="97"/>
        <v>#N/A</v>
      </c>
    </row>
    <row r="724" spans="2:32">
      <c r="B724" s="5">
        <f t="shared" si="102"/>
        <v>712</v>
      </c>
      <c r="C724" s="5"/>
      <c r="E724" s="13"/>
      <c r="F724" s="5"/>
      <c r="G724" s="11">
        <f>IF(ISERROR(AVERAGE(F$13:F724)),"n/a",AVERAGE(F$13:F724))</f>
        <v>117</v>
      </c>
      <c r="H724" s="11">
        <f t="shared" si="98"/>
        <v>117</v>
      </c>
      <c r="J724" s="5"/>
      <c r="K724" s="5"/>
      <c r="L724" s="5"/>
      <c r="M724" s="5"/>
      <c r="N724" s="5"/>
      <c r="O724" s="8" t="str">
        <f t="shared" si="96"/>
        <v>n/a</v>
      </c>
      <c r="Q724" s="5"/>
      <c r="R724" s="5"/>
      <c r="S724" s="5"/>
      <c r="U724" s="6"/>
      <c r="V724" s="9" t="str">
        <f t="shared" si="99"/>
        <v/>
      </c>
      <c r="W724" s="9" t="str">
        <f t="shared" si="100"/>
        <v/>
      </c>
      <c r="X724" s="10">
        <f>SUM(V$13:V724)/COUNTA(B$13:B724)</f>
        <v>9.8314606741573031E-3</v>
      </c>
      <c r="Z724" s="5"/>
      <c r="AA724" s="5"/>
      <c r="AC724" s="7"/>
      <c r="AE724" s="54" t="e">
        <f t="shared" si="101"/>
        <v>#N/A</v>
      </c>
      <c r="AF724" s="4" t="e">
        <f t="shared" si="97"/>
        <v>#N/A</v>
      </c>
    </row>
    <row r="725" spans="2:32">
      <c r="B725" s="5">
        <f t="shared" si="102"/>
        <v>713</v>
      </c>
      <c r="C725" s="5"/>
      <c r="E725" s="13"/>
      <c r="F725" s="5"/>
      <c r="G725" s="11">
        <f>IF(ISERROR(AVERAGE(F$13:F725)),"n/a",AVERAGE(F$13:F725))</f>
        <v>117</v>
      </c>
      <c r="H725" s="11">
        <f t="shared" si="98"/>
        <v>117</v>
      </c>
      <c r="J725" s="5"/>
      <c r="K725" s="5"/>
      <c r="L725" s="5"/>
      <c r="M725" s="5"/>
      <c r="N725" s="5"/>
      <c r="O725" s="8" t="str">
        <f t="shared" si="96"/>
        <v>n/a</v>
      </c>
      <c r="Q725" s="5"/>
      <c r="R725" s="5"/>
      <c r="S725" s="5"/>
      <c r="U725" s="6"/>
      <c r="V725" s="9" t="str">
        <f t="shared" si="99"/>
        <v/>
      </c>
      <c r="W725" s="9" t="str">
        <f t="shared" si="100"/>
        <v/>
      </c>
      <c r="X725" s="10">
        <f>SUM(V$13:V725)/COUNTA(B$13:B725)</f>
        <v>9.8176718092566617E-3</v>
      </c>
      <c r="Z725" s="5"/>
      <c r="AA725" s="5"/>
      <c r="AC725" s="7"/>
      <c r="AE725" s="54" t="e">
        <f t="shared" si="101"/>
        <v>#N/A</v>
      </c>
      <c r="AF725" s="4" t="e">
        <f t="shared" si="97"/>
        <v>#N/A</v>
      </c>
    </row>
    <row r="726" spans="2:32">
      <c r="B726" s="5">
        <f t="shared" si="102"/>
        <v>714</v>
      </c>
      <c r="C726" s="5"/>
      <c r="E726" s="13"/>
      <c r="F726" s="5"/>
      <c r="G726" s="11">
        <f>IF(ISERROR(AVERAGE(F$13:F726)),"n/a",AVERAGE(F$13:F726))</f>
        <v>117</v>
      </c>
      <c r="H726" s="11">
        <f t="shared" si="98"/>
        <v>117</v>
      </c>
      <c r="J726" s="5"/>
      <c r="K726" s="5"/>
      <c r="L726" s="5"/>
      <c r="M726" s="5"/>
      <c r="N726" s="5"/>
      <c r="O726" s="8" t="str">
        <f t="shared" si="96"/>
        <v>n/a</v>
      </c>
      <c r="Q726" s="5"/>
      <c r="R726" s="5"/>
      <c r="S726" s="5"/>
      <c r="U726" s="6"/>
      <c r="V726" s="9" t="str">
        <f t="shared" si="99"/>
        <v/>
      </c>
      <c r="W726" s="9" t="str">
        <f t="shared" si="100"/>
        <v/>
      </c>
      <c r="X726" s="10">
        <f>SUM(V$13:V726)/COUNTA(B$13:B726)</f>
        <v>9.8039215686274508E-3</v>
      </c>
      <c r="Z726" s="5"/>
      <c r="AA726" s="5"/>
      <c r="AC726" s="7"/>
      <c r="AE726" s="54" t="e">
        <f t="shared" si="101"/>
        <v>#N/A</v>
      </c>
      <c r="AF726" s="4" t="e">
        <f t="shared" si="97"/>
        <v>#N/A</v>
      </c>
    </row>
    <row r="727" spans="2:32">
      <c r="B727" s="5">
        <f t="shared" si="102"/>
        <v>715</v>
      </c>
      <c r="C727" s="5"/>
      <c r="E727" s="13"/>
      <c r="F727" s="5"/>
      <c r="G727" s="11">
        <f>IF(ISERROR(AVERAGE(F$13:F727)),"n/a",AVERAGE(F$13:F727))</f>
        <v>117</v>
      </c>
      <c r="H727" s="11">
        <f t="shared" si="98"/>
        <v>117</v>
      </c>
      <c r="J727" s="5"/>
      <c r="K727" s="5"/>
      <c r="L727" s="5"/>
      <c r="M727" s="5"/>
      <c r="N727" s="5"/>
      <c r="O727" s="8" t="str">
        <f t="shared" si="96"/>
        <v>n/a</v>
      </c>
      <c r="Q727" s="5"/>
      <c r="R727" s="5"/>
      <c r="S727" s="5"/>
      <c r="U727" s="6"/>
      <c r="V727" s="9" t="str">
        <f t="shared" si="99"/>
        <v/>
      </c>
      <c r="W727" s="9" t="str">
        <f t="shared" si="100"/>
        <v/>
      </c>
      <c r="X727" s="10">
        <f>SUM(V$13:V727)/COUNTA(B$13:B727)</f>
        <v>9.7902097902097911E-3</v>
      </c>
      <c r="Z727" s="5"/>
      <c r="AA727" s="5"/>
      <c r="AC727" s="7"/>
      <c r="AE727" s="54" t="e">
        <f t="shared" si="101"/>
        <v>#N/A</v>
      </c>
      <c r="AF727" s="4" t="e">
        <f t="shared" si="97"/>
        <v>#N/A</v>
      </c>
    </row>
    <row r="728" spans="2:32">
      <c r="B728" s="5">
        <f t="shared" si="102"/>
        <v>716</v>
      </c>
      <c r="C728" s="5"/>
      <c r="E728" s="13"/>
      <c r="F728" s="5"/>
      <c r="G728" s="11">
        <f>IF(ISERROR(AVERAGE(F$13:F728)),"n/a",AVERAGE(F$13:F728))</f>
        <v>117</v>
      </c>
      <c r="H728" s="11">
        <f t="shared" si="98"/>
        <v>117</v>
      </c>
      <c r="J728" s="5"/>
      <c r="K728" s="5"/>
      <c r="L728" s="5"/>
      <c r="M728" s="5"/>
      <c r="N728" s="5"/>
      <c r="O728" s="8" t="str">
        <f t="shared" si="96"/>
        <v>n/a</v>
      </c>
      <c r="Q728" s="5"/>
      <c r="R728" s="5"/>
      <c r="S728" s="5"/>
      <c r="U728" s="6"/>
      <c r="V728" s="9" t="str">
        <f t="shared" si="99"/>
        <v/>
      </c>
      <c r="W728" s="9" t="str">
        <f t="shared" si="100"/>
        <v/>
      </c>
      <c r="X728" s="10">
        <f>SUM(V$13:V728)/COUNTA(B$13:B728)</f>
        <v>9.7765363128491621E-3</v>
      </c>
      <c r="Z728" s="5"/>
      <c r="AA728" s="5"/>
      <c r="AC728" s="7"/>
      <c r="AE728" s="54" t="e">
        <f t="shared" si="101"/>
        <v>#N/A</v>
      </c>
      <c r="AF728" s="4" t="e">
        <f t="shared" si="97"/>
        <v>#N/A</v>
      </c>
    </row>
    <row r="729" spans="2:32">
      <c r="B729" s="5">
        <f t="shared" si="102"/>
        <v>717</v>
      </c>
      <c r="C729" s="5"/>
      <c r="E729" s="13"/>
      <c r="F729" s="5"/>
      <c r="G729" s="11">
        <f>IF(ISERROR(AVERAGE(F$13:F729)),"n/a",AVERAGE(F$13:F729))</f>
        <v>117</v>
      </c>
      <c r="H729" s="11">
        <f t="shared" si="98"/>
        <v>117</v>
      </c>
      <c r="J729" s="5"/>
      <c r="K729" s="5"/>
      <c r="L729" s="5"/>
      <c r="M729" s="5"/>
      <c r="N729" s="5"/>
      <c r="O729" s="8" t="str">
        <f t="shared" si="96"/>
        <v>n/a</v>
      </c>
      <c r="Q729" s="5"/>
      <c r="R729" s="5"/>
      <c r="S729" s="5"/>
      <c r="U729" s="6"/>
      <c r="V729" s="9" t="str">
        <f t="shared" si="99"/>
        <v/>
      </c>
      <c r="W729" s="9" t="str">
        <f t="shared" si="100"/>
        <v/>
      </c>
      <c r="X729" s="10">
        <f>SUM(V$13:V729)/COUNTA(B$13:B729)</f>
        <v>9.7629009762900971E-3</v>
      </c>
      <c r="Z729" s="5"/>
      <c r="AA729" s="5"/>
      <c r="AC729" s="7"/>
      <c r="AE729" s="54" t="e">
        <f t="shared" si="101"/>
        <v>#N/A</v>
      </c>
      <c r="AF729" s="4" t="e">
        <f t="shared" si="97"/>
        <v>#N/A</v>
      </c>
    </row>
    <row r="730" spans="2:32">
      <c r="B730" s="5">
        <f t="shared" si="102"/>
        <v>718</v>
      </c>
      <c r="C730" s="5"/>
      <c r="E730" s="13"/>
      <c r="F730" s="5"/>
      <c r="G730" s="11">
        <f>IF(ISERROR(AVERAGE(F$13:F730)),"n/a",AVERAGE(F$13:F730))</f>
        <v>117</v>
      </c>
      <c r="H730" s="11">
        <f t="shared" si="98"/>
        <v>117</v>
      </c>
      <c r="J730" s="5"/>
      <c r="K730" s="5"/>
      <c r="L730" s="5"/>
      <c r="M730" s="5"/>
      <c r="N730" s="5"/>
      <c r="O730" s="8" t="str">
        <f t="shared" si="96"/>
        <v>n/a</v>
      </c>
      <c r="Q730" s="5"/>
      <c r="R730" s="5"/>
      <c r="S730" s="5"/>
      <c r="U730" s="6"/>
      <c r="V730" s="9" t="str">
        <f t="shared" si="99"/>
        <v/>
      </c>
      <c r="W730" s="9" t="str">
        <f t="shared" si="100"/>
        <v/>
      </c>
      <c r="X730" s="10">
        <f>SUM(V$13:V730)/COUNTA(B$13:B730)</f>
        <v>9.7493036211699167E-3</v>
      </c>
      <c r="Z730" s="5"/>
      <c r="AA730" s="5"/>
      <c r="AC730" s="7"/>
      <c r="AE730" s="54" t="e">
        <f t="shared" si="101"/>
        <v>#N/A</v>
      </c>
      <c r="AF730" s="4" t="e">
        <f t="shared" si="97"/>
        <v>#N/A</v>
      </c>
    </row>
    <row r="731" spans="2:32">
      <c r="B731" s="5">
        <f t="shared" si="102"/>
        <v>719</v>
      </c>
      <c r="C731" s="5"/>
      <c r="E731" s="13"/>
      <c r="F731" s="5"/>
      <c r="G731" s="11">
        <f>IF(ISERROR(AVERAGE(F$13:F731)),"n/a",AVERAGE(F$13:F731))</f>
        <v>117</v>
      </c>
      <c r="H731" s="11">
        <f t="shared" si="98"/>
        <v>117</v>
      </c>
      <c r="J731" s="5"/>
      <c r="K731" s="5"/>
      <c r="L731" s="5"/>
      <c r="M731" s="5"/>
      <c r="N731" s="5"/>
      <c r="O731" s="8" t="str">
        <f t="shared" si="96"/>
        <v>n/a</v>
      </c>
      <c r="Q731" s="5"/>
      <c r="R731" s="5"/>
      <c r="S731" s="5"/>
      <c r="U731" s="6"/>
      <c r="V731" s="9" t="str">
        <f t="shared" si="99"/>
        <v/>
      </c>
      <c r="W731" s="9" t="str">
        <f t="shared" si="100"/>
        <v/>
      </c>
      <c r="X731" s="10">
        <f>SUM(V$13:V731)/COUNTA(B$13:B731)</f>
        <v>9.7357440890125171E-3</v>
      </c>
      <c r="Z731" s="5"/>
      <c r="AA731" s="5"/>
      <c r="AC731" s="7"/>
      <c r="AE731" s="54" t="e">
        <f t="shared" si="101"/>
        <v>#N/A</v>
      </c>
      <c r="AF731" s="4" t="e">
        <f t="shared" si="97"/>
        <v>#N/A</v>
      </c>
    </row>
    <row r="732" spans="2:32">
      <c r="B732" s="5">
        <f t="shared" si="102"/>
        <v>720</v>
      </c>
      <c r="C732" s="5"/>
      <c r="E732" s="13"/>
      <c r="F732" s="5"/>
      <c r="G732" s="11">
        <f>IF(ISERROR(AVERAGE(F$13:F732)),"n/a",AVERAGE(F$13:F732))</f>
        <v>117</v>
      </c>
      <c r="H732" s="11">
        <f t="shared" si="98"/>
        <v>117</v>
      </c>
      <c r="J732" s="5"/>
      <c r="K732" s="5"/>
      <c r="L732" s="5"/>
      <c r="M732" s="5"/>
      <c r="N732" s="5"/>
      <c r="O732" s="8" t="str">
        <f t="shared" si="96"/>
        <v>n/a</v>
      </c>
      <c r="Q732" s="5"/>
      <c r="R732" s="5"/>
      <c r="S732" s="5"/>
      <c r="U732" s="6"/>
      <c r="V732" s="9" t="str">
        <f t="shared" si="99"/>
        <v/>
      </c>
      <c r="W732" s="9" t="str">
        <f t="shared" si="100"/>
        <v/>
      </c>
      <c r="X732" s="10">
        <f>SUM(V$13:V732)/COUNTA(B$13:B732)</f>
        <v>9.7222222222222224E-3</v>
      </c>
      <c r="Z732" s="5"/>
      <c r="AA732" s="5"/>
      <c r="AC732" s="7"/>
      <c r="AE732" s="54" t="e">
        <f t="shared" si="101"/>
        <v>#N/A</v>
      </c>
      <c r="AF732" s="4" t="e">
        <f t="shared" si="97"/>
        <v>#N/A</v>
      </c>
    </row>
    <row r="733" spans="2:32">
      <c r="B733" s="5">
        <f t="shared" si="102"/>
        <v>721</v>
      </c>
      <c r="C733" s="5"/>
      <c r="E733" s="13"/>
      <c r="F733" s="5"/>
      <c r="G733" s="11">
        <f>IF(ISERROR(AVERAGE(F$13:F733)),"n/a",AVERAGE(F$13:F733))</f>
        <v>117</v>
      </c>
      <c r="H733" s="11">
        <f t="shared" si="98"/>
        <v>117</v>
      </c>
      <c r="J733" s="5"/>
      <c r="K733" s="5"/>
      <c r="L733" s="5"/>
      <c r="M733" s="5"/>
      <c r="N733" s="5"/>
      <c r="O733" s="8" t="str">
        <f t="shared" si="96"/>
        <v>n/a</v>
      </c>
      <c r="Q733" s="5"/>
      <c r="R733" s="5"/>
      <c r="S733" s="5"/>
      <c r="U733" s="6"/>
      <c r="V733" s="9" t="str">
        <f t="shared" si="99"/>
        <v/>
      </c>
      <c r="W733" s="9" t="str">
        <f t="shared" si="100"/>
        <v/>
      </c>
      <c r="X733" s="10">
        <f>SUM(V$13:V733)/COUNTA(B$13:B733)</f>
        <v>9.7087378640776691E-3</v>
      </c>
      <c r="Z733" s="5"/>
      <c r="AA733" s="5"/>
      <c r="AC733" s="7"/>
      <c r="AE733" s="54" t="e">
        <f t="shared" si="101"/>
        <v>#N/A</v>
      </c>
      <c r="AF733" s="4" t="e">
        <f t="shared" si="97"/>
        <v>#N/A</v>
      </c>
    </row>
    <row r="734" spans="2:32">
      <c r="B734" s="5">
        <f t="shared" si="102"/>
        <v>722</v>
      </c>
      <c r="C734" s="5"/>
      <c r="E734" s="13"/>
      <c r="F734" s="5"/>
      <c r="G734" s="11">
        <f>IF(ISERROR(AVERAGE(F$13:F734)),"n/a",AVERAGE(F$13:F734))</f>
        <v>117</v>
      </c>
      <c r="H734" s="11">
        <f t="shared" si="98"/>
        <v>117</v>
      </c>
      <c r="J734" s="5"/>
      <c r="K734" s="5"/>
      <c r="L734" s="5"/>
      <c r="M734" s="5"/>
      <c r="N734" s="5"/>
      <c r="O734" s="8" t="str">
        <f t="shared" si="96"/>
        <v>n/a</v>
      </c>
      <c r="Q734" s="5"/>
      <c r="R734" s="5"/>
      <c r="S734" s="5"/>
      <c r="U734" s="6"/>
      <c r="V734" s="9" t="str">
        <f t="shared" si="99"/>
        <v/>
      </c>
      <c r="W734" s="9" t="str">
        <f t="shared" si="100"/>
        <v/>
      </c>
      <c r="X734" s="10">
        <f>SUM(V$13:V734)/COUNTA(B$13:B734)</f>
        <v>9.6952908587257611E-3</v>
      </c>
      <c r="Z734" s="5"/>
      <c r="AA734" s="5"/>
      <c r="AC734" s="7"/>
      <c r="AE734" s="54" t="e">
        <f t="shared" si="101"/>
        <v>#N/A</v>
      </c>
      <c r="AF734" s="4" t="e">
        <f t="shared" si="97"/>
        <v>#N/A</v>
      </c>
    </row>
    <row r="735" spans="2:32">
      <c r="B735" s="5">
        <f t="shared" si="102"/>
        <v>723</v>
      </c>
      <c r="C735" s="5"/>
      <c r="E735" s="13"/>
      <c r="F735" s="5"/>
      <c r="G735" s="11">
        <f>IF(ISERROR(AVERAGE(F$13:F735)),"n/a",AVERAGE(F$13:F735))</f>
        <v>117</v>
      </c>
      <c r="H735" s="11">
        <f t="shared" si="98"/>
        <v>117</v>
      </c>
      <c r="J735" s="5"/>
      <c r="K735" s="5"/>
      <c r="L735" s="5"/>
      <c r="M735" s="5"/>
      <c r="N735" s="5"/>
      <c r="O735" s="8" t="str">
        <f t="shared" si="96"/>
        <v>n/a</v>
      </c>
      <c r="Q735" s="5"/>
      <c r="R735" s="5"/>
      <c r="S735" s="5"/>
      <c r="U735" s="6"/>
      <c r="V735" s="9" t="str">
        <f t="shared" si="99"/>
        <v/>
      </c>
      <c r="W735" s="9" t="str">
        <f t="shared" si="100"/>
        <v/>
      </c>
      <c r="X735" s="10">
        <f>SUM(V$13:V735)/COUNTA(B$13:B735)</f>
        <v>9.6818810511756573E-3</v>
      </c>
      <c r="Z735" s="5"/>
      <c r="AA735" s="5"/>
      <c r="AC735" s="7"/>
      <c r="AE735" s="54" t="e">
        <f t="shared" si="101"/>
        <v>#N/A</v>
      </c>
      <c r="AF735" s="4" t="e">
        <f t="shared" si="97"/>
        <v>#N/A</v>
      </c>
    </row>
    <row r="736" spans="2:32">
      <c r="B736" s="5">
        <f t="shared" si="102"/>
        <v>724</v>
      </c>
      <c r="C736" s="5"/>
      <c r="E736" s="13"/>
      <c r="F736" s="5"/>
      <c r="G736" s="11">
        <f>IF(ISERROR(AVERAGE(F$13:F736)),"n/a",AVERAGE(F$13:F736))</f>
        <v>117</v>
      </c>
      <c r="H736" s="11">
        <f t="shared" si="98"/>
        <v>117</v>
      </c>
      <c r="J736" s="5"/>
      <c r="K736" s="5"/>
      <c r="L736" s="5"/>
      <c r="M736" s="5"/>
      <c r="N736" s="5"/>
      <c r="O736" s="8" t="str">
        <f t="shared" si="96"/>
        <v>n/a</v>
      </c>
      <c r="Q736" s="5"/>
      <c r="R736" s="5"/>
      <c r="S736" s="5"/>
      <c r="U736" s="6"/>
      <c r="V736" s="9" t="str">
        <f t="shared" si="99"/>
        <v/>
      </c>
      <c r="W736" s="9" t="str">
        <f t="shared" si="100"/>
        <v/>
      </c>
      <c r="X736" s="10">
        <f>SUM(V$13:V736)/COUNTA(B$13:B736)</f>
        <v>9.6685082872928173E-3</v>
      </c>
      <c r="Z736" s="5"/>
      <c r="AA736" s="5"/>
      <c r="AC736" s="7"/>
      <c r="AE736" s="54" t="e">
        <f t="shared" si="101"/>
        <v>#N/A</v>
      </c>
      <c r="AF736" s="4" t="e">
        <f t="shared" si="97"/>
        <v>#N/A</v>
      </c>
    </row>
    <row r="737" spans="2:32">
      <c r="B737" s="5">
        <f t="shared" si="102"/>
        <v>725</v>
      </c>
      <c r="C737" s="5"/>
      <c r="E737" s="13"/>
      <c r="F737" s="5"/>
      <c r="G737" s="11">
        <f>IF(ISERROR(AVERAGE(F$13:F737)),"n/a",AVERAGE(F$13:F737))</f>
        <v>117</v>
      </c>
      <c r="H737" s="11">
        <f t="shared" si="98"/>
        <v>117</v>
      </c>
      <c r="J737" s="5"/>
      <c r="K737" s="5"/>
      <c r="L737" s="5"/>
      <c r="M737" s="5"/>
      <c r="N737" s="5"/>
      <c r="O737" s="8" t="str">
        <f t="shared" si="96"/>
        <v>n/a</v>
      </c>
      <c r="Q737" s="5"/>
      <c r="R737" s="5"/>
      <c r="S737" s="5"/>
      <c r="U737" s="6"/>
      <c r="V737" s="9" t="str">
        <f t="shared" si="99"/>
        <v/>
      </c>
      <c r="W737" s="9" t="str">
        <f t="shared" si="100"/>
        <v/>
      </c>
      <c r="X737" s="10">
        <f>SUM(V$13:V737)/COUNTA(B$13:B737)</f>
        <v>9.655172413793104E-3</v>
      </c>
      <c r="Z737" s="5"/>
      <c r="AA737" s="5"/>
      <c r="AC737" s="7"/>
      <c r="AE737" s="54" t="e">
        <f t="shared" si="101"/>
        <v>#N/A</v>
      </c>
      <c r="AF737" s="4" t="e">
        <f t="shared" si="97"/>
        <v>#N/A</v>
      </c>
    </row>
    <row r="738" spans="2:32">
      <c r="B738" s="5">
        <f t="shared" si="102"/>
        <v>726</v>
      </c>
      <c r="C738" s="5"/>
      <c r="E738" s="13"/>
      <c r="F738" s="5"/>
      <c r="G738" s="11">
        <f>IF(ISERROR(AVERAGE(F$13:F738)),"n/a",AVERAGE(F$13:F738))</f>
        <v>117</v>
      </c>
      <c r="H738" s="11">
        <f t="shared" si="98"/>
        <v>117</v>
      </c>
      <c r="J738" s="5"/>
      <c r="K738" s="5"/>
      <c r="L738" s="5"/>
      <c r="M738" s="5"/>
      <c r="N738" s="5"/>
      <c r="O738" s="8" t="str">
        <f t="shared" si="96"/>
        <v>n/a</v>
      </c>
      <c r="Q738" s="5"/>
      <c r="R738" s="5"/>
      <c r="S738" s="5"/>
      <c r="U738" s="6"/>
      <c r="V738" s="9" t="str">
        <f t="shared" si="99"/>
        <v/>
      </c>
      <c r="W738" s="9" t="str">
        <f t="shared" si="100"/>
        <v/>
      </c>
      <c r="X738" s="10">
        <f>SUM(V$13:V738)/COUNTA(B$13:B738)</f>
        <v>9.6418732782369149E-3</v>
      </c>
      <c r="Z738" s="5"/>
      <c r="AA738" s="5"/>
      <c r="AC738" s="7"/>
      <c r="AE738" s="54" t="e">
        <f t="shared" si="101"/>
        <v>#N/A</v>
      </c>
      <c r="AF738" s="4" t="e">
        <f t="shared" si="97"/>
        <v>#N/A</v>
      </c>
    </row>
    <row r="739" spans="2:32">
      <c r="B739" s="5">
        <f t="shared" si="102"/>
        <v>727</v>
      </c>
      <c r="C739" s="5"/>
      <c r="E739" s="13"/>
      <c r="F739" s="5"/>
      <c r="G739" s="11">
        <f>IF(ISERROR(AVERAGE(F$13:F739)),"n/a",AVERAGE(F$13:F739))</f>
        <v>117</v>
      </c>
      <c r="H739" s="11">
        <f t="shared" si="98"/>
        <v>117</v>
      </c>
      <c r="J739" s="5"/>
      <c r="K739" s="5"/>
      <c r="L739" s="5"/>
      <c r="M739" s="5"/>
      <c r="N739" s="5"/>
      <c r="O739" s="8" t="str">
        <f t="shared" si="96"/>
        <v>n/a</v>
      </c>
      <c r="Q739" s="5"/>
      <c r="R739" s="5"/>
      <c r="S739" s="5"/>
      <c r="U739" s="6"/>
      <c r="V739" s="9" t="str">
        <f t="shared" si="99"/>
        <v/>
      </c>
      <c r="W739" s="9" t="str">
        <f t="shared" si="100"/>
        <v/>
      </c>
      <c r="X739" s="10">
        <f>SUM(V$13:V739)/COUNTA(B$13:B739)</f>
        <v>9.6286107290233843E-3</v>
      </c>
      <c r="Z739" s="5"/>
      <c r="AA739" s="5"/>
      <c r="AC739" s="7"/>
      <c r="AE739" s="54" t="e">
        <f t="shared" si="101"/>
        <v>#N/A</v>
      </c>
      <c r="AF739" s="4" t="e">
        <f t="shared" si="97"/>
        <v>#N/A</v>
      </c>
    </row>
    <row r="740" spans="2:32">
      <c r="B740" s="5">
        <f t="shared" si="102"/>
        <v>728</v>
      </c>
      <c r="C740" s="5"/>
      <c r="E740" s="13"/>
      <c r="F740" s="5"/>
      <c r="G740" s="11">
        <f>IF(ISERROR(AVERAGE(F$13:F740)),"n/a",AVERAGE(F$13:F740))</f>
        <v>117</v>
      </c>
      <c r="H740" s="11">
        <f t="shared" si="98"/>
        <v>117</v>
      </c>
      <c r="J740" s="5"/>
      <c r="K740" s="5"/>
      <c r="L740" s="5"/>
      <c r="M740" s="5"/>
      <c r="N740" s="5"/>
      <c r="O740" s="8" t="str">
        <f t="shared" si="96"/>
        <v>n/a</v>
      </c>
      <c r="Q740" s="5"/>
      <c r="R740" s="5"/>
      <c r="S740" s="5"/>
      <c r="U740" s="6"/>
      <c r="V740" s="9" t="str">
        <f t="shared" si="99"/>
        <v/>
      </c>
      <c r="W740" s="9" t="str">
        <f t="shared" si="100"/>
        <v/>
      </c>
      <c r="X740" s="10">
        <f>SUM(V$13:V740)/COUNTA(B$13:B740)</f>
        <v>9.6153846153846159E-3</v>
      </c>
      <c r="Z740" s="5"/>
      <c r="AA740" s="5"/>
      <c r="AC740" s="7"/>
      <c r="AE740" s="54" t="e">
        <f t="shared" si="101"/>
        <v>#N/A</v>
      </c>
      <c r="AF740" s="4" t="e">
        <f t="shared" si="97"/>
        <v>#N/A</v>
      </c>
    </row>
    <row r="741" spans="2:32">
      <c r="B741" s="5">
        <f t="shared" si="102"/>
        <v>729</v>
      </c>
      <c r="C741" s="5"/>
      <c r="E741" s="13"/>
      <c r="F741" s="5"/>
      <c r="G741" s="11">
        <f>IF(ISERROR(AVERAGE(F$13:F741)),"n/a",AVERAGE(F$13:F741))</f>
        <v>117</v>
      </c>
      <c r="H741" s="11">
        <f t="shared" si="98"/>
        <v>117</v>
      </c>
      <c r="J741" s="5"/>
      <c r="K741" s="5"/>
      <c r="L741" s="5"/>
      <c r="M741" s="5"/>
      <c r="N741" s="5"/>
      <c r="O741" s="8" t="str">
        <f t="shared" si="96"/>
        <v>n/a</v>
      </c>
      <c r="Q741" s="5"/>
      <c r="R741" s="5"/>
      <c r="S741" s="5"/>
      <c r="U741" s="6"/>
      <c r="V741" s="9" t="str">
        <f t="shared" si="99"/>
        <v/>
      </c>
      <c r="W741" s="9" t="str">
        <f t="shared" si="100"/>
        <v/>
      </c>
      <c r="X741" s="10">
        <f>SUM(V$13:V741)/COUNTA(B$13:B741)</f>
        <v>9.6021947873799734E-3</v>
      </c>
      <c r="Z741" s="5"/>
      <c r="AA741" s="5"/>
      <c r="AC741" s="7"/>
      <c r="AE741" s="54" t="e">
        <f t="shared" si="101"/>
        <v>#N/A</v>
      </c>
      <c r="AF741" s="4" t="e">
        <f t="shared" si="97"/>
        <v>#N/A</v>
      </c>
    </row>
    <row r="742" spans="2:32">
      <c r="B742" s="5">
        <f t="shared" si="102"/>
        <v>730</v>
      </c>
      <c r="C742" s="5"/>
      <c r="E742" s="13"/>
      <c r="F742" s="5"/>
      <c r="G742" s="11">
        <f>IF(ISERROR(AVERAGE(F$13:F742)),"n/a",AVERAGE(F$13:F742))</f>
        <v>117</v>
      </c>
      <c r="H742" s="11">
        <f t="shared" si="98"/>
        <v>117</v>
      </c>
      <c r="J742" s="5"/>
      <c r="K742" s="5"/>
      <c r="L742" s="5"/>
      <c r="M742" s="5"/>
      <c r="N742" s="5"/>
      <c r="O742" s="8" t="str">
        <f t="shared" si="96"/>
        <v>n/a</v>
      </c>
      <c r="Q742" s="5"/>
      <c r="R742" s="5"/>
      <c r="S742" s="5"/>
      <c r="U742" s="6"/>
      <c r="V742" s="9" t="str">
        <f t="shared" si="99"/>
        <v/>
      </c>
      <c r="W742" s="9" t="str">
        <f t="shared" si="100"/>
        <v/>
      </c>
      <c r="X742" s="10">
        <f>SUM(V$13:V742)/COUNTA(B$13:B742)</f>
        <v>9.5890410958904115E-3</v>
      </c>
      <c r="Z742" s="5"/>
      <c r="AA742" s="5"/>
      <c r="AC742" s="7"/>
      <c r="AE742" s="54" t="e">
        <f t="shared" si="101"/>
        <v>#N/A</v>
      </c>
      <c r="AF742" s="4" t="e">
        <f t="shared" si="97"/>
        <v>#N/A</v>
      </c>
    </row>
    <row r="743" spans="2:32">
      <c r="B743" s="5">
        <f t="shared" si="102"/>
        <v>731</v>
      </c>
      <c r="C743" s="5"/>
      <c r="E743" s="13"/>
      <c r="F743" s="5"/>
      <c r="G743" s="11">
        <f>IF(ISERROR(AVERAGE(F$13:F743)),"n/a",AVERAGE(F$13:F743))</f>
        <v>117</v>
      </c>
      <c r="H743" s="11">
        <f t="shared" si="98"/>
        <v>117</v>
      </c>
      <c r="J743" s="5"/>
      <c r="K743" s="5"/>
      <c r="L743" s="5"/>
      <c r="M743" s="5"/>
      <c r="N743" s="5"/>
      <c r="O743" s="8" t="str">
        <f t="shared" si="96"/>
        <v>n/a</v>
      </c>
      <c r="Q743" s="5"/>
      <c r="R743" s="5"/>
      <c r="S743" s="5"/>
      <c r="U743" s="6"/>
      <c r="V743" s="9" t="str">
        <f t="shared" si="99"/>
        <v/>
      </c>
      <c r="W743" s="9" t="str">
        <f t="shared" si="100"/>
        <v/>
      </c>
      <c r="X743" s="10">
        <f>SUM(V$13:V743)/COUNTA(B$13:B743)</f>
        <v>9.575923392612859E-3</v>
      </c>
      <c r="Z743" s="5"/>
      <c r="AA743" s="5"/>
      <c r="AC743" s="7"/>
      <c r="AE743" s="54" t="e">
        <f t="shared" si="101"/>
        <v>#N/A</v>
      </c>
      <c r="AF743" s="4" t="e">
        <f t="shared" si="97"/>
        <v>#N/A</v>
      </c>
    </row>
    <row r="744" spans="2:32">
      <c r="B744" s="5">
        <f t="shared" si="102"/>
        <v>732</v>
      </c>
      <c r="C744" s="5"/>
      <c r="E744" s="13"/>
      <c r="F744" s="5"/>
      <c r="G744" s="11">
        <f>IF(ISERROR(AVERAGE(F$13:F744)),"n/a",AVERAGE(F$13:F744))</f>
        <v>117</v>
      </c>
      <c r="H744" s="11">
        <f t="shared" si="98"/>
        <v>117</v>
      </c>
      <c r="J744" s="5"/>
      <c r="K744" s="5"/>
      <c r="L744" s="5"/>
      <c r="M744" s="5"/>
      <c r="N744" s="5"/>
      <c r="O744" s="8" t="str">
        <f t="shared" si="96"/>
        <v>n/a</v>
      </c>
      <c r="Q744" s="5"/>
      <c r="R744" s="5"/>
      <c r="S744" s="5"/>
      <c r="U744" s="6"/>
      <c r="V744" s="9" t="str">
        <f t="shared" si="99"/>
        <v/>
      </c>
      <c r="W744" s="9" t="str">
        <f t="shared" si="100"/>
        <v/>
      </c>
      <c r="X744" s="10">
        <f>SUM(V$13:V744)/COUNTA(B$13:B744)</f>
        <v>9.562841530054645E-3</v>
      </c>
      <c r="Z744" s="5"/>
      <c r="AA744" s="5"/>
      <c r="AC744" s="7"/>
      <c r="AE744" s="54" t="e">
        <f t="shared" si="101"/>
        <v>#N/A</v>
      </c>
      <c r="AF744" s="4" t="e">
        <f t="shared" si="97"/>
        <v>#N/A</v>
      </c>
    </row>
    <row r="745" spans="2:32">
      <c r="B745" s="5">
        <f t="shared" si="102"/>
        <v>733</v>
      </c>
      <c r="C745" s="5"/>
      <c r="E745" s="13"/>
      <c r="F745" s="5"/>
      <c r="G745" s="11">
        <f>IF(ISERROR(AVERAGE(F$13:F745)),"n/a",AVERAGE(F$13:F745))</f>
        <v>117</v>
      </c>
      <c r="H745" s="11">
        <f t="shared" si="98"/>
        <v>117</v>
      </c>
      <c r="J745" s="5"/>
      <c r="K745" s="5"/>
      <c r="L745" s="5"/>
      <c r="M745" s="5"/>
      <c r="N745" s="5"/>
      <c r="O745" s="8" t="str">
        <f t="shared" si="96"/>
        <v>n/a</v>
      </c>
      <c r="Q745" s="5"/>
      <c r="R745" s="5"/>
      <c r="S745" s="5"/>
      <c r="U745" s="6"/>
      <c r="V745" s="9" t="str">
        <f t="shared" si="99"/>
        <v/>
      </c>
      <c r="W745" s="9" t="str">
        <f t="shared" si="100"/>
        <v/>
      </c>
      <c r="X745" s="10">
        <f>SUM(V$13:V745)/COUNTA(B$13:B745)</f>
        <v>9.5497953615279671E-3</v>
      </c>
      <c r="Z745" s="5"/>
      <c r="AA745" s="5"/>
      <c r="AC745" s="7"/>
      <c r="AE745" s="54" t="e">
        <f t="shared" si="101"/>
        <v>#N/A</v>
      </c>
      <c r="AF745" s="4" t="e">
        <f t="shared" si="97"/>
        <v>#N/A</v>
      </c>
    </row>
    <row r="746" spans="2:32">
      <c r="B746" s="5">
        <f t="shared" si="102"/>
        <v>734</v>
      </c>
      <c r="C746" s="5"/>
      <c r="E746" s="13"/>
      <c r="F746" s="5"/>
      <c r="G746" s="11">
        <f>IF(ISERROR(AVERAGE(F$13:F746)),"n/a",AVERAGE(F$13:F746))</f>
        <v>117</v>
      </c>
      <c r="H746" s="11">
        <f t="shared" si="98"/>
        <v>117</v>
      </c>
      <c r="J746" s="5"/>
      <c r="K746" s="5"/>
      <c r="L746" s="5"/>
      <c r="M746" s="5"/>
      <c r="N746" s="5"/>
      <c r="O746" s="8" t="str">
        <f t="shared" si="96"/>
        <v>n/a</v>
      </c>
      <c r="Q746" s="5"/>
      <c r="R746" s="5"/>
      <c r="S746" s="5"/>
      <c r="U746" s="6"/>
      <c r="V746" s="9" t="str">
        <f t="shared" si="99"/>
        <v/>
      </c>
      <c r="W746" s="9" t="str">
        <f t="shared" si="100"/>
        <v/>
      </c>
      <c r="X746" s="10">
        <f>SUM(V$13:V746)/COUNTA(B$13:B746)</f>
        <v>9.5367847411444145E-3</v>
      </c>
      <c r="Z746" s="5"/>
      <c r="AA746" s="5"/>
      <c r="AC746" s="7"/>
      <c r="AE746" s="54" t="e">
        <f t="shared" si="101"/>
        <v>#N/A</v>
      </c>
      <c r="AF746" s="4" t="e">
        <f t="shared" si="97"/>
        <v>#N/A</v>
      </c>
    </row>
    <row r="747" spans="2:32">
      <c r="B747" s="5">
        <f t="shared" si="102"/>
        <v>735</v>
      </c>
      <c r="C747" s="5"/>
      <c r="E747" s="13"/>
      <c r="F747" s="5"/>
      <c r="G747" s="11">
        <f>IF(ISERROR(AVERAGE(F$13:F747)),"n/a",AVERAGE(F$13:F747))</f>
        <v>117</v>
      </c>
      <c r="H747" s="11">
        <f t="shared" si="98"/>
        <v>117</v>
      </c>
      <c r="J747" s="5"/>
      <c r="K747" s="5"/>
      <c r="L747" s="5"/>
      <c r="M747" s="5"/>
      <c r="N747" s="5"/>
      <c r="O747" s="8" t="str">
        <f t="shared" si="96"/>
        <v>n/a</v>
      </c>
      <c r="Q747" s="5"/>
      <c r="R747" s="5"/>
      <c r="S747" s="5"/>
      <c r="U747" s="6"/>
      <c r="V747" s="9" t="str">
        <f t="shared" si="99"/>
        <v/>
      </c>
      <c r="W747" s="9" t="str">
        <f t="shared" si="100"/>
        <v/>
      </c>
      <c r="X747" s="10">
        <f>SUM(V$13:V747)/COUNTA(B$13:B747)</f>
        <v>9.5238095238095247E-3</v>
      </c>
      <c r="Z747" s="5"/>
      <c r="AA747" s="5"/>
      <c r="AC747" s="7"/>
      <c r="AE747" s="54" t="e">
        <f t="shared" si="101"/>
        <v>#N/A</v>
      </c>
      <c r="AF747" s="4" t="e">
        <f t="shared" si="97"/>
        <v>#N/A</v>
      </c>
    </row>
    <row r="748" spans="2:32">
      <c r="B748" s="5">
        <f t="shared" si="102"/>
        <v>736</v>
      </c>
      <c r="C748" s="5"/>
      <c r="E748" s="13"/>
      <c r="F748" s="5"/>
      <c r="G748" s="11">
        <f>IF(ISERROR(AVERAGE(F$13:F748)),"n/a",AVERAGE(F$13:F748))</f>
        <v>117</v>
      </c>
      <c r="H748" s="11">
        <f t="shared" si="98"/>
        <v>117</v>
      </c>
      <c r="J748" s="5"/>
      <c r="K748" s="5"/>
      <c r="L748" s="5"/>
      <c r="M748" s="5"/>
      <c r="N748" s="5"/>
      <c r="O748" s="8" t="str">
        <f t="shared" si="96"/>
        <v>n/a</v>
      </c>
      <c r="Q748" s="5"/>
      <c r="R748" s="5"/>
      <c r="S748" s="5"/>
      <c r="U748" s="6"/>
      <c r="V748" s="9" t="str">
        <f t="shared" si="99"/>
        <v/>
      </c>
      <c r="W748" s="9" t="str">
        <f t="shared" si="100"/>
        <v/>
      </c>
      <c r="X748" s="10">
        <f>SUM(V$13:V748)/COUNTA(B$13:B748)</f>
        <v>9.5108695652173919E-3</v>
      </c>
      <c r="Z748" s="5"/>
      <c r="AA748" s="5"/>
      <c r="AC748" s="7"/>
      <c r="AE748" s="54" t="e">
        <f t="shared" si="101"/>
        <v>#N/A</v>
      </c>
      <c r="AF748" s="4" t="e">
        <f t="shared" si="97"/>
        <v>#N/A</v>
      </c>
    </row>
    <row r="749" spans="2:32">
      <c r="B749" s="5">
        <f t="shared" si="102"/>
        <v>737</v>
      </c>
      <c r="C749" s="5"/>
      <c r="E749" s="13"/>
      <c r="F749" s="5"/>
      <c r="G749" s="11">
        <f>IF(ISERROR(AVERAGE(F$13:F749)),"n/a",AVERAGE(F$13:F749))</f>
        <v>117</v>
      </c>
      <c r="H749" s="11">
        <f t="shared" si="98"/>
        <v>117</v>
      </c>
      <c r="J749" s="5"/>
      <c r="K749" s="5"/>
      <c r="L749" s="5"/>
      <c r="M749" s="5"/>
      <c r="N749" s="5"/>
      <c r="O749" s="8" t="str">
        <f t="shared" si="96"/>
        <v>n/a</v>
      </c>
      <c r="Q749" s="5"/>
      <c r="R749" s="5"/>
      <c r="S749" s="5"/>
      <c r="U749" s="6"/>
      <c r="V749" s="9" t="str">
        <f t="shared" si="99"/>
        <v/>
      </c>
      <c r="W749" s="9" t="str">
        <f t="shared" si="100"/>
        <v/>
      </c>
      <c r="X749" s="10">
        <f>SUM(V$13:V749)/COUNTA(B$13:B749)</f>
        <v>9.497964721845319E-3</v>
      </c>
      <c r="Z749" s="5"/>
      <c r="AA749" s="5"/>
      <c r="AC749" s="7"/>
      <c r="AE749" s="54" t="e">
        <f t="shared" si="101"/>
        <v>#N/A</v>
      </c>
      <c r="AF749" s="4" t="e">
        <f t="shared" si="97"/>
        <v>#N/A</v>
      </c>
    </row>
    <row r="750" spans="2:32">
      <c r="B750" s="5">
        <f t="shared" si="102"/>
        <v>738</v>
      </c>
      <c r="C750" s="5"/>
      <c r="E750" s="13"/>
      <c r="F750" s="5"/>
      <c r="G750" s="11">
        <f>IF(ISERROR(AVERAGE(F$13:F750)),"n/a",AVERAGE(F$13:F750))</f>
        <v>117</v>
      </c>
      <c r="H750" s="11">
        <f t="shared" si="98"/>
        <v>117</v>
      </c>
      <c r="J750" s="5"/>
      <c r="K750" s="5"/>
      <c r="L750" s="5"/>
      <c r="M750" s="5"/>
      <c r="N750" s="5"/>
      <c r="O750" s="8" t="str">
        <f t="shared" si="96"/>
        <v>n/a</v>
      </c>
      <c r="Q750" s="5"/>
      <c r="R750" s="5"/>
      <c r="S750" s="5"/>
      <c r="U750" s="6"/>
      <c r="V750" s="9" t="str">
        <f t="shared" si="99"/>
        <v/>
      </c>
      <c r="W750" s="9" t="str">
        <f t="shared" si="100"/>
        <v/>
      </c>
      <c r="X750" s="10">
        <f>SUM(V$13:V750)/COUNTA(B$13:B750)</f>
        <v>9.485094850948509E-3</v>
      </c>
      <c r="Z750" s="5"/>
      <c r="AA750" s="5"/>
      <c r="AC750" s="7"/>
      <c r="AE750" s="54" t="e">
        <f t="shared" si="101"/>
        <v>#N/A</v>
      </c>
      <c r="AF750" s="4" t="e">
        <f t="shared" si="97"/>
        <v>#N/A</v>
      </c>
    </row>
    <row r="751" spans="2:32">
      <c r="B751" s="5">
        <f t="shared" si="102"/>
        <v>739</v>
      </c>
      <c r="C751" s="5"/>
      <c r="E751" s="13"/>
      <c r="F751" s="5"/>
      <c r="G751" s="11">
        <f>IF(ISERROR(AVERAGE(F$13:F751)),"n/a",AVERAGE(F$13:F751))</f>
        <v>117</v>
      </c>
      <c r="H751" s="11">
        <f t="shared" si="98"/>
        <v>117</v>
      </c>
      <c r="J751" s="5"/>
      <c r="K751" s="5"/>
      <c r="L751" s="5"/>
      <c r="M751" s="5"/>
      <c r="N751" s="5"/>
      <c r="O751" s="8" t="str">
        <f t="shared" si="96"/>
        <v>n/a</v>
      </c>
      <c r="Q751" s="5"/>
      <c r="R751" s="5"/>
      <c r="S751" s="5"/>
      <c r="U751" s="6"/>
      <c r="V751" s="9" t="str">
        <f t="shared" si="99"/>
        <v/>
      </c>
      <c r="W751" s="9" t="str">
        <f t="shared" si="100"/>
        <v/>
      </c>
      <c r="X751" s="10">
        <f>SUM(V$13:V751)/COUNTA(B$13:B751)</f>
        <v>9.4722598105548041E-3</v>
      </c>
      <c r="Z751" s="5"/>
      <c r="AA751" s="5"/>
      <c r="AC751" s="7"/>
      <c r="AE751" s="54" t="e">
        <f t="shared" si="101"/>
        <v>#N/A</v>
      </c>
      <c r="AF751" s="4" t="e">
        <f t="shared" si="97"/>
        <v>#N/A</v>
      </c>
    </row>
    <row r="752" spans="2:32">
      <c r="B752" s="5">
        <f t="shared" si="102"/>
        <v>740</v>
      </c>
      <c r="C752" s="5"/>
      <c r="E752" s="13"/>
      <c r="F752" s="5"/>
      <c r="G752" s="11">
        <f>IF(ISERROR(AVERAGE(F$13:F752)),"n/a",AVERAGE(F$13:F752))</f>
        <v>117</v>
      </c>
      <c r="H752" s="11">
        <f t="shared" si="98"/>
        <v>117</v>
      </c>
      <c r="J752" s="5"/>
      <c r="K752" s="5"/>
      <c r="L752" s="5"/>
      <c r="M752" s="5"/>
      <c r="N752" s="5"/>
      <c r="O752" s="8" t="str">
        <f t="shared" si="96"/>
        <v>n/a</v>
      </c>
      <c r="Q752" s="5"/>
      <c r="R752" s="5"/>
      <c r="S752" s="5"/>
      <c r="U752" s="6"/>
      <c r="V752" s="9" t="str">
        <f t="shared" si="99"/>
        <v/>
      </c>
      <c r="W752" s="9" t="str">
        <f t="shared" si="100"/>
        <v/>
      </c>
      <c r="X752" s="10">
        <f>SUM(V$13:V752)/COUNTA(B$13:B752)</f>
        <v>9.45945945945946E-3</v>
      </c>
      <c r="Z752" s="5"/>
      <c r="AA752" s="5"/>
      <c r="AC752" s="7"/>
      <c r="AE752" s="54" t="e">
        <f t="shared" si="101"/>
        <v>#N/A</v>
      </c>
      <c r="AF752" s="4" t="e">
        <f t="shared" si="97"/>
        <v>#N/A</v>
      </c>
    </row>
    <row r="753" spans="2:32">
      <c r="B753" s="5">
        <f t="shared" si="102"/>
        <v>741</v>
      </c>
      <c r="C753" s="5"/>
      <c r="E753" s="13"/>
      <c r="F753" s="5"/>
      <c r="G753" s="11">
        <f>IF(ISERROR(AVERAGE(F$13:F753)),"n/a",AVERAGE(F$13:F753))</f>
        <v>117</v>
      </c>
      <c r="H753" s="11">
        <f t="shared" si="98"/>
        <v>117</v>
      </c>
      <c r="J753" s="5"/>
      <c r="K753" s="5"/>
      <c r="L753" s="5"/>
      <c r="M753" s="5"/>
      <c r="N753" s="5"/>
      <c r="O753" s="8" t="str">
        <f t="shared" ref="O753:O816" si="103">IF(J753=1,"A",IF(K753=1,"B",IF(L753=1,"C",IF(M753=1,"D",IF(N753=1,"E","n/a")))))</f>
        <v>n/a</v>
      </c>
      <c r="Q753" s="5"/>
      <c r="R753" s="5"/>
      <c r="S753" s="5"/>
      <c r="U753" s="6"/>
      <c r="V753" s="9" t="str">
        <f t="shared" si="99"/>
        <v/>
      </c>
      <c r="W753" s="9" t="str">
        <f t="shared" si="100"/>
        <v/>
      </c>
      <c r="X753" s="10">
        <f>SUM(V$13:V753)/COUNTA(B$13:B753)</f>
        <v>9.4466936572199737E-3</v>
      </c>
      <c r="Z753" s="5"/>
      <c r="AA753" s="5"/>
      <c r="AC753" s="7"/>
      <c r="AE753" s="54" t="e">
        <f t="shared" si="101"/>
        <v>#N/A</v>
      </c>
      <c r="AF753" s="4" t="e">
        <f t="shared" si="97"/>
        <v>#N/A</v>
      </c>
    </row>
    <row r="754" spans="2:32">
      <c r="B754" s="5">
        <f t="shared" si="102"/>
        <v>742</v>
      </c>
      <c r="C754" s="5"/>
      <c r="E754" s="13"/>
      <c r="F754" s="5"/>
      <c r="G754" s="11">
        <f>IF(ISERROR(AVERAGE(F$13:F754)),"n/a",AVERAGE(F$13:F754))</f>
        <v>117</v>
      </c>
      <c r="H754" s="11">
        <f t="shared" si="98"/>
        <v>117</v>
      </c>
      <c r="J754" s="5"/>
      <c r="K754" s="5"/>
      <c r="L754" s="5"/>
      <c r="M754" s="5"/>
      <c r="N754" s="5"/>
      <c r="O754" s="8" t="str">
        <f t="shared" si="103"/>
        <v>n/a</v>
      </c>
      <c r="Q754" s="5"/>
      <c r="R754" s="5"/>
      <c r="S754" s="5"/>
      <c r="U754" s="6"/>
      <c r="V754" s="9" t="str">
        <f t="shared" si="99"/>
        <v/>
      </c>
      <c r="W754" s="9" t="str">
        <f t="shared" si="100"/>
        <v/>
      </c>
      <c r="X754" s="10">
        <f>SUM(V$13:V754)/COUNTA(B$13:B754)</f>
        <v>9.433962264150943E-3</v>
      </c>
      <c r="Z754" s="5"/>
      <c r="AA754" s="5"/>
      <c r="AC754" s="7"/>
      <c r="AE754" s="54" t="e">
        <f t="shared" si="101"/>
        <v>#N/A</v>
      </c>
      <c r="AF754" s="4" t="e">
        <f t="shared" si="97"/>
        <v>#N/A</v>
      </c>
    </row>
    <row r="755" spans="2:32">
      <c r="B755" s="5">
        <f t="shared" si="102"/>
        <v>743</v>
      </c>
      <c r="C755" s="5"/>
      <c r="E755" s="13"/>
      <c r="F755" s="5"/>
      <c r="G755" s="11">
        <f>IF(ISERROR(AVERAGE(F$13:F755)),"n/a",AVERAGE(F$13:F755))</f>
        <v>117</v>
      </c>
      <c r="H755" s="11">
        <f t="shared" si="98"/>
        <v>117</v>
      </c>
      <c r="J755" s="5"/>
      <c r="K755" s="5"/>
      <c r="L755" s="5"/>
      <c r="M755" s="5"/>
      <c r="N755" s="5"/>
      <c r="O755" s="8" t="str">
        <f t="shared" si="103"/>
        <v>n/a</v>
      </c>
      <c r="Q755" s="5"/>
      <c r="R755" s="5"/>
      <c r="S755" s="5"/>
      <c r="U755" s="6"/>
      <c r="V755" s="9" t="str">
        <f t="shared" si="99"/>
        <v/>
      </c>
      <c r="W755" s="9" t="str">
        <f t="shared" si="100"/>
        <v/>
      </c>
      <c r="X755" s="10">
        <f>SUM(V$13:V755)/COUNTA(B$13:B755)</f>
        <v>9.4212651413189772E-3</v>
      </c>
      <c r="Z755" s="5"/>
      <c r="AA755" s="5"/>
      <c r="AC755" s="7"/>
      <c r="AE755" s="54" t="e">
        <f t="shared" si="101"/>
        <v>#N/A</v>
      </c>
      <c r="AF755" s="4" t="e">
        <f t="shared" si="97"/>
        <v>#N/A</v>
      </c>
    </row>
    <row r="756" spans="2:32">
      <c r="B756" s="5">
        <f t="shared" si="102"/>
        <v>744</v>
      </c>
      <c r="C756" s="5"/>
      <c r="E756" s="13"/>
      <c r="F756" s="5"/>
      <c r="G756" s="11">
        <f>IF(ISERROR(AVERAGE(F$13:F756)),"n/a",AVERAGE(F$13:F756))</f>
        <v>117</v>
      </c>
      <c r="H756" s="11">
        <f t="shared" si="98"/>
        <v>117</v>
      </c>
      <c r="J756" s="5"/>
      <c r="K756" s="5"/>
      <c r="L756" s="5"/>
      <c r="M756" s="5"/>
      <c r="N756" s="5"/>
      <c r="O756" s="8" t="str">
        <f t="shared" si="103"/>
        <v>n/a</v>
      </c>
      <c r="Q756" s="5"/>
      <c r="R756" s="5"/>
      <c r="S756" s="5"/>
      <c r="U756" s="6"/>
      <c r="V756" s="9" t="str">
        <f t="shared" si="99"/>
        <v/>
      </c>
      <c r="W756" s="9" t="str">
        <f t="shared" si="100"/>
        <v/>
      </c>
      <c r="X756" s="10">
        <f>SUM(V$13:V756)/COUNTA(B$13:B756)</f>
        <v>9.4086021505376347E-3</v>
      </c>
      <c r="Z756" s="5"/>
      <c r="AA756" s="5"/>
      <c r="AC756" s="7"/>
      <c r="AE756" s="54" t="e">
        <f t="shared" si="101"/>
        <v>#N/A</v>
      </c>
      <c r="AF756" s="4" t="e">
        <f t="shared" si="97"/>
        <v>#N/A</v>
      </c>
    </row>
    <row r="757" spans="2:32">
      <c r="B757" s="5">
        <f t="shared" si="102"/>
        <v>745</v>
      </c>
      <c r="C757" s="5"/>
      <c r="E757" s="13"/>
      <c r="F757" s="5"/>
      <c r="G757" s="11">
        <f>IF(ISERROR(AVERAGE(F$13:F757)),"n/a",AVERAGE(F$13:F757))</f>
        <v>117</v>
      </c>
      <c r="H757" s="11">
        <f t="shared" si="98"/>
        <v>117</v>
      </c>
      <c r="J757" s="5"/>
      <c r="K757" s="5"/>
      <c r="L757" s="5"/>
      <c r="M757" s="5"/>
      <c r="N757" s="5"/>
      <c r="O757" s="8" t="str">
        <f t="shared" si="103"/>
        <v>n/a</v>
      </c>
      <c r="Q757" s="5"/>
      <c r="R757" s="5"/>
      <c r="S757" s="5"/>
      <c r="U757" s="6"/>
      <c r="V757" s="9" t="str">
        <f t="shared" si="99"/>
        <v/>
      </c>
      <c r="W757" s="9" t="str">
        <f t="shared" si="100"/>
        <v/>
      </c>
      <c r="X757" s="10">
        <f>SUM(V$13:V757)/COUNTA(B$13:B757)</f>
        <v>9.3959731543624154E-3</v>
      </c>
      <c r="Z757" s="5"/>
      <c r="AA757" s="5"/>
      <c r="AC757" s="7"/>
      <c r="AE757" s="54" t="e">
        <f t="shared" si="101"/>
        <v>#N/A</v>
      </c>
      <c r="AF757" s="4" t="e">
        <f t="shared" si="97"/>
        <v>#N/A</v>
      </c>
    </row>
    <row r="758" spans="2:32">
      <c r="B758" s="5">
        <f t="shared" si="102"/>
        <v>746</v>
      </c>
      <c r="C758" s="5"/>
      <c r="E758" s="13"/>
      <c r="F758" s="5"/>
      <c r="G758" s="11">
        <f>IF(ISERROR(AVERAGE(F$13:F758)),"n/a",AVERAGE(F$13:F758))</f>
        <v>117</v>
      </c>
      <c r="H758" s="11">
        <f t="shared" si="98"/>
        <v>117</v>
      </c>
      <c r="J758" s="5"/>
      <c r="K758" s="5"/>
      <c r="L758" s="5"/>
      <c r="M758" s="5"/>
      <c r="N758" s="5"/>
      <c r="O758" s="8" t="str">
        <f t="shared" si="103"/>
        <v>n/a</v>
      </c>
      <c r="Q758" s="5"/>
      <c r="R758" s="5"/>
      <c r="S758" s="5"/>
      <c r="U758" s="6"/>
      <c r="V758" s="9" t="str">
        <f t="shared" si="99"/>
        <v/>
      </c>
      <c r="W758" s="9" t="str">
        <f t="shared" si="100"/>
        <v/>
      </c>
      <c r="X758" s="10">
        <f>SUM(V$13:V758)/COUNTA(B$13:B758)</f>
        <v>9.3833780160857902E-3</v>
      </c>
      <c r="Z758" s="5"/>
      <c r="AA758" s="5"/>
      <c r="AC758" s="7"/>
      <c r="AE758" s="54" t="e">
        <f t="shared" si="101"/>
        <v>#N/A</v>
      </c>
      <c r="AF758" s="4" t="e">
        <f t="shared" si="97"/>
        <v>#N/A</v>
      </c>
    </row>
    <row r="759" spans="2:32">
      <c r="B759" s="5">
        <f t="shared" si="102"/>
        <v>747</v>
      </c>
      <c r="C759" s="5"/>
      <c r="E759" s="13"/>
      <c r="F759" s="5"/>
      <c r="G759" s="11">
        <f>IF(ISERROR(AVERAGE(F$13:F759)),"n/a",AVERAGE(F$13:F759))</f>
        <v>117</v>
      </c>
      <c r="H759" s="11">
        <f t="shared" si="98"/>
        <v>117</v>
      </c>
      <c r="J759" s="5"/>
      <c r="K759" s="5"/>
      <c r="L759" s="5"/>
      <c r="M759" s="5"/>
      <c r="N759" s="5"/>
      <c r="O759" s="8" t="str">
        <f t="shared" si="103"/>
        <v>n/a</v>
      </c>
      <c r="Q759" s="5"/>
      <c r="R759" s="5"/>
      <c r="S759" s="5"/>
      <c r="U759" s="6"/>
      <c r="V759" s="9" t="str">
        <f t="shared" si="99"/>
        <v/>
      </c>
      <c r="W759" s="9" t="str">
        <f t="shared" si="100"/>
        <v/>
      </c>
      <c r="X759" s="10">
        <f>SUM(V$13:V759)/COUNTA(B$13:B759)</f>
        <v>9.3708165997322627E-3</v>
      </c>
      <c r="Z759" s="5"/>
      <c r="AA759" s="5"/>
      <c r="AC759" s="7"/>
      <c r="AE759" s="54" t="e">
        <f t="shared" si="101"/>
        <v>#N/A</v>
      </c>
      <c r="AF759" s="4" t="e">
        <f t="shared" si="97"/>
        <v>#N/A</v>
      </c>
    </row>
    <row r="760" spans="2:32">
      <c r="B760" s="5">
        <f t="shared" si="102"/>
        <v>748</v>
      </c>
      <c r="C760" s="5"/>
      <c r="E760" s="13"/>
      <c r="F760" s="5"/>
      <c r="G760" s="11">
        <f>IF(ISERROR(AVERAGE(F$13:F760)),"n/a",AVERAGE(F$13:F760))</f>
        <v>117</v>
      </c>
      <c r="H760" s="11">
        <f t="shared" si="98"/>
        <v>117</v>
      </c>
      <c r="J760" s="5"/>
      <c r="K760" s="5"/>
      <c r="L760" s="5"/>
      <c r="M760" s="5"/>
      <c r="N760" s="5"/>
      <c r="O760" s="8" t="str">
        <f t="shared" si="103"/>
        <v>n/a</v>
      </c>
      <c r="Q760" s="5"/>
      <c r="R760" s="5"/>
      <c r="S760" s="5"/>
      <c r="U760" s="6"/>
      <c r="V760" s="9" t="str">
        <f t="shared" si="99"/>
        <v/>
      </c>
      <c r="W760" s="9" t="str">
        <f t="shared" si="100"/>
        <v/>
      </c>
      <c r="X760" s="10">
        <f>SUM(V$13:V760)/COUNTA(B$13:B760)</f>
        <v>9.3582887700534752E-3</v>
      </c>
      <c r="Z760" s="5"/>
      <c r="AA760" s="5"/>
      <c r="AC760" s="7"/>
      <c r="AE760" s="54" t="e">
        <f t="shared" si="101"/>
        <v>#N/A</v>
      </c>
      <c r="AF760" s="4" t="e">
        <f t="shared" si="97"/>
        <v>#N/A</v>
      </c>
    </row>
    <row r="761" spans="2:32">
      <c r="B761" s="5">
        <f t="shared" si="102"/>
        <v>749</v>
      </c>
      <c r="C761" s="5"/>
      <c r="E761" s="13"/>
      <c r="F761" s="5"/>
      <c r="G761" s="11">
        <f>IF(ISERROR(AVERAGE(F$13:F761)),"n/a",AVERAGE(F$13:F761))</f>
        <v>117</v>
      </c>
      <c r="H761" s="11">
        <f t="shared" si="98"/>
        <v>117</v>
      </c>
      <c r="J761" s="5"/>
      <c r="K761" s="5"/>
      <c r="L761" s="5"/>
      <c r="M761" s="5"/>
      <c r="N761" s="5"/>
      <c r="O761" s="8" t="str">
        <f t="shared" si="103"/>
        <v>n/a</v>
      </c>
      <c r="Q761" s="5"/>
      <c r="R761" s="5"/>
      <c r="S761" s="5"/>
      <c r="U761" s="6"/>
      <c r="V761" s="9" t="str">
        <f t="shared" si="99"/>
        <v/>
      </c>
      <c r="W761" s="9" t="str">
        <f t="shared" si="100"/>
        <v/>
      </c>
      <c r="X761" s="10">
        <f>SUM(V$13:V761)/COUNTA(B$13:B761)</f>
        <v>9.3457943925233638E-3</v>
      </c>
      <c r="Z761" s="5"/>
      <c r="AA761" s="5"/>
      <c r="AC761" s="7"/>
      <c r="AE761" s="54" t="e">
        <f t="shared" si="101"/>
        <v>#N/A</v>
      </c>
      <c r="AF761" s="4" t="e">
        <f t="shared" si="97"/>
        <v>#N/A</v>
      </c>
    </row>
    <row r="762" spans="2:32">
      <c r="B762" s="5">
        <f t="shared" si="102"/>
        <v>750</v>
      </c>
      <c r="C762" s="5"/>
      <c r="E762" s="13"/>
      <c r="F762" s="5"/>
      <c r="G762" s="11">
        <f>IF(ISERROR(AVERAGE(F$13:F762)),"n/a",AVERAGE(F$13:F762))</f>
        <v>117</v>
      </c>
      <c r="H762" s="11">
        <f t="shared" si="98"/>
        <v>117</v>
      </c>
      <c r="J762" s="5"/>
      <c r="K762" s="5"/>
      <c r="L762" s="5"/>
      <c r="M762" s="5"/>
      <c r="N762" s="5"/>
      <c r="O762" s="8" t="str">
        <f t="shared" si="103"/>
        <v>n/a</v>
      </c>
      <c r="Q762" s="5"/>
      <c r="R762" s="5"/>
      <c r="S762" s="5"/>
      <c r="U762" s="6"/>
      <c r="V762" s="9" t="str">
        <f t="shared" si="99"/>
        <v/>
      </c>
      <c r="W762" s="9" t="str">
        <f t="shared" si="100"/>
        <v/>
      </c>
      <c r="X762" s="10">
        <f>SUM(V$13:V762)/COUNTA(B$13:B762)</f>
        <v>9.3333333333333341E-3</v>
      </c>
      <c r="Z762" s="5"/>
      <c r="AA762" s="5"/>
      <c r="AC762" s="7"/>
      <c r="AE762" s="54" t="e">
        <f t="shared" si="101"/>
        <v>#N/A</v>
      </c>
      <c r="AF762" s="4" t="e">
        <f t="shared" si="97"/>
        <v>#N/A</v>
      </c>
    </row>
    <row r="763" spans="2:32">
      <c r="B763" s="5">
        <f t="shared" si="102"/>
        <v>751</v>
      </c>
      <c r="C763" s="5"/>
      <c r="E763" s="13"/>
      <c r="F763" s="5"/>
      <c r="G763" s="11">
        <f>IF(ISERROR(AVERAGE(F$13:F763)),"n/a",AVERAGE(F$13:F763))</f>
        <v>117</v>
      </c>
      <c r="H763" s="11">
        <f t="shared" si="98"/>
        <v>117</v>
      </c>
      <c r="J763" s="5"/>
      <c r="K763" s="5"/>
      <c r="L763" s="5"/>
      <c r="M763" s="5"/>
      <c r="N763" s="5"/>
      <c r="O763" s="8" t="str">
        <f t="shared" si="103"/>
        <v>n/a</v>
      </c>
      <c r="Q763" s="5"/>
      <c r="R763" s="5"/>
      <c r="S763" s="5"/>
      <c r="U763" s="6"/>
      <c r="V763" s="9" t="str">
        <f t="shared" si="99"/>
        <v/>
      </c>
      <c r="W763" s="9" t="str">
        <f t="shared" si="100"/>
        <v/>
      </c>
      <c r="X763" s="10">
        <f>SUM(V$13:V763)/COUNTA(B$13:B763)</f>
        <v>9.3209054593874838E-3</v>
      </c>
      <c r="Z763" s="5"/>
      <c r="AA763" s="5"/>
      <c r="AC763" s="7"/>
      <c r="AE763" s="54" t="e">
        <f t="shared" si="101"/>
        <v>#N/A</v>
      </c>
      <c r="AF763" s="4" t="e">
        <f t="shared" si="97"/>
        <v>#N/A</v>
      </c>
    </row>
    <row r="764" spans="2:32">
      <c r="B764" s="5">
        <f t="shared" si="102"/>
        <v>752</v>
      </c>
      <c r="C764" s="5"/>
      <c r="E764" s="13"/>
      <c r="F764" s="5"/>
      <c r="G764" s="11">
        <f>IF(ISERROR(AVERAGE(F$13:F764)),"n/a",AVERAGE(F$13:F764))</f>
        <v>117</v>
      </c>
      <c r="H764" s="11">
        <f t="shared" si="98"/>
        <v>117</v>
      </c>
      <c r="J764" s="5"/>
      <c r="K764" s="5"/>
      <c r="L764" s="5"/>
      <c r="M764" s="5"/>
      <c r="N764" s="5"/>
      <c r="O764" s="8" t="str">
        <f t="shared" si="103"/>
        <v>n/a</v>
      </c>
      <c r="Q764" s="5"/>
      <c r="R764" s="5"/>
      <c r="S764" s="5"/>
      <c r="U764" s="6"/>
      <c r="V764" s="9" t="str">
        <f t="shared" si="99"/>
        <v/>
      </c>
      <c r="W764" s="9" t="str">
        <f t="shared" si="100"/>
        <v/>
      </c>
      <c r="X764" s="10">
        <f>SUM(V$13:V764)/COUNTA(B$13:B764)</f>
        <v>9.3085106382978719E-3</v>
      </c>
      <c r="Z764" s="5"/>
      <c r="AA764" s="5"/>
      <c r="AC764" s="7"/>
      <c r="AE764" s="54" t="e">
        <f t="shared" si="101"/>
        <v>#N/A</v>
      </c>
      <c r="AF764" s="4" t="e">
        <f t="shared" si="97"/>
        <v>#N/A</v>
      </c>
    </row>
    <row r="765" spans="2:32">
      <c r="B765" s="5">
        <f t="shared" si="102"/>
        <v>753</v>
      </c>
      <c r="C765" s="5"/>
      <c r="E765" s="13"/>
      <c r="F765" s="5"/>
      <c r="G765" s="11">
        <f>IF(ISERROR(AVERAGE(F$13:F765)),"n/a",AVERAGE(F$13:F765))</f>
        <v>117</v>
      </c>
      <c r="H765" s="11">
        <f t="shared" si="98"/>
        <v>117</v>
      </c>
      <c r="J765" s="5"/>
      <c r="K765" s="5"/>
      <c r="L765" s="5"/>
      <c r="M765" s="5"/>
      <c r="N765" s="5"/>
      <c r="O765" s="8" t="str">
        <f t="shared" si="103"/>
        <v>n/a</v>
      </c>
      <c r="Q765" s="5"/>
      <c r="R765" s="5"/>
      <c r="S765" s="5"/>
      <c r="U765" s="6"/>
      <c r="V765" s="9" t="str">
        <f t="shared" si="99"/>
        <v/>
      </c>
      <c r="W765" s="9" t="str">
        <f t="shared" si="100"/>
        <v/>
      </c>
      <c r="X765" s="10">
        <f>SUM(V$13:V765)/COUNTA(B$13:B765)</f>
        <v>9.2961487383798145E-3</v>
      </c>
      <c r="Z765" s="5"/>
      <c r="AA765" s="5"/>
      <c r="AC765" s="7"/>
      <c r="AE765" s="54" t="e">
        <f t="shared" si="101"/>
        <v>#N/A</v>
      </c>
      <c r="AF765" s="4" t="e">
        <f t="shared" si="97"/>
        <v>#N/A</v>
      </c>
    </row>
    <row r="766" spans="2:32">
      <c r="B766" s="5">
        <f t="shared" si="102"/>
        <v>754</v>
      </c>
      <c r="C766" s="5"/>
      <c r="E766" s="13"/>
      <c r="F766" s="5"/>
      <c r="G766" s="11">
        <f>IF(ISERROR(AVERAGE(F$13:F766)),"n/a",AVERAGE(F$13:F766))</f>
        <v>117</v>
      </c>
      <c r="H766" s="11">
        <f t="shared" si="98"/>
        <v>117</v>
      </c>
      <c r="J766" s="5"/>
      <c r="K766" s="5"/>
      <c r="L766" s="5"/>
      <c r="M766" s="5"/>
      <c r="N766" s="5"/>
      <c r="O766" s="8" t="str">
        <f t="shared" si="103"/>
        <v>n/a</v>
      </c>
      <c r="Q766" s="5"/>
      <c r="R766" s="5"/>
      <c r="S766" s="5"/>
      <c r="U766" s="6"/>
      <c r="V766" s="9" t="str">
        <f t="shared" si="99"/>
        <v/>
      </c>
      <c r="W766" s="9" t="str">
        <f t="shared" si="100"/>
        <v/>
      </c>
      <c r="X766" s="10">
        <f>SUM(V$13:V766)/COUNTA(B$13:B766)</f>
        <v>9.2838196286472146E-3</v>
      </c>
      <c r="Z766" s="5"/>
      <c r="AA766" s="5"/>
      <c r="AC766" s="7"/>
      <c r="AE766" s="54" t="e">
        <f t="shared" si="101"/>
        <v>#N/A</v>
      </c>
      <c r="AF766" s="4" t="e">
        <f t="shared" si="97"/>
        <v>#N/A</v>
      </c>
    </row>
    <row r="767" spans="2:32">
      <c r="B767" s="5">
        <f t="shared" si="102"/>
        <v>755</v>
      </c>
      <c r="C767" s="5"/>
      <c r="E767" s="13"/>
      <c r="F767" s="5"/>
      <c r="G767" s="11">
        <f>IF(ISERROR(AVERAGE(F$13:F767)),"n/a",AVERAGE(F$13:F767))</f>
        <v>117</v>
      </c>
      <c r="H767" s="11">
        <f t="shared" si="98"/>
        <v>117</v>
      </c>
      <c r="J767" s="5"/>
      <c r="K767" s="5"/>
      <c r="L767" s="5"/>
      <c r="M767" s="5"/>
      <c r="N767" s="5"/>
      <c r="O767" s="8" t="str">
        <f t="shared" si="103"/>
        <v>n/a</v>
      </c>
      <c r="Q767" s="5"/>
      <c r="R767" s="5"/>
      <c r="S767" s="5"/>
      <c r="U767" s="6"/>
      <c r="V767" s="9" t="str">
        <f t="shared" si="99"/>
        <v/>
      </c>
      <c r="W767" s="9" t="str">
        <f t="shared" si="100"/>
        <v/>
      </c>
      <c r="X767" s="10">
        <f>SUM(V$13:V767)/COUNTA(B$13:B767)</f>
        <v>9.2715231788079479E-3</v>
      </c>
      <c r="Z767" s="5"/>
      <c r="AA767" s="5"/>
      <c r="AC767" s="7"/>
      <c r="AE767" s="54" t="e">
        <f t="shared" si="101"/>
        <v>#N/A</v>
      </c>
      <c r="AF767" s="4" t="e">
        <f t="shared" si="97"/>
        <v>#N/A</v>
      </c>
    </row>
    <row r="768" spans="2:32">
      <c r="B768" s="5">
        <f t="shared" si="102"/>
        <v>756</v>
      </c>
      <c r="C768" s="5"/>
      <c r="E768" s="13"/>
      <c r="F768" s="5"/>
      <c r="G768" s="11">
        <f>IF(ISERROR(AVERAGE(F$13:F768)),"n/a",AVERAGE(F$13:F768))</f>
        <v>117</v>
      </c>
      <c r="H768" s="11">
        <f t="shared" si="98"/>
        <v>117</v>
      </c>
      <c r="J768" s="5"/>
      <c r="K768" s="5"/>
      <c r="L768" s="5"/>
      <c r="M768" s="5"/>
      <c r="N768" s="5"/>
      <c r="O768" s="8" t="str">
        <f t="shared" si="103"/>
        <v>n/a</v>
      </c>
      <c r="Q768" s="5"/>
      <c r="R768" s="5"/>
      <c r="S768" s="5"/>
      <c r="U768" s="6"/>
      <c r="V768" s="9" t="str">
        <f t="shared" si="99"/>
        <v/>
      </c>
      <c r="W768" s="9" t="str">
        <f t="shared" si="100"/>
        <v/>
      </c>
      <c r="X768" s="10">
        <f>SUM(V$13:V768)/COUNTA(B$13:B768)</f>
        <v>9.2592592592592587E-3</v>
      </c>
      <c r="Z768" s="5"/>
      <c r="AA768" s="5"/>
      <c r="AC768" s="7"/>
      <c r="AE768" s="54" t="e">
        <f t="shared" si="101"/>
        <v>#N/A</v>
      </c>
      <c r="AF768" s="4" t="e">
        <f t="shared" si="97"/>
        <v>#N/A</v>
      </c>
    </row>
    <row r="769" spans="2:32">
      <c r="B769" s="5">
        <f t="shared" si="102"/>
        <v>757</v>
      </c>
      <c r="C769" s="5"/>
      <c r="E769" s="13"/>
      <c r="F769" s="5"/>
      <c r="G769" s="11">
        <f>IF(ISERROR(AVERAGE(F$13:F769)),"n/a",AVERAGE(F$13:F769))</f>
        <v>117</v>
      </c>
      <c r="H769" s="11">
        <f t="shared" si="98"/>
        <v>117</v>
      </c>
      <c r="J769" s="5"/>
      <c r="K769" s="5"/>
      <c r="L769" s="5"/>
      <c r="M769" s="5"/>
      <c r="N769" s="5"/>
      <c r="O769" s="8" t="str">
        <f t="shared" si="103"/>
        <v>n/a</v>
      </c>
      <c r="Q769" s="5"/>
      <c r="R769" s="5"/>
      <c r="S769" s="5"/>
      <c r="U769" s="6"/>
      <c r="V769" s="9" t="str">
        <f t="shared" si="99"/>
        <v/>
      </c>
      <c r="W769" s="9" t="str">
        <f t="shared" si="100"/>
        <v/>
      </c>
      <c r="X769" s="10">
        <f>SUM(V$13:V769)/COUNTA(B$13:B769)</f>
        <v>9.247027741083224E-3</v>
      </c>
      <c r="Z769" s="5"/>
      <c r="AA769" s="5"/>
      <c r="AC769" s="7"/>
      <c r="AE769" s="54" t="e">
        <f t="shared" si="101"/>
        <v>#N/A</v>
      </c>
      <c r="AF769" s="4" t="e">
        <f t="shared" si="97"/>
        <v>#N/A</v>
      </c>
    </row>
    <row r="770" spans="2:32">
      <c r="B770" s="5">
        <f t="shared" si="102"/>
        <v>758</v>
      </c>
      <c r="C770" s="5"/>
      <c r="E770" s="13"/>
      <c r="F770" s="5"/>
      <c r="G770" s="11">
        <f>IF(ISERROR(AVERAGE(F$13:F770)),"n/a",AVERAGE(F$13:F770))</f>
        <v>117</v>
      </c>
      <c r="H770" s="11">
        <f t="shared" si="98"/>
        <v>117</v>
      </c>
      <c r="J770" s="5"/>
      <c r="K770" s="5"/>
      <c r="L770" s="5"/>
      <c r="M770" s="5"/>
      <c r="N770" s="5"/>
      <c r="O770" s="8" t="str">
        <f t="shared" si="103"/>
        <v>n/a</v>
      </c>
      <c r="Q770" s="5"/>
      <c r="R770" s="5"/>
      <c r="S770" s="5"/>
      <c r="U770" s="6"/>
      <c r="V770" s="9" t="str">
        <f t="shared" si="99"/>
        <v/>
      </c>
      <c r="W770" s="9" t="str">
        <f t="shared" si="100"/>
        <v/>
      </c>
      <c r="X770" s="10">
        <f>SUM(V$13:V770)/COUNTA(B$13:B770)</f>
        <v>9.2348284960422165E-3</v>
      </c>
      <c r="Z770" s="5"/>
      <c r="AA770" s="5"/>
      <c r="AC770" s="7"/>
      <c r="AE770" s="54" t="e">
        <f t="shared" si="101"/>
        <v>#N/A</v>
      </c>
      <c r="AF770" s="4" t="e">
        <f t="shared" si="97"/>
        <v>#N/A</v>
      </c>
    </row>
    <row r="771" spans="2:32">
      <c r="B771" s="5">
        <f t="shared" si="102"/>
        <v>759</v>
      </c>
      <c r="C771" s="5"/>
      <c r="E771" s="13"/>
      <c r="F771" s="5"/>
      <c r="G771" s="11">
        <f>IF(ISERROR(AVERAGE(F$13:F771)),"n/a",AVERAGE(F$13:F771))</f>
        <v>117</v>
      </c>
      <c r="H771" s="11">
        <f t="shared" si="98"/>
        <v>117</v>
      </c>
      <c r="J771" s="5"/>
      <c r="K771" s="5"/>
      <c r="L771" s="5"/>
      <c r="M771" s="5"/>
      <c r="N771" s="5"/>
      <c r="O771" s="8" t="str">
        <f t="shared" si="103"/>
        <v>n/a</v>
      </c>
      <c r="Q771" s="5"/>
      <c r="R771" s="5"/>
      <c r="S771" s="5"/>
      <c r="U771" s="6"/>
      <c r="V771" s="9" t="str">
        <f t="shared" si="99"/>
        <v/>
      </c>
      <c r="W771" s="9" t="str">
        <f t="shared" si="100"/>
        <v/>
      </c>
      <c r="X771" s="10">
        <f>SUM(V$13:V771)/COUNTA(B$13:B771)</f>
        <v>9.22266139657444E-3</v>
      </c>
      <c r="Z771" s="5"/>
      <c r="AA771" s="5"/>
      <c r="AC771" s="7"/>
      <c r="AE771" s="54" t="e">
        <f t="shared" si="101"/>
        <v>#N/A</v>
      </c>
      <c r="AF771" s="4" t="e">
        <f t="shared" si="97"/>
        <v>#N/A</v>
      </c>
    </row>
    <row r="772" spans="2:32">
      <c r="B772" s="5">
        <f t="shared" si="102"/>
        <v>760</v>
      </c>
      <c r="C772" s="5"/>
      <c r="E772" s="13"/>
      <c r="F772" s="5"/>
      <c r="G772" s="11">
        <f>IF(ISERROR(AVERAGE(F$13:F772)),"n/a",AVERAGE(F$13:F772))</f>
        <v>117</v>
      </c>
      <c r="H772" s="11">
        <f t="shared" si="98"/>
        <v>117</v>
      </c>
      <c r="J772" s="5"/>
      <c r="K772" s="5"/>
      <c r="L772" s="5"/>
      <c r="M772" s="5"/>
      <c r="N772" s="5"/>
      <c r="O772" s="8" t="str">
        <f t="shared" si="103"/>
        <v>n/a</v>
      </c>
      <c r="Q772" s="5"/>
      <c r="R772" s="5"/>
      <c r="S772" s="5"/>
      <c r="U772" s="6"/>
      <c r="V772" s="9" t="str">
        <f t="shared" si="99"/>
        <v/>
      </c>
      <c r="W772" s="9" t="str">
        <f t="shared" si="100"/>
        <v/>
      </c>
      <c r="X772" s="10">
        <f>SUM(V$13:V772)/COUNTA(B$13:B772)</f>
        <v>9.2105263157894728E-3</v>
      </c>
      <c r="Z772" s="5"/>
      <c r="AA772" s="5"/>
      <c r="AC772" s="7"/>
      <c r="AE772" s="54" t="e">
        <f t="shared" si="101"/>
        <v>#N/A</v>
      </c>
      <c r="AF772" s="4" t="e">
        <f t="shared" si="97"/>
        <v>#N/A</v>
      </c>
    </row>
    <row r="773" spans="2:32">
      <c r="B773" s="5">
        <f t="shared" si="102"/>
        <v>761</v>
      </c>
      <c r="C773" s="5"/>
      <c r="E773" s="13"/>
      <c r="F773" s="5"/>
      <c r="G773" s="11">
        <f>IF(ISERROR(AVERAGE(F$13:F773)),"n/a",AVERAGE(F$13:F773))</f>
        <v>117</v>
      </c>
      <c r="H773" s="11">
        <f t="shared" si="98"/>
        <v>117</v>
      </c>
      <c r="J773" s="5"/>
      <c r="K773" s="5"/>
      <c r="L773" s="5"/>
      <c r="M773" s="5"/>
      <c r="N773" s="5"/>
      <c r="O773" s="8" t="str">
        <f t="shared" si="103"/>
        <v>n/a</v>
      </c>
      <c r="Q773" s="5"/>
      <c r="R773" s="5"/>
      <c r="S773" s="5"/>
      <c r="U773" s="6"/>
      <c r="V773" s="9" t="str">
        <f t="shared" si="99"/>
        <v/>
      </c>
      <c r="W773" s="9" t="str">
        <f t="shared" si="100"/>
        <v/>
      </c>
      <c r="X773" s="10">
        <f>SUM(V$13:V773)/COUNTA(B$13:B773)</f>
        <v>9.1984231274638631E-3</v>
      </c>
      <c r="Z773" s="5"/>
      <c r="AA773" s="5"/>
      <c r="AC773" s="7"/>
      <c r="AE773" s="54" t="e">
        <f t="shared" si="101"/>
        <v>#N/A</v>
      </c>
      <c r="AF773" s="4" t="e">
        <f t="shared" si="97"/>
        <v>#N/A</v>
      </c>
    </row>
    <row r="774" spans="2:32">
      <c r="B774" s="5">
        <f t="shared" si="102"/>
        <v>762</v>
      </c>
      <c r="C774" s="5"/>
      <c r="E774" s="13"/>
      <c r="F774" s="5"/>
      <c r="G774" s="11">
        <f>IF(ISERROR(AVERAGE(F$13:F774)),"n/a",AVERAGE(F$13:F774))</f>
        <v>117</v>
      </c>
      <c r="H774" s="11">
        <f t="shared" si="98"/>
        <v>117</v>
      </c>
      <c r="J774" s="5"/>
      <c r="K774" s="5"/>
      <c r="L774" s="5"/>
      <c r="M774" s="5"/>
      <c r="N774" s="5"/>
      <c r="O774" s="8" t="str">
        <f t="shared" si="103"/>
        <v>n/a</v>
      </c>
      <c r="Q774" s="5"/>
      <c r="R774" s="5"/>
      <c r="S774" s="5"/>
      <c r="U774" s="6"/>
      <c r="V774" s="9" t="str">
        <f t="shared" si="99"/>
        <v/>
      </c>
      <c r="W774" s="9" t="str">
        <f t="shared" si="100"/>
        <v/>
      </c>
      <c r="X774" s="10">
        <f>SUM(V$13:V774)/COUNTA(B$13:B774)</f>
        <v>9.1863517060367453E-3</v>
      </c>
      <c r="Z774" s="5"/>
      <c r="AA774" s="5"/>
      <c r="AC774" s="7"/>
      <c r="AE774" s="54" t="e">
        <f t="shared" si="101"/>
        <v>#N/A</v>
      </c>
      <c r="AF774" s="4" t="e">
        <f t="shared" si="97"/>
        <v>#N/A</v>
      </c>
    </row>
    <row r="775" spans="2:32">
      <c r="B775" s="5">
        <f t="shared" si="102"/>
        <v>763</v>
      </c>
      <c r="C775" s="5"/>
      <c r="E775" s="13"/>
      <c r="F775" s="5"/>
      <c r="G775" s="11">
        <f>IF(ISERROR(AVERAGE(F$13:F775)),"n/a",AVERAGE(F$13:F775))</f>
        <v>117</v>
      </c>
      <c r="H775" s="11">
        <f t="shared" si="98"/>
        <v>117</v>
      </c>
      <c r="J775" s="5"/>
      <c r="K775" s="5"/>
      <c r="L775" s="5"/>
      <c r="M775" s="5"/>
      <c r="N775" s="5"/>
      <c r="O775" s="8" t="str">
        <f t="shared" si="103"/>
        <v>n/a</v>
      </c>
      <c r="Q775" s="5"/>
      <c r="R775" s="5"/>
      <c r="S775" s="5"/>
      <c r="U775" s="6"/>
      <c r="V775" s="9" t="str">
        <f t="shared" si="99"/>
        <v/>
      </c>
      <c r="W775" s="9" t="str">
        <f t="shared" si="100"/>
        <v/>
      </c>
      <c r="X775" s="10">
        <f>SUM(V$13:V775)/COUNTA(B$13:B775)</f>
        <v>9.1743119266055051E-3</v>
      </c>
      <c r="Z775" s="5"/>
      <c r="AA775" s="5"/>
      <c r="AC775" s="7"/>
      <c r="AE775" s="54" t="e">
        <f t="shared" si="101"/>
        <v>#N/A</v>
      </c>
      <c r="AF775" s="4" t="e">
        <f t="shared" si="97"/>
        <v>#N/A</v>
      </c>
    </row>
    <row r="776" spans="2:32">
      <c r="B776" s="5">
        <f t="shared" si="102"/>
        <v>764</v>
      </c>
      <c r="C776" s="5"/>
      <c r="E776" s="13"/>
      <c r="F776" s="5"/>
      <c r="G776" s="11">
        <f>IF(ISERROR(AVERAGE(F$13:F776)),"n/a",AVERAGE(F$13:F776))</f>
        <v>117</v>
      </c>
      <c r="H776" s="11">
        <f t="shared" si="98"/>
        <v>117</v>
      </c>
      <c r="J776" s="5"/>
      <c r="K776" s="5"/>
      <c r="L776" s="5"/>
      <c r="M776" s="5"/>
      <c r="N776" s="5"/>
      <c r="O776" s="8" t="str">
        <f t="shared" si="103"/>
        <v>n/a</v>
      </c>
      <c r="Q776" s="5"/>
      <c r="R776" s="5"/>
      <c r="S776" s="5"/>
      <c r="U776" s="6"/>
      <c r="V776" s="9" t="str">
        <f t="shared" si="99"/>
        <v/>
      </c>
      <c r="W776" s="9" t="str">
        <f t="shared" si="100"/>
        <v/>
      </c>
      <c r="X776" s="10">
        <f>SUM(V$13:V776)/COUNTA(B$13:B776)</f>
        <v>9.1623036649214652E-3</v>
      </c>
      <c r="Z776" s="5"/>
      <c r="AA776" s="5"/>
      <c r="AC776" s="7"/>
      <c r="AE776" s="54" t="e">
        <f t="shared" si="101"/>
        <v>#N/A</v>
      </c>
      <c r="AF776" s="4" t="e">
        <f t="shared" si="97"/>
        <v>#N/A</v>
      </c>
    </row>
    <row r="777" spans="2:32">
      <c r="B777" s="5">
        <f t="shared" si="102"/>
        <v>765</v>
      </c>
      <c r="C777" s="5"/>
      <c r="E777" s="13"/>
      <c r="F777" s="5"/>
      <c r="G777" s="11">
        <f>IF(ISERROR(AVERAGE(F$13:F777)),"n/a",AVERAGE(F$13:F777))</f>
        <v>117</v>
      </c>
      <c r="H777" s="11">
        <f t="shared" si="98"/>
        <v>117</v>
      </c>
      <c r="J777" s="5"/>
      <c r="K777" s="5"/>
      <c r="L777" s="5"/>
      <c r="M777" s="5"/>
      <c r="N777" s="5"/>
      <c r="O777" s="8" t="str">
        <f t="shared" si="103"/>
        <v>n/a</v>
      </c>
      <c r="Q777" s="5"/>
      <c r="R777" s="5"/>
      <c r="S777" s="5"/>
      <c r="U777" s="6"/>
      <c r="V777" s="9" t="str">
        <f t="shared" si="99"/>
        <v/>
      </c>
      <c r="W777" s="9" t="str">
        <f t="shared" si="100"/>
        <v/>
      </c>
      <c r="X777" s="10">
        <f>SUM(V$13:V777)/COUNTA(B$13:B777)</f>
        <v>9.1503267973856214E-3</v>
      </c>
      <c r="Z777" s="5"/>
      <c r="AA777" s="5"/>
      <c r="AC777" s="7"/>
      <c r="AE777" s="54" t="e">
        <f t="shared" si="101"/>
        <v>#N/A</v>
      </c>
      <c r="AF777" s="4" t="e">
        <f t="shared" si="97"/>
        <v>#N/A</v>
      </c>
    </row>
    <row r="778" spans="2:32">
      <c r="B778" s="5">
        <f t="shared" si="102"/>
        <v>766</v>
      </c>
      <c r="C778" s="5"/>
      <c r="E778" s="13"/>
      <c r="F778" s="5"/>
      <c r="G778" s="11">
        <f>IF(ISERROR(AVERAGE(F$13:F778)),"n/a",AVERAGE(F$13:F778))</f>
        <v>117</v>
      </c>
      <c r="H778" s="11">
        <f t="shared" si="98"/>
        <v>117</v>
      </c>
      <c r="J778" s="5"/>
      <c r="K778" s="5"/>
      <c r="L778" s="5"/>
      <c r="M778" s="5"/>
      <c r="N778" s="5"/>
      <c r="O778" s="8" t="str">
        <f t="shared" si="103"/>
        <v>n/a</v>
      </c>
      <c r="Q778" s="5"/>
      <c r="R778" s="5"/>
      <c r="S778" s="5"/>
      <c r="U778" s="6"/>
      <c r="V778" s="9" t="str">
        <f t="shared" si="99"/>
        <v/>
      </c>
      <c r="W778" s="9" t="str">
        <f t="shared" si="100"/>
        <v/>
      </c>
      <c r="X778" s="10">
        <f>SUM(V$13:V778)/COUNTA(B$13:B778)</f>
        <v>9.138381201044387E-3</v>
      </c>
      <c r="Z778" s="5"/>
      <c r="AA778" s="5"/>
      <c r="AC778" s="7"/>
      <c r="AE778" s="54" t="e">
        <f t="shared" si="101"/>
        <v>#N/A</v>
      </c>
      <c r="AF778" s="4" t="e">
        <f t="shared" si="97"/>
        <v>#N/A</v>
      </c>
    </row>
    <row r="779" spans="2:32">
      <c r="B779" s="5">
        <f t="shared" si="102"/>
        <v>767</v>
      </c>
      <c r="C779" s="5"/>
      <c r="E779" s="13"/>
      <c r="F779" s="5"/>
      <c r="G779" s="11">
        <f>IF(ISERROR(AVERAGE(F$13:F779)),"n/a",AVERAGE(F$13:F779))</f>
        <v>117</v>
      </c>
      <c r="H779" s="11">
        <f t="shared" si="98"/>
        <v>117</v>
      </c>
      <c r="J779" s="5"/>
      <c r="K779" s="5"/>
      <c r="L779" s="5"/>
      <c r="M779" s="5"/>
      <c r="N779" s="5"/>
      <c r="O779" s="8" t="str">
        <f t="shared" si="103"/>
        <v>n/a</v>
      </c>
      <c r="Q779" s="5"/>
      <c r="R779" s="5"/>
      <c r="S779" s="5"/>
      <c r="U779" s="6"/>
      <c r="V779" s="9" t="str">
        <f t="shared" si="99"/>
        <v/>
      </c>
      <c r="W779" s="9" t="str">
        <f t="shared" si="100"/>
        <v/>
      </c>
      <c r="X779" s="10">
        <f>SUM(V$13:V779)/COUNTA(B$13:B779)</f>
        <v>9.126466753585397E-3</v>
      </c>
      <c r="Z779" s="5"/>
      <c r="AA779" s="5"/>
      <c r="AC779" s="7"/>
      <c r="AE779" s="54" t="e">
        <f t="shared" si="101"/>
        <v>#N/A</v>
      </c>
      <c r="AF779" s="4" t="e">
        <f t="shared" si="97"/>
        <v>#N/A</v>
      </c>
    </row>
    <row r="780" spans="2:32">
      <c r="B780" s="5">
        <f t="shared" si="102"/>
        <v>768</v>
      </c>
      <c r="C780" s="5"/>
      <c r="E780" s="13"/>
      <c r="F780" s="5"/>
      <c r="G780" s="11">
        <f>IF(ISERROR(AVERAGE(F$13:F780)),"n/a",AVERAGE(F$13:F780))</f>
        <v>117</v>
      </c>
      <c r="H780" s="11">
        <f t="shared" si="98"/>
        <v>117</v>
      </c>
      <c r="J780" s="5"/>
      <c r="K780" s="5"/>
      <c r="L780" s="5"/>
      <c r="M780" s="5"/>
      <c r="N780" s="5"/>
      <c r="O780" s="8" t="str">
        <f t="shared" si="103"/>
        <v>n/a</v>
      </c>
      <c r="Q780" s="5"/>
      <c r="R780" s="5"/>
      <c r="S780" s="5"/>
      <c r="U780" s="6"/>
      <c r="V780" s="9" t="str">
        <f t="shared" si="99"/>
        <v/>
      </c>
      <c r="W780" s="9" t="str">
        <f t="shared" si="100"/>
        <v/>
      </c>
      <c r="X780" s="10">
        <f>SUM(V$13:V780)/COUNTA(B$13:B780)</f>
        <v>9.1145833333333339E-3</v>
      </c>
      <c r="Z780" s="5"/>
      <c r="AA780" s="5"/>
      <c r="AC780" s="7"/>
      <c r="AE780" s="54" t="e">
        <f t="shared" si="101"/>
        <v>#N/A</v>
      </c>
      <c r="AF780" s="4" t="e">
        <f t="shared" si="97"/>
        <v>#N/A</v>
      </c>
    </row>
    <row r="781" spans="2:32">
      <c r="B781" s="5">
        <f t="shared" si="102"/>
        <v>769</v>
      </c>
      <c r="C781" s="5"/>
      <c r="E781" s="13"/>
      <c r="F781" s="5"/>
      <c r="G781" s="11">
        <f>IF(ISERROR(AVERAGE(F$13:F781)),"n/a",AVERAGE(F$13:F781))</f>
        <v>117</v>
      </c>
      <c r="H781" s="11">
        <f t="shared" si="98"/>
        <v>117</v>
      </c>
      <c r="J781" s="5"/>
      <c r="K781" s="5"/>
      <c r="L781" s="5"/>
      <c r="M781" s="5"/>
      <c r="N781" s="5"/>
      <c r="O781" s="8" t="str">
        <f t="shared" si="103"/>
        <v>n/a</v>
      </c>
      <c r="Q781" s="5"/>
      <c r="R781" s="5"/>
      <c r="S781" s="5"/>
      <c r="U781" s="6"/>
      <c r="V781" s="9" t="str">
        <f t="shared" si="99"/>
        <v/>
      </c>
      <c r="W781" s="9" t="str">
        <f t="shared" si="100"/>
        <v/>
      </c>
      <c r="X781" s="10">
        <f>SUM(V$13:V781)/COUNTA(B$13:B781)</f>
        <v>9.1027308192457735E-3</v>
      </c>
      <c r="Z781" s="5"/>
      <c r="AA781" s="5"/>
      <c r="AC781" s="7"/>
      <c r="AE781" s="54" t="e">
        <f t="shared" si="101"/>
        <v>#N/A</v>
      </c>
      <c r="AF781" s="4" t="e">
        <f t="shared" ref="AF781:AF844" si="104">HLOOKUP(C781,$K$6:$O$7,2,FALSE)</f>
        <v>#N/A</v>
      </c>
    </row>
    <row r="782" spans="2:32">
      <c r="B782" s="5">
        <f t="shared" si="102"/>
        <v>770</v>
      </c>
      <c r="C782" s="5"/>
      <c r="E782" s="13"/>
      <c r="F782" s="5"/>
      <c r="G782" s="11">
        <f>IF(ISERROR(AVERAGE(F$13:F782)),"n/a",AVERAGE(F$13:F782))</f>
        <v>117</v>
      </c>
      <c r="H782" s="11">
        <f t="shared" ref="H782:H845" si="105">G782</f>
        <v>117</v>
      </c>
      <c r="J782" s="5"/>
      <c r="K782" s="5"/>
      <c r="L782" s="5"/>
      <c r="M782" s="5"/>
      <c r="N782" s="5"/>
      <c r="O782" s="8" t="str">
        <f t="shared" si="103"/>
        <v>n/a</v>
      </c>
      <c r="Q782" s="5"/>
      <c r="R782" s="5"/>
      <c r="S782" s="5"/>
      <c r="U782" s="6"/>
      <c r="V782" s="9" t="str">
        <f t="shared" ref="V782:V845" si="106">IF(O782="n/a","",IF(O782=U782,1,""))</f>
        <v/>
      </c>
      <c r="W782" s="9" t="str">
        <f t="shared" ref="W782:W845" si="107">IF(O782="n/a","",IF(O782&lt;&gt;U782,1,""))</f>
        <v/>
      </c>
      <c r="X782" s="10">
        <f>SUM(V$13:V782)/COUNTA(B$13:B782)</f>
        <v>9.0909090909090905E-3</v>
      </c>
      <c r="Z782" s="5"/>
      <c r="AA782" s="5"/>
      <c r="AC782" s="7"/>
      <c r="AE782" s="54" t="e">
        <f t="shared" ref="AE782:AE845" si="108">+IF($F$4=0,0,IF(W782=1,1,IF(OR(R782*$F$8=1,S782*$F$9=1,F782&gt;=AF782),2,0)))</f>
        <v>#N/A</v>
      </c>
      <c r="AF782" s="4" t="e">
        <f t="shared" si="104"/>
        <v>#N/A</v>
      </c>
    </row>
    <row r="783" spans="2:32">
      <c r="B783" s="5">
        <f t="shared" si="102"/>
        <v>771</v>
      </c>
      <c r="C783" s="5"/>
      <c r="E783" s="13"/>
      <c r="F783" s="5"/>
      <c r="G783" s="11">
        <f>IF(ISERROR(AVERAGE(F$13:F783)),"n/a",AVERAGE(F$13:F783))</f>
        <v>117</v>
      </c>
      <c r="H783" s="11">
        <f t="shared" si="105"/>
        <v>117</v>
      </c>
      <c r="J783" s="5"/>
      <c r="K783" s="5"/>
      <c r="L783" s="5"/>
      <c r="M783" s="5"/>
      <c r="N783" s="5"/>
      <c r="O783" s="8" t="str">
        <f t="shared" si="103"/>
        <v>n/a</v>
      </c>
      <c r="Q783" s="5"/>
      <c r="R783" s="5"/>
      <c r="S783" s="5"/>
      <c r="U783" s="6"/>
      <c r="V783" s="9" t="str">
        <f t="shared" si="106"/>
        <v/>
      </c>
      <c r="W783" s="9" t="str">
        <f t="shared" si="107"/>
        <v/>
      </c>
      <c r="X783" s="10">
        <f>SUM(V$13:V783)/COUNTA(B$13:B783)</f>
        <v>9.0791180285343717E-3</v>
      </c>
      <c r="Z783" s="5"/>
      <c r="AA783" s="5"/>
      <c r="AC783" s="7"/>
      <c r="AE783" s="54" t="e">
        <f t="shared" si="108"/>
        <v>#N/A</v>
      </c>
      <c r="AF783" s="4" t="e">
        <f t="shared" si="104"/>
        <v>#N/A</v>
      </c>
    </row>
    <row r="784" spans="2:32">
      <c r="B784" s="5">
        <f t="shared" si="102"/>
        <v>772</v>
      </c>
      <c r="C784" s="5"/>
      <c r="E784" s="13"/>
      <c r="F784" s="5"/>
      <c r="G784" s="11">
        <f>IF(ISERROR(AVERAGE(F$13:F784)),"n/a",AVERAGE(F$13:F784))</f>
        <v>117</v>
      </c>
      <c r="H784" s="11">
        <f t="shared" si="105"/>
        <v>117</v>
      </c>
      <c r="J784" s="5"/>
      <c r="K784" s="5"/>
      <c r="L784" s="5"/>
      <c r="M784" s="5"/>
      <c r="N784" s="5"/>
      <c r="O784" s="8" t="str">
        <f t="shared" si="103"/>
        <v>n/a</v>
      </c>
      <c r="Q784" s="5"/>
      <c r="R784" s="5"/>
      <c r="S784" s="5"/>
      <c r="U784" s="6"/>
      <c r="V784" s="9" t="str">
        <f t="shared" si="106"/>
        <v/>
      </c>
      <c r="W784" s="9" t="str">
        <f t="shared" si="107"/>
        <v/>
      </c>
      <c r="X784" s="10">
        <f>SUM(V$13:V784)/COUNTA(B$13:B784)</f>
        <v>9.0673575129533671E-3</v>
      </c>
      <c r="Z784" s="5"/>
      <c r="AA784" s="5"/>
      <c r="AC784" s="7"/>
      <c r="AE784" s="54" t="e">
        <f t="shared" si="108"/>
        <v>#N/A</v>
      </c>
      <c r="AF784" s="4" t="e">
        <f t="shared" si="104"/>
        <v>#N/A</v>
      </c>
    </row>
    <row r="785" spans="2:32">
      <c r="B785" s="5">
        <f t="shared" si="102"/>
        <v>773</v>
      </c>
      <c r="C785" s="5"/>
      <c r="E785" s="13"/>
      <c r="F785" s="5"/>
      <c r="G785" s="11">
        <f>IF(ISERROR(AVERAGE(F$13:F785)),"n/a",AVERAGE(F$13:F785))</f>
        <v>117</v>
      </c>
      <c r="H785" s="11">
        <f t="shared" si="105"/>
        <v>117</v>
      </c>
      <c r="J785" s="5"/>
      <c r="K785" s="5"/>
      <c r="L785" s="5"/>
      <c r="M785" s="5"/>
      <c r="N785" s="5"/>
      <c r="O785" s="8" t="str">
        <f t="shared" si="103"/>
        <v>n/a</v>
      </c>
      <c r="Q785" s="5"/>
      <c r="R785" s="5"/>
      <c r="S785" s="5"/>
      <c r="U785" s="6"/>
      <c r="V785" s="9" t="str">
        <f t="shared" si="106"/>
        <v/>
      </c>
      <c r="W785" s="9" t="str">
        <f t="shared" si="107"/>
        <v/>
      </c>
      <c r="X785" s="10">
        <f>SUM(V$13:V785)/COUNTA(B$13:B785)</f>
        <v>9.0556274256144882E-3</v>
      </c>
      <c r="Z785" s="5"/>
      <c r="AA785" s="5"/>
      <c r="AC785" s="7"/>
      <c r="AE785" s="54" t="e">
        <f t="shared" si="108"/>
        <v>#N/A</v>
      </c>
      <c r="AF785" s="4" t="e">
        <f t="shared" si="104"/>
        <v>#N/A</v>
      </c>
    </row>
    <row r="786" spans="2:32">
      <c r="B786" s="5">
        <f t="shared" si="102"/>
        <v>774</v>
      </c>
      <c r="C786" s="5"/>
      <c r="E786" s="13"/>
      <c r="F786" s="5"/>
      <c r="G786" s="11">
        <f>IF(ISERROR(AVERAGE(F$13:F786)),"n/a",AVERAGE(F$13:F786))</f>
        <v>117</v>
      </c>
      <c r="H786" s="11">
        <f t="shared" si="105"/>
        <v>117</v>
      </c>
      <c r="J786" s="5"/>
      <c r="K786" s="5"/>
      <c r="L786" s="5"/>
      <c r="M786" s="5"/>
      <c r="N786" s="5"/>
      <c r="O786" s="8" t="str">
        <f t="shared" si="103"/>
        <v>n/a</v>
      </c>
      <c r="Q786" s="5"/>
      <c r="R786" s="5"/>
      <c r="S786" s="5"/>
      <c r="U786" s="6"/>
      <c r="V786" s="9" t="str">
        <f t="shared" si="106"/>
        <v/>
      </c>
      <c r="W786" s="9" t="str">
        <f t="shared" si="107"/>
        <v/>
      </c>
      <c r="X786" s="10">
        <f>SUM(V$13:V786)/COUNTA(B$13:B786)</f>
        <v>9.0439276485788107E-3</v>
      </c>
      <c r="Z786" s="5"/>
      <c r="AA786" s="5"/>
      <c r="AC786" s="7"/>
      <c r="AE786" s="54" t="e">
        <f t="shared" si="108"/>
        <v>#N/A</v>
      </c>
      <c r="AF786" s="4" t="e">
        <f t="shared" si="104"/>
        <v>#N/A</v>
      </c>
    </row>
    <row r="787" spans="2:32">
      <c r="B787" s="5">
        <f t="shared" ref="B787:B850" si="109">+B786+1</f>
        <v>775</v>
      </c>
      <c r="C787" s="5"/>
      <c r="E787" s="13"/>
      <c r="F787" s="5"/>
      <c r="G787" s="11">
        <f>IF(ISERROR(AVERAGE(F$13:F787)),"n/a",AVERAGE(F$13:F787))</f>
        <v>117</v>
      </c>
      <c r="H787" s="11">
        <f t="shared" si="105"/>
        <v>117</v>
      </c>
      <c r="J787" s="5"/>
      <c r="K787" s="5"/>
      <c r="L787" s="5"/>
      <c r="M787" s="5"/>
      <c r="N787" s="5"/>
      <c r="O787" s="8" t="str">
        <f t="shared" si="103"/>
        <v>n/a</v>
      </c>
      <c r="Q787" s="5"/>
      <c r="R787" s="5"/>
      <c r="S787" s="5"/>
      <c r="U787" s="6"/>
      <c r="V787" s="9" t="str">
        <f t="shared" si="106"/>
        <v/>
      </c>
      <c r="W787" s="9" t="str">
        <f t="shared" si="107"/>
        <v/>
      </c>
      <c r="X787" s="10">
        <f>SUM(V$13:V787)/COUNTA(B$13:B787)</f>
        <v>9.0322580645161299E-3</v>
      </c>
      <c r="Z787" s="5"/>
      <c r="AA787" s="5"/>
      <c r="AC787" s="7"/>
      <c r="AE787" s="54" t="e">
        <f t="shared" si="108"/>
        <v>#N/A</v>
      </c>
      <c r="AF787" s="4" t="e">
        <f t="shared" si="104"/>
        <v>#N/A</v>
      </c>
    </row>
    <row r="788" spans="2:32">
      <c r="B788" s="5">
        <f t="shared" si="109"/>
        <v>776</v>
      </c>
      <c r="C788" s="5"/>
      <c r="E788" s="13"/>
      <c r="F788" s="5"/>
      <c r="G788" s="11">
        <f>IF(ISERROR(AVERAGE(F$13:F788)),"n/a",AVERAGE(F$13:F788))</f>
        <v>117</v>
      </c>
      <c r="H788" s="11">
        <f t="shared" si="105"/>
        <v>117</v>
      </c>
      <c r="J788" s="5"/>
      <c r="K788" s="5"/>
      <c r="L788" s="5"/>
      <c r="M788" s="5"/>
      <c r="N788" s="5"/>
      <c r="O788" s="8" t="str">
        <f t="shared" si="103"/>
        <v>n/a</v>
      </c>
      <c r="Q788" s="5"/>
      <c r="R788" s="5"/>
      <c r="S788" s="5"/>
      <c r="U788" s="6"/>
      <c r="V788" s="9" t="str">
        <f t="shared" si="106"/>
        <v/>
      </c>
      <c r="W788" s="9" t="str">
        <f t="shared" si="107"/>
        <v/>
      </c>
      <c r="X788" s="10">
        <f>SUM(V$13:V788)/COUNTA(B$13:B788)</f>
        <v>9.0206185567010301E-3</v>
      </c>
      <c r="Z788" s="5"/>
      <c r="AA788" s="5"/>
      <c r="AC788" s="7"/>
      <c r="AE788" s="54" t="e">
        <f t="shared" si="108"/>
        <v>#N/A</v>
      </c>
      <c r="AF788" s="4" t="e">
        <f t="shared" si="104"/>
        <v>#N/A</v>
      </c>
    </row>
    <row r="789" spans="2:32">
      <c r="B789" s="5">
        <f t="shared" si="109"/>
        <v>777</v>
      </c>
      <c r="C789" s="5"/>
      <c r="E789" s="13"/>
      <c r="F789" s="5"/>
      <c r="G789" s="11">
        <f>IF(ISERROR(AVERAGE(F$13:F789)),"n/a",AVERAGE(F$13:F789))</f>
        <v>117</v>
      </c>
      <c r="H789" s="11">
        <f t="shared" si="105"/>
        <v>117</v>
      </c>
      <c r="J789" s="5"/>
      <c r="K789" s="5"/>
      <c r="L789" s="5"/>
      <c r="M789" s="5"/>
      <c r="N789" s="5"/>
      <c r="O789" s="8" t="str">
        <f t="shared" si="103"/>
        <v>n/a</v>
      </c>
      <c r="Q789" s="5"/>
      <c r="R789" s="5"/>
      <c r="S789" s="5"/>
      <c r="U789" s="6"/>
      <c r="V789" s="9" t="str">
        <f t="shared" si="106"/>
        <v/>
      </c>
      <c r="W789" s="9" t="str">
        <f t="shared" si="107"/>
        <v/>
      </c>
      <c r="X789" s="10">
        <f>SUM(V$13:V789)/COUNTA(B$13:B789)</f>
        <v>9.0090090090090089E-3</v>
      </c>
      <c r="Z789" s="5"/>
      <c r="AA789" s="5"/>
      <c r="AC789" s="7"/>
      <c r="AE789" s="54" t="e">
        <f t="shared" si="108"/>
        <v>#N/A</v>
      </c>
      <c r="AF789" s="4" t="e">
        <f t="shared" si="104"/>
        <v>#N/A</v>
      </c>
    </row>
    <row r="790" spans="2:32">
      <c r="B790" s="5">
        <f t="shared" si="109"/>
        <v>778</v>
      </c>
      <c r="C790" s="5"/>
      <c r="E790" s="13"/>
      <c r="F790" s="5"/>
      <c r="G790" s="11">
        <f>IF(ISERROR(AVERAGE(F$13:F790)),"n/a",AVERAGE(F$13:F790))</f>
        <v>117</v>
      </c>
      <c r="H790" s="11">
        <f t="shared" si="105"/>
        <v>117</v>
      </c>
      <c r="J790" s="5"/>
      <c r="K790" s="5"/>
      <c r="L790" s="5"/>
      <c r="M790" s="5"/>
      <c r="N790" s="5"/>
      <c r="O790" s="8" t="str">
        <f t="shared" si="103"/>
        <v>n/a</v>
      </c>
      <c r="Q790" s="5"/>
      <c r="R790" s="5"/>
      <c r="S790" s="5"/>
      <c r="U790" s="6"/>
      <c r="V790" s="9" t="str">
        <f t="shared" si="106"/>
        <v/>
      </c>
      <c r="W790" s="9" t="str">
        <f t="shared" si="107"/>
        <v/>
      </c>
      <c r="X790" s="10">
        <f>SUM(V$13:V790)/COUNTA(B$13:B790)</f>
        <v>8.9974293059125968E-3</v>
      </c>
      <c r="Z790" s="5"/>
      <c r="AA790" s="5"/>
      <c r="AC790" s="7"/>
      <c r="AE790" s="54" t="e">
        <f t="shared" si="108"/>
        <v>#N/A</v>
      </c>
      <c r="AF790" s="4" t="e">
        <f t="shared" si="104"/>
        <v>#N/A</v>
      </c>
    </row>
    <row r="791" spans="2:32">
      <c r="B791" s="5">
        <f t="shared" si="109"/>
        <v>779</v>
      </c>
      <c r="C791" s="5"/>
      <c r="E791" s="13"/>
      <c r="F791" s="5"/>
      <c r="G791" s="11">
        <f>IF(ISERROR(AVERAGE(F$13:F791)),"n/a",AVERAGE(F$13:F791))</f>
        <v>117</v>
      </c>
      <c r="H791" s="11">
        <f t="shared" si="105"/>
        <v>117</v>
      </c>
      <c r="J791" s="5"/>
      <c r="K791" s="5"/>
      <c r="L791" s="5"/>
      <c r="M791" s="5"/>
      <c r="N791" s="5"/>
      <c r="O791" s="8" t="str">
        <f t="shared" si="103"/>
        <v>n/a</v>
      </c>
      <c r="Q791" s="5"/>
      <c r="R791" s="5"/>
      <c r="S791" s="5"/>
      <c r="U791" s="6"/>
      <c r="V791" s="9" t="str">
        <f t="shared" si="106"/>
        <v/>
      </c>
      <c r="W791" s="9" t="str">
        <f t="shared" si="107"/>
        <v/>
      </c>
      <c r="X791" s="10">
        <f>SUM(V$13:V791)/COUNTA(B$13:B791)</f>
        <v>8.9858793324775355E-3</v>
      </c>
      <c r="Z791" s="5"/>
      <c r="AA791" s="5"/>
      <c r="AC791" s="7"/>
      <c r="AE791" s="54" t="e">
        <f t="shared" si="108"/>
        <v>#N/A</v>
      </c>
      <c r="AF791" s="4" t="e">
        <f t="shared" si="104"/>
        <v>#N/A</v>
      </c>
    </row>
    <row r="792" spans="2:32">
      <c r="B792" s="5">
        <f t="shared" si="109"/>
        <v>780</v>
      </c>
      <c r="C792" s="5"/>
      <c r="E792" s="13"/>
      <c r="F792" s="5"/>
      <c r="G792" s="11">
        <f>IF(ISERROR(AVERAGE(F$13:F792)),"n/a",AVERAGE(F$13:F792))</f>
        <v>117</v>
      </c>
      <c r="H792" s="11">
        <f t="shared" si="105"/>
        <v>117</v>
      </c>
      <c r="J792" s="5"/>
      <c r="K792" s="5"/>
      <c r="L792" s="5"/>
      <c r="M792" s="5"/>
      <c r="N792" s="5"/>
      <c r="O792" s="8" t="str">
        <f t="shared" si="103"/>
        <v>n/a</v>
      </c>
      <c r="Q792" s="5"/>
      <c r="R792" s="5"/>
      <c r="S792" s="5"/>
      <c r="U792" s="6"/>
      <c r="V792" s="9" t="str">
        <f t="shared" si="106"/>
        <v/>
      </c>
      <c r="W792" s="9" t="str">
        <f t="shared" si="107"/>
        <v/>
      </c>
      <c r="X792" s="10">
        <f>SUM(V$13:V792)/COUNTA(B$13:B792)</f>
        <v>8.9743589743589737E-3</v>
      </c>
      <c r="Z792" s="5"/>
      <c r="AA792" s="5"/>
      <c r="AC792" s="7"/>
      <c r="AE792" s="54" t="e">
        <f t="shared" si="108"/>
        <v>#N/A</v>
      </c>
      <c r="AF792" s="4" t="e">
        <f t="shared" si="104"/>
        <v>#N/A</v>
      </c>
    </row>
    <row r="793" spans="2:32">
      <c r="B793" s="5">
        <f t="shared" si="109"/>
        <v>781</v>
      </c>
      <c r="C793" s="5"/>
      <c r="E793" s="13"/>
      <c r="F793" s="5"/>
      <c r="G793" s="11">
        <f>IF(ISERROR(AVERAGE(F$13:F793)),"n/a",AVERAGE(F$13:F793))</f>
        <v>117</v>
      </c>
      <c r="H793" s="11">
        <f t="shared" si="105"/>
        <v>117</v>
      </c>
      <c r="J793" s="5"/>
      <c r="K793" s="5"/>
      <c r="L793" s="5"/>
      <c r="M793" s="5"/>
      <c r="N793" s="5"/>
      <c r="O793" s="8" t="str">
        <f t="shared" si="103"/>
        <v>n/a</v>
      </c>
      <c r="Q793" s="5"/>
      <c r="R793" s="5"/>
      <c r="S793" s="5"/>
      <c r="U793" s="6"/>
      <c r="V793" s="9" t="str">
        <f t="shared" si="106"/>
        <v/>
      </c>
      <c r="W793" s="9" t="str">
        <f t="shared" si="107"/>
        <v/>
      </c>
      <c r="X793" s="10">
        <f>SUM(V$13:V793)/COUNTA(B$13:B793)</f>
        <v>8.9628681177976958E-3</v>
      </c>
      <c r="Z793" s="5"/>
      <c r="AA793" s="5"/>
      <c r="AC793" s="7"/>
      <c r="AE793" s="54" t="e">
        <f t="shared" si="108"/>
        <v>#N/A</v>
      </c>
      <c r="AF793" s="4" t="e">
        <f t="shared" si="104"/>
        <v>#N/A</v>
      </c>
    </row>
    <row r="794" spans="2:32">
      <c r="B794" s="5">
        <f t="shared" si="109"/>
        <v>782</v>
      </c>
      <c r="C794" s="5"/>
      <c r="E794" s="13"/>
      <c r="F794" s="5"/>
      <c r="G794" s="11">
        <f>IF(ISERROR(AVERAGE(F$13:F794)),"n/a",AVERAGE(F$13:F794))</f>
        <v>117</v>
      </c>
      <c r="H794" s="11">
        <f t="shared" si="105"/>
        <v>117</v>
      </c>
      <c r="J794" s="5"/>
      <c r="K794" s="5"/>
      <c r="L794" s="5"/>
      <c r="M794" s="5"/>
      <c r="N794" s="5"/>
      <c r="O794" s="8" t="str">
        <f t="shared" si="103"/>
        <v>n/a</v>
      </c>
      <c r="Q794" s="5"/>
      <c r="R794" s="5"/>
      <c r="S794" s="5"/>
      <c r="U794" s="6"/>
      <c r="V794" s="9" t="str">
        <f t="shared" si="106"/>
        <v/>
      </c>
      <c r="W794" s="9" t="str">
        <f t="shared" si="107"/>
        <v/>
      </c>
      <c r="X794" s="10">
        <f>SUM(V$13:V794)/COUNTA(B$13:B794)</f>
        <v>8.9514066496163679E-3</v>
      </c>
      <c r="Z794" s="5"/>
      <c r="AA794" s="5"/>
      <c r="AC794" s="7"/>
      <c r="AE794" s="54" t="e">
        <f t="shared" si="108"/>
        <v>#N/A</v>
      </c>
      <c r="AF794" s="4" t="e">
        <f t="shared" si="104"/>
        <v>#N/A</v>
      </c>
    </row>
    <row r="795" spans="2:32">
      <c r="B795" s="5">
        <f t="shared" si="109"/>
        <v>783</v>
      </c>
      <c r="C795" s="5"/>
      <c r="E795" s="13"/>
      <c r="F795" s="5"/>
      <c r="G795" s="11">
        <f>IF(ISERROR(AVERAGE(F$13:F795)),"n/a",AVERAGE(F$13:F795))</f>
        <v>117</v>
      </c>
      <c r="H795" s="11">
        <f t="shared" si="105"/>
        <v>117</v>
      </c>
      <c r="J795" s="5"/>
      <c r="K795" s="5"/>
      <c r="L795" s="5"/>
      <c r="M795" s="5"/>
      <c r="N795" s="5"/>
      <c r="O795" s="8" t="str">
        <f t="shared" si="103"/>
        <v>n/a</v>
      </c>
      <c r="Q795" s="5"/>
      <c r="R795" s="5"/>
      <c r="S795" s="5"/>
      <c r="U795" s="6"/>
      <c r="V795" s="9" t="str">
        <f t="shared" si="106"/>
        <v/>
      </c>
      <c r="W795" s="9" t="str">
        <f t="shared" si="107"/>
        <v/>
      </c>
      <c r="X795" s="10">
        <f>SUM(V$13:V795)/COUNTA(B$13:B795)</f>
        <v>8.9399744572158362E-3</v>
      </c>
      <c r="Z795" s="5"/>
      <c r="AA795" s="5"/>
      <c r="AC795" s="7"/>
      <c r="AE795" s="54" t="e">
        <f t="shared" si="108"/>
        <v>#N/A</v>
      </c>
      <c r="AF795" s="4" t="e">
        <f t="shared" si="104"/>
        <v>#N/A</v>
      </c>
    </row>
    <row r="796" spans="2:32">
      <c r="B796" s="5">
        <f t="shared" si="109"/>
        <v>784</v>
      </c>
      <c r="C796" s="5"/>
      <c r="E796" s="13"/>
      <c r="F796" s="5"/>
      <c r="G796" s="11">
        <f>IF(ISERROR(AVERAGE(F$13:F796)),"n/a",AVERAGE(F$13:F796))</f>
        <v>117</v>
      </c>
      <c r="H796" s="11">
        <f t="shared" si="105"/>
        <v>117</v>
      </c>
      <c r="J796" s="5"/>
      <c r="K796" s="5"/>
      <c r="L796" s="5"/>
      <c r="M796" s="5"/>
      <c r="N796" s="5"/>
      <c r="O796" s="8" t="str">
        <f t="shared" si="103"/>
        <v>n/a</v>
      </c>
      <c r="Q796" s="5"/>
      <c r="R796" s="5"/>
      <c r="S796" s="5"/>
      <c r="U796" s="6"/>
      <c r="V796" s="9" t="str">
        <f t="shared" si="106"/>
        <v/>
      </c>
      <c r="W796" s="9" t="str">
        <f t="shared" si="107"/>
        <v/>
      </c>
      <c r="X796" s="10">
        <f>SUM(V$13:V796)/COUNTA(B$13:B796)</f>
        <v>8.9285714285714281E-3</v>
      </c>
      <c r="Z796" s="5"/>
      <c r="AA796" s="5"/>
      <c r="AC796" s="7"/>
      <c r="AE796" s="54" t="e">
        <f t="shared" si="108"/>
        <v>#N/A</v>
      </c>
      <c r="AF796" s="4" t="e">
        <f t="shared" si="104"/>
        <v>#N/A</v>
      </c>
    </row>
    <row r="797" spans="2:32">
      <c r="B797" s="5">
        <f t="shared" si="109"/>
        <v>785</v>
      </c>
      <c r="C797" s="5"/>
      <c r="E797" s="13"/>
      <c r="F797" s="5"/>
      <c r="G797" s="11">
        <f>IF(ISERROR(AVERAGE(F$13:F797)),"n/a",AVERAGE(F$13:F797))</f>
        <v>117</v>
      </c>
      <c r="H797" s="11">
        <f t="shared" si="105"/>
        <v>117</v>
      </c>
      <c r="J797" s="5"/>
      <c r="K797" s="5"/>
      <c r="L797" s="5"/>
      <c r="M797" s="5"/>
      <c r="N797" s="5"/>
      <c r="O797" s="8" t="str">
        <f t="shared" si="103"/>
        <v>n/a</v>
      </c>
      <c r="Q797" s="5"/>
      <c r="R797" s="5"/>
      <c r="S797" s="5"/>
      <c r="U797" s="6"/>
      <c r="V797" s="9" t="str">
        <f t="shared" si="106"/>
        <v/>
      </c>
      <c r="W797" s="9" t="str">
        <f t="shared" si="107"/>
        <v/>
      </c>
      <c r="X797" s="10">
        <f>SUM(V$13:V797)/COUNTA(B$13:B797)</f>
        <v>8.9171974522292991E-3</v>
      </c>
      <c r="Z797" s="5"/>
      <c r="AA797" s="5"/>
      <c r="AC797" s="7"/>
      <c r="AE797" s="54" t="e">
        <f t="shared" si="108"/>
        <v>#N/A</v>
      </c>
      <c r="AF797" s="4" t="e">
        <f t="shared" si="104"/>
        <v>#N/A</v>
      </c>
    </row>
    <row r="798" spans="2:32">
      <c r="B798" s="5">
        <f t="shared" si="109"/>
        <v>786</v>
      </c>
      <c r="C798" s="5"/>
      <c r="E798" s="13"/>
      <c r="F798" s="5"/>
      <c r="G798" s="11">
        <f>IF(ISERROR(AVERAGE(F$13:F798)),"n/a",AVERAGE(F$13:F798))</f>
        <v>117</v>
      </c>
      <c r="H798" s="11">
        <f t="shared" si="105"/>
        <v>117</v>
      </c>
      <c r="J798" s="5"/>
      <c r="K798" s="5"/>
      <c r="L798" s="5"/>
      <c r="M798" s="5"/>
      <c r="N798" s="5"/>
      <c r="O798" s="8" t="str">
        <f t="shared" si="103"/>
        <v>n/a</v>
      </c>
      <c r="Q798" s="5"/>
      <c r="R798" s="5"/>
      <c r="S798" s="5"/>
      <c r="U798" s="6"/>
      <c r="V798" s="9" t="str">
        <f t="shared" si="106"/>
        <v/>
      </c>
      <c r="W798" s="9" t="str">
        <f t="shared" si="107"/>
        <v/>
      </c>
      <c r="X798" s="10">
        <f>SUM(V$13:V798)/COUNTA(B$13:B798)</f>
        <v>8.9058524173027988E-3</v>
      </c>
      <c r="Z798" s="5"/>
      <c r="AA798" s="5"/>
      <c r="AC798" s="7"/>
      <c r="AE798" s="54" t="e">
        <f t="shared" si="108"/>
        <v>#N/A</v>
      </c>
      <c r="AF798" s="4" t="e">
        <f t="shared" si="104"/>
        <v>#N/A</v>
      </c>
    </row>
    <row r="799" spans="2:32">
      <c r="B799" s="5">
        <f t="shared" si="109"/>
        <v>787</v>
      </c>
      <c r="C799" s="5"/>
      <c r="E799" s="13"/>
      <c r="F799" s="5"/>
      <c r="G799" s="11">
        <f>IF(ISERROR(AVERAGE(F$13:F799)),"n/a",AVERAGE(F$13:F799))</f>
        <v>117</v>
      </c>
      <c r="H799" s="11">
        <f t="shared" si="105"/>
        <v>117</v>
      </c>
      <c r="J799" s="5"/>
      <c r="K799" s="5"/>
      <c r="L799" s="5"/>
      <c r="M799" s="5"/>
      <c r="N799" s="5"/>
      <c r="O799" s="8" t="str">
        <f t="shared" si="103"/>
        <v>n/a</v>
      </c>
      <c r="Q799" s="5"/>
      <c r="R799" s="5"/>
      <c r="S799" s="5"/>
      <c r="U799" s="6"/>
      <c r="V799" s="9" t="str">
        <f t="shared" si="106"/>
        <v/>
      </c>
      <c r="W799" s="9" t="str">
        <f t="shared" si="107"/>
        <v/>
      </c>
      <c r="X799" s="10">
        <f>SUM(V$13:V799)/COUNTA(B$13:B799)</f>
        <v>8.8945362134688691E-3</v>
      </c>
      <c r="Z799" s="5"/>
      <c r="AA799" s="5"/>
      <c r="AC799" s="7"/>
      <c r="AE799" s="54" t="e">
        <f t="shared" si="108"/>
        <v>#N/A</v>
      </c>
      <c r="AF799" s="4" t="e">
        <f t="shared" si="104"/>
        <v>#N/A</v>
      </c>
    </row>
    <row r="800" spans="2:32">
      <c r="B800" s="5">
        <f t="shared" si="109"/>
        <v>788</v>
      </c>
      <c r="C800" s="5"/>
      <c r="E800" s="13"/>
      <c r="F800" s="5"/>
      <c r="G800" s="11">
        <f>IF(ISERROR(AVERAGE(F$13:F800)),"n/a",AVERAGE(F$13:F800))</f>
        <v>117</v>
      </c>
      <c r="H800" s="11">
        <f t="shared" si="105"/>
        <v>117</v>
      </c>
      <c r="J800" s="5"/>
      <c r="K800" s="5"/>
      <c r="L800" s="5"/>
      <c r="M800" s="5"/>
      <c r="N800" s="5"/>
      <c r="O800" s="8" t="str">
        <f t="shared" si="103"/>
        <v>n/a</v>
      </c>
      <c r="Q800" s="5"/>
      <c r="R800" s="5"/>
      <c r="S800" s="5"/>
      <c r="U800" s="6"/>
      <c r="V800" s="9" t="str">
        <f t="shared" si="106"/>
        <v/>
      </c>
      <c r="W800" s="9" t="str">
        <f t="shared" si="107"/>
        <v/>
      </c>
      <c r="X800" s="10">
        <f>SUM(V$13:V800)/COUNTA(B$13:B800)</f>
        <v>8.8832487309644676E-3</v>
      </c>
      <c r="Z800" s="5"/>
      <c r="AA800" s="5"/>
      <c r="AC800" s="7"/>
      <c r="AE800" s="54" t="e">
        <f t="shared" si="108"/>
        <v>#N/A</v>
      </c>
      <c r="AF800" s="4" t="e">
        <f t="shared" si="104"/>
        <v>#N/A</v>
      </c>
    </row>
    <row r="801" spans="2:32">
      <c r="B801" s="5">
        <f t="shared" si="109"/>
        <v>789</v>
      </c>
      <c r="C801" s="5"/>
      <c r="E801" s="13"/>
      <c r="F801" s="5"/>
      <c r="G801" s="11">
        <f>IF(ISERROR(AVERAGE(F$13:F801)),"n/a",AVERAGE(F$13:F801))</f>
        <v>117</v>
      </c>
      <c r="H801" s="11">
        <f t="shared" si="105"/>
        <v>117</v>
      </c>
      <c r="J801" s="5"/>
      <c r="K801" s="5"/>
      <c r="L801" s="5"/>
      <c r="M801" s="5"/>
      <c r="N801" s="5"/>
      <c r="O801" s="8" t="str">
        <f t="shared" si="103"/>
        <v>n/a</v>
      </c>
      <c r="Q801" s="5"/>
      <c r="R801" s="5"/>
      <c r="S801" s="5"/>
      <c r="U801" s="6"/>
      <c r="V801" s="9" t="str">
        <f t="shared" si="106"/>
        <v/>
      </c>
      <c r="W801" s="9" t="str">
        <f t="shared" si="107"/>
        <v/>
      </c>
      <c r="X801" s="10">
        <f>SUM(V$13:V801)/COUNTA(B$13:B801)</f>
        <v>8.8719898605830166E-3</v>
      </c>
      <c r="Z801" s="5"/>
      <c r="AA801" s="5"/>
      <c r="AC801" s="7"/>
      <c r="AE801" s="54" t="e">
        <f t="shared" si="108"/>
        <v>#N/A</v>
      </c>
      <c r="AF801" s="4" t="e">
        <f t="shared" si="104"/>
        <v>#N/A</v>
      </c>
    </row>
    <row r="802" spans="2:32">
      <c r="B802" s="5">
        <f t="shared" si="109"/>
        <v>790</v>
      </c>
      <c r="C802" s="5"/>
      <c r="E802" s="13"/>
      <c r="F802" s="5"/>
      <c r="G802" s="11">
        <f>IF(ISERROR(AVERAGE(F$13:F802)),"n/a",AVERAGE(F$13:F802))</f>
        <v>117</v>
      </c>
      <c r="H802" s="11">
        <f t="shared" si="105"/>
        <v>117</v>
      </c>
      <c r="J802" s="5"/>
      <c r="K802" s="5"/>
      <c r="L802" s="5"/>
      <c r="M802" s="5"/>
      <c r="N802" s="5"/>
      <c r="O802" s="8" t="str">
        <f t="shared" si="103"/>
        <v>n/a</v>
      </c>
      <c r="Q802" s="5"/>
      <c r="R802" s="5"/>
      <c r="S802" s="5"/>
      <c r="U802" s="6"/>
      <c r="V802" s="9" t="str">
        <f t="shared" si="106"/>
        <v/>
      </c>
      <c r="W802" s="9" t="str">
        <f t="shared" si="107"/>
        <v/>
      </c>
      <c r="X802" s="10">
        <f>SUM(V$13:V802)/COUNTA(B$13:B802)</f>
        <v>8.8607594936708865E-3</v>
      </c>
      <c r="Z802" s="5"/>
      <c r="AA802" s="5"/>
      <c r="AC802" s="7"/>
      <c r="AE802" s="54" t="e">
        <f t="shared" si="108"/>
        <v>#N/A</v>
      </c>
      <c r="AF802" s="4" t="e">
        <f t="shared" si="104"/>
        <v>#N/A</v>
      </c>
    </row>
    <row r="803" spans="2:32">
      <c r="B803" s="5">
        <f t="shared" si="109"/>
        <v>791</v>
      </c>
      <c r="C803" s="5"/>
      <c r="E803" s="13"/>
      <c r="F803" s="5"/>
      <c r="G803" s="11">
        <f>IF(ISERROR(AVERAGE(F$13:F803)),"n/a",AVERAGE(F$13:F803))</f>
        <v>117</v>
      </c>
      <c r="H803" s="11">
        <f t="shared" si="105"/>
        <v>117</v>
      </c>
      <c r="J803" s="5"/>
      <c r="K803" s="5"/>
      <c r="L803" s="5"/>
      <c r="M803" s="5"/>
      <c r="N803" s="5"/>
      <c r="O803" s="8" t="str">
        <f t="shared" si="103"/>
        <v>n/a</v>
      </c>
      <c r="Q803" s="5"/>
      <c r="R803" s="5"/>
      <c r="S803" s="5"/>
      <c r="U803" s="6"/>
      <c r="V803" s="9" t="str">
        <f t="shared" si="106"/>
        <v/>
      </c>
      <c r="W803" s="9" t="str">
        <f t="shared" si="107"/>
        <v/>
      </c>
      <c r="X803" s="10">
        <f>SUM(V$13:V803)/COUNTA(B$13:B803)</f>
        <v>8.8495575221238937E-3</v>
      </c>
      <c r="Z803" s="5"/>
      <c r="AA803" s="5"/>
      <c r="AC803" s="7"/>
      <c r="AE803" s="54" t="e">
        <f t="shared" si="108"/>
        <v>#N/A</v>
      </c>
      <c r="AF803" s="4" t="e">
        <f t="shared" si="104"/>
        <v>#N/A</v>
      </c>
    </row>
    <row r="804" spans="2:32">
      <c r="B804" s="5">
        <f t="shared" si="109"/>
        <v>792</v>
      </c>
      <c r="C804" s="5"/>
      <c r="E804" s="13"/>
      <c r="F804" s="5"/>
      <c r="G804" s="11">
        <f>IF(ISERROR(AVERAGE(F$13:F804)),"n/a",AVERAGE(F$13:F804))</f>
        <v>117</v>
      </c>
      <c r="H804" s="11">
        <f t="shared" si="105"/>
        <v>117</v>
      </c>
      <c r="J804" s="5"/>
      <c r="K804" s="5"/>
      <c r="L804" s="5"/>
      <c r="M804" s="5"/>
      <c r="N804" s="5"/>
      <c r="O804" s="8" t="str">
        <f t="shared" si="103"/>
        <v>n/a</v>
      </c>
      <c r="Q804" s="5"/>
      <c r="R804" s="5"/>
      <c r="S804" s="5"/>
      <c r="U804" s="6"/>
      <c r="V804" s="9" t="str">
        <f t="shared" si="106"/>
        <v/>
      </c>
      <c r="W804" s="9" t="str">
        <f t="shared" si="107"/>
        <v/>
      </c>
      <c r="X804" s="10">
        <f>SUM(V$13:V804)/COUNTA(B$13:B804)</f>
        <v>8.8383838383838381E-3</v>
      </c>
      <c r="Z804" s="5"/>
      <c r="AA804" s="5"/>
      <c r="AC804" s="7"/>
      <c r="AE804" s="54" t="e">
        <f t="shared" si="108"/>
        <v>#N/A</v>
      </c>
      <c r="AF804" s="4" t="e">
        <f t="shared" si="104"/>
        <v>#N/A</v>
      </c>
    </row>
    <row r="805" spans="2:32">
      <c r="B805" s="5">
        <f t="shared" si="109"/>
        <v>793</v>
      </c>
      <c r="C805" s="5"/>
      <c r="E805" s="13"/>
      <c r="F805" s="5"/>
      <c r="G805" s="11">
        <f>IF(ISERROR(AVERAGE(F$13:F805)),"n/a",AVERAGE(F$13:F805))</f>
        <v>117</v>
      </c>
      <c r="H805" s="11">
        <f t="shared" si="105"/>
        <v>117</v>
      </c>
      <c r="J805" s="5"/>
      <c r="K805" s="5"/>
      <c r="L805" s="5"/>
      <c r="M805" s="5"/>
      <c r="N805" s="5"/>
      <c r="O805" s="8" t="str">
        <f t="shared" si="103"/>
        <v>n/a</v>
      </c>
      <c r="Q805" s="5"/>
      <c r="R805" s="5"/>
      <c r="S805" s="5"/>
      <c r="U805" s="6"/>
      <c r="V805" s="9" t="str">
        <f t="shared" si="106"/>
        <v/>
      </c>
      <c r="W805" s="9" t="str">
        <f t="shared" si="107"/>
        <v/>
      </c>
      <c r="X805" s="10">
        <f>SUM(V$13:V805)/COUNTA(B$13:B805)</f>
        <v>8.8272383354350576E-3</v>
      </c>
      <c r="Z805" s="5"/>
      <c r="AA805" s="5"/>
      <c r="AC805" s="7"/>
      <c r="AE805" s="54" t="e">
        <f t="shared" si="108"/>
        <v>#N/A</v>
      </c>
      <c r="AF805" s="4" t="e">
        <f t="shared" si="104"/>
        <v>#N/A</v>
      </c>
    </row>
    <row r="806" spans="2:32">
      <c r="B806" s="5">
        <f t="shared" si="109"/>
        <v>794</v>
      </c>
      <c r="C806" s="5"/>
      <c r="E806" s="13"/>
      <c r="F806" s="5"/>
      <c r="G806" s="11">
        <f>IF(ISERROR(AVERAGE(F$13:F806)),"n/a",AVERAGE(F$13:F806))</f>
        <v>117</v>
      </c>
      <c r="H806" s="11">
        <f t="shared" si="105"/>
        <v>117</v>
      </c>
      <c r="J806" s="5"/>
      <c r="K806" s="5"/>
      <c r="L806" s="5"/>
      <c r="M806" s="5"/>
      <c r="N806" s="5"/>
      <c r="O806" s="8" t="str">
        <f t="shared" si="103"/>
        <v>n/a</v>
      </c>
      <c r="Q806" s="5"/>
      <c r="R806" s="5"/>
      <c r="S806" s="5"/>
      <c r="U806" s="6"/>
      <c r="V806" s="9" t="str">
        <f t="shared" si="106"/>
        <v/>
      </c>
      <c r="W806" s="9" t="str">
        <f t="shared" si="107"/>
        <v/>
      </c>
      <c r="X806" s="10">
        <f>SUM(V$13:V806)/COUNTA(B$13:B806)</f>
        <v>8.8161209068010078E-3</v>
      </c>
      <c r="Z806" s="5"/>
      <c r="AA806" s="5"/>
      <c r="AC806" s="7"/>
      <c r="AE806" s="54" t="e">
        <f t="shared" si="108"/>
        <v>#N/A</v>
      </c>
      <c r="AF806" s="4" t="e">
        <f t="shared" si="104"/>
        <v>#N/A</v>
      </c>
    </row>
    <row r="807" spans="2:32">
      <c r="B807" s="5">
        <f t="shared" si="109"/>
        <v>795</v>
      </c>
      <c r="C807" s="5"/>
      <c r="E807" s="13"/>
      <c r="F807" s="5"/>
      <c r="G807" s="11">
        <f>IF(ISERROR(AVERAGE(F$13:F807)),"n/a",AVERAGE(F$13:F807))</f>
        <v>117</v>
      </c>
      <c r="H807" s="11">
        <f t="shared" si="105"/>
        <v>117</v>
      </c>
      <c r="J807" s="5"/>
      <c r="K807" s="5"/>
      <c r="L807" s="5"/>
      <c r="M807" s="5"/>
      <c r="N807" s="5"/>
      <c r="O807" s="8" t="str">
        <f t="shared" si="103"/>
        <v>n/a</v>
      </c>
      <c r="Q807" s="5"/>
      <c r="R807" s="5"/>
      <c r="S807" s="5"/>
      <c r="U807" s="6"/>
      <c r="V807" s="9" t="str">
        <f t="shared" si="106"/>
        <v/>
      </c>
      <c r="W807" s="9" t="str">
        <f t="shared" si="107"/>
        <v/>
      </c>
      <c r="X807" s="10">
        <f>SUM(V$13:V807)/COUNTA(B$13:B807)</f>
        <v>8.8050314465408803E-3</v>
      </c>
      <c r="Z807" s="5"/>
      <c r="AA807" s="5"/>
      <c r="AC807" s="7"/>
      <c r="AE807" s="54" t="e">
        <f t="shared" si="108"/>
        <v>#N/A</v>
      </c>
      <c r="AF807" s="4" t="e">
        <f t="shared" si="104"/>
        <v>#N/A</v>
      </c>
    </row>
    <row r="808" spans="2:32">
      <c r="B808" s="5">
        <f t="shared" si="109"/>
        <v>796</v>
      </c>
      <c r="C808" s="5"/>
      <c r="E808" s="13"/>
      <c r="F808" s="5"/>
      <c r="G808" s="11">
        <f>IF(ISERROR(AVERAGE(F$13:F808)),"n/a",AVERAGE(F$13:F808))</f>
        <v>117</v>
      </c>
      <c r="H808" s="11">
        <f t="shared" si="105"/>
        <v>117</v>
      </c>
      <c r="J808" s="5"/>
      <c r="K808" s="5"/>
      <c r="L808" s="5"/>
      <c r="M808" s="5"/>
      <c r="N808" s="5"/>
      <c r="O808" s="8" t="str">
        <f t="shared" si="103"/>
        <v>n/a</v>
      </c>
      <c r="Q808" s="5"/>
      <c r="R808" s="5"/>
      <c r="S808" s="5"/>
      <c r="U808" s="6"/>
      <c r="V808" s="9" t="str">
        <f t="shared" si="106"/>
        <v/>
      </c>
      <c r="W808" s="9" t="str">
        <f t="shared" si="107"/>
        <v/>
      </c>
      <c r="X808" s="10">
        <f>SUM(V$13:V808)/COUNTA(B$13:B808)</f>
        <v>8.7939698492462311E-3</v>
      </c>
      <c r="Z808" s="5"/>
      <c r="AA808" s="5"/>
      <c r="AC808" s="7"/>
      <c r="AE808" s="54" t="e">
        <f t="shared" si="108"/>
        <v>#N/A</v>
      </c>
      <c r="AF808" s="4" t="e">
        <f t="shared" si="104"/>
        <v>#N/A</v>
      </c>
    </row>
    <row r="809" spans="2:32">
      <c r="B809" s="5">
        <f t="shared" si="109"/>
        <v>797</v>
      </c>
      <c r="C809" s="5"/>
      <c r="E809" s="13"/>
      <c r="F809" s="5"/>
      <c r="G809" s="11">
        <f>IF(ISERROR(AVERAGE(F$13:F809)),"n/a",AVERAGE(F$13:F809))</f>
        <v>117</v>
      </c>
      <c r="H809" s="11">
        <f t="shared" si="105"/>
        <v>117</v>
      </c>
      <c r="J809" s="5"/>
      <c r="K809" s="5"/>
      <c r="L809" s="5"/>
      <c r="M809" s="5"/>
      <c r="N809" s="5"/>
      <c r="O809" s="8" t="str">
        <f t="shared" si="103"/>
        <v>n/a</v>
      </c>
      <c r="Q809" s="5"/>
      <c r="R809" s="5"/>
      <c r="S809" s="5"/>
      <c r="U809" s="6"/>
      <c r="V809" s="9" t="str">
        <f t="shared" si="106"/>
        <v/>
      </c>
      <c r="W809" s="9" t="str">
        <f t="shared" si="107"/>
        <v/>
      </c>
      <c r="X809" s="10">
        <f>SUM(V$13:V809)/COUNTA(B$13:B809)</f>
        <v>8.7829360100376407E-3</v>
      </c>
      <c r="Z809" s="5"/>
      <c r="AA809" s="5"/>
      <c r="AC809" s="7"/>
      <c r="AE809" s="54" t="e">
        <f t="shared" si="108"/>
        <v>#N/A</v>
      </c>
      <c r="AF809" s="4" t="e">
        <f t="shared" si="104"/>
        <v>#N/A</v>
      </c>
    </row>
    <row r="810" spans="2:32">
      <c r="B810" s="5">
        <f t="shared" si="109"/>
        <v>798</v>
      </c>
      <c r="C810" s="5"/>
      <c r="E810" s="13"/>
      <c r="F810" s="5"/>
      <c r="G810" s="11">
        <f>IF(ISERROR(AVERAGE(F$13:F810)),"n/a",AVERAGE(F$13:F810))</f>
        <v>117</v>
      </c>
      <c r="H810" s="11">
        <f t="shared" si="105"/>
        <v>117</v>
      </c>
      <c r="J810" s="5"/>
      <c r="K810" s="5"/>
      <c r="L810" s="5"/>
      <c r="M810" s="5"/>
      <c r="N810" s="5"/>
      <c r="O810" s="8" t="str">
        <f t="shared" si="103"/>
        <v>n/a</v>
      </c>
      <c r="Q810" s="5"/>
      <c r="R810" s="5"/>
      <c r="S810" s="5"/>
      <c r="U810" s="6"/>
      <c r="V810" s="9" t="str">
        <f t="shared" si="106"/>
        <v/>
      </c>
      <c r="W810" s="9" t="str">
        <f t="shared" si="107"/>
        <v/>
      </c>
      <c r="X810" s="10">
        <f>SUM(V$13:V810)/COUNTA(B$13:B810)</f>
        <v>8.771929824561403E-3</v>
      </c>
      <c r="Z810" s="5"/>
      <c r="AA810" s="5"/>
      <c r="AC810" s="7"/>
      <c r="AE810" s="54" t="e">
        <f t="shared" si="108"/>
        <v>#N/A</v>
      </c>
      <c r="AF810" s="4" t="e">
        <f t="shared" si="104"/>
        <v>#N/A</v>
      </c>
    </row>
    <row r="811" spans="2:32">
      <c r="B811" s="5">
        <f t="shared" si="109"/>
        <v>799</v>
      </c>
      <c r="C811" s="5"/>
      <c r="E811" s="13"/>
      <c r="F811" s="5"/>
      <c r="G811" s="11">
        <f>IF(ISERROR(AVERAGE(F$13:F811)),"n/a",AVERAGE(F$13:F811))</f>
        <v>117</v>
      </c>
      <c r="H811" s="11">
        <f t="shared" si="105"/>
        <v>117</v>
      </c>
      <c r="J811" s="5"/>
      <c r="K811" s="5"/>
      <c r="L811" s="5"/>
      <c r="M811" s="5"/>
      <c r="N811" s="5"/>
      <c r="O811" s="8" t="str">
        <f t="shared" si="103"/>
        <v>n/a</v>
      </c>
      <c r="Q811" s="5"/>
      <c r="R811" s="5"/>
      <c r="S811" s="5"/>
      <c r="U811" s="6"/>
      <c r="V811" s="9" t="str">
        <f t="shared" si="106"/>
        <v/>
      </c>
      <c r="W811" s="9" t="str">
        <f t="shared" si="107"/>
        <v/>
      </c>
      <c r="X811" s="10">
        <f>SUM(V$13:V811)/COUNTA(B$13:B811)</f>
        <v>8.7609511889862324E-3</v>
      </c>
      <c r="Z811" s="5"/>
      <c r="AA811" s="5"/>
      <c r="AC811" s="7"/>
      <c r="AE811" s="54" t="e">
        <f t="shared" si="108"/>
        <v>#N/A</v>
      </c>
      <c r="AF811" s="4" t="e">
        <f t="shared" si="104"/>
        <v>#N/A</v>
      </c>
    </row>
    <row r="812" spans="2:32">
      <c r="B812" s="5">
        <f t="shared" si="109"/>
        <v>800</v>
      </c>
      <c r="C812" s="5"/>
      <c r="E812" s="13"/>
      <c r="F812" s="5"/>
      <c r="G812" s="11">
        <f>IF(ISERROR(AVERAGE(F$13:F812)),"n/a",AVERAGE(F$13:F812))</f>
        <v>117</v>
      </c>
      <c r="H812" s="11">
        <f t="shared" si="105"/>
        <v>117</v>
      </c>
      <c r="J812" s="5"/>
      <c r="K812" s="5"/>
      <c r="L812" s="5"/>
      <c r="M812" s="5"/>
      <c r="N812" s="5"/>
      <c r="O812" s="8" t="str">
        <f t="shared" si="103"/>
        <v>n/a</v>
      </c>
      <c r="Q812" s="5"/>
      <c r="R812" s="5"/>
      <c r="S812" s="5"/>
      <c r="U812" s="6"/>
      <c r="V812" s="9" t="str">
        <f t="shared" si="106"/>
        <v/>
      </c>
      <c r="W812" s="9" t="str">
        <f t="shared" si="107"/>
        <v/>
      </c>
      <c r="X812" s="10">
        <f>SUM(V$13:V812)/COUNTA(B$13:B812)</f>
        <v>8.7500000000000008E-3</v>
      </c>
      <c r="Z812" s="5"/>
      <c r="AA812" s="5"/>
      <c r="AC812" s="7"/>
      <c r="AE812" s="54" t="e">
        <f t="shared" si="108"/>
        <v>#N/A</v>
      </c>
      <c r="AF812" s="4" t="e">
        <f t="shared" si="104"/>
        <v>#N/A</v>
      </c>
    </row>
    <row r="813" spans="2:32">
      <c r="B813" s="5">
        <f t="shared" si="109"/>
        <v>801</v>
      </c>
      <c r="C813" s="5"/>
      <c r="E813" s="13"/>
      <c r="F813" s="5"/>
      <c r="G813" s="11">
        <f>IF(ISERROR(AVERAGE(F$13:F813)),"n/a",AVERAGE(F$13:F813))</f>
        <v>117</v>
      </c>
      <c r="H813" s="11">
        <f t="shared" si="105"/>
        <v>117</v>
      </c>
      <c r="J813" s="5"/>
      <c r="K813" s="5"/>
      <c r="L813" s="5"/>
      <c r="M813" s="5"/>
      <c r="N813" s="5"/>
      <c r="O813" s="8" t="str">
        <f t="shared" si="103"/>
        <v>n/a</v>
      </c>
      <c r="Q813" s="5"/>
      <c r="R813" s="5"/>
      <c r="S813" s="5"/>
      <c r="U813" s="6"/>
      <c r="V813" s="9" t="str">
        <f t="shared" si="106"/>
        <v/>
      </c>
      <c r="W813" s="9" t="str">
        <f t="shared" si="107"/>
        <v/>
      </c>
      <c r="X813" s="10">
        <f>SUM(V$13:V813)/COUNTA(B$13:B813)</f>
        <v>8.7390761548064924E-3</v>
      </c>
      <c r="Z813" s="5"/>
      <c r="AA813" s="5"/>
      <c r="AC813" s="7"/>
      <c r="AE813" s="54" t="e">
        <f t="shared" si="108"/>
        <v>#N/A</v>
      </c>
      <c r="AF813" s="4" t="e">
        <f t="shared" si="104"/>
        <v>#N/A</v>
      </c>
    </row>
    <row r="814" spans="2:32">
      <c r="B814" s="5">
        <f t="shared" si="109"/>
        <v>802</v>
      </c>
      <c r="C814" s="5"/>
      <c r="E814" s="13"/>
      <c r="F814" s="5"/>
      <c r="G814" s="11">
        <f>IF(ISERROR(AVERAGE(F$13:F814)),"n/a",AVERAGE(F$13:F814))</f>
        <v>117</v>
      </c>
      <c r="H814" s="11">
        <f t="shared" si="105"/>
        <v>117</v>
      </c>
      <c r="J814" s="5"/>
      <c r="K814" s="5"/>
      <c r="L814" s="5"/>
      <c r="M814" s="5"/>
      <c r="N814" s="5"/>
      <c r="O814" s="8" t="str">
        <f t="shared" si="103"/>
        <v>n/a</v>
      </c>
      <c r="Q814" s="5"/>
      <c r="R814" s="5"/>
      <c r="S814" s="5"/>
      <c r="U814" s="6"/>
      <c r="V814" s="9" t="str">
        <f t="shared" si="106"/>
        <v/>
      </c>
      <c r="W814" s="9" t="str">
        <f t="shared" si="107"/>
        <v/>
      </c>
      <c r="X814" s="10">
        <f>SUM(V$13:V814)/COUNTA(B$13:B814)</f>
        <v>8.7281795511221939E-3</v>
      </c>
      <c r="Z814" s="5"/>
      <c r="AA814" s="5"/>
      <c r="AC814" s="7"/>
      <c r="AE814" s="54" t="e">
        <f t="shared" si="108"/>
        <v>#N/A</v>
      </c>
      <c r="AF814" s="4" t="e">
        <f t="shared" si="104"/>
        <v>#N/A</v>
      </c>
    </row>
    <row r="815" spans="2:32">
      <c r="B815" s="5">
        <f t="shared" si="109"/>
        <v>803</v>
      </c>
      <c r="C815" s="5"/>
      <c r="E815" s="13"/>
      <c r="F815" s="5"/>
      <c r="G815" s="11">
        <f>IF(ISERROR(AVERAGE(F$13:F815)),"n/a",AVERAGE(F$13:F815))</f>
        <v>117</v>
      </c>
      <c r="H815" s="11">
        <f t="shared" si="105"/>
        <v>117</v>
      </c>
      <c r="J815" s="5"/>
      <c r="K815" s="5"/>
      <c r="L815" s="5"/>
      <c r="M815" s="5"/>
      <c r="N815" s="5"/>
      <c r="O815" s="8" t="str">
        <f t="shared" si="103"/>
        <v>n/a</v>
      </c>
      <c r="Q815" s="5"/>
      <c r="R815" s="5"/>
      <c r="S815" s="5"/>
      <c r="U815" s="6"/>
      <c r="V815" s="9" t="str">
        <f t="shared" si="106"/>
        <v/>
      </c>
      <c r="W815" s="9" t="str">
        <f t="shared" si="107"/>
        <v/>
      </c>
      <c r="X815" s="10">
        <f>SUM(V$13:V815)/COUNTA(B$13:B815)</f>
        <v>8.717310087173101E-3</v>
      </c>
      <c r="Z815" s="5"/>
      <c r="AA815" s="5"/>
      <c r="AC815" s="7"/>
      <c r="AE815" s="54" t="e">
        <f t="shared" si="108"/>
        <v>#N/A</v>
      </c>
      <c r="AF815" s="4" t="e">
        <f t="shared" si="104"/>
        <v>#N/A</v>
      </c>
    </row>
    <row r="816" spans="2:32">
      <c r="B816" s="5">
        <f t="shared" si="109"/>
        <v>804</v>
      </c>
      <c r="C816" s="5"/>
      <c r="E816" s="13"/>
      <c r="F816" s="5"/>
      <c r="G816" s="11">
        <f>IF(ISERROR(AVERAGE(F$13:F816)),"n/a",AVERAGE(F$13:F816))</f>
        <v>117</v>
      </c>
      <c r="H816" s="11">
        <f t="shared" si="105"/>
        <v>117</v>
      </c>
      <c r="J816" s="5"/>
      <c r="K816" s="5"/>
      <c r="L816" s="5"/>
      <c r="M816" s="5"/>
      <c r="N816" s="5"/>
      <c r="O816" s="8" t="str">
        <f t="shared" si="103"/>
        <v>n/a</v>
      </c>
      <c r="Q816" s="5"/>
      <c r="R816" s="5"/>
      <c r="S816" s="5"/>
      <c r="U816" s="6"/>
      <c r="V816" s="9" t="str">
        <f t="shared" si="106"/>
        <v/>
      </c>
      <c r="W816" s="9" t="str">
        <f t="shared" si="107"/>
        <v/>
      </c>
      <c r="X816" s="10">
        <f>SUM(V$13:V816)/COUNTA(B$13:B816)</f>
        <v>8.7064676616915426E-3</v>
      </c>
      <c r="Z816" s="5"/>
      <c r="AA816" s="5"/>
      <c r="AC816" s="7"/>
      <c r="AE816" s="54" t="e">
        <f t="shared" si="108"/>
        <v>#N/A</v>
      </c>
      <c r="AF816" s="4" t="e">
        <f t="shared" si="104"/>
        <v>#N/A</v>
      </c>
    </row>
    <row r="817" spans="2:32">
      <c r="B817" s="5">
        <f t="shared" si="109"/>
        <v>805</v>
      </c>
      <c r="C817" s="5"/>
      <c r="E817" s="13"/>
      <c r="F817" s="5"/>
      <c r="G817" s="11">
        <f>IF(ISERROR(AVERAGE(F$13:F817)),"n/a",AVERAGE(F$13:F817))</f>
        <v>117</v>
      </c>
      <c r="H817" s="11">
        <f t="shared" si="105"/>
        <v>117</v>
      </c>
      <c r="J817" s="5"/>
      <c r="K817" s="5"/>
      <c r="L817" s="5"/>
      <c r="M817" s="5"/>
      <c r="N817" s="5"/>
      <c r="O817" s="8" t="str">
        <f t="shared" ref="O817:O880" si="110">IF(J817=1,"A",IF(K817=1,"B",IF(L817=1,"C",IF(M817=1,"D",IF(N817=1,"E","n/a")))))</f>
        <v>n/a</v>
      </c>
      <c r="Q817" s="5"/>
      <c r="R817" s="5"/>
      <c r="S817" s="5"/>
      <c r="U817" s="6"/>
      <c r="V817" s="9" t="str">
        <f t="shared" si="106"/>
        <v/>
      </c>
      <c r="W817" s="9" t="str">
        <f t="shared" si="107"/>
        <v/>
      </c>
      <c r="X817" s="10">
        <f>SUM(V$13:V817)/COUNTA(B$13:B817)</f>
        <v>8.6956521739130436E-3</v>
      </c>
      <c r="Z817" s="5"/>
      <c r="AA817" s="5"/>
      <c r="AC817" s="7"/>
      <c r="AE817" s="54" t="e">
        <f t="shared" si="108"/>
        <v>#N/A</v>
      </c>
      <c r="AF817" s="4" t="e">
        <f t="shared" si="104"/>
        <v>#N/A</v>
      </c>
    </row>
    <row r="818" spans="2:32">
      <c r="B818" s="5">
        <f t="shared" si="109"/>
        <v>806</v>
      </c>
      <c r="C818" s="5"/>
      <c r="E818" s="13"/>
      <c r="F818" s="5"/>
      <c r="G818" s="11">
        <f>IF(ISERROR(AVERAGE(F$13:F818)),"n/a",AVERAGE(F$13:F818))</f>
        <v>117</v>
      </c>
      <c r="H818" s="11">
        <f t="shared" si="105"/>
        <v>117</v>
      </c>
      <c r="J818" s="5"/>
      <c r="K818" s="5"/>
      <c r="L818" s="5"/>
      <c r="M818" s="5"/>
      <c r="N818" s="5"/>
      <c r="O818" s="8" t="str">
        <f t="shared" si="110"/>
        <v>n/a</v>
      </c>
      <c r="Q818" s="5"/>
      <c r="R818" s="5"/>
      <c r="S818" s="5"/>
      <c r="U818" s="6"/>
      <c r="V818" s="9" t="str">
        <f t="shared" si="106"/>
        <v/>
      </c>
      <c r="W818" s="9" t="str">
        <f t="shared" si="107"/>
        <v/>
      </c>
      <c r="X818" s="10">
        <f>SUM(V$13:V818)/COUNTA(B$13:B818)</f>
        <v>8.6848635235732014E-3</v>
      </c>
      <c r="Z818" s="5"/>
      <c r="AA818" s="5"/>
      <c r="AC818" s="7"/>
      <c r="AE818" s="54" t="e">
        <f t="shared" si="108"/>
        <v>#N/A</v>
      </c>
      <c r="AF818" s="4" t="e">
        <f t="shared" si="104"/>
        <v>#N/A</v>
      </c>
    </row>
    <row r="819" spans="2:32">
      <c r="B819" s="5">
        <f t="shared" si="109"/>
        <v>807</v>
      </c>
      <c r="C819" s="5"/>
      <c r="E819" s="13"/>
      <c r="F819" s="5"/>
      <c r="G819" s="11">
        <f>IF(ISERROR(AVERAGE(F$13:F819)),"n/a",AVERAGE(F$13:F819))</f>
        <v>117</v>
      </c>
      <c r="H819" s="11">
        <f t="shared" si="105"/>
        <v>117</v>
      </c>
      <c r="J819" s="5"/>
      <c r="K819" s="5"/>
      <c r="L819" s="5"/>
      <c r="M819" s="5"/>
      <c r="N819" s="5"/>
      <c r="O819" s="8" t="str">
        <f t="shared" si="110"/>
        <v>n/a</v>
      </c>
      <c r="Q819" s="5"/>
      <c r="R819" s="5"/>
      <c r="S819" s="5"/>
      <c r="U819" s="6"/>
      <c r="V819" s="9" t="str">
        <f t="shared" si="106"/>
        <v/>
      </c>
      <c r="W819" s="9" t="str">
        <f t="shared" si="107"/>
        <v/>
      </c>
      <c r="X819" s="10">
        <f>SUM(V$13:V819)/COUNTA(B$13:B819)</f>
        <v>8.6741016109045856E-3</v>
      </c>
      <c r="Z819" s="5"/>
      <c r="AA819" s="5"/>
      <c r="AC819" s="7"/>
      <c r="AE819" s="54" t="e">
        <f t="shared" si="108"/>
        <v>#N/A</v>
      </c>
      <c r="AF819" s="4" t="e">
        <f t="shared" si="104"/>
        <v>#N/A</v>
      </c>
    </row>
    <row r="820" spans="2:32">
      <c r="B820" s="5">
        <f t="shared" si="109"/>
        <v>808</v>
      </c>
      <c r="C820" s="5"/>
      <c r="E820" s="13"/>
      <c r="F820" s="5"/>
      <c r="G820" s="11">
        <f>IF(ISERROR(AVERAGE(F$13:F820)),"n/a",AVERAGE(F$13:F820))</f>
        <v>117</v>
      </c>
      <c r="H820" s="11">
        <f t="shared" si="105"/>
        <v>117</v>
      </c>
      <c r="J820" s="5"/>
      <c r="K820" s="5"/>
      <c r="L820" s="5"/>
      <c r="M820" s="5"/>
      <c r="N820" s="5"/>
      <c r="O820" s="8" t="str">
        <f t="shared" si="110"/>
        <v>n/a</v>
      </c>
      <c r="Q820" s="5"/>
      <c r="R820" s="5"/>
      <c r="S820" s="5"/>
      <c r="U820" s="6"/>
      <c r="V820" s="9" t="str">
        <f t="shared" si="106"/>
        <v/>
      </c>
      <c r="W820" s="9" t="str">
        <f t="shared" si="107"/>
        <v/>
      </c>
      <c r="X820" s="10">
        <f>SUM(V$13:V820)/COUNTA(B$13:B820)</f>
        <v>8.6633663366336641E-3</v>
      </c>
      <c r="Z820" s="5"/>
      <c r="AA820" s="5"/>
      <c r="AC820" s="7"/>
      <c r="AE820" s="54" t="e">
        <f t="shared" si="108"/>
        <v>#N/A</v>
      </c>
      <c r="AF820" s="4" t="e">
        <f t="shared" si="104"/>
        <v>#N/A</v>
      </c>
    </row>
    <row r="821" spans="2:32">
      <c r="B821" s="5">
        <f t="shared" si="109"/>
        <v>809</v>
      </c>
      <c r="C821" s="5"/>
      <c r="E821" s="13"/>
      <c r="F821" s="5"/>
      <c r="G821" s="11">
        <f>IF(ISERROR(AVERAGE(F$13:F821)),"n/a",AVERAGE(F$13:F821))</f>
        <v>117</v>
      </c>
      <c r="H821" s="11">
        <f t="shared" si="105"/>
        <v>117</v>
      </c>
      <c r="J821" s="5"/>
      <c r="K821" s="5"/>
      <c r="L821" s="5"/>
      <c r="M821" s="5"/>
      <c r="N821" s="5"/>
      <c r="O821" s="8" t="str">
        <f t="shared" si="110"/>
        <v>n/a</v>
      </c>
      <c r="Q821" s="5"/>
      <c r="R821" s="5"/>
      <c r="S821" s="5"/>
      <c r="U821" s="6"/>
      <c r="V821" s="9" t="str">
        <f t="shared" si="106"/>
        <v/>
      </c>
      <c r="W821" s="9" t="str">
        <f t="shared" si="107"/>
        <v/>
      </c>
      <c r="X821" s="10">
        <f>SUM(V$13:V821)/COUNTA(B$13:B821)</f>
        <v>8.65265760197775E-3</v>
      </c>
      <c r="Z821" s="5"/>
      <c r="AA821" s="5"/>
      <c r="AC821" s="7"/>
      <c r="AE821" s="54" t="e">
        <f t="shared" si="108"/>
        <v>#N/A</v>
      </c>
      <c r="AF821" s="4" t="e">
        <f t="shared" si="104"/>
        <v>#N/A</v>
      </c>
    </row>
    <row r="822" spans="2:32">
      <c r="B822" s="5">
        <f t="shared" si="109"/>
        <v>810</v>
      </c>
      <c r="C822" s="5"/>
      <c r="E822" s="13"/>
      <c r="F822" s="5"/>
      <c r="G822" s="11">
        <f>IF(ISERROR(AVERAGE(F$13:F822)),"n/a",AVERAGE(F$13:F822))</f>
        <v>117</v>
      </c>
      <c r="H822" s="11">
        <f t="shared" si="105"/>
        <v>117</v>
      </c>
      <c r="J822" s="5"/>
      <c r="K822" s="5"/>
      <c r="L822" s="5"/>
      <c r="M822" s="5"/>
      <c r="N822" s="5"/>
      <c r="O822" s="8" t="str">
        <f t="shared" si="110"/>
        <v>n/a</v>
      </c>
      <c r="Q822" s="5"/>
      <c r="R822" s="5"/>
      <c r="S822" s="5"/>
      <c r="U822" s="6"/>
      <c r="V822" s="9" t="str">
        <f t="shared" si="106"/>
        <v/>
      </c>
      <c r="W822" s="9" t="str">
        <f t="shared" si="107"/>
        <v/>
      </c>
      <c r="X822" s="10">
        <f>SUM(V$13:V822)/COUNTA(B$13:B822)</f>
        <v>8.6419753086419745E-3</v>
      </c>
      <c r="Z822" s="5"/>
      <c r="AA822" s="5"/>
      <c r="AC822" s="7"/>
      <c r="AE822" s="54" t="e">
        <f t="shared" si="108"/>
        <v>#N/A</v>
      </c>
      <c r="AF822" s="4" t="e">
        <f t="shared" si="104"/>
        <v>#N/A</v>
      </c>
    </row>
    <row r="823" spans="2:32">
      <c r="B823" s="5">
        <f t="shared" si="109"/>
        <v>811</v>
      </c>
      <c r="C823" s="5"/>
      <c r="E823" s="13"/>
      <c r="F823" s="5"/>
      <c r="G823" s="11">
        <f>IF(ISERROR(AVERAGE(F$13:F823)),"n/a",AVERAGE(F$13:F823))</f>
        <v>117</v>
      </c>
      <c r="H823" s="11">
        <f t="shared" si="105"/>
        <v>117</v>
      </c>
      <c r="J823" s="5"/>
      <c r="K823" s="5"/>
      <c r="L823" s="5"/>
      <c r="M823" s="5"/>
      <c r="N823" s="5"/>
      <c r="O823" s="8" t="str">
        <f t="shared" si="110"/>
        <v>n/a</v>
      </c>
      <c r="Q823" s="5"/>
      <c r="R823" s="5"/>
      <c r="S823" s="5"/>
      <c r="U823" s="6"/>
      <c r="V823" s="9" t="str">
        <f t="shared" si="106"/>
        <v/>
      </c>
      <c r="W823" s="9" t="str">
        <f t="shared" si="107"/>
        <v/>
      </c>
      <c r="X823" s="10">
        <f>SUM(V$13:V823)/COUNTA(B$13:B823)</f>
        <v>8.6313193588162754E-3</v>
      </c>
      <c r="Z823" s="5"/>
      <c r="AA823" s="5"/>
      <c r="AC823" s="7"/>
      <c r="AE823" s="54" t="e">
        <f t="shared" si="108"/>
        <v>#N/A</v>
      </c>
      <c r="AF823" s="4" t="e">
        <f t="shared" si="104"/>
        <v>#N/A</v>
      </c>
    </row>
    <row r="824" spans="2:32">
      <c r="B824" s="5">
        <f t="shared" si="109"/>
        <v>812</v>
      </c>
      <c r="C824" s="5"/>
      <c r="E824" s="13"/>
      <c r="F824" s="5"/>
      <c r="G824" s="11">
        <f>IF(ISERROR(AVERAGE(F$13:F824)),"n/a",AVERAGE(F$13:F824))</f>
        <v>117</v>
      </c>
      <c r="H824" s="11">
        <f t="shared" si="105"/>
        <v>117</v>
      </c>
      <c r="J824" s="5"/>
      <c r="K824" s="5"/>
      <c r="L824" s="5"/>
      <c r="M824" s="5"/>
      <c r="N824" s="5"/>
      <c r="O824" s="8" t="str">
        <f t="shared" si="110"/>
        <v>n/a</v>
      </c>
      <c r="Q824" s="5"/>
      <c r="R824" s="5"/>
      <c r="S824" s="5"/>
      <c r="U824" s="6"/>
      <c r="V824" s="9" t="str">
        <f t="shared" si="106"/>
        <v/>
      </c>
      <c r="W824" s="9" t="str">
        <f t="shared" si="107"/>
        <v/>
      </c>
      <c r="X824" s="10">
        <f>SUM(V$13:V824)/COUNTA(B$13:B824)</f>
        <v>8.6206896551724137E-3</v>
      </c>
      <c r="Z824" s="5"/>
      <c r="AA824" s="5"/>
      <c r="AC824" s="7"/>
      <c r="AE824" s="54" t="e">
        <f t="shared" si="108"/>
        <v>#N/A</v>
      </c>
      <c r="AF824" s="4" t="e">
        <f t="shared" si="104"/>
        <v>#N/A</v>
      </c>
    </row>
    <row r="825" spans="2:32">
      <c r="B825" s="5">
        <f t="shared" si="109"/>
        <v>813</v>
      </c>
      <c r="C825" s="5"/>
      <c r="E825" s="13"/>
      <c r="F825" s="5"/>
      <c r="G825" s="11">
        <f>IF(ISERROR(AVERAGE(F$13:F825)),"n/a",AVERAGE(F$13:F825))</f>
        <v>117</v>
      </c>
      <c r="H825" s="11">
        <f t="shared" si="105"/>
        <v>117</v>
      </c>
      <c r="J825" s="5"/>
      <c r="K825" s="5"/>
      <c r="L825" s="5"/>
      <c r="M825" s="5"/>
      <c r="N825" s="5"/>
      <c r="O825" s="8" t="str">
        <f t="shared" si="110"/>
        <v>n/a</v>
      </c>
      <c r="Q825" s="5"/>
      <c r="R825" s="5"/>
      <c r="S825" s="5"/>
      <c r="U825" s="6"/>
      <c r="V825" s="9" t="str">
        <f t="shared" si="106"/>
        <v/>
      </c>
      <c r="W825" s="9" t="str">
        <f t="shared" si="107"/>
        <v/>
      </c>
      <c r="X825" s="10">
        <f>SUM(V$13:V825)/COUNTA(B$13:B825)</f>
        <v>8.6100861008610082E-3</v>
      </c>
      <c r="Z825" s="5"/>
      <c r="AA825" s="5"/>
      <c r="AC825" s="7"/>
      <c r="AE825" s="54" t="e">
        <f t="shared" si="108"/>
        <v>#N/A</v>
      </c>
      <c r="AF825" s="4" t="e">
        <f t="shared" si="104"/>
        <v>#N/A</v>
      </c>
    </row>
    <row r="826" spans="2:32">
      <c r="B826" s="5">
        <f t="shared" si="109"/>
        <v>814</v>
      </c>
      <c r="C826" s="5"/>
      <c r="E826" s="13"/>
      <c r="F826" s="5"/>
      <c r="G826" s="11">
        <f>IF(ISERROR(AVERAGE(F$13:F826)),"n/a",AVERAGE(F$13:F826))</f>
        <v>117</v>
      </c>
      <c r="H826" s="11">
        <f t="shared" si="105"/>
        <v>117</v>
      </c>
      <c r="J826" s="5"/>
      <c r="K826" s="5"/>
      <c r="L826" s="5"/>
      <c r="M826" s="5"/>
      <c r="N826" s="5"/>
      <c r="O826" s="8" t="str">
        <f t="shared" si="110"/>
        <v>n/a</v>
      </c>
      <c r="Q826" s="5"/>
      <c r="R826" s="5"/>
      <c r="S826" s="5"/>
      <c r="U826" s="6"/>
      <c r="V826" s="9" t="str">
        <f t="shared" si="106"/>
        <v/>
      </c>
      <c r="W826" s="9" t="str">
        <f t="shared" si="107"/>
        <v/>
      </c>
      <c r="X826" s="10">
        <f>SUM(V$13:V826)/COUNTA(B$13:B826)</f>
        <v>8.5995085995085995E-3</v>
      </c>
      <c r="Z826" s="5"/>
      <c r="AA826" s="5"/>
      <c r="AC826" s="7"/>
      <c r="AE826" s="54" t="e">
        <f t="shared" si="108"/>
        <v>#N/A</v>
      </c>
      <c r="AF826" s="4" t="e">
        <f t="shared" si="104"/>
        <v>#N/A</v>
      </c>
    </row>
    <row r="827" spans="2:32">
      <c r="B827" s="5">
        <f t="shared" si="109"/>
        <v>815</v>
      </c>
      <c r="C827" s="5"/>
      <c r="E827" s="13"/>
      <c r="F827" s="5"/>
      <c r="G827" s="11">
        <f>IF(ISERROR(AVERAGE(F$13:F827)),"n/a",AVERAGE(F$13:F827))</f>
        <v>117</v>
      </c>
      <c r="H827" s="11">
        <f t="shared" si="105"/>
        <v>117</v>
      </c>
      <c r="J827" s="5"/>
      <c r="K827" s="5"/>
      <c r="L827" s="5"/>
      <c r="M827" s="5"/>
      <c r="N827" s="5"/>
      <c r="O827" s="8" t="str">
        <f t="shared" si="110"/>
        <v>n/a</v>
      </c>
      <c r="Q827" s="5"/>
      <c r="R827" s="5"/>
      <c r="S827" s="5"/>
      <c r="U827" s="6"/>
      <c r="V827" s="9" t="str">
        <f t="shared" si="106"/>
        <v/>
      </c>
      <c r="W827" s="9" t="str">
        <f t="shared" si="107"/>
        <v/>
      </c>
      <c r="X827" s="10">
        <f>SUM(V$13:V827)/COUNTA(B$13:B827)</f>
        <v>8.5889570552147246E-3</v>
      </c>
      <c r="Z827" s="5"/>
      <c r="AA827" s="5"/>
      <c r="AC827" s="7"/>
      <c r="AE827" s="54" t="e">
        <f t="shared" si="108"/>
        <v>#N/A</v>
      </c>
      <c r="AF827" s="4" t="e">
        <f t="shared" si="104"/>
        <v>#N/A</v>
      </c>
    </row>
    <row r="828" spans="2:32">
      <c r="B828" s="5">
        <f t="shared" si="109"/>
        <v>816</v>
      </c>
      <c r="C828" s="5"/>
      <c r="E828" s="13"/>
      <c r="F828" s="5"/>
      <c r="G828" s="11">
        <f>IF(ISERROR(AVERAGE(F$13:F828)),"n/a",AVERAGE(F$13:F828))</f>
        <v>117</v>
      </c>
      <c r="H828" s="11">
        <f t="shared" si="105"/>
        <v>117</v>
      </c>
      <c r="J828" s="5"/>
      <c r="K828" s="5"/>
      <c r="L828" s="5"/>
      <c r="M828" s="5"/>
      <c r="N828" s="5"/>
      <c r="O828" s="8" t="str">
        <f t="shared" si="110"/>
        <v>n/a</v>
      </c>
      <c r="Q828" s="5"/>
      <c r="R828" s="5"/>
      <c r="S828" s="5"/>
      <c r="U828" s="6"/>
      <c r="V828" s="9" t="str">
        <f t="shared" si="106"/>
        <v/>
      </c>
      <c r="W828" s="9" t="str">
        <f t="shared" si="107"/>
        <v/>
      </c>
      <c r="X828" s="10">
        <f>SUM(V$13:V828)/COUNTA(B$13:B828)</f>
        <v>8.5784313725490204E-3</v>
      </c>
      <c r="Z828" s="5"/>
      <c r="AA828" s="5"/>
      <c r="AC828" s="7"/>
      <c r="AE828" s="54" t="e">
        <f t="shared" si="108"/>
        <v>#N/A</v>
      </c>
      <c r="AF828" s="4" t="e">
        <f t="shared" si="104"/>
        <v>#N/A</v>
      </c>
    </row>
    <row r="829" spans="2:32">
      <c r="B829" s="5">
        <f t="shared" si="109"/>
        <v>817</v>
      </c>
      <c r="C829" s="5"/>
      <c r="E829" s="13"/>
      <c r="F829" s="5"/>
      <c r="G829" s="11">
        <f>IF(ISERROR(AVERAGE(F$13:F829)),"n/a",AVERAGE(F$13:F829))</f>
        <v>117</v>
      </c>
      <c r="H829" s="11">
        <f t="shared" si="105"/>
        <v>117</v>
      </c>
      <c r="J829" s="5"/>
      <c r="K829" s="5"/>
      <c r="L829" s="5"/>
      <c r="M829" s="5"/>
      <c r="N829" s="5"/>
      <c r="O829" s="8" t="str">
        <f t="shared" si="110"/>
        <v>n/a</v>
      </c>
      <c r="Q829" s="5"/>
      <c r="R829" s="5"/>
      <c r="S829" s="5"/>
      <c r="U829" s="6"/>
      <c r="V829" s="9" t="str">
        <f t="shared" si="106"/>
        <v/>
      </c>
      <c r="W829" s="9" t="str">
        <f t="shared" si="107"/>
        <v/>
      </c>
      <c r="X829" s="10">
        <f>SUM(V$13:V829)/COUNTA(B$13:B829)</f>
        <v>8.5679314565483469E-3</v>
      </c>
      <c r="Z829" s="5"/>
      <c r="AA829" s="5"/>
      <c r="AC829" s="7"/>
      <c r="AE829" s="54" t="e">
        <f t="shared" si="108"/>
        <v>#N/A</v>
      </c>
      <c r="AF829" s="4" t="e">
        <f t="shared" si="104"/>
        <v>#N/A</v>
      </c>
    </row>
    <row r="830" spans="2:32">
      <c r="B830" s="5">
        <f t="shared" si="109"/>
        <v>818</v>
      </c>
      <c r="C830" s="5"/>
      <c r="E830" s="13"/>
      <c r="F830" s="5"/>
      <c r="G830" s="11">
        <f>IF(ISERROR(AVERAGE(F$13:F830)),"n/a",AVERAGE(F$13:F830))</f>
        <v>117</v>
      </c>
      <c r="H830" s="11">
        <f t="shared" si="105"/>
        <v>117</v>
      </c>
      <c r="J830" s="5"/>
      <c r="K830" s="5"/>
      <c r="L830" s="5"/>
      <c r="M830" s="5"/>
      <c r="N830" s="5"/>
      <c r="O830" s="8" t="str">
        <f t="shared" si="110"/>
        <v>n/a</v>
      </c>
      <c r="Q830" s="5"/>
      <c r="R830" s="5"/>
      <c r="S830" s="5"/>
      <c r="U830" s="6"/>
      <c r="V830" s="9" t="str">
        <f t="shared" si="106"/>
        <v/>
      </c>
      <c r="W830" s="9" t="str">
        <f t="shared" si="107"/>
        <v/>
      </c>
      <c r="X830" s="10">
        <f>SUM(V$13:V830)/COUNTA(B$13:B830)</f>
        <v>8.557457212713936E-3</v>
      </c>
      <c r="Z830" s="5"/>
      <c r="AA830" s="5"/>
      <c r="AC830" s="7"/>
      <c r="AE830" s="54" t="e">
        <f t="shared" si="108"/>
        <v>#N/A</v>
      </c>
      <c r="AF830" s="4" t="e">
        <f t="shared" si="104"/>
        <v>#N/A</v>
      </c>
    </row>
    <row r="831" spans="2:32">
      <c r="B831" s="5">
        <f t="shared" si="109"/>
        <v>819</v>
      </c>
      <c r="C831" s="5"/>
      <c r="E831" s="13"/>
      <c r="F831" s="5"/>
      <c r="G831" s="11">
        <f>IF(ISERROR(AVERAGE(F$13:F831)),"n/a",AVERAGE(F$13:F831))</f>
        <v>117</v>
      </c>
      <c r="H831" s="11">
        <f t="shared" si="105"/>
        <v>117</v>
      </c>
      <c r="J831" s="5"/>
      <c r="K831" s="5"/>
      <c r="L831" s="5"/>
      <c r="M831" s="5"/>
      <c r="N831" s="5"/>
      <c r="O831" s="8" t="str">
        <f t="shared" si="110"/>
        <v>n/a</v>
      </c>
      <c r="Q831" s="5"/>
      <c r="R831" s="5"/>
      <c r="S831" s="5"/>
      <c r="U831" s="6"/>
      <c r="V831" s="9" t="str">
        <f t="shared" si="106"/>
        <v/>
      </c>
      <c r="W831" s="9" t="str">
        <f t="shared" si="107"/>
        <v/>
      </c>
      <c r="X831" s="10">
        <f>SUM(V$13:V831)/COUNTA(B$13:B831)</f>
        <v>8.5470085470085479E-3</v>
      </c>
      <c r="Z831" s="5"/>
      <c r="AA831" s="5"/>
      <c r="AC831" s="7"/>
      <c r="AE831" s="54" t="e">
        <f t="shared" si="108"/>
        <v>#N/A</v>
      </c>
      <c r="AF831" s="4" t="e">
        <f t="shared" si="104"/>
        <v>#N/A</v>
      </c>
    </row>
    <row r="832" spans="2:32">
      <c r="B832" s="5">
        <f t="shared" si="109"/>
        <v>820</v>
      </c>
      <c r="C832" s="5"/>
      <c r="E832" s="13"/>
      <c r="F832" s="5"/>
      <c r="G832" s="11">
        <f>IF(ISERROR(AVERAGE(F$13:F832)),"n/a",AVERAGE(F$13:F832))</f>
        <v>117</v>
      </c>
      <c r="H832" s="11">
        <f t="shared" si="105"/>
        <v>117</v>
      </c>
      <c r="J832" s="5"/>
      <c r="K832" s="5"/>
      <c r="L832" s="5"/>
      <c r="M832" s="5"/>
      <c r="N832" s="5"/>
      <c r="O832" s="8" t="str">
        <f t="shared" si="110"/>
        <v>n/a</v>
      </c>
      <c r="Q832" s="5"/>
      <c r="R832" s="5"/>
      <c r="S832" s="5"/>
      <c r="U832" s="6"/>
      <c r="V832" s="9" t="str">
        <f t="shared" si="106"/>
        <v/>
      </c>
      <c r="W832" s="9" t="str">
        <f t="shared" si="107"/>
        <v/>
      </c>
      <c r="X832" s="10">
        <f>SUM(V$13:V832)/COUNTA(B$13:B832)</f>
        <v>8.5365853658536592E-3</v>
      </c>
      <c r="Z832" s="5"/>
      <c r="AA832" s="5"/>
      <c r="AC832" s="7"/>
      <c r="AE832" s="54" t="e">
        <f t="shared" si="108"/>
        <v>#N/A</v>
      </c>
      <c r="AF832" s="4" t="e">
        <f t="shared" si="104"/>
        <v>#N/A</v>
      </c>
    </row>
    <row r="833" spans="2:32">
      <c r="B833" s="5">
        <f t="shared" si="109"/>
        <v>821</v>
      </c>
      <c r="C833" s="5"/>
      <c r="E833" s="13"/>
      <c r="F833" s="5"/>
      <c r="G833" s="11">
        <f>IF(ISERROR(AVERAGE(F$13:F833)),"n/a",AVERAGE(F$13:F833))</f>
        <v>117</v>
      </c>
      <c r="H833" s="11">
        <f t="shared" si="105"/>
        <v>117</v>
      </c>
      <c r="J833" s="5"/>
      <c r="K833" s="5"/>
      <c r="L833" s="5"/>
      <c r="M833" s="5"/>
      <c r="N833" s="5"/>
      <c r="O833" s="8" t="str">
        <f t="shared" si="110"/>
        <v>n/a</v>
      </c>
      <c r="Q833" s="5"/>
      <c r="R833" s="5"/>
      <c r="S833" s="5"/>
      <c r="U833" s="6"/>
      <c r="V833" s="9" t="str">
        <f t="shared" si="106"/>
        <v/>
      </c>
      <c r="W833" s="9" t="str">
        <f t="shared" si="107"/>
        <v/>
      </c>
      <c r="X833" s="10">
        <f>SUM(V$13:V833)/COUNTA(B$13:B833)</f>
        <v>8.5261875761266752E-3</v>
      </c>
      <c r="Z833" s="5"/>
      <c r="AA833" s="5"/>
      <c r="AC833" s="7"/>
      <c r="AE833" s="54" t="e">
        <f t="shared" si="108"/>
        <v>#N/A</v>
      </c>
      <c r="AF833" s="4" t="e">
        <f t="shared" si="104"/>
        <v>#N/A</v>
      </c>
    </row>
    <row r="834" spans="2:32">
      <c r="B834" s="5">
        <f t="shared" si="109"/>
        <v>822</v>
      </c>
      <c r="C834" s="5"/>
      <c r="E834" s="13"/>
      <c r="F834" s="5"/>
      <c r="G834" s="11">
        <f>IF(ISERROR(AVERAGE(F$13:F834)),"n/a",AVERAGE(F$13:F834))</f>
        <v>117</v>
      </c>
      <c r="H834" s="11">
        <f t="shared" si="105"/>
        <v>117</v>
      </c>
      <c r="J834" s="5"/>
      <c r="K834" s="5"/>
      <c r="L834" s="5"/>
      <c r="M834" s="5"/>
      <c r="N834" s="5"/>
      <c r="O834" s="8" t="str">
        <f t="shared" si="110"/>
        <v>n/a</v>
      </c>
      <c r="Q834" s="5"/>
      <c r="R834" s="5"/>
      <c r="S834" s="5"/>
      <c r="U834" s="6"/>
      <c r="V834" s="9" t="str">
        <f t="shared" si="106"/>
        <v/>
      </c>
      <c r="W834" s="9" t="str">
        <f t="shared" si="107"/>
        <v/>
      </c>
      <c r="X834" s="10">
        <f>SUM(V$13:V834)/COUNTA(B$13:B834)</f>
        <v>8.5158150851581509E-3</v>
      </c>
      <c r="Z834" s="5"/>
      <c r="AA834" s="5"/>
      <c r="AC834" s="7"/>
      <c r="AE834" s="54" t="e">
        <f t="shared" si="108"/>
        <v>#N/A</v>
      </c>
      <c r="AF834" s="4" t="e">
        <f t="shared" si="104"/>
        <v>#N/A</v>
      </c>
    </row>
    <row r="835" spans="2:32">
      <c r="B835" s="5">
        <f t="shared" si="109"/>
        <v>823</v>
      </c>
      <c r="C835" s="5"/>
      <c r="E835" s="13"/>
      <c r="F835" s="5"/>
      <c r="G835" s="11">
        <f>IF(ISERROR(AVERAGE(F$13:F835)),"n/a",AVERAGE(F$13:F835))</f>
        <v>117</v>
      </c>
      <c r="H835" s="11">
        <f t="shared" si="105"/>
        <v>117</v>
      </c>
      <c r="J835" s="5"/>
      <c r="K835" s="5"/>
      <c r="L835" s="5"/>
      <c r="M835" s="5"/>
      <c r="N835" s="5"/>
      <c r="O835" s="8" t="str">
        <f t="shared" si="110"/>
        <v>n/a</v>
      </c>
      <c r="Q835" s="5"/>
      <c r="R835" s="5"/>
      <c r="S835" s="5"/>
      <c r="U835" s="6"/>
      <c r="V835" s="9" t="str">
        <f t="shared" si="106"/>
        <v/>
      </c>
      <c r="W835" s="9" t="str">
        <f t="shared" si="107"/>
        <v/>
      </c>
      <c r="X835" s="10">
        <f>SUM(V$13:V835)/COUNTA(B$13:B835)</f>
        <v>8.5054678007290396E-3</v>
      </c>
      <c r="Z835" s="5"/>
      <c r="AA835" s="5"/>
      <c r="AC835" s="7"/>
      <c r="AE835" s="54" t="e">
        <f t="shared" si="108"/>
        <v>#N/A</v>
      </c>
      <c r="AF835" s="4" t="e">
        <f t="shared" si="104"/>
        <v>#N/A</v>
      </c>
    </row>
    <row r="836" spans="2:32">
      <c r="B836" s="5">
        <f t="shared" si="109"/>
        <v>824</v>
      </c>
      <c r="C836" s="5"/>
      <c r="E836" s="13"/>
      <c r="F836" s="5"/>
      <c r="G836" s="11">
        <f>IF(ISERROR(AVERAGE(F$13:F836)),"n/a",AVERAGE(F$13:F836))</f>
        <v>117</v>
      </c>
      <c r="H836" s="11">
        <f t="shared" si="105"/>
        <v>117</v>
      </c>
      <c r="J836" s="5"/>
      <c r="K836" s="5"/>
      <c r="L836" s="5"/>
      <c r="M836" s="5"/>
      <c r="N836" s="5"/>
      <c r="O836" s="8" t="str">
        <f t="shared" si="110"/>
        <v>n/a</v>
      </c>
      <c r="Q836" s="5"/>
      <c r="R836" s="5"/>
      <c r="S836" s="5"/>
      <c r="U836" s="6"/>
      <c r="V836" s="9" t="str">
        <f t="shared" si="106"/>
        <v/>
      </c>
      <c r="W836" s="9" t="str">
        <f t="shared" si="107"/>
        <v/>
      </c>
      <c r="X836" s="10">
        <f>SUM(V$13:V836)/COUNTA(B$13:B836)</f>
        <v>8.4951456310679609E-3</v>
      </c>
      <c r="Z836" s="5"/>
      <c r="AA836" s="5"/>
      <c r="AC836" s="7"/>
      <c r="AE836" s="54" t="e">
        <f t="shared" si="108"/>
        <v>#N/A</v>
      </c>
      <c r="AF836" s="4" t="e">
        <f t="shared" si="104"/>
        <v>#N/A</v>
      </c>
    </row>
    <row r="837" spans="2:32">
      <c r="B837" s="5">
        <f t="shared" si="109"/>
        <v>825</v>
      </c>
      <c r="C837" s="5"/>
      <c r="E837" s="13"/>
      <c r="F837" s="5"/>
      <c r="G837" s="11">
        <f>IF(ISERROR(AVERAGE(F$13:F837)),"n/a",AVERAGE(F$13:F837))</f>
        <v>117</v>
      </c>
      <c r="H837" s="11">
        <f t="shared" si="105"/>
        <v>117</v>
      </c>
      <c r="J837" s="5"/>
      <c r="K837" s="5"/>
      <c r="L837" s="5"/>
      <c r="M837" s="5"/>
      <c r="N837" s="5"/>
      <c r="O837" s="8" t="str">
        <f t="shared" si="110"/>
        <v>n/a</v>
      </c>
      <c r="Q837" s="5"/>
      <c r="R837" s="5"/>
      <c r="S837" s="5"/>
      <c r="U837" s="6"/>
      <c r="V837" s="9" t="str">
        <f t="shared" si="106"/>
        <v/>
      </c>
      <c r="W837" s="9" t="str">
        <f t="shared" si="107"/>
        <v/>
      </c>
      <c r="X837" s="10">
        <f>SUM(V$13:V837)/COUNTA(B$13:B837)</f>
        <v>8.4848484848484857E-3</v>
      </c>
      <c r="Z837" s="5"/>
      <c r="AA837" s="5"/>
      <c r="AC837" s="7"/>
      <c r="AE837" s="54" t="e">
        <f t="shared" si="108"/>
        <v>#N/A</v>
      </c>
      <c r="AF837" s="4" t="e">
        <f t="shared" si="104"/>
        <v>#N/A</v>
      </c>
    </row>
    <row r="838" spans="2:32">
      <c r="B838" s="5">
        <f t="shared" si="109"/>
        <v>826</v>
      </c>
      <c r="C838" s="5"/>
      <c r="E838" s="13"/>
      <c r="F838" s="5"/>
      <c r="G838" s="11">
        <f>IF(ISERROR(AVERAGE(F$13:F838)),"n/a",AVERAGE(F$13:F838))</f>
        <v>117</v>
      </c>
      <c r="H838" s="11">
        <f t="shared" si="105"/>
        <v>117</v>
      </c>
      <c r="J838" s="5"/>
      <c r="K838" s="5"/>
      <c r="L838" s="5"/>
      <c r="M838" s="5"/>
      <c r="N838" s="5"/>
      <c r="O838" s="8" t="str">
        <f t="shared" si="110"/>
        <v>n/a</v>
      </c>
      <c r="Q838" s="5"/>
      <c r="R838" s="5"/>
      <c r="S838" s="5"/>
      <c r="U838" s="6"/>
      <c r="V838" s="9" t="str">
        <f t="shared" si="106"/>
        <v/>
      </c>
      <c r="W838" s="9" t="str">
        <f t="shared" si="107"/>
        <v/>
      </c>
      <c r="X838" s="10">
        <f>SUM(V$13:V838)/COUNTA(B$13:B838)</f>
        <v>8.4745762711864406E-3</v>
      </c>
      <c r="Z838" s="5"/>
      <c r="AA838" s="5"/>
      <c r="AC838" s="7"/>
      <c r="AE838" s="54" t="e">
        <f t="shared" si="108"/>
        <v>#N/A</v>
      </c>
      <c r="AF838" s="4" t="e">
        <f t="shared" si="104"/>
        <v>#N/A</v>
      </c>
    </row>
    <row r="839" spans="2:32">
      <c r="B839" s="5">
        <f t="shared" si="109"/>
        <v>827</v>
      </c>
      <c r="C839" s="5"/>
      <c r="E839" s="13"/>
      <c r="F839" s="5"/>
      <c r="G839" s="11">
        <f>IF(ISERROR(AVERAGE(F$13:F839)),"n/a",AVERAGE(F$13:F839))</f>
        <v>117</v>
      </c>
      <c r="H839" s="11">
        <f t="shared" si="105"/>
        <v>117</v>
      </c>
      <c r="J839" s="5"/>
      <c r="K839" s="5"/>
      <c r="L839" s="5"/>
      <c r="M839" s="5"/>
      <c r="N839" s="5"/>
      <c r="O839" s="8" t="str">
        <f t="shared" si="110"/>
        <v>n/a</v>
      </c>
      <c r="Q839" s="5"/>
      <c r="R839" s="5"/>
      <c r="S839" s="5"/>
      <c r="U839" s="6"/>
      <c r="V839" s="9" t="str">
        <f t="shared" si="106"/>
        <v/>
      </c>
      <c r="W839" s="9" t="str">
        <f t="shared" si="107"/>
        <v/>
      </c>
      <c r="X839" s="10">
        <f>SUM(V$13:V839)/COUNTA(B$13:B839)</f>
        <v>8.4643288996372433E-3</v>
      </c>
      <c r="Z839" s="5"/>
      <c r="AA839" s="5"/>
      <c r="AC839" s="7"/>
      <c r="AE839" s="54" t="e">
        <f t="shared" si="108"/>
        <v>#N/A</v>
      </c>
      <c r="AF839" s="4" t="e">
        <f t="shared" si="104"/>
        <v>#N/A</v>
      </c>
    </row>
    <row r="840" spans="2:32">
      <c r="B840" s="5">
        <f t="shared" si="109"/>
        <v>828</v>
      </c>
      <c r="C840" s="5"/>
      <c r="E840" s="13"/>
      <c r="F840" s="5"/>
      <c r="G840" s="11">
        <f>IF(ISERROR(AVERAGE(F$13:F840)),"n/a",AVERAGE(F$13:F840))</f>
        <v>117</v>
      </c>
      <c r="H840" s="11">
        <f t="shared" si="105"/>
        <v>117</v>
      </c>
      <c r="J840" s="5"/>
      <c r="K840" s="5"/>
      <c r="L840" s="5"/>
      <c r="M840" s="5"/>
      <c r="N840" s="5"/>
      <c r="O840" s="8" t="str">
        <f t="shared" si="110"/>
        <v>n/a</v>
      </c>
      <c r="Q840" s="5"/>
      <c r="R840" s="5"/>
      <c r="S840" s="5"/>
      <c r="U840" s="6"/>
      <c r="V840" s="9" t="str">
        <f t="shared" si="106"/>
        <v/>
      </c>
      <c r="W840" s="9" t="str">
        <f t="shared" si="107"/>
        <v/>
      </c>
      <c r="X840" s="10">
        <f>SUM(V$13:V840)/COUNTA(B$13:B840)</f>
        <v>8.4541062801932361E-3</v>
      </c>
      <c r="Z840" s="5"/>
      <c r="AA840" s="5"/>
      <c r="AC840" s="7"/>
      <c r="AE840" s="54" t="e">
        <f t="shared" si="108"/>
        <v>#N/A</v>
      </c>
      <c r="AF840" s="4" t="e">
        <f t="shared" si="104"/>
        <v>#N/A</v>
      </c>
    </row>
    <row r="841" spans="2:32">
      <c r="B841" s="5">
        <f t="shared" si="109"/>
        <v>829</v>
      </c>
      <c r="C841" s="5"/>
      <c r="E841" s="13"/>
      <c r="F841" s="5"/>
      <c r="G841" s="11">
        <f>IF(ISERROR(AVERAGE(F$13:F841)),"n/a",AVERAGE(F$13:F841))</f>
        <v>117</v>
      </c>
      <c r="H841" s="11">
        <f t="shared" si="105"/>
        <v>117</v>
      </c>
      <c r="J841" s="5"/>
      <c r="K841" s="5"/>
      <c r="L841" s="5"/>
      <c r="M841" s="5"/>
      <c r="N841" s="5"/>
      <c r="O841" s="8" t="str">
        <f t="shared" si="110"/>
        <v>n/a</v>
      </c>
      <c r="Q841" s="5"/>
      <c r="R841" s="5"/>
      <c r="S841" s="5"/>
      <c r="U841" s="6"/>
      <c r="V841" s="9" t="str">
        <f t="shared" si="106"/>
        <v/>
      </c>
      <c r="W841" s="9" t="str">
        <f t="shared" si="107"/>
        <v/>
      </c>
      <c r="X841" s="10">
        <f>SUM(V$13:V841)/COUNTA(B$13:B841)</f>
        <v>8.4439083232810616E-3</v>
      </c>
      <c r="Z841" s="5"/>
      <c r="AA841" s="5"/>
      <c r="AC841" s="7"/>
      <c r="AE841" s="54" t="e">
        <f t="shared" si="108"/>
        <v>#N/A</v>
      </c>
      <c r="AF841" s="4" t="e">
        <f t="shared" si="104"/>
        <v>#N/A</v>
      </c>
    </row>
    <row r="842" spans="2:32">
      <c r="B842" s="5">
        <f t="shared" si="109"/>
        <v>830</v>
      </c>
      <c r="C842" s="5"/>
      <c r="E842" s="13"/>
      <c r="F842" s="5"/>
      <c r="G842" s="11">
        <f>IF(ISERROR(AVERAGE(F$13:F842)),"n/a",AVERAGE(F$13:F842))</f>
        <v>117</v>
      </c>
      <c r="H842" s="11">
        <f t="shared" si="105"/>
        <v>117</v>
      </c>
      <c r="J842" s="5"/>
      <c r="K842" s="5"/>
      <c r="L842" s="5"/>
      <c r="M842" s="5"/>
      <c r="N842" s="5"/>
      <c r="O842" s="8" t="str">
        <f t="shared" si="110"/>
        <v>n/a</v>
      </c>
      <c r="Q842" s="5"/>
      <c r="R842" s="5"/>
      <c r="S842" s="5"/>
      <c r="U842" s="6"/>
      <c r="V842" s="9" t="str">
        <f t="shared" si="106"/>
        <v/>
      </c>
      <c r="W842" s="9" t="str">
        <f t="shared" si="107"/>
        <v/>
      </c>
      <c r="X842" s="10">
        <f>SUM(V$13:V842)/COUNTA(B$13:B842)</f>
        <v>8.4337349397590362E-3</v>
      </c>
      <c r="Z842" s="5"/>
      <c r="AA842" s="5"/>
      <c r="AC842" s="7"/>
      <c r="AE842" s="54" t="e">
        <f t="shared" si="108"/>
        <v>#N/A</v>
      </c>
      <c r="AF842" s="4" t="e">
        <f t="shared" si="104"/>
        <v>#N/A</v>
      </c>
    </row>
    <row r="843" spans="2:32">
      <c r="B843" s="5">
        <f t="shared" si="109"/>
        <v>831</v>
      </c>
      <c r="C843" s="5"/>
      <c r="E843" s="13"/>
      <c r="F843" s="5"/>
      <c r="G843" s="11">
        <f>IF(ISERROR(AVERAGE(F$13:F843)),"n/a",AVERAGE(F$13:F843))</f>
        <v>117</v>
      </c>
      <c r="H843" s="11">
        <f t="shared" si="105"/>
        <v>117</v>
      </c>
      <c r="J843" s="5"/>
      <c r="K843" s="5"/>
      <c r="L843" s="5"/>
      <c r="M843" s="5"/>
      <c r="N843" s="5"/>
      <c r="O843" s="8" t="str">
        <f t="shared" si="110"/>
        <v>n/a</v>
      </c>
      <c r="Q843" s="5"/>
      <c r="R843" s="5"/>
      <c r="S843" s="5"/>
      <c r="U843" s="6"/>
      <c r="V843" s="9" t="str">
        <f t="shared" si="106"/>
        <v/>
      </c>
      <c r="W843" s="9" t="str">
        <f t="shared" si="107"/>
        <v/>
      </c>
      <c r="X843" s="10">
        <f>SUM(V$13:V843)/COUNTA(B$13:B843)</f>
        <v>8.4235860409145602E-3</v>
      </c>
      <c r="Z843" s="5"/>
      <c r="AA843" s="5"/>
      <c r="AC843" s="7"/>
      <c r="AE843" s="54" t="e">
        <f t="shared" si="108"/>
        <v>#N/A</v>
      </c>
      <c r="AF843" s="4" t="e">
        <f t="shared" si="104"/>
        <v>#N/A</v>
      </c>
    </row>
    <row r="844" spans="2:32">
      <c r="B844" s="5">
        <f t="shared" si="109"/>
        <v>832</v>
      </c>
      <c r="C844" s="5"/>
      <c r="E844" s="13"/>
      <c r="F844" s="5"/>
      <c r="G844" s="11">
        <f>IF(ISERROR(AVERAGE(F$13:F844)),"n/a",AVERAGE(F$13:F844))</f>
        <v>117</v>
      </c>
      <c r="H844" s="11">
        <f t="shared" si="105"/>
        <v>117</v>
      </c>
      <c r="J844" s="5"/>
      <c r="K844" s="5"/>
      <c r="L844" s="5"/>
      <c r="M844" s="5"/>
      <c r="N844" s="5"/>
      <c r="O844" s="8" t="str">
        <f t="shared" si="110"/>
        <v>n/a</v>
      </c>
      <c r="Q844" s="5"/>
      <c r="R844" s="5"/>
      <c r="S844" s="5"/>
      <c r="U844" s="6"/>
      <c r="V844" s="9" t="str">
        <f t="shared" si="106"/>
        <v/>
      </c>
      <c r="W844" s="9" t="str">
        <f t="shared" si="107"/>
        <v/>
      </c>
      <c r="X844" s="10">
        <f>SUM(V$13:V844)/COUNTA(B$13:B844)</f>
        <v>8.4134615384615381E-3</v>
      </c>
      <c r="Z844" s="5"/>
      <c r="AA844" s="5"/>
      <c r="AC844" s="7"/>
      <c r="AE844" s="54" t="e">
        <f t="shared" si="108"/>
        <v>#N/A</v>
      </c>
      <c r="AF844" s="4" t="e">
        <f t="shared" si="104"/>
        <v>#N/A</v>
      </c>
    </row>
    <row r="845" spans="2:32">
      <c r="B845" s="5">
        <f t="shared" si="109"/>
        <v>833</v>
      </c>
      <c r="C845" s="5"/>
      <c r="E845" s="13"/>
      <c r="F845" s="5"/>
      <c r="G845" s="11">
        <f>IF(ISERROR(AVERAGE(F$13:F845)),"n/a",AVERAGE(F$13:F845))</f>
        <v>117</v>
      </c>
      <c r="H845" s="11">
        <f t="shared" si="105"/>
        <v>117</v>
      </c>
      <c r="J845" s="5"/>
      <c r="K845" s="5"/>
      <c r="L845" s="5"/>
      <c r="M845" s="5"/>
      <c r="N845" s="5"/>
      <c r="O845" s="8" t="str">
        <f t="shared" si="110"/>
        <v>n/a</v>
      </c>
      <c r="Q845" s="5"/>
      <c r="R845" s="5"/>
      <c r="S845" s="5"/>
      <c r="U845" s="6"/>
      <c r="V845" s="9" t="str">
        <f t="shared" si="106"/>
        <v/>
      </c>
      <c r="W845" s="9" t="str">
        <f t="shared" si="107"/>
        <v/>
      </c>
      <c r="X845" s="10">
        <f>SUM(V$13:V845)/COUNTA(B$13:B845)</f>
        <v>8.4033613445378148E-3</v>
      </c>
      <c r="Z845" s="5"/>
      <c r="AA845" s="5"/>
      <c r="AC845" s="7"/>
      <c r="AE845" s="54" t="e">
        <f t="shared" si="108"/>
        <v>#N/A</v>
      </c>
      <c r="AF845" s="4" t="e">
        <f t="shared" ref="AF845:AF908" si="111">HLOOKUP(C845,$K$6:$O$7,2,FALSE)</f>
        <v>#N/A</v>
      </c>
    </row>
    <row r="846" spans="2:32">
      <c r="B846" s="5">
        <f t="shared" si="109"/>
        <v>834</v>
      </c>
      <c r="C846" s="5"/>
      <c r="E846" s="13"/>
      <c r="F846" s="5"/>
      <c r="G846" s="11">
        <f>IF(ISERROR(AVERAGE(F$13:F846)),"n/a",AVERAGE(F$13:F846))</f>
        <v>117</v>
      </c>
      <c r="H846" s="11">
        <f t="shared" ref="H846:H909" si="112">G846</f>
        <v>117</v>
      </c>
      <c r="J846" s="5"/>
      <c r="K846" s="5"/>
      <c r="L846" s="5"/>
      <c r="M846" s="5"/>
      <c r="N846" s="5"/>
      <c r="O846" s="8" t="str">
        <f t="shared" si="110"/>
        <v>n/a</v>
      </c>
      <c r="Q846" s="5"/>
      <c r="R846" s="5"/>
      <c r="S846" s="5"/>
      <c r="U846" s="6"/>
      <c r="V846" s="9" t="str">
        <f t="shared" ref="V846:V909" si="113">IF(O846="n/a","",IF(O846=U846,1,""))</f>
        <v/>
      </c>
      <c r="W846" s="9" t="str">
        <f t="shared" ref="W846:W909" si="114">IF(O846="n/a","",IF(O846&lt;&gt;U846,1,""))</f>
        <v/>
      </c>
      <c r="X846" s="10">
        <f>SUM(V$13:V846)/COUNTA(B$13:B846)</f>
        <v>8.3932853717026377E-3</v>
      </c>
      <c r="Z846" s="5"/>
      <c r="AA846" s="5"/>
      <c r="AC846" s="7"/>
      <c r="AE846" s="54" t="e">
        <f t="shared" ref="AE846:AE909" si="115">+IF($F$4=0,0,IF(W846=1,1,IF(OR(R846*$F$8=1,S846*$F$9=1,F846&gt;=AF846),2,0)))</f>
        <v>#N/A</v>
      </c>
      <c r="AF846" s="4" t="e">
        <f t="shared" si="111"/>
        <v>#N/A</v>
      </c>
    </row>
    <row r="847" spans="2:32">
      <c r="B847" s="5">
        <f t="shared" si="109"/>
        <v>835</v>
      </c>
      <c r="C847" s="5"/>
      <c r="E847" s="13"/>
      <c r="F847" s="5"/>
      <c r="G847" s="11">
        <f>IF(ISERROR(AVERAGE(F$13:F847)),"n/a",AVERAGE(F$13:F847))</f>
        <v>117</v>
      </c>
      <c r="H847" s="11">
        <f t="shared" si="112"/>
        <v>117</v>
      </c>
      <c r="J847" s="5"/>
      <c r="K847" s="5"/>
      <c r="L847" s="5"/>
      <c r="M847" s="5"/>
      <c r="N847" s="5"/>
      <c r="O847" s="8" t="str">
        <f t="shared" si="110"/>
        <v>n/a</v>
      </c>
      <c r="Q847" s="5"/>
      <c r="R847" s="5"/>
      <c r="S847" s="5"/>
      <c r="U847" s="6"/>
      <c r="V847" s="9" t="str">
        <f t="shared" si="113"/>
        <v/>
      </c>
      <c r="W847" s="9" t="str">
        <f t="shared" si="114"/>
        <v/>
      </c>
      <c r="X847" s="10">
        <f>SUM(V$13:V847)/COUNTA(B$13:B847)</f>
        <v>8.3832335329341312E-3</v>
      </c>
      <c r="Z847" s="5"/>
      <c r="AA847" s="5"/>
      <c r="AC847" s="7"/>
      <c r="AE847" s="54" t="e">
        <f t="shared" si="115"/>
        <v>#N/A</v>
      </c>
      <c r="AF847" s="4" t="e">
        <f t="shared" si="111"/>
        <v>#N/A</v>
      </c>
    </row>
    <row r="848" spans="2:32">
      <c r="B848" s="5">
        <f t="shared" si="109"/>
        <v>836</v>
      </c>
      <c r="C848" s="5"/>
      <c r="E848" s="13"/>
      <c r="F848" s="5"/>
      <c r="G848" s="11">
        <f>IF(ISERROR(AVERAGE(F$13:F848)),"n/a",AVERAGE(F$13:F848))</f>
        <v>117</v>
      </c>
      <c r="H848" s="11">
        <f t="shared" si="112"/>
        <v>117</v>
      </c>
      <c r="J848" s="5"/>
      <c r="K848" s="5"/>
      <c r="L848" s="5"/>
      <c r="M848" s="5"/>
      <c r="N848" s="5"/>
      <c r="O848" s="8" t="str">
        <f t="shared" si="110"/>
        <v>n/a</v>
      </c>
      <c r="Q848" s="5"/>
      <c r="R848" s="5"/>
      <c r="S848" s="5"/>
      <c r="U848" s="6"/>
      <c r="V848" s="9" t="str">
        <f t="shared" si="113"/>
        <v/>
      </c>
      <c r="W848" s="9" t="str">
        <f t="shared" si="114"/>
        <v/>
      </c>
      <c r="X848" s="10">
        <f>SUM(V$13:V848)/COUNTA(B$13:B848)</f>
        <v>8.3732057416267946E-3</v>
      </c>
      <c r="Z848" s="5"/>
      <c r="AA848" s="5"/>
      <c r="AC848" s="7"/>
      <c r="AE848" s="54" t="e">
        <f t="shared" si="115"/>
        <v>#N/A</v>
      </c>
      <c r="AF848" s="4" t="e">
        <f t="shared" si="111"/>
        <v>#N/A</v>
      </c>
    </row>
    <row r="849" spans="2:32">
      <c r="B849" s="5">
        <f t="shared" si="109"/>
        <v>837</v>
      </c>
      <c r="C849" s="5"/>
      <c r="E849" s="13"/>
      <c r="F849" s="5"/>
      <c r="G849" s="11">
        <f>IF(ISERROR(AVERAGE(F$13:F849)),"n/a",AVERAGE(F$13:F849))</f>
        <v>117</v>
      </c>
      <c r="H849" s="11">
        <f t="shared" si="112"/>
        <v>117</v>
      </c>
      <c r="J849" s="5"/>
      <c r="K849" s="5"/>
      <c r="L849" s="5"/>
      <c r="M849" s="5"/>
      <c r="N849" s="5"/>
      <c r="O849" s="8" t="str">
        <f t="shared" si="110"/>
        <v>n/a</v>
      </c>
      <c r="Q849" s="5"/>
      <c r="R849" s="5"/>
      <c r="S849" s="5"/>
      <c r="U849" s="6"/>
      <c r="V849" s="9" t="str">
        <f t="shared" si="113"/>
        <v/>
      </c>
      <c r="W849" s="9" t="str">
        <f t="shared" si="114"/>
        <v/>
      </c>
      <c r="X849" s="10">
        <f>SUM(V$13:V849)/COUNTA(B$13:B849)</f>
        <v>8.3632019115890081E-3</v>
      </c>
      <c r="Z849" s="5"/>
      <c r="AA849" s="5"/>
      <c r="AC849" s="7"/>
      <c r="AE849" s="54" t="e">
        <f t="shared" si="115"/>
        <v>#N/A</v>
      </c>
      <c r="AF849" s="4" t="e">
        <f t="shared" si="111"/>
        <v>#N/A</v>
      </c>
    </row>
    <row r="850" spans="2:32">
      <c r="B850" s="5">
        <f t="shared" si="109"/>
        <v>838</v>
      </c>
      <c r="C850" s="5"/>
      <c r="E850" s="13"/>
      <c r="F850" s="5"/>
      <c r="G850" s="11">
        <f>IF(ISERROR(AVERAGE(F$13:F850)),"n/a",AVERAGE(F$13:F850))</f>
        <v>117</v>
      </c>
      <c r="H850" s="11">
        <f t="shared" si="112"/>
        <v>117</v>
      </c>
      <c r="J850" s="5"/>
      <c r="K850" s="5"/>
      <c r="L850" s="5"/>
      <c r="M850" s="5"/>
      <c r="N850" s="5"/>
      <c r="O850" s="8" t="str">
        <f t="shared" si="110"/>
        <v>n/a</v>
      </c>
      <c r="Q850" s="5"/>
      <c r="R850" s="5"/>
      <c r="S850" s="5"/>
      <c r="U850" s="6"/>
      <c r="V850" s="9" t="str">
        <f t="shared" si="113"/>
        <v/>
      </c>
      <c r="W850" s="9" t="str">
        <f t="shared" si="114"/>
        <v/>
      </c>
      <c r="X850" s="10">
        <f>SUM(V$13:V850)/COUNTA(B$13:B850)</f>
        <v>8.3532219570405727E-3</v>
      </c>
      <c r="Z850" s="5"/>
      <c r="AA850" s="5"/>
      <c r="AC850" s="7"/>
      <c r="AE850" s="54" t="e">
        <f t="shared" si="115"/>
        <v>#N/A</v>
      </c>
      <c r="AF850" s="4" t="e">
        <f t="shared" si="111"/>
        <v>#N/A</v>
      </c>
    </row>
    <row r="851" spans="2:32">
      <c r="B851" s="5">
        <f t="shared" ref="B851:B914" si="116">+B850+1</f>
        <v>839</v>
      </c>
      <c r="C851" s="5"/>
      <c r="E851" s="13"/>
      <c r="F851" s="5"/>
      <c r="G851" s="11">
        <f>IF(ISERROR(AVERAGE(F$13:F851)),"n/a",AVERAGE(F$13:F851))</f>
        <v>117</v>
      </c>
      <c r="H851" s="11">
        <f t="shared" si="112"/>
        <v>117</v>
      </c>
      <c r="J851" s="5"/>
      <c r="K851" s="5"/>
      <c r="L851" s="5"/>
      <c r="M851" s="5"/>
      <c r="N851" s="5"/>
      <c r="O851" s="8" t="str">
        <f t="shared" si="110"/>
        <v>n/a</v>
      </c>
      <c r="Q851" s="5"/>
      <c r="R851" s="5"/>
      <c r="S851" s="5"/>
      <c r="U851" s="6"/>
      <c r="V851" s="9" t="str">
        <f t="shared" si="113"/>
        <v/>
      </c>
      <c r="W851" s="9" t="str">
        <f t="shared" si="114"/>
        <v/>
      </c>
      <c r="X851" s="10">
        <f>SUM(V$13:V851)/COUNTA(B$13:B851)</f>
        <v>8.3432657926102508E-3</v>
      </c>
      <c r="Z851" s="5"/>
      <c r="AA851" s="5"/>
      <c r="AC851" s="7"/>
      <c r="AE851" s="54" t="e">
        <f t="shared" si="115"/>
        <v>#N/A</v>
      </c>
      <c r="AF851" s="4" t="e">
        <f t="shared" si="111"/>
        <v>#N/A</v>
      </c>
    </row>
    <row r="852" spans="2:32">
      <c r="B852" s="5">
        <f t="shared" si="116"/>
        <v>840</v>
      </c>
      <c r="C852" s="5"/>
      <c r="E852" s="13"/>
      <c r="F852" s="5"/>
      <c r="G852" s="11">
        <f>IF(ISERROR(AVERAGE(F$13:F852)),"n/a",AVERAGE(F$13:F852))</f>
        <v>117</v>
      </c>
      <c r="H852" s="11">
        <f t="shared" si="112"/>
        <v>117</v>
      </c>
      <c r="J852" s="5"/>
      <c r="K852" s="5"/>
      <c r="L852" s="5"/>
      <c r="M852" s="5"/>
      <c r="N852" s="5"/>
      <c r="O852" s="8" t="str">
        <f t="shared" si="110"/>
        <v>n/a</v>
      </c>
      <c r="Q852" s="5"/>
      <c r="R852" s="5"/>
      <c r="S852" s="5"/>
      <c r="U852" s="6"/>
      <c r="V852" s="9" t="str">
        <f t="shared" si="113"/>
        <v/>
      </c>
      <c r="W852" s="9" t="str">
        <f t="shared" si="114"/>
        <v/>
      </c>
      <c r="X852" s="10">
        <f>SUM(V$13:V852)/COUNTA(B$13:B852)</f>
        <v>8.3333333333333332E-3</v>
      </c>
      <c r="Z852" s="5"/>
      <c r="AA852" s="5"/>
      <c r="AC852" s="7"/>
      <c r="AE852" s="54" t="e">
        <f t="shared" si="115"/>
        <v>#N/A</v>
      </c>
      <c r="AF852" s="4" t="e">
        <f t="shared" si="111"/>
        <v>#N/A</v>
      </c>
    </row>
    <row r="853" spans="2:32">
      <c r="B853" s="5">
        <f t="shared" si="116"/>
        <v>841</v>
      </c>
      <c r="C853" s="5"/>
      <c r="E853" s="13"/>
      <c r="F853" s="5"/>
      <c r="G853" s="11">
        <f>IF(ISERROR(AVERAGE(F$13:F853)),"n/a",AVERAGE(F$13:F853))</f>
        <v>117</v>
      </c>
      <c r="H853" s="11">
        <f t="shared" si="112"/>
        <v>117</v>
      </c>
      <c r="J853" s="5"/>
      <c r="K853" s="5"/>
      <c r="L853" s="5"/>
      <c r="M853" s="5"/>
      <c r="N853" s="5"/>
      <c r="O853" s="8" t="str">
        <f t="shared" si="110"/>
        <v>n/a</v>
      </c>
      <c r="Q853" s="5"/>
      <c r="R853" s="5"/>
      <c r="S853" s="5"/>
      <c r="U853" s="6"/>
      <c r="V853" s="9" t="str">
        <f t="shared" si="113"/>
        <v/>
      </c>
      <c r="W853" s="9" t="str">
        <f t="shared" si="114"/>
        <v/>
      </c>
      <c r="X853" s="10">
        <f>SUM(V$13:V853)/COUNTA(B$13:B853)</f>
        <v>8.3234244946492272E-3</v>
      </c>
      <c r="Z853" s="5"/>
      <c r="AA853" s="5"/>
      <c r="AC853" s="7"/>
      <c r="AE853" s="54" t="e">
        <f t="shared" si="115"/>
        <v>#N/A</v>
      </c>
      <c r="AF853" s="4" t="e">
        <f t="shared" si="111"/>
        <v>#N/A</v>
      </c>
    </row>
    <row r="854" spans="2:32">
      <c r="B854" s="5">
        <f t="shared" si="116"/>
        <v>842</v>
      </c>
      <c r="C854" s="5"/>
      <c r="E854" s="13"/>
      <c r="F854" s="5"/>
      <c r="G854" s="11">
        <f>IF(ISERROR(AVERAGE(F$13:F854)),"n/a",AVERAGE(F$13:F854))</f>
        <v>117</v>
      </c>
      <c r="H854" s="11">
        <f t="shared" si="112"/>
        <v>117</v>
      </c>
      <c r="J854" s="5"/>
      <c r="K854" s="5"/>
      <c r="L854" s="5"/>
      <c r="M854" s="5"/>
      <c r="N854" s="5"/>
      <c r="O854" s="8" t="str">
        <f t="shared" si="110"/>
        <v>n/a</v>
      </c>
      <c r="Q854" s="5"/>
      <c r="R854" s="5"/>
      <c r="S854" s="5"/>
      <c r="U854" s="6"/>
      <c r="V854" s="9" t="str">
        <f t="shared" si="113"/>
        <v/>
      </c>
      <c r="W854" s="9" t="str">
        <f t="shared" si="114"/>
        <v/>
      </c>
      <c r="X854" s="10">
        <f>SUM(V$13:V854)/COUNTA(B$13:B854)</f>
        <v>8.3135391923990498E-3</v>
      </c>
      <c r="Z854" s="5"/>
      <c r="AA854" s="5"/>
      <c r="AC854" s="7"/>
      <c r="AE854" s="54" t="e">
        <f t="shared" si="115"/>
        <v>#N/A</v>
      </c>
      <c r="AF854" s="4" t="e">
        <f t="shared" si="111"/>
        <v>#N/A</v>
      </c>
    </row>
    <row r="855" spans="2:32">
      <c r="B855" s="5">
        <f t="shared" si="116"/>
        <v>843</v>
      </c>
      <c r="C855" s="5"/>
      <c r="E855" s="13"/>
      <c r="F855" s="5"/>
      <c r="G855" s="11">
        <f>IF(ISERROR(AVERAGE(F$13:F855)),"n/a",AVERAGE(F$13:F855))</f>
        <v>117</v>
      </c>
      <c r="H855" s="11">
        <f t="shared" si="112"/>
        <v>117</v>
      </c>
      <c r="J855" s="5"/>
      <c r="K855" s="5"/>
      <c r="L855" s="5"/>
      <c r="M855" s="5"/>
      <c r="N855" s="5"/>
      <c r="O855" s="8" t="str">
        <f t="shared" si="110"/>
        <v>n/a</v>
      </c>
      <c r="Q855" s="5"/>
      <c r="R855" s="5"/>
      <c r="S855" s="5"/>
      <c r="U855" s="6"/>
      <c r="V855" s="9" t="str">
        <f t="shared" si="113"/>
        <v/>
      </c>
      <c r="W855" s="9" t="str">
        <f t="shared" si="114"/>
        <v/>
      </c>
      <c r="X855" s="10">
        <f>SUM(V$13:V855)/COUNTA(B$13:B855)</f>
        <v>8.3036773428232496E-3</v>
      </c>
      <c r="Z855" s="5"/>
      <c r="AA855" s="5"/>
      <c r="AC855" s="7"/>
      <c r="AE855" s="54" t="e">
        <f t="shared" si="115"/>
        <v>#N/A</v>
      </c>
      <c r="AF855" s="4" t="e">
        <f t="shared" si="111"/>
        <v>#N/A</v>
      </c>
    </row>
    <row r="856" spans="2:32">
      <c r="B856" s="5">
        <f t="shared" si="116"/>
        <v>844</v>
      </c>
      <c r="C856" s="5"/>
      <c r="E856" s="13"/>
      <c r="F856" s="5"/>
      <c r="G856" s="11">
        <f>IF(ISERROR(AVERAGE(F$13:F856)),"n/a",AVERAGE(F$13:F856))</f>
        <v>117</v>
      </c>
      <c r="H856" s="11">
        <f t="shared" si="112"/>
        <v>117</v>
      </c>
      <c r="J856" s="5"/>
      <c r="K856" s="5"/>
      <c r="L856" s="5"/>
      <c r="M856" s="5"/>
      <c r="N856" s="5"/>
      <c r="O856" s="8" t="str">
        <f t="shared" si="110"/>
        <v>n/a</v>
      </c>
      <c r="Q856" s="5"/>
      <c r="R856" s="5"/>
      <c r="S856" s="5"/>
      <c r="U856" s="6"/>
      <c r="V856" s="9" t="str">
        <f t="shared" si="113"/>
        <v/>
      </c>
      <c r="W856" s="9" t="str">
        <f t="shared" si="114"/>
        <v/>
      </c>
      <c r="X856" s="10">
        <f>SUM(V$13:V856)/COUNTA(B$13:B856)</f>
        <v>8.2938388625592423E-3</v>
      </c>
      <c r="Z856" s="5"/>
      <c r="AA856" s="5"/>
      <c r="AC856" s="7"/>
      <c r="AE856" s="54" t="e">
        <f t="shared" si="115"/>
        <v>#N/A</v>
      </c>
      <c r="AF856" s="4" t="e">
        <f t="shared" si="111"/>
        <v>#N/A</v>
      </c>
    </row>
    <row r="857" spans="2:32">
      <c r="B857" s="5">
        <f t="shared" si="116"/>
        <v>845</v>
      </c>
      <c r="C857" s="5"/>
      <c r="E857" s="13"/>
      <c r="F857" s="5"/>
      <c r="G857" s="11">
        <f>IF(ISERROR(AVERAGE(F$13:F857)),"n/a",AVERAGE(F$13:F857))</f>
        <v>117</v>
      </c>
      <c r="H857" s="11">
        <f t="shared" si="112"/>
        <v>117</v>
      </c>
      <c r="J857" s="5"/>
      <c r="K857" s="5"/>
      <c r="L857" s="5"/>
      <c r="M857" s="5"/>
      <c r="N857" s="5"/>
      <c r="O857" s="8" t="str">
        <f t="shared" si="110"/>
        <v>n/a</v>
      </c>
      <c r="Q857" s="5"/>
      <c r="R857" s="5"/>
      <c r="S857" s="5"/>
      <c r="U857" s="6"/>
      <c r="V857" s="9" t="str">
        <f t="shared" si="113"/>
        <v/>
      </c>
      <c r="W857" s="9" t="str">
        <f t="shared" si="114"/>
        <v/>
      </c>
      <c r="X857" s="10">
        <f>SUM(V$13:V857)/COUNTA(B$13:B857)</f>
        <v>8.2840236686390536E-3</v>
      </c>
      <c r="Z857" s="5"/>
      <c r="AA857" s="5"/>
      <c r="AC857" s="7"/>
      <c r="AE857" s="54" t="e">
        <f t="shared" si="115"/>
        <v>#N/A</v>
      </c>
      <c r="AF857" s="4" t="e">
        <f t="shared" si="111"/>
        <v>#N/A</v>
      </c>
    </row>
    <row r="858" spans="2:32">
      <c r="B858" s="5">
        <f t="shared" si="116"/>
        <v>846</v>
      </c>
      <c r="C858" s="5"/>
      <c r="E858" s="13"/>
      <c r="F858" s="5"/>
      <c r="G858" s="11">
        <f>IF(ISERROR(AVERAGE(F$13:F858)),"n/a",AVERAGE(F$13:F858))</f>
        <v>117</v>
      </c>
      <c r="H858" s="11">
        <f t="shared" si="112"/>
        <v>117</v>
      </c>
      <c r="J858" s="5"/>
      <c r="K858" s="5"/>
      <c r="L858" s="5"/>
      <c r="M858" s="5"/>
      <c r="N858" s="5"/>
      <c r="O858" s="8" t="str">
        <f t="shared" si="110"/>
        <v>n/a</v>
      </c>
      <c r="Q858" s="5"/>
      <c r="R858" s="5"/>
      <c r="S858" s="5"/>
      <c r="U858" s="6"/>
      <c r="V858" s="9" t="str">
        <f t="shared" si="113"/>
        <v/>
      </c>
      <c r="W858" s="9" t="str">
        <f t="shared" si="114"/>
        <v/>
      </c>
      <c r="X858" s="10">
        <f>SUM(V$13:V858)/COUNTA(B$13:B858)</f>
        <v>8.2742316784869974E-3</v>
      </c>
      <c r="Z858" s="5"/>
      <c r="AA858" s="5"/>
      <c r="AC858" s="7"/>
      <c r="AE858" s="54" t="e">
        <f t="shared" si="115"/>
        <v>#N/A</v>
      </c>
      <c r="AF858" s="4" t="e">
        <f t="shared" si="111"/>
        <v>#N/A</v>
      </c>
    </row>
    <row r="859" spans="2:32">
      <c r="B859" s="5">
        <f t="shared" si="116"/>
        <v>847</v>
      </c>
      <c r="C859" s="5"/>
      <c r="E859" s="13"/>
      <c r="F859" s="5"/>
      <c r="G859" s="11">
        <f>IF(ISERROR(AVERAGE(F$13:F859)),"n/a",AVERAGE(F$13:F859))</f>
        <v>117</v>
      </c>
      <c r="H859" s="11">
        <f t="shared" si="112"/>
        <v>117</v>
      </c>
      <c r="J859" s="5"/>
      <c r="K859" s="5"/>
      <c r="L859" s="5"/>
      <c r="M859" s="5"/>
      <c r="N859" s="5"/>
      <c r="O859" s="8" t="str">
        <f t="shared" si="110"/>
        <v>n/a</v>
      </c>
      <c r="Q859" s="5"/>
      <c r="R859" s="5"/>
      <c r="S859" s="5"/>
      <c r="U859" s="6"/>
      <c r="V859" s="9" t="str">
        <f t="shared" si="113"/>
        <v/>
      </c>
      <c r="W859" s="9" t="str">
        <f t="shared" si="114"/>
        <v/>
      </c>
      <c r="X859" s="10">
        <f>SUM(V$13:V859)/COUNTA(B$13:B859)</f>
        <v>8.2644628099173556E-3</v>
      </c>
      <c r="Z859" s="5"/>
      <c r="AA859" s="5"/>
      <c r="AC859" s="7"/>
      <c r="AE859" s="54" t="e">
        <f t="shared" si="115"/>
        <v>#N/A</v>
      </c>
      <c r="AF859" s="4" t="e">
        <f t="shared" si="111"/>
        <v>#N/A</v>
      </c>
    </row>
    <row r="860" spans="2:32">
      <c r="B860" s="5">
        <f t="shared" si="116"/>
        <v>848</v>
      </c>
      <c r="C860" s="5"/>
      <c r="E860" s="13"/>
      <c r="F860" s="5"/>
      <c r="G860" s="11">
        <f>IF(ISERROR(AVERAGE(F$13:F860)),"n/a",AVERAGE(F$13:F860))</f>
        <v>117</v>
      </c>
      <c r="H860" s="11">
        <f t="shared" si="112"/>
        <v>117</v>
      </c>
      <c r="J860" s="5"/>
      <c r="K860" s="5"/>
      <c r="L860" s="5"/>
      <c r="M860" s="5"/>
      <c r="N860" s="5"/>
      <c r="O860" s="8" t="str">
        <f t="shared" si="110"/>
        <v>n/a</v>
      </c>
      <c r="Q860" s="5"/>
      <c r="R860" s="5"/>
      <c r="S860" s="5"/>
      <c r="U860" s="6"/>
      <c r="V860" s="9" t="str">
        <f t="shared" si="113"/>
        <v/>
      </c>
      <c r="W860" s="9" t="str">
        <f t="shared" si="114"/>
        <v/>
      </c>
      <c r="X860" s="10">
        <f>SUM(V$13:V860)/COUNTA(B$13:B860)</f>
        <v>8.2547169811320754E-3</v>
      </c>
      <c r="Z860" s="5"/>
      <c r="AA860" s="5"/>
      <c r="AC860" s="7"/>
      <c r="AE860" s="54" t="e">
        <f t="shared" si="115"/>
        <v>#N/A</v>
      </c>
      <c r="AF860" s="4" t="e">
        <f t="shared" si="111"/>
        <v>#N/A</v>
      </c>
    </row>
    <row r="861" spans="2:32">
      <c r="B861" s="5">
        <f t="shared" si="116"/>
        <v>849</v>
      </c>
      <c r="C861" s="5"/>
      <c r="E861" s="13"/>
      <c r="F861" s="5"/>
      <c r="G861" s="11">
        <f>IF(ISERROR(AVERAGE(F$13:F861)),"n/a",AVERAGE(F$13:F861))</f>
        <v>117</v>
      </c>
      <c r="H861" s="11">
        <f t="shared" si="112"/>
        <v>117</v>
      </c>
      <c r="J861" s="5"/>
      <c r="K861" s="5"/>
      <c r="L861" s="5"/>
      <c r="M861" s="5"/>
      <c r="N861" s="5"/>
      <c r="O861" s="8" t="str">
        <f t="shared" si="110"/>
        <v>n/a</v>
      </c>
      <c r="Q861" s="5"/>
      <c r="R861" s="5"/>
      <c r="S861" s="5"/>
      <c r="U861" s="6"/>
      <c r="V861" s="9" t="str">
        <f t="shared" si="113"/>
        <v/>
      </c>
      <c r="W861" s="9" t="str">
        <f t="shared" si="114"/>
        <v/>
      </c>
      <c r="X861" s="10">
        <f>SUM(V$13:V861)/COUNTA(B$13:B861)</f>
        <v>8.2449941107184919E-3</v>
      </c>
      <c r="Z861" s="5"/>
      <c r="AA861" s="5"/>
      <c r="AC861" s="7"/>
      <c r="AE861" s="54" t="e">
        <f t="shared" si="115"/>
        <v>#N/A</v>
      </c>
      <c r="AF861" s="4" t="e">
        <f t="shared" si="111"/>
        <v>#N/A</v>
      </c>
    </row>
    <row r="862" spans="2:32">
      <c r="B862" s="5">
        <f t="shared" si="116"/>
        <v>850</v>
      </c>
      <c r="C862" s="5"/>
      <c r="E862" s="13"/>
      <c r="F862" s="5"/>
      <c r="G862" s="11">
        <f>IF(ISERROR(AVERAGE(F$13:F862)),"n/a",AVERAGE(F$13:F862))</f>
        <v>117</v>
      </c>
      <c r="H862" s="11">
        <f t="shared" si="112"/>
        <v>117</v>
      </c>
      <c r="J862" s="5"/>
      <c r="K862" s="5"/>
      <c r="L862" s="5"/>
      <c r="M862" s="5"/>
      <c r="N862" s="5"/>
      <c r="O862" s="8" t="str">
        <f t="shared" si="110"/>
        <v>n/a</v>
      </c>
      <c r="Q862" s="5"/>
      <c r="R862" s="5"/>
      <c r="S862" s="5"/>
      <c r="U862" s="6"/>
      <c r="V862" s="9" t="str">
        <f t="shared" si="113"/>
        <v/>
      </c>
      <c r="W862" s="9" t="str">
        <f t="shared" si="114"/>
        <v/>
      </c>
      <c r="X862" s="10">
        <f>SUM(V$13:V862)/COUNTA(B$13:B862)</f>
        <v>8.2352941176470594E-3</v>
      </c>
      <c r="Z862" s="5"/>
      <c r="AA862" s="5"/>
      <c r="AC862" s="7"/>
      <c r="AE862" s="54" t="e">
        <f t="shared" si="115"/>
        <v>#N/A</v>
      </c>
      <c r="AF862" s="4" t="e">
        <f t="shared" si="111"/>
        <v>#N/A</v>
      </c>
    </row>
    <row r="863" spans="2:32">
      <c r="B863" s="5">
        <f t="shared" si="116"/>
        <v>851</v>
      </c>
      <c r="C863" s="5"/>
      <c r="E863" s="13"/>
      <c r="F863" s="5"/>
      <c r="G863" s="11">
        <f>IF(ISERROR(AVERAGE(F$13:F863)),"n/a",AVERAGE(F$13:F863))</f>
        <v>117</v>
      </c>
      <c r="H863" s="11">
        <f t="shared" si="112"/>
        <v>117</v>
      </c>
      <c r="J863" s="5"/>
      <c r="K863" s="5"/>
      <c r="L863" s="5"/>
      <c r="M863" s="5"/>
      <c r="N863" s="5"/>
      <c r="O863" s="8" t="str">
        <f t="shared" si="110"/>
        <v>n/a</v>
      </c>
      <c r="Q863" s="5"/>
      <c r="R863" s="5"/>
      <c r="S863" s="5"/>
      <c r="U863" s="6"/>
      <c r="V863" s="9" t="str">
        <f t="shared" si="113"/>
        <v/>
      </c>
      <c r="W863" s="9" t="str">
        <f t="shared" si="114"/>
        <v/>
      </c>
      <c r="X863" s="10">
        <f>SUM(V$13:V863)/COUNTA(B$13:B863)</f>
        <v>8.2256169212690956E-3</v>
      </c>
      <c r="Z863" s="5"/>
      <c r="AA863" s="5"/>
      <c r="AC863" s="7"/>
      <c r="AE863" s="54" t="e">
        <f t="shared" si="115"/>
        <v>#N/A</v>
      </c>
      <c r="AF863" s="4" t="e">
        <f t="shared" si="111"/>
        <v>#N/A</v>
      </c>
    </row>
    <row r="864" spans="2:32">
      <c r="B864" s="5">
        <f t="shared" si="116"/>
        <v>852</v>
      </c>
      <c r="C864" s="5"/>
      <c r="E864" s="13"/>
      <c r="F864" s="5"/>
      <c r="G864" s="11">
        <f>IF(ISERROR(AVERAGE(F$13:F864)),"n/a",AVERAGE(F$13:F864))</f>
        <v>117</v>
      </c>
      <c r="H864" s="11">
        <f t="shared" si="112"/>
        <v>117</v>
      </c>
      <c r="J864" s="5"/>
      <c r="K864" s="5"/>
      <c r="L864" s="5"/>
      <c r="M864" s="5"/>
      <c r="N864" s="5"/>
      <c r="O864" s="8" t="str">
        <f t="shared" si="110"/>
        <v>n/a</v>
      </c>
      <c r="Q864" s="5"/>
      <c r="R864" s="5"/>
      <c r="S864" s="5"/>
      <c r="U864" s="6"/>
      <c r="V864" s="9" t="str">
        <f t="shared" si="113"/>
        <v/>
      </c>
      <c r="W864" s="9" t="str">
        <f t="shared" si="114"/>
        <v/>
      </c>
      <c r="X864" s="10">
        <f>SUM(V$13:V864)/COUNTA(B$13:B864)</f>
        <v>8.2159624413145546E-3</v>
      </c>
      <c r="Z864" s="5"/>
      <c r="AA864" s="5"/>
      <c r="AC864" s="7"/>
      <c r="AE864" s="54" t="e">
        <f t="shared" si="115"/>
        <v>#N/A</v>
      </c>
      <c r="AF864" s="4" t="e">
        <f t="shared" si="111"/>
        <v>#N/A</v>
      </c>
    </row>
    <row r="865" spans="2:32">
      <c r="B865" s="5">
        <f t="shared" si="116"/>
        <v>853</v>
      </c>
      <c r="C865" s="5"/>
      <c r="E865" s="13"/>
      <c r="F865" s="5"/>
      <c r="G865" s="11">
        <f>IF(ISERROR(AVERAGE(F$13:F865)),"n/a",AVERAGE(F$13:F865))</f>
        <v>117</v>
      </c>
      <c r="H865" s="11">
        <f t="shared" si="112"/>
        <v>117</v>
      </c>
      <c r="J865" s="5"/>
      <c r="K865" s="5"/>
      <c r="L865" s="5"/>
      <c r="M865" s="5"/>
      <c r="N865" s="5"/>
      <c r="O865" s="8" t="str">
        <f t="shared" si="110"/>
        <v>n/a</v>
      </c>
      <c r="Q865" s="5"/>
      <c r="R865" s="5"/>
      <c r="S865" s="5"/>
      <c r="U865" s="6"/>
      <c r="V865" s="9" t="str">
        <f t="shared" si="113"/>
        <v/>
      </c>
      <c r="W865" s="9" t="str">
        <f t="shared" si="114"/>
        <v/>
      </c>
      <c r="X865" s="10">
        <f>SUM(V$13:V865)/COUNTA(B$13:B865)</f>
        <v>8.2063305978898014E-3</v>
      </c>
      <c r="Z865" s="5"/>
      <c r="AA865" s="5"/>
      <c r="AC865" s="7"/>
      <c r="AE865" s="54" t="e">
        <f t="shared" si="115"/>
        <v>#N/A</v>
      </c>
      <c r="AF865" s="4" t="e">
        <f t="shared" si="111"/>
        <v>#N/A</v>
      </c>
    </row>
    <row r="866" spans="2:32">
      <c r="B866" s="5">
        <f t="shared" si="116"/>
        <v>854</v>
      </c>
      <c r="C866" s="5"/>
      <c r="E866" s="13"/>
      <c r="F866" s="5"/>
      <c r="G866" s="11">
        <f>IF(ISERROR(AVERAGE(F$13:F866)),"n/a",AVERAGE(F$13:F866))</f>
        <v>117</v>
      </c>
      <c r="H866" s="11">
        <f t="shared" si="112"/>
        <v>117</v>
      </c>
      <c r="J866" s="5"/>
      <c r="K866" s="5"/>
      <c r="L866" s="5"/>
      <c r="M866" s="5"/>
      <c r="N866" s="5"/>
      <c r="O866" s="8" t="str">
        <f t="shared" si="110"/>
        <v>n/a</v>
      </c>
      <c r="Q866" s="5"/>
      <c r="R866" s="5"/>
      <c r="S866" s="5"/>
      <c r="U866" s="6"/>
      <c r="V866" s="9" t="str">
        <f t="shared" si="113"/>
        <v/>
      </c>
      <c r="W866" s="9" t="str">
        <f t="shared" si="114"/>
        <v/>
      </c>
      <c r="X866" s="10">
        <f>SUM(V$13:V866)/COUNTA(B$13:B866)</f>
        <v>8.1967213114754103E-3</v>
      </c>
      <c r="Z866" s="5"/>
      <c r="AA866" s="5"/>
      <c r="AC866" s="7"/>
      <c r="AE866" s="54" t="e">
        <f t="shared" si="115"/>
        <v>#N/A</v>
      </c>
      <c r="AF866" s="4" t="e">
        <f t="shared" si="111"/>
        <v>#N/A</v>
      </c>
    </row>
    <row r="867" spans="2:32">
      <c r="B867" s="5">
        <f t="shared" si="116"/>
        <v>855</v>
      </c>
      <c r="C867" s="5"/>
      <c r="E867" s="13"/>
      <c r="F867" s="5"/>
      <c r="G867" s="11">
        <f>IF(ISERROR(AVERAGE(F$13:F867)),"n/a",AVERAGE(F$13:F867))</f>
        <v>117</v>
      </c>
      <c r="H867" s="11">
        <f t="shared" si="112"/>
        <v>117</v>
      </c>
      <c r="J867" s="5"/>
      <c r="K867" s="5"/>
      <c r="L867" s="5"/>
      <c r="M867" s="5"/>
      <c r="N867" s="5"/>
      <c r="O867" s="8" t="str">
        <f t="shared" si="110"/>
        <v>n/a</v>
      </c>
      <c r="Q867" s="5"/>
      <c r="R867" s="5"/>
      <c r="S867" s="5"/>
      <c r="U867" s="6"/>
      <c r="V867" s="9" t="str">
        <f t="shared" si="113"/>
        <v/>
      </c>
      <c r="W867" s="9" t="str">
        <f t="shared" si="114"/>
        <v/>
      </c>
      <c r="X867" s="10">
        <f>SUM(V$13:V867)/COUNTA(B$13:B867)</f>
        <v>8.1871345029239772E-3</v>
      </c>
      <c r="Z867" s="5"/>
      <c r="AA867" s="5"/>
      <c r="AC867" s="7"/>
      <c r="AE867" s="54" t="e">
        <f t="shared" si="115"/>
        <v>#N/A</v>
      </c>
      <c r="AF867" s="4" t="e">
        <f t="shared" si="111"/>
        <v>#N/A</v>
      </c>
    </row>
    <row r="868" spans="2:32">
      <c r="B868" s="5">
        <f t="shared" si="116"/>
        <v>856</v>
      </c>
      <c r="C868" s="5"/>
      <c r="E868" s="13"/>
      <c r="F868" s="5"/>
      <c r="G868" s="11">
        <f>IF(ISERROR(AVERAGE(F$13:F868)),"n/a",AVERAGE(F$13:F868))</f>
        <v>117</v>
      </c>
      <c r="H868" s="11">
        <f t="shared" si="112"/>
        <v>117</v>
      </c>
      <c r="J868" s="5"/>
      <c r="K868" s="5"/>
      <c r="L868" s="5"/>
      <c r="M868" s="5"/>
      <c r="N868" s="5"/>
      <c r="O868" s="8" t="str">
        <f t="shared" si="110"/>
        <v>n/a</v>
      </c>
      <c r="Q868" s="5"/>
      <c r="R868" s="5"/>
      <c r="S868" s="5"/>
      <c r="U868" s="6"/>
      <c r="V868" s="9" t="str">
        <f t="shared" si="113"/>
        <v/>
      </c>
      <c r="W868" s="9" t="str">
        <f t="shared" si="114"/>
        <v/>
      </c>
      <c r="X868" s="10">
        <f>SUM(V$13:V868)/COUNTA(B$13:B868)</f>
        <v>8.1775700934579431E-3</v>
      </c>
      <c r="Z868" s="5"/>
      <c r="AA868" s="5"/>
      <c r="AC868" s="7"/>
      <c r="AE868" s="54" t="e">
        <f t="shared" si="115"/>
        <v>#N/A</v>
      </c>
      <c r="AF868" s="4" t="e">
        <f t="shared" si="111"/>
        <v>#N/A</v>
      </c>
    </row>
    <row r="869" spans="2:32">
      <c r="B869" s="5">
        <f t="shared" si="116"/>
        <v>857</v>
      </c>
      <c r="C869" s="5"/>
      <c r="E869" s="13"/>
      <c r="F869" s="5"/>
      <c r="G869" s="11">
        <f>IF(ISERROR(AVERAGE(F$13:F869)),"n/a",AVERAGE(F$13:F869))</f>
        <v>117</v>
      </c>
      <c r="H869" s="11">
        <f t="shared" si="112"/>
        <v>117</v>
      </c>
      <c r="J869" s="5"/>
      <c r="K869" s="5"/>
      <c r="L869" s="5"/>
      <c r="M869" s="5"/>
      <c r="N869" s="5"/>
      <c r="O869" s="8" t="str">
        <f t="shared" si="110"/>
        <v>n/a</v>
      </c>
      <c r="Q869" s="5"/>
      <c r="R869" s="5"/>
      <c r="S869" s="5"/>
      <c r="U869" s="6"/>
      <c r="V869" s="9" t="str">
        <f t="shared" si="113"/>
        <v/>
      </c>
      <c r="W869" s="9" t="str">
        <f t="shared" si="114"/>
        <v/>
      </c>
      <c r="X869" s="10">
        <f>SUM(V$13:V869)/COUNTA(B$13:B869)</f>
        <v>8.1680280046674443E-3</v>
      </c>
      <c r="Z869" s="5"/>
      <c r="AA869" s="5"/>
      <c r="AC869" s="7"/>
      <c r="AE869" s="54" t="e">
        <f t="shared" si="115"/>
        <v>#N/A</v>
      </c>
      <c r="AF869" s="4" t="e">
        <f t="shared" si="111"/>
        <v>#N/A</v>
      </c>
    </row>
    <row r="870" spans="2:32">
      <c r="B870" s="5">
        <f t="shared" si="116"/>
        <v>858</v>
      </c>
      <c r="C870" s="5"/>
      <c r="E870" s="13"/>
      <c r="F870" s="5"/>
      <c r="G870" s="11">
        <f>IF(ISERROR(AVERAGE(F$13:F870)),"n/a",AVERAGE(F$13:F870))</f>
        <v>117</v>
      </c>
      <c r="H870" s="11">
        <f t="shared" si="112"/>
        <v>117</v>
      </c>
      <c r="J870" s="5"/>
      <c r="K870" s="5"/>
      <c r="L870" s="5"/>
      <c r="M870" s="5"/>
      <c r="N870" s="5"/>
      <c r="O870" s="8" t="str">
        <f t="shared" si="110"/>
        <v>n/a</v>
      </c>
      <c r="Q870" s="5"/>
      <c r="R870" s="5"/>
      <c r="S870" s="5"/>
      <c r="U870" s="6"/>
      <c r="V870" s="9" t="str">
        <f t="shared" si="113"/>
        <v/>
      </c>
      <c r="W870" s="9" t="str">
        <f t="shared" si="114"/>
        <v/>
      </c>
      <c r="X870" s="10">
        <f>SUM(V$13:V870)/COUNTA(B$13:B870)</f>
        <v>8.1585081585081581E-3</v>
      </c>
      <c r="Z870" s="5"/>
      <c r="AA870" s="5"/>
      <c r="AC870" s="7"/>
      <c r="AE870" s="54" t="e">
        <f t="shared" si="115"/>
        <v>#N/A</v>
      </c>
      <c r="AF870" s="4" t="e">
        <f t="shared" si="111"/>
        <v>#N/A</v>
      </c>
    </row>
    <row r="871" spans="2:32">
      <c r="B871" s="5">
        <f t="shared" si="116"/>
        <v>859</v>
      </c>
      <c r="C871" s="5"/>
      <c r="E871" s="13"/>
      <c r="F871" s="5"/>
      <c r="G871" s="11">
        <f>IF(ISERROR(AVERAGE(F$13:F871)),"n/a",AVERAGE(F$13:F871))</f>
        <v>117</v>
      </c>
      <c r="H871" s="11">
        <f t="shared" si="112"/>
        <v>117</v>
      </c>
      <c r="J871" s="5"/>
      <c r="K871" s="5"/>
      <c r="L871" s="5"/>
      <c r="M871" s="5"/>
      <c r="N871" s="5"/>
      <c r="O871" s="8" t="str">
        <f t="shared" si="110"/>
        <v>n/a</v>
      </c>
      <c r="Q871" s="5"/>
      <c r="R871" s="5"/>
      <c r="S871" s="5"/>
      <c r="U871" s="6"/>
      <c r="V871" s="9" t="str">
        <f t="shared" si="113"/>
        <v/>
      </c>
      <c r="W871" s="9" t="str">
        <f t="shared" si="114"/>
        <v/>
      </c>
      <c r="X871" s="10">
        <f>SUM(V$13:V871)/COUNTA(B$13:B871)</f>
        <v>8.1490104772991845E-3</v>
      </c>
      <c r="Z871" s="5"/>
      <c r="AA871" s="5"/>
      <c r="AC871" s="7"/>
      <c r="AE871" s="54" t="e">
        <f t="shared" si="115"/>
        <v>#N/A</v>
      </c>
      <c r="AF871" s="4" t="e">
        <f t="shared" si="111"/>
        <v>#N/A</v>
      </c>
    </row>
    <row r="872" spans="2:32">
      <c r="B872" s="5">
        <f t="shared" si="116"/>
        <v>860</v>
      </c>
      <c r="C872" s="5"/>
      <c r="E872" s="13"/>
      <c r="F872" s="5"/>
      <c r="G872" s="11">
        <f>IF(ISERROR(AVERAGE(F$13:F872)),"n/a",AVERAGE(F$13:F872))</f>
        <v>117</v>
      </c>
      <c r="H872" s="11">
        <f t="shared" si="112"/>
        <v>117</v>
      </c>
      <c r="J872" s="5"/>
      <c r="K872" s="5"/>
      <c r="L872" s="5"/>
      <c r="M872" s="5"/>
      <c r="N872" s="5"/>
      <c r="O872" s="8" t="str">
        <f t="shared" si="110"/>
        <v>n/a</v>
      </c>
      <c r="Q872" s="5"/>
      <c r="R872" s="5"/>
      <c r="S872" s="5"/>
      <c r="U872" s="6"/>
      <c r="V872" s="9" t="str">
        <f t="shared" si="113"/>
        <v/>
      </c>
      <c r="W872" s="9" t="str">
        <f t="shared" si="114"/>
        <v/>
      </c>
      <c r="X872" s="10">
        <f>SUM(V$13:V872)/COUNTA(B$13:B872)</f>
        <v>8.1395348837209301E-3</v>
      </c>
      <c r="Z872" s="5"/>
      <c r="AA872" s="5"/>
      <c r="AC872" s="7"/>
      <c r="AE872" s="54" t="e">
        <f t="shared" si="115"/>
        <v>#N/A</v>
      </c>
      <c r="AF872" s="4" t="e">
        <f t="shared" si="111"/>
        <v>#N/A</v>
      </c>
    </row>
    <row r="873" spans="2:32">
      <c r="B873" s="5">
        <f t="shared" si="116"/>
        <v>861</v>
      </c>
      <c r="C873" s="5"/>
      <c r="E873" s="13"/>
      <c r="F873" s="5"/>
      <c r="G873" s="11">
        <f>IF(ISERROR(AVERAGE(F$13:F873)),"n/a",AVERAGE(F$13:F873))</f>
        <v>117</v>
      </c>
      <c r="H873" s="11">
        <f t="shared" si="112"/>
        <v>117</v>
      </c>
      <c r="J873" s="5"/>
      <c r="K873" s="5"/>
      <c r="L873" s="5"/>
      <c r="M873" s="5"/>
      <c r="N873" s="5"/>
      <c r="O873" s="8" t="str">
        <f t="shared" si="110"/>
        <v>n/a</v>
      </c>
      <c r="Q873" s="5"/>
      <c r="R873" s="5"/>
      <c r="S873" s="5"/>
      <c r="U873" s="6"/>
      <c r="V873" s="9" t="str">
        <f t="shared" si="113"/>
        <v/>
      </c>
      <c r="W873" s="9" t="str">
        <f t="shared" si="114"/>
        <v/>
      </c>
      <c r="X873" s="10">
        <f>SUM(V$13:V873)/COUNTA(B$13:B873)</f>
        <v>8.130081300813009E-3</v>
      </c>
      <c r="Z873" s="5"/>
      <c r="AA873" s="5"/>
      <c r="AC873" s="7"/>
      <c r="AE873" s="54" t="e">
        <f t="shared" si="115"/>
        <v>#N/A</v>
      </c>
      <c r="AF873" s="4" t="e">
        <f t="shared" si="111"/>
        <v>#N/A</v>
      </c>
    </row>
    <row r="874" spans="2:32">
      <c r="B874" s="5">
        <f t="shared" si="116"/>
        <v>862</v>
      </c>
      <c r="C874" s="5"/>
      <c r="E874" s="13"/>
      <c r="F874" s="5"/>
      <c r="G874" s="11">
        <f>IF(ISERROR(AVERAGE(F$13:F874)),"n/a",AVERAGE(F$13:F874))</f>
        <v>117</v>
      </c>
      <c r="H874" s="11">
        <f t="shared" si="112"/>
        <v>117</v>
      </c>
      <c r="J874" s="5"/>
      <c r="K874" s="5"/>
      <c r="L874" s="5"/>
      <c r="M874" s="5"/>
      <c r="N874" s="5"/>
      <c r="O874" s="8" t="str">
        <f t="shared" si="110"/>
        <v>n/a</v>
      </c>
      <c r="Q874" s="5"/>
      <c r="R874" s="5"/>
      <c r="S874" s="5"/>
      <c r="U874" s="6"/>
      <c r="V874" s="9" t="str">
        <f t="shared" si="113"/>
        <v/>
      </c>
      <c r="W874" s="9" t="str">
        <f t="shared" si="114"/>
        <v/>
      </c>
      <c r="X874" s="10">
        <f>SUM(V$13:V874)/COUNTA(B$13:B874)</f>
        <v>8.1206496519721574E-3</v>
      </c>
      <c r="Z874" s="5"/>
      <c r="AA874" s="5"/>
      <c r="AC874" s="7"/>
      <c r="AE874" s="54" t="e">
        <f t="shared" si="115"/>
        <v>#N/A</v>
      </c>
      <c r="AF874" s="4" t="e">
        <f t="shared" si="111"/>
        <v>#N/A</v>
      </c>
    </row>
    <row r="875" spans="2:32">
      <c r="B875" s="5">
        <f t="shared" si="116"/>
        <v>863</v>
      </c>
      <c r="C875" s="5"/>
      <c r="E875" s="13"/>
      <c r="F875" s="5"/>
      <c r="G875" s="11">
        <f>IF(ISERROR(AVERAGE(F$13:F875)),"n/a",AVERAGE(F$13:F875))</f>
        <v>117</v>
      </c>
      <c r="H875" s="11">
        <f t="shared" si="112"/>
        <v>117</v>
      </c>
      <c r="J875" s="5"/>
      <c r="K875" s="5"/>
      <c r="L875" s="5"/>
      <c r="M875" s="5"/>
      <c r="N875" s="5"/>
      <c r="O875" s="8" t="str">
        <f t="shared" si="110"/>
        <v>n/a</v>
      </c>
      <c r="Q875" s="5"/>
      <c r="R875" s="5"/>
      <c r="S875" s="5"/>
      <c r="U875" s="6"/>
      <c r="V875" s="9" t="str">
        <f t="shared" si="113"/>
        <v/>
      </c>
      <c r="W875" s="9" t="str">
        <f t="shared" si="114"/>
        <v/>
      </c>
      <c r="X875" s="10">
        <f>SUM(V$13:V875)/COUNTA(B$13:B875)</f>
        <v>8.1112398609501733E-3</v>
      </c>
      <c r="Z875" s="5"/>
      <c r="AA875" s="5"/>
      <c r="AC875" s="7"/>
      <c r="AE875" s="54" t="e">
        <f t="shared" si="115"/>
        <v>#N/A</v>
      </c>
      <c r="AF875" s="4" t="e">
        <f t="shared" si="111"/>
        <v>#N/A</v>
      </c>
    </row>
    <row r="876" spans="2:32">
      <c r="B876" s="5">
        <f t="shared" si="116"/>
        <v>864</v>
      </c>
      <c r="C876" s="5"/>
      <c r="E876" s="13"/>
      <c r="F876" s="5"/>
      <c r="G876" s="11">
        <f>IF(ISERROR(AVERAGE(F$13:F876)),"n/a",AVERAGE(F$13:F876))</f>
        <v>117</v>
      </c>
      <c r="H876" s="11">
        <f t="shared" si="112"/>
        <v>117</v>
      </c>
      <c r="J876" s="5"/>
      <c r="K876" s="5"/>
      <c r="L876" s="5"/>
      <c r="M876" s="5"/>
      <c r="N876" s="5"/>
      <c r="O876" s="8" t="str">
        <f t="shared" si="110"/>
        <v>n/a</v>
      </c>
      <c r="Q876" s="5"/>
      <c r="R876" s="5"/>
      <c r="S876" s="5"/>
      <c r="U876" s="6"/>
      <c r="V876" s="9" t="str">
        <f t="shared" si="113"/>
        <v/>
      </c>
      <c r="W876" s="9" t="str">
        <f t="shared" si="114"/>
        <v/>
      </c>
      <c r="X876" s="10">
        <f>SUM(V$13:V876)/COUNTA(B$13:B876)</f>
        <v>8.1018518518518514E-3</v>
      </c>
      <c r="Z876" s="5"/>
      <c r="AA876" s="5"/>
      <c r="AC876" s="7"/>
      <c r="AE876" s="54" t="e">
        <f t="shared" si="115"/>
        <v>#N/A</v>
      </c>
      <c r="AF876" s="4" t="e">
        <f t="shared" si="111"/>
        <v>#N/A</v>
      </c>
    </row>
    <row r="877" spans="2:32">
      <c r="B877" s="5">
        <f t="shared" si="116"/>
        <v>865</v>
      </c>
      <c r="C877" s="5"/>
      <c r="E877" s="13"/>
      <c r="F877" s="5"/>
      <c r="G877" s="11">
        <f>IF(ISERROR(AVERAGE(F$13:F877)),"n/a",AVERAGE(F$13:F877))</f>
        <v>117</v>
      </c>
      <c r="H877" s="11">
        <f t="shared" si="112"/>
        <v>117</v>
      </c>
      <c r="J877" s="5"/>
      <c r="K877" s="5"/>
      <c r="L877" s="5"/>
      <c r="M877" s="5"/>
      <c r="N877" s="5"/>
      <c r="O877" s="8" t="str">
        <f t="shared" si="110"/>
        <v>n/a</v>
      </c>
      <c r="Q877" s="5"/>
      <c r="R877" s="5"/>
      <c r="S877" s="5"/>
      <c r="U877" s="6"/>
      <c r="V877" s="9" t="str">
        <f t="shared" si="113"/>
        <v/>
      </c>
      <c r="W877" s="9" t="str">
        <f t="shared" si="114"/>
        <v/>
      </c>
      <c r="X877" s="10">
        <f>SUM(V$13:V877)/COUNTA(B$13:B877)</f>
        <v>8.0924855491329474E-3</v>
      </c>
      <c r="Z877" s="5"/>
      <c r="AA877" s="5"/>
      <c r="AC877" s="7"/>
      <c r="AE877" s="54" t="e">
        <f t="shared" si="115"/>
        <v>#N/A</v>
      </c>
      <c r="AF877" s="4" t="e">
        <f t="shared" si="111"/>
        <v>#N/A</v>
      </c>
    </row>
    <row r="878" spans="2:32">
      <c r="B878" s="5">
        <f t="shared" si="116"/>
        <v>866</v>
      </c>
      <c r="C878" s="5"/>
      <c r="E878" s="13"/>
      <c r="F878" s="5"/>
      <c r="G878" s="11">
        <f>IF(ISERROR(AVERAGE(F$13:F878)),"n/a",AVERAGE(F$13:F878))</f>
        <v>117</v>
      </c>
      <c r="H878" s="11">
        <f t="shared" si="112"/>
        <v>117</v>
      </c>
      <c r="J878" s="5"/>
      <c r="K878" s="5"/>
      <c r="L878" s="5"/>
      <c r="M878" s="5"/>
      <c r="N878" s="5"/>
      <c r="O878" s="8" t="str">
        <f t="shared" si="110"/>
        <v>n/a</v>
      </c>
      <c r="Q878" s="5"/>
      <c r="R878" s="5"/>
      <c r="S878" s="5"/>
      <c r="U878" s="6"/>
      <c r="V878" s="9" t="str">
        <f t="shared" si="113"/>
        <v/>
      </c>
      <c r="W878" s="9" t="str">
        <f t="shared" si="114"/>
        <v/>
      </c>
      <c r="X878" s="10">
        <f>SUM(V$13:V878)/COUNTA(B$13:B878)</f>
        <v>8.0831408775981529E-3</v>
      </c>
      <c r="Z878" s="5"/>
      <c r="AA878" s="5"/>
      <c r="AC878" s="7"/>
      <c r="AE878" s="54" t="e">
        <f t="shared" si="115"/>
        <v>#N/A</v>
      </c>
      <c r="AF878" s="4" t="e">
        <f t="shared" si="111"/>
        <v>#N/A</v>
      </c>
    </row>
    <row r="879" spans="2:32">
      <c r="B879" s="5">
        <f t="shared" si="116"/>
        <v>867</v>
      </c>
      <c r="C879" s="5"/>
      <c r="E879" s="13"/>
      <c r="F879" s="5"/>
      <c r="G879" s="11">
        <f>IF(ISERROR(AVERAGE(F$13:F879)),"n/a",AVERAGE(F$13:F879))</f>
        <v>117</v>
      </c>
      <c r="H879" s="11">
        <f t="shared" si="112"/>
        <v>117</v>
      </c>
      <c r="J879" s="5"/>
      <c r="K879" s="5"/>
      <c r="L879" s="5"/>
      <c r="M879" s="5"/>
      <c r="N879" s="5"/>
      <c r="O879" s="8" t="str">
        <f t="shared" si="110"/>
        <v>n/a</v>
      </c>
      <c r="Q879" s="5"/>
      <c r="R879" s="5"/>
      <c r="S879" s="5"/>
      <c r="U879" s="6"/>
      <c r="V879" s="9" t="str">
        <f t="shared" si="113"/>
        <v/>
      </c>
      <c r="W879" s="9" t="str">
        <f t="shared" si="114"/>
        <v/>
      </c>
      <c r="X879" s="10">
        <f>SUM(V$13:V879)/COUNTA(B$13:B879)</f>
        <v>8.0738177623990767E-3</v>
      </c>
      <c r="Z879" s="5"/>
      <c r="AA879" s="5"/>
      <c r="AC879" s="7"/>
      <c r="AE879" s="54" t="e">
        <f t="shared" si="115"/>
        <v>#N/A</v>
      </c>
      <c r="AF879" s="4" t="e">
        <f t="shared" si="111"/>
        <v>#N/A</v>
      </c>
    </row>
    <row r="880" spans="2:32">
      <c r="B880" s="5">
        <f t="shared" si="116"/>
        <v>868</v>
      </c>
      <c r="C880" s="5"/>
      <c r="E880" s="13"/>
      <c r="F880" s="5"/>
      <c r="G880" s="11">
        <f>IF(ISERROR(AVERAGE(F$13:F880)),"n/a",AVERAGE(F$13:F880))</f>
        <v>117</v>
      </c>
      <c r="H880" s="11">
        <f t="shared" si="112"/>
        <v>117</v>
      </c>
      <c r="J880" s="5"/>
      <c r="K880" s="5"/>
      <c r="L880" s="5"/>
      <c r="M880" s="5"/>
      <c r="N880" s="5"/>
      <c r="O880" s="8" t="str">
        <f t="shared" si="110"/>
        <v>n/a</v>
      </c>
      <c r="Q880" s="5"/>
      <c r="R880" s="5"/>
      <c r="S880" s="5"/>
      <c r="U880" s="6"/>
      <c r="V880" s="9" t="str">
        <f t="shared" si="113"/>
        <v/>
      </c>
      <c r="W880" s="9" t="str">
        <f t="shared" si="114"/>
        <v/>
      </c>
      <c r="X880" s="10">
        <f>SUM(V$13:V880)/COUNTA(B$13:B880)</f>
        <v>8.0645161290322578E-3</v>
      </c>
      <c r="Z880" s="5"/>
      <c r="AA880" s="5"/>
      <c r="AC880" s="7"/>
      <c r="AE880" s="54" t="e">
        <f t="shared" si="115"/>
        <v>#N/A</v>
      </c>
      <c r="AF880" s="4" t="e">
        <f t="shared" si="111"/>
        <v>#N/A</v>
      </c>
    </row>
    <row r="881" spans="2:32">
      <c r="B881" s="5">
        <f t="shared" si="116"/>
        <v>869</v>
      </c>
      <c r="C881" s="5"/>
      <c r="E881" s="13"/>
      <c r="F881" s="5"/>
      <c r="G881" s="11">
        <f>IF(ISERROR(AVERAGE(F$13:F881)),"n/a",AVERAGE(F$13:F881))</f>
        <v>117</v>
      </c>
      <c r="H881" s="11">
        <f t="shared" si="112"/>
        <v>117</v>
      </c>
      <c r="J881" s="5"/>
      <c r="K881" s="5"/>
      <c r="L881" s="5"/>
      <c r="M881" s="5"/>
      <c r="N881" s="5"/>
      <c r="O881" s="8" t="str">
        <f t="shared" ref="O881:O944" si="117">IF(J881=1,"A",IF(K881=1,"B",IF(L881=1,"C",IF(M881=1,"D",IF(N881=1,"E","n/a")))))</f>
        <v>n/a</v>
      </c>
      <c r="Q881" s="5"/>
      <c r="R881" s="5"/>
      <c r="S881" s="5"/>
      <c r="U881" s="6"/>
      <c r="V881" s="9" t="str">
        <f t="shared" si="113"/>
        <v/>
      </c>
      <c r="W881" s="9" t="str">
        <f t="shared" si="114"/>
        <v/>
      </c>
      <c r="X881" s="10">
        <f>SUM(V$13:V881)/COUNTA(B$13:B881)</f>
        <v>8.0552359033371698E-3</v>
      </c>
      <c r="Z881" s="5"/>
      <c r="AA881" s="5"/>
      <c r="AC881" s="7"/>
      <c r="AE881" s="54" t="e">
        <f t="shared" si="115"/>
        <v>#N/A</v>
      </c>
      <c r="AF881" s="4" t="e">
        <f t="shared" si="111"/>
        <v>#N/A</v>
      </c>
    </row>
    <row r="882" spans="2:32">
      <c r="B882" s="5">
        <f t="shared" si="116"/>
        <v>870</v>
      </c>
      <c r="C882" s="5"/>
      <c r="E882" s="13"/>
      <c r="F882" s="5"/>
      <c r="G882" s="11">
        <f>IF(ISERROR(AVERAGE(F$13:F882)),"n/a",AVERAGE(F$13:F882))</f>
        <v>117</v>
      </c>
      <c r="H882" s="11">
        <f t="shared" si="112"/>
        <v>117</v>
      </c>
      <c r="J882" s="5"/>
      <c r="K882" s="5"/>
      <c r="L882" s="5"/>
      <c r="M882" s="5"/>
      <c r="N882" s="5"/>
      <c r="O882" s="8" t="str">
        <f t="shared" si="117"/>
        <v>n/a</v>
      </c>
      <c r="Q882" s="5"/>
      <c r="R882" s="5"/>
      <c r="S882" s="5"/>
      <c r="U882" s="6"/>
      <c r="V882" s="9" t="str">
        <f t="shared" si="113"/>
        <v/>
      </c>
      <c r="W882" s="9" t="str">
        <f t="shared" si="114"/>
        <v/>
      </c>
      <c r="X882" s="10">
        <f>SUM(V$13:V882)/COUNTA(B$13:B882)</f>
        <v>8.0459770114942528E-3</v>
      </c>
      <c r="Z882" s="5"/>
      <c r="AA882" s="5"/>
      <c r="AC882" s="7"/>
      <c r="AE882" s="54" t="e">
        <f t="shared" si="115"/>
        <v>#N/A</v>
      </c>
      <c r="AF882" s="4" t="e">
        <f t="shared" si="111"/>
        <v>#N/A</v>
      </c>
    </row>
    <row r="883" spans="2:32">
      <c r="B883" s="5">
        <f t="shared" si="116"/>
        <v>871</v>
      </c>
      <c r="C883" s="5"/>
      <c r="E883" s="13"/>
      <c r="F883" s="5"/>
      <c r="G883" s="11">
        <f>IF(ISERROR(AVERAGE(F$13:F883)),"n/a",AVERAGE(F$13:F883))</f>
        <v>117</v>
      </c>
      <c r="H883" s="11">
        <f t="shared" si="112"/>
        <v>117</v>
      </c>
      <c r="J883" s="5"/>
      <c r="K883" s="5"/>
      <c r="L883" s="5"/>
      <c r="M883" s="5"/>
      <c r="N883" s="5"/>
      <c r="O883" s="8" t="str">
        <f t="shared" si="117"/>
        <v>n/a</v>
      </c>
      <c r="Q883" s="5"/>
      <c r="R883" s="5"/>
      <c r="S883" s="5"/>
      <c r="U883" s="6"/>
      <c r="V883" s="9" t="str">
        <f t="shared" si="113"/>
        <v/>
      </c>
      <c r="W883" s="9" t="str">
        <f t="shared" si="114"/>
        <v/>
      </c>
      <c r="X883" s="10">
        <f>SUM(V$13:V883)/COUNTA(B$13:B883)</f>
        <v>8.0367393800229621E-3</v>
      </c>
      <c r="Z883" s="5"/>
      <c r="AA883" s="5"/>
      <c r="AC883" s="7"/>
      <c r="AE883" s="54" t="e">
        <f t="shared" si="115"/>
        <v>#N/A</v>
      </c>
      <c r="AF883" s="4" t="e">
        <f t="shared" si="111"/>
        <v>#N/A</v>
      </c>
    </row>
    <row r="884" spans="2:32">
      <c r="B884" s="5">
        <f t="shared" si="116"/>
        <v>872</v>
      </c>
      <c r="C884" s="5"/>
      <c r="E884" s="13"/>
      <c r="F884" s="5"/>
      <c r="G884" s="11">
        <f>IF(ISERROR(AVERAGE(F$13:F884)),"n/a",AVERAGE(F$13:F884))</f>
        <v>117</v>
      </c>
      <c r="H884" s="11">
        <f t="shared" si="112"/>
        <v>117</v>
      </c>
      <c r="J884" s="5"/>
      <c r="K884" s="5"/>
      <c r="L884" s="5"/>
      <c r="M884" s="5"/>
      <c r="N884" s="5"/>
      <c r="O884" s="8" t="str">
        <f t="shared" si="117"/>
        <v>n/a</v>
      </c>
      <c r="Q884" s="5"/>
      <c r="R884" s="5"/>
      <c r="S884" s="5"/>
      <c r="U884" s="6"/>
      <c r="V884" s="9" t="str">
        <f t="shared" si="113"/>
        <v/>
      </c>
      <c r="W884" s="9" t="str">
        <f t="shared" si="114"/>
        <v/>
      </c>
      <c r="X884" s="10">
        <f>SUM(V$13:V884)/COUNTA(B$13:B884)</f>
        <v>8.027522935779817E-3</v>
      </c>
      <c r="Z884" s="5"/>
      <c r="AA884" s="5"/>
      <c r="AC884" s="7"/>
      <c r="AE884" s="54" t="e">
        <f t="shared" si="115"/>
        <v>#N/A</v>
      </c>
      <c r="AF884" s="4" t="e">
        <f t="shared" si="111"/>
        <v>#N/A</v>
      </c>
    </row>
    <row r="885" spans="2:32">
      <c r="B885" s="5">
        <f t="shared" si="116"/>
        <v>873</v>
      </c>
      <c r="C885" s="5"/>
      <c r="E885" s="13"/>
      <c r="F885" s="5"/>
      <c r="G885" s="11">
        <f>IF(ISERROR(AVERAGE(F$13:F885)),"n/a",AVERAGE(F$13:F885))</f>
        <v>117</v>
      </c>
      <c r="H885" s="11">
        <f t="shared" si="112"/>
        <v>117</v>
      </c>
      <c r="J885" s="5"/>
      <c r="K885" s="5"/>
      <c r="L885" s="5"/>
      <c r="M885" s="5"/>
      <c r="N885" s="5"/>
      <c r="O885" s="8" t="str">
        <f t="shared" si="117"/>
        <v>n/a</v>
      </c>
      <c r="Q885" s="5"/>
      <c r="R885" s="5"/>
      <c r="S885" s="5"/>
      <c r="U885" s="6"/>
      <c r="V885" s="9" t="str">
        <f t="shared" si="113"/>
        <v/>
      </c>
      <c r="W885" s="9" t="str">
        <f t="shared" si="114"/>
        <v/>
      </c>
      <c r="X885" s="10">
        <f>SUM(V$13:V885)/COUNTA(B$13:B885)</f>
        <v>8.0183276059564712E-3</v>
      </c>
      <c r="Z885" s="5"/>
      <c r="AA885" s="5"/>
      <c r="AC885" s="7"/>
      <c r="AE885" s="54" t="e">
        <f t="shared" si="115"/>
        <v>#N/A</v>
      </c>
      <c r="AF885" s="4" t="e">
        <f t="shared" si="111"/>
        <v>#N/A</v>
      </c>
    </row>
    <row r="886" spans="2:32">
      <c r="B886" s="5">
        <f t="shared" si="116"/>
        <v>874</v>
      </c>
      <c r="C886" s="5"/>
      <c r="E886" s="13"/>
      <c r="F886" s="5"/>
      <c r="G886" s="11">
        <f>IF(ISERROR(AVERAGE(F$13:F886)),"n/a",AVERAGE(F$13:F886))</f>
        <v>117</v>
      </c>
      <c r="H886" s="11">
        <f t="shared" si="112"/>
        <v>117</v>
      </c>
      <c r="J886" s="5"/>
      <c r="K886" s="5"/>
      <c r="L886" s="5"/>
      <c r="M886" s="5"/>
      <c r="N886" s="5"/>
      <c r="O886" s="8" t="str">
        <f t="shared" si="117"/>
        <v>n/a</v>
      </c>
      <c r="Q886" s="5"/>
      <c r="R886" s="5"/>
      <c r="S886" s="5"/>
      <c r="U886" s="6"/>
      <c r="V886" s="9" t="str">
        <f t="shared" si="113"/>
        <v/>
      </c>
      <c r="W886" s="9" t="str">
        <f t="shared" si="114"/>
        <v/>
      </c>
      <c r="X886" s="10">
        <f>SUM(V$13:V886)/COUNTA(B$13:B886)</f>
        <v>8.0091533180778034E-3</v>
      </c>
      <c r="Z886" s="5"/>
      <c r="AA886" s="5"/>
      <c r="AC886" s="7"/>
      <c r="AE886" s="54" t="e">
        <f t="shared" si="115"/>
        <v>#N/A</v>
      </c>
      <c r="AF886" s="4" t="e">
        <f t="shared" si="111"/>
        <v>#N/A</v>
      </c>
    </row>
    <row r="887" spans="2:32">
      <c r="B887" s="5">
        <f t="shared" si="116"/>
        <v>875</v>
      </c>
      <c r="C887" s="5"/>
      <c r="E887" s="13"/>
      <c r="F887" s="5"/>
      <c r="G887" s="11">
        <f>IF(ISERROR(AVERAGE(F$13:F887)),"n/a",AVERAGE(F$13:F887))</f>
        <v>117</v>
      </c>
      <c r="H887" s="11">
        <f t="shared" si="112"/>
        <v>117</v>
      </c>
      <c r="J887" s="5"/>
      <c r="K887" s="5"/>
      <c r="L887" s="5"/>
      <c r="M887" s="5"/>
      <c r="N887" s="5"/>
      <c r="O887" s="8" t="str">
        <f t="shared" si="117"/>
        <v>n/a</v>
      </c>
      <c r="Q887" s="5"/>
      <c r="R887" s="5"/>
      <c r="S887" s="5"/>
      <c r="U887" s="6"/>
      <c r="V887" s="9" t="str">
        <f t="shared" si="113"/>
        <v/>
      </c>
      <c r="W887" s="9" t="str">
        <f t="shared" si="114"/>
        <v/>
      </c>
      <c r="X887" s="10">
        <f>SUM(V$13:V887)/COUNTA(B$13:B887)</f>
        <v>8.0000000000000002E-3</v>
      </c>
      <c r="Z887" s="5"/>
      <c r="AA887" s="5"/>
      <c r="AC887" s="7"/>
      <c r="AE887" s="54" t="e">
        <f t="shared" si="115"/>
        <v>#N/A</v>
      </c>
      <c r="AF887" s="4" t="e">
        <f t="shared" si="111"/>
        <v>#N/A</v>
      </c>
    </row>
    <row r="888" spans="2:32">
      <c r="B888" s="5">
        <f t="shared" si="116"/>
        <v>876</v>
      </c>
      <c r="C888" s="5"/>
      <c r="E888" s="13"/>
      <c r="F888" s="5"/>
      <c r="G888" s="11">
        <f>IF(ISERROR(AVERAGE(F$13:F888)),"n/a",AVERAGE(F$13:F888))</f>
        <v>117</v>
      </c>
      <c r="H888" s="11">
        <f t="shared" si="112"/>
        <v>117</v>
      </c>
      <c r="J888" s="5"/>
      <c r="K888" s="5"/>
      <c r="L888" s="5"/>
      <c r="M888" s="5"/>
      <c r="N888" s="5"/>
      <c r="O888" s="8" t="str">
        <f t="shared" si="117"/>
        <v>n/a</v>
      </c>
      <c r="Q888" s="5"/>
      <c r="R888" s="5"/>
      <c r="S888" s="5"/>
      <c r="U888" s="6"/>
      <c r="V888" s="9" t="str">
        <f t="shared" si="113"/>
        <v/>
      </c>
      <c r="W888" s="9" t="str">
        <f t="shared" si="114"/>
        <v/>
      </c>
      <c r="X888" s="10">
        <f>SUM(V$13:V888)/COUNTA(B$13:B888)</f>
        <v>7.9908675799086754E-3</v>
      </c>
      <c r="Z888" s="5"/>
      <c r="AA888" s="5"/>
      <c r="AC888" s="7"/>
      <c r="AE888" s="54" t="e">
        <f t="shared" si="115"/>
        <v>#N/A</v>
      </c>
      <c r="AF888" s="4" t="e">
        <f t="shared" si="111"/>
        <v>#N/A</v>
      </c>
    </row>
    <row r="889" spans="2:32">
      <c r="B889" s="5">
        <f t="shared" si="116"/>
        <v>877</v>
      </c>
      <c r="C889" s="5"/>
      <c r="E889" s="13"/>
      <c r="F889" s="5"/>
      <c r="G889" s="11">
        <f>IF(ISERROR(AVERAGE(F$13:F889)),"n/a",AVERAGE(F$13:F889))</f>
        <v>117</v>
      </c>
      <c r="H889" s="11">
        <f t="shared" si="112"/>
        <v>117</v>
      </c>
      <c r="J889" s="5"/>
      <c r="K889" s="5"/>
      <c r="L889" s="5"/>
      <c r="M889" s="5"/>
      <c r="N889" s="5"/>
      <c r="O889" s="8" t="str">
        <f t="shared" si="117"/>
        <v>n/a</v>
      </c>
      <c r="Q889" s="5"/>
      <c r="R889" s="5"/>
      <c r="S889" s="5"/>
      <c r="U889" s="6"/>
      <c r="V889" s="9" t="str">
        <f t="shared" si="113"/>
        <v/>
      </c>
      <c r="W889" s="9" t="str">
        <f t="shared" si="114"/>
        <v/>
      </c>
      <c r="X889" s="10">
        <f>SUM(V$13:V889)/COUNTA(B$13:B889)</f>
        <v>7.98175598631699E-3</v>
      </c>
      <c r="Z889" s="5"/>
      <c r="AA889" s="5"/>
      <c r="AC889" s="7"/>
      <c r="AE889" s="54" t="e">
        <f t="shared" si="115"/>
        <v>#N/A</v>
      </c>
      <c r="AF889" s="4" t="e">
        <f t="shared" si="111"/>
        <v>#N/A</v>
      </c>
    </row>
    <row r="890" spans="2:32">
      <c r="B890" s="5">
        <f t="shared" si="116"/>
        <v>878</v>
      </c>
      <c r="C890" s="5"/>
      <c r="E890" s="13"/>
      <c r="F890" s="5"/>
      <c r="G890" s="11">
        <f>IF(ISERROR(AVERAGE(F$13:F890)),"n/a",AVERAGE(F$13:F890))</f>
        <v>117</v>
      </c>
      <c r="H890" s="11">
        <f t="shared" si="112"/>
        <v>117</v>
      </c>
      <c r="J890" s="5"/>
      <c r="K890" s="5"/>
      <c r="L890" s="5"/>
      <c r="M890" s="5"/>
      <c r="N890" s="5"/>
      <c r="O890" s="8" t="str">
        <f t="shared" si="117"/>
        <v>n/a</v>
      </c>
      <c r="Q890" s="5"/>
      <c r="R890" s="5"/>
      <c r="S890" s="5"/>
      <c r="U890" s="6"/>
      <c r="V890" s="9" t="str">
        <f t="shared" si="113"/>
        <v/>
      </c>
      <c r="W890" s="9" t="str">
        <f t="shared" si="114"/>
        <v/>
      </c>
      <c r="X890" s="10">
        <f>SUM(V$13:V890)/COUNTA(B$13:B890)</f>
        <v>7.972665148063782E-3</v>
      </c>
      <c r="Z890" s="5"/>
      <c r="AA890" s="5"/>
      <c r="AC890" s="7"/>
      <c r="AE890" s="54" t="e">
        <f t="shared" si="115"/>
        <v>#N/A</v>
      </c>
      <c r="AF890" s="4" t="e">
        <f t="shared" si="111"/>
        <v>#N/A</v>
      </c>
    </row>
    <row r="891" spans="2:32">
      <c r="B891" s="5">
        <f t="shared" si="116"/>
        <v>879</v>
      </c>
      <c r="C891" s="5"/>
      <c r="E891" s="13"/>
      <c r="F891" s="5"/>
      <c r="G891" s="11">
        <f>IF(ISERROR(AVERAGE(F$13:F891)),"n/a",AVERAGE(F$13:F891))</f>
        <v>117</v>
      </c>
      <c r="H891" s="11">
        <f t="shared" si="112"/>
        <v>117</v>
      </c>
      <c r="J891" s="5"/>
      <c r="K891" s="5"/>
      <c r="L891" s="5"/>
      <c r="M891" s="5"/>
      <c r="N891" s="5"/>
      <c r="O891" s="8" t="str">
        <f t="shared" si="117"/>
        <v>n/a</v>
      </c>
      <c r="Q891" s="5"/>
      <c r="R891" s="5"/>
      <c r="S891" s="5"/>
      <c r="U891" s="6"/>
      <c r="V891" s="9" t="str">
        <f t="shared" si="113"/>
        <v/>
      </c>
      <c r="W891" s="9" t="str">
        <f t="shared" si="114"/>
        <v/>
      </c>
      <c r="X891" s="10">
        <f>SUM(V$13:V891)/COUNTA(B$13:B891)</f>
        <v>7.9635949943117172E-3</v>
      </c>
      <c r="Z891" s="5"/>
      <c r="AA891" s="5"/>
      <c r="AC891" s="7"/>
      <c r="AE891" s="54" t="e">
        <f t="shared" si="115"/>
        <v>#N/A</v>
      </c>
      <c r="AF891" s="4" t="e">
        <f t="shared" si="111"/>
        <v>#N/A</v>
      </c>
    </row>
    <row r="892" spans="2:32">
      <c r="B892" s="5">
        <f t="shared" si="116"/>
        <v>880</v>
      </c>
      <c r="C892" s="5"/>
      <c r="E892" s="13"/>
      <c r="F892" s="5"/>
      <c r="G892" s="11">
        <f>IF(ISERROR(AVERAGE(F$13:F892)),"n/a",AVERAGE(F$13:F892))</f>
        <v>117</v>
      </c>
      <c r="H892" s="11">
        <f t="shared" si="112"/>
        <v>117</v>
      </c>
      <c r="J892" s="5"/>
      <c r="K892" s="5"/>
      <c r="L892" s="5"/>
      <c r="M892" s="5"/>
      <c r="N892" s="5"/>
      <c r="O892" s="8" t="str">
        <f t="shared" si="117"/>
        <v>n/a</v>
      </c>
      <c r="Q892" s="5"/>
      <c r="R892" s="5"/>
      <c r="S892" s="5"/>
      <c r="U892" s="6"/>
      <c r="V892" s="9" t="str">
        <f t="shared" si="113"/>
        <v/>
      </c>
      <c r="W892" s="9" t="str">
        <f t="shared" si="114"/>
        <v/>
      </c>
      <c r="X892" s="10">
        <f>SUM(V$13:V892)/COUNTA(B$13:B892)</f>
        <v>7.9545454545454537E-3</v>
      </c>
      <c r="Z892" s="5"/>
      <c r="AA892" s="5"/>
      <c r="AC892" s="7"/>
      <c r="AE892" s="54" t="e">
        <f t="shared" si="115"/>
        <v>#N/A</v>
      </c>
      <c r="AF892" s="4" t="e">
        <f t="shared" si="111"/>
        <v>#N/A</v>
      </c>
    </row>
    <row r="893" spans="2:32">
      <c r="B893" s="5">
        <f t="shared" si="116"/>
        <v>881</v>
      </c>
      <c r="C893" s="5"/>
      <c r="E893" s="13"/>
      <c r="F893" s="5"/>
      <c r="G893" s="11">
        <f>IF(ISERROR(AVERAGE(F$13:F893)),"n/a",AVERAGE(F$13:F893))</f>
        <v>117</v>
      </c>
      <c r="H893" s="11">
        <f t="shared" si="112"/>
        <v>117</v>
      </c>
      <c r="J893" s="5"/>
      <c r="K893" s="5"/>
      <c r="L893" s="5"/>
      <c r="M893" s="5"/>
      <c r="N893" s="5"/>
      <c r="O893" s="8" t="str">
        <f t="shared" si="117"/>
        <v>n/a</v>
      </c>
      <c r="Q893" s="5"/>
      <c r="R893" s="5"/>
      <c r="S893" s="5"/>
      <c r="U893" s="6"/>
      <c r="V893" s="9" t="str">
        <f t="shared" si="113"/>
        <v/>
      </c>
      <c r="W893" s="9" t="str">
        <f t="shared" si="114"/>
        <v/>
      </c>
      <c r="X893" s="10">
        <f>SUM(V$13:V893)/COUNTA(B$13:B893)</f>
        <v>7.9455164585698068E-3</v>
      </c>
      <c r="Z893" s="5"/>
      <c r="AA893" s="5"/>
      <c r="AC893" s="7"/>
      <c r="AE893" s="54" t="e">
        <f t="shared" si="115"/>
        <v>#N/A</v>
      </c>
      <c r="AF893" s="4" t="e">
        <f t="shared" si="111"/>
        <v>#N/A</v>
      </c>
    </row>
    <row r="894" spans="2:32">
      <c r="B894" s="5">
        <f t="shared" si="116"/>
        <v>882</v>
      </c>
      <c r="C894" s="5"/>
      <c r="E894" s="13"/>
      <c r="F894" s="5"/>
      <c r="G894" s="11">
        <f>IF(ISERROR(AVERAGE(F$13:F894)),"n/a",AVERAGE(F$13:F894))</f>
        <v>117</v>
      </c>
      <c r="H894" s="11">
        <f t="shared" si="112"/>
        <v>117</v>
      </c>
      <c r="J894" s="5"/>
      <c r="K894" s="5"/>
      <c r="L894" s="5"/>
      <c r="M894" s="5"/>
      <c r="N894" s="5"/>
      <c r="O894" s="8" t="str">
        <f t="shared" si="117"/>
        <v>n/a</v>
      </c>
      <c r="Q894" s="5"/>
      <c r="R894" s="5"/>
      <c r="S894" s="5"/>
      <c r="U894" s="6"/>
      <c r="V894" s="9" t="str">
        <f t="shared" si="113"/>
        <v/>
      </c>
      <c r="W894" s="9" t="str">
        <f t="shared" si="114"/>
        <v/>
      </c>
      <c r="X894" s="10">
        <f>SUM(V$13:V894)/COUNTA(B$13:B894)</f>
        <v>7.9365079365079361E-3</v>
      </c>
      <c r="Z894" s="5"/>
      <c r="AA894" s="5"/>
      <c r="AC894" s="7"/>
      <c r="AE894" s="54" t="e">
        <f t="shared" si="115"/>
        <v>#N/A</v>
      </c>
      <c r="AF894" s="4" t="e">
        <f t="shared" si="111"/>
        <v>#N/A</v>
      </c>
    </row>
    <row r="895" spans="2:32">
      <c r="B895" s="5">
        <f t="shared" si="116"/>
        <v>883</v>
      </c>
      <c r="C895" s="5"/>
      <c r="E895" s="13"/>
      <c r="F895" s="5"/>
      <c r="G895" s="11">
        <f>IF(ISERROR(AVERAGE(F$13:F895)),"n/a",AVERAGE(F$13:F895))</f>
        <v>117</v>
      </c>
      <c r="H895" s="11">
        <f t="shared" si="112"/>
        <v>117</v>
      </c>
      <c r="J895" s="5"/>
      <c r="K895" s="5"/>
      <c r="L895" s="5"/>
      <c r="M895" s="5"/>
      <c r="N895" s="5"/>
      <c r="O895" s="8" t="str">
        <f t="shared" si="117"/>
        <v>n/a</v>
      </c>
      <c r="Q895" s="5"/>
      <c r="R895" s="5"/>
      <c r="S895" s="5"/>
      <c r="U895" s="6"/>
      <c r="V895" s="9" t="str">
        <f t="shared" si="113"/>
        <v/>
      </c>
      <c r="W895" s="9" t="str">
        <f t="shared" si="114"/>
        <v/>
      </c>
      <c r="X895" s="10">
        <f>SUM(V$13:V895)/COUNTA(B$13:B895)</f>
        <v>7.9275198187995465E-3</v>
      </c>
      <c r="Z895" s="5"/>
      <c r="AA895" s="5"/>
      <c r="AC895" s="7"/>
      <c r="AE895" s="54" t="e">
        <f t="shared" si="115"/>
        <v>#N/A</v>
      </c>
      <c r="AF895" s="4" t="e">
        <f t="shared" si="111"/>
        <v>#N/A</v>
      </c>
    </row>
    <row r="896" spans="2:32">
      <c r="B896" s="5">
        <f t="shared" si="116"/>
        <v>884</v>
      </c>
      <c r="C896" s="5"/>
      <c r="E896" s="13"/>
      <c r="F896" s="5"/>
      <c r="G896" s="11">
        <f>IF(ISERROR(AVERAGE(F$13:F896)),"n/a",AVERAGE(F$13:F896))</f>
        <v>117</v>
      </c>
      <c r="H896" s="11">
        <f t="shared" si="112"/>
        <v>117</v>
      </c>
      <c r="J896" s="5"/>
      <c r="K896" s="5"/>
      <c r="L896" s="5"/>
      <c r="M896" s="5"/>
      <c r="N896" s="5"/>
      <c r="O896" s="8" t="str">
        <f t="shared" si="117"/>
        <v>n/a</v>
      </c>
      <c r="Q896" s="5"/>
      <c r="R896" s="5"/>
      <c r="S896" s="5"/>
      <c r="U896" s="6"/>
      <c r="V896" s="9" t="str">
        <f t="shared" si="113"/>
        <v/>
      </c>
      <c r="W896" s="9" t="str">
        <f t="shared" si="114"/>
        <v/>
      </c>
      <c r="X896" s="10">
        <f>SUM(V$13:V896)/COUNTA(B$13:B896)</f>
        <v>7.9185520361990946E-3</v>
      </c>
      <c r="Z896" s="5"/>
      <c r="AA896" s="5"/>
      <c r="AC896" s="7"/>
      <c r="AE896" s="54" t="e">
        <f t="shared" si="115"/>
        <v>#N/A</v>
      </c>
      <c r="AF896" s="4" t="e">
        <f t="shared" si="111"/>
        <v>#N/A</v>
      </c>
    </row>
    <row r="897" spans="2:32">
      <c r="B897" s="5">
        <f t="shared" si="116"/>
        <v>885</v>
      </c>
      <c r="C897" s="5"/>
      <c r="E897" s="13"/>
      <c r="F897" s="5"/>
      <c r="G897" s="11">
        <f>IF(ISERROR(AVERAGE(F$13:F897)),"n/a",AVERAGE(F$13:F897))</f>
        <v>117</v>
      </c>
      <c r="H897" s="11">
        <f t="shared" si="112"/>
        <v>117</v>
      </c>
      <c r="J897" s="5"/>
      <c r="K897" s="5"/>
      <c r="L897" s="5"/>
      <c r="M897" s="5"/>
      <c r="N897" s="5"/>
      <c r="O897" s="8" t="str">
        <f t="shared" si="117"/>
        <v>n/a</v>
      </c>
      <c r="Q897" s="5"/>
      <c r="R897" s="5"/>
      <c r="S897" s="5"/>
      <c r="U897" s="6"/>
      <c r="V897" s="9" t="str">
        <f t="shared" si="113"/>
        <v/>
      </c>
      <c r="W897" s="9" t="str">
        <f t="shared" si="114"/>
        <v/>
      </c>
      <c r="X897" s="10">
        <f>SUM(V$13:V897)/COUNTA(B$13:B897)</f>
        <v>7.9096045197740109E-3</v>
      </c>
      <c r="Z897" s="5"/>
      <c r="AA897" s="5"/>
      <c r="AC897" s="7"/>
      <c r="AE897" s="54" t="e">
        <f t="shared" si="115"/>
        <v>#N/A</v>
      </c>
      <c r="AF897" s="4" t="e">
        <f t="shared" si="111"/>
        <v>#N/A</v>
      </c>
    </row>
    <row r="898" spans="2:32">
      <c r="B898" s="5">
        <f t="shared" si="116"/>
        <v>886</v>
      </c>
      <c r="C898" s="5"/>
      <c r="E898" s="13"/>
      <c r="F898" s="5"/>
      <c r="G898" s="11">
        <f>IF(ISERROR(AVERAGE(F$13:F898)),"n/a",AVERAGE(F$13:F898))</f>
        <v>117</v>
      </c>
      <c r="H898" s="11">
        <f t="shared" si="112"/>
        <v>117</v>
      </c>
      <c r="J898" s="5"/>
      <c r="K898" s="5"/>
      <c r="L898" s="5"/>
      <c r="M898" s="5"/>
      <c r="N898" s="5"/>
      <c r="O898" s="8" t="str">
        <f t="shared" si="117"/>
        <v>n/a</v>
      </c>
      <c r="Q898" s="5"/>
      <c r="R898" s="5"/>
      <c r="S898" s="5"/>
      <c r="U898" s="6"/>
      <c r="V898" s="9" t="str">
        <f t="shared" si="113"/>
        <v/>
      </c>
      <c r="W898" s="9" t="str">
        <f t="shared" si="114"/>
        <v/>
      </c>
      <c r="X898" s="10">
        <f>SUM(V$13:V898)/COUNTA(B$13:B898)</f>
        <v>7.900677200902935E-3</v>
      </c>
      <c r="Z898" s="5"/>
      <c r="AA898" s="5"/>
      <c r="AC898" s="7"/>
      <c r="AE898" s="54" t="e">
        <f t="shared" si="115"/>
        <v>#N/A</v>
      </c>
      <c r="AF898" s="4" t="e">
        <f t="shared" si="111"/>
        <v>#N/A</v>
      </c>
    </row>
    <row r="899" spans="2:32">
      <c r="B899" s="5">
        <f t="shared" si="116"/>
        <v>887</v>
      </c>
      <c r="C899" s="5"/>
      <c r="E899" s="13"/>
      <c r="F899" s="5"/>
      <c r="G899" s="11">
        <f>IF(ISERROR(AVERAGE(F$13:F899)),"n/a",AVERAGE(F$13:F899))</f>
        <v>117</v>
      </c>
      <c r="H899" s="11">
        <f t="shared" si="112"/>
        <v>117</v>
      </c>
      <c r="J899" s="5"/>
      <c r="K899" s="5"/>
      <c r="L899" s="5"/>
      <c r="M899" s="5"/>
      <c r="N899" s="5"/>
      <c r="O899" s="8" t="str">
        <f t="shared" si="117"/>
        <v>n/a</v>
      </c>
      <c r="Q899" s="5"/>
      <c r="R899" s="5"/>
      <c r="S899" s="5"/>
      <c r="U899" s="6"/>
      <c r="V899" s="9" t="str">
        <f t="shared" si="113"/>
        <v/>
      </c>
      <c r="W899" s="9" t="str">
        <f t="shared" si="114"/>
        <v/>
      </c>
      <c r="X899" s="10">
        <f>SUM(V$13:V899)/COUNTA(B$13:B899)</f>
        <v>7.8917700112739568E-3</v>
      </c>
      <c r="Z899" s="5"/>
      <c r="AA899" s="5"/>
      <c r="AC899" s="7"/>
      <c r="AE899" s="54" t="e">
        <f t="shared" si="115"/>
        <v>#N/A</v>
      </c>
      <c r="AF899" s="4" t="e">
        <f t="shared" si="111"/>
        <v>#N/A</v>
      </c>
    </row>
    <row r="900" spans="2:32">
      <c r="B900" s="5">
        <f t="shared" si="116"/>
        <v>888</v>
      </c>
      <c r="C900" s="5"/>
      <c r="E900" s="13"/>
      <c r="F900" s="5"/>
      <c r="G900" s="11">
        <f>IF(ISERROR(AVERAGE(F$13:F900)),"n/a",AVERAGE(F$13:F900))</f>
        <v>117</v>
      </c>
      <c r="H900" s="11">
        <f t="shared" si="112"/>
        <v>117</v>
      </c>
      <c r="J900" s="5"/>
      <c r="K900" s="5"/>
      <c r="L900" s="5"/>
      <c r="M900" s="5"/>
      <c r="N900" s="5"/>
      <c r="O900" s="8" t="str">
        <f t="shared" si="117"/>
        <v>n/a</v>
      </c>
      <c r="Q900" s="5"/>
      <c r="R900" s="5"/>
      <c r="S900" s="5"/>
      <c r="U900" s="6"/>
      <c r="V900" s="9" t="str">
        <f t="shared" si="113"/>
        <v/>
      </c>
      <c r="W900" s="9" t="str">
        <f t="shared" si="114"/>
        <v/>
      </c>
      <c r="X900" s="10">
        <f>SUM(V$13:V900)/COUNTA(B$13:B900)</f>
        <v>7.8828828828828822E-3</v>
      </c>
      <c r="Z900" s="5"/>
      <c r="AA900" s="5"/>
      <c r="AC900" s="7"/>
      <c r="AE900" s="54" t="e">
        <f t="shared" si="115"/>
        <v>#N/A</v>
      </c>
      <c r="AF900" s="4" t="e">
        <f t="shared" si="111"/>
        <v>#N/A</v>
      </c>
    </row>
    <row r="901" spans="2:32">
      <c r="B901" s="5">
        <f t="shared" si="116"/>
        <v>889</v>
      </c>
      <c r="C901" s="5"/>
      <c r="E901" s="13"/>
      <c r="F901" s="5"/>
      <c r="G901" s="11">
        <f>IF(ISERROR(AVERAGE(F$13:F901)),"n/a",AVERAGE(F$13:F901))</f>
        <v>117</v>
      </c>
      <c r="H901" s="11">
        <f t="shared" si="112"/>
        <v>117</v>
      </c>
      <c r="J901" s="5"/>
      <c r="K901" s="5"/>
      <c r="L901" s="5"/>
      <c r="M901" s="5"/>
      <c r="N901" s="5"/>
      <c r="O901" s="8" t="str">
        <f t="shared" si="117"/>
        <v>n/a</v>
      </c>
      <c r="Q901" s="5"/>
      <c r="R901" s="5"/>
      <c r="S901" s="5"/>
      <c r="U901" s="6"/>
      <c r="V901" s="9" t="str">
        <f t="shared" si="113"/>
        <v/>
      </c>
      <c r="W901" s="9" t="str">
        <f t="shared" si="114"/>
        <v/>
      </c>
      <c r="X901" s="10">
        <f>SUM(V$13:V901)/COUNTA(B$13:B901)</f>
        <v>7.874015748031496E-3</v>
      </c>
      <c r="Z901" s="5"/>
      <c r="AA901" s="5"/>
      <c r="AC901" s="7"/>
      <c r="AE901" s="54" t="e">
        <f t="shared" si="115"/>
        <v>#N/A</v>
      </c>
      <c r="AF901" s="4" t="e">
        <f t="shared" si="111"/>
        <v>#N/A</v>
      </c>
    </row>
    <row r="902" spans="2:32">
      <c r="B902" s="5">
        <f t="shared" si="116"/>
        <v>890</v>
      </c>
      <c r="C902" s="5"/>
      <c r="E902" s="13"/>
      <c r="F902" s="5"/>
      <c r="G902" s="11">
        <f>IF(ISERROR(AVERAGE(F$13:F902)),"n/a",AVERAGE(F$13:F902))</f>
        <v>117</v>
      </c>
      <c r="H902" s="11">
        <f t="shared" si="112"/>
        <v>117</v>
      </c>
      <c r="J902" s="5"/>
      <c r="K902" s="5"/>
      <c r="L902" s="5"/>
      <c r="M902" s="5"/>
      <c r="N902" s="5"/>
      <c r="O902" s="8" t="str">
        <f t="shared" si="117"/>
        <v>n/a</v>
      </c>
      <c r="Q902" s="5"/>
      <c r="R902" s="5"/>
      <c r="S902" s="5"/>
      <c r="U902" s="6"/>
      <c r="V902" s="9" t="str">
        <f t="shared" si="113"/>
        <v/>
      </c>
      <c r="W902" s="9" t="str">
        <f t="shared" si="114"/>
        <v/>
      </c>
      <c r="X902" s="10">
        <f>SUM(V$13:V902)/COUNTA(B$13:B902)</f>
        <v>7.8651685393258432E-3</v>
      </c>
      <c r="Z902" s="5"/>
      <c r="AA902" s="5"/>
      <c r="AC902" s="7"/>
      <c r="AE902" s="54" t="e">
        <f t="shared" si="115"/>
        <v>#N/A</v>
      </c>
      <c r="AF902" s="4" t="e">
        <f t="shared" si="111"/>
        <v>#N/A</v>
      </c>
    </row>
    <row r="903" spans="2:32">
      <c r="B903" s="5">
        <f t="shared" si="116"/>
        <v>891</v>
      </c>
      <c r="C903" s="5"/>
      <c r="E903" s="13"/>
      <c r="F903" s="5"/>
      <c r="G903" s="11">
        <f>IF(ISERROR(AVERAGE(F$13:F903)),"n/a",AVERAGE(F$13:F903))</f>
        <v>117</v>
      </c>
      <c r="H903" s="11">
        <f t="shared" si="112"/>
        <v>117</v>
      </c>
      <c r="J903" s="5"/>
      <c r="K903" s="5"/>
      <c r="L903" s="5"/>
      <c r="M903" s="5"/>
      <c r="N903" s="5"/>
      <c r="O903" s="8" t="str">
        <f t="shared" si="117"/>
        <v>n/a</v>
      </c>
      <c r="Q903" s="5"/>
      <c r="R903" s="5"/>
      <c r="S903" s="5"/>
      <c r="U903" s="6"/>
      <c r="V903" s="9" t="str">
        <f t="shared" si="113"/>
        <v/>
      </c>
      <c r="W903" s="9" t="str">
        <f t="shared" si="114"/>
        <v/>
      </c>
      <c r="X903" s="10">
        <f>SUM(V$13:V903)/COUNTA(B$13:B903)</f>
        <v>7.8563411896745237E-3</v>
      </c>
      <c r="Z903" s="5"/>
      <c r="AA903" s="5"/>
      <c r="AC903" s="7"/>
      <c r="AE903" s="54" t="e">
        <f t="shared" si="115"/>
        <v>#N/A</v>
      </c>
      <c r="AF903" s="4" t="e">
        <f t="shared" si="111"/>
        <v>#N/A</v>
      </c>
    </row>
    <row r="904" spans="2:32">
      <c r="B904" s="5">
        <f t="shared" si="116"/>
        <v>892</v>
      </c>
      <c r="C904" s="5"/>
      <c r="E904" s="13"/>
      <c r="F904" s="5"/>
      <c r="G904" s="11">
        <f>IF(ISERROR(AVERAGE(F$13:F904)),"n/a",AVERAGE(F$13:F904))</f>
        <v>117</v>
      </c>
      <c r="H904" s="11">
        <f t="shared" si="112"/>
        <v>117</v>
      </c>
      <c r="J904" s="5"/>
      <c r="K904" s="5"/>
      <c r="L904" s="5"/>
      <c r="M904" s="5"/>
      <c r="N904" s="5"/>
      <c r="O904" s="8" t="str">
        <f t="shared" si="117"/>
        <v>n/a</v>
      </c>
      <c r="Q904" s="5"/>
      <c r="R904" s="5"/>
      <c r="S904" s="5"/>
      <c r="U904" s="6"/>
      <c r="V904" s="9" t="str">
        <f t="shared" si="113"/>
        <v/>
      </c>
      <c r="W904" s="9" t="str">
        <f t="shared" si="114"/>
        <v/>
      </c>
      <c r="X904" s="10">
        <f>SUM(V$13:V904)/COUNTA(B$13:B904)</f>
        <v>7.8475336322869956E-3</v>
      </c>
      <c r="Z904" s="5"/>
      <c r="AA904" s="5"/>
      <c r="AC904" s="7"/>
      <c r="AE904" s="54" t="e">
        <f t="shared" si="115"/>
        <v>#N/A</v>
      </c>
      <c r="AF904" s="4" t="e">
        <f t="shared" si="111"/>
        <v>#N/A</v>
      </c>
    </row>
    <row r="905" spans="2:32">
      <c r="B905" s="5">
        <f t="shared" si="116"/>
        <v>893</v>
      </c>
      <c r="C905" s="5"/>
      <c r="E905" s="13"/>
      <c r="F905" s="5"/>
      <c r="G905" s="11">
        <f>IF(ISERROR(AVERAGE(F$13:F905)),"n/a",AVERAGE(F$13:F905))</f>
        <v>117</v>
      </c>
      <c r="H905" s="11">
        <f t="shared" si="112"/>
        <v>117</v>
      </c>
      <c r="J905" s="5"/>
      <c r="K905" s="5"/>
      <c r="L905" s="5"/>
      <c r="M905" s="5"/>
      <c r="N905" s="5"/>
      <c r="O905" s="8" t="str">
        <f t="shared" si="117"/>
        <v>n/a</v>
      </c>
      <c r="Q905" s="5"/>
      <c r="R905" s="5"/>
      <c r="S905" s="5"/>
      <c r="U905" s="6"/>
      <c r="V905" s="9" t="str">
        <f t="shared" si="113"/>
        <v/>
      </c>
      <c r="W905" s="9" t="str">
        <f t="shared" si="114"/>
        <v/>
      </c>
      <c r="X905" s="10">
        <f>SUM(V$13:V905)/COUNTA(B$13:B905)</f>
        <v>7.8387458006718928E-3</v>
      </c>
      <c r="Z905" s="5"/>
      <c r="AA905" s="5"/>
      <c r="AC905" s="7"/>
      <c r="AE905" s="54" t="e">
        <f t="shared" si="115"/>
        <v>#N/A</v>
      </c>
      <c r="AF905" s="4" t="e">
        <f t="shared" si="111"/>
        <v>#N/A</v>
      </c>
    </row>
    <row r="906" spans="2:32">
      <c r="B906" s="5">
        <f t="shared" si="116"/>
        <v>894</v>
      </c>
      <c r="C906" s="5"/>
      <c r="E906" s="13"/>
      <c r="F906" s="5"/>
      <c r="G906" s="11">
        <f>IF(ISERROR(AVERAGE(F$13:F906)),"n/a",AVERAGE(F$13:F906))</f>
        <v>117</v>
      </c>
      <c r="H906" s="11">
        <f t="shared" si="112"/>
        <v>117</v>
      </c>
      <c r="J906" s="5"/>
      <c r="K906" s="5"/>
      <c r="L906" s="5"/>
      <c r="M906" s="5"/>
      <c r="N906" s="5"/>
      <c r="O906" s="8" t="str">
        <f t="shared" si="117"/>
        <v>n/a</v>
      </c>
      <c r="Q906" s="5"/>
      <c r="R906" s="5"/>
      <c r="S906" s="5"/>
      <c r="U906" s="6"/>
      <c r="V906" s="9" t="str">
        <f t="shared" si="113"/>
        <v/>
      </c>
      <c r="W906" s="9" t="str">
        <f t="shared" si="114"/>
        <v/>
      </c>
      <c r="X906" s="10">
        <f>SUM(V$13:V906)/COUNTA(B$13:B906)</f>
        <v>7.829977628635347E-3</v>
      </c>
      <c r="Z906" s="5"/>
      <c r="AA906" s="5"/>
      <c r="AC906" s="7"/>
      <c r="AE906" s="54" t="e">
        <f t="shared" si="115"/>
        <v>#N/A</v>
      </c>
      <c r="AF906" s="4" t="e">
        <f t="shared" si="111"/>
        <v>#N/A</v>
      </c>
    </row>
    <row r="907" spans="2:32">
      <c r="B907" s="5">
        <f t="shared" si="116"/>
        <v>895</v>
      </c>
      <c r="C907" s="5"/>
      <c r="E907" s="13"/>
      <c r="F907" s="5"/>
      <c r="G907" s="11">
        <f>IF(ISERROR(AVERAGE(F$13:F907)),"n/a",AVERAGE(F$13:F907))</f>
        <v>117</v>
      </c>
      <c r="H907" s="11">
        <f t="shared" si="112"/>
        <v>117</v>
      </c>
      <c r="J907" s="5"/>
      <c r="K907" s="5"/>
      <c r="L907" s="5"/>
      <c r="M907" s="5"/>
      <c r="N907" s="5"/>
      <c r="O907" s="8" t="str">
        <f t="shared" si="117"/>
        <v>n/a</v>
      </c>
      <c r="Q907" s="5"/>
      <c r="R907" s="5"/>
      <c r="S907" s="5"/>
      <c r="U907" s="6"/>
      <c r="V907" s="9" t="str">
        <f t="shared" si="113"/>
        <v/>
      </c>
      <c r="W907" s="9" t="str">
        <f t="shared" si="114"/>
        <v/>
      </c>
      <c r="X907" s="10">
        <f>SUM(V$13:V907)/COUNTA(B$13:B907)</f>
        <v>7.82122905027933E-3</v>
      </c>
      <c r="Z907" s="5"/>
      <c r="AA907" s="5"/>
      <c r="AC907" s="7"/>
      <c r="AE907" s="54" t="e">
        <f t="shared" si="115"/>
        <v>#N/A</v>
      </c>
      <c r="AF907" s="4" t="e">
        <f t="shared" si="111"/>
        <v>#N/A</v>
      </c>
    </row>
    <row r="908" spans="2:32">
      <c r="B908" s="5">
        <f t="shared" si="116"/>
        <v>896</v>
      </c>
      <c r="C908" s="5"/>
      <c r="E908" s="13"/>
      <c r="F908" s="5"/>
      <c r="G908" s="11">
        <f>IF(ISERROR(AVERAGE(F$13:F908)),"n/a",AVERAGE(F$13:F908))</f>
        <v>117</v>
      </c>
      <c r="H908" s="11">
        <f t="shared" si="112"/>
        <v>117</v>
      </c>
      <c r="J908" s="5"/>
      <c r="K908" s="5"/>
      <c r="L908" s="5"/>
      <c r="M908" s="5"/>
      <c r="N908" s="5"/>
      <c r="O908" s="8" t="str">
        <f t="shared" si="117"/>
        <v>n/a</v>
      </c>
      <c r="Q908" s="5"/>
      <c r="R908" s="5"/>
      <c r="S908" s="5"/>
      <c r="U908" s="6"/>
      <c r="V908" s="9" t="str">
        <f t="shared" si="113"/>
        <v/>
      </c>
      <c r="W908" s="9" t="str">
        <f t="shared" si="114"/>
        <v/>
      </c>
      <c r="X908" s="10">
        <f>SUM(V$13:V908)/COUNTA(B$13:B908)</f>
        <v>7.8125E-3</v>
      </c>
      <c r="Z908" s="5"/>
      <c r="AA908" s="5"/>
      <c r="AC908" s="7"/>
      <c r="AE908" s="54" t="e">
        <f t="shared" si="115"/>
        <v>#N/A</v>
      </c>
      <c r="AF908" s="4" t="e">
        <f t="shared" si="111"/>
        <v>#N/A</v>
      </c>
    </row>
    <row r="909" spans="2:32">
      <c r="B909" s="5">
        <f t="shared" si="116"/>
        <v>897</v>
      </c>
      <c r="C909" s="5"/>
      <c r="E909" s="13"/>
      <c r="F909" s="5"/>
      <c r="G909" s="11">
        <f>IF(ISERROR(AVERAGE(F$13:F909)),"n/a",AVERAGE(F$13:F909))</f>
        <v>117</v>
      </c>
      <c r="H909" s="11">
        <f t="shared" si="112"/>
        <v>117</v>
      </c>
      <c r="J909" s="5"/>
      <c r="K909" s="5"/>
      <c r="L909" s="5"/>
      <c r="M909" s="5"/>
      <c r="N909" s="5"/>
      <c r="O909" s="8" t="str">
        <f t="shared" si="117"/>
        <v>n/a</v>
      </c>
      <c r="Q909" s="5"/>
      <c r="R909" s="5"/>
      <c r="S909" s="5"/>
      <c r="U909" s="6"/>
      <c r="V909" s="9" t="str">
        <f t="shared" si="113"/>
        <v/>
      </c>
      <c r="W909" s="9" t="str">
        <f t="shared" si="114"/>
        <v/>
      </c>
      <c r="X909" s="10">
        <f>SUM(V$13:V909)/COUNTA(B$13:B909)</f>
        <v>7.803790412486065E-3</v>
      </c>
      <c r="Z909" s="5"/>
      <c r="AA909" s="5"/>
      <c r="AC909" s="7"/>
      <c r="AE909" s="54" t="e">
        <f t="shared" si="115"/>
        <v>#N/A</v>
      </c>
      <c r="AF909" s="4" t="e">
        <f t="shared" ref="AF909:AF972" si="118">HLOOKUP(C909,$K$6:$O$7,2,FALSE)</f>
        <v>#N/A</v>
      </c>
    </row>
    <row r="910" spans="2:32">
      <c r="B910" s="5">
        <f t="shared" si="116"/>
        <v>898</v>
      </c>
      <c r="C910" s="5"/>
      <c r="E910" s="13"/>
      <c r="F910" s="5"/>
      <c r="G910" s="11">
        <f>IF(ISERROR(AVERAGE(F$13:F910)),"n/a",AVERAGE(F$13:F910))</f>
        <v>117</v>
      </c>
      <c r="H910" s="11">
        <f t="shared" ref="H910:H973" si="119">G910</f>
        <v>117</v>
      </c>
      <c r="J910" s="5"/>
      <c r="K910" s="5"/>
      <c r="L910" s="5"/>
      <c r="M910" s="5"/>
      <c r="N910" s="5"/>
      <c r="O910" s="8" t="str">
        <f t="shared" si="117"/>
        <v>n/a</v>
      </c>
      <c r="Q910" s="5"/>
      <c r="R910" s="5"/>
      <c r="S910" s="5"/>
      <c r="U910" s="6"/>
      <c r="V910" s="9" t="str">
        <f t="shared" ref="V910:V973" si="120">IF(O910="n/a","",IF(O910=U910,1,""))</f>
        <v/>
      </c>
      <c r="W910" s="9" t="str">
        <f t="shared" ref="W910:W973" si="121">IF(O910="n/a","",IF(O910&lt;&gt;U910,1,""))</f>
        <v/>
      </c>
      <c r="X910" s="10">
        <f>SUM(V$13:V910)/COUNTA(B$13:B910)</f>
        <v>7.7951002227171495E-3</v>
      </c>
      <c r="Z910" s="5"/>
      <c r="AA910" s="5"/>
      <c r="AC910" s="7"/>
      <c r="AE910" s="54" t="e">
        <f t="shared" ref="AE910:AE973" si="122">+IF($F$4=0,0,IF(W910=1,1,IF(OR(R910*$F$8=1,S910*$F$9=1,F910&gt;=AF910),2,0)))</f>
        <v>#N/A</v>
      </c>
      <c r="AF910" s="4" t="e">
        <f t="shared" si="118"/>
        <v>#N/A</v>
      </c>
    </row>
    <row r="911" spans="2:32">
      <c r="B911" s="5">
        <f t="shared" si="116"/>
        <v>899</v>
      </c>
      <c r="C911" s="5"/>
      <c r="E911" s="13"/>
      <c r="F911" s="5"/>
      <c r="G911" s="11">
        <f>IF(ISERROR(AVERAGE(F$13:F911)),"n/a",AVERAGE(F$13:F911))</f>
        <v>117</v>
      </c>
      <c r="H911" s="11">
        <f t="shared" si="119"/>
        <v>117</v>
      </c>
      <c r="J911" s="5"/>
      <c r="K911" s="5"/>
      <c r="L911" s="5"/>
      <c r="M911" s="5"/>
      <c r="N911" s="5"/>
      <c r="O911" s="8" t="str">
        <f t="shared" si="117"/>
        <v>n/a</v>
      </c>
      <c r="Q911" s="5"/>
      <c r="R911" s="5"/>
      <c r="S911" s="5"/>
      <c r="U911" s="6"/>
      <c r="V911" s="9" t="str">
        <f t="shared" si="120"/>
        <v/>
      </c>
      <c r="W911" s="9" t="str">
        <f t="shared" si="121"/>
        <v/>
      </c>
      <c r="X911" s="10">
        <f>SUM(V$13:V911)/COUNTA(B$13:B911)</f>
        <v>7.7864293659621799E-3</v>
      </c>
      <c r="Z911" s="5"/>
      <c r="AA911" s="5"/>
      <c r="AC911" s="7"/>
      <c r="AE911" s="54" t="e">
        <f t="shared" si="122"/>
        <v>#N/A</v>
      </c>
      <c r="AF911" s="4" t="e">
        <f t="shared" si="118"/>
        <v>#N/A</v>
      </c>
    </row>
    <row r="912" spans="2:32">
      <c r="B912" s="5">
        <f t="shared" si="116"/>
        <v>900</v>
      </c>
      <c r="C912" s="5"/>
      <c r="E912" s="13"/>
      <c r="F912" s="5"/>
      <c r="G912" s="11">
        <f>IF(ISERROR(AVERAGE(F$13:F912)),"n/a",AVERAGE(F$13:F912))</f>
        <v>117</v>
      </c>
      <c r="H912" s="11">
        <f t="shared" si="119"/>
        <v>117</v>
      </c>
      <c r="J912" s="5"/>
      <c r="K912" s="5"/>
      <c r="L912" s="5"/>
      <c r="M912" s="5"/>
      <c r="N912" s="5"/>
      <c r="O912" s="8" t="str">
        <f t="shared" si="117"/>
        <v>n/a</v>
      </c>
      <c r="Q912" s="5"/>
      <c r="R912" s="5"/>
      <c r="S912" s="5"/>
      <c r="U912" s="6"/>
      <c r="V912" s="9" t="str">
        <f t="shared" si="120"/>
        <v/>
      </c>
      <c r="W912" s="9" t="str">
        <f t="shared" si="121"/>
        <v/>
      </c>
      <c r="X912" s="10">
        <f>SUM(V$13:V912)/COUNTA(B$13:B912)</f>
        <v>7.7777777777777776E-3</v>
      </c>
      <c r="Z912" s="5"/>
      <c r="AA912" s="5"/>
      <c r="AC912" s="7"/>
      <c r="AE912" s="54" t="e">
        <f t="shared" si="122"/>
        <v>#N/A</v>
      </c>
      <c r="AF912" s="4" t="e">
        <f t="shared" si="118"/>
        <v>#N/A</v>
      </c>
    </row>
    <row r="913" spans="2:32">
      <c r="B913" s="5">
        <f t="shared" si="116"/>
        <v>901</v>
      </c>
      <c r="C913" s="5"/>
      <c r="E913" s="13"/>
      <c r="F913" s="5"/>
      <c r="G913" s="11">
        <f>IF(ISERROR(AVERAGE(F$13:F913)),"n/a",AVERAGE(F$13:F913))</f>
        <v>117</v>
      </c>
      <c r="H913" s="11">
        <f t="shared" si="119"/>
        <v>117</v>
      </c>
      <c r="J913" s="5"/>
      <c r="K913" s="5"/>
      <c r="L913" s="5"/>
      <c r="M913" s="5"/>
      <c r="N913" s="5"/>
      <c r="O913" s="8" t="str">
        <f t="shared" si="117"/>
        <v>n/a</v>
      </c>
      <c r="Q913" s="5"/>
      <c r="R913" s="5"/>
      <c r="S913" s="5"/>
      <c r="U913" s="6"/>
      <c r="V913" s="9" t="str">
        <f t="shared" si="120"/>
        <v/>
      </c>
      <c r="W913" s="9" t="str">
        <f t="shared" si="121"/>
        <v/>
      </c>
      <c r="X913" s="10">
        <f>SUM(V$13:V913)/COUNTA(B$13:B913)</f>
        <v>7.7691453940066596E-3</v>
      </c>
      <c r="Z913" s="5"/>
      <c r="AA913" s="5"/>
      <c r="AC913" s="7"/>
      <c r="AE913" s="54" t="e">
        <f t="shared" si="122"/>
        <v>#N/A</v>
      </c>
      <c r="AF913" s="4" t="e">
        <f t="shared" si="118"/>
        <v>#N/A</v>
      </c>
    </row>
    <row r="914" spans="2:32">
      <c r="B914" s="5">
        <f t="shared" si="116"/>
        <v>902</v>
      </c>
      <c r="C914" s="5"/>
      <c r="E914" s="13"/>
      <c r="F914" s="5"/>
      <c r="G914" s="11">
        <f>IF(ISERROR(AVERAGE(F$13:F914)),"n/a",AVERAGE(F$13:F914))</f>
        <v>117</v>
      </c>
      <c r="H914" s="11">
        <f t="shared" si="119"/>
        <v>117</v>
      </c>
      <c r="J914" s="5"/>
      <c r="K914" s="5"/>
      <c r="L914" s="5"/>
      <c r="M914" s="5"/>
      <c r="N914" s="5"/>
      <c r="O914" s="8" t="str">
        <f t="shared" si="117"/>
        <v>n/a</v>
      </c>
      <c r="Q914" s="5"/>
      <c r="R914" s="5"/>
      <c r="S914" s="5"/>
      <c r="U914" s="6"/>
      <c r="V914" s="9" t="str">
        <f t="shared" si="120"/>
        <v/>
      </c>
      <c r="W914" s="9" t="str">
        <f t="shared" si="121"/>
        <v/>
      </c>
      <c r="X914" s="10">
        <f>SUM(V$13:V914)/COUNTA(B$13:B914)</f>
        <v>7.7605321507760536E-3</v>
      </c>
      <c r="Z914" s="5"/>
      <c r="AA914" s="5"/>
      <c r="AC914" s="7"/>
      <c r="AE914" s="54" t="e">
        <f t="shared" si="122"/>
        <v>#N/A</v>
      </c>
      <c r="AF914" s="4" t="e">
        <f t="shared" si="118"/>
        <v>#N/A</v>
      </c>
    </row>
    <row r="915" spans="2:32">
      <c r="B915" s="5">
        <f t="shared" ref="B915:B978" si="123">+B914+1</f>
        <v>903</v>
      </c>
      <c r="C915" s="5"/>
      <c r="E915" s="13"/>
      <c r="F915" s="5"/>
      <c r="G915" s="11">
        <f>IF(ISERROR(AVERAGE(F$13:F915)),"n/a",AVERAGE(F$13:F915))</f>
        <v>117</v>
      </c>
      <c r="H915" s="11">
        <f t="shared" si="119"/>
        <v>117</v>
      </c>
      <c r="J915" s="5"/>
      <c r="K915" s="5"/>
      <c r="L915" s="5"/>
      <c r="M915" s="5"/>
      <c r="N915" s="5"/>
      <c r="O915" s="8" t="str">
        <f t="shared" si="117"/>
        <v>n/a</v>
      </c>
      <c r="Q915" s="5"/>
      <c r="R915" s="5"/>
      <c r="S915" s="5"/>
      <c r="U915" s="6"/>
      <c r="V915" s="9" t="str">
        <f t="shared" si="120"/>
        <v/>
      </c>
      <c r="W915" s="9" t="str">
        <f t="shared" si="121"/>
        <v/>
      </c>
      <c r="X915" s="10">
        <f>SUM(V$13:V915)/COUNTA(B$13:B915)</f>
        <v>7.7519379844961239E-3</v>
      </c>
      <c r="Z915" s="5"/>
      <c r="AA915" s="5"/>
      <c r="AC915" s="7"/>
      <c r="AE915" s="54" t="e">
        <f t="shared" si="122"/>
        <v>#N/A</v>
      </c>
      <c r="AF915" s="4" t="e">
        <f t="shared" si="118"/>
        <v>#N/A</v>
      </c>
    </row>
    <row r="916" spans="2:32">
      <c r="B916" s="5">
        <f t="shared" si="123"/>
        <v>904</v>
      </c>
      <c r="C916" s="5"/>
      <c r="E916" s="13"/>
      <c r="F916" s="5"/>
      <c r="G916" s="11">
        <f>IF(ISERROR(AVERAGE(F$13:F916)),"n/a",AVERAGE(F$13:F916))</f>
        <v>117</v>
      </c>
      <c r="H916" s="11">
        <f t="shared" si="119"/>
        <v>117</v>
      </c>
      <c r="J916" s="5"/>
      <c r="K916" s="5"/>
      <c r="L916" s="5"/>
      <c r="M916" s="5"/>
      <c r="N916" s="5"/>
      <c r="O916" s="8" t="str">
        <f t="shared" si="117"/>
        <v>n/a</v>
      </c>
      <c r="Q916" s="5"/>
      <c r="R916" s="5"/>
      <c r="S916" s="5"/>
      <c r="U916" s="6"/>
      <c r="V916" s="9" t="str">
        <f t="shared" si="120"/>
        <v/>
      </c>
      <c r="W916" s="9" t="str">
        <f t="shared" si="121"/>
        <v/>
      </c>
      <c r="X916" s="10">
        <f>SUM(V$13:V916)/COUNTA(B$13:B916)</f>
        <v>7.743362831858407E-3</v>
      </c>
      <c r="Z916" s="5"/>
      <c r="AA916" s="5"/>
      <c r="AC916" s="7"/>
      <c r="AE916" s="54" t="e">
        <f t="shared" si="122"/>
        <v>#N/A</v>
      </c>
      <c r="AF916" s="4" t="e">
        <f t="shared" si="118"/>
        <v>#N/A</v>
      </c>
    </row>
    <row r="917" spans="2:32">
      <c r="B917" s="5">
        <f t="shared" si="123"/>
        <v>905</v>
      </c>
      <c r="C917" s="5"/>
      <c r="E917" s="13"/>
      <c r="F917" s="5"/>
      <c r="G917" s="11">
        <f>IF(ISERROR(AVERAGE(F$13:F917)),"n/a",AVERAGE(F$13:F917))</f>
        <v>117</v>
      </c>
      <c r="H917" s="11">
        <f t="shared" si="119"/>
        <v>117</v>
      </c>
      <c r="J917" s="5"/>
      <c r="K917" s="5"/>
      <c r="L917" s="5"/>
      <c r="M917" s="5"/>
      <c r="N917" s="5"/>
      <c r="O917" s="8" t="str">
        <f t="shared" si="117"/>
        <v>n/a</v>
      </c>
      <c r="Q917" s="5"/>
      <c r="R917" s="5"/>
      <c r="S917" s="5"/>
      <c r="U917" s="6"/>
      <c r="V917" s="9" t="str">
        <f t="shared" si="120"/>
        <v/>
      </c>
      <c r="W917" s="9" t="str">
        <f t="shared" si="121"/>
        <v/>
      </c>
      <c r="X917" s="10">
        <f>SUM(V$13:V917)/COUNTA(B$13:B917)</f>
        <v>7.7348066298342545E-3</v>
      </c>
      <c r="Z917" s="5"/>
      <c r="AA917" s="5"/>
      <c r="AC917" s="7"/>
      <c r="AE917" s="54" t="e">
        <f t="shared" si="122"/>
        <v>#N/A</v>
      </c>
      <c r="AF917" s="4" t="e">
        <f t="shared" si="118"/>
        <v>#N/A</v>
      </c>
    </row>
    <row r="918" spans="2:32">
      <c r="B918" s="5">
        <f t="shared" si="123"/>
        <v>906</v>
      </c>
      <c r="C918" s="5"/>
      <c r="E918" s="13"/>
      <c r="F918" s="5"/>
      <c r="G918" s="11">
        <f>IF(ISERROR(AVERAGE(F$13:F918)),"n/a",AVERAGE(F$13:F918))</f>
        <v>117</v>
      </c>
      <c r="H918" s="11">
        <f t="shared" si="119"/>
        <v>117</v>
      </c>
      <c r="J918" s="5"/>
      <c r="K918" s="5"/>
      <c r="L918" s="5"/>
      <c r="M918" s="5"/>
      <c r="N918" s="5"/>
      <c r="O918" s="8" t="str">
        <f t="shared" si="117"/>
        <v>n/a</v>
      </c>
      <c r="Q918" s="5"/>
      <c r="R918" s="5"/>
      <c r="S918" s="5"/>
      <c r="U918" s="6"/>
      <c r="V918" s="9" t="str">
        <f t="shared" si="120"/>
        <v/>
      </c>
      <c r="W918" s="9" t="str">
        <f t="shared" si="121"/>
        <v/>
      </c>
      <c r="X918" s="10">
        <f>SUM(V$13:V918)/COUNTA(B$13:B918)</f>
        <v>7.7262693156732896E-3</v>
      </c>
      <c r="Z918" s="5"/>
      <c r="AA918" s="5"/>
      <c r="AC918" s="7"/>
      <c r="AE918" s="54" t="e">
        <f t="shared" si="122"/>
        <v>#N/A</v>
      </c>
      <c r="AF918" s="4" t="e">
        <f t="shared" si="118"/>
        <v>#N/A</v>
      </c>
    </row>
    <row r="919" spans="2:32">
      <c r="B919" s="5">
        <f t="shared" si="123"/>
        <v>907</v>
      </c>
      <c r="C919" s="5"/>
      <c r="E919" s="13"/>
      <c r="F919" s="5"/>
      <c r="G919" s="11">
        <f>IF(ISERROR(AVERAGE(F$13:F919)),"n/a",AVERAGE(F$13:F919))</f>
        <v>117</v>
      </c>
      <c r="H919" s="11">
        <f t="shared" si="119"/>
        <v>117</v>
      </c>
      <c r="J919" s="5"/>
      <c r="K919" s="5"/>
      <c r="L919" s="5"/>
      <c r="M919" s="5"/>
      <c r="N919" s="5"/>
      <c r="O919" s="8" t="str">
        <f t="shared" si="117"/>
        <v>n/a</v>
      </c>
      <c r="Q919" s="5"/>
      <c r="R919" s="5"/>
      <c r="S919" s="5"/>
      <c r="U919" s="6"/>
      <c r="V919" s="9" t="str">
        <f t="shared" si="120"/>
        <v/>
      </c>
      <c r="W919" s="9" t="str">
        <f t="shared" si="121"/>
        <v/>
      </c>
      <c r="X919" s="10">
        <f>SUM(V$13:V919)/COUNTA(B$13:B919)</f>
        <v>7.717750826901874E-3</v>
      </c>
      <c r="Z919" s="5"/>
      <c r="AA919" s="5"/>
      <c r="AC919" s="7"/>
      <c r="AE919" s="54" t="e">
        <f t="shared" si="122"/>
        <v>#N/A</v>
      </c>
      <c r="AF919" s="4" t="e">
        <f t="shared" si="118"/>
        <v>#N/A</v>
      </c>
    </row>
    <row r="920" spans="2:32">
      <c r="B920" s="5">
        <f t="shared" si="123"/>
        <v>908</v>
      </c>
      <c r="C920" s="5"/>
      <c r="E920" s="13"/>
      <c r="F920" s="5"/>
      <c r="G920" s="11">
        <f>IF(ISERROR(AVERAGE(F$13:F920)),"n/a",AVERAGE(F$13:F920))</f>
        <v>117</v>
      </c>
      <c r="H920" s="11">
        <f t="shared" si="119"/>
        <v>117</v>
      </c>
      <c r="J920" s="5"/>
      <c r="K920" s="5"/>
      <c r="L920" s="5"/>
      <c r="M920" s="5"/>
      <c r="N920" s="5"/>
      <c r="O920" s="8" t="str">
        <f t="shared" si="117"/>
        <v>n/a</v>
      </c>
      <c r="Q920" s="5"/>
      <c r="R920" s="5"/>
      <c r="S920" s="5"/>
      <c r="U920" s="6"/>
      <c r="V920" s="9" t="str">
        <f t="shared" si="120"/>
        <v/>
      </c>
      <c r="W920" s="9" t="str">
        <f t="shared" si="121"/>
        <v/>
      </c>
      <c r="X920" s="10">
        <f>SUM(V$13:V920)/COUNTA(B$13:B920)</f>
        <v>7.709251101321586E-3</v>
      </c>
      <c r="Z920" s="5"/>
      <c r="AA920" s="5"/>
      <c r="AC920" s="7"/>
      <c r="AE920" s="54" t="e">
        <f t="shared" si="122"/>
        <v>#N/A</v>
      </c>
      <c r="AF920" s="4" t="e">
        <f t="shared" si="118"/>
        <v>#N/A</v>
      </c>
    </row>
    <row r="921" spans="2:32">
      <c r="B921" s="5">
        <f t="shared" si="123"/>
        <v>909</v>
      </c>
      <c r="C921" s="5"/>
      <c r="E921" s="13"/>
      <c r="F921" s="5"/>
      <c r="G921" s="11">
        <f>IF(ISERROR(AVERAGE(F$13:F921)),"n/a",AVERAGE(F$13:F921))</f>
        <v>117</v>
      </c>
      <c r="H921" s="11">
        <f t="shared" si="119"/>
        <v>117</v>
      </c>
      <c r="J921" s="5"/>
      <c r="K921" s="5"/>
      <c r="L921" s="5"/>
      <c r="M921" s="5"/>
      <c r="N921" s="5"/>
      <c r="O921" s="8" t="str">
        <f t="shared" si="117"/>
        <v>n/a</v>
      </c>
      <c r="Q921" s="5"/>
      <c r="R921" s="5"/>
      <c r="S921" s="5"/>
      <c r="U921" s="6"/>
      <c r="V921" s="9" t="str">
        <f t="shared" si="120"/>
        <v/>
      </c>
      <c r="W921" s="9" t="str">
        <f t="shared" si="121"/>
        <v/>
      </c>
      <c r="X921" s="10">
        <f>SUM(V$13:V921)/COUNTA(B$13:B921)</f>
        <v>7.7007700770077006E-3</v>
      </c>
      <c r="Z921" s="5"/>
      <c r="AA921" s="5"/>
      <c r="AC921" s="7"/>
      <c r="AE921" s="54" t="e">
        <f t="shared" si="122"/>
        <v>#N/A</v>
      </c>
      <c r="AF921" s="4" t="e">
        <f t="shared" si="118"/>
        <v>#N/A</v>
      </c>
    </row>
    <row r="922" spans="2:32">
      <c r="B922" s="5">
        <f t="shared" si="123"/>
        <v>910</v>
      </c>
      <c r="C922" s="5"/>
      <c r="E922" s="13"/>
      <c r="F922" s="5"/>
      <c r="G922" s="11">
        <f>IF(ISERROR(AVERAGE(F$13:F922)),"n/a",AVERAGE(F$13:F922))</f>
        <v>117</v>
      </c>
      <c r="H922" s="11">
        <f t="shared" si="119"/>
        <v>117</v>
      </c>
      <c r="J922" s="5"/>
      <c r="K922" s="5"/>
      <c r="L922" s="5"/>
      <c r="M922" s="5"/>
      <c r="N922" s="5"/>
      <c r="O922" s="8" t="str">
        <f t="shared" si="117"/>
        <v>n/a</v>
      </c>
      <c r="Q922" s="5"/>
      <c r="R922" s="5"/>
      <c r="S922" s="5"/>
      <c r="U922" s="6"/>
      <c r="V922" s="9" t="str">
        <f t="shared" si="120"/>
        <v/>
      </c>
      <c r="W922" s="9" t="str">
        <f t="shared" si="121"/>
        <v/>
      </c>
      <c r="X922" s="10">
        <f>SUM(V$13:V922)/COUNTA(B$13:B922)</f>
        <v>7.6923076923076927E-3</v>
      </c>
      <c r="Z922" s="5"/>
      <c r="AA922" s="5"/>
      <c r="AC922" s="7"/>
      <c r="AE922" s="54" t="e">
        <f t="shared" si="122"/>
        <v>#N/A</v>
      </c>
      <c r="AF922" s="4" t="e">
        <f t="shared" si="118"/>
        <v>#N/A</v>
      </c>
    </row>
    <row r="923" spans="2:32">
      <c r="B923" s="5">
        <f t="shared" si="123"/>
        <v>911</v>
      </c>
      <c r="C923" s="5"/>
      <c r="E923" s="13"/>
      <c r="F923" s="5"/>
      <c r="G923" s="11">
        <f>IF(ISERROR(AVERAGE(F$13:F923)),"n/a",AVERAGE(F$13:F923))</f>
        <v>117</v>
      </c>
      <c r="H923" s="11">
        <f t="shared" si="119"/>
        <v>117</v>
      </c>
      <c r="J923" s="5"/>
      <c r="K923" s="5"/>
      <c r="L923" s="5"/>
      <c r="M923" s="5"/>
      <c r="N923" s="5"/>
      <c r="O923" s="8" t="str">
        <f t="shared" si="117"/>
        <v>n/a</v>
      </c>
      <c r="Q923" s="5"/>
      <c r="R923" s="5"/>
      <c r="S923" s="5"/>
      <c r="U923" s="6"/>
      <c r="V923" s="9" t="str">
        <f t="shared" si="120"/>
        <v/>
      </c>
      <c r="W923" s="9" t="str">
        <f t="shared" si="121"/>
        <v/>
      </c>
      <c r="X923" s="10">
        <f>SUM(V$13:V923)/COUNTA(B$13:B923)</f>
        <v>7.6838638858397366E-3</v>
      </c>
      <c r="Z923" s="5"/>
      <c r="AA923" s="5"/>
      <c r="AC923" s="7"/>
      <c r="AE923" s="54" t="e">
        <f t="shared" si="122"/>
        <v>#N/A</v>
      </c>
      <c r="AF923" s="4" t="e">
        <f t="shared" si="118"/>
        <v>#N/A</v>
      </c>
    </row>
    <row r="924" spans="2:32">
      <c r="B924" s="5">
        <f t="shared" si="123"/>
        <v>912</v>
      </c>
      <c r="C924" s="5"/>
      <c r="E924" s="13"/>
      <c r="F924" s="5"/>
      <c r="G924" s="11">
        <f>IF(ISERROR(AVERAGE(F$13:F924)),"n/a",AVERAGE(F$13:F924))</f>
        <v>117</v>
      </c>
      <c r="H924" s="11">
        <f t="shared" si="119"/>
        <v>117</v>
      </c>
      <c r="J924" s="5"/>
      <c r="K924" s="5"/>
      <c r="L924" s="5"/>
      <c r="M924" s="5"/>
      <c r="N924" s="5"/>
      <c r="O924" s="8" t="str">
        <f t="shared" si="117"/>
        <v>n/a</v>
      </c>
      <c r="Q924" s="5"/>
      <c r="R924" s="5"/>
      <c r="S924" s="5"/>
      <c r="U924" s="6"/>
      <c r="V924" s="9" t="str">
        <f t="shared" si="120"/>
        <v/>
      </c>
      <c r="W924" s="9" t="str">
        <f t="shared" si="121"/>
        <v/>
      </c>
      <c r="X924" s="10">
        <f>SUM(V$13:V924)/COUNTA(B$13:B924)</f>
        <v>7.6754385964912276E-3</v>
      </c>
      <c r="Z924" s="5"/>
      <c r="AA924" s="5"/>
      <c r="AC924" s="7"/>
      <c r="AE924" s="54" t="e">
        <f t="shared" si="122"/>
        <v>#N/A</v>
      </c>
      <c r="AF924" s="4" t="e">
        <f t="shared" si="118"/>
        <v>#N/A</v>
      </c>
    </row>
    <row r="925" spans="2:32">
      <c r="B925" s="5">
        <f t="shared" si="123"/>
        <v>913</v>
      </c>
      <c r="C925" s="5"/>
      <c r="E925" s="13"/>
      <c r="F925" s="5"/>
      <c r="G925" s="11">
        <f>IF(ISERROR(AVERAGE(F$13:F925)),"n/a",AVERAGE(F$13:F925))</f>
        <v>117</v>
      </c>
      <c r="H925" s="11">
        <f t="shared" si="119"/>
        <v>117</v>
      </c>
      <c r="J925" s="5"/>
      <c r="K925" s="5"/>
      <c r="L925" s="5"/>
      <c r="M925" s="5"/>
      <c r="N925" s="5"/>
      <c r="O925" s="8" t="str">
        <f t="shared" si="117"/>
        <v>n/a</v>
      </c>
      <c r="Q925" s="5"/>
      <c r="R925" s="5"/>
      <c r="S925" s="5"/>
      <c r="U925" s="6"/>
      <c r="V925" s="9" t="str">
        <f t="shared" si="120"/>
        <v/>
      </c>
      <c r="W925" s="9" t="str">
        <f t="shared" si="121"/>
        <v/>
      </c>
      <c r="X925" s="10">
        <f>SUM(V$13:V925)/COUNTA(B$13:B925)</f>
        <v>7.6670317634173054E-3</v>
      </c>
      <c r="Z925" s="5"/>
      <c r="AA925" s="5"/>
      <c r="AC925" s="7"/>
      <c r="AE925" s="54" t="e">
        <f t="shared" si="122"/>
        <v>#N/A</v>
      </c>
      <c r="AF925" s="4" t="e">
        <f t="shared" si="118"/>
        <v>#N/A</v>
      </c>
    </row>
    <row r="926" spans="2:32">
      <c r="B926" s="5">
        <f t="shared" si="123"/>
        <v>914</v>
      </c>
      <c r="C926" s="5"/>
      <c r="E926" s="13"/>
      <c r="F926" s="5"/>
      <c r="G926" s="11">
        <f>IF(ISERROR(AVERAGE(F$13:F926)),"n/a",AVERAGE(F$13:F926))</f>
        <v>117</v>
      </c>
      <c r="H926" s="11">
        <f t="shared" si="119"/>
        <v>117</v>
      </c>
      <c r="J926" s="5"/>
      <c r="K926" s="5"/>
      <c r="L926" s="5"/>
      <c r="M926" s="5"/>
      <c r="N926" s="5"/>
      <c r="O926" s="8" t="str">
        <f t="shared" si="117"/>
        <v>n/a</v>
      </c>
      <c r="Q926" s="5"/>
      <c r="R926" s="5"/>
      <c r="S926" s="5"/>
      <c r="U926" s="6"/>
      <c r="V926" s="9" t="str">
        <f t="shared" si="120"/>
        <v/>
      </c>
      <c r="W926" s="9" t="str">
        <f t="shared" si="121"/>
        <v/>
      </c>
      <c r="X926" s="10">
        <f>SUM(V$13:V926)/COUNTA(B$13:B926)</f>
        <v>7.658643326039387E-3</v>
      </c>
      <c r="Z926" s="5"/>
      <c r="AA926" s="5"/>
      <c r="AC926" s="7"/>
      <c r="AE926" s="54" t="e">
        <f t="shared" si="122"/>
        <v>#N/A</v>
      </c>
      <c r="AF926" s="4" t="e">
        <f t="shared" si="118"/>
        <v>#N/A</v>
      </c>
    </row>
    <row r="927" spans="2:32">
      <c r="B927" s="5">
        <f t="shared" si="123"/>
        <v>915</v>
      </c>
      <c r="C927" s="5"/>
      <c r="E927" s="13"/>
      <c r="F927" s="5"/>
      <c r="G927" s="11">
        <f>IF(ISERROR(AVERAGE(F$13:F927)),"n/a",AVERAGE(F$13:F927))</f>
        <v>117</v>
      </c>
      <c r="H927" s="11">
        <f t="shared" si="119"/>
        <v>117</v>
      </c>
      <c r="J927" s="5"/>
      <c r="K927" s="5"/>
      <c r="L927" s="5"/>
      <c r="M927" s="5"/>
      <c r="N927" s="5"/>
      <c r="O927" s="8" t="str">
        <f t="shared" si="117"/>
        <v>n/a</v>
      </c>
      <c r="Q927" s="5"/>
      <c r="R927" s="5"/>
      <c r="S927" s="5"/>
      <c r="U927" s="6"/>
      <c r="V927" s="9" t="str">
        <f t="shared" si="120"/>
        <v/>
      </c>
      <c r="W927" s="9" t="str">
        <f t="shared" si="121"/>
        <v/>
      </c>
      <c r="X927" s="10">
        <f>SUM(V$13:V927)/COUNTA(B$13:B927)</f>
        <v>7.6502732240437158E-3</v>
      </c>
      <c r="Z927" s="5"/>
      <c r="AA927" s="5"/>
      <c r="AC927" s="7"/>
      <c r="AE927" s="54" t="e">
        <f t="shared" si="122"/>
        <v>#N/A</v>
      </c>
      <c r="AF927" s="4" t="e">
        <f t="shared" si="118"/>
        <v>#N/A</v>
      </c>
    </row>
    <row r="928" spans="2:32">
      <c r="B928" s="5">
        <f t="shared" si="123"/>
        <v>916</v>
      </c>
      <c r="C928" s="5"/>
      <c r="E928" s="13"/>
      <c r="F928" s="5"/>
      <c r="G928" s="11">
        <f>IF(ISERROR(AVERAGE(F$13:F928)),"n/a",AVERAGE(F$13:F928))</f>
        <v>117</v>
      </c>
      <c r="H928" s="11">
        <f t="shared" si="119"/>
        <v>117</v>
      </c>
      <c r="J928" s="5"/>
      <c r="K928" s="5"/>
      <c r="L928" s="5"/>
      <c r="M928" s="5"/>
      <c r="N928" s="5"/>
      <c r="O928" s="8" t="str">
        <f t="shared" si="117"/>
        <v>n/a</v>
      </c>
      <c r="Q928" s="5"/>
      <c r="R928" s="5"/>
      <c r="S928" s="5"/>
      <c r="U928" s="6"/>
      <c r="V928" s="9" t="str">
        <f t="shared" si="120"/>
        <v/>
      </c>
      <c r="W928" s="9" t="str">
        <f t="shared" si="121"/>
        <v/>
      </c>
      <c r="X928" s="10">
        <f>SUM(V$13:V928)/COUNTA(B$13:B928)</f>
        <v>7.6419213973799123E-3</v>
      </c>
      <c r="Z928" s="5"/>
      <c r="AA928" s="5"/>
      <c r="AC928" s="7"/>
      <c r="AE928" s="54" t="e">
        <f t="shared" si="122"/>
        <v>#N/A</v>
      </c>
      <c r="AF928" s="4" t="e">
        <f t="shared" si="118"/>
        <v>#N/A</v>
      </c>
    </row>
    <row r="929" spans="2:32">
      <c r="B929" s="5">
        <f t="shared" si="123"/>
        <v>917</v>
      </c>
      <c r="C929" s="5"/>
      <c r="E929" s="13"/>
      <c r="F929" s="5"/>
      <c r="G929" s="11">
        <f>IF(ISERROR(AVERAGE(F$13:F929)),"n/a",AVERAGE(F$13:F929))</f>
        <v>117</v>
      </c>
      <c r="H929" s="11">
        <f t="shared" si="119"/>
        <v>117</v>
      </c>
      <c r="J929" s="5"/>
      <c r="K929" s="5"/>
      <c r="L929" s="5"/>
      <c r="M929" s="5"/>
      <c r="N929" s="5"/>
      <c r="O929" s="8" t="str">
        <f t="shared" si="117"/>
        <v>n/a</v>
      </c>
      <c r="Q929" s="5"/>
      <c r="R929" s="5"/>
      <c r="S929" s="5"/>
      <c r="U929" s="6"/>
      <c r="V929" s="9" t="str">
        <f t="shared" si="120"/>
        <v/>
      </c>
      <c r="W929" s="9" t="str">
        <f t="shared" si="121"/>
        <v/>
      </c>
      <c r="X929" s="10">
        <f>SUM(V$13:V929)/COUNTA(B$13:B929)</f>
        <v>7.6335877862595417E-3</v>
      </c>
      <c r="Z929" s="5"/>
      <c r="AA929" s="5"/>
      <c r="AC929" s="7"/>
      <c r="AE929" s="54" t="e">
        <f t="shared" si="122"/>
        <v>#N/A</v>
      </c>
      <c r="AF929" s="4" t="e">
        <f t="shared" si="118"/>
        <v>#N/A</v>
      </c>
    </row>
    <row r="930" spans="2:32">
      <c r="B930" s="5">
        <f t="shared" si="123"/>
        <v>918</v>
      </c>
      <c r="C930" s="5"/>
      <c r="E930" s="13"/>
      <c r="F930" s="5"/>
      <c r="G930" s="11">
        <f>IF(ISERROR(AVERAGE(F$13:F930)),"n/a",AVERAGE(F$13:F930))</f>
        <v>117</v>
      </c>
      <c r="H930" s="11">
        <f t="shared" si="119"/>
        <v>117</v>
      </c>
      <c r="J930" s="5"/>
      <c r="K930" s="5"/>
      <c r="L930" s="5"/>
      <c r="M930" s="5"/>
      <c r="N930" s="5"/>
      <c r="O930" s="8" t="str">
        <f t="shared" si="117"/>
        <v>n/a</v>
      </c>
      <c r="Q930" s="5"/>
      <c r="R930" s="5"/>
      <c r="S930" s="5"/>
      <c r="U930" s="6"/>
      <c r="V930" s="9" t="str">
        <f t="shared" si="120"/>
        <v/>
      </c>
      <c r="W930" s="9" t="str">
        <f t="shared" si="121"/>
        <v/>
      </c>
      <c r="X930" s="10">
        <f>SUM(V$13:V930)/COUNTA(B$13:B930)</f>
        <v>7.6252723311546842E-3</v>
      </c>
      <c r="Z930" s="5"/>
      <c r="AA930" s="5"/>
      <c r="AC930" s="7"/>
      <c r="AE930" s="54" t="e">
        <f t="shared" si="122"/>
        <v>#N/A</v>
      </c>
      <c r="AF930" s="4" t="e">
        <f t="shared" si="118"/>
        <v>#N/A</v>
      </c>
    </row>
    <row r="931" spans="2:32">
      <c r="B931" s="5">
        <f t="shared" si="123"/>
        <v>919</v>
      </c>
      <c r="C931" s="5"/>
      <c r="E931" s="13"/>
      <c r="F931" s="5"/>
      <c r="G931" s="11">
        <f>IF(ISERROR(AVERAGE(F$13:F931)),"n/a",AVERAGE(F$13:F931))</f>
        <v>117</v>
      </c>
      <c r="H931" s="11">
        <f t="shared" si="119"/>
        <v>117</v>
      </c>
      <c r="J931" s="5"/>
      <c r="K931" s="5"/>
      <c r="L931" s="5"/>
      <c r="M931" s="5"/>
      <c r="N931" s="5"/>
      <c r="O931" s="8" t="str">
        <f t="shared" si="117"/>
        <v>n/a</v>
      </c>
      <c r="Q931" s="5"/>
      <c r="R931" s="5"/>
      <c r="S931" s="5"/>
      <c r="U931" s="6"/>
      <c r="V931" s="9" t="str">
        <f t="shared" si="120"/>
        <v/>
      </c>
      <c r="W931" s="9" t="str">
        <f t="shared" si="121"/>
        <v/>
      </c>
      <c r="X931" s="10">
        <f>SUM(V$13:V931)/COUNTA(B$13:B931)</f>
        <v>7.6169749727965181E-3</v>
      </c>
      <c r="Z931" s="5"/>
      <c r="AA931" s="5"/>
      <c r="AC931" s="7"/>
      <c r="AE931" s="54" t="e">
        <f t="shared" si="122"/>
        <v>#N/A</v>
      </c>
      <c r="AF931" s="4" t="e">
        <f t="shared" si="118"/>
        <v>#N/A</v>
      </c>
    </row>
    <row r="932" spans="2:32">
      <c r="B932" s="5">
        <f t="shared" si="123"/>
        <v>920</v>
      </c>
      <c r="C932" s="5"/>
      <c r="E932" s="13"/>
      <c r="F932" s="5"/>
      <c r="G932" s="11">
        <f>IF(ISERROR(AVERAGE(F$13:F932)),"n/a",AVERAGE(F$13:F932))</f>
        <v>117</v>
      </c>
      <c r="H932" s="11">
        <f t="shared" si="119"/>
        <v>117</v>
      </c>
      <c r="J932" s="5"/>
      <c r="K932" s="5"/>
      <c r="L932" s="5"/>
      <c r="M932" s="5"/>
      <c r="N932" s="5"/>
      <c r="O932" s="8" t="str">
        <f t="shared" si="117"/>
        <v>n/a</v>
      </c>
      <c r="Q932" s="5"/>
      <c r="R932" s="5"/>
      <c r="S932" s="5"/>
      <c r="U932" s="6"/>
      <c r="V932" s="9" t="str">
        <f t="shared" si="120"/>
        <v/>
      </c>
      <c r="W932" s="9" t="str">
        <f t="shared" si="121"/>
        <v/>
      </c>
      <c r="X932" s="10">
        <f>SUM(V$13:V932)/COUNTA(B$13:B932)</f>
        <v>7.6086956521739134E-3</v>
      </c>
      <c r="Z932" s="5"/>
      <c r="AA932" s="5"/>
      <c r="AC932" s="7"/>
      <c r="AE932" s="54" t="e">
        <f t="shared" si="122"/>
        <v>#N/A</v>
      </c>
      <c r="AF932" s="4" t="e">
        <f t="shared" si="118"/>
        <v>#N/A</v>
      </c>
    </row>
    <row r="933" spans="2:32">
      <c r="B933" s="5">
        <f t="shared" si="123"/>
        <v>921</v>
      </c>
      <c r="C933" s="5"/>
      <c r="E933" s="13"/>
      <c r="F933" s="5"/>
      <c r="G933" s="11">
        <f>IF(ISERROR(AVERAGE(F$13:F933)),"n/a",AVERAGE(F$13:F933))</f>
        <v>117</v>
      </c>
      <c r="H933" s="11">
        <f t="shared" si="119"/>
        <v>117</v>
      </c>
      <c r="J933" s="5"/>
      <c r="K933" s="5"/>
      <c r="L933" s="5"/>
      <c r="M933" s="5"/>
      <c r="N933" s="5"/>
      <c r="O933" s="8" t="str">
        <f t="shared" si="117"/>
        <v>n/a</v>
      </c>
      <c r="Q933" s="5"/>
      <c r="R933" s="5"/>
      <c r="S933" s="5"/>
      <c r="U933" s="6"/>
      <c r="V933" s="9" t="str">
        <f t="shared" si="120"/>
        <v/>
      </c>
      <c r="W933" s="9" t="str">
        <f t="shared" si="121"/>
        <v/>
      </c>
      <c r="X933" s="10">
        <f>SUM(V$13:V933)/COUNTA(B$13:B933)</f>
        <v>7.6004343105320303E-3</v>
      </c>
      <c r="Z933" s="5"/>
      <c r="AA933" s="5"/>
      <c r="AC933" s="7"/>
      <c r="AE933" s="54" t="e">
        <f t="shared" si="122"/>
        <v>#N/A</v>
      </c>
      <c r="AF933" s="4" t="e">
        <f t="shared" si="118"/>
        <v>#N/A</v>
      </c>
    </row>
    <row r="934" spans="2:32">
      <c r="B934" s="5">
        <f t="shared" si="123"/>
        <v>922</v>
      </c>
      <c r="C934" s="5"/>
      <c r="E934" s="13"/>
      <c r="F934" s="5"/>
      <c r="G934" s="11">
        <f>IF(ISERROR(AVERAGE(F$13:F934)),"n/a",AVERAGE(F$13:F934))</f>
        <v>117</v>
      </c>
      <c r="H934" s="11">
        <f t="shared" si="119"/>
        <v>117</v>
      </c>
      <c r="J934" s="5"/>
      <c r="K934" s="5"/>
      <c r="L934" s="5"/>
      <c r="M934" s="5"/>
      <c r="N934" s="5"/>
      <c r="O934" s="8" t="str">
        <f t="shared" si="117"/>
        <v>n/a</v>
      </c>
      <c r="Q934" s="5"/>
      <c r="R934" s="5"/>
      <c r="S934" s="5"/>
      <c r="U934" s="6"/>
      <c r="V934" s="9" t="str">
        <f t="shared" si="120"/>
        <v/>
      </c>
      <c r="W934" s="9" t="str">
        <f t="shared" si="121"/>
        <v/>
      </c>
      <c r="X934" s="10">
        <f>SUM(V$13:V934)/COUNTA(B$13:B934)</f>
        <v>7.5921908893709323E-3</v>
      </c>
      <c r="Z934" s="5"/>
      <c r="AA934" s="5"/>
      <c r="AC934" s="7"/>
      <c r="AE934" s="54" t="e">
        <f t="shared" si="122"/>
        <v>#N/A</v>
      </c>
      <c r="AF934" s="4" t="e">
        <f t="shared" si="118"/>
        <v>#N/A</v>
      </c>
    </row>
    <row r="935" spans="2:32">
      <c r="B935" s="5">
        <f t="shared" si="123"/>
        <v>923</v>
      </c>
      <c r="C935" s="5"/>
      <c r="E935" s="13"/>
      <c r="F935" s="5"/>
      <c r="G935" s="11">
        <f>IF(ISERROR(AVERAGE(F$13:F935)),"n/a",AVERAGE(F$13:F935))</f>
        <v>117</v>
      </c>
      <c r="H935" s="11">
        <f t="shared" si="119"/>
        <v>117</v>
      </c>
      <c r="J935" s="5"/>
      <c r="K935" s="5"/>
      <c r="L935" s="5"/>
      <c r="M935" s="5"/>
      <c r="N935" s="5"/>
      <c r="O935" s="8" t="str">
        <f t="shared" si="117"/>
        <v>n/a</v>
      </c>
      <c r="Q935" s="5"/>
      <c r="R935" s="5"/>
      <c r="S935" s="5"/>
      <c r="U935" s="6"/>
      <c r="V935" s="9" t="str">
        <f t="shared" si="120"/>
        <v/>
      </c>
      <c r="W935" s="9" t="str">
        <f t="shared" si="121"/>
        <v/>
      </c>
      <c r="X935" s="10">
        <f>SUM(V$13:V935)/COUNTA(B$13:B935)</f>
        <v>7.5839653304442039E-3</v>
      </c>
      <c r="Z935" s="5"/>
      <c r="AA935" s="5"/>
      <c r="AC935" s="7"/>
      <c r="AE935" s="54" t="e">
        <f t="shared" si="122"/>
        <v>#N/A</v>
      </c>
      <c r="AF935" s="4" t="e">
        <f t="shared" si="118"/>
        <v>#N/A</v>
      </c>
    </row>
    <row r="936" spans="2:32">
      <c r="B936" s="5">
        <f t="shared" si="123"/>
        <v>924</v>
      </c>
      <c r="C936" s="5"/>
      <c r="E936" s="13"/>
      <c r="F936" s="5"/>
      <c r="G936" s="11">
        <f>IF(ISERROR(AVERAGE(F$13:F936)),"n/a",AVERAGE(F$13:F936))</f>
        <v>117</v>
      </c>
      <c r="H936" s="11">
        <f t="shared" si="119"/>
        <v>117</v>
      </c>
      <c r="J936" s="5"/>
      <c r="K936" s="5"/>
      <c r="L936" s="5"/>
      <c r="M936" s="5"/>
      <c r="N936" s="5"/>
      <c r="O936" s="8" t="str">
        <f t="shared" si="117"/>
        <v>n/a</v>
      </c>
      <c r="Q936" s="5"/>
      <c r="R936" s="5"/>
      <c r="S936" s="5"/>
      <c r="U936" s="6"/>
      <c r="V936" s="9" t="str">
        <f t="shared" si="120"/>
        <v/>
      </c>
      <c r="W936" s="9" t="str">
        <f t="shared" si="121"/>
        <v/>
      </c>
      <c r="X936" s="10">
        <f>SUM(V$13:V936)/COUNTA(B$13:B936)</f>
        <v>7.575757575757576E-3</v>
      </c>
      <c r="Z936" s="5"/>
      <c r="AA936" s="5"/>
      <c r="AC936" s="7"/>
      <c r="AE936" s="54" t="e">
        <f t="shared" si="122"/>
        <v>#N/A</v>
      </c>
      <c r="AF936" s="4" t="e">
        <f t="shared" si="118"/>
        <v>#N/A</v>
      </c>
    </row>
    <row r="937" spans="2:32">
      <c r="B937" s="5">
        <f t="shared" si="123"/>
        <v>925</v>
      </c>
      <c r="C937" s="5"/>
      <c r="E937" s="13"/>
      <c r="F937" s="5"/>
      <c r="G937" s="11">
        <f>IF(ISERROR(AVERAGE(F$13:F937)),"n/a",AVERAGE(F$13:F937))</f>
        <v>117</v>
      </c>
      <c r="H937" s="11">
        <f t="shared" si="119"/>
        <v>117</v>
      </c>
      <c r="J937" s="5"/>
      <c r="K937" s="5"/>
      <c r="L937" s="5"/>
      <c r="M937" s="5"/>
      <c r="N937" s="5"/>
      <c r="O937" s="8" t="str">
        <f t="shared" si="117"/>
        <v>n/a</v>
      </c>
      <c r="Q937" s="5"/>
      <c r="R937" s="5"/>
      <c r="S937" s="5"/>
      <c r="U937" s="6"/>
      <c r="V937" s="9" t="str">
        <f t="shared" si="120"/>
        <v/>
      </c>
      <c r="W937" s="9" t="str">
        <f t="shared" si="121"/>
        <v/>
      </c>
      <c r="X937" s="10">
        <f>SUM(V$13:V937)/COUNTA(B$13:B937)</f>
        <v>7.5675675675675675E-3</v>
      </c>
      <c r="Z937" s="5"/>
      <c r="AA937" s="5"/>
      <c r="AC937" s="7"/>
      <c r="AE937" s="54" t="e">
        <f t="shared" si="122"/>
        <v>#N/A</v>
      </c>
      <c r="AF937" s="4" t="e">
        <f t="shared" si="118"/>
        <v>#N/A</v>
      </c>
    </row>
    <row r="938" spans="2:32">
      <c r="B938" s="5">
        <f t="shared" si="123"/>
        <v>926</v>
      </c>
      <c r="C938" s="5"/>
      <c r="E938" s="13"/>
      <c r="F938" s="5"/>
      <c r="G938" s="11">
        <f>IF(ISERROR(AVERAGE(F$13:F938)),"n/a",AVERAGE(F$13:F938))</f>
        <v>117</v>
      </c>
      <c r="H938" s="11">
        <f t="shared" si="119"/>
        <v>117</v>
      </c>
      <c r="J938" s="5"/>
      <c r="K938" s="5"/>
      <c r="L938" s="5"/>
      <c r="M938" s="5"/>
      <c r="N938" s="5"/>
      <c r="O938" s="8" t="str">
        <f t="shared" si="117"/>
        <v>n/a</v>
      </c>
      <c r="Q938" s="5"/>
      <c r="R938" s="5"/>
      <c r="S938" s="5"/>
      <c r="U938" s="6"/>
      <c r="V938" s="9" t="str">
        <f t="shared" si="120"/>
        <v/>
      </c>
      <c r="W938" s="9" t="str">
        <f t="shared" si="121"/>
        <v/>
      </c>
      <c r="X938" s="10">
        <f>SUM(V$13:V938)/COUNTA(B$13:B938)</f>
        <v>7.5593952483801298E-3</v>
      </c>
      <c r="Z938" s="5"/>
      <c r="AA938" s="5"/>
      <c r="AC938" s="7"/>
      <c r="AE938" s="54" t="e">
        <f t="shared" si="122"/>
        <v>#N/A</v>
      </c>
      <c r="AF938" s="4" t="e">
        <f t="shared" si="118"/>
        <v>#N/A</v>
      </c>
    </row>
    <row r="939" spans="2:32">
      <c r="B939" s="5">
        <f t="shared" si="123"/>
        <v>927</v>
      </c>
      <c r="C939" s="5"/>
      <c r="E939" s="13"/>
      <c r="F939" s="5"/>
      <c r="G939" s="11">
        <f>IF(ISERROR(AVERAGE(F$13:F939)),"n/a",AVERAGE(F$13:F939))</f>
        <v>117</v>
      </c>
      <c r="H939" s="11">
        <f t="shared" si="119"/>
        <v>117</v>
      </c>
      <c r="J939" s="5"/>
      <c r="K939" s="5"/>
      <c r="L939" s="5"/>
      <c r="M939" s="5"/>
      <c r="N939" s="5"/>
      <c r="O939" s="8" t="str">
        <f t="shared" si="117"/>
        <v>n/a</v>
      </c>
      <c r="Q939" s="5"/>
      <c r="R939" s="5"/>
      <c r="S939" s="5"/>
      <c r="U939" s="6"/>
      <c r="V939" s="9" t="str">
        <f t="shared" si="120"/>
        <v/>
      </c>
      <c r="W939" s="9" t="str">
        <f t="shared" si="121"/>
        <v/>
      </c>
      <c r="X939" s="10">
        <f>SUM(V$13:V939)/COUNTA(B$13:B939)</f>
        <v>7.551240560949299E-3</v>
      </c>
      <c r="Z939" s="5"/>
      <c r="AA939" s="5"/>
      <c r="AC939" s="7"/>
      <c r="AE939" s="54" t="e">
        <f t="shared" si="122"/>
        <v>#N/A</v>
      </c>
      <c r="AF939" s="4" t="e">
        <f t="shared" si="118"/>
        <v>#N/A</v>
      </c>
    </row>
    <row r="940" spans="2:32">
      <c r="B940" s="5">
        <f t="shared" si="123"/>
        <v>928</v>
      </c>
      <c r="C940" s="5"/>
      <c r="E940" s="13"/>
      <c r="F940" s="5"/>
      <c r="G940" s="11">
        <f>IF(ISERROR(AVERAGE(F$13:F940)),"n/a",AVERAGE(F$13:F940))</f>
        <v>117</v>
      </c>
      <c r="H940" s="11">
        <f t="shared" si="119"/>
        <v>117</v>
      </c>
      <c r="J940" s="5"/>
      <c r="K940" s="5"/>
      <c r="L940" s="5"/>
      <c r="M940" s="5"/>
      <c r="N940" s="5"/>
      <c r="O940" s="8" t="str">
        <f t="shared" si="117"/>
        <v>n/a</v>
      </c>
      <c r="Q940" s="5"/>
      <c r="R940" s="5"/>
      <c r="S940" s="5"/>
      <c r="U940" s="6"/>
      <c r="V940" s="9" t="str">
        <f t="shared" si="120"/>
        <v/>
      </c>
      <c r="W940" s="9" t="str">
        <f t="shared" si="121"/>
        <v/>
      </c>
      <c r="X940" s="10">
        <f>SUM(V$13:V940)/COUNTA(B$13:B940)</f>
        <v>7.5431034482758624E-3</v>
      </c>
      <c r="Z940" s="5"/>
      <c r="AA940" s="5"/>
      <c r="AC940" s="7"/>
      <c r="AE940" s="54" t="e">
        <f t="shared" si="122"/>
        <v>#N/A</v>
      </c>
      <c r="AF940" s="4" t="e">
        <f t="shared" si="118"/>
        <v>#N/A</v>
      </c>
    </row>
    <row r="941" spans="2:32">
      <c r="B941" s="5">
        <f t="shared" si="123"/>
        <v>929</v>
      </c>
      <c r="C941" s="5"/>
      <c r="E941" s="13"/>
      <c r="F941" s="5"/>
      <c r="G941" s="11">
        <f>IF(ISERROR(AVERAGE(F$13:F941)),"n/a",AVERAGE(F$13:F941))</f>
        <v>117</v>
      </c>
      <c r="H941" s="11">
        <f t="shared" si="119"/>
        <v>117</v>
      </c>
      <c r="J941" s="5"/>
      <c r="K941" s="5"/>
      <c r="L941" s="5"/>
      <c r="M941" s="5"/>
      <c r="N941" s="5"/>
      <c r="O941" s="8" t="str">
        <f t="shared" si="117"/>
        <v>n/a</v>
      </c>
      <c r="Q941" s="5"/>
      <c r="R941" s="5"/>
      <c r="S941" s="5"/>
      <c r="U941" s="6"/>
      <c r="V941" s="9" t="str">
        <f t="shared" si="120"/>
        <v/>
      </c>
      <c r="W941" s="9" t="str">
        <f t="shared" si="121"/>
        <v/>
      </c>
      <c r="X941" s="10">
        <f>SUM(V$13:V941)/COUNTA(B$13:B941)</f>
        <v>7.5349838536060282E-3</v>
      </c>
      <c r="Z941" s="5"/>
      <c r="AA941" s="5"/>
      <c r="AC941" s="7"/>
      <c r="AE941" s="54" t="e">
        <f t="shared" si="122"/>
        <v>#N/A</v>
      </c>
      <c r="AF941" s="4" t="e">
        <f t="shared" si="118"/>
        <v>#N/A</v>
      </c>
    </row>
    <row r="942" spans="2:32">
      <c r="B942" s="5">
        <f t="shared" si="123"/>
        <v>930</v>
      </c>
      <c r="C942" s="5"/>
      <c r="E942" s="13"/>
      <c r="F942" s="5"/>
      <c r="G942" s="11">
        <f>IF(ISERROR(AVERAGE(F$13:F942)),"n/a",AVERAGE(F$13:F942))</f>
        <v>117</v>
      </c>
      <c r="H942" s="11">
        <f t="shared" si="119"/>
        <v>117</v>
      </c>
      <c r="J942" s="5"/>
      <c r="K942" s="5"/>
      <c r="L942" s="5"/>
      <c r="M942" s="5"/>
      <c r="N942" s="5"/>
      <c r="O942" s="8" t="str">
        <f t="shared" si="117"/>
        <v>n/a</v>
      </c>
      <c r="Q942" s="5"/>
      <c r="R942" s="5"/>
      <c r="S942" s="5"/>
      <c r="U942" s="6"/>
      <c r="V942" s="9" t="str">
        <f t="shared" si="120"/>
        <v/>
      </c>
      <c r="W942" s="9" t="str">
        <f t="shared" si="121"/>
        <v/>
      </c>
      <c r="X942" s="10">
        <f>SUM(V$13:V942)/COUNTA(B$13:B942)</f>
        <v>7.526881720430108E-3</v>
      </c>
      <c r="Z942" s="5"/>
      <c r="AA942" s="5"/>
      <c r="AC942" s="7"/>
      <c r="AE942" s="54" t="e">
        <f t="shared" si="122"/>
        <v>#N/A</v>
      </c>
      <c r="AF942" s="4" t="e">
        <f t="shared" si="118"/>
        <v>#N/A</v>
      </c>
    </row>
    <row r="943" spans="2:32">
      <c r="B943" s="5">
        <f t="shared" si="123"/>
        <v>931</v>
      </c>
      <c r="C943" s="5"/>
      <c r="E943" s="13"/>
      <c r="F943" s="5"/>
      <c r="G943" s="11">
        <f>IF(ISERROR(AVERAGE(F$13:F943)),"n/a",AVERAGE(F$13:F943))</f>
        <v>117</v>
      </c>
      <c r="H943" s="11">
        <f t="shared" si="119"/>
        <v>117</v>
      </c>
      <c r="J943" s="5"/>
      <c r="K943" s="5"/>
      <c r="L943" s="5"/>
      <c r="M943" s="5"/>
      <c r="N943" s="5"/>
      <c r="O943" s="8" t="str">
        <f t="shared" si="117"/>
        <v>n/a</v>
      </c>
      <c r="Q943" s="5"/>
      <c r="R943" s="5"/>
      <c r="S943" s="5"/>
      <c r="U943" s="6"/>
      <c r="V943" s="9" t="str">
        <f t="shared" si="120"/>
        <v/>
      </c>
      <c r="W943" s="9" t="str">
        <f t="shared" si="121"/>
        <v/>
      </c>
      <c r="X943" s="10">
        <f>SUM(V$13:V943)/COUNTA(B$13:B943)</f>
        <v>7.5187969924812026E-3</v>
      </c>
      <c r="Z943" s="5"/>
      <c r="AA943" s="5"/>
      <c r="AC943" s="7"/>
      <c r="AE943" s="54" t="e">
        <f t="shared" si="122"/>
        <v>#N/A</v>
      </c>
      <c r="AF943" s="4" t="e">
        <f t="shared" si="118"/>
        <v>#N/A</v>
      </c>
    </row>
    <row r="944" spans="2:32">
      <c r="B944" s="5">
        <f t="shared" si="123"/>
        <v>932</v>
      </c>
      <c r="C944" s="5"/>
      <c r="E944" s="13"/>
      <c r="F944" s="5"/>
      <c r="G944" s="11">
        <f>IF(ISERROR(AVERAGE(F$13:F944)),"n/a",AVERAGE(F$13:F944))</f>
        <v>117</v>
      </c>
      <c r="H944" s="11">
        <f t="shared" si="119"/>
        <v>117</v>
      </c>
      <c r="J944" s="5"/>
      <c r="K944" s="5"/>
      <c r="L944" s="5"/>
      <c r="M944" s="5"/>
      <c r="N944" s="5"/>
      <c r="O944" s="8" t="str">
        <f t="shared" si="117"/>
        <v>n/a</v>
      </c>
      <c r="Q944" s="5"/>
      <c r="R944" s="5"/>
      <c r="S944" s="5"/>
      <c r="U944" s="6"/>
      <c r="V944" s="9" t="str">
        <f t="shared" si="120"/>
        <v/>
      </c>
      <c r="W944" s="9" t="str">
        <f t="shared" si="121"/>
        <v/>
      </c>
      <c r="X944" s="10">
        <f>SUM(V$13:V944)/COUNTA(B$13:B944)</f>
        <v>7.5107296137339056E-3</v>
      </c>
      <c r="Z944" s="5"/>
      <c r="AA944" s="5"/>
      <c r="AC944" s="7"/>
      <c r="AE944" s="54" t="e">
        <f t="shared" si="122"/>
        <v>#N/A</v>
      </c>
      <c r="AF944" s="4" t="e">
        <f t="shared" si="118"/>
        <v>#N/A</v>
      </c>
    </row>
    <row r="945" spans="2:32">
      <c r="B945" s="5">
        <f t="shared" si="123"/>
        <v>933</v>
      </c>
      <c r="C945" s="5"/>
      <c r="E945" s="13"/>
      <c r="F945" s="5"/>
      <c r="G945" s="11">
        <f>IF(ISERROR(AVERAGE(F$13:F945)),"n/a",AVERAGE(F$13:F945))</f>
        <v>117</v>
      </c>
      <c r="H945" s="11">
        <f t="shared" si="119"/>
        <v>117</v>
      </c>
      <c r="J945" s="5"/>
      <c r="K945" s="5"/>
      <c r="L945" s="5"/>
      <c r="M945" s="5"/>
      <c r="N945" s="5"/>
      <c r="O945" s="8" t="str">
        <f t="shared" ref="O945:O1008" si="124">IF(J945=1,"A",IF(K945=1,"B",IF(L945=1,"C",IF(M945=1,"D",IF(N945=1,"E","n/a")))))</f>
        <v>n/a</v>
      </c>
      <c r="Q945" s="5"/>
      <c r="R945" s="5"/>
      <c r="S945" s="5"/>
      <c r="U945" s="6"/>
      <c r="V945" s="9" t="str">
        <f t="shared" si="120"/>
        <v/>
      </c>
      <c r="W945" s="9" t="str">
        <f t="shared" si="121"/>
        <v/>
      </c>
      <c r="X945" s="10">
        <f>SUM(V$13:V945)/COUNTA(B$13:B945)</f>
        <v>7.502679528403001E-3</v>
      </c>
      <c r="Z945" s="5"/>
      <c r="AA945" s="5"/>
      <c r="AC945" s="7"/>
      <c r="AE945" s="54" t="e">
        <f t="shared" si="122"/>
        <v>#N/A</v>
      </c>
      <c r="AF945" s="4" t="e">
        <f t="shared" si="118"/>
        <v>#N/A</v>
      </c>
    </row>
    <row r="946" spans="2:32">
      <c r="B946" s="5">
        <f t="shared" si="123"/>
        <v>934</v>
      </c>
      <c r="C946" s="5"/>
      <c r="E946" s="13"/>
      <c r="F946" s="5"/>
      <c r="G946" s="11">
        <f>IF(ISERROR(AVERAGE(F$13:F946)),"n/a",AVERAGE(F$13:F946))</f>
        <v>117</v>
      </c>
      <c r="H946" s="11">
        <f t="shared" si="119"/>
        <v>117</v>
      </c>
      <c r="J946" s="5"/>
      <c r="K946" s="5"/>
      <c r="L946" s="5"/>
      <c r="M946" s="5"/>
      <c r="N946" s="5"/>
      <c r="O946" s="8" t="str">
        <f t="shared" si="124"/>
        <v>n/a</v>
      </c>
      <c r="Q946" s="5"/>
      <c r="R946" s="5"/>
      <c r="S946" s="5"/>
      <c r="U946" s="6"/>
      <c r="V946" s="9" t="str">
        <f t="shared" si="120"/>
        <v/>
      </c>
      <c r="W946" s="9" t="str">
        <f t="shared" si="121"/>
        <v/>
      </c>
      <c r="X946" s="10">
        <f>SUM(V$13:V946)/COUNTA(B$13:B946)</f>
        <v>7.4946466809421844E-3</v>
      </c>
      <c r="Z946" s="5"/>
      <c r="AA946" s="5"/>
      <c r="AC946" s="7"/>
      <c r="AE946" s="54" t="e">
        <f t="shared" si="122"/>
        <v>#N/A</v>
      </c>
      <c r="AF946" s="4" t="e">
        <f t="shared" si="118"/>
        <v>#N/A</v>
      </c>
    </row>
    <row r="947" spans="2:32">
      <c r="B947" s="5">
        <f t="shared" si="123"/>
        <v>935</v>
      </c>
      <c r="C947" s="5"/>
      <c r="E947" s="13"/>
      <c r="F947" s="5"/>
      <c r="G947" s="11">
        <f>IF(ISERROR(AVERAGE(F$13:F947)),"n/a",AVERAGE(F$13:F947))</f>
        <v>117</v>
      </c>
      <c r="H947" s="11">
        <f t="shared" si="119"/>
        <v>117</v>
      </c>
      <c r="J947" s="5"/>
      <c r="K947" s="5"/>
      <c r="L947" s="5"/>
      <c r="M947" s="5"/>
      <c r="N947" s="5"/>
      <c r="O947" s="8" t="str">
        <f t="shared" si="124"/>
        <v>n/a</v>
      </c>
      <c r="Q947" s="5"/>
      <c r="R947" s="5"/>
      <c r="S947" s="5"/>
      <c r="U947" s="6"/>
      <c r="V947" s="9" t="str">
        <f t="shared" si="120"/>
        <v/>
      </c>
      <c r="W947" s="9" t="str">
        <f t="shared" si="121"/>
        <v/>
      </c>
      <c r="X947" s="10">
        <f>SUM(V$13:V947)/COUNTA(B$13:B947)</f>
        <v>7.4866310160427805E-3</v>
      </c>
      <c r="Z947" s="5"/>
      <c r="AA947" s="5"/>
      <c r="AC947" s="7"/>
      <c r="AE947" s="54" t="e">
        <f t="shared" si="122"/>
        <v>#N/A</v>
      </c>
      <c r="AF947" s="4" t="e">
        <f t="shared" si="118"/>
        <v>#N/A</v>
      </c>
    </row>
    <row r="948" spans="2:32">
      <c r="B948" s="5">
        <f t="shared" si="123"/>
        <v>936</v>
      </c>
      <c r="C948" s="5"/>
      <c r="E948" s="13"/>
      <c r="F948" s="5"/>
      <c r="G948" s="11">
        <f>IF(ISERROR(AVERAGE(F$13:F948)),"n/a",AVERAGE(F$13:F948))</f>
        <v>117</v>
      </c>
      <c r="H948" s="11">
        <f t="shared" si="119"/>
        <v>117</v>
      </c>
      <c r="J948" s="5"/>
      <c r="K948" s="5"/>
      <c r="L948" s="5"/>
      <c r="M948" s="5"/>
      <c r="N948" s="5"/>
      <c r="O948" s="8" t="str">
        <f t="shared" si="124"/>
        <v>n/a</v>
      </c>
      <c r="Q948" s="5"/>
      <c r="R948" s="5"/>
      <c r="S948" s="5"/>
      <c r="U948" s="6"/>
      <c r="V948" s="9" t="str">
        <f t="shared" si="120"/>
        <v/>
      </c>
      <c r="W948" s="9" t="str">
        <f t="shared" si="121"/>
        <v/>
      </c>
      <c r="X948" s="10">
        <f>SUM(V$13:V948)/COUNTA(B$13:B948)</f>
        <v>7.478632478632479E-3</v>
      </c>
      <c r="Z948" s="5"/>
      <c r="AA948" s="5"/>
      <c r="AC948" s="7"/>
      <c r="AE948" s="54" t="e">
        <f t="shared" si="122"/>
        <v>#N/A</v>
      </c>
      <c r="AF948" s="4" t="e">
        <f t="shared" si="118"/>
        <v>#N/A</v>
      </c>
    </row>
    <row r="949" spans="2:32">
      <c r="B949" s="5">
        <f t="shared" si="123"/>
        <v>937</v>
      </c>
      <c r="C949" s="5"/>
      <c r="E949" s="13"/>
      <c r="F949" s="5"/>
      <c r="G949" s="11">
        <f>IF(ISERROR(AVERAGE(F$13:F949)),"n/a",AVERAGE(F$13:F949))</f>
        <v>117</v>
      </c>
      <c r="H949" s="11">
        <f t="shared" si="119"/>
        <v>117</v>
      </c>
      <c r="J949" s="5"/>
      <c r="K949" s="5"/>
      <c r="L949" s="5"/>
      <c r="M949" s="5"/>
      <c r="N949" s="5"/>
      <c r="O949" s="8" t="str">
        <f t="shared" si="124"/>
        <v>n/a</v>
      </c>
      <c r="Q949" s="5"/>
      <c r="R949" s="5"/>
      <c r="S949" s="5"/>
      <c r="U949" s="6"/>
      <c r="V949" s="9" t="str">
        <f t="shared" si="120"/>
        <v/>
      </c>
      <c r="W949" s="9" t="str">
        <f t="shared" si="121"/>
        <v/>
      </c>
      <c r="X949" s="10">
        <f>SUM(V$13:V949)/COUNTA(B$13:B949)</f>
        <v>7.470651013874066E-3</v>
      </c>
      <c r="Z949" s="5"/>
      <c r="AA949" s="5"/>
      <c r="AC949" s="7"/>
      <c r="AE949" s="54" t="e">
        <f t="shared" si="122"/>
        <v>#N/A</v>
      </c>
      <c r="AF949" s="4" t="e">
        <f t="shared" si="118"/>
        <v>#N/A</v>
      </c>
    </row>
    <row r="950" spans="2:32">
      <c r="B950" s="5">
        <f t="shared" si="123"/>
        <v>938</v>
      </c>
      <c r="C950" s="5"/>
      <c r="E950" s="13"/>
      <c r="F950" s="5"/>
      <c r="G950" s="11">
        <f>IF(ISERROR(AVERAGE(F$13:F950)),"n/a",AVERAGE(F$13:F950))</f>
        <v>117</v>
      </c>
      <c r="H950" s="11">
        <f t="shared" si="119"/>
        <v>117</v>
      </c>
      <c r="J950" s="5"/>
      <c r="K950" s="5"/>
      <c r="L950" s="5"/>
      <c r="M950" s="5"/>
      <c r="N950" s="5"/>
      <c r="O950" s="8" t="str">
        <f t="shared" si="124"/>
        <v>n/a</v>
      </c>
      <c r="Q950" s="5"/>
      <c r="R950" s="5"/>
      <c r="S950" s="5"/>
      <c r="U950" s="6"/>
      <c r="V950" s="9" t="str">
        <f t="shared" si="120"/>
        <v/>
      </c>
      <c r="W950" s="9" t="str">
        <f t="shared" si="121"/>
        <v/>
      </c>
      <c r="X950" s="10">
        <f>SUM(V$13:V950)/COUNTA(B$13:B950)</f>
        <v>7.462686567164179E-3</v>
      </c>
      <c r="Z950" s="5"/>
      <c r="AA950" s="5"/>
      <c r="AC950" s="7"/>
      <c r="AE950" s="54" t="e">
        <f t="shared" si="122"/>
        <v>#N/A</v>
      </c>
      <c r="AF950" s="4" t="e">
        <f t="shared" si="118"/>
        <v>#N/A</v>
      </c>
    </row>
    <row r="951" spans="2:32">
      <c r="B951" s="5">
        <f t="shared" si="123"/>
        <v>939</v>
      </c>
      <c r="C951" s="5"/>
      <c r="E951" s="13"/>
      <c r="F951" s="5"/>
      <c r="G951" s="11">
        <f>IF(ISERROR(AVERAGE(F$13:F951)),"n/a",AVERAGE(F$13:F951))</f>
        <v>117</v>
      </c>
      <c r="H951" s="11">
        <f t="shared" si="119"/>
        <v>117</v>
      </c>
      <c r="J951" s="5"/>
      <c r="K951" s="5"/>
      <c r="L951" s="5"/>
      <c r="M951" s="5"/>
      <c r="N951" s="5"/>
      <c r="O951" s="8" t="str">
        <f t="shared" si="124"/>
        <v>n/a</v>
      </c>
      <c r="Q951" s="5"/>
      <c r="R951" s="5"/>
      <c r="S951" s="5"/>
      <c r="U951" s="6"/>
      <c r="V951" s="9" t="str">
        <f t="shared" si="120"/>
        <v/>
      </c>
      <c r="W951" s="9" t="str">
        <f t="shared" si="121"/>
        <v/>
      </c>
      <c r="X951" s="10">
        <f>SUM(V$13:V951)/COUNTA(B$13:B951)</f>
        <v>7.4547390841320556E-3</v>
      </c>
      <c r="Z951" s="5"/>
      <c r="AA951" s="5"/>
      <c r="AC951" s="7"/>
      <c r="AE951" s="54" t="e">
        <f t="shared" si="122"/>
        <v>#N/A</v>
      </c>
      <c r="AF951" s="4" t="e">
        <f t="shared" si="118"/>
        <v>#N/A</v>
      </c>
    </row>
    <row r="952" spans="2:32">
      <c r="B952" s="5">
        <f t="shared" si="123"/>
        <v>940</v>
      </c>
      <c r="C952" s="5"/>
      <c r="E952" s="13"/>
      <c r="F952" s="5"/>
      <c r="G952" s="11">
        <f>IF(ISERROR(AVERAGE(F$13:F952)),"n/a",AVERAGE(F$13:F952))</f>
        <v>117</v>
      </c>
      <c r="H952" s="11">
        <f t="shared" si="119"/>
        <v>117</v>
      </c>
      <c r="J952" s="5"/>
      <c r="K952" s="5"/>
      <c r="L952" s="5"/>
      <c r="M952" s="5"/>
      <c r="N952" s="5"/>
      <c r="O952" s="8" t="str">
        <f t="shared" si="124"/>
        <v>n/a</v>
      </c>
      <c r="Q952" s="5"/>
      <c r="R952" s="5"/>
      <c r="S952" s="5"/>
      <c r="U952" s="6"/>
      <c r="V952" s="9" t="str">
        <f t="shared" si="120"/>
        <v/>
      </c>
      <c r="W952" s="9" t="str">
        <f t="shared" si="121"/>
        <v/>
      </c>
      <c r="X952" s="10">
        <f>SUM(V$13:V952)/COUNTA(B$13:B952)</f>
        <v>7.4468085106382982E-3</v>
      </c>
      <c r="Z952" s="5"/>
      <c r="AA952" s="5"/>
      <c r="AC952" s="7"/>
      <c r="AE952" s="54" t="e">
        <f t="shared" si="122"/>
        <v>#N/A</v>
      </c>
      <c r="AF952" s="4" t="e">
        <f t="shared" si="118"/>
        <v>#N/A</v>
      </c>
    </row>
    <row r="953" spans="2:32">
      <c r="B953" s="5">
        <f t="shared" si="123"/>
        <v>941</v>
      </c>
      <c r="C953" s="5"/>
      <c r="E953" s="13"/>
      <c r="F953" s="5"/>
      <c r="G953" s="11">
        <f>IF(ISERROR(AVERAGE(F$13:F953)),"n/a",AVERAGE(F$13:F953))</f>
        <v>117</v>
      </c>
      <c r="H953" s="11">
        <f t="shared" si="119"/>
        <v>117</v>
      </c>
      <c r="J953" s="5"/>
      <c r="K953" s="5"/>
      <c r="L953" s="5"/>
      <c r="M953" s="5"/>
      <c r="N953" s="5"/>
      <c r="O953" s="8" t="str">
        <f t="shared" si="124"/>
        <v>n/a</v>
      </c>
      <c r="Q953" s="5"/>
      <c r="R953" s="5"/>
      <c r="S953" s="5"/>
      <c r="U953" s="6"/>
      <c r="V953" s="9" t="str">
        <f t="shared" si="120"/>
        <v/>
      </c>
      <c r="W953" s="9" t="str">
        <f t="shared" si="121"/>
        <v/>
      </c>
      <c r="X953" s="10">
        <f>SUM(V$13:V953)/COUNTA(B$13:B953)</f>
        <v>7.4388947927736451E-3</v>
      </c>
      <c r="Z953" s="5"/>
      <c r="AA953" s="5"/>
      <c r="AC953" s="7"/>
      <c r="AE953" s="54" t="e">
        <f t="shared" si="122"/>
        <v>#N/A</v>
      </c>
      <c r="AF953" s="4" t="e">
        <f t="shared" si="118"/>
        <v>#N/A</v>
      </c>
    </row>
    <row r="954" spans="2:32">
      <c r="B954" s="5">
        <f t="shared" si="123"/>
        <v>942</v>
      </c>
      <c r="C954" s="5"/>
      <c r="E954" s="13"/>
      <c r="F954" s="5"/>
      <c r="G954" s="11">
        <f>IF(ISERROR(AVERAGE(F$13:F954)),"n/a",AVERAGE(F$13:F954))</f>
        <v>117</v>
      </c>
      <c r="H954" s="11">
        <f t="shared" si="119"/>
        <v>117</v>
      </c>
      <c r="J954" s="5"/>
      <c r="K954" s="5"/>
      <c r="L954" s="5"/>
      <c r="M954" s="5"/>
      <c r="N954" s="5"/>
      <c r="O954" s="8" t="str">
        <f t="shared" si="124"/>
        <v>n/a</v>
      </c>
      <c r="Q954" s="5"/>
      <c r="R954" s="5"/>
      <c r="S954" s="5"/>
      <c r="U954" s="6"/>
      <c r="V954" s="9" t="str">
        <f t="shared" si="120"/>
        <v/>
      </c>
      <c r="W954" s="9" t="str">
        <f t="shared" si="121"/>
        <v/>
      </c>
      <c r="X954" s="10">
        <f>SUM(V$13:V954)/COUNTA(B$13:B954)</f>
        <v>7.4309978768577496E-3</v>
      </c>
      <c r="Z954" s="5"/>
      <c r="AA954" s="5"/>
      <c r="AC954" s="7"/>
      <c r="AE954" s="54" t="e">
        <f t="shared" si="122"/>
        <v>#N/A</v>
      </c>
      <c r="AF954" s="4" t="e">
        <f t="shared" si="118"/>
        <v>#N/A</v>
      </c>
    </row>
    <row r="955" spans="2:32">
      <c r="B955" s="5">
        <f t="shared" si="123"/>
        <v>943</v>
      </c>
      <c r="C955" s="5"/>
      <c r="E955" s="13"/>
      <c r="F955" s="5"/>
      <c r="G955" s="11">
        <f>IF(ISERROR(AVERAGE(F$13:F955)),"n/a",AVERAGE(F$13:F955))</f>
        <v>117</v>
      </c>
      <c r="H955" s="11">
        <f t="shared" si="119"/>
        <v>117</v>
      </c>
      <c r="J955" s="5"/>
      <c r="K955" s="5"/>
      <c r="L955" s="5"/>
      <c r="M955" s="5"/>
      <c r="N955" s="5"/>
      <c r="O955" s="8" t="str">
        <f t="shared" si="124"/>
        <v>n/a</v>
      </c>
      <c r="Q955" s="5"/>
      <c r="R955" s="5"/>
      <c r="S955" s="5"/>
      <c r="U955" s="6"/>
      <c r="V955" s="9" t="str">
        <f t="shared" si="120"/>
        <v/>
      </c>
      <c r="W955" s="9" t="str">
        <f t="shared" si="121"/>
        <v/>
      </c>
      <c r="X955" s="10">
        <f>SUM(V$13:V955)/COUNTA(B$13:B955)</f>
        <v>7.423117709437964E-3</v>
      </c>
      <c r="Z955" s="5"/>
      <c r="AA955" s="5"/>
      <c r="AC955" s="7"/>
      <c r="AE955" s="54" t="e">
        <f t="shared" si="122"/>
        <v>#N/A</v>
      </c>
      <c r="AF955" s="4" t="e">
        <f t="shared" si="118"/>
        <v>#N/A</v>
      </c>
    </row>
    <row r="956" spans="2:32">
      <c r="B956" s="5">
        <f t="shared" si="123"/>
        <v>944</v>
      </c>
      <c r="C956" s="5"/>
      <c r="E956" s="13"/>
      <c r="F956" s="5"/>
      <c r="G956" s="11">
        <f>IF(ISERROR(AVERAGE(F$13:F956)),"n/a",AVERAGE(F$13:F956))</f>
        <v>117</v>
      </c>
      <c r="H956" s="11">
        <f t="shared" si="119"/>
        <v>117</v>
      </c>
      <c r="J956" s="5"/>
      <c r="K956" s="5"/>
      <c r="L956" s="5"/>
      <c r="M956" s="5"/>
      <c r="N956" s="5"/>
      <c r="O956" s="8" t="str">
        <f t="shared" si="124"/>
        <v>n/a</v>
      </c>
      <c r="Q956" s="5"/>
      <c r="R956" s="5"/>
      <c r="S956" s="5"/>
      <c r="U956" s="6"/>
      <c r="V956" s="9" t="str">
        <f t="shared" si="120"/>
        <v/>
      </c>
      <c r="W956" s="9" t="str">
        <f t="shared" si="121"/>
        <v/>
      </c>
      <c r="X956" s="10">
        <f>SUM(V$13:V956)/COUNTA(B$13:B956)</f>
        <v>7.4152542372881358E-3</v>
      </c>
      <c r="Z956" s="5"/>
      <c r="AA956" s="5"/>
      <c r="AC956" s="7"/>
      <c r="AE956" s="54" t="e">
        <f t="shared" si="122"/>
        <v>#N/A</v>
      </c>
      <c r="AF956" s="4" t="e">
        <f t="shared" si="118"/>
        <v>#N/A</v>
      </c>
    </row>
    <row r="957" spans="2:32">
      <c r="B957" s="5">
        <f t="shared" si="123"/>
        <v>945</v>
      </c>
      <c r="C957" s="5"/>
      <c r="E957" s="13"/>
      <c r="F957" s="5"/>
      <c r="G957" s="11">
        <f>IF(ISERROR(AVERAGE(F$13:F957)),"n/a",AVERAGE(F$13:F957))</f>
        <v>117</v>
      </c>
      <c r="H957" s="11">
        <f t="shared" si="119"/>
        <v>117</v>
      </c>
      <c r="J957" s="5"/>
      <c r="K957" s="5"/>
      <c r="L957" s="5"/>
      <c r="M957" s="5"/>
      <c r="N957" s="5"/>
      <c r="O957" s="8" t="str">
        <f t="shared" si="124"/>
        <v>n/a</v>
      </c>
      <c r="Q957" s="5"/>
      <c r="R957" s="5"/>
      <c r="S957" s="5"/>
      <c r="U957" s="6"/>
      <c r="V957" s="9" t="str">
        <f t="shared" si="120"/>
        <v/>
      </c>
      <c r="W957" s="9" t="str">
        <f t="shared" si="121"/>
        <v/>
      </c>
      <c r="X957" s="10">
        <f>SUM(V$13:V957)/COUNTA(B$13:B957)</f>
        <v>7.4074074074074077E-3</v>
      </c>
      <c r="Z957" s="5"/>
      <c r="AA957" s="5"/>
      <c r="AC957" s="7"/>
      <c r="AE957" s="54" t="e">
        <f t="shared" si="122"/>
        <v>#N/A</v>
      </c>
      <c r="AF957" s="4" t="e">
        <f t="shared" si="118"/>
        <v>#N/A</v>
      </c>
    </row>
    <row r="958" spans="2:32">
      <c r="B958" s="5">
        <f t="shared" si="123"/>
        <v>946</v>
      </c>
      <c r="C958" s="5"/>
      <c r="E958" s="13"/>
      <c r="F958" s="5"/>
      <c r="G958" s="11">
        <f>IF(ISERROR(AVERAGE(F$13:F958)),"n/a",AVERAGE(F$13:F958))</f>
        <v>117</v>
      </c>
      <c r="H958" s="11">
        <f t="shared" si="119"/>
        <v>117</v>
      </c>
      <c r="J958" s="5"/>
      <c r="K958" s="5"/>
      <c r="L958" s="5"/>
      <c r="M958" s="5"/>
      <c r="N958" s="5"/>
      <c r="O958" s="8" t="str">
        <f t="shared" si="124"/>
        <v>n/a</v>
      </c>
      <c r="Q958" s="5"/>
      <c r="R958" s="5"/>
      <c r="S958" s="5"/>
      <c r="U958" s="6"/>
      <c r="V958" s="9" t="str">
        <f t="shared" si="120"/>
        <v/>
      </c>
      <c r="W958" s="9" t="str">
        <f t="shared" si="121"/>
        <v/>
      </c>
      <c r="X958" s="10">
        <f>SUM(V$13:V958)/COUNTA(B$13:B958)</f>
        <v>7.3995771670190271E-3</v>
      </c>
      <c r="Z958" s="5"/>
      <c r="AA958" s="5"/>
      <c r="AC958" s="7"/>
      <c r="AE958" s="54" t="e">
        <f t="shared" si="122"/>
        <v>#N/A</v>
      </c>
      <c r="AF958" s="4" t="e">
        <f t="shared" si="118"/>
        <v>#N/A</v>
      </c>
    </row>
    <row r="959" spans="2:32">
      <c r="B959" s="5">
        <f t="shared" si="123"/>
        <v>947</v>
      </c>
      <c r="C959" s="5"/>
      <c r="E959" s="13"/>
      <c r="F959" s="5"/>
      <c r="G959" s="11">
        <f>IF(ISERROR(AVERAGE(F$13:F959)),"n/a",AVERAGE(F$13:F959))</f>
        <v>117</v>
      </c>
      <c r="H959" s="11">
        <f t="shared" si="119"/>
        <v>117</v>
      </c>
      <c r="J959" s="5"/>
      <c r="K959" s="5"/>
      <c r="L959" s="5"/>
      <c r="M959" s="5"/>
      <c r="N959" s="5"/>
      <c r="O959" s="8" t="str">
        <f t="shared" si="124"/>
        <v>n/a</v>
      </c>
      <c r="Q959" s="5"/>
      <c r="R959" s="5"/>
      <c r="S959" s="5"/>
      <c r="U959" s="6"/>
      <c r="V959" s="9" t="str">
        <f t="shared" si="120"/>
        <v/>
      </c>
      <c r="W959" s="9" t="str">
        <f t="shared" si="121"/>
        <v/>
      </c>
      <c r="X959" s="10">
        <f>SUM(V$13:V959)/COUNTA(B$13:B959)</f>
        <v>7.3917634635691657E-3</v>
      </c>
      <c r="Z959" s="5"/>
      <c r="AA959" s="5"/>
      <c r="AC959" s="7"/>
      <c r="AE959" s="54" t="e">
        <f t="shared" si="122"/>
        <v>#N/A</v>
      </c>
      <c r="AF959" s="4" t="e">
        <f t="shared" si="118"/>
        <v>#N/A</v>
      </c>
    </row>
    <row r="960" spans="2:32">
      <c r="B960" s="5">
        <f t="shared" si="123"/>
        <v>948</v>
      </c>
      <c r="C960" s="5"/>
      <c r="E960" s="13"/>
      <c r="F960" s="5"/>
      <c r="G960" s="11">
        <f>IF(ISERROR(AVERAGE(F$13:F960)),"n/a",AVERAGE(F$13:F960))</f>
        <v>117</v>
      </c>
      <c r="H960" s="11">
        <f t="shared" si="119"/>
        <v>117</v>
      </c>
      <c r="J960" s="5"/>
      <c r="K960" s="5"/>
      <c r="L960" s="5"/>
      <c r="M960" s="5"/>
      <c r="N960" s="5"/>
      <c r="O960" s="8" t="str">
        <f t="shared" si="124"/>
        <v>n/a</v>
      </c>
      <c r="Q960" s="5"/>
      <c r="R960" s="5"/>
      <c r="S960" s="5"/>
      <c r="U960" s="6"/>
      <c r="V960" s="9" t="str">
        <f t="shared" si="120"/>
        <v/>
      </c>
      <c r="W960" s="9" t="str">
        <f t="shared" si="121"/>
        <v/>
      </c>
      <c r="X960" s="10">
        <f>SUM(V$13:V960)/COUNTA(B$13:B960)</f>
        <v>7.3839662447257384E-3</v>
      </c>
      <c r="Z960" s="5"/>
      <c r="AA960" s="5"/>
      <c r="AC960" s="7"/>
      <c r="AE960" s="54" t="e">
        <f t="shared" si="122"/>
        <v>#N/A</v>
      </c>
      <c r="AF960" s="4" t="e">
        <f t="shared" si="118"/>
        <v>#N/A</v>
      </c>
    </row>
    <row r="961" spans="2:32">
      <c r="B961" s="5">
        <f t="shared" si="123"/>
        <v>949</v>
      </c>
      <c r="C961" s="5"/>
      <c r="E961" s="13"/>
      <c r="F961" s="5"/>
      <c r="G961" s="11">
        <f>IF(ISERROR(AVERAGE(F$13:F961)),"n/a",AVERAGE(F$13:F961))</f>
        <v>117</v>
      </c>
      <c r="H961" s="11">
        <f t="shared" si="119"/>
        <v>117</v>
      </c>
      <c r="J961" s="5"/>
      <c r="K961" s="5"/>
      <c r="L961" s="5"/>
      <c r="M961" s="5"/>
      <c r="N961" s="5"/>
      <c r="O961" s="8" t="str">
        <f t="shared" si="124"/>
        <v>n/a</v>
      </c>
      <c r="Q961" s="5"/>
      <c r="R961" s="5"/>
      <c r="S961" s="5"/>
      <c r="U961" s="6"/>
      <c r="V961" s="9" t="str">
        <f t="shared" si="120"/>
        <v/>
      </c>
      <c r="W961" s="9" t="str">
        <f t="shared" si="121"/>
        <v/>
      </c>
      <c r="X961" s="10">
        <f>SUM(V$13:V961)/COUNTA(B$13:B961)</f>
        <v>7.3761854583772393E-3</v>
      </c>
      <c r="Z961" s="5"/>
      <c r="AA961" s="5"/>
      <c r="AC961" s="7"/>
      <c r="AE961" s="54" t="e">
        <f t="shared" si="122"/>
        <v>#N/A</v>
      </c>
      <c r="AF961" s="4" t="e">
        <f t="shared" si="118"/>
        <v>#N/A</v>
      </c>
    </row>
    <row r="962" spans="2:32">
      <c r="B962" s="5">
        <f t="shared" si="123"/>
        <v>950</v>
      </c>
      <c r="C962" s="5"/>
      <c r="E962" s="13"/>
      <c r="F962" s="5"/>
      <c r="G962" s="11">
        <f>IF(ISERROR(AVERAGE(F$13:F962)),"n/a",AVERAGE(F$13:F962))</f>
        <v>117</v>
      </c>
      <c r="H962" s="11">
        <f t="shared" si="119"/>
        <v>117</v>
      </c>
      <c r="J962" s="5"/>
      <c r="K962" s="5"/>
      <c r="L962" s="5"/>
      <c r="M962" s="5"/>
      <c r="N962" s="5"/>
      <c r="O962" s="8" t="str">
        <f t="shared" si="124"/>
        <v>n/a</v>
      </c>
      <c r="Q962" s="5"/>
      <c r="R962" s="5"/>
      <c r="S962" s="5"/>
      <c r="U962" s="6"/>
      <c r="V962" s="9" t="str">
        <f t="shared" si="120"/>
        <v/>
      </c>
      <c r="W962" s="9" t="str">
        <f t="shared" si="121"/>
        <v/>
      </c>
      <c r="X962" s="10">
        <f>SUM(V$13:V962)/COUNTA(B$13:B962)</f>
        <v>7.3684210526315788E-3</v>
      </c>
      <c r="Z962" s="5"/>
      <c r="AA962" s="5"/>
      <c r="AC962" s="7"/>
      <c r="AE962" s="54" t="e">
        <f t="shared" si="122"/>
        <v>#N/A</v>
      </c>
      <c r="AF962" s="4" t="e">
        <f t="shared" si="118"/>
        <v>#N/A</v>
      </c>
    </row>
    <row r="963" spans="2:32">
      <c r="B963" s="5">
        <f t="shared" si="123"/>
        <v>951</v>
      </c>
      <c r="C963" s="5"/>
      <c r="E963" s="13"/>
      <c r="F963" s="5"/>
      <c r="G963" s="11">
        <f>IF(ISERROR(AVERAGE(F$13:F963)),"n/a",AVERAGE(F$13:F963))</f>
        <v>117</v>
      </c>
      <c r="H963" s="11">
        <f t="shared" si="119"/>
        <v>117</v>
      </c>
      <c r="J963" s="5"/>
      <c r="K963" s="5"/>
      <c r="L963" s="5"/>
      <c r="M963" s="5"/>
      <c r="N963" s="5"/>
      <c r="O963" s="8" t="str">
        <f t="shared" si="124"/>
        <v>n/a</v>
      </c>
      <c r="Q963" s="5"/>
      <c r="R963" s="5"/>
      <c r="S963" s="5"/>
      <c r="U963" s="6"/>
      <c r="V963" s="9" t="str">
        <f t="shared" si="120"/>
        <v/>
      </c>
      <c r="W963" s="9" t="str">
        <f t="shared" si="121"/>
        <v/>
      </c>
      <c r="X963" s="10">
        <f>SUM(V$13:V963)/COUNTA(B$13:B963)</f>
        <v>7.3606729758149319E-3</v>
      </c>
      <c r="Z963" s="5"/>
      <c r="AA963" s="5"/>
      <c r="AC963" s="7"/>
      <c r="AE963" s="54" t="e">
        <f t="shared" si="122"/>
        <v>#N/A</v>
      </c>
      <c r="AF963" s="4" t="e">
        <f t="shared" si="118"/>
        <v>#N/A</v>
      </c>
    </row>
    <row r="964" spans="2:32">
      <c r="B964" s="5">
        <f t="shared" si="123"/>
        <v>952</v>
      </c>
      <c r="C964" s="5"/>
      <c r="E964" s="13"/>
      <c r="F964" s="5"/>
      <c r="G964" s="11">
        <f>IF(ISERROR(AVERAGE(F$13:F964)),"n/a",AVERAGE(F$13:F964))</f>
        <v>117</v>
      </c>
      <c r="H964" s="11">
        <f t="shared" si="119"/>
        <v>117</v>
      </c>
      <c r="J964" s="5"/>
      <c r="K964" s="5"/>
      <c r="L964" s="5"/>
      <c r="M964" s="5"/>
      <c r="N964" s="5"/>
      <c r="O964" s="8" t="str">
        <f t="shared" si="124"/>
        <v>n/a</v>
      </c>
      <c r="Q964" s="5"/>
      <c r="R964" s="5"/>
      <c r="S964" s="5"/>
      <c r="U964" s="6"/>
      <c r="V964" s="9" t="str">
        <f t="shared" si="120"/>
        <v/>
      </c>
      <c r="W964" s="9" t="str">
        <f t="shared" si="121"/>
        <v/>
      </c>
      <c r="X964" s="10">
        <f>SUM(V$13:V964)/COUNTA(B$13:B964)</f>
        <v>7.3529411764705881E-3</v>
      </c>
      <c r="Z964" s="5"/>
      <c r="AA964" s="5"/>
      <c r="AC964" s="7"/>
      <c r="AE964" s="54" t="e">
        <f t="shared" si="122"/>
        <v>#N/A</v>
      </c>
      <c r="AF964" s="4" t="e">
        <f t="shared" si="118"/>
        <v>#N/A</v>
      </c>
    </row>
    <row r="965" spans="2:32">
      <c r="B965" s="5">
        <f t="shared" si="123"/>
        <v>953</v>
      </c>
      <c r="C965" s="5"/>
      <c r="E965" s="13"/>
      <c r="F965" s="5"/>
      <c r="G965" s="11">
        <f>IF(ISERROR(AVERAGE(F$13:F965)),"n/a",AVERAGE(F$13:F965))</f>
        <v>117</v>
      </c>
      <c r="H965" s="11">
        <f t="shared" si="119"/>
        <v>117</v>
      </c>
      <c r="J965" s="5"/>
      <c r="K965" s="5"/>
      <c r="L965" s="5"/>
      <c r="M965" s="5"/>
      <c r="N965" s="5"/>
      <c r="O965" s="8" t="str">
        <f t="shared" si="124"/>
        <v>n/a</v>
      </c>
      <c r="Q965" s="5"/>
      <c r="R965" s="5"/>
      <c r="S965" s="5"/>
      <c r="U965" s="6"/>
      <c r="V965" s="9" t="str">
        <f t="shared" si="120"/>
        <v/>
      </c>
      <c r="W965" s="9" t="str">
        <f t="shared" si="121"/>
        <v/>
      </c>
      <c r="X965" s="10">
        <f>SUM(V$13:V965)/COUNTA(B$13:B965)</f>
        <v>7.3452256033578172E-3</v>
      </c>
      <c r="Z965" s="5"/>
      <c r="AA965" s="5"/>
      <c r="AC965" s="7"/>
      <c r="AE965" s="54" t="e">
        <f t="shared" si="122"/>
        <v>#N/A</v>
      </c>
      <c r="AF965" s="4" t="e">
        <f t="shared" si="118"/>
        <v>#N/A</v>
      </c>
    </row>
    <row r="966" spans="2:32">
      <c r="B966" s="5">
        <f t="shared" si="123"/>
        <v>954</v>
      </c>
      <c r="C966" s="5"/>
      <c r="E966" s="13"/>
      <c r="F966" s="5"/>
      <c r="G966" s="11">
        <f>IF(ISERROR(AVERAGE(F$13:F966)),"n/a",AVERAGE(F$13:F966))</f>
        <v>117</v>
      </c>
      <c r="H966" s="11">
        <f t="shared" si="119"/>
        <v>117</v>
      </c>
      <c r="J966" s="5"/>
      <c r="K966" s="5"/>
      <c r="L966" s="5"/>
      <c r="M966" s="5"/>
      <c r="N966" s="5"/>
      <c r="O966" s="8" t="str">
        <f t="shared" si="124"/>
        <v>n/a</v>
      </c>
      <c r="Q966" s="5"/>
      <c r="R966" s="5"/>
      <c r="S966" s="5"/>
      <c r="U966" s="6"/>
      <c r="V966" s="9" t="str">
        <f t="shared" si="120"/>
        <v/>
      </c>
      <c r="W966" s="9" t="str">
        <f t="shared" si="121"/>
        <v/>
      </c>
      <c r="X966" s="10">
        <f>SUM(V$13:V966)/COUNTA(B$13:B966)</f>
        <v>7.3375262054507341E-3</v>
      </c>
      <c r="Z966" s="5"/>
      <c r="AA966" s="5"/>
      <c r="AC966" s="7"/>
      <c r="AE966" s="54" t="e">
        <f t="shared" si="122"/>
        <v>#N/A</v>
      </c>
      <c r="AF966" s="4" t="e">
        <f t="shared" si="118"/>
        <v>#N/A</v>
      </c>
    </row>
    <row r="967" spans="2:32">
      <c r="B967" s="5">
        <f t="shared" si="123"/>
        <v>955</v>
      </c>
      <c r="C967" s="5"/>
      <c r="E967" s="13"/>
      <c r="F967" s="5"/>
      <c r="G967" s="11">
        <f>IF(ISERROR(AVERAGE(F$13:F967)),"n/a",AVERAGE(F$13:F967))</f>
        <v>117</v>
      </c>
      <c r="H967" s="11">
        <f t="shared" si="119"/>
        <v>117</v>
      </c>
      <c r="J967" s="5"/>
      <c r="K967" s="5"/>
      <c r="L967" s="5"/>
      <c r="M967" s="5"/>
      <c r="N967" s="5"/>
      <c r="O967" s="8" t="str">
        <f t="shared" si="124"/>
        <v>n/a</v>
      </c>
      <c r="Q967" s="5"/>
      <c r="R967" s="5"/>
      <c r="S967" s="5"/>
      <c r="U967" s="6"/>
      <c r="V967" s="9" t="str">
        <f t="shared" si="120"/>
        <v/>
      </c>
      <c r="W967" s="9" t="str">
        <f t="shared" si="121"/>
        <v/>
      </c>
      <c r="X967" s="10">
        <f>SUM(V$13:V967)/COUNTA(B$13:B967)</f>
        <v>7.3298429319371729E-3</v>
      </c>
      <c r="Z967" s="5"/>
      <c r="AA967" s="5"/>
      <c r="AC967" s="7"/>
      <c r="AE967" s="54" t="e">
        <f t="shared" si="122"/>
        <v>#N/A</v>
      </c>
      <c r="AF967" s="4" t="e">
        <f t="shared" si="118"/>
        <v>#N/A</v>
      </c>
    </row>
    <row r="968" spans="2:32">
      <c r="B968" s="5">
        <f t="shared" si="123"/>
        <v>956</v>
      </c>
      <c r="C968" s="5"/>
      <c r="E968" s="13"/>
      <c r="F968" s="5"/>
      <c r="G968" s="11">
        <f>IF(ISERROR(AVERAGE(F$13:F968)),"n/a",AVERAGE(F$13:F968))</f>
        <v>117</v>
      </c>
      <c r="H968" s="11">
        <f t="shared" si="119"/>
        <v>117</v>
      </c>
      <c r="J968" s="5"/>
      <c r="K968" s="5"/>
      <c r="L968" s="5"/>
      <c r="M968" s="5"/>
      <c r="N968" s="5"/>
      <c r="O968" s="8" t="str">
        <f t="shared" si="124"/>
        <v>n/a</v>
      </c>
      <c r="Q968" s="5"/>
      <c r="R968" s="5"/>
      <c r="S968" s="5"/>
      <c r="U968" s="6"/>
      <c r="V968" s="9" t="str">
        <f t="shared" si="120"/>
        <v/>
      </c>
      <c r="W968" s="9" t="str">
        <f t="shared" si="121"/>
        <v/>
      </c>
      <c r="X968" s="10">
        <f>SUM(V$13:V968)/COUNTA(B$13:B968)</f>
        <v>7.3221757322175732E-3</v>
      </c>
      <c r="Z968" s="5"/>
      <c r="AA968" s="5"/>
      <c r="AC968" s="7"/>
      <c r="AE968" s="54" t="e">
        <f t="shared" si="122"/>
        <v>#N/A</v>
      </c>
      <c r="AF968" s="4" t="e">
        <f t="shared" si="118"/>
        <v>#N/A</v>
      </c>
    </row>
    <row r="969" spans="2:32">
      <c r="B969" s="5">
        <f t="shared" si="123"/>
        <v>957</v>
      </c>
      <c r="C969" s="5"/>
      <c r="E969" s="13"/>
      <c r="F969" s="5"/>
      <c r="G969" s="11">
        <f>IF(ISERROR(AVERAGE(F$13:F969)),"n/a",AVERAGE(F$13:F969))</f>
        <v>117</v>
      </c>
      <c r="H969" s="11">
        <f t="shared" si="119"/>
        <v>117</v>
      </c>
      <c r="J969" s="5"/>
      <c r="K969" s="5"/>
      <c r="L969" s="5"/>
      <c r="M969" s="5"/>
      <c r="N969" s="5"/>
      <c r="O969" s="8" t="str">
        <f t="shared" si="124"/>
        <v>n/a</v>
      </c>
      <c r="Q969" s="5"/>
      <c r="R969" s="5"/>
      <c r="S969" s="5"/>
      <c r="U969" s="6"/>
      <c r="V969" s="9" t="str">
        <f t="shared" si="120"/>
        <v/>
      </c>
      <c r="W969" s="9" t="str">
        <f t="shared" si="121"/>
        <v/>
      </c>
      <c r="X969" s="10">
        <f>SUM(V$13:V969)/COUNTA(B$13:B969)</f>
        <v>7.3145245559038665E-3</v>
      </c>
      <c r="Z969" s="5"/>
      <c r="AA969" s="5"/>
      <c r="AC969" s="7"/>
      <c r="AE969" s="54" t="e">
        <f t="shared" si="122"/>
        <v>#N/A</v>
      </c>
      <c r="AF969" s="4" t="e">
        <f t="shared" si="118"/>
        <v>#N/A</v>
      </c>
    </row>
    <row r="970" spans="2:32">
      <c r="B970" s="5">
        <f t="shared" si="123"/>
        <v>958</v>
      </c>
      <c r="C970" s="5"/>
      <c r="E970" s="13"/>
      <c r="F970" s="5"/>
      <c r="G970" s="11">
        <f>IF(ISERROR(AVERAGE(F$13:F970)),"n/a",AVERAGE(F$13:F970))</f>
        <v>117</v>
      </c>
      <c r="H970" s="11">
        <f t="shared" si="119"/>
        <v>117</v>
      </c>
      <c r="J970" s="5"/>
      <c r="K970" s="5"/>
      <c r="L970" s="5"/>
      <c r="M970" s="5"/>
      <c r="N970" s="5"/>
      <c r="O970" s="8" t="str">
        <f t="shared" si="124"/>
        <v>n/a</v>
      </c>
      <c r="Q970" s="5"/>
      <c r="R970" s="5"/>
      <c r="S970" s="5"/>
      <c r="U970" s="6"/>
      <c r="V970" s="9" t="str">
        <f t="shared" si="120"/>
        <v/>
      </c>
      <c r="W970" s="9" t="str">
        <f t="shared" si="121"/>
        <v/>
      </c>
      <c r="X970" s="10">
        <f>SUM(V$13:V970)/COUNTA(B$13:B970)</f>
        <v>7.3068893528183713E-3</v>
      </c>
      <c r="Z970" s="5"/>
      <c r="AA970" s="5"/>
      <c r="AC970" s="7"/>
      <c r="AE970" s="54" t="e">
        <f t="shared" si="122"/>
        <v>#N/A</v>
      </c>
      <c r="AF970" s="4" t="e">
        <f t="shared" si="118"/>
        <v>#N/A</v>
      </c>
    </row>
    <row r="971" spans="2:32">
      <c r="B971" s="5">
        <f t="shared" si="123"/>
        <v>959</v>
      </c>
      <c r="C971" s="5"/>
      <c r="E971" s="13"/>
      <c r="F971" s="5"/>
      <c r="G971" s="11">
        <f>IF(ISERROR(AVERAGE(F$13:F971)),"n/a",AVERAGE(F$13:F971))</f>
        <v>117</v>
      </c>
      <c r="H971" s="11">
        <f t="shared" si="119"/>
        <v>117</v>
      </c>
      <c r="J971" s="5"/>
      <c r="K971" s="5"/>
      <c r="L971" s="5"/>
      <c r="M971" s="5"/>
      <c r="N971" s="5"/>
      <c r="O971" s="8" t="str">
        <f t="shared" si="124"/>
        <v>n/a</v>
      </c>
      <c r="Q971" s="5"/>
      <c r="R971" s="5"/>
      <c r="S971" s="5"/>
      <c r="U971" s="6"/>
      <c r="V971" s="9" t="str">
        <f t="shared" si="120"/>
        <v/>
      </c>
      <c r="W971" s="9" t="str">
        <f t="shared" si="121"/>
        <v/>
      </c>
      <c r="X971" s="10">
        <f>SUM(V$13:V971)/COUNTA(B$13:B971)</f>
        <v>7.2992700729927005E-3</v>
      </c>
      <c r="Z971" s="5"/>
      <c r="AA971" s="5"/>
      <c r="AC971" s="7"/>
      <c r="AE971" s="54" t="e">
        <f t="shared" si="122"/>
        <v>#N/A</v>
      </c>
      <c r="AF971" s="4" t="e">
        <f t="shared" si="118"/>
        <v>#N/A</v>
      </c>
    </row>
    <row r="972" spans="2:32">
      <c r="B972" s="5">
        <f t="shared" si="123"/>
        <v>960</v>
      </c>
      <c r="C972" s="5"/>
      <c r="E972" s="13"/>
      <c r="F972" s="5"/>
      <c r="G972" s="11">
        <f>IF(ISERROR(AVERAGE(F$13:F972)),"n/a",AVERAGE(F$13:F972))</f>
        <v>117</v>
      </c>
      <c r="H972" s="11">
        <f t="shared" si="119"/>
        <v>117</v>
      </c>
      <c r="J972" s="5"/>
      <c r="K972" s="5"/>
      <c r="L972" s="5"/>
      <c r="M972" s="5"/>
      <c r="N972" s="5"/>
      <c r="O972" s="8" t="str">
        <f t="shared" si="124"/>
        <v>n/a</v>
      </c>
      <c r="Q972" s="5"/>
      <c r="R972" s="5"/>
      <c r="S972" s="5"/>
      <c r="U972" s="6"/>
      <c r="V972" s="9" t="str">
        <f t="shared" si="120"/>
        <v/>
      </c>
      <c r="W972" s="9" t="str">
        <f t="shared" si="121"/>
        <v/>
      </c>
      <c r="X972" s="10">
        <f>SUM(V$13:V972)/COUNTA(B$13:B972)</f>
        <v>7.2916666666666668E-3</v>
      </c>
      <c r="Z972" s="5"/>
      <c r="AA972" s="5"/>
      <c r="AC972" s="7"/>
      <c r="AE972" s="54" t="e">
        <f t="shared" si="122"/>
        <v>#N/A</v>
      </c>
      <c r="AF972" s="4" t="e">
        <f t="shared" si="118"/>
        <v>#N/A</v>
      </c>
    </row>
    <row r="973" spans="2:32">
      <c r="B973" s="5">
        <f t="shared" si="123"/>
        <v>961</v>
      </c>
      <c r="C973" s="5"/>
      <c r="E973" s="13"/>
      <c r="F973" s="5"/>
      <c r="G973" s="11">
        <f>IF(ISERROR(AVERAGE(F$13:F973)),"n/a",AVERAGE(F$13:F973))</f>
        <v>117</v>
      </c>
      <c r="H973" s="11">
        <f t="shared" si="119"/>
        <v>117</v>
      </c>
      <c r="J973" s="5"/>
      <c r="K973" s="5"/>
      <c r="L973" s="5"/>
      <c r="M973" s="5"/>
      <c r="N973" s="5"/>
      <c r="O973" s="8" t="str">
        <f t="shared" si="124"/>
        <v>n/a</v>
      </c>
      <c r="Q973" s="5"/>
      <c r="R973" s="5"/>
      <c r="S973" s="5"/>
      <c r="U973" s="6"/>
      <c r="V973" s="9" t="str">
        <f t="shared" si="120"/>
        <v/>
      </c>
      <c r="W973" s="9" t="str">
        <f t="shared" si="121"/>
        <v/>
      </c>
      <c r="X973" s="10">
        <f>SUM(V$13:V973)/COUNTA(B$13:B973)</f>
        <v>7.2840790842872011E-3</v>
      </c>
      <c r="Z973" s="5"/>
      <c r="AA973" s="5"/>
      <c r="AC973" s="7"/>
      <c r="AE973" s="54" t="e">
        <f t="shared" si="122"/>
        <v>#N/A</v>
      </c>
      <c r="AF973" s="4" t="e">
        <f t="shared" ref="AF973:AF1012" si="125">HLOOKUP(C973,$K$6:$O$7,2,FALSE)</f>
        <v>#N/A</v>
      </c>
    </row>
    <row r="974" spans="2:32">
      <c r="B974" s="5">
        <f t="shared" si="123"/>
        <v>962</v>
      </c>
      <c r="C974" s="5"/>
      <c r="E974" s="13"/>
      <c r="F974" s="5"/>
      <c r="G974" s="11">
        <f>IF(ISERROR(AVERAGE(F$13:F974)),"n/a",AVERAGE(F$13:F974))</f>
        <v>117</v>
      </c>
      <c r="H974" s="11">
        <f t="shared" ref="H974:H1012" si="126">G974</f>
        <v>117</v>
      </c>
      <c r="J974" s="5"/>
      <c r="K974" s="5"/>
      <c r="L974" s="5"/>
      <c r="M974" s="5"/>
      <c r="N974" s="5"/>
      <c r="O974" s="8" t="str">
        <f t="shared" si="124"/>
        <v>n/a</v>
      </c>
      <c r="Q974" s="5"/>
      <c r="R974" s="5"/>
      <c r="S974" s="5"/>
      <c r="U974" s="6"/>
      <c r="V974" s="9" t="str">
        <f t="shared" ref="V974:V1012" si="127">IF(O974="n/a","",IF(O974=U974,1,""))</f>
        <v/>
      </c>
      <c r="W974" s="9" t="str">
        <f t="shared" ref="W974:W1012" si="128">IF(O974="n/a","",IF(O974&lt;&gt;U974,1,""))</f>
        <v/>
      </c>
      <c r="X974" s="10">
        <f>SUM(V$13:V974)/COUNTA(B$13:B974)</f>
        <v>7.2765072765072769E-3</v>
      </c>
      <c r="Z974" s="5"/>
      <c r="AA974" s="5"/>
      <c r="AC974" s="7"/>
      <c r="AE974" s="54" t="e">
        <f t="shared" ref="AE974:AE1012" si="129">+IF($F$4=0,0,IF(W974=1,1,IF(OR(R974*$F$8=1,S974*$F$9=1,F974&gt;=AF974),2,0)))</f>
        <v>#N/A</v>
      </c>
      <c r="AF974" s="4" t="e">
        <f t="shared" si="125"/>
        <v>#N/A</v>
      </c>
    </row>
    <row r="975" spans="2:32">
      <c r="B975" s="5">
        <f t="shared" si="123"/>
        <v>963</v>
      </c>
      <c r="C975" s="5"/>
      <c r="E975" s="13"/>
      <c r="F975" s="5"/>
      <c r="G975" s="11">
        <f>IF(ISERROR(AVERAGE(F$13:F975)),"n/a",AVERAGE(F$13:F975))</f>
        <v>117</v>
      </c>
      <c r="H975" s="11">
        <f t="shared" si="126"/>
        <v>117</v>
      </c>
      <c r="J975" s="5"/>
      <c r="K975" s="5"/>
      <c r="L975" s="5"/>
      <c r="M975" s="5"/>
      <c r="N975" s="5"/>
      <c r="O975" s="8" t="str">
        <f t="shared" si="124"/>
        <v>n/a</v>
      </c>
      <c r="Q975" s="5"/>
      <c r="R975" s="5"/>
      <c r="S975" s="5"/>
      <c r="U975" s="6"/>
      <c r="V975" s="9" t="str">
        <f t="shared" si="127"/>
        <v/>
      </c>
      <c r="W975" s="9" t="str">
        <f t="shared" si="128"/>
        <v/>
      </c>
      <c r="X975" s="10">
        <f>SUM(V$13:V975)/COUNTA(B$13:B975)</f>
        <v>7.2689511941848393E-3</v>
      </c>
      <c r="Z975" s="5"/>
      <c r="AA975" s="5"/>
      <c r="AC975" s="7"/>
      <c r="AE975" s="54" t="e">
        <f t="shared" si="129"/>
        <v>#N/A</v>
      </c>
      <c r="AF975" s="4" t="e">
        <f t="shared" si="125"/>
        <v>#N/A</v>
      </c>
    </row>
    <row r="976" spans="2:32">
      <c r="B976" s="5">
        <f t="shared" si="123"/>
        <v>964</v>
      </c>
      <c r="C976" s="5"/>
      <c r="E976" s="13"/>
      <c r="F976" s="5"/>
      <c r="G976" s="11">
        <f>IF(ISERROR(AVERAGE(F$13:F976)),"n/a",AVERAGE(F$13:F976))</f>
        <v>117</v>
      </c>
      <c r="H976" s="11">
        <f t="shared" si="126"/>
        <v>117</v>
      </c>
      <c r="J976" s="5"/>
      <c r="K976" s="5"/>
      <c r="L976" s="5"/>
      <c r="M976" s="5"/>
      <c r="N976" s="5"/>
      <c r="O976" s="8" t="str">
        <f t="shared" si="124"/>
        <v>n/a</v>
      </c>
      <c r="Q976" s="5"/>
      <c r="R976" s="5"/>
      <c r="S976" s="5"/>
      <c r="U976" s="6"/>
      <c r="V976" s="9" t="str">
        <f t="shared" si="127"/>
        <v/>
      </c>
      <c r="W976" s="9" t="str">
        <f t="shared" si="128"/>
        <v/>
      </c>
      <c r="X976" s="10">
        <f>SUM(V$13:V976)/COUNTA(B$13:B976)</f>
        <v>7.261410788381743E-3</v>
      </c>
      <c r="Z976" s="5"/>
      <c r="AA976" s="5"/>
      <c r="AC976" s="7"/>
      <c r="AE976" s="54" t="e">
        <f t="shared" si="129"/>
        <v>#N/A</v>
      </c>
      <c r="AF976" s="4" t="e">
        <f t="shared" si="125"/>
        <v>#N/A</v>
      </c>
    </row>
    <row r="977" spans="2:32">
      <c r="B977" s="5">
        <f t="shared" si="123"/>
        <v>965</v>
      </c>
      <c r="C977" s="5"/>
      <c r="E977" s="13"/>
      <c r="F977" s="5"/>
      <c r="G977" s="11">
        <f>IF(ISERROR(AVERAGE(F$13:F977)),"n/a",AVERAGE(F$13:F977))</f>
        <v>117</v>
      </c>
      <c r="H977" s="11">
        <f t="shared" si="126"/>
        <v>117</v>
      </c>
      <c r="J977" s="5"/>
      <c r="K977" s="5"/>
      <c r="L977" s="5"/>
      <c r="M977" s="5"/>
      <c r="N977" s="5"/>
      <c r="O977" s="8" t="str">
        <f t="shared" si="124"/>
        <v>n/a</v>
      </c>
      <c r="Q977" s="5"/>
      <c r="R977" s="5"/>
      <c r="S977" s="5"/>
      <c r="U977" s="6"/>
      <c r="V977" s="9" t="str">
        <f t="shared" si="127"/>
        <v/>
      </c>
      <c r="W977" s="9" t="str">
        <f t="shared" si="128"/>
        <v/>
      </c>
      <c r="X977" s="10">
        <f>SUM(V$13:V977)/COUNTA(B$13:B977)</f>
        <v>7.2538860103626944E-3</v>
      </c>
      <c r="Z977" s="5"/>
      <c r="AA977" s="5"/>
      <c r="AC977" s="7"/>
      <c r="AE977" s="54" t="e">
        <f t="shared" si="129"/>
        <v>#N/A</v>
      </c>
      <c r="AF977" s="4" t="e">
        <f t="shared" si="125"/>
        <v>#N/A</v>
      </c>
    </row>
    <row r="978" spans="2:32">
      <c r="B978" s="5">
        <f t="shared" si="123"/>
        <v>966</v>
      </c>
      <c r="C978" s="5"/>
      <c r="E978" s="13"/>
      <c r="F978" s="5"/>
      <c r="G978" s="11">
        <f>IF(ISERROR(AVERAGE(F$13:F978)),"n/a",AVERAGE(F$13:F978))</f>
        <v>117</v>
      </c>
      <c r="H978" s="11">
        <f t="shared" si="126"/>
        <v>117</v>
      </c>
      <c r="J978" s="5"/>
      <c r="K978" s="5"/>
      <c r="L978" s="5"/>
      <c r="M978" s="5"/>
      <c r="N978" s="5"/>
      <c r="O978" s="8" t="str">
        <f t="shared" si="124"/>
        <v>n/a</v>
      </c>
      <c r="Q978" s="5"/>
      <c r="R978" s="5"/>
      <c r="S978" s="5"/>
      <c r="U978" s="6"/>
      <c r="V978" s="9" t="str">
        <f t="shared" si="127"/>
        <v/>
      </c>
      <c r="W978" s="9" t="str">
        <f t="shared" si="128"/>
        <v/>
      </c>
      <c r="X978" s="10">
        <f>SUM(V$13:V978)/COUNTA(B$13:B978)</f>
        <v>7.246376811594203E-3</v>
      </c>
      <c r="Z978" s="5"/>
      <c r="AA978" s="5"/>
      <c r="AC978" s="7"/>
      <c r="AE978" s="54" t="e">
        <f t="shared" si="129"/>
        <v>#N/A</v>
      </c>
      <c r="AF978" s="4" t="e">
        <f t="shared" si="125"/>
        <v>#N/A</v>
      </c>
    </row>
    <row r="979" spans="2:32">
      <c r="B979" s="5">
        <f t="shared" ref="B979:B1012" si="130">+B978+1</f>
        <v>967</v>
      </c>
      <c r="C979" s="5"/>
      <c r="E979" s="13"/>
      <c r="F979" s="5"/>
      <c r="G979" s="11">
        <f>IF(ISERROR(AVERAGE(F$13:F979)),"n/a",AVERAGE(F$13:F979))</f>
        <v>117</v>
      </c>
      <c r="H979" s="11">
        <f t="shared" si="126"/>
        <v>117</v>
      </c>
      <c r="J979" s="5"/>
      <c r="K979" s="5"/>
      <c r="L979" s="5"/>
      <c r="M979" s="5"/>
      <c r="N979" s="5"/>
      <c r="O979" s="8" t="str">
        <f t="shared" si="124"/>
        <v>n/a</v>
      </c>
      <c r="Q979" s="5"/>
      <c r="R979" s="5"/>
      <c r="S979" s="5"/>
      <c r="U979" s="6"/>
      <c r="V979" s="9" t="str">
        <f t="shared" si="127"/>
        <v/>
      </c>
      <c r="W979" s="9" t="str">
        <f t="shared" si="128"/>
        <v/>
      </c>
      <c r="X979" s="10">
        <f>SUM(V$13:V979)/COUNTA(B$13:B979)</f>
        <v>7.2388831437435368E-3</v>
      </c>
      <c r="Z979" s="5"/>
      <c r="AA979" s="5"/>
      <c r="AC979" s="7"/>
      <c r="AE979" s="54" t="e">
        <f t="shared" si="129"/>
        <v>#N/A</v>
      </c>
      <c r="AF979" s="4" t="e">
        <f t="shared" si="125"/>
        <v>#N/A</v>
      </c>
    </row>
    <row r="980" spans="2:32">
      <c r="B980" s="5">
        <f t="shared" si="130"/>
        <v>968</v>
      </c>
      <c r="C980" s="5"/>
      <c r="E980" s="13"/>
      <c r="F980" s="5"/>
      <c r="G980" s="11">
        <f>IF(ISERROR(AVERAGE(F$13:F980)),"n/a",AVERAGE(F$13:F980))</f>
        <v>117</v>
      </c>
      <c r="H980" s="11">
        <f t="shared" si="126"/>
        <v>117</v>
      </c>
      <c r="J980" s="5"/>
      <c r="K980" s="5"/>
      <c r="L980" s="5"/>
      <c r="M980" s="5"/>
      <c r="N980" s="5"/>
      <c r="O980" s="8" t="str">
        <f t="shared" si="124"/>
        <v>n/a</v>
      </c>
      <c r="Q980" s="5"/>
      <c r="R980" s="5"/>
      <c r="S980" s="5"/>
      <c r="U980" s="6"/>
      <c r="V980" s="9" t="str">
        <f t="shared" si="127"/>
        <v/>
      </c>
      <c r="W980" s="9" t="str">
        <f t="shared" si="128"/>
        <v/>
      </c>
      <c r="X980" s="10">
        <f>SUM(V$13:V980)/COUNTA(B$13:B980)</f>
        <v>7.2314049586776862E-3</v>
      </c>
      <c r="Z980" s="5"/>
      <c r="AA980" s="5"/>
      <c r="AC980" s="7"/>
      <c r="AE980" s="54" t="e">
        <f t="shared" si="129"/>
        <v>#N/A</v>
      </c>
      <c r="AF980" s="4" t="e">
        <f t="shared" si="125"/>
        <v>#N/A</v>
      </c>
    </row>
    <row r="981" spans="2:32">
      <c r="B981" s="5">
        <f t="shared" si="130"/>
        <v>969</v>
      </c>
      <c r="C981" s="5"/>
      <c r="E981" s="13"/>
      <c r="F981" s="5"/>
      <c r="G981" s="11">
        <f>IF(ISERROR(AVERAGE(F$13:F981)),"n/a",AVERAGE(F$13:F981))</f>
        <v>117</v>
      </c>
      <c r="H981" s="11">
        <f t="shared" si="126"/>
        <v>117</v>
      </c>
      <c r="J981" s="5"/>
      <c r="K981" s="5"/>
      <c r="L981" s="5"/>
      <c r="M981" s="5"/>
      <c r="N981" s="5"/>
      <c r="O981" s="8" t="str">
        <f t="shared" si="124"/>
        <v>n/a</v>
      </c>
      <c r="Q981" s="5"/>
      <c r="R981" s="5"/>
      <c r="S981" s="5"/>
      <c r="U981" s="6"/>
      <c r="V981" s="9" t="str">
        <f t="shared" si="127"/>
        <v/>
      </c>
      <c r="W981" s="9" t="str">
        <f t="shared" si="128"/>
        <v/>
      </c>
      <c r="X981" s="10">
        <f>SUM(V$13:V981)/COUNTA(B$13:B981)</f>
        <v>7.2239422084623322E-3</v>
      </c>
      <c r="Z981" s="5"/>
      <c r="AA981" s="5"/>
      <c r="AC981" s="7"/>
      <c r="AE981" s="54" t="e">
        <f t="shared" si="129"/>
        <v>#N/A</v>
      </c>
      <c r="AF981" s="4" t="e">
        <f t="shared" si="125"/>
        <v>#N/A</v>
      </c>
    </row>
    <row r="982" spans="2:32">
      <c r="B982" s="5">
        <f t="shared" si="130"/>
        <v>970</v>
      </c>
      <c r="C982" s="5"/>
      <c r="E982" s="13"/>
      <c r="F982" s="5"/>
      <c r="G982" s="11">
        <f>IF(ISERROR(AVERAGE(F$13:F982)),"n/a",AVERAGE(F$13:F982))</f>
        <v>117</v>
      </c>
      <c r="H982" s="11">
        <f t="shared" si="126"/>
        <v>117</v>
      </c>
      <c r="J982" s="5"/>
      <c r="K982" s="5"/>
      <c r="L982" s="5"/>
      <c r="M982" s="5"/>
      <c r="N982" s="5"/>
      <c r="O982" s="8" t="str">
        <f t="shared" si="124"/>
        <v>n/a</v>
      </c>
      <c r="Q982" s="5"/>
      <c r="R982" s="5"/>
      <c r="S982" s="5"/>
      <c r="U982" s="6"/>
      <c r="V982" s="9" t="str">
        <f t="shared" si="127"/>
        <v/>
      </c>
      <c r="W982" s="9" t="str">
        <f t="shared" si="128"/>
        <v/>
      </c>
      <c r="X982" s="10">
        <f>SUM(V$13:V982)/COUNTA(B$13:B982)</f>
        <v>7.2164948453608251E-3</v>
      </c>
      <c r="Z982" s="5"/>
      <c r="AA982" s="5"/>
      <c r="AC982" s="7"/>
      <c r="AE982" s="54" t="e">
        <f t="shared" si="129"/>
        <v>#N/A</v>
      </c>
      <c r="AF982" s="4" t="e">
        <f t="shared" si="125"/>
        <v>#N/A</v>
      </c>
    </row>
    <row r="983" spans="2:32">
      <c r="B983" s="5">
        <f t="shared" si="130"/>
        <v>971</v>
      </c>
      <c r="C983" s="5"/>
      <c r="E983" s="13"/>
      <c r="F983" s="5"/>
      <c r="G983" s="11">
        <f>IF(ISERROR(AVERAGE(F$13:F983)),"n/a",AVERAGE(F$13:F983))</f>
        <v>117</v>
      </c>
      <c r="H983" s="11">
        <f t="shared" si="126"/>
        <v>117</v>
      </c>
      <c r="J983" s="5"/>
      <c r="K983" s="5"/>
      <c r="L983" s="5"/>
      <c r="M983" s="5"/>
      <c r="N983" s="5"/>
      <c r="O983" s="8" t="str">
        <f t="shared" si="124"/>
        <v>n/a</v>
      </c>
      <c r="Q983" s="5"/>
      <c r="R983" s="5"/>
      <c r="S983" s="5"/>
      <c r="U983" s="6"/>
      <c r="V983" s="9" t="str">
        <f t="shared" si="127"/>
        <v/>
      </c>
      <c r="W983" s="9" t="str">
        <f t="shared" si="128"/>
        <v/>
      </c>
      <c r="X983" s="10">
        <f>SUM(V$13:V983)/COUNTA(B$13:B983)</f>
        <v>7.2090628218331619E-3</v>
      </c>
      <c r="Z983" s="5"/>
      <c r="AA983" s="5"/>
      <c r="AC983" s="7"/>
      <c r="AE983" s="54" t="e">
        <f t="shared" si="129"/>
        <v>#N/A</v>
      </c>
      <c r="AF983" s="4" t="e">
        <f t="shared" si="125"/>
        <v>#N/A</v>
      </c>
    </row>
    <row r="984" spans="2:32">
      <c r="B984" s="5">
        <f t="shared" si="130"/>
        <v>972</v>
      </c>
      <c r="C984" s="5"/>
      <c r="E984" s="13"/>
      <c r="F984" s="5"/>
      <c r="G984" s="11">
        <f>IF(ISERROR(AVERAGE(F$13:F984)),"n/a",AVERAGE(F$13:F984))</f>
        <v>117</v>
      </c>
      <c r="H984" s="11">
        <f t="shared" si="126"/>
        <v>117</v>
      </c>
      <c r="J984" s="5"/>
      <c r="K984" s="5"/>
      <c r="L984" s="5"/>
      <c r="M984" s="5"/>
      <c r="N984" s="5"/>
      <c r="O984" s="8" t="str">
        <f t="shared" si="124"/>
        <v>n/a</v>
      </c>
      <c r="Q984" s="5"/>
      <c r="R984" s="5"/>
      <c r="S984" s="5"/>
      <c r="U984" s="6"/>
      <c r="V984" s="9" t="str">
        <f t="shared" si="127"/>
        <v/>
      </c>
      <c r="W984" s="9" t="str">
        <f t="shared" si="128"/>
        <v/>
      </c>
      <c r="X984" s="10">
        <f>SUM(V$13:V984)/COUNTA(B$13:B984)</f>
        <v>7.2016460905349796E-3</v>
      </c>
      <c r="Z984" s="5"/>
      <c r="AA984" s="5"/>
      <c r="AC984" s="7"/>
      <c r="AE984" s="54" t="e">
        <f t="shared" si="129"/>
        <v>#N/A</v>
      </c>
      <c r="AF984" s="4" t="e">
        <f t="shared" si="125"/>
        <v>#N/A</v>
      </c>
    </row>
    <row r="985" spans="2:32">
      <c r="B985" s="5">
        <f t="shared" si="130"/>
        <v>973</v>
      </c>
      <c r="C985" s="5"/>
      <c r="E985" s="13"/>
      <c r="F985" s="5"/>
      <c r="G985" s="11">
        <f>IF(ISERROR(AVERAGE(F$13:F985)),"n/a",AVERAGE(F$13:F985))</f>
        <v>117</v>
      </c>
      <c r="H985" s="11">
        <f t="shared" si="126"/>
        <v>117</v>
      </c>
      <c r="J985" s="5"/>
      <c r="K985" s="5"/>
      <c r="L985" s="5"/>
      <c r="M985" s="5"/>
      <c r="N985" s="5"/>
      <c r="O985" s="8" t="str">
        <f t="shared" si="124"/>
        <v>n/a</v>
      </c>
      <c r="Q985" s="5"/>
      <c r="R985" s="5"/>
      <c r="S985" s="5"/>
      <c r="U985" s="6"/>
      <c r="V985" s="9" t="str">
        <f t="shared" si="127"/>
        <v/>
      </c>
      <c r="W985" s="9" t="str">
        <f t="shared" si="128"/>
        <v/>
      </c>
      <c r="X985" s="10">
        <f>SUM(V$13:V985)/COUNTA(B$13:B985)</f>
        <v>7.1942446043165471E-3</v>
      </c>
      <c r="Z985" s="5"/>
      <c r="AA985" s="5"/>
      <c r="AC985" s="7"/>
      <c r="AE985" s="54" t="e">
        <f t="shared" si="129"/>
        <v>#N/A</v>
      </c>
      <c r="AF985" s="4" t="e">
        <f t="shared" si="125"/>
        <v>#N/A</v>
      </c>
    </row>
    <row r="986" spans="2:32">
      <c r="B986" s="5">
        <f t="shared" si="130"/>
        <v>974</v>
      </c>
      <c r="C986" s="5"/>
      <c r="E986" s="13"/>
      <c r="F986" s="5"/>
      <c r="G986" s="11">
        <f>IF(ISERROR(AVERAGE(F$13:F986)),"n/a",AVERAGE(F$13:F986))</f>
        <v>117</v>
      </c>
      <c r="H986" s="11">
        <f t="shared" si="126"/>
        <v>117</v>
      </c>
      <c r="J986" s="5"/>
      <c r="K986" s="5"/>
      <c r="L986" s="5"/>
      <c r="M986" s="5"/>
      <c r="N986" s="5"/>
      <c r="O986" s="8" t="str">
        <f t="shared" si="124"/>
        <v>n/a</v>
      </c>
      <c r="Q986" s="5"/>
      <c r="R986" s="5"/>
      <c r="S986" s="5"/>
      <c r="U986" s="6"/>
      <c r="V986" s="9" t="str">
        <f t="shared" si="127"/>
        <v/>
      </c>
      <c r="W986" s="9" t="str">
        <f t="shared" si="128"/>
        <v/>
      </c>
      <c r="X986" s="10">
        <f>SUM(V$13:V986)/COUNTA(B$13:B986)</f>
        <v>7.1868583162217657E-3</v>
      </c>
      <c r="Z986" s="5"/>
      <c r="AA986" s="5"/>
      <c r="AC986" s="7"/>
      <c r="AE986" s="54" t="e">
        <f t="shared" si="129"/>
        <v>#N/A</v>
      </c>
      <c r="AF986" s="4" t="e">
        <f t="shared" si="125"/>
        <v>#N/A</v>
      </c>
    </row>
    <row r="987" spans="2:32">
      <c r="B987" s="5">
        <f t="shared" si="130"/>
        <v>975</v>
      </c>
      <c r="C987" s="5"/>
      <c r="E987" s="13"/>
      <c r="F987" s="5"/>
      <c r="G987" s="11">
        <f>IF(ISERROR(AVERAGE(F$13:F987)),"n/a",AVERAGE(F$13:F987))</f>
        <v>117</v>
      </c>
      <c r="H987" s="11">
        <f t="shared" si="126"/>
        <v>117</v>
      </c>
      <c r="J987" s="5"/>
      <c r="K987" s="5"/>
      <c r="L987" s="5"/>
      <c r="M987" s="5"/>
      <c r="N987" s="5"/>
      <c r="O987" s="8" t="str">
        <f t="shared" si="124"/>
        <v>n/a</v>
      </c>
      <c r="Q987" s="5"/>
      <c r="R987" s="5"/>
      <c r="S987" s="5"/>
      <c r="U987" s="6"/>
      <c r="V987" s="9" t="str">
        <f t="shared" si="127"/>
        <v/>
      </c>
      <c r="W987" s="9" t="str">
        <f t="shared" si="128"/>
        <v/>
      </c>
      <c r="X987" s="10">
        <f>SUM(V$13:V987)/COUNTA(B$13:B987)</f>
        <v>7.1794871794871795E-3</v>
      </c>
      <c r="Z987" s="5"/>
      <c r="AA987" s="5"/>
      <c r="AC987" s="7"/>
      <c r="AE987" s="54" t="e">
        <f t="shared" si="129"/>
        <v>#N/A</v>
      </c>
      <c r="AF987" s="4" t="e">
        <f t="shared" si="125"/>
        <v>#N/A</v>
      </c>
    </row>
    <row r="988" spans="2:32">
      <c r="B988" s="5">
        <f t="shared" si="130"/>
        <v>976</v>
      </c>
      <c r="C988" s="5"/>
      <c r="E988" s="13"/>
      <c r="F988" s="5"/>
      <c r="G988" s="11">
        <f>IF(ISERROR(AVERAGE(F$13:F988)),"n/a",AVERAGE(F$13:F988))</f>
        <v>117</v>
      </c>
      <c r="H988" s="11">
        <f t="shared" si="126"/>
        <v>117</v>
      </c>
      <c r="J988" s="5"/>
      <c r="K988" s="5"/>
      <c r="L988" s="5"/>
      <c r="M988" s="5"/>
      <c r="N988" s="5"/>
      <c r="O988" s="8" t="str">
        <f t="shared" si="124"/>
        <v>n/a</v>
      </c>
      <c r="Q988" s="5"/>
      <c r="R988" s="5"/>
      <c r="S988" s="5"/>
      <c r="U988" s="6"/>
      <c r="V988" s="9" t="str">
        <f t="shared" si="127"/>
        <v/>
      </c>
      <c r="W988" s="9" t="str">
        <f t="shared" si="128"/>
        <v/>
      </c>
      <c r="X988" s="10">
        <f>SUM(V$13:V988)/COUNTA(B$13:B988)</f>
        <v>7.1721311475409838E-3</v>
      </c>
      <c r="Z988" s="5"/>
      <c r="AA988" s="5"/>
      <c r="AC988" s="7"/>
      <c r="AE988" s="54" t="e">
        <f t="shared" si="129"/>
        <v>#N/A</v>
      </c>
      <c r="AF988" s="4" t="e">
        <f t="shared" si="125"/>
        <v>#N/A</v>
      </c>
    </row>
    <row r="989" spans="2:32">
      <c r="B989" s="5">
        <f t="shared" si="130"/>
        <v>977</v>
      </c>
      <c r="C989" s="5"/>
      <c r="E989" s="13"/>
      <c r="F989" s="5"/>
      <c r="G989" s="11">
        <f>IF(ISERROR(AVERAGE(F$13:F989)),"n/a",AVERAGE(F$13:F989))</f>
        <v>117</v>
      </c>
      <c r="H989" s="11">
        <f t="shared" si="126"/>
        <v>117</v>
      </c>
      <c r="J989" s="5"/>
      <c r="K989" s="5"/>
      <c r="L989" s="5"/>
      <c r="M989" s="5"/>
      <c r="N989" s="5"/>
      <c r="O989" s="8" t="str">
        <f t="shared" si="124"/>
        <v>n/a</v>
      </c>
      <c r="Q989" s="5"/>
      <c r="R989" s="5"/>
      <c r="S989" s="5"/>
      <c r="U989" s="6"/>
      <c r="V989" s="9" t="str">
        <f t="shared" si="127"/>
        <v/>
      </c>
      <c r="W989" s="9" t="str">
        <f t="shared" si="128"/>
        <v/>
      </c>
      <c r="X989" s="10">
        <f>SUM(V$13:V989)/COUNTA(B$13:B989)</f>
        <v>7.164790174002047E-3</v>
      </c>
      <c r="Z989" s="5"/>
      <c r="AA989" s="5"/>
      <c r="AC989" s="7"/>
      <c r="AE989" s="54" t="e">
        <f t="shared" si="129"/>
        <v>#N/A</v>
      </c>
      <c r="AF989" s="4" t="e">
        <f t="shared" si="125"/>
        <v>#N/A</v>
      </c>
    </row>
    <row r="990" spans="2:32">
      <c r="B990" s="5">
        <f t="shared" si="130"/>
        <v>978</v>
      </c>
      <c r="C990" s="5"/>
      <c r="E990" s="13"/>
      <c r="F990" s="5"/>
      <c r="G990" s="11">
        <f>IF(ISERROR(AVERAGE(F$13:F990)),"n/a",AVERAGE(F$13:F990))</f>
        <v>117</v>
      </c>
      <c r="H990" s="11">
        <f t="shared" si="126"/>
        <v>117</v>
      </c>
      <c r="J990" s="5"/>
      <c r="K990" s="5"/>
      <c r="L990" s="5"/>
      <c r="M990" s="5"/>
      <c r="N990" s="5"/>
      <c r="O990" s="8" t="str">
        <f t="shared" si="124"/>
        <v>n/a</v>
      </c>
      <c r="Q990" s="5"/>
      <c r="R990" s="5"/>
      <c r="S990" s="5"/>
      <c r="U990" s="6"/>
      <c r="V990" s="9" t="str">
        <f t="shared" si="127"/>
        <v/>
      </c>
      <c r="W990" s="9" t="str">
        <f t="shared" si="128"/>
        <v/>
      </c>
      <c r="X990" s="10">
        <f>SUM(V$13:V990)/COUNTA(B$13:B990)</f>
        <v>7.1574642126789366E-3</v>
      </c>
      <c r="Z990" s="5"/>
      <c r="AA990" s="5"/>
      <c r="AC990" s="7"/>
      <c r="AE990" s="54" t="e">
        <f t="shared" si="129"/>
        <v>#N/A</v>
      </c>
      <c r="AF990" s="4" t="e">
        <f t="shared" si="125"/>
        <v>#N/A</v>
      </c>
    </row>
    <row r="991" spans="2:32">
      <c r="B991" s="5">
        <f t="shared" si="130"/>
        <v>979</v>
      </c>
      <c r="C991" s="5"/>
      <c r="E991" s="13"/>
      <c r="F991" s="5"/>
      <c r="G991" s="11">
        <f>IF(ISERROR(AVERAGE(F$13:F991)),"n/a",AVERAGE(F$13:F991))</f>
        <v>117</v>
      </c>
      <c r="H991" s="11">
        <f t="shared" si="126"/>
        <v>117</v>
      </c>
      <c r="J991" s="5"/>
      <c r="K991" s="5"/>
      <c r="L991" s="5"/>
      <c r="M991" s="5"/>
      <c r="N991" s="5"/>
      <c r="O991" s="8" t="str">
        <f t="shared" si="124"/>
        <v>n/a</v>
      </c>
      <c r="Q991" s="5"/>
      <c r="R991" s="5"/>
      <c r="S991" s="5"/>
      <c r="U991" s="6"/>
      <c r="V991" s="9" t="str">
        <f t="shared" si="127"/>
        <v/>
      </c>
      <c r="W991" s="9" t="str">
        <f t="shared" si="128"/>
        <v/>
      </c>
      <c r="X991" s="10">
        <f>SUM(V$13:V991)/COUNTA(B$13:B991)</f>
        <v>7.1501532175689483E-3</v>
      </c>
      <c r="Z991" s="5"/>
      <c r="AA991" s="5"/>
      <c r="AC991" s="7"/>
      <c r="AE991" s="54" t="e">
        <f t="shared" si="129"/>
        <v>#N/A</v>
      </c>
      <c r="AF991" s="4" t="e">
        <f t="shared" si="125"/>
        <v>#N/A</v>
      </c>
    </row>
    <row r="992" spans="2:32">
      <c r="B992" s="5">
        <f t="shared" si="130"/>
        <v>980</v>
      </c>
      <c r="C992" s="5"/>
      <c r="E992" s="13"/>
      <c r="F992" s="5"/>
      <c r="G992" s="11">
        <f>IF(ISERROR(AVERAGE(F$13:F992)),"n/a",AVERAGE(F$13:F992))</f>
        <v>117</v>
      </c>
      <c r="H992" s="11">
        <f t="shared" si="126"/>
        <v>117</v>
      </c>
      <c r="J992" s="5"/>
      <c r="K992" s="5"/>
      <c r="L992" s="5"/>
      <c r="M992" s="5"/>
      <c r="N992" s="5"/>
      <c r="O992" s="8" t="str">
        <f t="shared" si="124"/>
        <v>n/a</v>
      </c>
      <c r="Q992" s="5"/>
      <c r="R992" s="5"/>
      <c r="S992" s="5"/>
      <c r="U992" s="6"/>
      <c r="V992" s="9" t="str">
        <f t="shared" si="127"/>
        <v/>
      </c>
      <c r="W992" s="9" t="str">
        <f t="shared" si="128"/>
        <v/>
      </c>
      <c r="X992" s="10">
        <f>SUM(V$13:V992)/COUNTA(B$13:B992)</f>
        <v>7.1428571428571426E-3</v>
      </c>
      <c r="Z992" s="5"/>
      <c r="AA992" s="5"/>
      <c r="AC992" s="7"/>
      <c r="AE992" s="54" t="e">
        <f t="shared" si="129"/>
        <v>#N/A</v>
      </c>
      <c r="AF992" s="4" t="e">
        <f t="shared" si="125"/>
        <v>#N/A</v>
      </c>
    </row>
    <row r="993" spans="2:32">
      <c r="B993" s="5">
        <f t="shared" si="130"/>
        <v>981</v>
      </c>
      <c r="C993" s="5"/>
      <c r="E993" s="13"/>
      <c r="F993" s="5"/>
      <c r="G993" s="11">
        <f>IF(ISERROR(AVERAGE(F$13:F993)),"n/a",AVERAGE(F$13:F993))</f>
        <v>117</v>
      </c>
      <c r="H993" s="11">
        <f t="shared" si="126"/>
        <v>117</v>
      </c>
      <c r="J993" s="5"/>
      <c r="K993" s="5"/>
      <c r="L993" s="5"/>
      <c r="M993" s="5"/>
      <c r="N993" s="5"/>
      <c r="O993" s="8" t="str">
        <f t="shared" si="124"/>
        <v>n/a</v>
      </c>
      <c r="Q993" s="5"/>
      <c r="R993" s="5"/>
      <c r="S993" s="5"/>
      <c r="U993" s="6"/>
      <c r="V993" s="9" t="str">
        <f t="shared" si="127"/>
        <v/>
      </c>
      <c r="W993" s="9" t="str">
        <f t="shared" si="128"/>
        <v/>
      </c>
      <c r="X993" s="10">
        <f>SUM(V$13:V993)/COUNTA(B$13:B993)</f>
        <v>7.1355759429153924E-3</v>
      </c>
      <c r="Z993" s="5"/>
      <c r="AA993" s="5"/>
      <c r="AC993" s="7"/>
      <c r="AE993" s="54" t="e">
        <f t="shared" si="129"/>
        <v>#N/A</v>
      </c>
      <c r="AF993" s="4" t="e">
        <f t="shared" si="125"/>
        <v>#N/A</v>
      </c>
    </row>
    <row r="994" spans="2:32">
      <c r="B994" s="5">
        <f t="shared" si="130"/>
        <v>982</v>
      </c>
      <c r="C994" s="5"/>
      <c r="E994" s="13"/>
      <c r="F994" s="5"/>
      <c r="G994" s="11">
        <f>IF(ISERROR(AVERAGE(F$13:F994)),"n/a",AVERAGE(F$13:F994))</f>
        <v>117</v>
      </c>
      <c r="H994" s="11">
        <f t="shared" si="126"/>
        <v>117</v>
      </c>
      <c r="J994" s="5"/>
      <c r="K994" s="5"/>
      <c r="L994" s="5"/>
      <c r="M994" s="5"/>
      <c r="N994" s="5"/>
      <c r="O994" s="8" t="str">
        <f t="shared" si="124"/>
        <v>n/a</v>
      </c>
      <c r="Q994" s="5"/>
      <c r="R994" s="5"/>
      <c r="S994" s="5"/>
      <c r="U994" s="6"/>
      <c r="V994" s="9" t="str">
        <f t="shared" si="127"/>
        <v/>
      </c>
      <c r="W994" s="9" t="str">
        <f t="shared" si="128"/>
        <v/>
      </c>
      <c r="X994" s="10">
        <f>SUM(V$13:V994)/COUNTA(B$13:B994)</f>
        <v>7.1283095723014261E-3</v>
      </c>
      <c r="Z994" s="5"/>
      <c r="AA994" s="5"/>
      <c r="AC994" s="7"/>
      <c r="AE994" s="54" t="e">
        <f t="shared" si="129"/>
        <v>#N/A</v>
      </c>
      <c r="AF994" s="4" t="e">
        <f t="shared" si="125"/>
        <v>#N/A</v>
      </c>
    </row>
    <row r="995" spans="2:32">
      <c r="B995" s="5">
        <f t="shared" si="130"/>
        <v>983</v>
      </c>
      <c r="C995" s="5"/>
      <c r="E995" s="13"/>
      <c r="F995" s="5"/>
      <c r="G995" s="11">
        <f>IF(ISERROR(AVERAGE(F$13:F995)),"n/a",AVERAGE(F$13:F995))</f>
        <v>117</v>
      </c>
      <c r="H995" s="11">
        <f t="shared" si="126"/>
        <v>117</v>
      </c>
      <c r="J995" s="5"/>
      <c r="K995" s="5"/>
      <c r="L995" s="5"/>
      <c r="M995" s="5"/>
      <c r="N995" s="5"/>
      <c r="O995" s="8" t="str">
        <f t="shared" si="124"/>
        <v>n/a</v>
      </c>
      <c r="Q995" s="5"/>
      <c r="R995" s="5"/>
      <c r="S995" s="5"/>
      <c r="U995" s="6"/>
      <c r="V995" s="9" t="str">
        <f t="shared" si="127"/>
        <v/>
      </c>
      <c r="W995" s="9" t="str">
        <f t="shared" si="128"/>
        <v/>
      </c>
      <c r="X995" s="10">
        <f>SUM(V$13:V995)/COUNTA(B$13:B995)</f>
        <v>7.1210579857578843E-3</v>
      </c>
      <c r="Z995" s="5"/>
      <c r="AA995" s="5"/>
      <c r="AC995" s="7"/>
      <c r="AE995" s="54" t="e">
        <f t="shared" si="129"/>
        <v>#N/A</v>
      </c>
      <c r="AF995" s="4" t="e">
        <f t="shared" si="125"/>
        <v>#N/A</v>
      </c>
    </row>
    <row r="996" spans="2:32">
      <c r="B996" s="5">
        <f t="shared" si="130"/>
        <v>984</v>
      </c>
      <c r="C996" s="5"/>
      <c r="E996" s="13"/>
      <c r="F996" s="5"/>
      <c r="G996" s="11">
        <f>IF(ISERROR(AVERAGE(F$13:F996)),"n/a",AVERAGE(F$13:F996))</f>
        <v>117</v>
      </c>
      <c r="H996" s="11">
        <f t="shared" si="126"/>
        <v>117</v>
      </c>
      <c r="J996" s="5"/>
      <c r="K996" s="5"/>
      <c r="L996" s="5"/>
      <c r="M996" s="5"/>
      <c r="N996" s="5"/>
      <c r="O996" s="8" t="str">
        <f t="shared" si="124"/>
        <v>n/a</v>
      </c>
      <c r="Q996" s="5"/>
      <c r="R996" s="5"/>
      <c r="S996" s="5"/>
      <c r="U996" s="6"/>
      <c r="V996" s="9" t="str">
        <f t="shared" si="127"/>
        <v/>
      </c>
      <c r="W996" s="9" t="str">
        <f t="shared" si="128"/>
        <v/>
      </c>
      <c r="X996" s="10">
        <f>SUM(V$13:V996)/COUNTA(B$13:B996)</f>
        <v>7.1138211382113818E-3</v>
      </c>
      <c r="Z996" s="5"/>
      <c r="AA996" s="5"/>
      <c r="AC996" s="7"/>
      <c r="AE996" s="54" t="e">
        <f t="shared" si="129"/>
        <v>#N/A</v>
      </c>
      <c r="AF996" s="4" t="e">
        <f t="shared" si="125"/>
        <v>#N/A</v>
      </c>
    </row>
    <row r="997" spans="2:32">
      <c r="B997" s="5">
        <f t="shared" si="130"/>
        <v>985</v>
      </c>
      <c r="C997" s="5"/>
      <c r="E997" s="13"/>
      <c r="F997" s="5"/>
      <c r="G997" s="11">
        <f>IF(ISERROR(AVERAGE(F$13:F997)),"n/a",AVERAGE(F$13:F997))</f>
        <v>117</v>
      </c>
      <c r="H997" s="11">
        <f t="shared" si="126"/>
        <v>117</v>
      </c>
      <c r="J997" s="5"/>
      <c r="K997" s="5"/>
      <c r="L997" s="5"/>
      <c r="M997" s="5"/>
      <c r="N997" s="5"/>
      <c r="O997" s="8" t="str">
        <f t="shared" si="124"/>
        <v>n/a</v>
      </c>
      <c r="Q997" s="5"/>
      <c r="R997" s="5"/>
      <c r="S997" s="5"/>
      <c r="U997" s="6"/>
      <c r="V997" s="9" t="str">
        <f t="shared" si="127"/>
        <v/>
      </c>
      <c r="W997" s="9" t="str">
        <f t="shared" si="128"/>
        <v/>
      </c>
      <c r="X997" s="10">
        <f>SUM(V$13:V997)/COUNTA(B$13:B997)</f>
        <v>7.1065989847715737E-3</v>
      </c>
      <c r="Z997" s="5"/>
      <c r="AA997" s="5"/>
      <c r="AC997" s="7"/>
      <c r="AE997" s="54" t="e">
        <f t="shared" si="129"/>
        <v>#N/A</v>
      </c>
      <c r="AF997" s="4" t="e">
        <f t="shared" si="125"/>
        <v>#N/A</v>
      </c>
    </row>
    <row r="998" spans="2:32">
      <c r="B998" s="5">
        <f t="shared" si="130"/>
        <v>986</v>
      </c>
      <c r="C998" s="5"/>
      <c r="E998" s="13"/>
      <c r="F998" s="5"/>
      <c r="G998" s="11">
        <f>IF(ISERROR(AVERAGE(F$13:F998)),"n/a",AVERAGE(F$13:F998))</f>
        <v>117</v>
      </c>
      <c r="H998" s="11">
        <f t="shared" si="126"/>
        <v>117</v>
      </c>
      <c r="J998" s="5"/>
      <c r="K998" s="5"/>
      <c r="L998" s="5"/>
      <c r="M998" s="5"/>
      <c r="N998" s="5"/>
      <c r="O998" s="8" t="str">
        <f t="shared" si="124"/>
        <v>n/a</v>
      </c>
      <c r="Q998" s="5"/>
      <c r="R998" s="5"/>
      <c r="S998" s="5"/>
      <c r="U998" s="6"/>
      <c r="V998" s="9" t="str">
        <f t="shared" si="127"/>
        <v/>
      </c>
      <c r="W998" s="9" t="str">
        <f t="shared" si="128"/>
        <v/>
      </c>
      <c r="X998" s="10">
        <f>SUM(V$13:V998)/COUNTA(B$13:B998)</f>
        <v>7.099391480730223E-3</v>
      </c>
      <c r="Z998" s="5"/>
      <c r="AA998" s="5"/>
      <c r="AC998" s="7"/>
      <c r="AE998" s="54" t="e">
        <f t="shared" si="129"/>
        <v>#N/A</v>
      </c>
      <c r="AF998" s="4" t="e">
        <f t="shared" si="125"/>
        <v>#N/A</v>
      </c>
    </row>
    <row r="999" spans="2:32">
      <c r="B999" s="5">
        <f t="shared" si="130"/>
        <v>987</v>
      </c>
      <c r="C999" s="5"/>
      <c r="E999" s="13"/>
      <c r="F999" s="5"/>
      <c r="G999" s="11">
        <f>IF(ISERROR(AVERAGE(F$13:F999)),"n/a",AVERAGE(F$13:F999))</f>
        <v>117</v>
      </c>
      <c r="H999" s="11">
        <f t="shared" si="126"/>
        <v>117</v>
      </c>
      <c r="J999" s="5"/>
      <c r="K999" s="5"/>
      <c r="L999" s="5"/>
      <c r="M999" s="5"/>
      <c r="N999" s="5"/>
      <c r="O999" s="8" t="str">
        <f t="shared" si="124"/>
        <v>n/a</v>
      </c>
      <c r="Q999" s="5"/>
      <c r="R999" s="5"/>
      <c r="S999" s="5"/>
      <c r="U999" s="6"/>
      <c r="V999" s="9" t="str">
        <f t="shared" si="127"/>
        <v/>
      </c>
      <c r="W999" s="9" t="str">
        <f t="shared" si="128"/>
        <v/>
      </c>
      <c r="X999" s="10">
        <f>SUM(V$13:V999)/COUNTA(B$13:B999)</f>
        <v>7.0921985815602835E-3</v>
      </c>
      <c r="Z999" s="5"/>
      <c r="AA999" s="5"/>
      <c r="AC999" s="7"/>
      <c r="AE999" s="54" t="e">
        <f t="shared" si="129"/>
        <v>#N/A</v>
      </c>
      <c r="AF999" s="4" t="e">
        <f t="shared" si="125"/>
        <v>#N/A</v>
      </c>
    </row>
    <row r="1000" spans="2:32">
      <c r="B1000" s="5">
        <f t="shared" si="130"/>
        <v>988</v>
      </c>
      <c r="C1000" s="5"/>
      <c r="E1000" s="13"/>
      <c r="F1000" s="5"/>
      <c r="G1000" s="11">
        <f>IF(ISERROR(AVERAGE(F$13:F1000)),"n/a",AVERAGE(F$13:F1000))</f>
        <v>117</v>
      </c>
      <c r="H1000" s="11">
        <f t="shared" si="126"/>
        <v>117</v>
      </c>
      <c r="J1000" s="5"/>
      <c r="K1000" s="5"/>
      <c r="L1000" s="5"/>
      <c r="M1000" s="5"/>
      <c r="N1000" s="5"/>
      <c r="O1000" s="8" t="str">
        <f t="shared" si="124"/>
        <v>n/a</v>
      </c>
      <c r="Q1000" s="5"/>
      <c r="R1000" s="5"/>
      <c r="S1000" s="5"/>
      <c r="U1000" s="6"/>
      <c r="V1000" s="9" t="str">
        <f t="shared" si="127"/>
        <v/>
      </c>
      <c r="W1000" s="9" t="str">
        <f t="shared" si="128"/>
        <v/>
      </c>
      <c r="X1000" s="10">
        <f>SUM(V$13:V1000)/COUNTA(B$13:B1000)</f>
        <v>7.0850202429149798E-3</v>
      </c>
      <c r="Z1000" s="5"/>
      <c r="AA1000" s="5"/>
      <c r="AC1000" s="7"/>
      <c r="AE1000" s="54" t="e">
        <f t="shared" si="129"/>
        <v>#N/A</v>
      </c>
      <c r="AF1000" s="4" t="e">
        <f t="shared" si="125"/>
        <v>#N/A</v>
      </c>
    </row>
    <row r="1001" spans="2:32">
      <c r="B1001" s="5">
        <f t="shared" si="130"/>
        <v>989</v>
      </c>
      <c r="C1001" s="5"/>
      <c r="E1001" s="13"/>
      <c r="F1001" s="5"/>
      <c r="G1001" s="11">
        <f>IF(ISERROR(AVERAGE(F$13:F1001)),"n/a",AVERAGE(F$13:F1001))</f>
        <v>117</v>
      </c>
      <c r="H1001" s="11">
        <f t="shared" si="126"/>
        <v>117</v>
      </c>
      <c r="J1001" s="5"/>
      <c r="K1001" s="5"/>
      <c r="L1001" s="5"/>
      <c r="M1001" s="5"/>
      <c r="N1001" s="5"/>
      <c r="O1001" s="8" t="str">
        <f t="shared" si="124"/>
        <v>n/a</v>
      </c>
      <c r="Q1001" s="5"/>
      <c r="R1001" s="5"/>
      <c r="S1001" s="5"/>
      <c r="U1001" s="6"/>
      <c r="V1001" s="9" t="str">
        <f t="shared" si="127"/>
        <v/>
      </c>
      <c r="W1001" s="9" t="str">
        <f t="shared" si="128"/>
        <v/>
      </c>
      <c r="X1001" s="10">
        <f>SUM(V$13:V1001)/COUNTA(B$13:B1001)</f>
        <v>7.0778564206268957E-3</v>
      </c>
      <c r="Z1001" s="5"/>
      <c r="AA1001" s="5"/>
      <c r="AC1001" s="7"/>
      <c r="AE1001" s="54" t="e">
        <f t="shared" si="129"/>
        <v>#N/A</v>
      </c>
      <c r="AF1001" s="4" t="e">
        <f t="shared" si="125"/>
        <v>#N/A</v>
      </c>
    </row>
    <row r="1002" spans="2:32">
      <c r="B1002" s="5">
        <f t="shared" si="130"/>
        <v>990</v>
      </c>
      <c r="C1002" s="5"/>
      <c r="E1002" s="13"/>
      <c r="F1002" s="5"/>
      <c r="G1002" s="11">
        <f>IF(ISERROR(AVERAGE(F$13:F1002)),"n/a",AVERAGE(F$13:F1002))</f>
        <v>117</v>
      </c>
      <c r="H1002" s="11">
        <f t="shared" si="126"/>
        <v>117</v>
      </c>
      <c r="J1002" s="5"/>
      <c r="K1002" s="5"/>
      <c r="L1002" s="5"/>
      <c r="M1002" s="5"/>
      <c r="N1002" s="5"/>
      <c r="O1002" s="8" t="str">
        <f t="shared" si="124"/>
        <v>n/a</v>
      </c>
      <c r="Q1002" s="5"/>
      <c r="R1002" s="5"/>
      <c r="S1002" s="5"/>
      <c r="U1002" s="6"/>
      <c r="V1002" s="9" t="str">
        <f t="shared" si="127"/>
        <v/>
      </c>
      <c r="W1002" s="9" t="str">
        <f t="shared" si="128"/>
        <v/>
      </c>
      <c r="X1002" s="10">
        <f>SUM(V$13:V1002)/COUNTA(B$13:B1002)</f>
        <v>7.0707070707070711E-3</v>
      </c>
      <c r="Z1002" s="5"/>
      <c r="AA1002" s="5"/>
      <c r="AC1002" s="7"/>
      <c r="AE1002" s="54" t="e">
        <f t="shared" si="129"/>
        <v>#N/A</v>
      </c>
      <c r="AF1002" s="4" t="e">
        <f t="shared" si="125"/>
        <v>#N/A</v>
      </c>
    </row>
    <row r="1003" spans="2:32">
      <c r="B1003" s="5">
        <f t="shared" si="130"/>
        <v>991</v>
      </c>
      <c r="C1003" s="5"/>
      <c r="E1003" s="13"/>
      <c r="F1003" s="5"/>
      <c r="G1003" s="11">
        <f>IF(ISERROR(AVERAGE(F$13:F1003)),"n/a",AVERAGE(F$13:F1003))</f>
        <v>117</v>
      </c>
      <c r="H1003" s="11">
        <f t="shared" si="126"/>
        <v>117</v>
      </c>
      <c r="J1003" s="5"/>
      <c r="K1003" s="5"/>
      <c r="L1003" s="5"/>
      <c r="M1003" s="5"/>
      <c r="N1003" s="5"/>
      <c r="O1003" s="8" t="str">
        <f t="shared" si="124"/>
        <v>n/a</v>
      </c>
      <c r="Q1003" s="5"/>
      <c r="R1003" s="5"/>
      <c r="S1003" s="5"/>
      <c r="U1003" s="6"/>
      <c r="V1003" s="9" t="str">
        <f t="shared" si="127"/>
        <v/>
      </c>
      <c r="W1003" s="9" t="str">
        <f t="shared" si="128"/>
        <v/>
      </c>
      <c r="X1003" s="10">
        <f>SUM(V$13:V1003)/COUNTA(B$13:B1003)</f>
        <v>7.0635721493440967E-3</v>
      </c>
      <c r="Z1003" s="5"/>
      <c r="AA1003" s="5"/>
      <c r="AC1003" s="7"/>
      <c r="AE1003" s="54" t="e">
        <f t="shared" si="129"/>
        <v>#N/A</v>
      </c>
      <c r="AF1003" s="4" t="e">
        <f t="shared" si="125"/>
        <v>#N/A</v>
      </c>
    </row>
    <row r="1004" spans="2:32">
      <c r="B1004" s="5">
        <f t="shared" si="130"/>
        <v>992</v>
      </c>
      <c r="C1004" s="5"/>
      <c r="E1004" s="13"/>
      <c r="F1004" s="5"/>
      <c r="G1004" s="11">
        <f>IF(ISERROR(AVERAGE(F$13:F1004)),"n/a",AVERAGE(F$13:F1004))</f>
        <v>117</v>
      </c>
      <c r="H1004" s="11">
        <f t="shared" si="126"/>
        <v>117</v>
      </c>
      <c r="J1004" s="5"/>
      <c r="K1004" s="5"/>
      <c r="L1004" s="5"/>
      <c r="M1004" s="5"/>
      <c r="N1004" s="5"/>
      <c r="O1004" s="8" t="str">
        <f t="shared" si="124"/>
        <v>n/a</v>
      </c>
      <c r="Q1004" s="5"/>
      <c r="R1004" s="5"/>
      <c r="S1004" s="5"/>
      <c r="U1004" s="6"/>
      <c r="V1004" s="9" t="str">
        <f t="shared" si="127"/>
        <v/>
      </c>
      <c r="W1004" s="9" t="str">
        <f t="shared" si="128"/>
        <v/>
      </c>
      <c r="X1004" s="10">
        <f>SUM(V$13:V1004)/COUNTA(B$13:B1004)</f>
        <v>7.0564516129032256E-3</v>
      </c>
      <c r="Z1004" s="5"/>
      <c r="AA1004" s="5"/>
      <c r="AC1004" s="7"/>
      <c r="AE1004" s="54" t="e">
        <f t="shared" si="129"/>
        <v>#N/A</v>
      </c>
      <c r="AF1004" s="4" t="e">
        <f t="shared" si="125"/>
        <v>#N/A</v>
      </c>
    </row>
    <row r="1005" spans="2:32">
      <c r="B1005" s="5">
        <f t="shared" si="130"/>
        <v>993</v>
      </c>
      <c r="C1005" s="5"/>
      <c r="E1005" s="13"/>
      <c r="F1005" s="5"/>
      <c r="G1005" s="11">
        <f>IF(ISERROR(AVERAGE(F$13:F1005)),"n/a",AVERAGE(F$13:F1005))</f>
        <v>117</v>
      </c>
      <c r="H1005" s="11">
        <f t="shared" si="126"/>
        <v>117</v>
      </c>
      <c r="J1005" s="5"/>
      <c r="K1005" s="5"/>
      <c r="L1005" s="5"/>
      <c r="M1005" s="5"/>
      <c r="N1005" s="5"/>
      <c r="O1005" s="8" t="str">
        <f t="shared" si="124"/>
        <v>n/a</v>
      </c>
      <c r="Q1005" s="5"/>
      <c r="R1005" s="5"/>
      <c r="S1005" s="5"/>
      <c r="U1005" s="6"/>
      <c r="V1005" s="9" t="str">
        <f t="shared" si="127"/>
        <v/>
      </c>
      <c r="W1005" s="9" t="str">
        <f t="shared" si="128"/>
        <v/>
      </c>
      <c r="X1005" s="10">
        <f>SUM(V$13:V1005)/COUNTA(B$13:B1005)</f>
        <v>7.0493454179254783E-3</v>
      </c>
      <c r="Z1005" s="5"/>
      <c r="AA1005" s="5"/>
      <c r="AC1005" s="7"/>
      <c r="AE1005" s="54" t="e">
        <f t="shared" si="129"/>
        <v>#N/A</v>
      </c>
      <c r="AF1005" s="4" t="e">
        <f t="shared" si="125"/>
        <v>#N/A</v>
      </c>
    </row>
    <row r="1006" spans="2:32">
      <c r="B1006" s="5">
        <f t="shared" si="130"/>
        <v>994</v>
      </c>
      <c r="C1006" s="5"/>
      <c r="E1006" s="13"/>
      <c r="F1006" s="5"/>
      <c r="G1006" s="11">
        <f>IF(ISERROR(AVERAGE(F$13:F1006)),"n/a",AVERAGE(F$13:F1006))</f>
        <v>117</v>
      </c>
      <c r="H1006" s="11">
        <f t="shared" si="126"/>
        <v>117</v>
      </c>
      <c r="J1006" s="5"/>
      <c r="K1006" s="5"/>
      <c r="L1006" s="5"/>
      <c r="M1006" s="5"/>
      <c r="N1006" s="5"/>
      <c r="O1006" s="8" t="str">
        <f t="shared" si="124"/>
        <v>n/a</v>
      </c>
      <c r="Q1006" s="5"/>
      <c r="R1006" s="5"/>
      <c r="S1006" s="5"/>
      <c r="U1006" s="6"/>
      <c r="V1006" s="9" t="str">
        <f t="shared" si="127"/>
        <v/>
      </c>
      <c r="W1006" s="9" t="str">
        <f t="shared" si="128"/>
        <v/>
      </c>
      <c r="X1006" s="10">
        <f>SUM(V$13:V1006)/COUNTA(B$13:B1006)</f>
        <v>7.0422535211267607E-3</v>
      </c>
      <c r="Z1006" s="5"/>
      <c r="AA1006" s="5"/>
      <c r="AC1006" s="7"/>
      <c r="AE1006" s="54" t="e">
        <f t="shared" si="129"/>
        <v>#N/A</v>
      </c>
      <c r="AF1006" s="4" t="e">
        <f t="shared" si="125"/>
        <v>#N/A</v>
      </c>
    </row>
    <row r="1007" spans="2:32">
      <c r="B1007" s="5">
        <f t="shared" si="130"/>
        <v>995</v>
      </c>
      <c r="C1007" s="5"/>
      <c r="E1007" s="13"/>
      <c r="F1007" s="5"/>
      <c r="G1007" s="11">
        <f>IF(ISERROR(AVERAGE(F$13:F1007)),"n/a",AVERAGE(F$13:F1007))</f>
        <v>117</v>
      </c>
      <c r="H1007" s="11">
        <f t="shared" si="126"/>
        <v>117</v>
      </c>
      <c r="J1007" s="5"/>
      <c r="K1007" s="5"/>
      <c r="L1007" s="5"/>
      <c r="M1007" s="5"/>
      <c r="N1007" s="5"/>
      <c r="O1007" s="8" t="str">
        <f t="shared" si="124"/>
        <v>n/a</v>
      </c>
      <c r="Q1007" s="5"/>
      <c r="R1007" s="5"/>
      <c r="S1007" s="5"/>
      <c r="U1007" s="6"/>
      <c r="V1007" s="9" t="str">
        <f t="shared" si="127"/>
        <v/>
      </c>
      <c r="W1007" s="9" t="str">
        <f t="shared" si="128"/>
        <v/>
      </c>
      <c r="X1007" s="10">
        <f>SUM(V$13:V1007)/COUNTA(B$13:B1007)</f>
        <v>7.0351758793969852E-3</v>
      </c>
      <c r="Z1007" s="5"/>
      <c r="AA1007" s="5"/>
      <c r="AC1007" s="7"/>
      <c r="AE1007" s="54" t="e">
        <f t="shared" si="129"/>
        <v>#N/A</v>
      </c>
      <c r="AF1007" s="4" t="e">
        <f t="shared" si="125"/>
        <v>#N/A</v>
      </c>
    </row>
    <row r="1008" spans="2:32">
      <c r="B1008" s="5">
        <f t="shared" si="130"/>
        <v>996</v>
      </c>
      <c r="C1008" s="5"/>
      <c r="E1008" s="13"/>
      <c r="F1008" s="5"/>
      <c r="G1008" s="11">
        <f>IF(ISERROR(AVERAGE(F$13:F1008)),"n/a",AVERAGE(F$13:F1008))</f>
        <v>117</v>
      </c>
      <c r="H1008" s="11">
        <f t="shared" si="126"/>
        <v>117</v>
      </c>
      <c r="J1008" s="5"/>
      <c r="K1008" s="5"/>
      <c r="L1008" s="5"/>
      <c r="M1008" s="5"/>
      <c r="N1008" s="5"/>
      <c r="O1008" s="8" t="str">
        <f t="shared" si="124"/>
        <v>n/a</v>
      </c>
      <c r="Q1008" s="5"/>
      <c r="R1008" s="5"/>
      <c r="S1008" s="5"/>
      <c r="U1008" s="6"/>
      <c r="V1008" s="9" t="str">
        <f t="shared" si="127"/>
        <v/>
      </c>
      <c r="W1008" s="9" t="str">
        <f t="shared" si="128"/>
        <v/>
      </c>
      <c r="X1008" s="10">
        <f>SUM(V$13:V1008)/COUNTA(B$13:B1008)</f>
        <v>7.0281124497991966E-3</v>
      </c>
      <c r="Z1008" s="5"/>
      <c r="AA1008" s="5"/>
      <c r="AC1008" s="7"/>
      <c r="AE1008" s="54" t="e">
        <f t="shared" si="129"/>
        <v>#N/A</v>
      </c>
      <c r="AF1008" s="4" t="e">
        <f t="shared" si="125"/>
        <v>#N/A</v>
      </c>
    </row>
    <row r="1009" spans="2:32">
      <c r="B1009" s="5">
        <f t="shared" si="130"/>
        <v>997</v>
      </c>
      <c r="C1009" s="5"/>
      <c r="E1009" s="13"/>
      <c r="F1009" s="5"/>
      <c r="G1009" s="11">
        <f>IF(ISERROR(AVERAGE(F$13:F1009)),"n/a",AVERAGE(F$13:F1009))</f>
        <v>117</v>
      </c>
      <c r="H1009" s="11">
        <f t="shared" si="126"/>
        <v>117</v>
      </c>
      <c r="J1009" s="5"/>
      <c r="K1009" s="5"/>
      <c r="L1009" s="5"/>
      <c r="M1009" s="5"/>
      <c r="N1009" s="5"/>
      <c r="O1009" s="8" t="str">
        <f>IF(J1009=1,"A",IF(K1009=1,"B",IF(L1009=1,"C",IF(M1009=1,"D",IF(N1009=1,"E","n/a")))))</f>
        <v>n/a</v>
      </c>
      <c r="Q1009" s="5"/>
      <c r="R1009" s="5"/>
      <c r="S1009" s="5"/>
      <c r="U1009" s="6"/>
      <c r="V1009" s="9" t="str">
        <f t="shared" si="127"/>
        <v/>
      </c>
      <c r="W1009" s="9" t="str">
        <f t="shared" si="128"/>
        <v/>
      </c>
      <c r="X1009" s="10">
        <f>SUM(V$13:V1009)/COUNTA(B$13:B1009)</f>
        <v>7.0210631895687063E-3</v>
      </c>
      <c r="Z1009" s="5"/>
      <c r="AA1009" s="5"/>
      <c r="AC1009" s="7"/>
      <c r="AE1009" s="54" t="e">
        <f t="shared" si="129"/>
        <v>#N/A</v>
      </c>
      <c r="AF1009" s="4" t="e">
        <f t="shared" si="125"/>
        <v>#N/A</v>
      </c>
    </row>
    <row r="1010" spans="2:32">
      <c r="B1010" s="5">
        <f t="shared" si="130"/>
        <v>998</v>
      </c>
      <c r="C1010" s="5"/>
      <c r="E1010" s="13"/>
      <c r="F1010" s="5"/>
      <c r="G1010" s="11">
        <f>IF(ISERROR(AVERAGE(F$13:F1010)),"n/a",AVERAGE(F$13:F1010))</f>
        <v>117</v>
      </c>
      <c r="H1010" s="11">
        <f t="shared" si="126"/>
        <v>117</v>
      </c>
      <c r="J1010" s="5"/>
      <c r="K1010" s="5"/>
      <c r="L1010" s="5"/>
      <c r="M1010" s="5"/>
      <c r="N1010" s="5"/>
      <c r="O1010" s="8" t="str">
        <f>IF(J1010=1,"A",IF(K1010=1,"B",IF(L1010=1,"C",IF(M1010=1,"D",IF(N1010=1,"E","n/a")))))</f>
        <v>n/a</v>
      </c>
      <c r="Q1010" s="5"/>
      <c r="R1010" s="5"/>
      <c r="S1010" s="5"/>
      <c r="U1010" s="6"/>
      <c r="V1010" s="9" t="str">
        <f t="shared" si="127"/>
        <v/>
      </c>
      <c r="W1010" s="9" t="str">
        <f t="shared" si="128"/>
        <v/>
      </c>
      <c r="X1010" s="10">
        <f>SUM(V$13:V1010)/COUNTA(B$13:B1010)</f>
        <v>7.0140280561122245E-3</v>
      </c>
      <c r="Z1010" s="5"/>
      <c r="AA1010" s="5"/>
      <c r="AC1010" s="7"/>
      <c r="AE1010" s="54" t="e">
        <f t="shared" si="129"/>
        <v>#N/A</v>
      </c>
      <c r="AF1010" s="4" t="e">
        <f t="shared" si="125"/>
        <v>#N/A</v>
      </c>
    </row>
    <row r="1011" spans="2:32">
      <c r="B1011" s="5">
        <f t="shared" si="130"/>
        <v>999</v>
      </c>
      <c r="C1011" s="5"/>
      <c r="E1011" s="13"/>
      <c r="F1011" s="5"/>
      <c r="G1011" s="11">
        <f>IF(ISERROR(AVERAGE(F$13:F1011)),"n/a",AVERAGE(F$13:F1011))</f>
        <v>117</v>
      </c>
      <c r="H1011" s="11">
        <f t="shared" si="126"/>
        <v>117</v>
      </c>
      <c r="J1011" s="5"/>
      <c r="K1011" s="5"/>
      <c r="L1011" s="5"/>
      <c r="M1011" s="5"/>
      <c r="N1011" s="5"/>
      <c r="O1011" s="8" t="str">
        <f>IF(J1011=1,"A",IF(K1011=1,"B",IF(L1011=1,"C",IF(M1011=1,"D",IF(N1011=1,"E","n/a")))))</f>
        <v>n/a</v>
      </c>
      <c r="Q1011" s="5"/>
      <c r="R1011" s="5"/>
      <c r="S1011" s="5"/>
      <c r="U1011" s="6"/>
      <c r="V1011" s="9" t="str">
        <f t="shared" si="127"/>
        <v/>
      </c>
      <c r="W1011" s="9" t="str">
        <f t="shared" si="128"/>
        <v/>
      </c>
      <c r="X1011" s="10">
        <f>SUM(V$13:V1011)/COUNTA(B$13:B1011)</f>
        <v>7.0070070070070069E-3</v>
      </c>
      <c r="Z1011" s="5"/>
      <c r="AA1011" s="5"/>
      <c r="AC1011" s="7"/>
      <c r="AE1011" s="54" t="e">
        <f t="shared" si="129"/>
        <v>#N/A</v>
      </c>
      <c r="AF1011" s="4" t="e">
        <f t="shared" si="125"/>
        <v>#N/A</v>
      </c>
    </row>
    <row r="1012" spans="2:32">
      <c r="B1012" s="5">
        <f t="shared" si="130"/>
        <v>1000</v>
      </c>
      <c r="C1012" s="5"/>
      <c r="E1012" s="13"/>
      <c r="F1012" s="5"/>
      <c r="G1012" s="11">
        <f>IF(ISERROR(AVERAGE(F$13:F1012)),"n/a",AVERAGE(F$13:F1012))</f>
        <v>117</v>
      </c>
      <c r="H1012" s="11">
        <f t="shared" si="126"/>
        <v>117</v>
      </c>
      <c r="J1012" s="5"/>
      <c r="K1012" s="5"/>
      <c r="L1012" s="5"/>
      <c r="M1012" s="5"/>
      <c r="N1012" s="5"/>
      <c r="O1012" s="8" t="str">
        <f>IF(J1012=1,"A",IF(K1012=1,"B",IF(L1012=1,"C",IF(M1012=1,"D",IF(N1012=1,"E","n/a")))))</f>
        <v>n/a</v>
      </c>
      <c r="Q1012" s="5"/>
      <c r="R1012" s="5"/>
      <c r="S1012" s="5"/>
      <c r="U1012" s="6"/>
      <c r="V1012" s="9" t="str">
        <f t="shared" si="127"/>
        <v/>
      </c>
      <c r="W1012" s="9" t="str">
        <f t="shared" si="128"/>
        <v/>
      </c>
      <c r="X1012" s="10">
        <f>SUM(V$13:V1012)/COUNTA(B$13:B1012)</f>
        <v>7.0000000000000001E-3</v>
      </c>
      <c r="Z1012" s="5"/>
      <c r="AA1012" s="5"/>
      <c r="AC1012" s="7"/>
      <c r="AE1012" s="54" t="e">
        <f t="shared" si="129"/>
        <v>#N/A</v>
      </c>
      <c r="AF1012" s="4" t="e">
        <f t="shared" si="125"/>
        <v>#N/A</v>
      </c>
    </row>
    <row r="1013" spans="2:32">
      <c r="E1013"/>
    </row>
    <row r="1014" spans="2:32" outlineLevel="1">
      <c r="B1014" s="1" t="s">
        <v>41</v>
      </c>
    </row>
    <row r="1015" spans="2:32" outlineLevel="1">
      <c r="B1015" s="2" t="s">
        <v>33</v>
      </c>
      <c r="C1015" s="4">
        <f>COUNTA(C13:$C$1012)</f>
        <v>10</v>
      </c>
      <c r="E1015" s="49">
        <f>F1015/60</f>
        <v>1.95</v>
      </c>
      <c r="F1015" s="49">
        <f>IF(ISERROR(AVERAGE($F$13:$F$1012)),"n/a",AVERAGE($F$13:$F$1012))</f>
        <v>117</v>
      </c>
      <c r="Q1015" s="4">
        <f>SUM(Q13:Q1012)</f>
        <v>5</v>
      </c>
      <c r="R1015" s="4">
        <f>SUM(R13:R1012)</f>
        <v>5</v>
      </c>
      <c r="S1015" s="4">
        <f>SUM(S13:S1012)</f>
        <v>0</v>
      </c>
      <c r="V1015" s="4">
        <f>SUM(V13:V1012)</f>
        <v>7</v>
      </c>
      <c r="W1015" s="4">
        <f>SUM(W13:W1012)</f>
        <v>3</v>
      </c>
      <c r="Z1015" s="4">
        <f>SUM(Z13:Z1012)</f>
        <v>1</v>
      </c>
      <c r="AA1015" s="4">
        <f>SUM(AA13:AA1012)</f>
        <v>2</v>
      </c>
    </row>
    <row r="1016" spans="2:32" outlineLevel="1">
      <c r="F1016" s="50"/>
    </row>
    <row r="1017" spans="2:32" outlineLevel="1">
      <c r="B1017" s="2" t="s">
        <v>42</v>
      </c>
      <c r="C1017" s="4">
        <f>COUNTIF($C$13:$C$1012,$B1017)</f>
        <v>2</v>
      </c>
      <c r="E1017" s="49">
        <f>IF(F1017/60=0,"n/a",F1017/60)</f>
        <v>1.25</v>
      </c>
      <c r="F1017" s="49">
        <f>IF(ISERROR(SUMIF($C$13:$C$1012,$B1017,$F$13:$F$1012)/C1017),"n/a",SUMIF($C$13:$C$1012,$B1017,$F$13:$F$1012)/C1017)</f>
        <v>75</v>
      </c>
      <c r="J1017" s="26">
        <f>C1017/$C$1015</f>
        <v>0.2</v>
      </c>
      <c r="K1017" s="26">
        <f>C1018/$C$1015</f>
        <v>0.2</v>
      </c>
      <c r="L1017" s="26">
        <f>C1019/$C$1015</f>
        <v>0.2</v>
      </c>
      <c r="M1017" s="26">
        <f>C1020/$C$1015</f>
        <v>0.2</v>
      </c>
      <c r="N1017" s="26">
        <f>C1021/$C$1015</f>
        <v>0.2</v>
      </c>
      <c r="Q1017" s="4">
        <f t="shared" ref="Q1017:S1021" si="131">SUMIF($C$13:$C$1012,$B1017,Q$13:Q$1012)</f>
        <v>1</v>
      </c>
      <c r="R1017" s="4">
        <f t="shared" si="131"/>
        <v>1</v>
      </c>
      <c r="S1017" s="4">
        <f t="shared" si="131"/>
        <v>0</v>
      </c>
      <c r="V1017" s="4">
        <f t="shared" ref="V1017:W1021" si="132">SUMIF($C$13:$C$1012,$B1017,V$13:V$1012)</f>
        <v>2</v>
      </c>
      <c r="W1017" s="4">
        <f t="shared" si="132"/>
        <v>0</v>
      </c>
      <c r="Z1017" s="4">
        <f t="shared" ref="Z1017:AA1021" si="133">SUMIF($C$13:$C$1012,$B1017,Z$13:Z$1012)</f>
        <v>0</v>
      </c>
      <c r="AA1017" s="4">
        <f t="shared" si="133"/>
        <v>0</v>
      </c>
    </row>
    <row r="1018" spans="2:32" outlineLevel="1">
      <c r="B1018" s="2" t="s">
        <v>43</v>
      </c>
      <c r="C1018" s="4">
        <f>COUNTIF($C$13:$C$1012,$B1018)</f>
        <v>2</v>
      </c>
      <c r="E1018" s="49">
        <f>IF(F1018/60=0,"n/a",F1018/60)</f>
        <v>3.6666666666666665</v>
      </c>
      <c r="F1018" s="49">
        <f>IF(ISERROR(SUMIF($C$13:$C$1012,$B1018,$F$13:$F$1012)/C1018),"n/a",SUMIF($C$13:$C$1012,$B1018,$F$13:$F$1012)/C1018)</f>
        <v>220</v>
      </c>
      <c r="Q1018" s="4">
        <f t="shared" si="131"/>
        <v>1</v>
      </c>
      <c r="R1018" s="4">
        <f t="shared" si="131"/>
        <v>1</v>
      </c>
      <c r="S1018" s="4">
        <f t="shared" si="131"/>
        <v>0</v>
      </c>
      <c r="V1018" s="4">
        <f t="shared" si="132"/>
        <v>1</v>
      </c>
      <c r="W1018" s="4">
        <f t="shared" si="132"/>
        <v>1</v>
      </c>
      <c r="Z1018" s="4">
        <f t="shared" si="133"/>
        <v>1</v>
      </c>
      <c r="AA1018" s="4">
        <f t="shared" si="133"/>
        <v>0</v>
      </c>
    </row>
    <row r="1019" spans="2:32" outlineLevel="1">
      <c r="B1019" s="2" t="s">
        <v>46</v>
      </c>
      <c r="C1019" s="4">
        <f>COUNTIF($C$13:$C$1012,$B1019)</f>
        <v>2</v>
      </c>
      <c r="E1019" s="49">
        <f>IF(F1019/60=0,"n/a",F1019/60)</f>
        <v>1.9166666666666667</v>
      </c>
      <c r="F1019" s="49">
        <f>IF(ISERROR(SUMIF($C$13:$C$1012,$B1019,$F$13:$F$1012)/C1019),"n/a",SUMIF($C$13:$C$1012,$B1019,$F$13:$F$1012)/C1019)</f>
        <v>115</v>
      </c>
      <c r="Q1019" s="4">
        <f t="shared" si="131"/>
        <v>1</v>
      </c>
      <c r="R1019" s="4">
        <f t="shared" si="131"/>
        <v>1</v>
      </c>
      <c r="S1019" s="4">
        <f t="shared" si="131"/>
        <v>0</v>
      </c>
      <c r="V1019" s="4">
        <f t="shared" si="132"/>
        <v>2</v>
      </c>
      <c r="W1019" s="4">
        <f t="shared" si="132"/>
        <v>0</v>
      </c>
      <c r="Z1019" s="4">
        <f t="shared" si="133"/>
        <v>0</v>
      </c>
      <c r="AA1019" s="4">
        <f t="shared" si="133"/>
        <v>0</v>
      </c>
    </row>
    <row r="1020" spans="2:32" outlineLevel="1">
      <c r="B1020" s="2" t="s">
        <v>44</v>
      </c>
      <c r="C1020" s="4">
        <f>COUNTIF($C$13:$C$1012,$B1020)</f>
        <v>2</v>
      </c>
      <c r="E1020" s="49">
        <f>IF(F1020/60=0,"n/a",F1020/60)</f>
        <v>1.7083333333333333</v>
      </c>
      <c r="F1020" s="49">
        <f>IF(ISERROR(SUMIF($C$13:$C$1012,$B1020,$F$13:$F$1012)/C1020),"n/a",SUMIF($C$13:$C$1012,$B1020,$F$13:$F$1012)/C1020)</f>
        <v>102.5</v>
      </c>
      <c r="Q1020" s="4">
        <f t="shared" si="131"/>
        <v>1</v>
      </c>
      <c r="R1020" s="4">
        <f t="shared" si="131"/>
        <v>1</v>
      </c>
      <c r="S1020" s="4">
        <f t="shared" si="131"/>
        <v>0</v>
      </c>
      <c r="V1020" s="4">
        <f t="shared" si="132"/>
        <v>1</v>
      </c>
      <c r="W1020" s="4">
        <f t="shared" si="132"/>
        <v>1</v>
      </c>
      <c r="Z1020" s="4">
        <f t="shared" si="133"/>
        <v>0</v>
      </c>
      <c r="AA1020" s="4">
        <f t="shared" si="133"/>
        <v>1</v>
      </c>
    </row>
    <row r="1021" spans="2:32" outlineLevel="1">
      <c r="B1021" s="2" t="s">
        <v>45</v>
      </c>
      <c r="C1021" s="4">
        <f>COUNTIF($C$13:$C$1012,$B1021)</f>
        <v>2</v>
      </c>
      <c r="E1021" s="49">
        <f>IF(F1021/60=0,"n/a",F1021/60)</f>
        <v>1.2083333333333333</v>
      </c>
      <c r="F1021" s="49">
        <f>IF(ISERROR(SUMIF($C$13:$C$1012,$B1021,$F$13:$F$1012)/C1021),"n/a",SUMIF($C$13:$C$1012,$B1021,$F$13:$F$1012)/C1021)</f>
        <v>72.5</v>
      </c>
      <c r="Q1021" s="4">
        <f t="shared" si="131"/>
        <v>1</v>
      </c>
      <c r="R1021" s="4">
        <f t="shared" si="131"/>
        <v>1</v>
      </c>
      <c r="S1021" s="4">
        <f t="shared" si="131"/>
        <v>0</v>
      </c>
      <c r="V1021" s="4">
        <f t="shared" si="132"/>
        <v>1</v>
      </c>
      <c r="W1021" s="4">
        <f t="shared" si="132"/>
        <v>1</v>
      </c>
      <c r="Z1021" s="4">
        <f t="shared" si="133"/>
        <v>0</v>
      </c>
      <c r="AA1021" s="4">
        <f t="shared" si="133"/>
        <v>1</v>
      </c>
    </row>
    <row r="1022" spans="2:32" outlineLevel="1">
      <c r="E1022" s="3" t="s">
        <v>49</v>
      </c>
      <c r="F1022" s="3" t="s">
        <v>50</v>
      </c>
    </row>
    <row r="1023" spans="2:32" outlineLevel="1">
      <c r="B1023" s="2" t="s">
        <v>33</v>
      </c>
      <c r="E1023" s="4" t="str">
        <f>LEFT(E1015,1)</f>
        <v>1</v>
      </c>
      <c r="F1023" s="49">
        <f>(E1015-E1023)*60</f>
        <v>57</v>
      </c>
    </row>
    <row r="1024" spans="2:32" outlineLevel="1">
      <c r="E1024" s="4"/>
      <c r="F1024" s="49"/>
    </row>
    <row r="1025" spans="2:6" outlineLevel="1">
      <c r="B1025" s="2" t="s">
        <v>42</v>
      </c>
      <c r="E1025" s="4" t="str">
        <f>LEFT(E1017,1)</f>
        <v>1</v>
      </c>
      <c r="F1025" s="49">
        <f>(E1017-E1025)*60</f>
        <v>15</v>
      </c>
    </row>
    <row r="1026" spans="2:6" outlineLevel="1">
      <c r="B1026" s="2" t="s">
        <v>43</v>
      </c>
      <c r="E1026" s="4" t="str">
        <f>LEFT(E1018,1)</f>
        <v>3</v>
      </c>
      <c r="F1026" s="49">
        <f>(E1018-E1026)*60</f>
        <v>39.999999999999993</v>
      </c>
    </row>
    <row r="1027" spans="2:6" outlineLevel="1">
      <c r="B1027" s="2" t="s">
        <v>46</v>
      </c>
      <c r="E1027" s="4" t="str">
        <f>LEFT(E1019,1)</f>
        <v>1</v>
      </c>
      <c r="F1027" s="49">
        <f>(E1019-E1027)*60</f>
        <v>55.000000000000007</v>
      </c>
    </row>
    <row r="1028" spans="2:6" outlineLevel="1">
      <c r="B1028" s="2" t="s">
        <v>44</v>
      </c>
      <c r="E1028" s="4" t="str">
        <f>LEFT(E1020,1)</f>
        <v>1</v>
      </c>
      <c r="F1028" s="49">
        <f>(E1020-E1028)*60</f>
        <v>42.499999999999993</v>
      </c>
    </row>
    <row r="1029" spans="2:6" outlineLevel="1">
      <c r="B1029" s="2" t="s">
        <v>45</v>
      </c>
      <c r="E1029" s="4" t="str">
        <f>LEFT(E1021,1)</f>
        <v>1</v>
      </c>
      <c r="F1029" s="49">
        <f>(E1021-E1029)*60</f>
        <v>12.499999999999996</v>
      </c>
    </row>
    <row r="1030" spans="2:6" outlineLevel="1"/>
    <row r="1031" spans="2:6" outlineLevel="1">
      <c r="B1031" s="58" t="s">
        <v>59</v>
      </c>
    </row>
    <row r="1032" spans="2:6" outlineLevel="1">
      <c r="B1032" s="51" t="s">
        <v>33</v>
      </c>
      <c r="E1032" s="59">
        <f>IF(F1032/60=0,"n/a",F1032/60)</f>
        <v>-0.05</v>
      </c>
      <c r="F1032" s="59">
        <f>IF(F1015=0,"n/a",F1015-$J$7)</f>
        <v>-3</v>
      </c>
    </row>
    <row r="1033" spans="2:6" outlineLevel="1">
      <c r="B1033" s="51"/>
    </row>
    <row r="1034" spans="2:6" outlineLevel="1">
      <c r="B1034" s="2" t="s">
        <v>42</v>
      </c>
      <c r="E1034" s="49">
        <f>IF(F1034/60=0,"n/a",F1034/60)</f>
        <v>-0.75</v>
      </c>
      <c r="F1034" s="49">
        <f>IF(F1017=0,"n/a",F1017-$K$7)</f>
        <v>-45</v>
      </c>
    </row>
    <row r="1035" spans="2:6" outlineLevel="1">
      <c r="B1035" s="2" t="s">
        <v>43</v>
      </c>
      <c r="E1035" s="49">
        <f>IF(F1035/60=0,"n/a",F1035/60)</f>
        <v>1.6666666666666667</v>
      </c>
      <c r="F1035" s="49">
        <f>IF(F1018=0,"n/a",F1018-$L$7)</f>
        <v>100</v>
      </c>
    </row>
    <row r="1036" spans="2:6" outlineLevel="1">
      <c r="B1036" s="2" t="s">
        <v>46</v>
      </c>
      <c r="E1036" s="49">
        <f>IF(F1036/60=0,"n/a",F1036/60)</f>
        <v>-8.3333333333333329E-2</v>
      </c>
      <c r="F1036" s="49">
        <f>IF(F1019=0,"n/a",F1019-$M$7)</f>
        <v>-5</v>
      </c>
    </row>
    <row r="1037" spans="2:6" outlineLevel="1">
      <c r="B1037" s="2" t="s">
        <v>44</v>
      </c>
      <c r="E1037" s="49">
        <f>IF(F1037/60=0,"n/a",F1037/60)</f>
        <v>-0.29166666666666669</v>
      </c>
      <c r="F1037" s="49">
        <f>IF(F1020=0,"n/a",F1020-$N$7)</f>
        <v>-17.5</v>
      </c>
    </row>
    <row r="1038" spans="2:6" outlineLevel="1">
      <c r="B1038" s="2" t="s">
        <v>45</v>
      </c>
      <c r="E1038" s="49">
        <f>IF(F1038/60=0,"n/a",F1038/60)</f>
        <v>-0.79166666666666663</v>
      </c>
      <c r="F1038" s="49">
        <f>IF(F1021=0,"n/a",F1021-$O$7)</f>
        <v>-47.5</v>
      </c>
    </row>
    <row r="1039" spans="2:6" outlineLevel="1">
      <c r="E1039" s="3" t="s">
        <v>49</v>
      </c>
      <c r="F1039" s="3" t="s">
        <v>50</v>
      </c>
    </row>
    <row r="1040" spans="2:6" outlineLevel="1">
      <c r="B1040" s="51" t="s">
        <v>33</v>
      </c>
      <c r="E1040" s="4" t="str">
        <f>LEFT(ABS(E1032),1)</f>
        <v>0</v>
      </c>
      <c r="F1040" s="49">
        <f>(ABS(E1032)-E1040)*60</f>
        <v>3</v>
      </c>
    </row>
    <row r="1041" spans="2:6" outlineLevel="1">
      <c r="B1041" s="51"/>
      <c r="E1041" s="4"/>
      <c r="F1041" s="49"/>
    </row>
    <row r="1042" spans="2:6" outlineLevel="1">
      <c r="B1042" s="2" t="s">
        <v>42</v>
      </c>
      <c r="E1042" s="4" t="str">
        <f>LEFT(ABS(E1034),1)</f>
        <v>0</v>
      </c>
      <c r="F1042" s="49">
        <f>(ABS(E1034)-E1042)*60</f>
        <v>45</v>
      </c>
    </row>
    <row r="1043" spans="2:6" outlineLevel="1">
      <c r="B1043" s="2" t="s">
        <v>43</v>
      </c>
      <c r="E1043" s="4" t="str">
        <f>LEFT(ABS(E1035),1)</f>
        <v>1</v>
      </c>
      <c r="F1043" s="49">
        <f>(ABS(E1035)-E1043)*60</f>
        <v>40.000000000000007</v>
      </c>
    </row>
    <row r="1044" spans="2:6" outlineLevel="1">
      <c r="B1044" s="2" t="s">
        <v>46</v>
      </c>
      <c r="E1044" s="4" t="str">
        <f>LEFT(ABS(E1036),1)</f>
        <v>0</v>
      </c>
      <c r="F1044" s="49">
        <f>(ABS(E1036)-E1044)*60</f>
        <v>5</v>
      </c>
    </row>
    <row r="1045" spans="2:6" outlineLevel="1">
      <c r="B1045" s="2" t="s">
        <v>44</v>
      </c>
      <c r="E1045" s="4" t="str">
        <f>LEFT(ABS(E1037),1)</f>
        <v>0</v>
      </c>
      <c r="F1045" s="49">
        <f>(ABS(E1037)-E1045)*60</f>
        <v>17.5</v>
      </c>
    </row>
    <row r="1046" spans="2:6" outlineLevel="1">
      <c r="B1046" s="2" t="s">
        <v>45</v>
      </c>
      <c r="E1046" s="4" t="str">
        <f>LEFT(ABS(E1038),1)</f>
        <v>0</v>
      </c>
      <c r="F1046" s="49">
        <f>(ABS(E1038)-E1046)*60</f>
        <v>47.5</v>
      </c>
    </row>
  </sheetData>
  <phoneticPr fontId="5" type="noConversion"/>
  <conditionalFormatting sqref="E13:H1012 C13:C1012 J13:O1012 Q13:S1012 Z13:AA1012 AC13:AC1012 U13:X1012">
    <cfRule type="expression" dxfId="24" priority="1" stopIfTrue="1">
      <formula>$AE13=1</formula>
    </cfRule>
    <cfRule type="expression" dxfId="23" priority="2" stopIfTrue="1">
      <formula>$AE13=2</formula>
    </cfRule>
  </conditionalFormatting>
  <conditionalFormatting sqref="B13:B1012">
    <cfRule type="expression" dxfId="22" priority="3" stopIfTrue="1">
      <formula>$AE13=1</formula>
    </cfRule>
    <cfRule type="expression" dxfId="21" priority="4" stopIfTrue="1">
      <formula>$AE13=2</formula>
    </cfRule>
  </conditionalFormatting>
  <conditionalFormatting sqref="BC18:BD18 BC22:BD22 BC25:BD25 BC28:BD28 BC31:BD31 BC34:BD35">
    <cfRule type="expression" dxfId="20" priority="5" stopIfTrue="1">
      <formula>$BF18="+"</formula>
    </cfRule>
  </conditionalFormatting>
  <dataValidations count="4">
    <dataValidation type="whole" allowBlank="1" showInputMessage="1" showErrorMessage="1" sqref="Z13:AA1012 Q13:S1012 J13:N1012">
      <formula1>1</formula1>
      <formula2>1</formula2>
    </dataValidation>
    <dataValidation type="list" allowBlank="1" showInputMessage="1" showErrorMessage="1" sqref="U13:U1012">
      <formula1>"A,B,C,D,E"</formula1>
    </dataValidation>
    <dataValidation type="list" allowBlank="1" showInputMessage="1" showErrorMessage="1" sqref="C13:C1012">
      <formula1>"PS, DS, RC, CR, SC"</formula1>
    </dataValidation>
    <dataValidation type="whole" allowBlank="1" showInputMessage="1" showErrorMessage="1" sqref="F8:F9 F4">
      <formula1>0</formula1>
      <formula2>1</formula2>
    </dataValidation>
  </dataValidations>
  <pageMargins left="0.5" right="0.5" top="0.5" bottom="0.5" header="0.5" footer="0.5"/>
  <pageSetup scale="72" orientation="landscape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1:BG1046"/>
  <sheetViews>
    <sheetView showGridLines="0" zoomScaleNormal="100" zoomScaleSheetLayoutView="115" workbookViewId="0">
      <pane xSplit="3" ySplit="12" topLeftCell="D13" activePane="bottomRight" state="frozen"/>
      <selection pane="topRight" activeCell="E1" sqref="E1"/>
      <selection pane="bottomLeft" activeCell="A12" sqref="A12"/>
      <selection pane="bottomRight" activeCell="D13" sqref="D13"/>
    </sheetView>
  </sheetViews>
  <sheetFormatPr defaultRowHeight="12.75" outlineLevelRow="1" outlineLevelCol="1"/>
  <cols>
    <col min="1" max="1" width="2.7109375" style="2" customWidth="1"/>
    <col min="2" max="2" width="10.7109375" style="2" customWidth="1"/>
    <col min="3" max="3" width="12.7109375" style="2" customWidth="1"/>
    <col min="4" max="4" width="1.7109375" customWidth="1"/>
    <col min="5" max="6" width="10.7109375" style="2" customWidth="1"/>
    <col min="7" max="8" width="10.7109375" style="2" hidden="1" customWidth="1" outlineLevel="1"/>
    <col min="9" max="9" width="1.7109375" customWidth="1" collapsed="1"/>
    <col min="10" max="15" width="4.7109375" style="2" customWidth="1"/>
    <col min="16" max="16" width="1.7109375" customWidth="1"/>
    <col min="17" max="19" width="10.7109375" style="2" customWidth="1"/>
    <col min="20" max="20" width="1.7109375" hidden="1" customWidth="1" outlineLevel="1"/>
    <col min="21" max="24" width="10.7109375" style="2" hidden="1" customWidth="1" outlineLevel="1"/>
    <col min="25" max="25" width="1.7109375" hidden="1" customWidth="1" outlineLevel="1"/>
    <col min="26" max="27" width="10.7109375" style="2" hidden="1" customWidth="1" outlineLevel="1"/>
    <col min="28" max="28" width="1.7109375" hidden="1" customWidth="1" outlineLevel="1"/>
    <col min="29" max="29" width="100.7109375" style="2" hidden="1" customWidth="1" outlineLevel="1"/>
    <col min="30" max="30" width="2.7109375" customWidth="1" collapsed="1"/>
    <col min="31" max="32" width="15.7109375" style="2" hidden="1" customWidth="1"/>
    <col min="33" max="42" width="10.7109375" style="2" customWidth="1"/>
    <col min="43" max="43" width="2.7109375" style="2" customWidth="1"/>
    <col min="44" max="45" width="10.7109375" style="2" customWidth="1"/>
    <col min="46" max="46" width="5.7109375" style="2" customWidth="1"/>
    <col min="47" max="56" width="9.7109375" style="2" customWidth="1"/>
    <col min="57" max="57" width="1.7109375" style="2" customWidth="1"/>
    <col min="58" max="59" width="9.140625" style="101"/>
    <col min="60" max="16384" width="9.140625" style="2"/>
  </cols>
  <sheetData>
    <row r="1" spans="2:59">
      <c r="E1"/>
    </row>
    <row r="2" spans="2:59" ht="25.5">
      <c r="B2" s="73" t="str">
        <f>"GMAT Error Log"&amp;" - "&amp;F5</f>
        <v>GMAT Error Log - Source 2</v>
      </c>
      <c r="C2" s="74"/>
      <c r="D2" s="74"/>
      <c r="E2" s="75"/>
      <c r="F2" s="76"/>
      <c r="G2" s="76"/>
      <c r="H2" s="76"/>
      <c r="I2" s="74"/>
      <c r="J2" s="76"/>
      <c r="K2" s="76"/>
      <c r="L2" s="76"/>
      <c r="M2" s="76"/>
      <c r="N2" s="76"/>
      <c r="O2" s="76"/>
      <c r="P2" s="74"/>
      <c r="Q2" s="76"/>
      <c r="R2" s="76"/>
      <c r="S2" s="76"/>
      <c r="T2" s="74"/>
      <c r="U2" s="76"/>
      <c r="V2" s="76"/>
      <c r="W2" s="76"/>
      <c r="X2" s="76"/>
      <c r="Y2" s="74"/>
      <c r="Z2" s="76"/>
      <c r="AA2" s="76"/>
      <c r="AB2" s="74"/>
      <c r="AC2" s="76"/>
      <c r="AS2" s="25"/>
      <c r="AT2" s="25"/>
      <c r="AU2" s="25"/>
      <c r="AV2" s="25"/>
      <c r="AW2" s="25"/>
      <c r="AX2" s="25"/>
      <c r="AY2" s="25"/>
      <c r="AZ2" s="25"/>
      <c r="BA2" s="25"/>
      <c r="BB2" s="25"/>
    </row>
    <row r="3" spans="2:59" ht="12.75" customHeight="1">
      <c r="B3" s="77"/>
      <c r="C3" s="78"/>
      <c r="D3" s="78"/>
      <c r="E3" s="79"/>
      <c r="F3" s="80"/>
      <c r="G3" s="79"/>
      <c r="H3" s="79"/>
      <c r="I3" s="78"/>
      <c r="J3" s="79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</row>
    <row r="4" spans="2:59" ht="12.75" customHeight="1">
      <c r="B4" s="55" t="s">
        <v>48</v>
      </c>
      <c r="C4" s="47"/>
      <c r="D4" s="47"/>
      <c r="E4" s="56"/>
      <c r="F4" s="57">
        <v>1</v>
      </c>
      <c r="G4" s="56"/>
      <c r="H4" s="56"/>
      <c r="I4" s="47"/>
      <c r="J4" s="5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31"/>
    </row>
    <row r="5" spans="2:59" ht="12.75" hidden="1" customHeight="1" outlineLevel="1">
      <c r="B5" s="16" t="s">
        <v>40</v>
      </c>
      <c r="C5" s="18"/>
      <c r="D5" s="18"/>
      <c r="E5" s="17"/>
      <c r="F5" s="27" t="s">
        <v>61</v>
      </c>
      <c r="G5" s="17"/>
      <c r="H5" s="17"/>
      <c r="I5" s="18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31"/>
    </row>
    <row r="6" spans="2:59" ht="12.75" hidden="1" customHeight="1" outlineLevel="1">
      <c r="B6" s="16" t="s">
        <v>25</v>
      </c>
      <c r="C6" s="18"/>
      <c r="D6" s="18"/>
      <c r="E6" s="17"/>
      <c r="F6" s="19"/>
      <c r="G6" s="17"/>
      <c r="H6" s="17"/>
      <c r="I6" s="18"/>
      <c r="J6" s="35" t="s">
        <v>58</v>
      </c>
      <c r="K6" s="35" t="s">
        <v>42</v>
      </c>
      <c r="L6" s="35" t="s">
        <v>43</v>
      </c>
      <c r="M6" s="35" t="s">
        <v>46</v>
      </c>
      <c r="N6" s="35" t="s">
        <v>44</v>
      </c>
      <c r="O6" s="35" t="s">
        <v>45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32"/>
    </row>
    <row r="7" spans="2:59" ht="12.75" hidden="1" customHeight="1" outlineLevel="1">
      <c r="B7" s="20" t="s">
        <v>26</v>
      </c>
      <c r="C7" s="15"/>
      <c r="D7" s="15"/>
      <c r="E7" s="14"/>
      <c r="F7" s="28"/>
      <c r="G7" s="14"/>
      <c r="H7" s="14"/>
      <c r="I7" s="15"/>
      <c r="J7" s="39" t="str">
        <f>IF(ISERROR(SUMPRODUCT(K7:O7,J1017:N1017)),"n/a",SUMPRODUCT(K7:O7,J1017:N1017))</f>
        <v>n/a</v>
      </c>
      <c r="K7" s="36">
        <f>'Source_Input (1)'!K7</f>
        <v>120</v>
      </c>
      <c r="L7" s="36">
        <f>'Source_Input (1)'!L7</f>
        <v>120</v>
      </c>
      <c r="M7" s="36">
        <f>'Source_Input (1)'!M7</f>
        <v>120</v>
      </c>
      <c r="N7" s="36">
        <f>'Source_Input (1)'!N7</f>
        <v>120</v>
      </c>
      <c r="O7" s="36">
        <f>'Source_Input (1)'!O7</f>
        <v>120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33"/>
    </row>
    <row r="8" spans="2:59" ht="12.75" hidden="1" customHeight="1" outlineLevel="1">
      <c r="B8" s="20" t="s">
        <v>27</v>
      </c>
      <c r="C8" s="15"/>
      <c r="D8" s="15"/>
      <c r="E8" s="14"/>
      <c r="F8" s="29">
        <f>'Source_Input (1)'!F8</f>
        <v>1</v>
      </c>
      <c r="G8" s="14"/>
      <c r="H8" s="14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33"/>
    </row>
    <row r="9" spans="2:59" ht="12.75" hidden="1" customHeight="1" outlineLevel="1">
      <c r="B9" s="21" t="s">
        <v>28</v>
      </c>
      <c r="C9" s="23"/>
      <c r="D9" s="23"/>
      <c r="E9" s="22"/>
      <c r="F9" s="30">
        <f>'Source_Input (1)'!F9</f>
        <v>1</v>
      </c>
      <c r="G9" s="22"/>
      <c r="H9" s="22"/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34"/>
    </row>
    <row r="10" spans="2:59" ht="12.75" customHeight="1" collapsed="1">
      <c r="B10" s="1"/>
      <c r="C10" s="12"/>
      <c r="E10"/>
      <c r="AE10" s="52" t="s">
        <v>55</v>
      </c>
      <c r="AF10" s="53"/>
      <c r="AS10" s="1"/>
      <c r="AT10" s="1"/>
      <c r="AV10" s="24"/>
      <c r="AW10" s="24"/>
      <c r="AX10" s="24"/>
    </row>
    <row r="11" spans="2:59" ht="26.45" customHeight="1">
      <c r="B11" s="60" t="s">
        <v>21</v>
      </c>
      <c r="C11" s="61" t="s">
        <v>21</v>
      </c>
      <c r="E11" s="64"/>
      <c r="F11" s="65"/>
      <c r="G11" s="81" t="s">
        <v>24</v>
      </c>
      <c r="H11" s="81" t="s">
        <v>19</v>
      </c>
      <c r="J11" s="66" t="s">
        <v>14</v>
      </c>
      <c r="K11" s="67"/>
      <c r="L11" s="67"/>
      <c r="M11" s="68"/>
      <c r="N11" s="67"/>
      <c r="O11" s="69"/>
      <c r="Q11" s="66" t="s">
        <v>23</v>
      </c>
      <c r="R11" s="67"/>
      <c r="S11" s="69"/>
      <c r="U11" s="66" t="s">
        <v>8</v>
      </c>
      <c r="V11" s="67"/>
      <c r="W11" s="67"/>
      <c r="X11" s="69"/>
      <c r="Z11" s="66" t="s">
        <v>15</v>
      </c>
      <c r="AA11" s="69"/>
      <c r="AC11" s="82"/>
      <c r="AE11" s="3" t="s">
        <v>53</v>
      </c>
      <c r="AF11" s="3" t="s">
        <v>51</v>
      </c>
      <c r="AR11" s="73" t="str">
        <f>F5&amp;" Performance Report"</f>
        <v>Source 2 Performance Report</v>
      </c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9" s="1" customFormat="1">
      <c r="B12" s="62" t="s">
        <v>20</v>
      </c>
      <c r="C12" s="63" t="s">
        <v>22</v>
      </c>
      <c r="D12"/>
      <c r="E12" s="62" t="s">
        <v>18</v>
      </c>
      <c r="F12" s="63" t="s">
        <v>7</v>
      </c>
      <c r="G12" s="81" t="s">
        <v>7</v>
      </c>
      <c r="H12" s="81" t="s">
        <v>7</v>
      </c>
      <c r="I12"/>
      <c r="J12" s="70" t="s">
        <v>9</v>
      </c>
      <c r="K12" s="71" t="s">
        <v>10</v>
      </c>
      <c r="L12" s="71" t="s">
        <v>11</v>
      </c>
      <c r="M12" s="71" t="s">
        <v>12</v>
      </c>
      <c r="N12" s="71" t="s">
        <v>13</v>
      </c>
      <c r="O12" s="72"/>
      <c r="P12"/>
      <c r="Q12" s="70" t="s">
        <v>0</v>
      </c>
      <c r="R12" s="71" t="s">
        <v>2</v>
      </c>
      <c r="S12" s="72" t="s">
        <v>1</v>
      </c>
      <c r="T12"/>
      <c r="U12" s="70" t="s">
        <v>16</v>
      </c>
      <c r="V12" s="71" t="s">
        <v>3</v>
      </c>
      <c r="W12" s="71" t="s">
        <v>4</v>
      </c>
      <c r="X12" s="72" t="s">
        <v>17</v>
      </c>
      <c r="Y12"/>
      <c r="Z12" s="70" t="s">
        <v>5</v>
      </c>
      <c r="AA12" s="72" t="s">
        <v>6</v>
      </c>
      <c r="AB12"/>
      <c r="AC12" s="83" t="s">
        <v>29</v>
      </c>
      <c r="AD12"/>
      <c r="AE12" s="3" t="s">
        <v>54</v>
      </c>
      <c r="AF12" s="3" t="s">
        <v>52</v>
      </c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F12" s="112"/>
      <c r="BG12" s="112"/>
    </row>
    <row r="13" spans="2:59">
      <c r="B13" s="5">
        <v>1</v>
      </c>
      <c r="C13" s="5"/>
      <c r="E13" s="13"/>
      <c r="F13" s="5"/>
      <c r="G13" s="11" t="str">
        <f>IF(ISERROR(AVERAGE(F$13:F13)),"n/a",AVERAGE(F$13:F13))</f>
        <v>n/a</v>
      </c>
      <c r="H13" s="11" t="str">
        <f>G13</f>
        <v>n/a</v>
      </c>
      <c r="I13" s="111" t="s">
        <v>101</v>
      </c>
      <c r="J13" s="5"/>
      <c r="K13" s="5"/>
      <c r="L13" s="5"/>
      <c r="M13" s="5"/>
      <c r="N13" s="5"/>
      <c r="O13" s="8" t="str">
        <f t="shared" ref="O13:O76" si="0">IF(J13=1,"A",IF(K13=1,"B",IF(L13=1,"C",IF(M13=1,"D",IF(N13=1,"E","n/a")))))</f>
        <v>n/a</v>
      </c>
      <c r="Q13" s="5"/>
      <c r="R13" s="5"/>
      <c r="S13" s="5"/>
      <c r="U13" s="6"/>
      <c r="V13" s="9" t="str">
        <f>IF(O13="n/a","",IF(O13=U13,1,""))</f>
        <v/>
      </c>
      <c r="W13" s="9" t="str">
        <f>IF(O13="n/a","",IF(O13&lt;&gt;U13,1,""))</f>
        <v/>
      </c>
      <c r="X13" s="10">
        <f>SUM(V$13:V13)/COUNTA(B$13:B13)</f>
        <v>0</v>
      </c>
      <c r="Z13" s="5"/>
      <c r="AA13" s="5"/>
      <c r="AC13" s="7"/>
      <c r="AE13" s="54" t="e">
        <f>+IF($F$4=0,0,IF(W13=1,1,IF(OR(R13*$F$8=1,S13*$F$9=1,F13&gt;=AF13),2,0)))</f>
        <v>#N/A</v>
      </c>
      <c r="AF13" s="4" t="e">
        <f t="shared" ref="AF13:AF76" si="1">HLOOKUP(C13,$K$6:$O$7,2,FALSE)</f>
        <v>#N/A</v>
      </c>
    </row>
    <row r="14" spans="2:59">
      <c r="B14" s="5">
        <f>+B13+1</f>
        <v>2</v>
      </c>
      <c r="C14" s="5"/>
      <c r="E14" s="13"/>
      <c r="F14" s="5"/>
      <c r="G14" s="11" t="str">
        <f>IF(ISERROR(AVERAGE(F$13:F14)),"n/a",AVERAGE(F$13:F14))</f>
        <v>n/a</v>
      </c>
      <c r="H14" s="11" t="str">
        <f t="shared" ref="H14:H77" si="2">G14</f>
        <v>n/a</v>
      </c>
      <c r="J14" s="5"/>
      <c r="K14" s="5"/>
      <c r="L14" s="5"/>
      <c r="M14" s="5"/>
      <c r="N14" s="5"/>
      <c r="O14" s="8" t="str">
        <f t="shared" si="0"/>
        <v>n/a</v>
      </c>
      <c r="Q14" s="5"/>
      <c r="R14" s="5"/>
      <c r="S14" s="5"/>
      <c r="U14" s="6"/>
      <c r="V14" s="9" t="str">
        <f t="shared" ref="V14:V77" si="3">IF(O14="n/a","",IF(O14=U14,1,""))</f>
        <v/>
      </c>
      <c r="W14" s="9" t="str">
        <f t="shared" ref="W14:W77" si="4">IF(O14="n/a","",IF(O14&lt;&gt;U14,1,""))</f>
        <v/>
      </c>
      <c r="X14" s="10">
        <f>SUM(V$13:V14)/COUNTA(B$13:B14)</f>
        <v>0</v>
      </c>
      <c r="Z14" s="5"/>
      <c r="AA14" s="5"/>
      <c r="AC14" s="7"/>
      <c r="AE14" s="54" t="e">
        <f t="shared" ref="AE14:AE77" si="5">+IF($F$4=0,0,IF(W14=1,1,IF(OR(R14*$F$8=1,S14*$F$9=1,F14&gt;=AF14),2,0)))</f>
        <v>#N/A</v>
      </c>
      <c r="AF14" s="4" t="e">
        <f t="shared" si="1"/>
        <v>#N/A</v>
      </c>
      <c r="AR14" s="2" t="s">
        <v>30</v>
      </c>
      <c r="AS14" s="1"/>
      <c r="AT14" s="1"/>
      <c r="AU14" s="24">
        <f ca="1">NOW()</f>
        <v>40134.633314467595</v>
      </c>
    </row>
    <row r="15" spans="2:59">
      <c r="B15" s="5">
        <f>+B14+1</f>
        <v>3</v>
      </c>
      <c r="C15" s="5"/>
      <c r="E15" s="13"/>
      <c r="F15" s="5"/>
      <c r="G15" s="11" t="str">
        <f>IF(ISERROR(AVERAGE(F$13:F15)),"n/a",AVERAGE(F$13:F15))</f>
        <v>n/a</v>
      </c>
      <c r="H15" s="11" t="str">
        <f t="shared" si="2"/>
        <v>n/a</v>
      </c>
      <c r="J15" s="5"/>
      <c r="K15" s="5"/>
      <c r="L15" s="5"/>
      <c r="M15" s="5"/>
      <c r="N15" s="5"/>
      <c r="O15" s="8" t="str">
        <f t="shared" si="0"/>
        <v>n/a</v>
      </c>
      <c r="Q15" s="5"/>
      <c r="R15" s="5"/>
      <c r="S15" s="5"/>
      <c r="U15" s="6"/>
      <c r="V15" s="9" t="str">
        <f t="shared" si="3"/>
        <v/>
      </c>
      <c r="W15" s="9" t="str">
        <f t="shared" si="4"/>
        <v/>
      </c>
      <c r="X15" s="10">
        <f>SUM(V$13:V15)/COUNTA(B$13:B15)</f>
        <v>0</v>
      </c>
      <c r="Z15" s="5"/>
      <c r="AA15" s="5"/>
      <c r="AC15" s="7"/>
      <c r="AE15" s="54" t="e">
        <f t="shared" si="5"/>
        <v>#N/A</v>
      </c>
      <c r="AF15" s="4" t="e">
        <f t="shared" si="1"/>
        <v>#N/A</v>
      </c>
    </row>
    <row r="16" spans="2:59">
      <c r="B16" s="5">
        <f>+B15+1</f>
        <v>4</v>
      </c>
      <c r="C16" s="5"/>
      <c r="E16" s="13"/>
      <c r="F16" s="5"/>
      <c r="G16" s="11" t="str">
        <f>IF(ISERROR(AVERAGE(F$13:F16)),"n/a",AVERAGE(F$13:F16))</f>
        <v>n/a</v>
      </c>
      <c r="H16" s="11" t="str">
        <f t="shared" si="2"/>
        <v>n/a</v>
      </c>
      <c r="J16" s="5"/>
      <c r="K16" s="5"/>
      <c r="L16" s="5"/>
      <c r="M16" s="5"/>
      <c r="N16" s="5"/>
      <c r="O16" s="8" t="str">
        <f t="shared" si="0"/>
        <v>n/a</v>
      </c>
      <c r="Q16" s="5"/>
      <c r="R16" s="5"/>
      <c r="S16" s="5"/>
      <c r="U16" s="6"/>
      <c r="V16" s="9" t="str">
        <f t="shared" si="3"/>
        <v/>
      </c>
      <c r="W16" s="9" t="str">
        <f t="shared" si="4"/>
        <v/>
      </c>
      <c r="X16" s="10">
        <f>SUM(V$13:V16)/COUNTA(B$13:B16)</f>
        <v>0</v>
      </c>
      <c r="Z16" s="5"/>
      <c r="AA16" s="5"/>
      <c r="AC16" s="7"/>
      <c r="AE16" s="54" t="e">
        <f t="shared" si="5"/>
        <v>#N/A</v>
      </c>
      <c r="AF16" s="4" t="e">
        <f t="shared" si="1"/>
        <v>#N/A</v>
      </c>
    </row>
    <row r="17" spans="2:58">
      <c r="B17" s="5">
        <f>+B16+1</f>
        <v>5</v>
      </c>
      <c r="C17" s="5"/>
      <c r="E17" s="13"/>
      <c r="F17" s="5"/>
      <c r="G17" s="11" t="str">
        <f>IF(ISERROR(AVERAGE(F$13:F17)),"n/a",AVERAGE(F$13:F17))</f>
        <v>n/a</v>
      </c>
      <c r="H17" s="11" t="str">
        <f t="shared" si="2"/>
        <v>n/a</v>
      </c>
      <c r="J17" s="5"/>
      <c r="K17" s="5"/>
      <c r="L17" s="5"/>
      <c r="M17" s="5"/>
      <c r="N17" s="5"/>
      <c r="O17" s="8" t="str">
        <f t="shared" si="0"/>
        <v>n/a</v>
      </c>
      <c r="Q17" s="5"/>
      <c r="R17" s="5"/>
      <c r="S17" s="5"/>
      <c r="U17" s="6"/>
      <c r="V17" s="9" t="str">
        <f t="shared" si="3"/>
        <v/>
      </c>
      <c r="W17" s="9" t="str">
        <f t="shared" si="4"/>
        <v/>
      </c>
      <c r="X17" s="10">
        <f>SUM(V$13:V17)/COUNTA(B$13:B17)</f>
        <v>0</v>
      </c>
      <c r="Z17" s="5"/>
      <c r="AA17" s="5"/>
      <c r="AC17" s="7"/>
      <c r="AE17" s="54" t="e">
        <f t="shared" si="5"/>
        <v>#N/A</v>
      </c>
      <c r="AF17" s="4" t="e">
        <f t="shared" si="1"/>
        <v>#N/A</v>
      </c>
      <c r="AR17" s="40"/>
      <c r="AS17" s="41"/>
      <c r="AT17" s="42"/>
      <c r="AU17" s="88" t="s">
        <v>3</v>
      </c>
      <c r="AV17" s="89" t="s">
        <v>0</v>
      </c>
      <c r="AW17" s="90" t="s">
        <v>2</v>
      </c>
      <c r="AX17" s="91" t="s">
        <v>1</v>
      </c>
      <c r="AY17" s="88" t="s">
        <v>4</v>
      </c>
      <c r="AZ17" s="89" t="s">
        <v>5</v>
      </c>
      <c r="BA17" s="91" t="s">
        <v>47</v>
      </c>
      <c r="BB17" s="88" t="s">
        <v>31</v>
      </c>
      <c r="BC17" s="88" t="s">
        <v>32</v>
      </c>
      <c r="BD17" s="88" t="s">
        <v>56</v>
      </c>
    </row>
    <row r="18" spans="2:58">
      <c r="B18" s="5">
        <f>+B17+1</f>
        <v>6</v>
      </c>
      <c r="C18" s="5"/>
      <c r="E18" s="13"/>
      <c r="F18" s="5"/>
      <c r="G18" s="11" t="str">
        <f>IF(ISERROR(AVERAGE(F$13:F18)),"n/a",AVERAGE(F$13:F18))</f>
        <v>n/a</v>
      </c>
      <c r="H18" s="11" t="str">
        <f t="shared" si="2"/>
        <v>n/a</v>
      </c>
      <c r="J18" s="5"/>
      <c r="K18" s="5"/>
      <c r="L18" s="5"/>
      <c r="M18" s="5"/>
      <c r="N18" s="5"/>
      <c r="O18" s="8" t="str">
        <f t="shared" si="0"/>
        <v>n/a</v>
      </c>
      <c r="Q18" s="5"/>
      <c r="R18" s="5"/>
      <c r="S18" s="5"/>
      <c r="U18" s="6"/>
      <c r="V18" s="9" t="str">
        <f t="shared" si="3"/>
        <v/>
      </c>
      <c r="W18" s="9" t="str">
        <f t="shared" si="4"/>
        <v/>
      </c>
      <c r="X18" s="10">
        <f>SUM(V$13:V18)/COUNTA(B$13:B18)</f>
        <v>0</v>
      </c>
      <c r="Z18" s="5"/>
      <c r="AA18" s="5"/>
      <c r="AC18" s="7"/>
      <c r="AE18" s="54" t="e">
        <f t="shared" si="5"/>
        <v>#N/A</v>
      </c>
      <c r="AF18" s="4" t="e">
        <f t="shared" si="1"/>
        <v>#N/A</v>
      </c>
      <c r="AR18" s="43" t="s">
        <v>39</v>
      </c>
      <c r="AS18" s="37"/>
      <c r="AT18" s="44"/>
      <c r="AU18" s="92">
        <f>V1015</f>
        <v>0</v>
      </c>
      <c r="AV18" s="38">
        <f>Q1015</f>
        <v>0</v>
      </c>
      <c r="AW18" s="38">
        <f>R1015</f>
        <v>0</v>
      </c>
      <c r="AX18" s="38">
        <f>S1015</f>
        <v>0</v>
      </c>
      <c r="AY18" s="92">
        <f>W1015</f>
        <v>0</v>
      </c>
      <c r="AZ18" s="38">
        <f>Z1015</f>
        <v>0</v>
      </c>
      <c r="BA18" s="38">
        <f>AA1015</f>
        <v>0</v>
      </c>
      <c r="BB18" s="95" t="str">
        <f>IF(ISERROR(AU18/(AU18+AY18)),"n/a",AU18/(AU18+AY18))</f>
        <v>n/a</v>
      </c>
      <c r="BC18" s="96" t="str">
        <f>IF(ISERROR(TEXT($E$1023,"00")&amp;":"&amp;TEXT($F$1023,"00")),"n/a",TEXT($E$1023,"00")&amp;":"&amp;TEXT($F$1023,"00"))</f>
        <v>n/a</v>
      </c>
      <c r="BD18" s="96" t="str">
        <f>IF(ISERROR(BF18&amp;TEXT($E$1040,"00")&amp;":"&amp;TEXT($F$1040,"00")),"n/a",BF18&amp;TEXT($E$1040,"00")&amp;":"&amp;TEXT($F$1040,"00"))</f>
        <v>n/a</v>
      </c>
      <c r="BF18" s="113" t="e">
        <f>IF(F1032&lt;0,"-","+")</f>
        <v>#VALUE!</v>
      </c>
    </row>
    <row r="19" spans="2:58">
      <c r="B19" s="5">
        <f t="shared" ref="B19:B82" si="6">+B18+1</f>
        <v>7</v>
      </c>
      <c r="C19" s="5"/>
      <c r="E19" s="13"/>
      <c r="F19" s="5"/>
      <c r="G19" s="11" t="str">
        <f>IF(ISERROR(AVERAGE(F$13:F19)),"n/a",AVERAGE(F$13:F19))</f>
        <v>n/a</v>
      </c>
      <c r="H19" s="11" t="str">
        <f t="shared" si="2"/>
        <v>n/a</v>
      </c>
      <c r="J19" s="5"/>
      <c r="K19" s="5"/>
      <c r="L19" s="5"/>
      <c r="M19" s="5"/>
      <c r="N19" s="5"/>
      <c r="O19" s="8" t="str">
        <f t="shared" si="0"/>
        <v>n/a</v>
      </c>
      <c r="Q19" s="5"/>
      <c r="R19" s="5"/>
      <c r="S19" s="5"/>
      <c r="U19" s="6"/>
      <c r="V19" s="9" t="str">
        <f t="shared" si="3"/>
        <v/>
      </c>
      <c r="W19" s="9" t="str">
        <f t="shared" si="4"/>
        <v/>
      </c>
      <c r="X19" s="10">
        <f>SUM(V$13:V19)/COUNTA(B$13:B19)</f>
        <v>0</v>
      </c>
      <c r="Z19" s="5"/>
      <c r="AA19" s="5"/>
      <c r="AC19" s="7"/>
      <c r="AE19" s="54" t="e">
        <f t="shared" si="5"/>
        <v>#N/A</v>
      </c>
      <c r="AF19" s="4" t="e">
        <f t="shared" si="1"/>
        <v>#N/A</v>
      </c>
      <c r="AR19" s="43"/>
      <c r="AS19" s="37"/>
      <c r="AT19" s="44"/>
      <c r="AU19" s="93"/>
      <c r="AV19" s="102" t="str">
        <f>+IF(ISERROR(AV18/SUM($AU$18,$AY$18)),"n/a",AV18/SUM($AU$18,$AY$18))</f>
        <v>n/a</v>
      </c>
      <c r="AW19" s="102" t="str">
        <f t="shared" ref="AW19:AX19" si="7">+IF(ISERROR(AW18/SUM($AU$18,$AY$18)),"n/a",AW18/SUM($AU$18,$AY$18))</f>
        <v>n/a</v>
      </c>
      <c r="AX19" s="102" t="str">
        <f t="shared" si="7"/>
        <v>n/a</v>
      </c>
      <c r="AY19" s="93"/>
      <c r="AZ19" s="102" t="str">
        <f>+IF(ISERROR(AZ18/$AY$18),"n/a",AZ18/$AY$18)</f>
        <v>n/a</v>
      </c>
      <c r="BA19" s="102" t="str">
        <f t="shared" ref="BA19" si="8">+IF(ISERROR(BA18/$AY$18),"n/a",BA18/$AY$18)</f>
        <v>n/a</v>
      </c>
      <c r="BB19" s="93"/>
      <c r="BC19" s="97"/>
      <c r="BD19" s="97"/>
      <c r="BF19" s="113"/>
    </row>
    <row r="20" spans="2:58">
      <c r="B20" s="5">
        <f t="shared" si="6"/>
        <v>8</v>
      </c>
      <c r="C20" s="5"/>
      <c r="E20" s="13"/>
      <c r="F20" s="5"/>
      <c r="G20" s="11" t="str">
        <f>IF(ISERROR(AVERAGE(F$13:F20)),"n/a",AVERAGE(F$13:F20))</f>
        <v>n/a</v>
      </c>
      <c r="H20" s="11" t="str">
        <f>G20</f>
        <v>n/a</v>
      </c>
      <c r="J20" s="5"/>
      <c r="K20" s="5"/>
      <c r="L20" s="5"/>
      <c r="M20" s="5"/>
      <c r="N20" s="5"/>
      <c r="O20" s="8" t="str">
        <f t="shared" si="0"/>
        <v>n/a</v>
      </c>
      <c r="Q20" s="5"/>
      <c r="R20" s="5"/>
      <c r="S20" s="5"/>
      <c r="U20" s="6"/>
      <c r="V20" s="9" t="str">
        <f>IF(O20="n/a","",IF(O20=U20,1,""))</f>
        <v/>
      </c>
      <c r="W20" s="9" t="str">
        <f>IF(O20="n/a","",IF(O20&lt;&gt;U20,1,""))</f>
        <v/>
      </c>
      <c r="X20" s="10">
        <f>SUM(V$13:V20)/COUNTA(B$13:B20)</f>
        <v>0</v>
      </c>
      <c r="Z20" s="5"/>
      <c r="AA20" s="5"/>
      <c r="AC20" s="7"/>
      <c r="AE20" s="54" t="e">
        <f t="shared" si="5"/>
        <v>#N/A</v>
      </c>
      <c r="AF20" s="4" t="e">
        <f t="shared" si="1"/>
        <v>#N/A</v>
      </c>
      <c r="AR20" s="45" t="s">
        <v>57</v>
      </c>
      <c r="AS20" s="37"/>
      <c r="AT20" s="44"/>
      <c r="AU20" s="93"/>
      <c r="AV20" s="37"/>
      <c r="AW20" s="37"/>
      <c r="AX20" s="37"/>
      <c r="AY20" s="93"/>
      <c r="AZ20" s="37"/>
      <c r="BA20" s="37"/>
      <c r="BB20" s="93"/>
      <c r="BC20" s="97"/>
      <c r="BD20" s="97"/>
      <c r="BF20" s="113"/>
    </row>
    <row r="21" spans="2:58">
      <c r="B21" s="5">
        <f t="shared" si="6"/>
        <v>9</v>
      </c>
      <c r="C21" s="5"/>
      <c r="E21" s="13"/>
      <c r="F21" s="5"/>
      <c r="G21" s="11" t="str">
        <f>IF(ISERROR(AVERAGE(F$13:F21)),"n/a",AVERAGE(F$13:F21))</f>
        <v>n/a</v>
      </c>
      <c r="H21" s="11" t="str">
        <f t="shared" si="2"/>
        <v>n/a</v>
      </c>
      <c r="J21" s="5"/>
      <c r="K21" s="5"/>
      <c r="L21" s="5"/>
      <c r="M21" s="5"/>
      <c r="N21" s="5"/>
      <c r="O21" s="8" t="str">
        <f t="shared" si="0"/>
        <v>n/a</v>
      </c>
      <c r="Q21" s="5"/>
      <c r="R21" s="5"/>
      <c r="S21" s="5"/>
      <c r="U21" s="6"/>
      <c r="V21" s="9" t="str">
        <f t="shared" ref="V21:V26" si="9">IF(O21="n/a","",IF(O21=U21,1,""))</f>
        <v/>
      </c>
      <c r="W21" s="9" t="str">
        <f t="shared" ref="W21:W26" si="10">IF(O21="n/a","",IF(O21&lt;&gt;U21,1,""))</f>
        <v/>
      </c>
      <c r="X21" s="10">
        <f>SUM(V$13:V21)/COUNTA(B$13:B21)</f>
        <v>0</v>
      </c>
      <c r="Z21" s="5"/>
      <c r="AA21" s="5"/>
      <c r="AC21" s="7"/>
      <c r="AE21" s="54" t="e">
        <f t="shared" si="5"/>
        <v>#N/A</v>
      </c>
      <c r="AF21" s="4" t="e">
        <f t="shared" si="1"/>
        <v>#N/A</v>
      </c>
      <c r="AR21" s="43"/>
      <c r="AS21" s="37"/>
      <c r="AT21" s="44"/>
      <c r="AU21" s="93"/>
      <c r="AV21" s="37"/>
      <c r="AW21" s="37"/>
      <c r="AX21" s="37"/>
      <c r="AY21" s="93"/>
      <c r="AZ21" s="37"/>
      <c r="BA21" s="37"/>
      <c r="BB21" s="93"/>
      <c r="BC21" s="97"/>
      <c r="BD21" s="97"/>
      <c r="BF21" s="113"/>
    </row>
    <row r="22" spans="2:58">
      <c r="B22" s="5">
        <f t="shared" si="6"/>
        <v>10</v>
      </c>
      <c r="C22" s="5"/>
      <c r="E22" s="13"/>
      <c r="F22" s="5"/>
      <c r="G22" s="11" t="str">
        <f>IF(ISERROR(AVERAGE(F$13:F22)),"n/a",AVERAGE(F$13:F22))</f>
        <v>n/a</v>
      </c>
      <c r="H22" s="11" t="str">
        <f t="shared" si="2"/>
        <v>n/a</v>
      </c>
      <c r="J22" s="5"/>
      <c r="K22" s="5"/>
      <c r="L22" s="5"/>
      <c r="M22" s="5"/>
      <c r="N22" s="5"/>
      <c r="O22" s="8" t="str">
        <f t="shared" si="0"/>
        <v>n/a</v>
      </c>
      <c r="Q22" s="5"/>
      <c r="R22" s="5"/>
      <c r="S22" s="5"/>
      <c r="U22" s="6"/>
      <c r="V22" s="9" t="str">
        <f t="shared" si="9"/>
        <v/>
      </c>
      <c r="W22" s="9" t="str">
        <f t="shared" si="10"/>
        <v/>
      </c>
      <c r="X22" s="10">
        <f>SUM(V$13:V22)/COUNTA(B$13:B22)</f>
        <v>0</v>
      </c>
      <c r="Z22" s="5"/>
      <c r="AA22" s="5"/>
      <c r="AC22" s="7"/>
      <c r="AE22" s="54" t="e">
        <f t="shared" si="5"/>
        <v>#N/A</v>
      </c>
      <c r="AF22" s="4" t="e">
        <f t="shared" si="1"/>
        <v>#N/A</v>
      </c>
      <c r="AR22" s="46" t="s">
        <v>34</v>
      </c>
      <c r="AS22" s="37"/>
      <c r="AT22" s="44"/>
      <c r="AU22" s="92">
        <f>V1017</f>
        <v>0</v>
      </c>
      <c r="AV22" s="38">
        <f>Q1017</f>
        <v>0</v>
      </c>
      <c r="AW22" s="38">
        <f>R1017</f>
        <v>0</v>
      </c>
      <c r="AX22" s="38">
        <f>S1017</f>
        <v>0</v>
      </c>
      <c r="AY22" s="92">
        <f>$W$1017</f>
        <v>0</v>
      </c>
      <c r="AZ22" s="38">
        <f>Z1017</f>
        <v>0</v>
      </c>
      <c r="BA22" s="38">
        <f>AA1017</f>
        <v>0</v>
      </c>
      <c r="BB22" s="95" t="str">
        <f>IF(ISERROR(AU22/(AU22+AY22)),"n/a",AU22/(AU22+AY22))</f>
        <v>n/a</v>
      </c>
      <c r="BC22" s="96" t="str">
        <f>IF(ISERROR(TEXT($E$1025,"00")&amp;":"&amp;TEXT($F$1025,"00")),"n/a",TEXT($E$1025,"00")&amp;":"&amp;TEXT($F$1025,"00"))</f>
        <v>n/a</v>
      </c>
      <c r="BD22" s="96" t="str">
        <f>IF(ISERROR(BF22&amp;TEXT($E$1042,"00")&amp;":"&amp;TEXT($F$1042,"00")),"n/a",BF22&amp;TEXT($E$1042,"00")&amp;":"&amp;TEXT($F$1042,"00"))</f>
        <v>n/a</v>
      </c>
      <c r="BF22" s="113" t="e">
        <f>IF(F1034&lt;0,"-","+")</f>
        <v>#VALUE!</v>
      </c>
    </row>
    <row r="23" spans="2:58">
      <c r="B23" s="5">
        <f t="shared" si="6"/>
        <v>11</v>
      </c>
      <c r="C23" s="5"/>
      <c r="E23" s="13"/>
      <c r="F23" s="5"/>
      <c r="G23" s="11" t="str">
        <f>IF(ISERROR(AVERAGE(F$13:F23)),"n/a",AVERAGE(F$13:F23))</f>
        <v>n/a</v>
      </c>
      <c r="H23" s="11" t="str">
        <f t="shared" si="2"/>
        <v>n/a</v>
      </c>
      <c r="J23" s="5"/>
      <c r="K23" s="5"/>
      <c r="L23" s="5"/>
      <c r="M23" s="5"/>
      <c r="N23" s="5"/>
      <c r="O23" s="8" t="str">
        <f t="shared" si="0"/>
        <v>n/a</v>
      </c>
      <c r="Q23" s="5"/>
      <c r="R23" s="5"/>
      <c r="S23" s="5"/>
      <c r="U23" s="6"/>
      <c r="V23" s="9" t="str">
        <f t="shared" si="9"/>
        <v/>
      </c>
      <c r="W23" s="9" t="str">
        <f t="shared" si="10"/>
        <v/>
      </c>
      <c r="X23" s="10">
        <f>SUM(V$13:V23)/COUNTA(B$13:B23)</f>
        <v>0</v>
      </c>
      <c r="Z23" s="5"/>
      <c r="AA23" s="5"/>
      <c r="AC23" s="7"/>
      <c r="AE23" s="54" t="e">
        <f t="shared" si="5"/>
        <v>#N/A</v>
      </c>
      <c r="AF23" s="4" t="e">
        <f t="shared" si="1"/>
        <v>#N/A</v>
      </c>
      <c r="AR23" s="46"/>
      <c r="AS23" s="37"/>
      <c r="AT23" s="44"/>
      <c r="AU23" s="93"/>
      <c r="AV23" s="102" t="str">
        <f>+IF(ISERROR(AV22/SUM($AU$22,$AY$22)),"n/a",AV22/SUM($AU$22,$AY$22))</f>
        <v>n/a</v>
      </c>
      <c r="AW23" s="102" t="str">
        <f t="shared" ref="AW23:AX23" si="11">+IF(ISERROR(AW22/SUM($AU$22,$AY$22)),"n/a",AW22/SUM($AU$22,$AY$22))</f>
        <v>n/a</v>
      </c>
      <c r="AX23" s="102" t="str">
        <f t="shared" si="11"/>
        <v>n/a</v>
      </c>
      <c r="AY23" s="93"/>
      <c r="AZ23" s="102" t="str">
        <f>+IF(ISERROR(AZ22/$AY$22),"n/a",AZ22/$AY$22)</f>
        <v>n/a</v>
      </c>
      <c r="BA23" s="102" t="str">
        <f>+IF(ISERROR(BA22/$AY$22),"n/a",BA22/$AY$22)</f>
        <v>n/a</v>
      </c>
      <c r="BB23" s="93"/>
      <c r="BC23" s="97"/>
      <c r="BD23" s="97"/>
      <c r="BF23" s="113"/>
    </row>
    <row r="24" spans="2:58">
      <c r="B24" s="5">
        <f t="shared" si="6"/>
        <v>12</v>
      </c>
      <c r="C24" s="5"/>
      <c r="E24" s="13"/>
      <c r="F24" s="5"/>
      <c r="G24" s="11" t="str">
        <f>IF(ISERROR(AVERAGE(F$13:F24)),"n/a",AVERAGE(F$13:F24))</f>
        <v>n/a</v>
      </c>
      <c r="H24" s="11" t="str">
        <f t="shared" si="2"/>
        <v>n/a</v>
      </c>
      <c r="J24" s="5"/>
      <c r="K24" s="5"/>
      <c r="L24" s="5"/>
      <c r="M24" s="5"/>
      <c r="N24" s="5"/>
      <c r="O24" s="8" t="str">
        <f t="shared" si="0"/>
        <v>n/a</v>
      </c>
      <c r="Q24" s="5"/>
      <c r="R24" s="5"/>
      <c r="S24" s="5"/>
      <c r="U24" s="6"/>
      <c r="V24" s="9" t="str">
        <f t="shared" si="9"/>
        <v/>
      </c>
      <c r="W24" s="9" t="str">
        <f t="shared" si="10"/>
        <v/>
      </c>
      <c r="X24" s="10">
        <f>SUM(V$13:V24)/COUNTA(B$13:B24)</f>
        <v>0</v>
      </c>
      <c r="Z24" s="5"/>
      <c r="AA24" s="5"/>
      <c r="AC24" s="7"/>
      <c r="AE24" s="54" t="e">
        <f t="shared" si="5"/>
        <v>#N/A</v>
      </c>
      <c r="AF24" s="4" t="e">
        <f t="shared" si="1"/>
        <v>#N/A</v>
      </c>
      <c r="AR24" s="46"/>
      <c r="AS24" s="37"/>
      <c r="AT24" s="44"/>
      <c r="AU24" s="93"/>
      <c r="AV24" s="37"/>
      <c r="AW24" s="37"/>
      <c r="AX24" s="37"/>
      <c r="AY24" s="93"/>
      <c r="AZ24" s="37"/>
      <c r="BA24" s="37"/>
      <c r="BB24" s="93"/>
      <c r="BC24" s="97"/>
      <c r="BD24" s="97"/>
      <c r="BF24" s="113"/>
    </row>
    <row r="25" spans="2:58">
      <c r="B25" s="5">
        <f t="shared" si="6"/>
        <v>13</v>
      </c>
      <c r="C25" s="5"/>
      <c r="E25" s="13"/>
      <c r="F25" s="5"/>
      <c r="G25" s="11" t="str">
        <f>IF(ISERROR(AVERAGE(F$13:F25)),"n/a",AVERAGE(F$13:F25))</f>
        <v>n/a</v>
      </c>
      <c r="H25" s="11" t="str">
        <f t="shared" si="2"/>
        <v>n/a</v>
      </c>
      <c r="J25" s="5"/>
      <c r="K25" s="5"/>
      <c r="L25" s="5"/>
      <c r="M25" s="5"/>
      <c r="N25" s="5"/>
      <c r="O25" s="8" t="str">
        <f t="shared" si="0"/>
        <v>n/a</v>
      </c>
      <c r="Q25" s="5"/>
      <c r="R25" s="5"/>
      <c r="S25" s="5"/>
      <c r="U25" s="6"/>
      <c r="V25" s="9" t="str">
        <f t="shared" si="9"/>
        <v/>
      </c>
      <c r="W25" s="9" t="str">
        <f t="shared" si="10"/>
        <v/>
      </c>
      <c r="X25" s="10">
        <f>SUM(V$13:V25)/COUNTA(B$13:B25)</f>
        <v>0</v>
      </c>
      <c r="Z25" s="5"/>
      <c r="AA25" s="5"/>
      <c r="AC25" s="7"/>
      <c r="AE25" s="54" t="e">
        <f t="shared" si="5"/>
        <v>#N/A</v>
      </c>
      <c r="AF25" s="4" t="e">
        <f t="shared" si="1"/>
        <v>#N/A</v>
      </c>
      <c r="AR25" s="46" t="s">
        <v>35</v>
      </c>
      <c r="AS25" s="37"/>
      <c r="AT25" s="44"/>
      <c r="AU25" s="92">
        <f>$V$1018</f>
        <v>0</v>
      </c>
      <c r="AV25" s="38">
        <f>Q1018</f>
        <v>0</v>
      </c>
      <c r="AW25" s="38">
        <f>R1018</f>
        <v>0</v>
      </c>
      <c r="AX25" s="38">
        <f>S1018</f>
        <v>0</v>
      </c>
      <c r="AY25" s="92">
        <f>$W$1018</f>
        <v>0</v>
      </c>
      <c r="AZ25" s="38">
        <f>Z1018</f>
        <v>0</v>
      </c>
      <c r="BA25" s="38">
        <f>AA1018</f>
        <v>0</v>
      </c>
      <c r="BB25" s="95" t="str">
        <f>IF(ISERROR(AU25/(AU25+AY25)),"n/a",AU25/(AU25+AY25))</f>
        <v>n/a</v>
      </c>
      <c r="BC25" s="96" t="str">
        <f>IF(ISERROR(TEXT($E$1026,"00")&amp;":"&amp;TEXT($F$1026,"00")),"n/a",TEXT($E$1026,"00")&amp;":"&amp;TEXT($F$1026,"00"))</f>
        <v>n/a</v>
      </c>
      <c r="BD25" s="96" t="str">
        <f>IF(ISERROR(BF25&amp;TEXT($E$1043,"00")&amp;":"&amp;TEXT($F$1043,"00")),"n/a",BF25&amp;TEXT($E$1043,"00")&amp;":"&amp;TEXT($F$1043,"00"))</f>
        <v>n/a</v>
      </c>
      <c r="BF25" s="113" t="e">
        <f>IF(F1035&lt;0,"-","+")</f>
        <v>#VALUE!</v>
      </c>
    </row>
    <row r="26" spans="2:58">
      <c r="B26" s="5">
        <f t="shared" si="6"/>
        <v>14</v>
      </c>
      <c r="C26" s="5"/>
      <c r="E26" s="13"/>
      <c r="F26" s="5"/>
      <c r="G26" s="11" t="str">
        <f>IF(ISERROR(AVERAGE(F$13:F26)),"n/a",AVERAGE(F$13:F26))</f>
        <v>n/a</v>
      </c>
      <c r="H26" s="11" t="str">
        <f t="shared" si="2"/>
        <v>n/a</v>
      </c>
      <c r="J26" s="5"/>
      <c r="K26" s="5"/>
      <c r="L26" s="5"/>
      <c r="M26" s="5"/>
      <c r="N26" s="5"/>
      <c r="O26" s="8" t="str">
        <f t="shared" si="0"/>
        <v>n/a</v>
      </c>
      <c r="Q26" s="5"/>
      <c r="R26" s="5"/>
      <c r="S26" s="5"/>
      <c r="U26" s="6"/>
      <c r="V26" s="9" t="str">
        <f t="shared" si="9"/>
        <v/>
      </c>
      <c r="W26" s="9" t="str">
        <f t="shared" si="10"/>
        <v/>
      </c>
      <c r="X26" s="10">
        <f>SUM(V$13:V26)/COUNTA(B$13:B26)</f>
        <v>0</v>
      </c>
      <c r="Z26" s="5"/>
      <c r="AA26" s="5"/>
      <c r="AC26" s="7"/>
      <c r="AE26" s="54" t="e">
        <f t="shared" si="5"/>
        <v>#N/A</v>
      </c>
      <c r="AF26" s="4" t="e">
        <f t="shared" si="1"/>
        <v>#N/A</v>
      </c>
      <c r="AR26" s="46"/>
      <c r="AS26" s="37"/>
      <c r="AT26" s="44"/>
      <c r="AU26" s="93"/>
      <c r="AV26" s="102" t="str">
        <f>+IF(ISERROR(AV25/SUM($AU$25,$AY$25)),"n/a",AV25/SUM($AU$25,$AY$25))</f>
        <v>n/a</v>
      </c>
      <c r="AW26" s="102" t="str">
        <f t="shared" ref="AW26:AX26" si="12">+IF(ISERROR(AW25/SUM($AU$25,$AY$25)),"n/a",AW25/SUM($AU$25,$AY$25))</f>
        <v>n/a</v>
      </c>
      <c r="AX26" s="102" t="str">
        <f t="shared" si="12"/>
        <v>n/a</v>
      </c>
      <c r="AY26" s="93"/>
      <c r="AZ26" s="102" t="str">
        <f>+IF(ISERROR(AZ25/$AY$25),"n/a",AZ25/$AY$25)</f>
        <v>n/a</v>
      </c>
      <c r="BA26" s="102" t="str">
        <f>+IF(ISERROR(BA25/$AY$25),"n/a",BA25/$AY$25)</f>
        <v>n/a</v>
      </c>
      <c r="BB26" s="93"/>
      <c r="BC26" s="97"/>
      <c r="BD26" s="97"/>
      <c r="BF26" s="113"/>
    </row>
    <row r="27" spans="2:58">
      <c r="B27" s="5">
        <f t="shared" si="6"/>
        <v>15</v>
      </c>
      <c r="C27" s="5"/>
      <c r="E27" s="13"/>
      <c r="F27" s="5"/>
      <c r="G27" s="11" t="str">
        <f>IF(ISERROR(AVERAGE(F$13:F27)),"n/a",AVERAGE(F$13:F27))</f>
        <v>n/a</v>
      </c>
      <c r="H27" s="11" t="str">
        <f>G27</f>
        <v>n/a</v>
      </c>
      <c r="J27" s="5"/>
      <c r="K27" s="5"/>
      <c r="L27" s="5"/>
      <c r="M27" s="5"/>
      <c r="N27" s="5"/>
      <c r="O27" s="8" t="str">
        <f t="shared" si="0"/>
        <v>n/a</v>
      </c>
      <c r="Q27" s="5"/>
      <c r="R27" s="5"/>
      <c r="S27" s="5"/>
      <c r="U27" s="6"/>
      <c r="V27" s="9" t="str">
        <f>IF(O27="n/a","",IF(O27=U27,1,""))</f>
        <v/>
      </c>
      <c r="W27" s="9" t="str">
        <f>IF(O27="n/a","",IF(O27&lt;&gt;U27,1,""))</f>
        <v/>
      </c>
      <c r="X27" s="10">
        <f>SUM(V$13:V27)/COUNTA(B$13:B27)</f>
        <v>0</v>
      </c>
      <c r="Z27" s="5"/>
      <c r="AA27" s="5"/>
      <c r="AC27" s="7"/>
      <c r="AE27" s="54" t="e">
        <f t="shared" si="5"/>
        <v>#N/A</v>
      </c>
      <c r="AF27" s="4" t="e">
        <f t="shared" si="1"/>
        <v>#N/A</v>
      </c>
      <c r="AR27" s="46"/>
      <c r="AS27" s="37"/>
      <c r="AT27" s="44"/>
      <c r="AU27" s="93"/>
      <c r="AV27" s="37"/>
      <c r="AW27" s="37"/>
      <c r="AX27" s="37"/>
      <c r="AY27" s="93"/>
      <c r="AZ27" s="37"/>
      <c r="BA27" s="37"/>
      <c r="BB27" s="93"/>
      <c r="BC27" s="97"/>
      <c r="BD27" s="97"/>
      <c r="BF27" s="113"/>
    </row>
    <row r="28" spans="2:58">
      <c r="B28" s="5">
        <f t="shared" si="6"/>
        <v>16</v>
      </c>
      <c r="C28" s="5"/>
      <c r="E28" s="13"/>
      <c r="F28" s="5"/>
      <c r="G28" s="11" t="str">
        <f>IF(ISERROR(AVERAGE(F$13:F28)),"n/a",AVERAGE(F$13:F28))</f>
        <v>n/a</v>
      </c>
      <c r="H28" s="11" t="str">
        <f t="shared" si="2"/>
        <v>n/a</v>
      </c>
      <c r="J28" s="5"/>
      <c r="K28" s="5"/>
      <c r="L28" s="5"/>
      <c r="M28" s="5"/>
      <c r="N28" s="5"/>
      <c r="O28" s="8" t="str">
        <f t="shared" si="0"/>
        <v>n/a</v>
      </c>
      <c r="Q28" s="5"/>
      <c r="R28" s="5"/>
      <c r="S28" s="5"/>
      <c r="U28" s="6"/>
      <c r="V28" s="9" t="str">
        <f t="shared" ref="V28:V33" si="13">IF(O28="n/a","",IF(O28=U28,1,""))</f>
        <v/>
      </c>
      <c r="W28" s="9" t="str">
        <f t="shared" ref="W28:W33" si="14">IF(O28="n/a","",IF(O28&lt;&gt;U28,1,""))</f>
        <v/>
      </c>
      <c r="X28" s="10">
        <f>SUM(V$13:V28)/COUNTA(B$13:B28)</f>
        <v>0</v>
      </c>
      <c r="Z28" s="5"/>
      <c r="AA28" s="5"/>
      <c r="AC28" s="7"/>
      <c r="AE28" s="54" t="e">
        <f t="shared" si="5"/>
        <v>#N/A</v>
      </c>
      <c r="AF28" s="4" t="e">
        <f t="shared" si="1"/>
        <v>#N/A</v>
      </c>
      <c r="AR28" s="46" t="s">
        <v>36</v>
      </c>
      <c r="AS28" s="37"/>
      <c r="AT28" s="44"/>
      <c r="AU28" s="92">
        <f>$V$1019</f>
        <v>0</v>
      </c>
      <c r="AV28" s="38">
        <f>Q1019</f>
        <v>0</v>
      </c>
      <c r="AW28" s="38">
        <f>R1019</f>
        <v>0</v>
      </c>
      <c r="AX28" s="38">
        <f>S1019</f>
        <v>0</v>
      </c>
      <c r="AY28" s="92">
        <f>$W$1019</f>
        <v>0</v>
      </c>
      <c r="AZ28" s="38">
        <f>Z1019</f>
        <v>0</v>
      </c>
      <c r="BA28" s="38">
        <f>AA1019</f>
        <v>0</v>
      </c>
      <c r="BB28" s="95" t="str">
        <f>IF(ISERROR(AU28/(AU28+AY28)),"n/a",AU28/(AU28+AY28))</f>
        <v>n/a</v>
      </c>
      <c r="BC28" s="96" t="str">
        <f>IF(ISERROR(TEXT($E$1027,"00")&amp;":"&amp;TEXT($F$1027,"00")),"n/a",TEXT($E$1027,"00")&amp;":"&amp;TEXT($F$1027,"00"))</f>
        <v>n/a</v>
      </c>
      <c r="BD28" s="96" t="str">
        <f>IF(ISERROR(BF28&amp;TEXT($E$1044,"00")&amp;":"&amp;TEXT($F$1044,"00")),"n/a",BF28&amp;TEXT($E$1044,"00")&amp;":"&amp;TEXT($F$1044,"00"))</f>
        <v>n/a</v>
      </c>
      <c r="BF28" s="113" t="e">
        <f>IF(F1036&lt;0,"-","+")</f>
        <v>#VALUE!</v>
      </c>
    </row>
    <row r="29" spans="2:58">
      <c r="B29" s="5">
        <f t="shared" si="6"/>
        <v>17</v>
      </c>
      <c r="C29" s="5"/>
      <c r="E29" s="13"/>
      <c r="F29" s="5"/>
      <c r="G29" s="11" t="str">
        <f>IF(ISERROR(AVERAGE(F$13:F29)),"n/a",AVERAGE(F$13:F29))</f>
        <v>n/a</v>
      </c>
      <c r="H29" s="11" t="str">
        <f t="shared" si="2"/>
        <v>n/a</v>
      </c>
      <c r="J29" s="5"/>
      <c r="K29" s="5"/>
      <c r="L29" s="5"/>
      <c r="M29" s="5"/>
      <c r="N29" s="5"/>
      <c r="O29" s="8" t="str">
        <f t="shared" si="0"/>
        <v>n/a</v>
      </c>
      <c r="Q29" s="5"/>
      <c r="R29" s="5"/>
      <c r="S29" s="5"/>
      <c r="U29" s="6"/>
      <c r="V29" s="9" t="str">
        <f t="shared" si="13"/>
        <v/>
      </c>
      <c r="W29" s="9" t="str">
        <f t="shared" si="14"/>
        <v/>
      </c>
      <c r="X29" s="10">
        <f>SUM(V$13:V29)/COUNTA(B$13:B29)</f>
        <v>0</v>
      </c>
      <c r="Z29" s="5"/>
      <c r="AA29" s="5"/>
      <c r="AC29" s="7"/>
      <c r="AE29" s="54" t="e">
        <f t="shared" si="5"/>
        <v>#N/A</v>
      </c>
      <c r="AF29" s="4" t="e">
        <f t="shared" si="1"/>
        <v>#N/A</v>
      </c>
      <c r="AR29" s="46"/>
      <c r="AS29" s="37"/>
      <c r="AT29" s="44"/>
      <c r="AU29" s="93"/>
      <c r="AV29" s="102" t="str">
        <f>+IF(ISERROR(AV28/SUM($AU$28,$AY$28)),"n/a",AV28/SUM($AU$28,$AY$28))</f>
        <v>n/a</v>
      </c>
      <c r="AW29" s="102" t="str">
        <f t="shared" ref="AW29:AX29" si="15">+IF(ISERROR(AW28/SUM($AU$28,$AY$28)),"n/a",AW28/SUM($AU$28,$AY$28))</f>
        <v>n/a</v>
      </c>
      <c r="AX29" s="102" t="str">
        <f t="shared" si="15"/>
        <v>n/a</v>
      </c>
      <c r="AY29" s="93"/>
      <c r="AZ29" s="102" t="str">
        <f>+IF(ISERROR(AZ28/$AY$28),"n/a",AZ28/$AY$28)</f>
        <v>n/a</v>
      </c>
      <c r="BA29" s="102" t="str">
        <f>+IF(ISERROR(BA28/$AY$28),"n/a",BA28/$AY$28)</f>
        <v>n/a</v>
      </c>
      <c r="BB29" s="93"/>
      <c r="BC29" s="97"/>
      <c r="BD29" s="97"/>
      <c r="BF29" s="113"/>
    </row>
    <row r="30" spans="2:58">
      <c r="B30" s="5">
        <f t="shared" si="6"/>
        <v>18</v>
      </c>
      <c r="C30" s="5"/>
      <c r="E30" s="13"/>
      <c r="F30" s="5"/>
      <c r="G30" s="11" t="str">
        <f>IF(ISERROR(AVERAGE(F$13:F30)),"n/a",AVERAGE(F$13:F30))</f>
        <v>n/a</v>
      </c>
      <c r="H30" s="11" t="str">
        <f t="shared" si="2"/>
        <v>n/a</v>
      </c>
      <c r="J30" s="5"/>
      <c r="K30" s="5"/>
      <c r="L30" s="5"/>
      <c r="M30" s="5"/>
      <c r="N30" s="5"/>
      <c r="O30" s="8" t="str">
        <f t="shared" si="0"/>
        <v>n/a</v>
      </c>
      <c r="Q30" s="5"/>
      <c r="R30" s="5"/>
      <c r="S30" s="5"/>
      <c r="U30" s="6"/>
      <c r="V30" s="9" t="str">
        <f t="shared" si="13"/>
        <v/>
      </c>
      <c r="W30" s="9" t="str">
        <f t="shared" si="14"/>
        <v/>
      </c>
      <c r="X30" s="10">
        <f>SUM(V$13:V30)/COUNTA(B$13:B30)</f>
        <v>0</v>
      </c>
      <c r="Z30" s="5"/>
      <c r="AA30" s="5"/>
      <c r="AC30" s="7"/>
      <c r="AE30" s="54" t="e">
        <f t="shared" si="5"/>
        <v>#N/A</v>
      </c>
      <c r="AF30" s="4" t="e">
        <f t="shared" si="1"/>
        <v>#N/A</v>
      </c>
      <c r="AR30" s="46"/>
      <c r="AS30" s="37"/>
      <c r="AT30" s="44"/>
      <c r="AU30" s="93"/>
      <c r="AV30" s="37"/>
      <c r="AW30" s="37"/>
      <c r="AX30" s="37"/>
      <c r="AY30" s="93"/>
      <c r="AZ30" s="37"/>
      <c r="BA30" s="37"/>
      <c r="BB30" s="93"/>
      <c r="BC30" s="97"/>
      <c r="BD30" s="97"/>
      <c r="BF30" s="113"/>
    </row>
    <row r="31" spans="2:58">
      <c r="B31" s="5">
        <f t="shared" si="6"/>
        <v>19</v>
      </c>
      <c r="C31" s="5"/>
      <c r="E31" s="13"/>
      <c r="F31" s="5"/>
      <c r="G31" s="11" t="str">
        <f>IF(ISERROR(AVERAGE(F$13:F31)),"n/a",AVERAGE(F$13:F31))</f>
        <v>n/a</v>
      </c>
      <c r="H31" s="11" t="str">
        <f t="shared" si="2"/>
        <v>n/a</v>
      </c>
      <c r="J31" s="5"/>
      <c r="K31" s="5"/>
      <c r="L31" s="5"/>
      <c r="M31" s="5"/>
      <c r="N31" s="5"/>
      <c r="O31" s="8" t="str">
        <f t="shared" si="0"/>
        <v>n/a</v>
      </c>
      <c r="Q31" s="5"/>
      <c r="R31" s="5"/>
      <c r="S31" s="5"/>
      <c r="U31" s="6"/>
      <c r="V31" s="9" t="str">
        <f t="shared" si="13"/>
        <v/>
      </c>
      <c r="W31" s="9" t="str">
        <f t="shared" si="14"/>
        <v/>
      </c>
      <c r="X31" s="10">
        <f>SUM(V$13:V31)/COUNTA(B$13:B31)</f>
        <v>0</v>
      </c>
      <c r="Z31" s="5"/>
      <c r="AA31" s="5"/>
      <c r="AC31" s="7"/>
      <c r="AE31" s="54" t="e">
        <f t="shared" si="5"/>
        <v>#N/A</v>
      </c>
      <c r="AF31" s="4" t="e">
        <f t="shared" si="1"/>
        <v>#N/A</v>
      </c>
      <c r="AR31" s="46" t="s">
        <v>37</v>
      </c>
      <c r="AS31" s="37"/>
      <c r="AT31" s="44"/>
      <c r="AU31" s="92">
        <f>$V$1020</f>
        <v>0</v>
      </c>
      <c r="AV31" s="38">
        <f>Q1020</f>
        <v>0</v>
      </c>
      <c r="AW31" s="38">
        <f>R1020</f>
        <v>0</v>
      </c>
      <c r="AX31" s="38">
        <f>S1020</f>
        <v>0</v>
      </c>
      <c r="AY31" s="92">
        <f>$W$1020</f>
        <v>0</v>
      </c>
      <c r="AZ31" s="38">
        <f>Z1020</f>
        <v>0</v>
      </c>
      <c r="BA31" s="38">
        <f>AA1020</f>
        <v>0</v>
      </c>
      <c r="BB31" s="95" t="str">
        <f>IF(ISERROR(AU31/(AU31+AY31)),"n/a",AU31/(AU31+AY31))</f>
        <v>n/a</v>
      </c>
      <c r="BC31" s="96" t="str">
        <f>IF(ISERROR(TEXT($E$1028,"00")&amp;":"&amp;TEXT($F$1028,"00")),"n/a",TEXT($E$1028,"00")&amp;":"&amp;TEXT($F$1028,"00"))</f>
        <v>n/a</v>
      </c>
      <c r="BD31" s="96" t="str">
        <f>IF(ISERROR(BF31&amp;TEXT($E$1045,"00")&amp;":"&amp;TEXT($F$1045,"00")),"n/a",BF31&amp;TEXT($E$1045,"00")&amp;":"&amp;TEXT($F$1045,"00"))</f>
        <v>n/a</v>
      </c>
      <c r="BF31" s="113" t="e">
        <f>IF(F1037&lt;0,"-","+")</f>
        <v>#VALUE!</v>
      </c>
    </row>
    <row r="32" spans="2:58">
      <c r="B32" s="5">
        <f t="shared" si="6"/>
        <v>20</v>
      </c>
      <c r="C32" s="5"/>
      <c r="E32" s="13"/>
      <c r="F32" s="5"/>
      <c r="G32" s="11" t="str">
        <f>IF(ISERROR(AVERAGE(F$13:F32)),"n/a",AVERAGE(F$13:F32))</f>
        <v>n/a</v>
      </c>
      <c r="H32" s="11" t="str">
        <f t="shared" si="2"/>
        <v>n/a</v>
      </c>
      <c r="J32" s="5"/>
      <c r="K32" s="5"/>
      <c r="L32" s="5"/>
      <c r="M32" s="5"/>
      <c r="N32" s="5"/>
      <c r="O32" s="8" t="str">
        <f t="shared" si="0"/>
        <v>n/a</v>
      </c>
      <c r="Q32" s="5"/>
      <c r="R32" s="5"/>
      <c r="S32" s="5"/>
      <c r="U32" s="6"/>
      <c r="V32" s="9" t="str">
        <f t="shared" si="13"/>
        <v/>
      </c>
      <c r="W32" s="9" t="str">
        <f t="shared" si="14"/>
        <v/>
      </c>
      <c r="X32" s="10">
        <f>SUM(V$13:V32)/COUNTA(B$13:B32)</f>
        <v>0</v>
      </c>
      <c r="Z32" s="5"/>
      <c r="AA32" s="5"/>
      <c r="AC32" s="7"/>
      <c r="AE32" s="54" t="e">
        <f t="shared" si="5"/>
        <v>#N/A</v>
      </c>
      <c r="AF32" s="4" t="e">
        <f t="shared" si="1"/>
        <v>#N/A</v>
      </c>
      <c r="AR32" s="46"/>
      <c r="AS32" s="37"/>
      <c r="AT32" s="44"/>
      <c r="AU32" s="93"/>
      <c r="AV32" s="102" t="str">
        <f>+IF(ISERROR(AV31/SUM($AU$31,$AY$31)),"n/a",AV31/SUM($AU$31,$AY$31))</f>
        <v>n/a</v>
      </c>
      <c r="AW32" s="102" t="str">
        <f t="shared" ref="AW32:AX32" si="16">+IF(ISERROR(AW31/SUM($AU$31,$AY$31)),"n/a",AW31/SUM($AU$31,$AY$31))</f>
        <v>n/a</v>
      </c>
      <c r="AX32" s="102" t="str">
        <f t="shared" si="16"/>
        <v>n/a</v>
      </c>
      <c r="AY32" s="93"/>
      <c r="AZ32" s="102" t="str">
        <f>+IF(ISERROR(AZ31/$AY$31),"n/a",AZ31/$AY$31)</f>
        <v>n/a</v>
      </c>
      <c r="BA32" s="102" t="str">
        <f>+IF(ISERROR(BA31/$AY$31),"n/a",BA31/$AY$31)</f>
        <v>n/a</v>
      </c>
      <c r="BB32" s="93"/>
      <c r="BC32" s="97"/>
      <c r="BD32" s="97"/>
      <c r="BF32" s="113"/>
    </row>
    <row r="33" spans="2:59">
      <c r="B33" s="5">
        <f t="shared" si="6"/>
        <v>21</v>
      </c>
      <c r="C33" s="5"/>
      <c r="E33" s="13"/>
      <c r="F33" s="5"/>
      <c r="G33" s="11" t="str">
        <f>IF(ISERROR(AVERAGE(F$13:F33)),"n/a",AVERAGE(F$13:F33))</f>
        <v>n/a</v>
      </c>
      <c r="H33" s="11" t="str">
        <f t="shared" si="2"/>
        <v>n/a</v>
      </c>
      <c r="J33" s="5"/>
      <c r="K33" s="5"/>
      <c r="L33" s="5"/>
      <c r="M33" s="5"/>
      <c r="N33" s="5"/>
      <c r="O33" s="8" t="str">
        <f t="shared" si="0"/>
        <v>n/a</v>
      </c>
      <c r="Q33" s="5"/>
      <c r="R33" s="5"/>
      <c r="S33" s="5"/>
      <c r="U33" s="6"/>
      <c r="V33" s="9" t="str">
        <f t="shared" si="13"/>
        <v/>
      </c>
      <c r="W33" s="9" t="str">
        <f t="shared" si="14"/>
        <v/>
      </c>
      <c r="X33" s="10">
        <f>SUM(V$13:V33)/COUNTA(B$13:B33)</f>
        <v>0</v>
      </c>
      <c r="Z33" s="5"/>
      <c r="AA33" s="5"/>
      <c r="AC33" s="7"/>
      <c r="AE33" s="54" t="e">
        <f t="shared" si="5"/>
        <v>#N/A</v>
      </c>
      <c r="AF33" s="4" t="e">
        <f t="shared" si="1"/>
        <v>#N/A</v>
      </c>
      <c r="AR33" s="46"/>
      <c r="AS33" s="37"/>
      <c r="AT33" s="44"/>
      <c r="AU33" s="93"/>
      <c r="AV33" s="37"/>
      <c r="AW33" s="37"/>
      <c r="AX33" s="37"/>
      <c r="AY33" s="93"/>
      <c r="AZ33" s="37"/>
      <c r="BA33" s="37"/>
      <c r="BB33" s="93"/>
      <c r="BC33" s="97"/>
      <c r="BD33" s="97"/>
      <c r="BF33" s="113"/>
    </row>
    <row r="34" spans="2:59">
      <c r="B34" s="5">
        <f t="shared" si="6"/>
        <v>22</v>
      </c>
      <c r="C34" s="5"/>
      <c r="E34" s="13"/>
      <c r="F34" s="5"/>
      <c r="G34" s="11" t="str">
        <f>IF(ISERROR(AVERAGE(F$13:F34)),"n/a",AVERAGE(F$13:F34))</f>
        <v>n/a</v>
      </c>
      <c r="H34" s="11" t="str">
        <f>G34</f>
        <v>n/a</v>
      </c>
      <c r="J34" s="5"/>
      <c r="K34" s="5"/>
      <c r="L34" s="5"/>
      <c r="M34" s="5"/>
      <c r="N34" s="5"/>
      <c r="O34" s="8" t="str">
        <f t="shared" si="0"/>
        <v>n/a</v>
      </c>
      <c r="Q34" s="5"/>
      <c r="R34" s="5"/>
      <c r="S34" s="5"/>
      <c r="U34" s="6"/>
      <c r="V34" s="9" t="str">
        <f>IF(O34="n/a","",IF(O34=U34,1,""))</f>
        <v/>
      </c>
      <c r="W34" s="9" t="str">
        <f>IF(O34="n/a","",IF(O34&lt;&gt;U34,1,""))</f>
        <v/>
      </c>
      <c r="X34" s="10">
        <f>SUM(V$13:V34)/COUNTA(B$13:B34)</f>
        <v>0</v>
      </c>
      <c r="Z34" s="5"/>
      <c r="AA34" s="5"/>
      <c r="AC34" s="7"/>
      <c r="AE34" s="54" t="e">
        <f t="shared" si="5"/>
        <v>#N/A</v>
      </c>
      <c r="AF34" s="4" t="e">
        <f t="shared" si="1"/>
        <v>#N/A</v>
      </c>
      <c r="AR34" s="46" t="s">
        <v>38</v>
      </c>
      <c r="AS34" s="37"/>
      <c r="AT34" s="44"/>
      <c r="AU34" s="92">
        <f>$V$1021</f>
        <v>0</v>
      </c>
      <c r="AV34" s="38">
        <f>Q1021</f>
        <v>0</v>
      </c>
      <c r="AW34" s="38">
        <f>R1021</f>
        <v>0</v>
      </c>
      <c r="AX34" s="38">
        <f>S1021</f>
        <v>0</v>
      </c>
      <c r="AY34" s="92">
        <f>$W$1021</f>
        <v>0</v>
      </c>
      <c r="AZ34" s="38">
        <f>Z1021</f>
        <v>0</v>
      </c>
      <c r="BA34" s="38">
        <f>AA1021</f>
        <v>0</v>
      </c>
      <c r="BB34" s="95" t="str">
        <f>IF(ISERROR(AU34/(AU34+AY34)),"n/a",AU34/(AU34+AY34))</f>
        <v>n/a</v>
      </c>
      <c r="BC34" s="96" t="str">
        <f>IF(ISERROR(TEXT($E$1029,"00")&amp;":"&amp;TEXT($F$1029,"00")),"n/a",TEXT($E$1029,"00")&amp;":"&amp;TEXT($F$1029,"00"))</f>
        <v>n/a</v>
      </c>
      <c r="BD34" s="96" t="str">
        <f>IF(ISERROR(BF34&amp;TEXT($E$1046,"00")&amp;":"&amp;TEXT($F$1046,"00")),"n/a",BF34&amp;TEXT($E$1046,"00")&amp;":"&amp;TEXT($F$1046,"00"))</f>
        <v>n/a</v>
      </c>
      <c r="BF34" s="113" t="e">
        <f>IF(F1038&lt;0,"-","+")</f>
        <v>#VALUE!</v>
      </c>
    </row>
    <row r="35" spans="2:59">
      <c r="B35" s="5">
        <f t="shared" si="6"/>
        <v>23</v>
      </c>
      <c r="C35" s="5"/>
      <c r="E35" s="13"/>
      <c r="F35" s="5"/>
      <c r="G35" s="11" t="str">
        <f>IF(ISERROR(AVERAGE(F$13:F35)),"n/a",AVERAGE(F$13:F35))</f>
        <v>n/a</v>
      </c>
      <c r="H35" s="11" t="str">
        <f t="shared" si="2"/>
        <v>n/a</v>
      </c>
      <c r="J35" s="5"/>
      <c r="K35" s="5"/>
      <c r="L35" s="5"/>
      <c r="M35" s="5"/>
      <c r="N35" s="5"/>
      <c r="O35" s="8" t="str">
        <f t="shared" si="0"/>
        <v>n/a</v>
      </c>
      <c r="Q35" s="5"/>
      <c r="R35" s="5"/>
      <c r="S35" s="5"/>
      <c r="U35" s="6"/>
      <c r="V35" s="9" t="str">
        <f t="shared" ref="V35:V40" si="17">IF(O35="n/a","",IF(O35=U35,1,""))</f>
        <v/>
      </c>
      <c r="W35" s="9" t="str">
        <f t="shared" ref="W35:W40" si="18">IF(O35="n/a","",IF(O35&lt;&gt;U35,1,""))</f>
        <v/>
      </c>
      <c r="X35" s="10">
        <f>SUM(V$13:V35)/COUNTA(B$13:B35)</f>
        <v>0</v>
      </c>
      <c r="Z35" s="5"/>
      <c r="AA35" s="5"/>
      <c r="AC35" s="7"/>
      <c r="AE35" s="54" t="e">
        <f t="shared" si="5"/>
        <v>#N/A</v>
      </c>
      <c r="AF35" s="4" t="e">
        <f t="shared" si="1"/>
        <v>#N/A</v>
      </c>
      <c r="AR35" s="105"/>
      <c r="AS35" s="48"/>
      <c r="AT35" s="48"/>
      <c r="AU35" s="94"/>
      <c r="AV35" s="104" t="str">
        <f>+IF(ISERROR(AV34/SUM($AU$34,$AY$34)),"n/a",AV34/SUM($AU$34,$AY$34))</f>
        <v>n/a</v>
      </c>
      <c r="AW35" s="104" t="str">
        <f t="shared" ref="AW35:AX35" si="19">+IF(ISERROR(AW34/SUM($AU$34,$AY$34)),"n/a",AW34/SUM($AU$34,$AY$34))</f>
        <v>n/a</v>
      </c>
      <c r="AX35" s="104" t="str">
        <f t="shared" si="19"/>
        <v>n/a</v>
      </c>
      <c r="AY35" s="94"/>
      <c r="AZ35" s="106" t="str">
        <f>+IF(ISERROR(AZ34/$AY$34),"n/a",AZ34/$AY$34)</f>
        <v>n/a</v>
      </c>
      <c r="BA35" s="107" t="str">
        <f>+IF(ISERROR(BA34/$AY$34),"n/a",BA34/$AY$34)</f>
        <v>n/a</v>
      </c>
      <c r="BB35" s="98"/>
      <c r="BC35" s="99"/>
      <c r="BD35" s="99"/>
    </row>
    <row r="36" spans="2:59">
      <c r="B36" s="5">
        <f t="shared" si="6"/>
        <v>24</v>
      </c>
      <c r="C36" s="5"/>
      <c r="E36" s="13"/>
      <c r="F36" s="5"/>
      <c r="G36" s="11" t="str">
        <f>IF(ISERROR(AVERAGE(F$13:F36)),"n/a",AVERAGE(F$13:F36))</f>
        <v>n/a</v>
      </c>
      <c r="H36" s="11" t="str">
        <f t="shared" si="2"/>
        <v>n/a</v>
      </c>
      <c r="J36" s="5"/>
      <c r="K36" s="5"/>
      <c r="L36" s="5"/>
      <c r="M36" s="5"/>
      <c r="N36" s="5"/>
      <c r="O36" s="8" t="str">
        <f t="shared" si="0"/>
        <v>n/a</v>
      </c>
      <c r="Q36" s="5"/>
      <c r="R36" s="5"/>
      <c r="S36" s="5"/>
      <c r="U36" s="6"/>
      <c r="V36" s="9" t="str">
        <f t="shared" si="17"/>
        <v/>
      </c>
      <c r="W36" s="9" t="str">
        <f t="shared" si="18"/>
        <v/>
      </c>
      <c r="X36" s="10">
        <f>SUM(V$13:V36)/COUNTA(B$13:B36)</f>
        <v>0</v>
      </c>
      <c r="Z36" s="5"/>
      <c r="AA36" s="5"/>
      <c r="AC36" s="7"/>
      <c r="AE36" s="54" t="e">
        <f t="shared" si="5"/>
        <v>#N/A</v>
      </c>
      <c r="AF36" s="4" t="e">
        <f t="shared" si="1"/>
        <v>#N/A</v>
      </c>
      <c r="BF36" s="100" t="str">
        <f>BB18</f>
        <v>n/a</v>
      </c>
      <c r="BG36" s="101" t="s">
        <v>33</v>
      </c>
    </row>
    <row r="37" spans="2:59">
      <c r="B37" s="5">
        <f t="shared" si="6"/>
        <v>25</v>
      </c>
      <c r="C37" s="5"/>
      <c r="E37" s="13"/>
      <c r="F37" s="5"/>
      <c r="G37" s="11" t="str">
        <f>IF(ISERROR(AVERAGE(F$13:F37)),"n/a",AVERAGE(F$13:F37))</f>
        <v>n/a</v>
      </c>
      <c r="H37" s="11" t="str">
        <f t="shared" si="2"/>
        <v>n/a</v>
      </c>
      <c r="J37" s="5"/>
      <c r="K37" s="5"/>
      <c r="L37" s="5"/>
      <c r="M37" s="5"/>
      <c r="N37" s="5"/>
      <c r="O37" s="8" t="str">
        <f t="shared" si="0"/>
        <v>n/a</v>
      </c>
      <c r="Q37" s="5"/>
      <c r="R37" s="5"/>
      <c r="S37" s="5"/>
      <c r="U37" s="6"/>
      <c r="V37" s="9" t="str">
        <f t="shared" si="17"/>
        <v/>
      </c>
      <c r="W37" s="9" t="str">
        <f t="shared" si="18"/>
        <v/>
      </c>
      <c r="X37" s="10">
        <f>SUM(V$13:V37)/COUNTA(B$13:B37)</f>
        <v>0</v>
      </c>
      <c r="Z37" s="5"/>
      <c r="AA37" s="5"/>
      <c r="AC37" s="7"/>
      <c r="AE37" s="54" t="e">
        <f t="shared" si="5"/>
        <v>#N/A</v>
      </c>
      <c r="AF37" s="4" t="e">
        <f t="shared" si="1"/>
        <v>#N/A</v>
      </c>
      <c r="BF37" s="100" t="str">
        <f>BB22</f>
        <v>n/a</v>
      </c>
      <c r="BG37" s="101" t="s">
        <v>42</v>
      </c>
    </row>
    <row r="38" spans="2:59">
      <c r="B38" s="5">
        <f t="shared" si="6"/>
        <v>26</v>
      </c>
      <c r="C38" s="5"/>
      <c r="E38" s="13"/>
      <c r="F38" s="5"/>
      <c r="G38" s="11" t="str">
        <f>IF(ISERROR(AVERAGE(F$13:F38)),"n/a",AVERAGE(F$13:F38))</f>
        <v>n/a</v>
      </c>
      <c r="H38" s="11" t="str">
        <f t="shared" si="2"/>
        <v>n/a</v>
      </c>
      <c r="J38" s="5"/>
      <c r="K38" s="5"/>
      <c r="L38" s="5"/>
      <c r="M38" s="5"/>
      <c r="N38" s="5"/>
      <c r="O38" s="8" t="str">
        <f t="shared" si="0"/>
        <v>n/a</v>
      </c>
      <c r="Q38" s="5"/>
      <c r="R38" s="5"/>
      <c r="S38" s="5"/>
      <c r="U38" s="6"/>
      <c r="V38" s="9" t="str">
        <f t="shared" si="17"/>
        <v/>
      </c>
      <c r="W38" s="9" t="str">
        <f t="shared" si="18"/>
        <v/>
      </c>
      <c r="X38" s="10">
        <f>SUM(V$13:V38)/COUNTA(B$13:B38)</f>
        <v>0</v>
      </c>
      <c r="Z38" s="5"/>
      <c r="AA38" s="5"/>
      <c r="AC38" s="7"/>
      <c r="AE38" s="54" t="e">
        <f t="shared" si="5"/>
        <v>#N/A</v>
      </c>
      <c r="AF38" s="4" t="e">
        <f t="shared" si="1"/>
        <v>#N/A</v>
      </c>
      <c r="BF38" s="100" t="str">
        <f>BB25</f>
        <v>n/a</v>
      </c>
      <c r="BG38" s="101" t="s">
        <v>43</v>
      </c>
    </row>
    <row r="39" spans="2:59">
      <c r="B39" s="5">
        <f t="shared" si="6"/>
        <v>27</v>
      </c>
      <c r="C39" s="5"/>
      <c r="E39" s="13"/>
      <c r="F39" s="5"/>
      <c r="G39" s="11" t="str">
        <f>IF(ISERROR(AVERAGE(F$13:F39)),"n/a",AVERAGE(F$13:F39))</f>
        <v>n/a</v>
      </c>
      <c r="H39" s="11" t="str">
        <f t="shared" si="2"/>
        <v>n/a</v>
      </c>
      <c r="J39" s="5"/>
      <c r="K39" s="5"/>
      <c r="L39" s="5"/>
      <c r="M39" s="5"/>
      <c r="N39" s="5"/>
      <c r="O39" s="8" t="str">
        <f t="shared" si="0"/>
        <v>n/a</v>
      </c>
      <c r="Q39" s="5"/>
      <c r="R39" s="5"/>
      <c r="S39" s="5"/>
      <c r="U39" s="6"/>
      <c r="V39" s="9" t="str">
        <f t="shared" si="17"/>
        <v/>
      </c>
      <c r="W39" s="9" t="str">
        <f t="shared" si="18"/>
        <v/>
      </c>
      <c r="X39" s="10">
        <f>SUM(V$13:V39)/COUNTA(B$13:B39)</f>
        <v>0</v>
      </c>
      <c r="Z39" s="5"/>
      <c r="AA39" s="5"/>
      <c r="AC39" s="7"/>
      <c r="AE39" s="54" t="e">
        <f t="shared" si="5"/>
        <v>#N/A</v>
      </c>
      <c r="AF39" s="4" t="e">
        <f t="shared" si="1"/>
        <v>#N/A</v>
      </c>
      <c r="BF39" s="100" t="str">
        <f>BB28</f>
        <v>n/a</v>
      </c>
      <c r="BG39" s="101" t="s">
        <v>46</v>
      </c>
    </row>
    <row r="40" spans="2:59">
      <c r="B40" s="5">
        <f t="shared" si="6"/>
        <v>28</v>
      </c>
      <c r="C40" s="5"/>
      <c r="E40" s="13"/>
      <c r="F40" s="5"/>
      <c r="G40" s="11" t="str">
        <f>IF(ISERROR(AVERAGE(F$13:F40)),"n/a",AVERAGE(F$13:F40))</f>
        <v>n/a</v>
      </c>
      <c r="H40" s="11" t="str">
        <f t="shared" si="2"/>
        <v>n/a</v>
      </c>
      <c r="J40" s="5"/>
      <c r="K40" s="5"/>
      <c r="L40" s="5"/>
      <c r="M40" s="5"/>
      <c r="N40" s="5"/>
      <c r="O40" s="8" t="str">
        <f t="shared" si="0"/>
        <v>n/a</v>
      </c>
      <c r="Q40" s="5"/>
      <c r="R40" s="5"/>
      <c r="S40" s="5"/>
      <c r="U40" s="6"/>
      <c r="V40" s="9" t="str">
        <f t="shared" si="17"/>
        <v/>
      </c>
      <c r="W40" s="9" t="str">
        <f t="shared" si="18"/>
        <v/>
      </c>
      <c r="X40" s="10">
        <f>SUM(V$13:V40)/COUNTA(B$13:B40)</f>
        <v>0</v>
      </c>
      <c r="Z40" s="5"/>
      <c r="AA40" s="5"/>
      <c r="AC40" s="7"/>
      <c r="AE40" s="54" t="e">
        <f t="shared" si="5"/>
        <v>#N/A</v>
      </c>
      <c r="AF40" s="4" t="e">
        <f t="shared" si="1"/>
        <v>#N/A</v>
      </c>
      <c r="BF40" s="100" t="str">
        <f>BB31</f>
        <v>n/a</v>
      </c>
      <c r="BG40" s="101" t="s">
        <v>44</v>
      </c>
    </row>
    <row r="41" spans="2:59">
      <c r="B41" s="5">
        <f t="shared" si="6"/>
        <v>29</v>
      </c>
      <c r="C41" s="5"/>
      <c r="E41" s="13"/>
      <c r="F41" s="5"/>
      <c r="G41" s="11" t="str">
        <f>IF(ISERROR(AVERAGE(F$13:F41)),"n/a",AVERAGE(F$13:F41))</f>
        <v>n/a</v>
      </c>
      <c r="H41" s="11" t="str">
        <f>G41</f>
        <v>n/a</v>
      </c>
      <c r="J41" s="5"/>
      <c r="K41" s="5"/>
      <c r="L41" s="5"/>
      <c r="M41" s="5"/>
      <c r="N41" s="5"/>
      <c r="O41" s="8" t="str">
        <f t="shared" si="0"/>
        <v>n/a</v>
      </c>
      <c r="Q41" s="5"/>
      <c r="R41" s="5"/>
      <c r="S41" s="5"/>
      <c r="U41" s="6"/>
      <c r="V41" s="9" t="str">
        <f>IF(O41="n/a","",IF(O41=U41,1,""))</f>
        <v/>
      </c>
      <c r="W41" s="9" t="str">
        <f>IF(O41="n/a","",IF(O41&lt;&gt;U41,1,""))</f>
        <v/>
      </c>
      <c r="X41" s="10">
        <f>SUM(V$13:V41)/COUNTA(B$13:B41)</f>
        <v>0</v>
      </c>
      <c r="Z41" s="5"/>
      <c r="AA41" s="5"/>
      <c r="AC41" s="7"/>
      <c r="AE41" s="54" t="e">
        <f t="shared" si="5"/>
        <v>#N/A</v>
      </c>
      <c r="AF41" s="4" t="e">
        <f t="shared" si="1"/>
        <v>#N/A</v>
      </c>
      <c r="BF41" s="100" t="str">
        <f>BB34</f>
        <v>n/a</v>
      </c>
      <c r="BG41" s="101" t="s">
        <v>45</v>
      </c>
    </row>
    <row r="42" spans="2:59">
      <c r="B42" s="5">
        <f t="shared" si="6"/>
        <v>30</v>
      </c>
      <c r="C42" s="5"/>
      <c r="E42" s="13"/>
      <c r="F42" s="5"/>
      <c r="G42" s="11" t="str">
        <f>IF(ISERROR(AVERAGE(F$13:F42)),"n/a",AVERAGE(F$13:F42))</f>
        <v>n/a</v>
      </c>
      <c r="H42" s="11" t="str">
        <f t="shared" si="2"/>
        <v>n/a</v>
      </c>
      <c r="J42" s="5"/>
      <c r="K42" s="5"/>
      <c r="L42" s="5"/>
      <c r="M42" s="5"/>
      <c r="N42" s="5"/>
      <c r="O42" s="8" t="str">
        <f t="shared" si="0"/>
        <v>n/a</v>
      </c>
      <c r="Q42" s="5"/>
      <c r="R42" s="5"/>
      <c r="S42" s="5"/>
      <c r="U42" s="6"/>
      <c r="V42" s="9" t="str">
        <f t="shared" ref="V42:V47" si="20">IF(O42="n/a","",IF(O42=U42,1,""))</f>
        <v/>
      </c>
      <c r="W42" s="9" t="str">
        <f t="shared" ref="W42:W47" si="21">IF(O42="n/a","",IF(O42&lt;&gt;U42,1,""))</f>
        <v/>
      </c>
      <c r="X42" s="10">
        <f>SUM(V$13:V42)/COUNTA(B$13:B42)</f>
        <v>0</v>
      </c>
      <c r="Z42" s="5"/>
      <c r="AA42" s="5"/>
      <c r="AC42" s="7"/>
      <c r="AE42" s="54" t="e">
        <f t="shared" si="5"/>
        <v>#N/A</v>
      </c>
      <c r="AF42" s="4" t="e">
        <f t="shared" si="1"/>
        <v>#N/A</v>
      </c>
    </row>
    <row r="43" spans="2:59">
      <c r="B43" s="5">
        <f t="shared" si="6"/>
        <v>31</v>
      </c>
      <c r="C43" s="5"/>
      <c r="E43" s="13"/>
      <c r="F43" s="5"/>
      <c r="G43" s="11" t="str">
        <f>IF(ISERROR(AVERAGE(F$13:F43)),"n/a",AVERAGE(F$13:F43))</f>
        <v>n/a</v>
      </c>
      <c r="H43" s="11" t="str">
        <f t="shared" si="2"/>
        <v>n/a</v>
      </c>
      <c r="J43" s="5"/>
      <c r="K43" s="5"/>
      <c r="L43" s="5"/>
      <c r="M43" s="5"/>
      <c r="N43" s="5"/>
      <c r="O43" s="8" t="str">
        <f t="shared" si="0"/>
        <v>n/a</v>
      </c>
      <c r="Q43" s="5"/>
      <c r="R43" s="5"/>
      <c r="S43" s="5"/>
      <c r="U43" s="6"/>
      <c r="V43" s="9" t="str">
        <f t="shared" si="20"/>
        <v/>
      </c>
      <c r="W43" s="9" t="str">
        <f t="shared" si="21"/>
        <v/>
      </c>
      <c r="X43" s="10">
        <f>SUM(V$13:V43)/COUNTA(B$13:B43)</f>
        <v>0</v>
      </c>
      <c r="Z43" s="5"/>
      <c r="AA43" s="5"/>
      <c r="AC43" s="7"/>
      <c r="AE43" s="54" t="e">
        <f t="shared" si="5"/>
        <v>#N/A</v>
      </c>
      <c r="AF43" s="4" t="e">
        <f t="shared" si="1"/>
        <v>#N/A</v>
      </c>
      <c r="BF43" s="114" t="str">
        <f t="shared" ref="BF43" si="22">F1015</f>
        <v>n/a</v>
      </c>
      <c r="BG43" s="101" t="str">
        <f t="shared" ref="BG43:BG48" si="23">BG36</f>
        <v>Total</v>
      </c>
    </row>
    <row r="44" spans="2:59">
      <c r="B44" s="5">
        <f t="shared" si="6"/>
        <v>32</v>
      </c>
      <c r="C44" s="5"/>
      <c r="E44" s="13"/>
      <c r="F44" s="5"/>
      <c r="G44" s="11" t="str">
        <f>IF(ISERROR(AVERAGE(F$13:F44)),"n/a",AVERAGE(F$13:F44))</f>
        <v>n/a</v>
      </c>
      <c r="H44" s="11" t="str">
        <f t="shared" si="2"/>
        <v>n/a</v>
      </c>
      <c r="J44" s="5"/>
      <c r="K44" s="5"/>
      <c r="L44" s="5"/>
      <c r="M44" s="5"/>
      <c r="N44" s="5"/>
      <c r="O44" s="8" t="str">
        <f t="shared" si="0"/>
        <v>n/a</v>
      </c>
      <c r="Q44" s="5"/>
      <c r="R44" s="5"/>
      <c r="S44" s="5"/>
      <c r="U44" s="6"/>
      <c r="V44" s="9" t="str">
        <f t="shared" si="20"/>
        <v/>
      </c>
      <c r="W44" s="9" t="str">
        <f t="shared" si="21"/>
        <v/>
      </c>
      <c r="X44" s="10">
        <f>SUM(V$13:V44)/COUNTA(B$13:B44)</f>
        <v>0</v>
      </c>
      <c r="Z44" s="5"/>
      <c r="AA44" s="5"/>
      <c r="AC44" s="7"/>
      <c r="AE44" s="54" t="e">
        <f t="shared" si="5"/>
        <v>#N/A</v>
      </c>
      <c r="AF44" s="4" t="e">
        <f t="shared" si="1"/>
        <v>#N/A</v>
      </c>
      <c r="BF44" s="114" t="str">
        <f>F1017</f>
        <v>n/a</v>
      </c>
      <c r="BG44" s="101" t="str">
        <f t="shared" si="23"/>
        <v>PS</v>
      </c>
    </row>
    <row r="45" spans="2:59">
      <c r="B45" s="5">
        <f t="shared" si="6"/>
        <v>33</v>
      </c>
      <c r="C45" s="5"/>
      <c r="E45" s="13"/>
      <c r="F45" s="5"/>
      <c r="G45" s="11" t="str">
        <f>IF(ISERROR(AVERAGE(F$13:F45)),"n/a",AVERAGE(F$13:F45))</f>
        <v>n/a</v>
      </c>
      <c r="H45" s="11" t="str">
        <f t="shared" si="2"/>
        <v>n/a</v>
      </c>
      <c r="J45" s="5"/>
      <c r="K45" s="5"/>
      <c r="L45" s="5"/>
      <c r="M45" s="5"/>
      <c r="N45" s="5"/>
      <c r="O45" s="8" t="str">
        <f t="shared" si="0"/>
        <v>n/a</v>
      </c>
      <c r="Q45" s="5"/>
      <c r="R45" s="5"/>
      <c r="S45" s="5"/>
      <c r="U45" s="6"/>
      <c r="V45" s="9" t="str">
        <f t="shared" si="20"/>
        <v/>
      </c>
      <c r="W45" s="9" t="str">
        <f t="shared" si="21"/>
        <v/>
      </c>
      <c r="X45" s="10">
        <f>SUM(V$13:V45)/COUNTA(B$13:B45)</f>
        <v>0</v>
      </c>
      <c r="Z45" s="5"/>
      <c r="AA45" s="5"/>
      <c r="AC45" s="7"/>
      <c r="AE45" s="54" t="e">
        <f t="shared" si="5"/>
        <v>#N/A</v>
      </c>
      <c r="AF45" s="4" t="e">
        <f t="shared" si="1"/>
        <v>#N/A</v>
      </c>
      <c r="BF45" s="114" t="str">
        <f>F1018</f>
        <v>n/a</v>
      </c>
      <c r="BG45" s="101" t="str">
        <f t="shared" si="23"/>
        <v>DS</v>
      </c>
    </row>
    <row r="46" spans="2:59">
      <c r="B46" s="5">
        <f t="shared" si="6"/>
        <v>34</v>
      </c>
      <c r="C46" s="5"/>
      <c r="E46" s="13"/>
      <c r="F46" s="5"/>
      <c r="G46" s="11" t="str">
        <f>IF(ISERROR(AVERAGE(F$13:F46)),"n/a",AVERAGE(F$13:F46))</f>
        <v>n/a</v>
      </c>
      <c r="H46" s="11" t="str">
        <f t="shared" si="2"/>
        <v>n/a</v>
      </c>
      <c r="J46" s="5"/>
      <c r="K46" s="5"/>
      <c r="L46" s="5"/>
      <c r="M46" s="5"/>
      <c r="N46" s="5"/>
      <c r="O46" s="8" t="str">
        <f t="shared" si="0"/>
        <v>n/a</v>
      </c>
      <c r="Q46" s="5"/>
      <c r="R46" s="5"/>
      <c r="S46" s="5"/>
      <c r="U46" s="6"/>
      <c r="V46" s="9" t="str">
        <f t="shared" si="20"/>
        <v/>
      </c>
      <c r="W46" s="9" t="str">
        <f t="shared" si="21"/>
        <v/>
      </c>
      <c r="X46" s="10">
        <f>SUM(V$13:V46)/COUNTA(B$13:B46)</f>
        <v>0</v>
      </c>
      <c r="Z46" s="5"/>
      <c r="AA46" s="5"/>
      <c r="AC46" s="7"/>
      <c r="AE46" s="54" t="e">
        <f t="shared" si="5"/>
        <v>#N/A</v>
      </c>
      <c r="AF46" s="4" t="e">
        <f t="shared" si="1"/>
        <v>#N/A</v>
      </c>
      <c r="BF46" s="114" t="str">
        <f>F1019</f>
        <v>n/a</v>
      </c>
      <c r="BG46" s="101" t="str">
        <f t="shared" si="23"/>
        <v>RC</v>
      </c>
    </row>
    <row r="47" spans="2:59">
      <c r="B47" s="5">
        <f t="shared" si="6"/>
        <v>35</v>
      </c>
      <c r="C47" s="5"/>
      <c r="E47" s="13"/>
      <c r="F47" s="5"/>
      <c r="G47" s="11" t="str">
        <f>IF(ISERROR(AVERAGE(F$13:F47)),"n/a",AVERAGE(F$13:F47))</f>
        <v>n/a</v>
      </c>
      <c r="H47" s="11" t="str">
        <f t="shared" si="2"/>
        <v>n/a</v>
      </c>
      <c r="J47" s="5"/>
      <c r="K47" s="5"/>
      <c r="L47" s="5"/>
      <c r="M47" s="5"/>
      <c r="N47" s="5"/>
      <c r="O47" s="8" t="str">
        <f t="shared" si="0"/>
        <v>n/a</v>
      </c>
      <c r="Q47" s="5"/>
      <c r="R47" s="5"/>
      <c r="S47" s="5"/>
      <c r="U47" s="6"/>
      <c r="V47" s="9" t="str">
        <f t="shared" si="20"/>
        <v/>
      </c>
      <c r="W47" s="9" t="str">
        <f t="shared" si="21"/>
        <v/>
      </c>
      <c r="X47" s="10">
        <f>SUM(V$13:V47)/COUNTA(B$13:B47)</f>
        <v>0</v>
      </c>
      <c r="Z47" s="5"/>
      <c r="AA47" s="5"/>
      <c r="AC47" s="7"/>
      <c r="AE47" s="54" t="e">
        <f t="shared" si="5"/>
        <v>#N/A</v>
      </c>
      <c r="AF47" s="4" t="e">
        <f t="shared" si="1"/>
        <v>#N/A</v>
      </c>
      <c r="BF47" s="114" t="str">
        <f>F1020</f>
        <v>n/a</v>
      </c>
      <c r="BG47" s="101" t="str">
        <f t="shared" si="23"/>
        <v>CR</v>
      </c>
    </row>
    <row r="48" spans="2:59">
      <c r="B48" s="5">
        <f t="shared" si="6"/>
        <v>36</v>
      </c>
      <c r="C48" s="5"/>
      <c r="E48" s="13"/>
      <c r="F48" s="5"/>
      <c r="G48" s="11" t="str">
        <f>IF(ISERROR(AVERAGE(F$13:F48)),"n/a",AVERAGE(F$13:F48))</f>
        <v>n/a</v>
      </c>
      <c r="H48" s="11" t="str">
        <f t="shared" si="2"/>
        <v>n/a</v>
      </c>
      <c r="J48" s="5"/>
      <c r="K48" s="5"/>
      <c r="L48" s="5"/>
      <c r="M48" s="5"/>
      <c r="N48" s="5"/>
      <c r="O48" s="8" t="str">
        <f t="shared" si="0"/>
        <v>n/a</v>
      </c>
      <c r="Q48" s="5"/>
      <c r="R48" s="5"/>
      <c r="S48" s="5"/>
      <c r="U48" s="6"/>
      <c r="V48" s="9" t="str">
        <f t="shared" si="3"/>
        <v/>
      </c>
      <c r="W48" s="9" t="str">
        <f t="shared" si="4"/>
        <v/>
      </c>
      <c r="X48" s="10">
        <f>SUM(V$13:V48)/COUNTA(B$13:B48)</f>
        <v>0</v>
      </c>
      <c r="Z48" s="5"/>
      <c r="AA48" s="5"/>
      <c r="AC48" s="7"/>
      <c r="AE48" s="54" t="e">
        <f t="shared" si="5"/>
        <v>#N/A</v>
      </c>
      <c r="AF48" s="4" t="e">
        <f t="shared" si="1"/>
        <v>#N/A</v>
      </c>
      <c r="BF48" s="114" t="str">
        <f>F1021</f>
        <v>n/a</v>
      </c>
      <c r="BG48" s="101" t="str">
        <f t="shared" si="23"/>
        <v>SC</v>
      </c>
    </row>
    <row r="49" spans="2:32">
      <c r="B49" s="5">
        <f t="shared" si="6"/>
        <v>37</v>
      </c>
      <c r="C49" s="5"/>
      <c r="E49" s="13"/>
      <c r="F49" s="5"/>
      <c r="G49" s="11" t="str">
        <f>IF(ISERROR(AVERAGE(F$13:F49)),"n/a",AVERAGE(F$13:F49))</f>
        <v>n/a</v>
      </c>
      <c r="H49" s="11" t="str">
        <f t="shared" si="2"/>
        <v>n/a</v>
      </c>
      <c r="J49" s="5"/>
      <c r="K49" s="5"/>
      <c r="L49" s="5"/>
      <c r="M49" s="5"/>
      <c r="N49" s="5"/>
      <c r="O49" s="8" t="str">
        <f t="shared" si="0"/>
        <v>n/a</v>
      </c>
      <c r="Q49" s="5"/>
      <c r="R49" s="5"/>
      <c r="S49" s="5"/>
      <c r="U49" s="6"/>
      <c r="V49" s="9" t="str">
        <f t="shared" si="3"/>
        <v/>
      </c>
      <c r="W49" s="9" t="str">
        <f t="shared" si="4"/>
        <v/>
      </c>
      <c r="X49" s="10">
        <f>SUM(V$13:V49)/COUNTA(B$13:B49)</f>
        <v>0</v>
      </c>
      <c r="Z49" s="5"/>
      <c r="AA49" s="5"/>
      <c r="AC49" s="7"/>
      <c r="AE49" s="54" t="e">
        <f t="shared" si="5"/>
        <v>#N/A</v>
      </c>
      <c r="AF49" s="4" t="e">
        <f t="shared" si="1"/>
        <v>#N/A</v>
      </c>
    </row>
    <row r="50" spans="2:32">
      <c r="B50" s="5">
        <f t="shared" si="6"/>
        <v>38</v>
      </c>
      <c r="C50" s="5"/>
      <c r="E50" s="13"/>
      <c r="F50" s="5"/>
      <c r="G50" s="11" t="str">
        <f>IF(ISERROR(AVERAGE(F$13:F50)),"n/a",AVERAGE(F$13:F50))</f>
        <v>n/a</v>
      </c>
      <c r="H50" s="11" t="str">
        <f t="shared" si="2"/>
        <v>n/a</v>
      </c>
      <c r="J50" s="5"/>
      <c r="K50" s="5"/>
      <c r="L50" s="5"/>
      <c r="M50" s="5"/>
      <c r="N50" s="5"/>
      <c r="O50" s="8" t="str">
        <f t="shared" si="0"/>
        <v>n/a</v>
      </c>
      <c r="Q50" s="5"/>
      <c r="R50" s="5"/>
      <c r="S50" s="5"/>
      <c r="U50" s="6"/>
      <c r="V50" s="9" t="str">
        <f t="shared" si="3"/>
        <v/>
      </c>
      <c r="W50" s="9" t="str">
        <f t="shared" si="4"/>
        <v/>
      </c>
      <c r="X50" s="10">
        <f>SUM(V$13:V50)/COUNTA(B$13:B50)</f>
        <v>0</v>
      </c>
      <c r="Z50" s="5"/>
      <c r="AA50" s="5"/>
      <c r="AC50" s="7"/>
      <c r="AE50" s="54" t="e">
        <f t="shared" si="5"/>
        <v>#N/A</v>
      </c>
      <c r="AF50" s="4" t="e">
        <f t="shared" si="1"/>
        <v>#N/A</v>
      </c>
    </row>
    <row r="51" spans="2:32">
      <c r="B51" s="5">
        <f t="shared" si="6"/>
        <v>39</v>
      </c>
      <c r="C51" s="5"/>
      <c r="E51" s="13"/>
      <c r="F51" s="5"/>
      <c r="G51" s="11" t="str">
        <f>IF(ISERROR(AVERAGE(F$13:F51)),"n/a",AVERAGE(F$13:F51))</f>
        <v>n/a</v>
      </c>
      <c r="H51" s="11" t="str">
        <f t="shared" si="2"/>
        <v>n/a</v>
      </c>
      <c r="J51" s="5"/>
      <c r="K51" s="5"/>
      <c r="L51" s="5"/>
      <c r="M51" s="5"/>
      <c r="N51" s="5"/>
      <c r="O51" s="8" t="str">
        <f t="shared" si="0"/>
        <v>n/a</v>
      </c>
      <c r="Q51" s="5"/>
      <c r="R51" s="5"/>
      <c r="S51" s="5"/>
      <c r="U51" s="6"/>
      <c r="V51" s="9" t="str">
        <f t="shared" si="3"/>
        <v/>
      </c>
      <c r="W51" s="9" t="str">
        <f t="shared" si="4"/>
        <v/>
      </c>
      <c r="X51" s="10">
        <f>SUM(V$13:V51)/COUNTA(B$13:B51)</f>
        <v>0</v>
      </c>
      <c r="Z51" s="5"/>
      <c r="AA51" s="5"/>
      <c r="AC51" s="7"/>
      <c r="AE51" s="54" t="e">
        <f t="shared" si="5"/>
        <v>#N/A</v>
      </c>
      <c r="AF51" s="4" t="e">
        <f t="shared" si="1"/>
        <v>#N/A</v>
      </c>
    </row>
    <row r="52" spans="2:32">
      <c r="B52" s="5">
        <f t="shared" si="6"/>
        <v>40</v>
      </c>
      <c r="C52" s="5"/>
      <c r="E52" s="13"/>
      <c r="F52" s="5"/>
      <c r="G52" s="11" t="str">
        <f>IF(ISERROR(AVERAGE(F$13:F52)),"n/a",AVERAGE(F$13:F52))</f>
        <v>n/a</v>
      </c>
      <c r="H52" s="11" t="str">
        <f t="shared" si="2"/>
        <v>n/a</v>
      </c>
      <c r="J52" s="5"/>
      <c r="K52" s="5"/>
      <c r="L52" s="5"/>
      <c r="M52" s="5"/>
      <c r="N52" s="5"/>
      <c r="O52" s="8" t="str">
        <f t="shared" si="0"/>
        <v>n/a</v>
      </c>
      <c r="Q52" s="5"/>
      <c r="R52" s="5"/>
      <c r="S52" s="5"/>
      <c r="U52" s="6"/>
      <c r="V52" s="9" t="str">
        <f t="shared" si="3"/>
        <v/>
      </c>
      <c r="W52" s="9" t="str">
        <f t="shared" si="4"/>
        <v/>
      </c>
      <c r="X52" s="10">
        <f>SUM(V$13:V52)/COUNTA(B$13:B52)</f>
        <v>0</v>
      </c>
      <c r="Z52" s="5"/>
      <c r="AA52" s="5"/>
      <c r="AC52" s="7"/>
      <c r="AE52" s="54" t="e">
        <f t="shared" si="5"/>
        <v>#N/A</v>
      </c>
      <c r="AF52" s="4" t="e">
        <f t="shared" si="1"/>
        <v>#N/A</v>
      </c>
    </row>
    <row r="53" spans="2:32">
      <c r="B53" s="5">
        <f t="shared" si="6"/>
        <v>41</v>
      </c>
      <c r="C53" s="5"/>
      <c r="E53" s="13"/>
      <c r="F53" s="5"/>
      <c r="G53" s="11" t="str">
        <f>IF(ISERROR(AVERAGE(F$13:F53)),"n/a",AVERAGE(F$13:F53))</f>
        <v>n/a</v>
      </c>
      <c r="H53" s="11" t="str">
        <f t="shared" si="2"/>
        <v>n/a</v>
      </c>
      <c r="J53" s="5"/>
      <c r="K53" s="5"/>
      <c r="L53" s="5"/>
      <c r="M53" s="5"/>
      <c r="N53" s="5"/>
      <c r="O53" s="8" t="str">
        <f t="shared" si="0"/>
        <v>n/a</v>
      </c>
      <c r="Q53" s="5"/>
      <c r="R53" s="5"/>
      <c r="S53" s="5"/>
      <c r="U53" s="6"/>
      <c r="V53" s="9" t="str">
        <f t="shared" si="3"/>
        <v/>
      </c>
      <c r="W53" s="9" t="str">
        <f t="shared" si="4"/>
        <v/>
      </c>
      <c r="X53" s="10">
        <f>SUM(V$13:V53)/COUNTA(B$13:B53)</f>
        <v>0</v>
      </c>
      <c r="Z53" s="5"/>
      <c r="AA53" s="5"/>
      <c r="AC53" s="7"/>
      <c r="AE53" s="54" t="e">
        <f t="shared" si="5"/>
        <v>#N/A</v>
      </c>
      <c r="AF53" s="4" t="e">
        <f t="shared" si="1"/>
        <v>#N/A</v>
      </c>
    </row>
    <row r="54" spans="2:32">
      <c r="B54" s="5">
        <f t="shared" si="6"/>
        <v>42</v>
      </c>
      <c r="C54" s="5"/>
      <c r="E54" s="13"/>
      <c r="F54" s="5"/>
      <c r="G54" s="11" t="str">
        <f>IF(ISERROR(AVERAGE(F$13:F54)),"n/a",AVERAGE(F$13:F54))</f>
        <v>n/a</v>
      </c>
      <c r="H54" s="11" t="str">
        <f t="shared" si="2"/>
        <v>n/a</v>
      </c>
      <c r="J54" s="5"/>
      <c r="K54" s="5"/>
      <c r="L54" s="5"/>
      <c r="M54" s="5"/>
      <c r="N54" s="5"/>
      <c r="O54" s="8" t="str">
        <f t="shared" si="0"/>
        <v>n/a</v>
      </c>
      <c r="Q54" s="5"/>
      <c r="R54" s="5"/>
      <c r="S54" s="5"/>
      <c r="U54" s="6"/>
      <c r="V54" s="9" t="str">
        <f t="shared" si="3"/>
        <v/>
      </c>
      <c r="W54" s="9" t="str">
        <f t="shared" si="4"/>
        <v/>
      </c>
      <c r="X54" s="10">
        <f>SUM(V$13:V54)/COUNTA(B$13:B54)</f>
        <v>0</v>
      </c>
      <c r="Z54" s="5"/>
      <c r="AA54" s="5"/>
      <c r="AC54" s="7"/>
      <c r="AE54" s="54" t="e">
        <f t="shared" si="5"/>
        <v>#N/A</v>
      </c>
      <c r="AF54" s="4" t="e">
        <f t="shared" si="1"/>
        <v>#N/A</v>
      </c>
    </row>
    <row r="55" spans="2:32">
      <c r="B55" s="5">
        <f t="shared" si="6"/>
        <v>43</v>
      </c>
      <c r="C55" s="5"/>
      <c r="E55" s="13"/>
      <c r="F55" s="5"/>
      <c r="G55" s="11" t="str">
        <f>IF(ISERROR(AVERAGE(F$13:F55)),"n/a",AVERAGE(F$13:F55))</f>
        <v>n/a</v>
      </c>
      <c r="H55" s="11" t="str">
        <f t="shared" si="2"/>
        <v>n/a</v>
      </c>
      <c r="J55" s="5"/>
      <c r="K55" s="5"/>
      <c r="L55" s="5"/>
      <c r="M55" s="5"/>
      <c r="N55" s="5"/>
      <c r="O55" s="8" t="str">
        <f t="shared" si="0"/>
        <v>n/a</v>
      </c>
      <c r="Q55" s="5"/>
      <c r="R55" s="5"/>
      <c r="S55" s="5"/>
      <c r="U55" s="6"/>
      <c r="V55" s="9" t="str">
        <f t="shared" si="3"/>
        <v/>
      </c>
      <c r="W55" s="9" t="str">
        <f t="shared" si="4"/>
        <v/>
      </c>
      <c r="X55" s="10">
        <f>SUM(V$13:V55)/COUNTA(B$13:B55)</f>
        <v>0</v>
      </c>
      <c r="Z55" s="5"/>
      <c r="AA55" s="5"/>
      <c r="AC55" s="7"/>
      <c r="AE55" s="54" t="e">
        <f t="shared" si="5"/>
        <v>#N/A</v>
      </c>
      <c r="AF55" s="4" t="e">
        <f t="shared" si="1"/>
        <v>#N/A</v>
      </c>
    </row>
    <row r="56" spans="2:32">
      <c r="B56" s="5">
        <f t="shared" si="6"/>
        <v>44</v>
      </c>
      <c r="C56" s="5"/>
      <c r="E56" s="13"/>
      <c r="F56" s="5"/>
      <c r="G56" s="11" t="str">
        <f>IF(ISERROR(AVERAGE(F$13:F56)),"n/a",AVERAGE(F$13:F56))</f>
        <v>n/a</v>
      </c>
      <c r="H56" s="11" t="str">
        <f t="shared" si="2"/>
        <v>n/a</v>
      </c>
      <c r="J56" s="5"/>
      <c r="K56" s="5"/>
      <c r="L56" s="5"/>
      <c r="M56" s="5"/>
      <c r="N56" s="5"/>
      <c r="O56" s="8" t="str">
        <f t="shared" si="0"/>
        <v>n/a</v>
      </c>
      <c r="Q56" s="5"/>
      <c r="R56" s="5"/>
      <c r="S56" s="5"/>
      <c r="U56" s="6"/>
      <c r="V56" s="9" t="str">
        <f t="shared" si="3"/>
        <v/>
      </c>
      <c r="W56" s="9" t="str">
        <f t="shared" si="4"/>
        <v/>
      </c>
      <c r="X56" s="10">
        <f>SUM(V$13:V56)/COUNTA(B$13:B56)</f>
        <v>0</v>
      </c>
      <c r="Z56" s="5"/>
      <c r="AA56" s="5"/>
      <c r="AC56" s="7"/>
      <c r="AE56" s="54" t="e">
        <f t="shared" si="5"/>
        <v>#N/A</v>
      </c>
      <c r="AF56" s="4" t="e">
        <f t="shared" si="1"/>
        <v>#N/A</v>
      </c>
    </row>
    <row r="57" spans="2:32">
      <c r="B57" s="5">
        <f t="shared" si="6"/>
        <v>45</v>
      </c>
      <c r="C57" s="5"/>
      <c r="E57" s="13"/>
      <c r="F57" s="5"/>
      <c r="G57" s="11" t="str">
        <f>IF(ISERROR(AVERAGE(F$13:F57)),"n/a",AVERAGE(F$13:F57))</f>
        <v>n/a</v>
      </c>
      <c r="H57" s="11" t="str">
        <f t="shared" si="2"/>
        <v>n/a</v>
      </c>
      <c r="J57" s="5"/>
      <c r="K57" s="5"/>
      <c r="L57" s="5"/>
      <c r="M57" s="5"/>
      <c r="N57" s="5"/>
      <c r="O57" s="8" t="str">
        <f t="shared" si="0"/>
        <v>n/a</v>
      </c>
      <c r="Q57" s="5"/>
      <c r="R57" s="5"/>
      <c r="S57" s="5"/>
      <c r="U57" s="6"/>
      <c r="V57" s="9" t="str">
        <f t="shared" si="3"/>
        <v/>
      </c>
      <c r="W57" s="9" t="str">
        <f t="shared" si="4"/>
        <v/>
      </c>
      <c r="X57" s="10">
        <f>SUM(V$13:V57)/COUNTA(B$13:B57)</f>
        <v>0</v>
      </c>
      <c r="Z57" s="5"/>
      <c r="AA57" s="5"/>
      <c r="AC57" s="7"/>
      <c r="AE57" s="54" t="e">
        <f t="shared" si="5"/>
        <v>#N/A</v>
      </c>
      <c r="AF57" s="4" t="e">
        <f t="shared" si="1"/>
        <v>#N/A</v>
      </c>
    </row>
    <row r="58" spans="2:32">
      <c r="B58" s="5">
        <f t="shared" si="6"/>
        <v>46</v>
      </c>
      <c r="C58" s="5"/>
      <c r="E58" s="13"/>
      <c r="F58" s="5"/>
      <c r="G58" s="11" t="str">
        <f>IF(ISERROR(AVERAGE(F$13:F58)),"n/a",AVERAGE(F$13:F58))</f>
        <v>n/a</v>
      </c>
      <c r="H58" s="11" t="str">
        <f t="shared" si="2"/>
        <v>n/a</v>
      </c>
      <c r="J58" s="5"/>
      <c r="K58" s="5"/>
      <c r="L58" s="5"/>
      <c r="M58" s="5"/>
      <c r="N58" s="5"/>
      <c r="O58" s="8" t="str">
        <f t="shared" si="0"/>
        <v>n/a</v>
      </c>
      <c r="Q58" s="5"/>
      <c r="R58" s="5"/>
      <c r="S58" s="5"/>
      <c r="U58" s="6"/>
      <c r="V58" s="9" t="str">
        <f t="shared" si="3"/>
        <v/>
      </c>
      <c r="W58" s="9" t="str">
        <f t="shared" si="4"/>
        <v/>
      </c>
      <c r="X58" s="10">
        <f>SUM(V$13:V58)/COUNTA(B$13:B58)</f>
        <v>0</v>
      </c>
      <c r="Z58" s="5"/>
      <c r="AA58" s="5"/>
      <c r="AC58" s="7"/>
      <c r="AE58" s="54" t="e">
        <f t="shared" si="5"/>
        <v>#N/A</v>
      </c>
      <c r="AF58" s="4" t="e">
        <f t="shared" si="1"/>
        <v>#N/A</v>
      </c>
    </row>
    <row r="59" spans="2:32">
      <c r="B59" s="5">
        <f t="shared" si="6"/>
        <v>47</v>
      </c>
      <c r="C59" s="5"/>
      <c r="E59" s="13"/>
      <c r="F59" s="5"/>
      <c r="G59" s="11" t="str">
        <f>IF(ISERROR(AVERAGE(F$13:F59)),"n/a",AVERAGE(F$13:F59))</f>
        <v>n/a</v>
      </c>
      <c r="H59" s="11" t="str">
        <f t="shared" si="2"/>
        <v>n/a</v>
      </c>
      <c r="J59" s="5"/>
      <c r="K59" s="5"/>
      <c r="L59" s="5"/>
      <c r="M59" s="5"/>
      <c r="N59" s="5"/>
      <c r="O59" s="8" t="str">
        <f t="shared" si="0"/>
        <v>n/a</v>
      </c>
      <c r="Q59" s="5"/>
      <c r="R59" s="5"/>
      <c r="S59" s="5"/>
      <c r="U59" s="6"/>
      <c r="V59" s="9" t="str">
        <f t="shared" si="3"/>
        <v/>
      </c>
      <c r="W59" s="9" t="str">
        <f t="shared" si="4"/>
        <v/>
      </c>
      <c r="X59" s="10">
        <f>SUM(V$13:V59)/COUNTA(B$13:B59)</f>
        <v>0</v>
      </c>
      <c r="Z59" s="5"/>
      <c r="AA59" s="5"/>
      <c r="AC59" s="7"/>
      <c r="AE59" s="54" t="e">
        <f t="shared" si="5"/>
        <v>#N/A</v>
      </c>
      <c r="AF59" s="4" t="e">
        <f t="shared" si="1"/>
        <v>#N/A</v>
      </c>
    </row>
    <row r="60" spans="2:32">
      <c r="B60" s="5">
        <f t="shared" si="6"/>
        <v>48</v>
      </c>
      <c r="C60" s="5"/>
      <c r="E60" s="13"/>
      <c r="F60" s="5"/>
      <c r="G60" s="11" t="str">
        <f>IF(ISERROR(AVERAGE(F$13:F60)),"n/a",AVERAGE(F$13:F60))</f>
        <v>n/a</v>
      </c>
      <c r="H60" s="11" t="str">
        <f t="shared" si="2"/>
        <v>n/a</v>
      </c>
      <c r="J60" s="5"/>
      <c r="K60" s="5"/>
      <c r="L60" s="5"/>
      <c r="M60" s="5"/>
      <c r="N60" s="5"/>
      <c r="O60" s="8" t="str">
        <f t="shared" si="0"/>
        <v>n/a</v>
      </c>
      <c r="Q60" s="5"/>
      <c r="R60" s="5"/>
      <c r="S60" s="5"/>
      <c r="U60" s="6"/>
      <c r="V60" s="9" t="str">
        <f t="shared" si="3"/>
        <v/>
      </c>
      <c r="W60" s="9" t="str">
        <f t="shared" si="4"/>
        <v/>
      </c>
      <c r="X60" s="10">
        <f>SUM(V$13:V60)/COUNTA(B$13:B60)</f>
        <v>0</v>
      </c>
      <c r="Z60" s="5"/>
      <c r="AA60" s="5"/>
      <c r="AC60" s="7"/>
      <c r="AE60" s="54" t="e">
        <f t="shared" si="5"/>
        <v>#N/A</v>
      </c>
      <c r="AF60" s="4" t="e">
        <f t="shared" si="1"/>
        <v>#N/A</v>
      </c>
    </row>
    <row r="61" spans="2:32">
      <c r="B61" s="5">
        <f t="shared" si="6"/>
        <v>49</v>
      </c>
      <c r="C61" s="5"/>
      <c r="E61" s="13"/>
      <c r="F61" s="5"/>
      <c r="G61" s="11" t="str">
        <f>IF(ISERROR(AVERAGE(F$13:F61)),"n/a",AVERAGE(F$13:F61))</f>
        <v>n/a</v>
      </c>
      <c r="H61" s="11" t="str">
        <f t="shared" si="2"/>
        <v>n/a</v>
      </c>
      <c r="J61" s="5"/>
      <c r="K61" s="5"/>
      <c r="L61" s="5"/>
      <c r="M61" s="5"/>
      <c r="N61" s="5"/>
      <c r="O61" s="8" t="str">
        <f t="shared" si="0"/>
        <v>n/a</v>
      </c>
      <c r="Q61" s="5"/>
      <c r="R61" s="5"/>
      <c r="S61" s="5"/>
      <c r="U61" s="6"/>
      <c r="V61" s="9" t="str">
        <f t="shared" si="3"/>
        <v/>
      </c>
      <c r="W61" s="9" t="str">
        <f t="shared" si="4"/>
        <v/>
      </c>
      <c r="X61" s="10">
        <f>SUM(V$13:V61)/COUNTA(B$13:B61)</f>
        <v>0</v>
      </c>
      <c r="Z61" s="5"/>
      <c r="AA61" s="5"/>
      <c r="AC61" s="7"/>
      <c r="AE61" s="54" t="e">
        <f t="shared" si="5"/>
        <v>#N/A</v>
      </c>
      <c r="AF61" s="4" t="e">
        <f t="shared" si="1"/>
        <v>#N/A</v>
      </c>
    </row>
    <row r="62" spans="2:32">
      <c r="B62" s="5">
        <f t="shared" si="6"/>
        <v>50</v>
      </c>
      <c r="C62" s="5"/>
      <c r="E62" s="13"/>
      <c r="F62" s="5"/>
      <c r="G62" s="11" t="str">
        <f>IF(ISERROR(AVERAGE(F$13:F62)),"n/a",AVERAGE(F$13:F62))</f>
        <v>n/a</v>
      </c>
      <c r="H62" s="11" t="str">
        <f t="shared" si="2"/>
        <v>n/a</v>
      </c>
      <c r="J62" s="5"/>
      <c r="K62" s="5"/>
      <c r="L62" s="5"/>
      <c r="M62" s="5"/>
      <c r="N62" s="5"/>
      <c r="O62" s="8" t="str">
        <f t="shared" si="0"/>
        <v>n/a</v>
      </c>
      <c r="Q62" s="5"/>
      <c r="R62" s="5"/>
      <c r="S62" s="5"/>
      <c r="U62" s="6"/>
      <c r="V62" s="9" t="str">
        <f t="shared" si="3"/>
        <v/>
      </c>
      <c r="W62" s="9" t="str">
        <f t="shared" si="4"/>
        <v/>
      </c>
      <c r="X62" s="10">
        <f>SUM(V$13:V62)/COUNTA(B$13:B62)</f>
        <v>0</v>
      </c>
      <c r="Z62" s="5"/>
      <c r="AA62" s="5"/>
      <c r="AC62" s="7"/>
      <c r="AE62" s="54" t="e">
        <f t="shared" si="5"/>
        <v>#N/A</v>
      </c>
      <c r="AF62" s="4" t="e">
        <f t="shared" si="1"/>
        <v>#N/A</v>
      </c>
    </row>
    <row r="63" spans="2:32">
      <c r="B63" s="5">
        <f t="shared" si="6"/>
        <v>51</v>
      </c>
      <c r="C63" s="5"/>
      <c r="E63" s="13"/>
      <c r="F63" s="5"/>
      <c r="G63" s="11" t="str">
        <f>IF(ISERROR(AVERAGE(F$13:F63)),"n/a",AVERAGE(F$13:F63))</f>
        <v>n/a</v>
      </c>
      <c r="H63" s="11" t="str">
        <f t="shared" si="2"/>
        <v>n/a</v>
      </c>
      <c r="J63" s="5"/>
      <c r="K63" s="5"/>
      <c r="L63" s="5"/>
      <c r="M63" s="5"/>
      <c r="N63" s="5"/>
      <c r="O63" s="8" t="str">
        <f t="shared" si="0"/>
        <v>n/a</v>
      </c>
      <c r="Q63" s="5"/>
      <c r="R63" s="5"/>
      <c r="S63" s="5"/>
      <c r="U63" s="6"/>
      <c r="V63" s="9" t="str">
        <f t="shared" si="3"/>
        <v/>
      </c>
      <c r="W63" s="9" t="str">
        <f t="shared" si="4"/>
        <v/>
      </c>
      <c r="X63" s="10">
        <f>SUM(V$13:V63)/COUNTA(B$13:B63)</f>
        <v>0</v>
      </c>
      <c r="Z63" s="5"/>
      <c r="AA63" s="5"/>
      <c r="AC63" s="7"/>
      <c r="AE63" s="54" t="e">
        <f t="shared" si="5"/>
        <v>#N/A</v>
      </c>
      <c r="AF63" s="4" t="e">
        <f t="shared" si="1"/>
        <v>#N/A</v>
      </c>
    </row>
    <row r="64" spans="2:32">
      <c r="B64" s="5">
        <f t="shared" si="6"/>
        <v>52</v>
      </c>
      <c r="C64" s="5"/>
      <c r="E64" s="13"/>
      <c r="F64" s="5"/>
      <c r="G64" s="11" t="str">
        <f>IF(ISERROR(AVERAGE(F$13:F64)),"n/a",AVERAGE(F$13:F64))</f>
        <v>n/a</v>
      </c>
      <c r="H64" s="11" t="str">
        <f t="shared" si="2"/>
        <v>n/a</v>
      </c>
      <c r="J64" s="5"/>
      <c r="K64" s="5"/>
      <c r="L64" s="5"/>
      <c r="M64" s="5"/>
      <c r="N64" s="5"/>
      <c r="O64" s="8" t="str">
        <f t="shared" si="0"/>
        <v>n/a</v>
      </c>
      <c r="Q64" s="5"/>
      <c r="R64" s="5"/>
      <c r="S64" s="5"/>
      <c r="U64" s="6"/>
      <c r="V64" s="9" t="str">
        <f t="shared" si="3"/>
        <v/>
      </c>
      <c r="W64" s="9" t="str">
        <f t="shared" si="4"/>
        <v/>
      </c>
      <c r="X64" s="10">
        <f>SUM(V$13:V64)/COUNTA(B$13:B64)</f>
        <v>0</v>
      </c>
      <c r="Z64" s="5"/>
      <c r="AA64" s="5"/>
      <c r="AC64" s="7"/>
      <c r="AE64" s="54" t="e">
        <f t="shared" si="5"/>
        <v>#N/A</v>
      </c>
      <c r="AF64" s="4" t="e">
        <f t="shared" si="1"/>
        <v>#N/A</v>
      </c>
    </row>
    <row r="65" spans="2:32">
      <c r="B65" s="5">
        <f t="shared" si="6"/>
        <v>53</v>
      </c>
      <c r="C65" s="5"/>
      <c r="E65" s="13"/>
      <c r="F65" s="5"/>
      <c r="G65" s="11" t="str">
        <f>IF(ISERROR(AVERAGE(F$13:F65)),"n/a",AVERAGE(F$13:F65))</f>
        <v>n/a</v>
      </c>
      <c r="H65" s="11" t="str">
        <f t="shared" si="2"/>
        <v>n/a</v>
      </c>
      <c r="J65" s="5"/>
      <c r="K65" s="5"/>
      <c r="L65" s="5"/>
      <c r="M65" s="5"/>
      <c r="N65" s="5"/>
      <c r="O65" s="8" t="str">
        <f t="shared" si="0"/>
        <v>n/a</v>
      </c>
      <c r="Q65" s="5"/>
      <c r="R65" s="5"/>
      <c r="S65" s="5"/>
      <c r="U65" s="6"/>
      <c r="V65" s="9" t="str">
        <f t="shared" si="3"/>
        <v/>
      </c>
      <c r="W65" s="9" t="str">
        <f t="shared" si="4"/>
        <v/>
      </c>
      <c r="X65" s="10">
        <f>SUM(V$13:V65)/COUNTA(B$13:B65)</f>
        <v>0</v>
      </c>
      <c r="Z65" s="5"/>
      <c r="AA65" s="5"/>
      <c r="AC65" s="7"/>
      <c r="AE65" s="54" t="e">
        <f t="shared" si="5"/>
        <v>#N/A</v>
      </c>
      <c r="AF65" s="4" t="e">
        <f t="shared" si="1"/>
        <v>#N/A</v>
      </c>
    </row>
    <row r="66" spans="2:32">
      <c r="B66" s="5">
        <f t="shared" si="6"/>
        <v>54</v>
      </c>
      <c r="C66" s="5"/>
      <c r="E66" s="13"/>
      <c r="F66" s="5"/>
      <c r="G66" s="11" t="str">
        <f>IF(ISERROR(AVERAGE(F$13:F66)),"n/a",AVERAGE(F$13:F66))</f>
        <v>n/a</v>
      </c>
      <c r="H66" s="11" t="str">
        <f t="shared" si="2"/>
        <v>n/a</v>
      </c>
      <c r="J66" s="5"/>
      <c r="K66" s="5"/>
      <c r="L66" s="5"/>
      <c r="M66" s="5"/>
      <c r="N66" s="5"/>
      <c r="O66" s="8" t="str">
        <f t="shared" si="0"/>
        <v>n/a</v>
      </c>
      <c r="Q66" s="5"/>
      <c r="R66" s="5"/>
      <c r="S66" s="5"/>
      <c r="U66" s="6"/>
      <c r="V66" s="9" t="str">
        <f t="shared" si="3"/>
        <v/>
      </c>
      <c r="W66" s="9" t="str">
        <f t="shared" si="4"/>
        <v/>
      </c>
      <c r="X66" s="10">
        <f>SUM(V$13:V66)/COUNTA(B$13:B66)</f>
        <v>0</v>
      </c>
      <c r="Z66" s="5"/>
      <c r="AA66" s="5"/>
      <c r="AC66" s="7"/>
      <c r="AE66" s="54" t="e">
        <f t="shared" si="5"/>
        <v>#N/A</v>
      </c>
      <c r="AF66" s="4" t="e">
        <f t="shared" si="1"/>
        <v>#N/A</v>
      </c>
    </row>
    <row r="67" spans="2:32">
      <c r="B67" s="5">
        <f t="shared" si="6"/>
        <v>55</v>
      </c>
      <c r="C67" s="5"/>
      <c r="E67" s="13"/>
      <c r="F67" s="5"/>
      <c r="G67" s="11" t="str">
        <f>IF(ISERROR(AVERAGE(F$13:F67)),"n/a",AVERAGE(F$13:F67))</f>
        <v>n/a</v>
      </c>
      <c r="H67" s="11" t="str">
        <f t="shared" si="2"/>
        <v>n/a</v>
      </c>
      <c r="J67" s="5"/>
      <c r="K67" s="5"/>
      <c r="L67" s="5"/>
      <c r="M67" s="5"/>
      <c r="N67" s="5"/>
      <c r="O67" s="8" t="str">
        <f t="shared" si="0"/>
        <v>n/a</v>
      </c>
      <c r="Q67" s="5"/>
      <c r="R67" s="5"/>
      <c r="S67" s="5"/>
      <c r="U67" s="6"/>
      <c r="V67" s="9" t="str">
        <f t="shared" si="3"/>
        <v/>
      </c>
      <c r="W67" s="9" t="str">
        <f t="shared" si="4"/>
        <v/>
      </c>
      <c r="X67" s="10">
        <f>SUM(V$13:V67)/COUNTA(B$13:B67)</f>
        <v>0</v>
      </c>
      <c r="Z67" s="5"/>
      <c r="AA67" s="5"/>
      <c r="AC67" s="7"/>
      <c r="AE67" s="54" t="e">
        <f t="shared" si="5"/>
        <v>#N/A</v>
      </c>
      <c r="AF67" s="4" t="e">
        <f t="shared" si="1"/>
        <v>#N/A</v>
      </c>
    </row>
    <row r="68" spans="2:32">
      <c r="B68" s="5">
        <f t="shared" si="6"/>
        <v>56</v>
      </c>
      <c r="C68" s="5"/>
      <c r="E68" s="13"/>
      <c r="F68" s="5"/>
      <c r="G68" s="11" t="str">
        <f>IF(ISERROR(AVERAGE(F$13:F68)),"n/a",AVERAGE(F$13:F68))</f>
        <v>n/a</v>
      </c>
      <c r="H68" s="11" t="str">
        <f t="shared" si="2"/>
        <v>n/a</v>
      </c>
      <c r="J68" s="5"/>
      <c r="K68" s="5"/>
      <c r="L68" s="5"/>
      <c r="M68" s="5"/>
      <c r="N68" s="5"/>
      <c r="O68" s="8" t="str">
        <f t="shared" si="0"/>
        <v>n/a</v>
      </c>
      <c r="Q68" s="5"/>
      <c r="R68" s="5"/>
      <c r="S68" s="5"/>
      <c r="U68" s="6"/>
      <c r="V68" s="9" t="str">
        <f t="shared" si="3"/>
        <v/>
      </c>
      <c r="W68" s="9" t="str">
        <f t="shared" si="4"/>
        <v/>
      </c>
      <c r="X68" s="10">
        <f>SUM(V$13:V68)/COUNTA(B$13:B68)</f>
        <v>0</v>
      </c>
      <c r="Z68" s="5"/>
      <c r="AA68" s="5"/>
      <c r="AC68" s="7"/>
      <c r="AE68" s="54" t="e">
        <f t="shared" si="5"/>
        <v>#N/A</v>
      </c>
      <c r="AF68" s="4" t="e">
        <f t="shared" si="1"/>
        <v>#N/A</v>
      </c>
    </row>
    <row r="69" spans="2:32">
      <c r="B69" s="5">
        <f t="shared" si="6"/>
        <v>57</v>
      </c>
      <c r="C69" s="5"/>
      <c r="E69" s="13"/>
      <c r="F69" s="5"/>
      <c r="G69" s="11" t="str">
        <f>IF(ISERROR(AVERAGE(F$13:F69)),"n/a",AVERAGE(F$13:F69))</f>
        <v>n/a</v>
      </c>
      <c r="H69" s="11" t="str">
        <f t="shared" si="2"/>
        <v>n/a</v>
      </c>
      <c r="J69" s="5"/>
      <c r="K69" s="5"/>
      <c r="L69" s="5"/>
      <c r="M69" s="5"/>
      <c r="N69" s="5"/>
      <c r="O69" s="8" t="str">
        <f t="shared" si="0"/>
        <v>n/a</v>
      </c>
      <c r="Q69" s="5"/>
      <c r="R69" s="5"/>
      <c r="S69" s="5"/>
      <c r="U69" s="6"/>
      <c r="V69" s="9" t="str">
        <f t="shared" si="3"/>
        <v/>
      </c>
      <c r="W69" s="9" t="str">
        <f t="shared" si="4"/>
        <v/>
      </c>
      <c r="X69" s="10">
        <f>SUM(V$13:V69)/COUNTA(B$13:B69)</f>
        <v>0</v>
      </c>
      <c r="Z69" s="5"/>
      <c r="AA69" s="5"/>
      <c r="AC69" s="7"/>
      <c r="AE69" s="54" t="e">
        <f t="shared" si="5"/>
        <v>#N/A</v>
      </c>
      <c r="AF69" s="4" t="e">
        <f t="shared" si="1"/>
        <v>#N/A</v>
      </c>
    </row>
    <row r="70" spans="2:32">
      <c r="B70" s="5">
        <f t="shared" si="6"/>
        <v>58</v>
      </c>
      <c r="C70" s="5"/>
      <c r="E70" s="13"/>
      <c r="F70" s="5"/>
      <c r="G70" s="11" t="str">
        <f>IF(ISERROR(AVERAGE(F$13:F70)),"n/a",AVERAGE(F$13:F70))</f>
        <v>n/a</v>
      </c>
      <c r="H70" s="11" t="str">
        <f t="shared" si="2"/>
        <v>n/a</v>
      </c>
      <c r="J70" s="5"/>
      <c r="K70" s="5"/>
      <c r="L70" s="5"/>
      <c r="M70" s="5"/>
      <c r="N70" s="5"/>
      <c r="O70" s="8" t="str">
        <f t="shared" si="0"/>
        <v>n/a</v>
      </c>
      <c r="Q70" s="5"/>
      <c r="R70" s="5"/>
      <c r="S70" s="5"/>
      <c r="U70" s="6"/>
      <c r="V70" s="9" t="str">
        <f t="shared" si="3"/>
        <v/>
      </c>
      <c r="W70" s="9" t="str">
        <f t="shared" si="4"/>
        <v/>
      </c>
      <c r="X70" s="10">
        <f>SUM(V$13:V70)/COUNTA(B$13:B70)</f>
        <v>0</v>
      </c>
      <c r="Z70" s="5"/>
      <c r="AA70" s="5"/>
      <c r="AC70" s="7"/>
      <c r="AE70" s="54" t="e">
        <f t="shared" si="5"/>
        <v>#N/A</v>
      </c>
      <c r="AF70" s="4" t="e">
        <f t="shared" si="1"/>
        <v>#N/A</v>
      </c>
    </row>
    <row r="71" spans="2:32">
      <c r="B71" s="5">
        <f t="shared" si="6"/>
        <v>59</v>
      </c>
      <c r="C71" s="5"/>
      <c r="E71" s="13"/>
      <c r="F71" s="5"/>
      <c r="G71" s="11" t="str">
        <f>IF(ISERROR(AVERAGE(F$13:F71)),"n/a",AVERAGE(F$13:F71))</f>
        <v>n/a</v>
      </c>
      <c r="H71" s="11" t="str">
        <f t="shared" si="2"/>
        <v>n/a</v>
      </c>
      <c r="J71" s="5"/>
      <c r="K71" s="5"/>
      <c r="L71" s="5"/>
      <c r="M71" s="5"/>
      <c r="N71" s="5"/>
      <c r="O71" s="8" t="str">
        <f t="shared" si="0"/>
        <v>n/a</v>
      </c>
      <c r="Q71" s="5"/>
      <c r="R71" s="5"/>
      <c r="S71" s="5"/>
      <c r="U71" s="6"/>
      <c r="V71" s="9" t="str">
        <f t="shared" si="3"/>
        <v/>
      </c>
      <c r="W71" s="9" t="str">
        <f t="shared" si="4"/>
        <v/>
      </c>
      <c r="X71" s="10">
        <f>SUM(V$13:V71)/COUNTA(B$13:B71)</f>
        <v>0</v>
      </c>
      <c r="Z71" s="5"/>
      <c r="AA71" s="5"/>
      <c r="AC71" s="7"/>
      <c r="AE71" s="54" t="e">
        <f t="shared" si="5"/>
        <v>#N/A</v>
      </c>
      <c r="AF71" s="4" t="e">
        <f t="shared" si="1"/>
        <v>#N/A</v>
      </c>
    </row>
    <row r="72" spans="2:32">
      <c r="B72" s="5">
        <f t="shared" si="6"/>
        <v>60</v>
      </c>
      <c r="C72" s="5"/>
      <c r="E72" s="13"/>
      <c r="F72" s="5"/>
      <c r="G72" s="11" t="str">
        <f>IF(ISERROR(AVERAGE(F$13:F72)),"n/a",AVERAGE(F$13:F72))</f>
        <v>n/a</v>
      </c>
      <c r="H72" s="11" t="str">
        <f t="shared" si="2"/>
        <v>n/a</v>
      </c>
      <c r="J72" s="5"/>
      <c r="K72" s="5"/>
      <c r="L72" s="5"/>
      <c r="M72" s="5"/>
      <c r="N72" s="5"/>
      <c r="O72" s="8" t="str">
        <f t="shared" si="0"/>
        <v>n/a</v>
      </c>
      <c r="Q72" s="5"/>
      <c r="R72" s="5"/>
      <c r="S72" s="5"/>
      <c r="U72" s="6"/>
      <c r="V72" s="9" t="str">
        <f t="shared" si="3"/>
        <v/>
      </c>
      <c r="W72" s="9" t="str">
        <f t="shared" si="4"/>
        <v/>
      </c>
      <c r="X72" s="10">
        <f>SUM(V$13:V72)/COUNTA(B$13:B72)</f>
        <v>0</v>
      </c>
      <c r="Z72" s="5"/>
      <c r="AA72" s="5"/>
      <c r="AC72" s="7"/>
      <c r="AE72" s="54" t="e">
        <f t="shared" si="5"/>
        <v>#N/A</v>
      </c>
      <c r="AF72" s="4" t="e">
        <f t="shared" si="1"/>
        <v>#N/A</v>
      </c>
    </row>
    <row r="73" spans="2:32">
      <c r="B73" s="5">
        <f t="shared" si="6"/>
        <v>61</v>
      </c>
      <c r="C73" s="5"/>
      <c r="E73" s="13"/>
      <c r="F73" s="5"/>
      <c r="G73" s="11" t="str">
        <f>IF(ISERROR(AVERAGE(F$13:F73)),"n/a",AVERAGE(F$13:F73))</f>
        <v>n/a</v>
      </c>
      <c r="H73" s="11" t="str">
        <f t="shared" si="2"/>
        <v>n/a</v>
      </c>
      <c r="J73" s="5"/>
      <c r="K73" s="5"/>
      <c r="L73" s="5"/>
      <c r="M73" s="5"/>
      <c r="N73" s="5"/>
      <c r="O73" s="8" t="str">
        <f t="shared" si="0"/>
        <v>n/a</v>
      </c>
      <c r="Q73" s="5"/>
      <c r="R73" s="5"/>
      <c r="S73" s="5"/>
      <c r="U73" s="6"/>
      <c r="V73" s="9" t="str">
        <f t="shared" si="3"/>
        <v/>
      </c>
      <c r="W73" s="9" t="str">
        <f t="shared" si="4"/>
        <v/>
      </c>
      <c r="X73" s="10">
        <f>SUM(V$13:V73)/COUNTA(B$13:B73)</f>
        <v>0</v>
      </c>
      <c r="Z73" s="5"/>
      <c r="AA73" s="5"/>
      <c r="AC73" s="7"/>
      <c r="AE73" s="54" t="e">
        <f t="shared" si="5"/>
        <v>#N/A</v>
      </c>
      <c r="AF73" s="4" t="e">
        <f t="shared" si="1"/>
        <v>#N/A</v>
      </c>
    </row>
    <row r="74" spans="2:32">
      <c r="B74" s="5">
        <f t="shared" si="6"/>
        <v>62</v>
      </c>
      <c r="C74" s="5"/>
      <c r="E74" s="13"/>
      <c r="F74" s="5"/>
      <c r="G74" s="11" t="str">
        <f>IF(ISERROR(AVERAGE(F$13:F74)),"n/a",AVERAGE(F$13:F74))</f>
        <v>n/a</v>
      </c>
      <c r="H74" s="11" t="str">
        <f t="shared" si="2"/>
        <v>n/a</v>
      </c>
      <c r="J74" s="5"/>
      <c r="K74" s="5"/>
      <c r="L74" s="5"/>
      <c r="M74" s="5"/>
      <c r="N74" s="5"/>
      <c r="O74" s="8" t="str">
        <f t="shared" si="0"/>
        <v>n/a</v>
      </c>
      <c r="Q74" s="5"/>
      <c r="R74" s="5"/>
      <c r="S74" s="5"/>
      <c r="U74" s="6"/>
      <c r="V74" s="9" t="str">
        <f t="shared" si="3"/>
        <v/>
      </c>
      <c r="W74" s="9" t="str">
        <f t="shared" si="4"/>
        <v/>
      </c>
      <c r="X74" s="10">
        <f>SUM(V$13:V74)/COUNTA(B$13:B74)</f>
        <v>0</v>
      </c>
      <c r="Z74" s="5"/>
      <c r="AA74" s="5"/>
      <c r="AC74" s="7"/>
      <c r="AE74" s="54" t="e">
        <f t="shared" si="5"/>
        <v>#N/A</v>
      </c>
      <c r="AF74" s="4" t="e">
        <f t="shared" si="1"/>
        <v>#N/A</v>
      </c>
    </row>
    <row r="75" spans="2:32">
      <c r="B75" s="5">
        <f t="shared" si="6"/>
        <v>63</v>
      </c>
      <c r="C75" s="5"/>
      <c r="E75" s="13"/>
      <c r="F75" s="5"/>
      <c r="G75" s="11" t="str">
        <f>IF(ISERROR(AVERAGE(F$13:F75)),"n/a",AVERAGE(F$13:F75))</f>
        <v>n/a</v>
      </c>
      <c r="H75" s="11" t="str">
        <f t="shared" si="2"/>
        <v>n/a</v>
      </c>
      <c r="J75" s="5"/>
      <c r="K75" s="5"/>
      <c r="L75" s="5"/>
      <c r="M75" s="5"/>
      <c r="N75" s="5"/>
      <c r="O75" s="8" t="str">
        <f t="shared" si="0"/>
        <v>n/a</v>
      </c>
      <c r="Q75" s="5"/>
      <c r="R75" s="5"/>
      <c r="S75" s="5"/>
      <c r="U75" s="6"/>
      <c r="V75" s="9" t="str">
        <f t="shared" si="3"/>
        <v/>
      </c>
      <c r="W75" s="9" t="str">
        <f t="shared" si="4"/>
        <v/>
      </c>
      <c r="X75" s="10">
        <f>SUM(V$13:V75)/COUNTA(B$13:B75)</f>
        <v>0</v>
      </c>
      <c r="Z75" s="5"/>
      <c r="AA75" s="5"/>
      <c r="AC75" s="7"/>
      <c r="AE75" s="54" t="e">
        <f t="shared" si="5"/>
        <v>#N/A</v>
      </c>
      <c r="AF75" s="4" t="e">
        <f t="shared" si="1"/>
        <v>#N/A</v>
      </c>
    </row>
    <row r="76" spans="2:32">
      <c r="B76" s="5">
        <f t="shared" si="6"/>
        <v>64</v>
      </c>
      <c r="C76" s="5"/>
      <c r="E76" s="13"/>
      <c r="F76" s="5"/>
      <c r="G76" s="11" t="str">
        <f>IF(ISERROR(AVERAGE(F$13:F76)),"n/a",AVERAGE(F$13:F76))</f>
        <v>n/a</v>
      </c>
      <c r="H76" s="11" t="str">
        <f t="shared" si="2"/>
        <v>n/a</v>
      </c>
      <c r="J76" s="5"/>
      <c r="K76" s="5"/>
      <c r="L76" s="5"/>
      <c r="M76" s="5"/>
      <c r="N76" s="5"/>
      <c r="O76" s="8" t="str">
        <f t="shared" si="0"/>
        <v>n/a</v>
      </c>
      <c r="Q76" s="5"/>
      <c r="R76" s="5"/>
      <c r="S76" s="5"/>
      <c r="U76" s="6"/>
      <c r="V76" s="9" t="str">
        <f t="shared" si="3"/>
        <v/>
      </c>
      <c r="W76" s="9" t="str">
        <f t="shared" si="4"/>
        <v/>
      </c>
      <c r="X76" s="10">
        <f>SUM(V$13:V76)/COUNTA(B$13:B76)</f>
        <v>0</v>
      </c>
      <c r="Z76" s="5"/>
      <c r="AA76" s="5"/>
      <c r="AC76" s="7"/>
      <c r="AE76" s="54" t="e">
        <f t="shared" si="5"/>
        <v>#N/A</v>
      </c>
      <c r="AF76" s="4" t="e">
        <f t="shared" si="1"/>
        <v>#N/A</v>
      </c>
    </row>
    <row r="77" spans="2:32">
      <c r="B77" s="5">
        <f t="shared" si="6"/>
        <v>65</v>
      </c>
      <c r="C77" s="5"/>
      <c r="E77" s="13"/>
      <c r="F77" s="5"/>
      <c r="G77" s="11" t="str">
        <f>IF(ISERROR(AVERAGE(F$13:F77)),"n/a",AVERAGE(F$13:F77))</f>
        <v>n/a</v>
      </c>
      <c r="H77" s="11" t="str">
        <f t="shared" si="2"/>
        <v>n/a</v>
      </c>
      <c r="J77" s="5"/>
      <c r="K77" s="5"/>
      <c r="L77" s="5"/>
      <c r="M77" s="5"/>
      <c r="N77" s="5"/>
      <c r="O77" s="8" t="str">
        <f t="shared" ref="O77:O140" si="24">IF(J77=1,"A",IF(K77=1,"B",IF(L77=1,"C",IF(M77=1,"D",IF(N77=1,"E","n/a")))))</f>
        <v>n/a</v>
      </c>
      <c r="Q77" s="5"/>
      <c r="R77" s="5"/>
      <c r="S77" s="5"/>
      <c r="U77" s="6"/>
      <c r="V77" s="9" t="str">
        <f t="shared" si="3"/>
        <v/>
      </c>
      <c r="W77" s="9" t="str">
        <f t="shared" si="4"/>
        <v/>
      </c>
      <c r="X77" s="10">
        <f>SUM(V$13:V77)/COUNTA(B$13:B77)</f>
        <v>0</v>
      </c>
      <c r="Z77" s="5"/>
      <c r="AA77" s="5"/>
      <c r="AC77" s="7"/>
      <c r="AE77" s="54" t="e">
        <f t="shared" si="5"/>
        <v>#N/A</v>
      </c>
      <c r="AF77" s="4" t="e">
        <f t="shared" ref="AF77:AF140" si="25">HLOOKUP(C77,$K$6:$O$7,2,FALSE)</f>
        <v>#N/A</v>
      </c>
    </row>
    <row r="78" spans="2:32">
      <c r="B78" s="5">
        <f t="shared" si="6"/>
        <v>66</v>
      </c>
      <c r="C78" s="5"/>
      <c r="E78" s="13"/>
      <c r="F78" s="5"/>
      <c r="G78" s="11" t="str">
        <f>IF(ISERROR(AVERAGE(F$13:F78)),"n/a",AVERAGE(F$13:F78))</f>
        <v>n/a</v>
      </c>
      <c r="H78" s="11" t="str">
        <f t="shared" ref="H78:H141" si="26">G78</f>
        <v>n/a</v>
      </c>
      <c r="J78" s="5"/>
      <c r="K78" s="5"/>
      <c r="L78" s="5"/>
      <c r="M78" s="5"/>
      <c r="N78" s="5"/>
      <c r="O78" s="8" t="str">
        <f t="shared" si="24"/>
        <v>n/a</v>
      </c>
      <c r="Q78" s="5"/>
      <c r="R78" s="5"/>
      <c r="S78" s="5"/>
      <c r="U78" s="6"/>
      <c r="V78" s="9" t="str">
        <f t="shared" ref="V78:V141" si="27">IF(O78="n/a","",IF(O78=U78,1,""))</f>
        <v/>
      </c>
      <c r="W78" s="9" t="str">
        <f t="shared" ref="W78:W141" si="28">IF(O78="n/a","",IF(O78&lt;&gt;U78,1,""))</f>
        <v/>
      </c>
      <c r="X78" s="10">
        <f>SUM(V$13:V78)/COUNTA(B$13:B78)</f>
        <v>0</v>
      </c>
      <c r="Z78" s="5"/>
      <c r="AA78" s="5"/>
      <c r="AC78" s="7"/>
      <c r="AE78" s="54" t="e">
        <f t="shared" ref="AE78:AE141" si="29">+IF($F$4=0,0,IF(W78=1,1,IF(OR(R78*$F$8=1,S78*$F$9=1,F78&gt;=AF78),2,0)))</f>
        <v>#N/A</v>
      </c>
      <c r="AF78" s="4" t="e">
        <f t="shared" si="25"/>
        <v>#N/A</v>
      </c>
    </row>
    <row r="79" spans="2:32">
      <c r="B79" s="5">
        <f t="shared" si="6"/>
        <v>67</v>
      </c>
      <c r="C79" s="5"/>
      <c r="E79" s="13"/>
      <c r="F79" s="5"/>
      <c r="G79" s="11" t="str">
        <f>IF(ISERROR(AVERAGE(F$13:F79)),"n/a",AVERAGE(F$13:F79))</f>
        <v>n/a</v>
      </c>
      <c r="H79" s="11" t="str">
        <f t="shared" si="26"/>
        <v>n/a</v>
      </c>
      <c r="J79" s="5"/>
      <c r="K79" s="5"/>
      <c r="L79" s="5"/>
      <c r="M79" s="5"/>
      <c r="N79" s="5"/>
      <c r="O79" s="8" t="str">
        <f t="shared" si="24"/>
        <v>n/a</v>
      </c>
      <c r="Q79" s="5"/>
      <c r="R79" s="5"/>
      <c r="S79" s="5"/>
      <c r="U79" s="6"/>
      <c r="V79" s="9" t="str">
        <f t="shared" si="27"/>
        <v/>
      </c>
      <c r="W79" s="9" t="str">
        <f t="shared" si="28"/>
        <v/>
      </c>
      <c r="X79" s="10">
        <f>SUM(V$13:V79)/COUNTA(B$13:B79)</f>
        <v>0</v>
      </c>
      <c r="Z79" s="5"/>
      <c r="AA79" s="5"/>
      <c r="AC79" s="7"/>
      <c r="AE79" s="54" t="e">
        <f t="shared" si="29"/>
        <v>#N/A</v>
      </c>
      <c r="AF79" s="4" t="e">
        <f t="shared" si="25"/>
        <v>#N/A</v>
      </c>
    </row>
    <row r="80" spans="2:32">
      <c r="B80" s="5">
        <f t="shared" si="6"/>
        <v>68</v>
      </c>
      <c r="C80" s="5"/>
      <c r="E80" s="13"/>
      <c r="F80" s="5"/>
      <c r="G80" s="11" t="str">
        <f>IF(ISERROR(AVERAGE(F$13:F80)),"n/a",AVERAGE(F$13:F80))</f>
        <v>n/a</v>
      </c>
      <c r="H80" s="11" t="str">
        <f t="shared" si="26"/>
        <v>n/a</v>
      </c>
      <c r="J80" s="5"/>
      <c r="K80" s="5"/>
      <c r="L80" s="5"/>
      <c r="M80" s="5"/>
      <c r="N80" s="5"/>
      <c r="O80" s="8" t="str">
        <f t="shared" si="24"/>
        <v>n/a</v>
      </c>
      <c r="Q80" s="5"/>
      <c r="R80" s="5"/>
      <c r="S80" s="5"/>
      <c r="U80" s="6"/>
      <c r="V80" s="9" t="str">
        <f t="shared" si="27"/>
        <v/>
      </c>
      <c r="W80" s="9" t="str">
        <f t="shared" si="28"/>
        <v/>
      </c>
      <c r="X80" s="10">
        <f>SUM(V$13:V80)/COUNTA(B$13:B80)</f>
        <v>0</v>
      </c>
      <c r="Z80" s="5"/>
      <c r="AA80" s="5"/>
      <c r="AC80" s="7"/>
      <c r="AE80" s="54" t="e">
        <f t="shared" si="29"/>
        <v>#N/A</v>
      </c>
      <c r="AF80" s="4" t="e">
        <f t="shared" si="25"/>
        <v>#N/A</v>
      </c>
    </row>
    <row r="81" spans="2:32">
      <c r="B81" s="5">
        <f t="shared" si="6"/>
        <v>69</v>
      </c>
      <c r="C81" s="5"/>
      <c r="E81" s="13"/>
      <c r="F81" s="5"/>
      <c r="G81" s="11" t="str">
        <f>IF(ISERROR(AVERAGE(F$13:F81)),"n/a",AVERAGE(F$13:F81))</f>
        <v>n/a</v>
      </c>
      <c r="H81" s="11" t="str">
        <f t="shared" si="26"/>
        <v>n/a</v>
      </c>
      <c r="J81" s="5"/>
      <c r="K81" s="5"/>
      <c r="L81" s="5"/>
      <c r="M81" s="5"/>
      <c r="N81" s="5"/>
      <c r="O81" s="8" t="str">
        <f t="shared" si="24"/>
        <v>n/a</v>
      </c>
      <c r="Q81" s="5"/>
      <c r="R81" s="5"/>
      <c r="S81" s="5"/>
      <c r="U81" s="6"/>
      <c r="V81" s="9" t="str">
        <f t="shared" si="27"/>
        <v/>
      </c>
      <c r="W81" s="9" t="str">
        <f t="shared" si="28"/>
        <v/>
      </c>
      <c r="X81" s="10">
        <f>SUM(V$13:V81)/COUNTA(B$13:B81)</f>
        <v>0</v>
      </c>
      <c r="Z81" s="5"/>
      <c r="AA81" s="5"/>
      <c r="AC81" s="7"/>
      <c r="AE81" s="54" t="e">
        <f t="shared" si="29"/>
        <v>#N/A</v>
      </c>
      <c r="AF81" s="4" t="e">
        <f t="shared" si="25"/>
        <v>#N/A</v>
      </c>
    </row>
    <row r="82" spans="2:32">
      <c r="B82" s="5">
        <f t="shared" si="6"/>
        <v>70</v>
      </c>
      <c r="C82" s="5"/>
      <c r="E82" s="13"/>
      <c r="F82" s="5"/>
      <c r="G82" s="11" t="str">
        <f>IF(ISERROR(AVERAGE(F$13:F82)),"n/a",AVERAGE(F$13:F82))</f>
        <v>n/a</v>
      </c>
      <c r="H82" s="11" t="str">
        <f t="shared" si="26"/>
        <v>n/a</v>
      </c>
      <c r="J82" s="5"/>
      <c r="K82" s="5"/>
      <c r="L82" s="5"/>
      <c r="M82" s="5"/>
      <c r="N82" s="5"/>
      <c r="O82" s="8" t="str">
        <f t="shared" si="24"/>
        <v>n/a</v>
      </c>
      <c r="Q82" s="5"/>
      <c r="R82" s="5"/>
      <c r="S82" s="5"/>
      <c r="U82" s="6"/>
      <c r="V82" s="9" t="str">
        <f t="shared" si="27"/>
        <v/>
      </c>
      <c r="W82" s="9" t="str">
        <f t="shared" si="28"/>
        <v/>
      </c>
      <c r="X82" s="10">
        <f>SUM(V$13:V82)/COUNTA(B$13:B82)</f>
        <v>0</v>
      </c>
      <c r="Z82" s="5"/>
      <c r="AA82" s="5"/>
      <c r="AC82" s="7"/>
      <c r="AE82" s="54" t="e">
        <f t="shared" si="29"/>
        <v>#N/A</v>
      </c>
      <c r="AF82" s="4" t="e">
        <f t="shared" si="25"/>
        <v>#N/A</v>
      </c>
    </row>
    <row r="83" spans="2:32">
      <c r="B83" s="5">
        <f t="shared" ref="B83:B146" si="30">+B82+1</f>
        <v>71</v>
      </c>
      <c r="C83" s="5"/>
      <c r="E83" s="13"/>
      <c r="F83" s="5"/>
      <c r="G83" s="11" t="str">
        <f>IF(ISERROR(AVERAGE(F$13:F83)),"n/a",AVERAGE(F$13:F83))</f>
        <v>n/a</v>
      </c>
      <c r="H83" s="11" t="str">
        <f t="shared" si="26"/>
        <v>n/a</v>
      </c>
      <c r="J83" s="5"/>
      <c r="K83" s="5"/>
      <c r="L83" s="5"/>
      <c r="M83" s="5"/>
      <c r="N83" s="5"/>
      <c r="O83" s="8" t="str">
        <f t="shared" si="24"/>
        <v>n/a</v>
      </c>
      <c r="Q83" s="5"/>
      <c r="R83" s="5"/>
      <c r="S83" s="5"/>
      <c r="U83" s="6"/>
      <c r="V83" s="9" t="str">
        <f t="shared" si="27"/>
        <v/>
      </c>
      <c r="W83" s="9" t="str">
        <f t="shared" si="28"/>
        <v/>
      </c>
      <c r="X83" s="10">
        <f>SUM(V$13:V83)/COUNTA(B$13:B83)</f>
        <v>0</v>
      </c>
      <c r="Z83" s="5"/>
      <c r="AA83" s="5"/>
      <c r="AC83" s="7"/>
      <c r="AE83" s="54" t="e">
        <f t="shared" si="29"/>
        <v>#N/A</v>
      </c>
      <c r="AF83" s="4" t="e">
        <f t="shared" si="25"/>
        <v>#N/A</v>
      </c>
    </row>
    <row r="84" spans="2:32">
      <c r="B84" s="5">
        <f t="shared" si="30"/>
        <v>72</v>
      </c>
      <c r="C84" s="5"/>
      <c r="E84" s="13"/>
      <c r="F84" s="5"/>
      <c r="G84" s="11" t="str">
        <f>IF(ISERROR(AVERAGE(F$13:F84)),"n/a",AVERAGE(F$13:F84))</f>
        <v>n/a</v>
      </c>
      <c r="H84" s="11" t="str">
        <f t="shared" si="26"/>
        <v>n/a</v>
      </c>
      <c r="J84" s="5"/>
      <c r="K84" s="5"/>
      <c r="L84" s="5"/>
      <c r="M84" s="5"/>
      <c r="N84" s="5"/>
      <c r="O84" s="8" t="str">
        <f t="shared" si="24"/>
        <v>n/a</v>
      </c>
      <c r="Q84" s="5"/>
      <c r="R84" s="5"/>
      <c r="S84" s="5"/>
      <c r="U84" s="6"/>
      <c r="V84" s="9" t="str">
        <f t="shared" si="27"/>
        <v/>
      </c>
      <c r="W84" s="9" t="str">
        <f t="shared" si="28"/>
        <v/>
      </c>
      <c r="X84" s="10">
        <f>SUM(V$13:V84)/COUNTA(B$13:B84)</f>
        <v>0</v>
      </c>
      <c r="Z84" s="5"/>
      <c r="AA84" s="5"/>
      <c r="AC84" s="7"/>
      <c r="AE84" s="54" t="e">
        <f t="shared" si="29"/>
        <v>#N/A</v>
      </c>
      <c r="AF84" s="4" t="e">
        <f t="shared" si="25"/>
        <v>#N/A</v>
      </c>
    </row>
    <row r="85" spans="2:32">
      <c r="B85" s="5">
        <f t="shared" si="30"/>
        <v>73</v>
      </c>
      <c r="C85" s="5"/>
      <c r="E85" s="13"/>
      <c r="F85" s="5"/>
      <c r="G85" s="11" t="str">
        <f>IF(ISERROR(AVERAGE(F$13:F85)),"n/a",AVERAGE(F$13:F85))</f>
        <v>n/a</v>
      </c>
      <c r="H85" s="11" t="str">
        <f t="shared" si="26"/>
        <v>n/a</v>
      </c>
      <c r="J85" s="5"/>
      <c r="K85" s="5"/>
      <c r="L85" s="5"/>
      <c r="M85" s="5"/>
      <c r="N85" s="5"/>
      <c r="O85" s="8" t="str">
        <f t="shared" si="24"/>
        <v>n/a</v>
      </c>
      <c r="Q85" s="5"/>
      <c r="R85" s="5"/>
      <c r="S85" s="5"/>
      <c r="U85" s="6"/>
      <c r="V85" s="9" t="str">
        <f t="shared" si="27"/>
        <v/>
      </c>
      <c r="W85" s="9" t="str">
        <f t="shared" si="28"/>
        <v/>
      </c>
      <c r="X85" s="10">
        <f>SUM(V$13:V85)/COUNTA(B$13:B85)</f>
        <v>0</v>
      </c>
      <c r="Z85" s="5"/>
      <c r="AA85" s="5"/>
      <c r="AC85" s="7"/>
      <c r="AE85" s="54" t="e">
        <f t="shared" si="29"/>
        <v>#N/A</v>
      </c>
      <c r="AF85" s="4" t="e">
        <f t="shared" si="25"/>
        <v>#N/A</v>
      </c>
    </row>
    <row r="86" spans="2:32">
      <c r="B86" s="5">
        <f t="shared" si="30"/>
        <v>74</v>
      </c>
      <c r="C86" s="5"/>
      <c r="E86" s="13"/>
      <c r="F86" s="5"/>
      <c r="G86" s="11" t="str">
        <f>IF(ISERROR(AVERAGE(F$13:F86)),"n/a",AVERAGE(F$13:F86))</f>
        <v>n/a</v>
      </c>
      <c r="H86" s="11" t="str">
        <f t="shared" si="26"/>
        <v>n/a</v>
      </c>
      <c r="J86" s="5"/>
      <c r="K86" s="5"/>
      <c r="L86" s="5"/>
      <c r="M86" s="5"/>
      <c r="N86" s="5"/>
      <c r="O86" s="8" t="str">
        <f t="shared" si="24"/>
        <v>n/a</v>
      </c>
      <c r="Q86" s="5"/>
      <c r="R86" s="5"/>
      <c r="S86" s="5"/>
      <c r="U86" s="6"/>
      <c r="V86" s="9" t="str">
        <f t="shared" si="27"/>
        <v/>
      </c>
      <c r="W86" s="9" t="str">
        <f t="shared" si="28"/>
        <v/>
      </c>
      <c r="X86" s="10">
        <f>SUM(V$13:V86)/COUNTA(B$13:B86)</f>
        <v>0</v>
      </c>
      <c r="Z86" s="5"/>
      <c r="AA86" s="5"/>
      <c r="AC86" s="7"/>
      <c r="AE86" s="54" t="e">
        <f t="shared" si="29"/>
        <v>#N/A</v>
      </c>
      <c r="AF86" s="4" t="e">
        <f t="shared" si="25"/>
        <v>#N/A</v>
      </c>
    </row>
    <row r="87" spans="2:32">
      <c r="B87" s="5">
        <f t="shared" si="30"/>
        <v>75</v>
      </c>
      <c r="C87" s="5"/>
      <c r="E87" s="13"/>
      <c r="F87" s="5"/>
      <c r="G87" s="11" t="str">
        <f>IF(ISERROR(AVERAGE(F$13:F87)),"n/a",AVERAGE(F$13:F87))</f>
        <v>n/a</v>
      </c>
      <c r="H87" s="11" t="str">
        <f t="shared" si="26"/>
        <v>n/a</v>
      </c>
      <c r="J87" s="5"/>
      <c r="K87" s="5"/>
      <c r="L87" s="5"/>
      <c r="M87" s="5"/>
      <c r="N87" s="5"/>
      <c r="O87" s="8" t="str">
        <f t="shared" si="24"/>
        <v>n/a</v>
      </c>
      <c r="Q87" s="5"/>
      <c r="R87" s="5"/>
      <c r="S87" s="5"/>
      <c r="U87" s="6"/>
      <c r="V87" s="9" t="str">
        <f t="shared" si="27"/>
        <v/>
      </c>
      <c r="W87" s="9" t="str">
        <f t="shared" si="28"/>
        <v/>
      </c>
      <c r="X87" s="10">
        <f>SUM(V$13:V87)/COUNTA(B$13:B87)</f>
        <v>0</v>
      </c>
      <c r="Z87" s="5"/>
      <c r="AA87" s="5"/>
      <c r="AC87" s="7"/>
      <c r="AE87" s="54" t="e">
        <f t="shared" si="29"/>
        <v>#N/A</v>
      </c>
      <c r="AF87" s="4" t="e">
        <f t="shared" si="25"/>
        <v>#N/A</v>
      </c>
    </row>
    <row r="88" spans="2:32">
      <c r="B88" s="5">
        <f t="shared" si="30"/>
        <v>76</v>
      </c>
      <c r="C88" s="5"/>
      <c r="E88" s="13"/>
      <c r="F88" s="5"/>
      <c r="G88" s="11" t="str">
        <f>IF(ISERROR(AVERAGE(F$13:F88)),"n/a",AVERAGE(F$13:F88))</f>
        <v>n/a</v>
      </c>
      <c r="H88" s="11" t="str">
        <f t="shared" si="26"/>
        <v>n/a</v>
      </c>
      <c r="J88" s="5"/>
      <c r="K88" s="5"/>
      <c r="L88" s="5"/>
      <c r="M88" s="5"/>
      <c r="N88" s="5"/>
      <c r="O88" s="8" t="str">
        <f t="shared" si="24"/>
        <v>n/a</v>
      </c>
      <c r="Q88" s="5"/>
      <c r="R88" s="5"/>
      <c r="S88" s="5"/>
      <c r="U88" s="6"/>
      <c r="V88" s="9" t="str">
        <f t="shared" si="27"/>
        <v/>
      </c>
      <c r="W88" s="9" t="str">
        <f t="shared" si="28"/>
        <v/>
      </c>
      <c r="X88" s="10">
        <f>SUM(V$13:V88)/COUNTA(B$13:B88)</f>
        <v>0</v>
      </c>
      <c r="Z88" s="5"/>
      <c r="AA88" s="5"/>
      <c r="AC88" s="7"/>
      <c r="AE88" s="54" t="e">
        <f t="shared" si="29"/>
        <v>#N/A</v>
      </c>
      <c r="AF88" s="4" t="e">
        <f t="shared" si="25"/>
        <v>#N/A</v>
      </c>
    </row>
    <row r="89" spans="2:32">
      <c r="B89" s="5">
        <f t="shared" si="30"/>
        <v>77</v>
      </c>
      <c r="C89" s="5"/>
      <c r="E89" s="13"/>
      <c r="F89" s="5"/>
      <c r="G89" s="11" t="str">
        <f>IF(ISERROR(AVERAGE(F$13:F89)),"n/a",AVERAGE(F$13:F89))</f>
        <v>n/a</v>
      </c>
      <c r="H89" s="11" t="str">
        <f t="shared" si="26"/>
        <v>n/a</v>
      </c>
      <c r="J89" s="5"/>
      <c r="K89" s="5"/>
      <c r="L89" s="5"/>
      <c r="M89" s="5"/>
      <c r="N89" s="5"/>
      <c r="O89" s="8" t="str">
        <f t="shared" si="24"/>
        <v>n/a</v>
      </c>
      <c r="Q89" s="5"/>
      <c r="R89" s="5"/>
      <c r="S89" s="5"/>
      <c r="U89" s="6"/>
      <c r="V89" s="9" t="str">
        <f t="shared" si="27"/>
        <v/>
      </c>
      <c r="W89" s="9" t="str">
        <f t="shared" si="28"/>
        <v/>
      </c>
      <c r="X89" s="10">
        <f>SUM(V$13:V89)/COUNTA(B$13:B89)</f>
        <v>0</v>
      </c>
      <c r="Z89" s="5"/>
      <c r="AA89" s="5"/>
      <c r="AC89" s="7"/>
      <c r="AE89" s="54" t="e">
        <f t="shared" si="29"/>
        <v>#N/A</v>
      </c>
      <c r="AF89" s="4" t="e">
        <f t="shared" si="25"/>
        <v>#N/A</v>
      </c>
    </row>
    <row r="90" spans="2:32">
      <c r="B90" s="5">
        <f t="shared" si="30"/>
        <v>78</v>
      </c>
      <c r="C90" s="5"/>
      <c r="E90" s="13"/>
      <c r="F90" s="5"/>
      <c r="G90" s="11" t="str">
        <f>IF(ISERROR(AVERAGE(F$13:F90)),"n/a",AVERAGE(F$13:F90))</f>
        <v>n/a</v>
      </c>
      <c r="H90" s="11" t="str">
        <f t="shared" si="26"/>
        <v>n/a</v>
      </c>
      <c r="J90" s="5"/>
      <c r="K90" s="5"/>
      <c r="L90" s="5"/>
      <c r="M90" s="5"/>
      <c r="N90" s="5"/>
      <c r="O90" s="8" t="str">
        <f t="shared" si="24"/>
        <v>n/a</v>
      </c>
      <c r="Q90" s="5"/>
      <c r="R90" s="5"/>
      <c r="S90" s="5"/>
      <c r="U90" s="6"/>
      <c r="V90" s="9" t="str">
        <f t="shared" si="27"/>
        <v/>
      </c>
      <c r="W90" s="9" t="str">
        <f t="shared" si="28"/>
        <v/>
      </c>
      <c r="X90" s="10">
        <f>SUM(V$13:V90)/COUNTA(B$13:B90)</f>
        <v>0</v>
      </c>
      <c r="Z90" s="5"/>
      <c r="AA90" s="5"/>
      <c r="AC90" s="7"/>
      <c r="AE90" s="54" t="e">
        <f t="shared" si="29"/>
        <v>#N/A</v>
      </c>
      <c r="AF90" s="4" t="e">
        <f t="shared" si="25"/>
        <v>#N/A</v>
      </c>
    </row>
    <row r="91" spans="2:32">
      <c r="B91" s="5">
        <f t="shared" si="30"/>
        <v>79</v>
      </c>
      <c r="C91" s="5"/>
      <c r="E91" s="13"/>
      <c r="F91" s="5"/>
      <c r="G91" s="11" t="str">
        <f>IF(ISERROR(AVERAGE(F$13:F91)),"n/a",AVERAGE(F$13:F91))</f>
        <v>n/a</v>
      </c>
      <c r="H91" s="11" t="str">
        <f t="shared" si="26"/>
        <v>n/a</v>
      </c>
      <c r="J91" s="5"/>
      <c r="K91" s="5"/>
      <c r="L91" s="5"/>
      <c r="M91" s="5"/>
      <c r="N91" s="5"/>
      <c r="O91" s="8" t="str">
        <f t="shared" si="24"/>
        <v>n/a</v>
      </c>
      <c r="Q91" s="5"/>
      <c r="R91" s="5"/>
      <c r="S91" s="5"/>
      <c r="U91" s="6"/>
      <c r="V91" s="9" t="str">
        <f t="shared" si="27"/>
        <v/>
      </c>
      <c r="W91" s="9" t="str">
        <f t="shared" si="28"/>
        <v/>
      </c>
      <c r="X91" s="10">
        <f>SUM(V$13:V91)/COUNTA(B$13:B91)</f>
        <v>0</v>
      </c>
      <c r="Z91" s="5"/>
      <c r="AA91" s="5"/>
      <c r="AC91" s="7"/>
      <c r="AE91" s="54" t="e">
        <f t="shared" si="29"/>
        <v>#N/A</v>
      </c>
      <c r="AF91" s="4" t="e">
        <f t="shared" si="25"/>
        <v>#N/A</v>
      </c>
    </row>
    <row r="92" spans="2:32">
      <c r="B92" s="5">
        <f t="shared" si="30"/>
        <v>80</v>
      </c>
      <c r="C92" s="5"/>
      <c r="E92" s="13"/>
      <c r="F92" s="5"/>
      <c r="G92" s="11" t="str">
        <f>IF(ISERROR(AVERAGE(F$13:F92)),"n/a",AVERAGE(F$13:F92))</f>
        <v>n/a</v>
      </c>
      <c r="H92" s="11" t="str">
        <f t="shared" si="26"/>
        <v>n/a</v>
      </c>
      <c r="J92" s="5"/>
      <c r="K92" s="5"/>
      <c r="L92" s="5"/>
      <c r="M92" s="5"/>
      <c r="N92" s="5"/>
      <c r="O92" s="8" t="str">
        <f t="shared" si="24"/>
        <v>n/a</v>
      </c>
      <c r="Q92" s="5"/>
      <c r="R92" s="5"/>
      <c r="S92" s="5"/>
      <c r="U92" s="6"/>
      <c r="V92" s="9" t="str">
        <f t="shared" si="27"/>
        <v/>
      </c>
      <c r="W92" s="9" t="str">
        <f t="shared" si="28"/>
        <v/>
      </c>
      <c r="X92" s="10">
        <f>SUM(V$13:V92)/COUNTA(B$13:B92)</f>
        <v>0</v>
      </c>
      <c r="Z92" s="5"/>
      <c r="AA92" s="5"/>
      <c r="AC92" s="7"/>
      <c r="AE92" s="54" t="e">
        <f t="shared" si="29"/>
        <v>#N/A</v>
      </c>
      <c r="AF92" s="4" t="e">
        <f t="shared" si="25"/>
        <v>#N/A</v>
      </c>
    </row>
    <row r="93" spans="2:32">
      <c r="B93" s="5">
        <f t="shared" si="30"/>
        <v>81</v>
      </c>
      <c r="C93" s="5"/>
      <c r="E93" s="13"/>
      <c r="F93" s="5"/>
      <c r="G93" s="11" t="str">
        <f>IF(ISERROR(AVERAGE(F$13:F93)),"n/a",AVERAGE(F$13:F93))</f>
        <v>n/a</v>
      </c>
      <c r="H93" s="11" t="str">
        <f t="shared" si="26"/>
        <v>n/a</v>
      </c>
      <c r="J93" s="5"/>
      <c r="K93" s="5"/>
      <c r="L93" s="5"/>
      <c r="M93" s="5"/>
      <c r="N93" s="5"/>
      <c r="O93" s="8" t="str">
        <f t="shared" si="24"/>
        <v>n/a</v>
      </c>
      <c r="Q93" s="5"/>
      <c r="R93" s="5"/>
      <c r="S93" s="5"/>
      <c r="U93" s="6"/>
      <c r="V93" s="9" t="str">
        <f t="shared" si="27"/>
        <v/>
      </c>
      <c r="W93" s="9" t="str">
        <f t="shared" si="28"/>
        <v/>
      </c>
      <c r="X93" s="10">
        <f>SUM(V$13:V93)/COUNTA(B$13:B93)</f>
        <v>0</v>
      </c>
      <c r="Z93" s="5"/>
      <c r="AA93" s="5"/>
      <c r="AC93" s="7"/>
      <c r="AE93" s="54" t="e">
        <f t="shared" si="29"/>
        <v>#N/A</v>
      </c>
      <c r="AF93" s="4" t="e">
        <f t="shared" si="25"/>
        <v>#N/A</v>
      </c>
    </row>
    <row r="94" spans="2:32">
      <c r="B94" s="5">
        <f t="shared" si="30"/>
        <v>82</v>
      </c>
      <c r="C94" s="5"/>
      <c r="E94" s="13"/>
      <c r="F94" s="5"/>
      <c r="G94" s="11" t="str">
        <f>IF(ISERROR(AVERAGE(F$13:F94)),"n/a",AVERAGE(F$13:F94))</f>
        <v>n/a</v>
      </c>
      <c r="H94" s="11" t="str">
        <f t="shared" si="26"/>
        <v>n/a</v>
      </c>
      <c r="J94" s="5"/>
      <c r="K94" s="5"/>
      <c r="L94" s="5"/>
      <c r="M94" s="5"/>
      <c r="N94" s="5"/>
      <c r="O94" s="8" t="str">
        <f t="shared" si="24"/>
        <v>n/a</v>
      </c>
      <c r="Q94" s="5"/>
      <c r="R94" s="5"/>
      <c r="S94" s="5"/>
      <c r="U94" s="6"/>
      <c r="V94" s="9" t="str">
        <f t="shared" si="27"/>
        <v/>
      </c>
      <c r="W94" s="9" t="str">
        <f t="shared" si="28"/>
        <v/>
      </c>
      <c r="X94" s="10">
        <f>SUM(V$13:V94)/COUNTA(B$13:B94)</f>
        <v>0</v>
      </c>
      <c r="Z94" s="5"/>
      <c r="AA94" s="5"/>
      <c r="AC94" s="7"/>
      <c r="AE94" s="54" t="e">
        <f t="shared" si="29"/>
        <v>#N/A</v>
      </c>
      <c r="AF94" s="4" t="e">
        <f t="shared" si="25"/>
        <v>#N/A</v>
      </c>
    </row>
    <row r="95" spans="2:32">
      <c r="B95" s="5">
        <f t="shared" si="30"/>
        <v>83</v>
      </c>
      <c r="C95" s="5"/>
      <c r="E95" s="13"/>
      <c r="F95" s="5"/>
      <c r="G95" s="11" t="str">
        <f>IF(ISERROR(AVERAGE(F$13:F95)),"n/a",AVERAGE(F$13:F95))</f>
        <v>n/a</v>
      </c>
      <c r="H95" s="11" t="str">
        <f t="shared" si="26"/>
        <v>n/a</v>
      </c>
      <c r="J95" s="5"/>
      <c r="K95" s="5"/>
      <c r="L95" s="5"/>
      <c r="M95" s="5"/>
      <c r="N95" s="5"/>
      <c r="O95" s="8" t="str">
        <f t="shared" si="24"/>
        <v>n/a</v>
      </c>
      <c r="Q95" s="5"/>
      <c r="R95" s="5"/>
      <c r="S95" s="5"/>
      <c r="U95" s="6"/>
      <c r="V95" s="9" t="str">
        <f t="shared" si="27"/>
        <v/>
      </c>
      <c r="W95" s="9" t="str">
        <f t="shared" si="28"/>
        <v/>
      </c>
      <c r="X95" s="10">
        <f>SUM(V$13:V95)/COUNTA(B$13:B95)</f>
        <v>0</v>
      </c>
      <c r="Z95" s="5"/>
      <c r="AA95" s="5"/>
      <c r="AC95" s="7"/>
      <c r="AE95" s="54" t="e">
        <f t="shared" si="29"/>
        <v>#N/A</v>
      </c>
      <c r="AF95" s="4" t="e">
        <f t="shared" si="25"/>
        <v>#N/A</v>
      </c>
    </row>
    <row r="96" spans="2:32">
      <c r="B96" s="5">
        <f t="shared" si="30"/>
        <v>84</v>
      </c>
      <c r="C96" s="5"/>
      <c r="E96" s="13"/>
      <c r="F96" s="5"/>
      <c r="G96" s="11" t="str">
        <f>IF(ISERROR(AVERAGE(F$13:F96)),"n/a",AVERAGE(F$13:F96))</f>
        <v>n/a</v>
      </c>
      <c r="H96" s="11" t="str">
        <f t="shared" si="26"/>
        <v>n/a</v>
      </c>
      <c r="J96" s="5"/>
      <c r="K96" s="5"/>
      <c r="L96" s="5"/>
      <c r="M96" s="5"/>
      <c r="N96" s="5"/>
      <c r="O96" s="8" t="str">
        <f t="shared" si="24"/>
        <v>n/a</v>
      </c>
      <c r="Q96" s="5"/>
      <c r="R96" s="5"/>
      <c r="S96" s="5"/>
      <c r="U96" s="6"/>
      <c r="V96" s="9" t="str">
        <f t="shared" si="27"/>
        <v/>
      </c>
      <c r="W96" s="9" t="str">
        <f t="shared" si="28"/>
        <v/>
      </c>
      <c r="X96" s="10">
        <f>SUM(V$13:V96)/COUNTA(B$13:B96)</f>
        <v>0</v>
      </c>
      <c r="Z96" s="5"/>
      <c r="AA96" s="5"/>
      <c r="AC96" s="7"/>
      <c r="AE96" s="54" t="e">
        <f t="shared" si="29"/>
        <v>#N/A</v>
      </c>
      <c r="AF96" s="4" t="e">
        <f t="shared" si="25"/>
        <v>#N/A</v>
      </c>
    </row>
    <row r="97" spans="2:32">
      <c r="B97" s="5">
        <f t="shared" si="30"/>
        <v>85</v>
      </c>
      <c r="C97" s="5"/>
      <c r="E97" s="13"/>
      <c r="F97" s="5"/>
      <c r="G97" s="11" t="str">
        <f>IF(ISERROR(AVERAGE(F$13:F97)),"n/a",AVERAGE(F$13:F97))</f>
        <v>n/a</v>
      </c>
      <c r="H97" s="11" t="str">
        <f t="shared" si="26"/>
        <v>n/a</v>
      </c>
      <c r="J97" s="5"/>
      <c r="K97" s="5"/>
      <c r="L97" s="5"/>
      <c r="M97" s="5"/>
      <c r="N97" s="5"/>
      <c r="O97" s="8" t="str">
        <f t="shared" si="24"/>
        <v>n/a</v>
      </c>
      <c r="Q97" s="5"/>
      <c r="R97" s="5"/>
      <c r="S97" s="5"/>
      <c r="U97" s="6"/>
      <c r="V97" s="9" t="str">
        <f t="shared" si="27"/>
        <v/>
      </c>
      <c r="W97" s="9" t="str">
        <f t="shared" si="28"/>
        <v/>
      </c>
      <c r="X97" s="10">
        <f>SUM(V$13:V97)/COUNTA(B$13:B97)</f>
        <v>0</v>
      </c>
      <c r="Z97" s="5"/>
      <c r="AA97" s="5"/>
      <c r="AC97" s="7"/>
      <c r="AE97" s="54" t="e">
        <f t="shared" si="29"/>
        <v>#N/A</v>
      </c>
      <c r="AF97" s="4" t="e">
        <f t="shared" si="25"/>
        <v>#N/A</v>
      </c>
    </row>
    <row r="98" spans="2:32">
      <c r="B98" s="5">
        <f t="shared" si="30"/>
        <v>86</v>
      </c>
      <c r="C98" s="5"/>
      <c r="E98" s="13"/>
      <c r="F98" s="5"/>
      <c r="G98" s="11" t="str">
        <f>IF(ISERROR(AVERAGE(F$13:F98)),"n/a",AVERAGE(F$13:F98))</f>
        <v>n/a</v>
      </c>
      <c r="H98" s="11" t="str">
        <f t="shared" si="26"/>
        <v>n/a</v>
      </c>
      <c r="J98" s="5"/>
      <c r="K98" s="5"/>
      <c r="L98" s="5"/>
      <c r="M98" s="5"/>
      <c r="N98" s="5"/>
      <c r="O98" s="8" t="str">
        <f t="shared" si="24"/>
        <v>n/a</v>
      </c>
      <c r="Q98" s="5"/>
      <c r="R98" s="5"/>
      <c r="S98" s="5"/>
      <c r="U98" s="6"/>
      <c r="V98" s="9" t="str">
        <f t="shared" si="27"/>
        <v/>
      </c>
      <c r="W98" s="9" t="str">
        <f t="shared" si="28"/>
        <v/>
      </c>
      <c r="X98" s="10">
        <f>SUM(V$13:V98)/COUNTA(B$13:B98)</f>
        <v>0</v>
      </c>
      <c r="Z98" s="5"/>
      <c r="AA98" s="5"/>
      <c r="AC98" s="7"/>
      <c r="AE98" s="54" t="e">
        <f t="shared" si="29"/>
        <v>#N/A</v>
      </c>
      <c r="AF98" s="4" t="e">
        <f t="shared" si="25"/>
        <v>#N/A</v>
      </c>
    </row>
    <row r="99" spans="2:32">
      <c r="B99" s="5">
        <f t="shared" si="30"/>
        <v>87</v>
      </c>
      <c r="C99" s="5"/>
      <c r="E99" s="13"/>
      <c r="F99" s="5"/>
      <c r="G99" s="11" t="str">
        <f>IF(ISERROR(AVERAGE(F$13:F99)),"n/a",AVERAGE(F$13:F99))</f>
        <v>n/a</v>
      </c>
      <c r="H99" s="11" t="str">
        <f t="shared" si="26"/>
        <v>n/a</v>
      </c>
      <c r="J99" s="5"/>
      <c r="K99" s="5"/>
      <c r="L99" s="5"/>
      <c r="M99" s="5"/>
      <c r="N99" s="5"/>
      <c r="O99" s="8" t="str">
        <f t="shared" si="24"/>
        <v>n/a</v>
      </c>
      <c r="Q99" s="5"/>
      <c r="R99" s="5"/>
      <c r="S99" s="5"/>
      <c r="U99" s="6"/>
      <c r="V99" s="9" t="str">
        <f t="shared" si="27"/>
        <v/>
      </c>
      <c r="W99" s="9" t="str">
        <f t="shared" si="28"/>
        <v/>
      </c>
      <c r="X99" s="10">
        <f>SUM(V$13:V99)/COUNTA(B$13:B99)</f>
        <v>0</v>
      </c>
      <c r="Z99" s="5"/>
      <c r="AA99" s="5"/>
      <c r="AC99" s="7"/>
      <c r="AE99" s="54" t="e">
        <f t="shared" si="29"/>
        <v>#N/A</v>
      </c>
      <c r="AF99" s="4" t="e">
        <f t="shared" si="25"/>
        <v>#N/A</v>
      </c>
    </row>
    <row r="100" spans="2:32">
      <c r="B100" s="5">
        <f t="shared" si="30"/>
        <v>88</v>
      </c>
      <c r="C100" s="5"/>
      <c r="E100" s="13"/>
      <c r="F100" s="5"/>
      <c r="G100" s="11" t="str">
        <f>IF(ISERROR(AVERAGE(F$13:F100)),"n/a",AVERAGE(F$13:F100))</f>
        <v>n/a</v>
      </c>
      <c r="H100" s="11" t="str">
        <f t="shared" si="26"/>
        <v>n/a</v>
      </c>
      <c r="J100" s="5"/>
      <c r="K100" s="5"/>
      <c r="L100" s="5"/>
      <c r="M100" s="5"/>
      <c r="N100" s="5"/>
      <c r="O100" s="8" t="str">
        <f t="shared" si="24"/>
        <v>n/a</v>
      </c>
      <c r="Q100" s="5"/>
      <c r="R100" s="5"/>
      <c r="S100" s="5"/>
      <c r="U100" s="6"/>
      <c r="V100" s="9" t="str">
        <f t="shared" si="27"/>
        <v/>
      </c>
      <c r="W100" s="9" t="str">
        <f t="shared" si="28"/>
        <v/>
      </c>
      <c r="X100" s="10">
        <f>SUM(V$13:V100)/COUNTA(B$13:B100)</f>
        <v>0</v>
      </c>
      <c r="Z100" s="5"/>
      <c r="AA100" s="5"/>
      <c r="AC100" s="7"/>
      <c r="AE100" s="54" t="e">
        <f t="shared" si="29"/>
        <v>#N/A</v>
      </c>
      <c r="AF100" s="4" t="e">
        <f t="shared" si="25"/>
        <v>#N/A</v>
      </c>
    </row>
    <row r="101" spans="2:32">
      <c r="B101" s="5">
        <f t="shared" si="30"/>
        <v>89</v>
      </c>
      <c r="C101" s="5"/>
      <c r="E101" s="13"/>
      <c r="F101" s="5"/>
      <c r="G101" s="11" t="str">
        <f>IF(ISERROR(AVERAGE(F$13:F101)),"n/a",AVERAGE(F$13:F101))</f>
        <v>n/a</v>
      </c>
      <c r="H101" s="11" t="str">
        <f t="shared" si="26"/>
        <v>n/a</v>
      </c>
      <c r="J101" s="5"/>
      <c r="K101" s="5"/>
      <c r="L101" s="5"/>
      <c r="M101" s="5"/>
      <c r="N101" s="5"/>
      <c r="O101" s="8" t="str">
        <f t="shared" si="24"/>
        <v>n/a</v>
      </c>
      <c r="Q101" s="5"/>
      <c r="R101" s="5"/>
      <c r="S101" s="5"/>
      <c r="U101" s="6"/>
      <c r="V101" s="9" t="str">
        <f t="shared" si="27"/>
        <v/>
      </c>
      <c r="W101" s="9" t="str">
        <f t="shared" si="28"/>
        <v/>
      </c>
      <c r="X101" s="10">
        <f>SUM(V$13:V101)/COUNTA(B$13:B101)</f>
        <v>0</v>
      </c>
      <c r="Z101" s="5"/>
      <c r="AA101" s="5"/>
      <c r="AC101" s="7"/>
      <c r="AE101" s="54" t="e">
        <f t="shared" si="29"/>
        <v>#N/A</v>
      </c>
      <c r="AF101" s="4" t="e">
        <f t="shared" si="25"/>
        <v>#N/A</v>
      </c>
    </row>
    <row r="102" spans="2:32">
      <c r="B102" s="5">
        <f t="shared" si="30"/>
        <v>90</v>
      </c>
      <c r="C102" s="5"/>
      <c r="E102" s="13"/>
      <c r="F102" s="5"/>
      <c r="G102" s="11" t="str">
        <f>IF(ISERROR(AVERAGE(F$13:F102)),"n/a",AVERAGE(F$13:F102))</f>
        <v>n/a</v>
      </c>
      <c r="H102" s="11" t="str">
        <f t="shared" si="26"/>
        <v>n/a</v>
      </c>
      <c r="J102" s="5"/>
      <c r="K102" s="5"/>
      <c r="L102" s="5"/>
      <c r="M102" s="5"/>
      <c r="N102" s="5"/>
      <c r="O102" s="8" t="str">
        <f t="shared" si="24"/>
        <v>n/a</v>
      </c>
      <c r="Q102" s="5"/>
      <c r="R102" s="5"/>
      <c r="S102" s="5"/>
      <c r="U102" s="6"/>
      <c r="V102" s="9" t="str">
        <f t="shared" si="27"/>
        <v/>
      </c>
      <c r="W102" s="9" t="str">
        <f t="shared" si="28"/>
        <v/>
      </c>
      <c r="X102" s="10">
        <f>SUM(V$13:V102)/COUNTA(B$13:B102)</f>
        <v>0</v>
      </c>
      <c r="Z102" s="5"/>
      <c r="AA102" s="5"/>
      <c r="AC102" s="7"/>
      <c r="AE102" s="54" t="e">
        <f t="shared" si="29"/>
        <v>#N/A</v>
      </c>
      <c r="AF102" s="4" t="e">
        <f t="shared" si="25"/>
        <v>#N/A</v>
      </c>
    </row>
    <row r="103" spans="2:32">
      <c r="B103" s="5">
        <f t="shared" si="30"/>
        <v>91</v>
      </c>
      <c r="C103" s="5"/>
      <c r="E103" s="13"/>
      <c r="F103" s="5"/>
      <c r="G103" s="11" t="str">
        <f>IF(ISERROR(AVERAGE(F$13:F103)),"n/a",AVERAGE(F$13:F103))</f>
        <v>n/a</v>
      </c>
      <c r="H103" s="11" t="str">
        <f t="shared" si="26"/>
        <v>n/a</v>
      </c>
      <c r="J103" s="5"/>
      <c r="K103" s="5"/>
      <c r="L103" s="5"/>
      <c r="M103" s="5"/>
      <c r="N103" s="5"/>
      <c r="O103" s="8" t="str">
        <f t="shared" si="24"/>
        <v>n/a</v>
      </c>
      <c r="Q103" s="5"/>
      <c r="R103" s="5"/>
      <c r="S103" s="5"/>
      <c r="U103" s="6"/>
      <c r="V103" s="9" t="str">
        <f t="shared" si="27"/>
        <v/>
      </c>
      <c r="W103" s="9" t="str">
        <f t="shared" si="28"/>
        <v/>
      </c>
      <c r="X103" s="10">
        <f>SUM(V$13:V103)/COUNTA(B$13:B103)</f>
        <v>0</v>
      </c>
      <c r="Z103" s="5"/>
      <c r="AA103" s="5"/>
      <c r="AC103" s="7"/>
      <c r="AE103" s="54" t="e">
        <f t="shared" si="29"/>
        <v>#N/A</v>
      </c>
      <c r="AF103" s="4" t="e">
        <f t="shared" si="25"/>
        <v>#N/A</v>
      </c>
    </row>
    <row r="104" spans="2:32">
      <c r="B104" s="5">
        <f t="shared" si="30"/>
        <v>92</v>
      </c>
      <c r="C104" s="5"/>
      <c r="E104" s="13"/>
      <c r="F104" s="5"/>
      <c r="G104" s="11" t="str">
        <f>IF(ISERROR(AVERAGE(F$13:F104)),"n/a",AVERAGE(F$13:F104))</f>
        <v>n/a</v>
      </c>
      <c r="H104" s="11" t="str">
        <f t="shared" si="26"/>
        <v>n/a</v>
      </c>
      <c r="J104" s="5"/>
      <c r="K104" s="5"/>
      <c r="L104" s="5"/>
      <c r="M104" s="5"/>
      <c r="N104" s="5"/>
      <c r="O104" s="8" t="str">
        <f t="shared" si="24"/>
        <v>n/a</v>
      </c>
      <c r="Q104" s="5"/>
      <c r="R104" s="5"/>
      <c r="S104" s="5"/>
      <c r="U104" s="6"/>
      <c r="V104" s="9" t="str">
        <f t="shared" si="27"/>
        <v/>
      </c>
      <c r="W104" s="9" t="str">
        <f t="shared" si="28"/>
        <v/>
      </c>
      <c r="X104" s="10">
        <f>SUM(V$13:V104)/COUNTA(B$13:B104)</f>
        <v>0</v>
      </c>
      <c r="Z104" s="5"/>
      <c r="AA104" s="5"/>
      <c r="AC104" s="7"/>
      <c r="AE104" s="54" t="e">
        <f t="shared" si="29"/>
        <v>#N/A</v>
      </c>
      <c r="AF104" s="4" t="e">
        <f t="shared" si="25"/>
        <v>#N/A</v>
      </c>
    </row>
    <row r="105" spans="2:32">
      <c r="B105" s="5">
        <f t="shared" si="30"/>
        <v>93</v>
      </c>
      <c r="C105" s="5"/>
      <c r="E105" s="13"/>
      <c r="F105" s="5"/>
      <c r="G105" s="11" t="str">
        <f>IF(ISERROR(AVERAGE(F$13:F105)),"n/a",AVERAGE(F$13:F105))</f>
        <v>n/a</v>
      </c>
      <c r="H105" s="11" t="str">
        <f t="shared" si="26"/>
        <v>n/a</v>
      </c>
      <c r="J105" s="5"/>
      <c r="K105" s="5"/>
      <c r="L105" s="5"/>
      <c r="M105" s="5"/>
      <c r="N105" s="5"/>
      <c r="O105" s="8" t="str">
        <f t="shared" si="24"/>
        <v>n/a</v>
      </c>
      <c r="Q105" s="5"/>
      <c r="R105" s="5"/>
      <c r="S105" s="5"/>
      <c r="U105" s="6"/>
      <c r="V105" s="9" t="str">
        <f t="shared" si="27"/>
        <v/>
      </c>
      <c r="W105" s="9" t="str">
        <f t="shared" si="28"/>
        <v/>
      </c>
      <c r="X105" s="10">
        <f>SUM(V$13:V105)/COUNTA(B$13:B105)</f>
        <v>0</v>
      </c>
      <c r="Z105" s="5"/>
      <c r="AA105" s="5"/>
      <c r="AC105" s="7"/>
      <c r="AE105" s="54" t="e">
        <f t="shared" si="29"/>
        <v>#N/A</v>
      </c>
      <c r="AF105" s="4" t="e">
        <f t="shared" si="25"/>
        <v>#N/A</v>
      </c>
    </row>
    <row r="106" spans="2:32">
      <c r="B106" s="5">
        <f t="shared" si="30"/>
        <v>94</v>
      </c>
      <c r="C106" s="5"/>
      <c r="E106" s="13"/>
      <c r="F106" s="5"/>
      <c r="G106" s="11" t="str">
        <f>IF(ISERROR(AVERAGE(F$13:F106)),"n/a",AVERAGE(F$13:F106))</f>
        <v>n/a</v>
      </c>
      <c r="H106" s="11" t="str">
        <f t="shared" si="26"/>
        <v>n/a</v>
      </c>
      <c r="J106" s="5"/>
      <c r="K106" s="5"/>
      <c r="L106" s="5"/>
      <c r="M106" s="5"/>
      <c r="N106" s="5"/>
      <c r="O106" s="8" t="str">
        <f t="shared" si="24"/>
        <v>n/a</v>
      </c>
      <c r="Q106" s="5"/>
      <c r="R106" s="5"/>
      <c r="S106" s="5"/>
      <c r="U106" s="6"/>
      <c r="V106" s="9" t="str">
        <f t="shared" si="27"/>
        <v/>
      </c>
      <c r="W106" s="9" t="str">
        <f t="shared" si="28"/>
        <v/>
      </c>
      <c r="X106" s="10">
        <f>SUM(V$13:V106)/COUNTA(B$13:B106)</f>
        <v>0</v>
      </c>
      <c r="Z106" s="5"/>
      <c r="AA106" s="5"/>
      <c r="AC106" s="7"/>
      <c r="AE106" s="54" t="e">
        <f t="shared" si="29"/>
        <v>#N/A</v>
      </c>
      <c r="AF106" s="4" t="e">
        <f t="shared" si="25"/>
        <v>#N/A</v>
      </c>
    </row>
    <row r="107" spans="2:32">
      <c r="B107" s="5">
        <f t="shared" si="30"/>
        <v>95</v>
      </c>
      <c r="C107" s="5"/>
      <c r="E107" s="13"/>
      <c r="F107" s="5"/>
      <c r="G107" s="11" t="str">
        <f>IF(ISERROR(AVERAGE(F$13:F107)),"n/a",AVERAGE(F$13:F107))</f>
        <v>n/a</v>
      </c>
      <c r="H107" s="11" t="str">
        <f t="shared" si="26"/>
        <v>n/a</v>
      </c>
      <c r="J107" s="5"/>
      <c r="K107" s="5"/>
      <c r="L107" s="5"/>
      <c r="M107" s="5"/>
      <c r="N107" s="5"/>
      <c r="O107" s="8" t="str">
        <f t="shared" si="24"/>
        <v>n/a</v>
      </c>
      <c r="Q107" s="5"/>
      <c r="R107" s="5"/>
      <c r="S107" s="5"/>
      <c r="U107" s="6"/>
      <c r="V107" s="9" t="str">
        <f t="shared" si="27"/>
        <v/>
      </c>
      <c r="W107" s="9" t="str">
        <f t="shared" si="28"/>
        <v/>
      </c>
      <c r="X107" s="10">
        <f>SUM(V$13:V107)/COUNTA(B$13:B107)</f>
        <v>0</v>
      </c>
      <c r="Z107" s="5"/>
      <c r="AA107" s="5"/>
      <c r="AC107" s="7"/>
      <c r="AE107" s="54" t="e">
        <f t="shared" si="29"/>
        <v>#N/A</v>
      </c>
      <c r="AF107" s="4" t="e">
        <f t="shared" si="25"/>
        <v>#N/A</v>
      </c>
    </row>
    <row r="108" spans="2:32">
      <c r="B108" s="5">
        <f t="shared" si="30"/>
        <v>96</v>
      </c>
      <c r="C108" s="5"/>
      <c r="E108" s="13"/>
      <c r="F108" s="5"/>
      <c r="G108" s="11" t="str">
        <f>IF(ISERROR(AVERAGE(F$13:F108)),"n/a",AVERAGE(F$13:F108))</f>
        <v>n/a</v>
      </c>
      <c r="H108" s="11" t="str">
        <f t="shared" si="26"/>
        <v>n/a</v>
      </c>
      <c r="J108" s="5"/>
      <c r="K108" s="5"/>
      <c r="L108" s="5"/>
      <c r="M108" s="5"/>
      <c r="N108" s="5"/>
      <c r="O108" s="8" t="str">
        <f t="shared" si="24"/>
        <v>n/a</v>
      </c>
      <c r="Q108" s="5"/>
      <c r="R108" s="5"/>
      <c r="S108" s="5"/>
      <c r="U108" s="6"/>
      <c r="V108" s="9" t="str">
        <f t="shared" si="27"/>
        <v/>
      </c>
      <c r="W108" s="9" t="str">
        <f t="shared" si="28"/>
        <v/>
      </c>
      <c r="X108" s="10">
        <f>SUM(V$13:V108)/COUNTA(B$13:B108)</f>
        <v>0</v>
      </c>
      <c r="Z108" s="5"/>
      <c r="AA108" s="5"/>
      <c r="AC108" s="7"/>
      <c r="AE108" s="54" t="e">
        <f t="shared" si="29"/>
        <v>#N/A</v>
      </c>
      <c r="AF108" s="4" t="e">
        <f t="shared" si="25"/>
        <v>#N/A</v>
      </c>
    </row>
    <row r="109" spans="2:32">
      <c r="B109" s="5">
        <f t="shared" si="30"/>
        <v>97</v>
      </c>
      <c r="C109" s="5"/>
      <c r="E109" s="13"/>
      <c r="F109" s="5"/>
      <c r="G109" s="11" t="str">
        <f>IF(ISERROR(AVERAGE(F$13:F109)),"n/a",AVERAGE(F$13:F109))</f>
        <v>n/a</v>
      </c>
      <c r="H109" s="11" t="str">
        <f t="shared" si="26"/>
        <v>n/a</v>
      </c>
      <c r="J109" s="5"/>
      <c r="K109" s="5"/>
      <c r="L109" s="5"/>
      <c r="M109" s="5"/>
      <c r="N109" s="5"/>
      <c r="O109" s="8" t="str">
        <f t="shared" si="24"/>
        <v>n/a</v>
      </c>
      <c r="Q109" s="5"/>
      <c r="R109" s="5"/>
      <c r="S109" s="5"/>
      <c r="U109" s="6"/>
      <c r="V109" s="9" t="str">
        <f t="shared" si="27"/>
        <v/>
      </c>
      <c r="W109" s="9" t="str">
        <f t="shared" si="28"/>
        <v/>
      </c>
      <c r="X109" s="10">
        <f>SUM(V$13:V109)/COUNTA(B$13:B109)</f>
        <v>0</v>
      </c>
      <c r="Z109" s="5"/>
      <c r="AA109" s="5"/>
      <c r="AC109" s="7"/>
      <c r="AE109" s="54" t="e">
        <f t="shared" si="29"/>
        <v>#N/A</v>
      </c>
      <c r="AF109" s="4" t="e">
        <f t="shared" si="25"/>
        <v>#N/A</v>
      </c>
    </row>
    <row r="110" spans="2:32">
      <c r="B110" s="5">
        <f t="shared" si="30"/>
        <v>98</v>
      </c>
      <c r="C110" s="5"/>
      <c r="E110" s="13"/>
      <c r="F110" s="5"/>
      <c r="G110" s="11" t="str">
        <f>IF(ISERROR(AVERAGE(F$13:F110)),"n/a",AVERAGE(F$13:F110))</f>
        <v>n/a</v>
      </c>
      <c r="H110" s="11" t="str">
        <f t="shared" si="26"/>
        <v>n/a</v>
      </c>
      <c r="J110" s="5"/>
      <c r="K110" s="5"/>
      <c r="L110" s="5"/>
      <c r="M110" s="5"/>
      <c r="N110" s="5"/>
      <c r="O110" s="8" t="str">
        <f t="shared" si="24"/>
        <v>n/a</v>
      </c>
      <c r="Q110" s="5"/>
      <c r="R110" s="5"/>
      <c r="S110" s="5"/>
      <c r="U110" s="6"/>
      <c r="V110" s="9" t="str">
        <f t="shared" si="27"/>
        <v/>
      </c>
      <c r="W110" s="9" t="str">
        <f t="shared" si="28"/>
        <v/>
      </c>
      <c r="X110" s="10">
        <f>SUM(V$13:V110)/COUNTA(B$13:B110)</f>
        <v>0</v>
      </c>
      <c r="Z110" s="5"/>
      <c r="AA110" s="5"/>
      <c r="AC110" s="7"/>
      <c r="AE110" s="54" t="e">
        <f t="shared" si="29"/>
        <v>#N/A</v>
      </c>
      <c r="AF110" s="4" t="e">
        <f t="shared" si="25"/>
        <v>#N/A</v>
      </c>
    </row>
    <row r="111" spans="2:32">
      <c r="B111" s="5">
        <f t="shared" si="30"/>
        <v>99</v>
      </c>
      <c r="C111" s="5"/>
      <c r="E111" s="13"/>
      <c r="F111" s="5"/>
      <c r="G111" s="11" t="str">
        <f>IF(ISERROR(AVERAGE(F$13:F111)),"n/a",AVERAGE(F$13:F111))</f>
        <v>n/a</v>
      </c>
      <c r="H111" s="11" t="str">
        <f t="shared" si="26"/>
        <v>n/a</v>
      </c>
      <c r="J111" s="5"/>
      <c r="K111" s="5"/>
      <c r="L111" s="5"/>
      <c r="M111" s="5"/>
      <c r="N111" s="5"/>
      <c r="O111" s="8" t="str">
        <f t="shared" si="24"/>
        <v>n/a</v>
      </c>
      <c r="Q111" s="5"/>
      <c r="R111" s="5"/>
      <c r="S111" s="5"/>
      <c r="U111" s="6"/>
      <c r="V111" s="9" t="str">
        <f t="shared" si="27"/>
        <v/>
      </c>
      <c r="W111" s="9" t="str">
        <f t="shared" si="28"/>
        <v/>
      </c>
      <c r="X111" s="10">
        <f>SUM(V$13:V111)/COUNTA(B$13:B111)</f>
        <v>0</v>
      </c>
      <c r="Z111" s="5"/>
      <c r="AA111" s="5"/>
      <c r="AC111" s="7"/>
      <c r="AE111" s="54" t="e">
        <f t="shared" si="29"/>
        <v>#N/A</v>
      </c>
      <c r="AF111" s="4" t="e">
        <f t="shared" si="25"/>
        <v>#N/A</v>
      </c>
    </row>
    <row r="112" spans="2:32">
      <c r="B112" s="5">
        <f t="shared" si="30"/>
        <v>100</v>
      </c>
      <c r="C112" s="5"/>
      <c r="E112" s="13"/>
      <c r="F112" s="5"/>
      <c r="G112" s="11" t="str">
        <f>IF(ISERROR(AVERAGE(F$13:F112)),"n/a",AVERAGE(F$13:F112))</f>
        <v>n/a</v>
      </c>
      <c r="H112" s="11" t="str">
        <f t="shared" si="26"/>
        <v>n/a</v>
      </c>
      <c r="J112" s="5"/>
      <c r="K112" s="5"/>
      <c r="L112" s="5"/>
      <c r="M112" s="5"/>
      <c r="N112" s="5"/>
      <c r="O112" s="8" t="str">
        <f t="shared" si="24"/>
        <v>n/a</v>
      </c>
      <c r="Q112" s="5"/>
      <c r="R112" s="5"/>
      <c r="S112" s="5"/>
      <c r="U112" s="6"/>
      <c r="V112" s="9" t="str">
        <f t="shared" si="27"/>
        <v/>
      </c>
      <c r="W112" s="9" t="str">
        <f t="shared" si="28"/>
        <v/>
      </c>
      <c r="X112" s="10">
        <f>SUM(V$13:V112)/COUNTA(B$13:B112)</f>
        <v>0</v>
      </c>
      <c r="Z112" s="5"/>
      <c r="AA112" s="5"/>
      <c r="AC112" s="7"/>
      <c r="AE112" s="54" t="e">
        <f t="shared" si="29"/>
        <v>#N/A</v>
      </c>
      <c r="AF112" s="4" t="e">
        <f t="shared" si="25"/>
        <v>#N/A</v>
      </c>
    </row>
    <row r="113" spans="2:59" customFormat="1">
      <c r="B113" s="5">
        <f t="shared" si="30"/>
        <v>101</v>
      </c>
      <c r="C113" s="5"/>
      <c r="E113" s="13"/>
      <c r="F113" s="5"/>
      <c r="G113" s="11" t="str">
        <f>IF(ISERROR(AVERAGE(F$13:F113)),"n/a",AVERAGE(F$13:F113))</f>
        <v>n/a</v>
      </c>
      <c r="H113" s="11" t="str">
        <f t="shared" si="26"/>
        <v>n/a</v>
      </c>
      <c r="J113" s="5"/>
      <c r="K113" s="5"/>
      <c r="L113" s="5"/>
      <c r="M113" s="5"/>
      <c r="N113" s="5"/>
      <c r="O113" s="8" t="str">
        <f t="shared" si="24"/>
        <v>n/a</v>
      </c>
      <c r="Q113" s="5"/>
      <c r="R113" s="5"/>
      <c r="S113" s="5"/>
      <c r="U113" s="6"/>
      <c r="V113" s="9" t="str">
        <f t="shared" si="27"/>
        <v/>
      </c>
      <c r="W113" s="9" t="str">
        <f t="shared" si="28"/>
        <v/>
      </c>
      <c r="X113" s="10">
        <f>SUM(V$13:V113)/COUNTA(B$13:B113)</f>
        <v>0</v>
      </c>
      <c r="Z113" s="5"/>
      <c r="AA113" s="5"/>
      <c r="AC113" s="7"/>
      <c r="AE113" s="54" t="e">
        <f t="shared" si="29"/>
        <v>#N/A</v>
      </c>
      <c r="AF113" s="4" t="e">
        <f t="shared" si="25"/>
        <v>#N/A</v>
      </c>
      <c r="BF113" s="115"/>
      <c r="BG113" s="115"/>
    </row>
    <row r="114" spans="2:59">
      <c r="B114" s="5">
        <f t="shared" si="30"/>
        <v>102</v>
      </c>
      <c r="C114" s="5"/>
      <c r="E114" s="13"/>
      <c r="F114" s="5"/>
      <c r="G114" s="11" t="str">
        <f>IF(ISERROR(AVERAGE(F$13:F114)),"n/a",AVERAGE(F$13:F114))</f>
        <v>n/a</v>
      </c>
      <c r="H114" s="11" t="str">
        <f t="shared" si="26"/>
        <v>n/a</v>
      </c>
      <c r="J114" s="5"/>
      <c r="K114" s="5"/>
      <c r="L114" s="5"/>
      <c r="M114" s="5"/>
      <c r="N114" s="5"/>
      <c r="O114" s="8" t="str">
        <f t="shared" si="24"/>
        <v>n/a</v>
      </c>
      <c r="Q114" s="5"/>
      <c r="R114" s="5"/>
      <c r="S114" s="5"/>
      <c r="U114" s="6"/>
      <c r="V114" s="9" t="str">
        <f t="shared" si="27"/>
        <v/>
      </c>
      <c r="W114" s="9" t="str">
        <f t="shared" si="28"/>
        <v/>
      </c>
      <c r="X114" s="10">
        <f>SUM(V$13:V114)/COUNTA(B$13:B114)</f>
        <v>0</v>
      </c>
      <c r="Z114" s="5"/>
      <c r="AA114" s="5"/>
      <c r="AC114" s="7"/>
      <c r="AE114" s="54" t="e">
        <f t="shared" si="29"/>
        <v>#N/A</v>
      </c>
      <c r="AF114" s="4" t="e">
        <f t="shared" si="25"/>
        <v>#N/A</v>
      </c>
    </row>
    <row r="115" spans="2:59">
      <c r="B115" s="5">
        <f t="shared" si="30"/>
        <v>103</v>
      </c>
      <c r="C115" s="5"/>
      <c r="E115" s="13"/>
      <c r="F115" s="5"/>
      <c r="G115" s="11" t="str">
        <f>IF(ISERROR(AVERAGE(F$13:F115)),"n/a",AVERAGE(F$13:F115))</f>
        <v>n/a</v>
      </c>
      <c r="H115" s="11" t="str">
        <f t="shared" si="26"/>
        <v>n/a</v>
      </c>
      <c r="J115" s="5"/>
      <c r="K115" s="5"/>
      <c r="L115" s="5"/>
      <c r="M115" s="5"/>
      <c r="N115" s="5"/>
      <c r="O115" s="8" t="str">
        <f t="shared" si="24"/>
        <v>n/a</v>
      </c>
      <c r="Q115" s="5"/>
      <c r="R115" s="5"/>
      <c r="S115" s="5"/>
      <c r="U115" s="6"/>
      <c r="V115" s="9" t="str">
        <f t="shared" si="27"/>
        <v/>
      </c>
      <c r="W115" s="9" t="str">
        <f t="shared" si="28"/>
        <v/>
      </c>
      <c r="X115" s="10">
        <f>SUM(V$13:V115)/COUNTA(B$13:B115)</f>
        <v>0</v>
      </c>
      <c r="Z115" s="5"/>
      <c r="AA115" s="5"/>
      <c r="AC115" s="7"/>
      <c r="AE115" s="54" t="e">
        <f t="shared" si="29"/>
        <v>#N/A</v>
      </c>
      <c r="AF115" s="4" t="e">
        <f t="shared" si="25"/>
        <v>#N/A</v>
      </c>
    </row>
    <row r="116" spans="2:59">
      <c r="B116" s="5">
        <f t="shared" si="30"/>
        <v>104</v>
      </c>
      <c r="C116" s="5"/>
      <c r="E116" s="13"/>
      <c r="F116" s="5"/>
      <c r="G116" s="11" t="str">
        <f>IF(ISERROR(AVERAGE(F$13:F116)),"n/a",AVERAGE(F$13:F116))</f>
        <v>n/a</v>
      </c>
      <c r="H116" s="11" t="str">
        <f t="shared" si="26"/>
        <v>n/a</v>
      </c>
      <c r="J116" s="5"/>
      <c r="K116" s="5"/>
      <c r="L116" s="5"/>
      <c r="M116" s="5"/>
      <c r="N116" s="5"/>
      <c r="O116" s="8" t="str">
        <f t="shared" si="24"/>
        <v>n/a</v>
      </c>
      <c r="Q116" s="5"/>
      <c r="R116" s="5"/>
      <c r="S116" s="5"/>
      <c r="U116" s="6"/>
      <c r="V116" s="9" t="str">
        <f t="shared" si="27"/>
        <v/>
      </c>
      <c r="W116" s="9" t="str">
        <f t="shared" si="28"/>
        <v/>
      </c>
      <c r="X116" s="10">
        <f>SUM(V$13:V116)/COUNTA(B$13:B116)</f>
        <v>0</v>
      </c>
      <c r="Z116" s="5"/>
      <c r="AA116" s="5"/>
      <c r="AC116" s="7"/>
      <c r="AE116" s="54" t="e">
        <f t="shared" si="29"/>
        <v>#N/A</v>
      </c>
      <c r="AF116" s="4" t="e">
        <f t="shared" si="25"/>
        <v>#N/A</v>
      </c>
    </row>
    <row r="117" spans="2:59">
      <c r="B117" s="5">
        <f t="shared" si="30"/>
        <v>105</v>
      </c>
      <c r="C117" s="5"/>
      <c r="E117" s="13"/>
      <c r="F117" s="5"/>
      <c r="G117" s="11" t="str">
        <f>IF(ISERROR(AVERAGE(F$13:F117)),"n/a",AVERAGE(F$13:F117))</f>
        <v>n/a</v>
      </c>
      <c r="H117" s="11" t="str">
        <f t="shared" si="26"/>
        <v>n/a</v>
      </c>
      <c r="J117" s="5"/>
      <c r="K117" s="5"/>
      <c r="L117" s="5"/>
      <c r="M117" s="5"/>
      <c r="N117" s="5"/>
      <c r="O117" s="8" t="str">
        <f t="shared" si="24"/>
        <v>n/a</v>
      </c>
      <c r="Q117" s="5"/>
      <c r="R117" s="5"/>
      <c r="S117" s="5"/>
      <c r="U117" s="6"/>
      <c r="V117" s="9" t="str">
        <f t="shared" si="27"/>
        <v/>
      </c>
      <c r="W117" s="9" t="str">
        <f t="shared" si="28"/>
        <v/>
      </c>
      <c r="X117" s="10">
        <f>SUM(V$13:V117)/COUNTA(B$13:B117)</f>
        <v>0</v>
      </c>
      <c r="Z117" s="5"/>
      <c r="AA117" s="5"/>
      <c r="AC117" s="7"/>
      <c r="AE117" s="54" t="e">
        <f t="shared" si="29"/>
        <v>#N/A</v>
      </c>
      <c r="AF117" s="4" t="e">
        <f t="shared" si="25"/>
        <v>#N/A</v>
      </c>
    </row>
    <row r="118" spans="2:59">
      <c r="B118" s="5">
        <f t="shared" si="30"/>
        <v>106</v>
      </c>
      <c r="C118" s="5"/>
      <c r="E118" s="13"/>
      <c r="F118" s="5"/>
      <c r="G118" s="11" t="str">
        <f>IF(ISERROR(AVERAGE(F$13:F118)),"n/a",AVERAGE(F$13:F118))</f>
        <v>n/a</v>
      </c>
      <c r="H118" s="11" t="str">
        <f t="shared" si="26"/>
        <v>n/a</v>
      </c>
      <c r="J118" s="5"/>
      <c r="K118" s="5"/>
      <c r="L118" s="5"/>
      <c r="M118" s="5"/>
      <c r="N118" s="5"/>
      <c r="O118" s="8" t="str">
        <f t="shared" si="24"/>
        <v>n/a</v>
      </c>
      <c r="Q118" s="5"/>
      <c r="R118" s="5"/>
      <c r="S118" s="5"/>
      <c r="U118" s="6"/>
      <c r="V118" s="9" t="str">
        <f t="shared" si="27"/>
        <v/>
      </c>
      <c r="W118" s="9" t="str">
        <f t="shared" si="28"/>
        <v/>
      </c>
      <c r="X118" s="10">
        <f>SUM(V$13:V118)/COUNTA(B$13:B118)</f>
        <v>0</v>
      </c>
      <c r="Z118" s="5"/>
      <c r="AA118" s="5"/>
      <c r="AC118" s="7"/>
      <c r="AE118" s="54" t="e">
        <f t="shared" si="29"/>
        <v>#N/A</v>
      </c>
      <c r="AF118" s="4" t="e">
        <f t="shared" si="25"/>
        <v>#N/A</v>
      </c>
    </row>
    <row r="119" spans="2:59">
      <c r="B119" s="5">
        <f t="shared" si="30"/>
        <v>107</v>
      </c>
      <c r="C119" s="5"/>
      <c r="E119" s="13"/>
      <c r="F119" s="5"/>
      <c r="G119" s="11" t="str">
        <f>IF(ISERROR(AVERAGE(F$13:F119)),"n/a",AVERAGE(F$13:F119))</f>
        <v>n/a</v>
      </c>
      <c r="H119" s="11" t="str">
        <f t="shared" si="26"/>
        <v>n/a</v>
      </c>
      <c r="J119" s="5"/>
      <c r="K119" s="5"/>
      <c r="L119" s="5"/>
      <c r="M119" s="5"/>
      <c r="N119" s="5"/>
      <c r="O119" s="8" t="str">
        <f t="shared" si="24"/>
        <v>n/a</v>
      </c>
      <c r="Q119" s="5"/>
      <c r="R119" s="5"/>
      <c r="S119" s="5"/>
      <c r="U119" s="6"/>
      <c r="V119" s="9" t="str">
        <f t="shared" si="27"/>
        <v/>
      </c>
      <c r="W119" s="9" t="str">
        <f t="shared" si="28"/>
        <v/>
      </c>
      <c r="X119" s="10">
        <f>SUM(V$13:V119)/COUNTA(B$13:B119)</f>
        <v>0</v>
      </c>
      <c r="Z119" s="5"/>
      <c r="AA119" s="5"/>
      <c r="AC119" s="7"/>
      <c r="AE119" s="54" t="e">
        <f t="shared" si="29"/>
        <v>#N/A</v>
      </c>
      <c r="AF119" s="4" t="e">
        <f t="shared" si="25"/>
        <v>#N/A</v>
      </c>
    </row>
    <row r="120" spans="2:59">
      <c r="B120" s="5">
        <f t="shared" si="30"/>
        <v>108</v>
      </c>
      <c r="C120" s="5"/>
      <c r="E120" s="13"/>
      <c r="F120" s="5"/>
      <c r="G120" s="11" t="str">
        <f>IF(ISERROR(AVERAGE(F$13:F120)),"n/a",AVERAGE(F$13:F120))</f>
        <v>n/a</v>
      </c>
      <c r="H120" s="11" t="str">
        <f t="shared" si="26"/>
        <v>n/a</v>
      </c>
      <c r="J120" s="5"/>
      <c r="K120" s="5"/>
      <c r="L120" s="5"/>
      <c r="M120" s="5"/>
      <c r="N120" s="5"/>
      <c r="O120" s="8" t="str">
        <f t="shared" si="24"/>
        <v>n/a</v>
      </c>
      <c r="Q120" s="5"/>
      <c r="R120" s="5"/>
      <c r="S120" s="5"/>
      <c r="U120" s="6"/>
      <c r="V120" s="9" t="str">
        <f t="shared" si="27"/>
        <v/>
      </c>
      <c r="W120" s="9" t="str">
        <f t="shared" si="28"/>
        <v/>
      </c>
      <c r="X120" s="10">
        <f>SUM(V$13:V120)/COUNTA(B$13:B120)</f>
        <v>0</v>
      </c>
      <c r="Z120" s="5"/>
      <c r="AA120" s="5"/>
      <c r="AC120" s="7"/>
      <c r="AE120" s="54" t="e">
        <f t="shared" si="29"/>
        <v>#N/A</v>
      </c>
      <c r="AF120" s="4" t="e">
        <f t="shared" si="25"/>
        <v>#N/A</v>
      </c>
    </row>
    <row r="121" spans="2:59">
      <c r="B121" s="5">
        <f t="shared" si="30"/>
        <v>109</v>
      </c>
      <c r="C121" s="5"/>
      <c r="E121" s="13"/>
      <c r="F121" s="5"/>
      <c r="G121" s="11" t="str">
        <f>IF(ISERROR(AVERAGE(F$13:F121)),"n/a",AVERAGE(F$13:F121))</f>
        <v>n/a</v>
      </c>
      <c r="H121" s="11" t="str">
        <f t="shared" si="26"/>
        <v>n/a</v>
      </c>
      <c r="J121" s="5"/>
      <c r="K121" s="5"/>
      <c r="L121" s="5"/>
      <c r="M121" s="5"/>
      <c r="N121" s="5"/>
      <c r="O121" s="8" t="str">
        <f t="shared" si="24"/>
        <v>n/a</v>
      </c>
      <c r="Q121" s="5"/>
      <c r="R121" s="5"/>
      <c r="S121" s="5"/>
      <c r="U121" s="6"/>
      <c r="V121" s="9" t="str">
        <f t="shared" si="27"/>
        <v/>
      </c>
      <c r="W121" s="9" t="str">
        <f t="shared" si="28"/>
        <v/>
      </c>
      <c r="X121" s="10">
        <f>SUM(V$13:V121)/COUNTA(B$13:B121)</f>
        <v>0</v>
      </c>
      <c r="Z121" s="5"/>
      <c r="AA121" s="5"/>
      <c r="AC121" s="7"/>
      <c r="AE121" s="54" t="e">
        <f t="shared" si="29"/>
        <v>#N/A</v>
      </c>
      <c r="AF121" s="4" t="e">
        <f t="shared" si="25"/>
        <v>#N/A</v>
      </c>
    </row>
    <row r="122" spans="2:59">
      <c r="B122" s="5">
        <f t="shared" si="30"/>
        <v>110</v>
      </c>
      <c r="C122" s="5"/>
      <c r="E122" s="13"/>
      <c r="F122" s="5"/>
      <c r="G122" s="11" t="str">
        <f>IF(ISERROR(AVERAGE(F$13:F122)),"n/a",AVERAGE(F$13:F122))</f>
        <v>n/a</v>
      </c>
      <c r="H122" s="11" t="str">
        <f t="shared" si="26"/>
        <v>n/a</v>
      </c>
      <c r="J122" s="5"/>
      <c r="K122" s="5"/>
      <c r="L122" s="5"/>
      <c r="M122" s="5"/>
      <c r="N122" s="5"/>
      <c r="O122" s="8" t="str">
        <f t="shared" si="24"/>
        <v>n/a</v>
      </c>
      <c r="Q122" s="5"/>
      <c r="R122" s="5"/>
      <c r="S122" s="5"/>
      <c r="U122" s="6"/>
      <c r="V122" s="9" t="str">
        <f t="shared" si="27"/>
        <v/>
      </c>
      <c r="W122" s="9" t="str">
        <f t="shared" si="28"/>
        <v/>
      </c>
      <c r="X122" s="10">
        <f>SUM(V$13:V122)/COUNTA(B$13:B122)</f>
        <v>0</v>
      </c>
      <c r="Z122" s="5"/>
      <c r="AA122" s="5"/>
      <c r="AC122" s="7"/>
      <c r="AE122" s="54" t="e">
        <f t="shared" si="29"/>
        <v>#N/A</v>
      </c>
      <c r="AF122" s="4" t="e">
        <f t="shared" si="25"/>
        <v>#N/A</v>
      </c>
    </row>
    <row r="123" spans="2:59">
      <c r="B123" s="5">
        <f t="shared" si="30"/>
        <v>111</v>
      </c>
      <c r="C123" s="5"/>
      <c r="E123" s="13"/>
      <c r="F123" s="5"/>
      <c r="G123" s="11" t="str">
        <f>IF(ISERROR(AVERAGE(F$13:F123)),"n/a",AVERAGE(F$13:F123))</f>
        <v>n/a</v>
      </c>
      <c r="H123" s="11" t="str">
        <f t="shared" si="26"/>
        <v>n/a</v>
      </c>
      <c r="J123" s="5"/>
      <c r="K123" s="5"/>
      <c r="L123" s="5"/>
      <c r="M123" s="5"/>
      <c r="N123" s="5"/>
      <c r="O123" s="8" t="str">
        <f t="shared" si="24"/>
        <v>n/a</v>
      </c>
      <c r="Q123" s="5"/>
      <c r="R123" s="5"/>
      <c r="S123" s="5"/>
      <c r="U123" s="6"/>
      <c r="V123" s="9" t="str">
        <f t="shared" si="27"/>
        <v/>
      </c>
      <c r="W123" s="9" t="str">
        <f t="shared" si="28"/>
        <v/>
      </c>
      <c r="X123" s="10">
        <f>SUM(V$13:V123)/COUNTA(B$13:B123)</f>
        <v>0</v>
      </c>
      <c r="Z123" s="5"/>
      <c r="AA123" s="5"/>
      <c r="AC123" s="7"/>
      <c r="AE123" s="54" t="e">
        <f t="shared" si="29"/>
        <v>#N/A</v>
      </c>
      <c r="AF123" s="4" t="e">
        <f t="shared" si="25"/>
        <v>#N/A</v>
      </c>
    </row>
    <row r="124" spans="2:59">
      <c r="B124" s="5">
        <f t="shared" si="30"/>
        <v>112</v>
      </c>
      <c r="C124" s="5"/>
      <c r="E124" s="13"/>
      <c r="F124" s="5"/>
      <c r="G124" s="11" t="str">
        <f>IF(ISERROR(AVERAGE(F$13:F124)),"n/a",AVERAGE(F$13:F124))</f>
        <v>n/a</v>
      </c>
      <c r="H124" s="11" t="str">
        <f t="shared" si="26"/>
        <v>n/a</v>
      </c>
      <c r="J124" s="5"/>
      <c r="K124" s="5"/>
      <c r="L124" s="5"/>
      <c r="M124" s="5"/>
      <c r="N124" s="5"/>
      <c r="O124" s="8" t="str">
        <f t="shared" si="24"/>
        <v>n/a</v>
      </c>
      <c r="Q124" s="5"/>
      <c r="R124" s="5"/>
      <c r="S124" s="5"/>
      <c r="U124" s="6"/>
      <c r="V124" s="9" t="str">
        <f t="shared" si="27"/>
        <v/>
      </c>
      <c r="W124" s="9" t="str">
        <f t="shared" si="28"/>
        <v/>
      </c>
      <c r="X124" s="10">
        <f>SUM(V$13:V124)/COUNTA(B$13:B124)</f>
        <v>0</v>
      </c>
      <c r="Z124" s="5"/>
      <c r="AA124" s="5"/>
      <c r="AC124" s="7"/>
      <c r="AE124" s="54" t="e">
        <f t="shared" si="29"/>
        <v>#N/A</v>
      </c>
      <c r="AF124" s="4" t="e">
        <f t="shared" si="25"/>
        <v>#N/A</v>
      </c>
    </row>
    <row r="125" spans="2:59">
      <c r="B125" s="5">
        <f t="shared" si="30"/>
        <v>113</v>
      </c>
      <c r="C125" s="5"/>
      <c r="E125" s="13"/>
      <c r="F125" s="5"/>
      <c r="G125" s="11" t="str">
        <f>IF(ISERROR(AVERAGE(F$13:F125)),"n/a",AVERAGE(F$13:F125))</f>
        <v>n/a</v>
      </c>
      <c r="H125" s="11" t="str">
        <f t="shared" si="26"/>
        <v>n/a</v>
      </c>
      <c r="J125" s="5"/>
      <c r="K125" s="5"/>
      <c r="L125" s="5"/>
      <c r="M125" s="5"/>
      <c r="N125" s="5"/>
      <c r="O125" s="8" t="str">
        <f t="shared" si="24"/>
        <v>n/a</v>
      </c>
      <c r="Q125" s="5"/>
      <c r="R125" s="5"/>
      <c r="S125" s="5"/>
      <c r="U125" s="6"/>
      <c r="V125" s="9" t="str">
        <f t="shared" si="27"/>
        <v/>
      </c>
      <c r="W125" s="9" t="str">
        <f t="shared" si="28"/>
        <v/>
      </c>
      <c r="X125" s="10">
        <f>SUM(V$13:V125)/COUNTA(B$13:B125)</f>
        <v>0</v>
      </c>
      <c r="Z125" s="5"/>
      <c r="AA125" s="5"/>
      <c r="AC125" s="7"/>
      <c r="AE125" s="54" t="e">
        <f t="shared" si="29"/>
        <v>#N/A</v>
      </c>
      <c r="AF125" s="4" t="e">
        <f t="shared" si="25"/>
        <v>#N/A</v>
      </c>
    </row>
    <row r="126" spans="2:59">
      <c r="B126" s="5">
        <f t="shared" si="30"/>
        <v>114</v>
      </c>
      <c r="C126" s="5"/>
      <c r="E126" s="13"/>
      <c r="F126" s="5"/>
      <c r="G126" s="11" t="str">
        <f>IF(ISERROR(AVERAGE(F$13:F126)),"n/a",AVERAGE(F$13:F126))</f>
        <v>n/a</v>
      </c>
      <c r="H126" s="11" t="str">
        <f t="shared" si="26"/>
        <v>n/a</v>
      </c>
      <c r="J126" s="5"/>
      <c r="K126" s="5"/>
      <c r="L126" s="5"/>
      <c r="M126" s="5"/>
      <c r="N126" s="5"/>
      <c r="O126" s="8" t="str">
        <f t="shared" si="24"/>
        <v>n/a</v>
      </c>
      <c r="Q126" s="5"/>
      <c r="R126" s="5"/>
      <c r="S126" s="5"/>
      <c r="U126" s="6"/>
      <c r="V126" s="9" t="str">
        <f t="shared" si="27"/>
        <v/>
      </c>
      <c r="W126" s="9" t="str">
        <f t="shared" si="28"/>
        <v/>
      </c>
      <c r="X126" s="10">
        <f>SUM(V$13:V126)/COUNTA(B$13:B126)</f>
        <v>0</v>
      </c>
      <c r="Z126" s="5"/>
      <c r="AA126" s="5"/>
      <c r="AC126" s="7"/>
      <c r="AE126" s="54" t="e">
        <f t="shared" si="29"/>
        <v>#N/A</v>
      </c>
      <c r="AF126" s="4" t="e">
        <f t="shared" si="25"/>
        <v>#N/A</v>
      </c>
    </row>
    <row r="127" spans="2:59">
      <c r="B127" s="5">
        <f t="shared" si="30"/>
        <v>115</v>
      </c>
      <c r="C127" s="5"/>
      <c r="E127" s="13"/>
      <c r="F127" s="5"/>
      <c r="G127" s="11" t="str">
        <f>IF(ISERROR(AVERAGE(F$13:F127)),"n/a",AVERAGE(F$13:F127))</f>
        <v>n/a</v>
      </c>
      <c r="H127" s="11" t="str">
        <f t="shared" si="26"/>
        <v>n/a</v>
      </c>
      <c r="J127" s="5"/>
      <c r="K127" s="5"/>
      <c r="L127" s="5"/>
      <c r="M127" s="5"/>
      <c r="N127" s="5"/>
      <c r="O127" s="8" t="str">
        <f t="shared" si="24"/>
        <v>n/a</v>
      </c>
      <c r="Q127" s="5"/>
      <c r="R127" s="5"/>
      <c r="S127" s="5"/>
      <c r="U127" s="6"/>
      <c r="V127" s="9" t="str">
        <f t="shared" si="27"/>
        <v/>
      </c>
      <c r="W127" s="9" t="str">
        <f t="shared" si="28"/>
        <v/>
      </c>
      <c r="X127" s="10">
        <f>SUM(V$13:V127)/COUNTA(B$13:B127)</f>
        <v>0</v>
      </c>
      <c r="Z127" s="5"/>
      <c r="AA127" s="5"/>
      <c r="AC127" s="7"/>
      <c r="AE127" s="54" t="e">
        <f t="shared" si="29"/>
        <v>#N/A</v>
      </c>
      <c r="AF127" s="4" t="e">
        <f t="shared" si="25"/>
        <v>#N/A</v>
      </c>
    </row>
    <row r="128" spans="2:59">
      <c r="B128" s="5">
        <f t="shared" si="30"/>
        <v>116</v>
      </c>
      <c r="C128" s="5"/>
      <c r="E128" s="13"/>
      <c r="F128" s="5"/>
      <c r="G128" s="11" t="str">
        <f>IF(ISERROR(AVERAGE(F$13:F128)),"n/a",AVERAGE(F$13:F128))</f>
        <v>n/a</v>
      </c>
      <c r="H128" s="11" t="str">
        <f t="shared" si="26"/>
        <v>n/a</v>
      </c>
      <c r="J128" s="5"/>
      <c r="K128" s="5"/>
      <c r="L128" s="5"/>
      <c r="M128" s="5"/>
      <c r="N128" s="5"/>
      <c r="O128" s="8" t="str">
        <f t="shared" si="24"/>
        <v>n/a</v>
      </c>
      <c r="Q128" s="5"/>
      <c r="R128" s="5"/>
      <c r="S128" s="5"/>
      <c r="U128" s="6"/>
      <c r="V128" s="9" t="str">
        <f t="shared" si="27"/>
        <v/>
      </c>
      <c r="W128" s="9" t="str">
        <f t="shared" si="28"/>
        <v/>
      </c>
      <c r="X128" s="10">
        <f>SUM(V$13:V128)/COUNTA(B$13:B128)</f>
        <v>0</v>
      </c>
      <c r="Z128" s="5"/>
      <c r="AA128" s="5"/>
      <c r="AC128" s="7"/>
      <c r="AE128" s="54" t="e">
        <f t="shared" si="29"/>
        <v>#N/A</v>
      </c>
      <c r="AF128" s="4" t="e">
        <f t="shared" si="25"/>
        <v>#N/A</v>
      </c>
    </row>
    <row r="129" spans="2:32">
      <c r="B129" s="5">
        <f t="shared" si="30"/>
        <v>117</v>
      </c>
      <c r="C129" s="5"/>
      <c r="E129" s="13"/>
      <c r="F129" s="5"/>
      <c r="G129" s="11" t="str">
        <f>IF(ISERROR(AVERAGE(F$13:F129)),"n/a",AVERAGE(F$13:F129))</f>
        <v>n/a</v>
      </c>
      <c r="H129" s="11" t="str">
        <f t="shared" si="26"/>
        <v>n/a</v>
      </c>
      <c r="J129" s="5"/>
      <c r="K129" s="5"/>
      <c r="L129" s="5"/>
      <c r="M129" s="5"/>
      <c r="N129" s="5"/>
      <c r="O129" s="8" t="str">
        <f t="shared" si="24"/>
        <v>n/a</v>
      </c>
      <c r="Q129" s="5"/>
      <c r="R129" s="5"/>
      <c r="S129" s="5"/>
      <c r="U129" s="6"/>
      <c r="V129" s="9" t="str">
        <f t="shared" si="27"/>
        <v/>
      </c>
      <c r="W129" s="9" t="str">
        <f t="shared" si="28"/>
        <v/>
      </c>
      <c r="X129" s="10">
        <f>SUM(V$13:V129)/COUNTA(B$13:B129)</f>
        <v>0</v>
      </c>
      <c r="Z129" s="5"/>
      <c r="AA129" s="5"/>
      <c r="AC129" s="7"/>
      <c r="AE129" s="54" t="e">
        <f t="shared" si="29"/>
        <v>#N/A</v>
      </c>
      <c r="AF129" s="4" t="e">
        <f t="shared" si="25"/>
        <v>#N/A</v>
      </c>
    </row>
    <row r="130" spans="2:32">
      <c r="B130" s="5">
        <f t="shared" si="30"/>
        <v>118</v>
      </c>
      <c r="C130" s="5"/>
      <c r="E130" s="13"/>
      <c r="F130" s="5"/>
      <c r="G130" s="11" t="str">
        <f>IF(ISERROR(AVERAGE(F$13:F130)),"n/a",AVERAGE(F$13:F130))</f>
        <v>n/a</v>
      </c>
      <c r="H130" s="11" t="str">
        <f t="shared" si="26"/>
        <v>n/a</v>
      </c>
      <c r="J130" s="5"/>
      <c r="K130" s="5"/>
      <c r="L130" s="5"/>
      <c r="M130" s="5"/>
      <c r="N130" s="5"/>
      <c r="O130" s="8" t="str">
        <f t="shared" si="24"/>
        <v>n/a</v>
      </c>
      <c r="Q130" s="5"/>
      <c r="R130" s="5"/>
      <c r="S130" s="5"/>
      <c r="U130" s="6"/>
      <c r="V130" s="9" t="str">
        <f t="shared" si="27"/>
        <v/>
      </c>
      <c r="W130" s="9" t="str">
        <f t="shared" si="28"/>
        <v/>
      </c>
      <c r="X130" s="10">
        <f>SUM(V$13:V130)/COUNTA(B$13:B130)</f>
        <v>0</v>
      </c>
      <c r="Z130" s="5"/>
      <c r="AA130" s="5"/>
      <c r="AC130" s="7"/>
      <c r="AE130" s="54" t="e">
        <f t="shared" si="29"/>
        <v>#N/A</v>
      </c>
      <c r="AF130" s="4" t="e">
        <f t="shared" si="25"/>
        <v>#N/A</v>
      </c>
    </row>
    <row r="131" spans="2:32">
      <c r="B131" s="5">
        <f t="shared" si="30"/>
        <v>119</v>
      </c>
      <c r="C131" s="5"/>
      <c r="E131" s="13"/>
      <c r="F131" s="5"/>
      <c r="G131" s="11" t="str">
        <f>IF(ISERROR(AVERAGE(F$13:F131)),"n/a",AVERAGE(F$13:F131))</f>
        <v>n/a</v>
      </c>
      <c r="H131" s="11" t="str">
        <f t="shared" si="26"/>
        <v>n/a</v>
      </c>
      <c r="J131" s="5"/>
      <c r="K131" s="5"/>
      <c r="L131" s="5"/>
      <c r="M131" s="5"/>
      <c r="N131" s="5"/>
      <c r="O131" s="8" t="str">
        <f t="shared" si="24"/>
        <v>n/a</v>
      </c>
      <c r="Q131" s="5"/>
      <c r="R131" s="5"/>
      <c r="S131" s="5"/>
      <c r="U131" s="6"/>
      <c r="V131" s="9" t="str">
        <f t="shared" si="27"/>
        <v/>
      </c>
      <c r="W131" s="9" t="str">
        <f t="shared" si="28"/>
        <v/>
      </c>
      <c r="X131" s="10">
        <f>SUM(V$13:V131)/COUNTA(B$13:B131)</f>
        <v>0</v>
      </c>
      <c r="Z131" s="5"/>
      <c r="AA131" s="5"/>
      <c r="AC131" s="7"/>
      <c r="AE131" s="54" t="e">
        <f t="shared" si="29"/>
        <v>#N/A</v>
      </c>
      <c r="AF131" s="4" t="e">
        <f t="shared" si="25"/>
        <v>#N/A</v>
      </c>
    </row>
    <row r="132" spans="2:32">
      <c r="B132" s="5">
        <f t="shared" si="30"/>
        <v>120</v>
      </c>
      <c r="C132" s="5"/>
      <c r="E132" s="13"/>
      <c r="F132" s="5"/>
      <c r="G132" s="11" t="str">
        <f>IF(ISERROR(AVERAGE(F$13:F132)),"n/a",AVERAGE(F$13:F132))</f>
        <v>n/a</v>
      </c>
      <c r="H132" s="11" t="str">
        <f t="shared" si="26"/>
        <v>n/a</v>
      </c>
      <c r="J132" s="5"/>
      <c r="K132" s="5"/>
      <c r="L132" s="5"/>
      <c r="M132" s="5"/>
      <c r="N132" s="5"/>
      <c r="O132" s="8" t="str">
        <f t="shared" si="24"/>
        <v>n/a</v>
      </c>
      <c r="Q132" s="5"/>
      <c r="R132" s="5"/>
      <c r="S132" s="5"/>
      <c r="U132" s="6"/>
      <c r="V132" s="9" t="str">
        <f t="shared" si="27"/>
        <v/>
      </c>
      <c r="W132" s="9" t="str">
        <f t="shared" si="28"/>
        <v/>
      </c>
      <c r="X132" s="10">
        <f>SUM(V$13:V132)/COUNTA(B$13:B132)</f>
        <v>0</v>
      </c>
      <c r="Z132" s="5"/>
      <c r="AA132" s="5"/>
      <c r="AC132" s="7"/>
      <c r="AE132" s="54" t="e">
        <f t="shared" si="29"/>
        <v>#N/A</v>
      </c>
      <c r="AF132" s="4" t="e">
        <f t="shared" si="25"/>
        <v>#N/A</v>
      </c>
    </row>
    <row r="133" spans="2:32">
      <c r="B133" s="5">
        <f t="shared" si="30"/>
        <v>121</v>
      </c>
      <c r="C133" s="5"/>
      <c r="E133" s="13"/>
      <c r="F133" s="5"/>
      <c r="G133" s="11" t="str">
        <f>IF(ISERROR(AVERAGE(F$13:F133)),"n/a",AVERAGE(F$13:F133))</f>
        <v>n/a</v>
      </c>
      <c r="H133" s="11" t="str">
        <f t="shared" si="26"/>
        <v>n/a</v>
      </c>
      <c r="J133" s="5"/>
      <c r="K133" s="5"/>
      <c r="L133" s="5"/>
      <c r="M133" s="5"/>
      <c r="N133" s="5"/>
      <c r="O133" s="8" t="str">
        <f t="shared" si="24"/>
        <v>n/a</v>
      </c>
      <c r="Q133" s="5"/>
      <c r="R133" s="5"/>
      <c r="S133" s="5"/>
      <c r="U133" s="6"/>
      <c r="V133" s="9" t="str">
        <f t="shared" si="27"/>
        <v/>
      </c>
      <c r="W133" s="9" t="str">
        <f t="shared" si="28"/>
        <v/>
      </c>
      <c r="X133" s="10">
        <f>SUM(V$13:V133)/COUNTA(B$13:B133)</f>
        <v>0</v>
      </c>
      <c r="Z133" s="5"/>
      <c r="AA133" s="5"/>
      <c r="AC133" s="7"/>
      <c r="AE133" s="54" t="e">
        <f t="shared" si="29"/>
        <v>#N/A</v>
      </c>
      <c r="AF133" s="4" t="e">
        <f t="shared" si="25"/>
        <v>#N/A</v>
      </c>
    </row>
    <row r="134" spans="2:32">
      <c r="B134" s="5">
        <f t="shared" si="30"/>
        <v>122</v>
      </c>
      <c r="C134" s="5"/>
      <c r="E134" s="13"/>
      <c r="F134" s="5"/>
      <c r="G134" s="11" t="str">
        <f>IF(ISERROR(AVERAGE(F$13:F134)),"n/a",AVERAGE(F$13:F134))</f>
        <v>n/a</v>
      </c>
      <c r="H134" s="11" t="str">
        <f t="shared" si="26"/>
        <v>n/a</v>
      </c>
      <c r="J134" s="5"/>
      <c r="K134" s="5"/>
      <c r="L134" s="5"/>
      <c r="M134" s="5"/>
      <c r="N134" s="5"/>
      <c r="O134" s="8" t="str">
        <f t="shared" si="24"/>
        <v>n/a</v>
      </c>
      <c r="Q134" s="5"/>
      <c r="R134" s="5"/>
      <c r="S134" s="5"/>
      <c r="U134" s="6"/>
      <c r="V134" s="9" t="str">
        <f t="shared" si="27"/>
        <v/>
      </c>
      <c r="W134" s="9" t="str">
        <f t="shared" si="28"/>
        <v/>
      </c>
      <c r="X134" s="10">
        <f>SUM(V$13:V134)/COUNTA(B$13:B134)</f>
        <v>0</v>
      </c>
      <c r="Z134" s="5"/>
      <c r="AA134" s="5"/>
      <c r="AC134" s="7"/>
      <c r="AE134" s="54" t="e">
        <f t="shared" si="29"/>
        <v>#N/A</v>
      </c>
      <c r="AF134" s="4" t="e">
        <f t="shared" si="25"/>
        <v>#N/A</v>
      </c>
    </row>
    <row r="135" spans="2:32">
      <c r="B135" s="5">
        <f t="shared" si="30"/>
        <v>123</v>
      </c>
      <c r="C135" s="5"/>
      <c r="E135" s="13"/>
      <c r="F135" s="5"/>
      <c r="G135" s="11" t="str">
        <f>IF(ISERROR(AVERAGE(F$13:F135)),"n/a",AVERAGE(F$13:F135))</f>
        <v>n/a</v>
      </c>
      <c r="H135" s="11" t="str">
        <f t="shared" si="26"/>
        <v>n/a</v>
      </c>
      <c r="J135" s="5"/>
      <c r="K135" s="5"/>
      <c r="L135" s="5"/>
      <c r="M135" s="5"/>
      <c r="N135" s="5"/>
      <c r="O135" s="8" t="str">
        <f t="shared" si="24"/>
        <v>n/a</v>
      </c>
      <c r="Q135" s="5"/>
      <c r="R135" s="5"/>
      <c r="S135" s="5"/>
      <c r="U135" s="6"/>
      <c r="V135" s="9" t="str">
        <f t="shared" si="27"/>
        <v/>
      </c>
      <c r="W135" s="9" t="str">
        <f t="shared" si="28"/>
        <v/>
      </c>
      <c r="X135" s="10">
        <f>SUM(V$13:V135)/COUNTA(B$13:B135)</f>
        <v>0</v>
      </c>
      <c r="Z135" s="5"/>
      <c r="AA135" s="5"/>
      <c r="AC135" s="7"/>
      <c r="AE135" s="54" t="e">
        <f t="shared" si="29"/>
        <v>#N/A</v>
      </c>
      <c r="AF135" s="4" t="e">
        <f t="shared" si="25"/>
        <v>#N/A</v>
      </c>
    </row>
    <row r="136" spans="2:32">
      <c r="B136" s="5">
        <f t="shared" si="30"/>
        <v>124</v>
      </c>
      <c r="C136" s="5"/>
      <c r="E136" s="13"/>
      <c r="F136" s="5"/>
      <c r="G136" s="11" t="str">
        <f>IF(ISERROR(AVERAGE(F$13:F136)),"n/a",AVERAGE(F$13:F136))</f>
        <v>n/a</v>
      </c>
      <c r="H136" s="11" t="str">
        <f t="shared" si="26"/>
        <v>n/a</v>
      </c>
      <c r="J136" s="5"/>
      <c r="K136" s="5"/>
      <c r="L136" s="5"/>
      <c r="M136" s="5"/>
      <c r="N136" s="5"/>
      <c r="O136" s="8" t="str">
        <f t="shared" si="24"/>
        <v>n/a</v>
      </c>
      <c r="Q136" s="5"/>
      <c r="R136" s="5"/>
      <c r="S136" s="5"/>
      <c r="U136" s="6"/>
      <c r="V136" s="9" t="str">
        <f t="shared" si="27"/>
        <v/>
      </c>
      <c r="W136" s="9" t="str">
        <f t="shared" si="28"/>
        <v/>
      </c>
      <c r="X136" s="10">
        <f>SUM(V$13:V136)/COUNTA(B$13:B136)</f>
        <v>0</v>
      </c>
      <c r="Z136" s="5"/>
      <c r="AA136" s="5"/>
      <c r="AC136" s="7"/>
      <c r="AE136" s="54" t="e">
        <f t="shared" si="29"/>
        <v>#N/A</v>
      </c>
      <c r="AF136" s="4" t="e">
        <f t="shared" si="25"/>
        <v>#N/A</v>
      </c>
    </row>
    <row r="137" spans="2:32">
      <c r="B137" s="5">
        <f t="shared" si="30"/>
        <v>125</v>
      </c>
      <c r="C137" s="5"/>
      <c r="E137" s="13"/>
      <c r="F137" s="5"/>
      <c r="G137" s="11" t="str">
        <f>IF(ISERROR(AVERAGE(F$13:F137)),"n/a",AVERAGE(F$13:F137))</f>
        <v>n/a</v>
      </c>
      <c r="H137" s="11" t="str">
        <f t="shared" si="26"/>
        <v>n/a</v>
      </c>
      <c r="J137" s="5"/>
      <c r="K137" s="5"/>
      <c r="L137" s="5"/>
      <c r="M137" s="5"/>
      <c r="N137" s="5"/>
      <c r="O137" s="8" t="str">
        <f t="shared" si="24"/>
        <v>n/a</v>
      </c>
      <c r="Q137" s="5"/>
      <c r="R137" s="5"/>
      <c r="S137" s="5"/>
      <c r="U137" s="6"/>
      <c r="V137" s="9" t="str">
        <f t="shared" si="27"/>
        <v/>
      </c>
      <c r="W137" s="9" t="str">
        <f t="shared" si="28"/>
        <v/>
      </c>
      <c r="X137" s="10">
        <f>SUM(V$13:V137)/COUNTA(B$13:B137)</f>
        <v>0</v>
      </c>
      <c r="Z137" s="5"/>
      <c r="AA137" s="5"/>
      <c r="AC137" s="7"/>
      <c r="AE137" s="54" t="e">
        <f t="shared" si="29"/>
        <v>#N/A</v>
      </c>
      <c r="AF137" s="4" t="e">
        <f t="shared" si="25"/>
        <v>#N/A</v>
      </c>
    </row>
    <row r="138" spans="2:32">
      <c r="B138" s="5">
        <f t="shared" si="30"/>
        <v>126</v>
      </c>
      <c r="C138" s="5"/>
      <c r="E138" s="13"/>
      <c r="F138" s="5"/>
      <c r="G138" s="11" t="str">
        <f>IF(ISERROR(AVERAGE(F$13:F138)),"n/a",AVERAGE(F$13:F138))</f>
        <v>n/a</v>
      </c>
      <c r="H138" s="11" t="str">
        <f t="shared" si="26"/>
        <v>n/a</v>
      </c>
      <c r="J138" s="5"/>
      <c r="K138" s="5"/>
      <c r="L138" s="5"/>
      <c r="M138" s="5"/>
      <c r="N138" s="5"/>
      <c r="O138" s="8" t="str">
        <f t="shared" si="24"/>
        <v>n/a</v>
      </c>
      <c r="Q138" s="5"/>
      <c r="R138" s="5"/>
      <c r="S138" s="5"/>
      <c r="U138" s="6"/>
      <c r="V138" s="9" t="str">
        <f t="shared" si="27"/>
        <v/>
      </c>
      <c r="W138" s="9" t="str">
        <f t="shared" si="28"/>
        <v/>
      </c>
      <c r="X138" s="10">
        <f>SUM(V$13:V138)/COUNTA(B$13:B138)</f>
        <v>0</v>
      </c>
      <c r="Z138" s="5"/>
      <c r="AA138" s="5"/>
      <c r="AC138" s="7"/>
      <c r="AE138" s="54" t="e">
        <f t="shared" si="29"/>
        <v>#N/A</v>
      </c>
      <c r="AF138" s="4" t="e">
        <f t="shared" si="25"/>
        <v>#N/A</v>
      </c>
    </row>
    <row r="139" spans="2:32">
      <c r="B139" s="5">
        <f t="shared" si="30"/>
        <v>127</v>
      </c>
      <c r="C139" s="5"/>
      <c r="E139" s="13"/>
      <c r="F139" s="5"/>
      <c r="G139" s="11" t="str">
        <f>IF(ISERROR(AVERAGE(F$13:F139)),"n/a",AVERAGE(F$13:F139))</f>
        <v>n/a</v>
      </c>
      <c r="H139" s="11" t="str">
        <f t="shared" si="26"/>
        <v>n/a</v>
      </c>
      <c r="J139" s="5"/>
      <c r="K139" s="5"/>
      <c r="L139" s="5"/>
      <c r="M139" s="5"/>
      <c r="N139" s="5"/>
      <c r="O139" s="8" t="str">
        <f t="shared" si="24"/>
        <v>n/a</v>
      </c>
      <c r="Q139" s="5"/>
      <c r="R139" s="5"/>
      <c r="S139" s="5"/>
      <c r="U139" s="6"/>
      <c r="V139" s="9" t="str">
        <f t="shared" si="27"/>
        <v/>
      </c>
      <c r="W139" s="9" t="str">
        <f t="shared" si="28"/>
        <v/>
      </c>
      <c r="X139" s="10">
        <f>SUM(V$13:V139)/COUNTA(B$13:B139)</f>
        <v>0</v>
      </c>
      <c r="Z139" s="5"/>
      <c r="AA139" s="5"/>
      <c r="AC139" s="7"/>
      <c r="AE139" s="54" t="e">
        <f t="shared" si="29"/>
        <v>#N/A</v>
      </c>
      <c r="AF139" s="4" t="e">
        <f t="shared" si="25"/>
        <v>#N/A</v>
      </c>
    </row>
    <row r="140" spans="2:32">
      <c r="B140" s="5">
        <f t="shared" si="30"/>
        <v>128</v>
      </c>
      <c r="C140" s="5"/>
      <c r="E140" s="13"/>
      <c r="F140" s="5"/>
      <c r="G140" s="11" t="str">
        <f>IF(ISERROR(AVERAGE(F$13:F140)),"n/a",AVERAGE(F$13:F140))</f>
        <v>n/a</v>
      </c>
      <c r="H140" s="11" t="str">
        <f t="shared" si="26"/>
        <v>n/a</v>
      </c>
      <c r="J140" s="5"/>
      <c r="K140" s="5"/>
      <c r="L140" s="5"/>
      <c r="M140" s="5"/>
      <c r="N140" s="5"/>
      <c r="O140" s="8" t="str">
        <f t="shared" si="24"/>
        <v>n/a</v>
      </c>
      <c r="Q140" s="5"/>
      <c r="R140" s="5"/>
      <c r="S140" s="5"/>
      <c r="U140" s="6"/>
      <c r="V140" s="9" t="str">
        <f t="shared" si="27"/>
        <v/>
      </c>
      <c r="W140" s="9" t="str">
        <f t="shared" si="28"/>
        <v/>
      </c>
      <c r="X140" s="10">
        <f>SUM(V$13:V140)/COUNTA(B$13:B140)</f>
        <v>0</v>
      </c>
      <c r="Z140" s="5"/>
      <c r="AA140" s="5"/>
      <c r="AC140" s="7"/>
      <c r="AE140" s="54" t="e">
        <f t="shared" si="29"/>
        <v>#N/A</v>
      </c>
      <c r="AF140" s="4" t="e">
        <f t="shared" si="25"/>
        <v>#N/A</v>
      </c>
    </row>
    <row r="141" spans="2:32">
      <c r="B141" s="5">
        <f t="shared" si="30"/>
        <v>129</v>
      </c>
      <c r="C141" s="5"/>
      <c r="E141" s="13"/>
      <c r="F141" s="5"/>
      <c r="G141" s="11" t="str">
        <f>IF(ISERROR(AVERAGE(F$13:F141)),"n/a",AVERAGE(F$13:F141))</f>
        <v>n/a</v>
      </c>
      <c r="H141" s="11" t="str">
        <f t="shared" si="26"/>
        <v>n/a</v>
      </c>
      <c r="J141" s="5"/>
      <c r="K141" s="5"/>
      <c r="L141" s="5"/>
      <c r="M141" s="5"/>
      <c r="N141" s="5"/>
      <c r="O141" s="8" t="str">
        <f t="shared" ref="O141:O204" si="31">IF(J141=1,"A",IF(K141=1,"B",IF(L141=1,"C",IF(M141=1,"D",IF(N141=1,"E","n/a")))))</f>
        <v>n/a</v>
      </c>
      <c r="Q141" s="5"/>
      <c r="R141" s="5"/>
      <c r="S141" s="5"/>
      <c r="U141" s="6"/>
      <c r="V141" s="9" t="str">
        <f t="shared" si="27"/>
        <v/>
      </c>
      <c r="W141" s="9" t="str">
        <f t="shared" si="28"/>
        <v/>
      </c>
      <c r="X141" s="10">
        <f>SUM(V$13:V141)/COUNTA(B$13:B141)</f>
        <v>0</v>
      </c>
      <c r="Z141" s="5"/>
      <c r="AA141" s="5"/>
      <c r="AC141" s="7"/>
      <c r="AE141" s="54" t="e">
        <f t="shared" si="29"/>
        <v>#N/A</v>
      </c>
      <c r="AF141" s="4" t="e">
        <f t="shared" ref="AF141:AF204" si="32">HLOOKUP(C141,$K$6:$O$7,2,FALSE)</f>
        <v>#N/A</v>
      </c>
    </row>
    <row r="142" spans="2:32">
      <c r="B142" s="5">
        <f t="shared" si="30"/>
        <v>130</v>
      </c>
      <c r="C142" s="5"/>
      <c r="E142" s="13"/>
      <c r="F142" s="5"/>
      <c r="G142" s="11" t="str">
        <f>IF(ISERROR(AVERAGE(F$13:F142)),"n/a",AVERAGE(F$13:F142))</f>
        <v>n/a</v>
      </c>
      <c r="H142" s="11" t="str">
        <f t="shared" ref="H142:H205" si="33">G142</f>
        <v>n/a</v>
      </c>
      <c r="J142" s="5"/>
      <c r="K142" s="5"/>
      <c r="L142" s="5"/>
      <c r="M142" s="5"/>
      <c r="N142" s="5"/>
      <c r="O142" s="8" t="str">
        <f t="shared" si="31"/>
        <v>n/a</v>
      </c>
      <c r="Q142" s="5"/>
      <c r="R142" s="5"/>
      <c r="S142" s="5"/>
      <c r="U142" s="6"/>
      <c r="V142" s="9" t="str">
        <f t="shared" ref="V142:V205" si="34">IF(O142="n/a","",IF(O142=U142,1,""))</f>
        <v/>
      </c>
      <c r="W142" s="9" t="str">
        <f t="shared" ref="W142:W205" si="35">IF(O142="n/a","",IF(O142&lt;&gt;U142,1,""))</f>
        <v/>
      </c>
      <c r="X142" s="10">
        <f>SUM(V$13:V142)/COUNTA(B$13:B142)</f>
        <v>0</v>
      </c>
      <c r="Z142" s="5"/>
      <c r="AA142" s="5"/>
      <c r="AC142" s="7"/>
      <c r="AE142" s="54" t="e">
        <f t="shared" ref="AE142:AE205" si="36">+IF($F$4=0,0,IF(W142=1,1,IF(OR(R142*$F$8=1,S142*$F$9=1,F142&gt;=AF142),2,0)))</f>
        <v>#N/A</v>
      </c>
      <c r="AF142" s="4" t="e">
        <f t="shared" si="32"/>
        <v>#N/A</v>
      </c>
    </row>
    <row r="143" spans="2:32">
      <c r="B143" s="5">
        <f t="shared" si="30"/>
        <v>131</v>
      </c>
      <c r="C143" s="5"/>
      <c r="E143" s="13"/>
      <c r="F143" s="5"/>
      <c r="G143" s="11" t="str">
        <f>IF(ISERROR(AVERAGE(F$13:F143)),"n/a",AVERAGE(F$13:F143))</f>
        <v>n/a</v>
      </c>
      <c r="H143" s="11" t="str">
        <f t="shared" si="33"/>
        <v>n/a</v>
      </c>
      <c r="J143" s="5"/>
      <c r="K143" s="5"/>
      <c r="L143" s="5"/>
      <c r="M143" s="5"/>
      <c r="N143" s="5"/>
      <c r="O143" s="8" t="str">
        <f t="shared" si="31"/>
        <v>n/a</v>
      </c>
      <c r="Q143" s="5"/>
      <c r="R143" s="5"/>
      <c r="S143" s="5"/>
      <c r="U143" s="6"/>
      <c r="V143" s="9" t="str">
        <f t="shared" si="34"/>
        <v/>
      </c>
      <c r="W143" s="9" t="str">
        <f t="shared" si="35"/>
        <v/>
      </c>
      <c r="X143" s="10">
        <f>SUM(V$13:V143)/COUNTA(B$13:B143)</f>
        <v>0</v>
      </c>
      <c r="Z143" s="5"/>
      <c r="AA143" s="5"/>
      <c r="AC143" s="7"/>
      <c r="AE143" s="54" t="e">
        <f t="shared" si="36"/>
        <v>#N/A</v>
      </c>
      <c r="AF143" s="4" t="e">
        <f t="shared" si="32"/>
        <v>#N/A</v>
      </c>
    </row>
    <row r="144" spans="2:32">
      <c r="B144" s="5">
        <f t="shared" si="30"/>
        <v>132</v>
      </c>
      <c r="C144" s="5"/>
      <c r="E144" s="13"/>
      <c r="F144" s="5"/>
      <c r="G144" s="11" t="str">
        <f>IF(ISERROR(AVERAGE(F$13:F144)),"n/a",AVERAGE(F$13:F144))</f>
        <v>n/a</v>
      </c>
      <c r="H144" s="11" t="str">
        <f t="shared" si="33"/>
        <v>n/a</v>
      </c>
      <c r="J144" s="5"/>
      <c r="K144" s="5"/>
      <c r="L144" s="5"/>
      <c r="M144" s="5"/>
      <c r="N144" s="5"/>
      <c r="O144" s="8" t="str">
        <f t="shared" si="31"/>
        <v>n/a</v>
      </c>
      <c r="Q144" s="5"/>
      <c r="R144" s="5"/>
      <c r="S144" s="5"/>
      <c r="U144" s="6"/>
      <c r="V144" s="9" t="str">
        <f t="shared" si="34"/>
        <v/>
      </c>
      <c r="W144" s="9" t="str">
        <f t="shared" si="35"/>
        <v/>
      </c>
      <c r="X144" s="10">
        <f>SUM(V$13:V144)/COUNTA(B$13:B144)</f>
        <v>0</v>
      </c>
      <c r="Z144" s="5"/>
      <c r="AA144" s="5"/>
      <c r="AC144" s="7"/>
      <c r="AE144" s="54" t="e">
        <f t="shared" si="36"/>
        <v>#N/A</v>
      </c>
      <c r="AF144" s="4" t="e">
        <f t="shared" si="32"/>
        <v>#N/A</v>
      </c>
    </row>
    <row r="145" spans="2:32">
      <c r="B145" s="5">
        <f t="shared" si="30"/>
        <v>133</v>
      </c>
      <c r="C145" s="5"/>
      <c r="E145" s="13"/>
      <c r="F145" s="5"/>
      <c r="G145" s="11" t="str">
        <f>IF(ISERROR(AVERAGE(F$13:F145)),"n/a",AVERAGE(F$13:F145))</f>
        <v>n/a</v>
      </c>
      <c r="H145" s="11" t="str">
        <f t="shared" si="33"/>
        <v>n/a</v>
      </c>
      <c r="J145" s="5"/>
      <c r="K145" s="5"/>
      <c r="L145" s="5"/>
      <c r="M145" s="5"/>
      <c r="N145" s="5"/>
      <c r="O145" s="8" t="str">
        <f t="shared" si="31"/>
        <v>n/a</v>
      </c>
      <c r="Q145" s="5"/>
      <c r="R145" s="5"/>
      <c r="S145" s="5"/>
      <c r="U145" s="6"/>
      <c r="V145" s="9" t="str">
        <f t="shared" si="34"/>
        <v/>
      </c>
      <c r="W145" s="9" t="str">
        <f t="shared" si="35"/>
        <v/>
      </c>
      <c r="X145" s="10">
        <f>SUM(V$13:V145)/COUNTA(B$13:B145)</f>
        <v>0</v>
      </c>
      <c r="Z145" s="5"/>
      <c r="AA145" s="5"/>
      <c r="AC145" s="7"/>
      <c r="AE145" s="54" t="e">
        <f t="shared" si="36"/>
        <v>#N/A</v>
      </c>
      <c r="AF145" s="4" t="e">
        <f t="shared" si="32"/>
        <v>#N/A</v>
      </c>
    </row>
    <row r="146" spans="2:32">
      <c r="B146" s="5">
        <f t="shared" si="30"/>
        <v>134</v>
      </c>
      <c r="C146" s="5"/>
      <c r="E146" s="13"/>
      <c r="F146" s="5"/>
      <c r="G146" s="11" t="str">
        <f>IF(ISERROR(AVERAGE(F$13:F146)),"n/a",AVERAGE(F$13:F146))</f>
        <v>n/a</v>
      </c>
      <c r="H146" s="11" t="str">
        <f t="shared" si="33"/>
        <v>n/a</v>
      </c>
      <c r="J146" s="5"/>
      <c r="K146" s="5"/>
      <c r="L146" s="5"/>
      <c r="M146" s="5"/>
      <c r="N146" s="5"/>
      <c r="O146" s="8" t="str">
        <f t="shared" si="31"/>
        <v>n/a</v>
      </c>
      <c r="Q146" s="5"/>
      <c r="R146" s="5"/>
      <c r="S146" s="5"/>
      <c r="U146" s="6"/>
      <c r="V146" s="9" t="str">
        <f t="shared" si="34"/>
        <v/>
      </c>
      <c r="W146" s="9" t="str">
        <f t="shared" si="35"/>
        <v/>
      </c>
      <c r="X146" s="10">
        <f>SUM(V$13:V146)/COUNTA(B$13:B146)</f>
        <v>0</v>
      </c>
      <c r="Z146" s="5"/>
      <c r="AA146" s="5"/>
      <c r="AC146" s="7"/>
      <c r="AE146" s="54" t="e">
        <f t="shared" si="36"/>
        <v>#N/A</v>
      </c>
      <c r="AF146" s="4" t="e">
        <f t="shared" si="32"/>
        <v>#N/A</v>
      </c>
    </row>
    <row r="147" spans="2:32">
      <c r="B147" s="5">
        <f t="shared" ref="B147:B210" si="37">+B146+1</f>
        <v>135</v>
      </c>
      <c r="C147" s="5"/>
      <c r="E147" s="13"/>
      <c r="F147" s="5"/>
      <c r="G147" s="11" t="str">
        <f>IF(ISERROR(AVERAGE(F$13:F147)),"n/a",AVERAGE(F$13:F147))</f>
        <v>n/a</v>
      </c>
      <c r="H147" s="11" t="str">
        <f t="shared" si="33"/>
        <v>n/a</v>
      </c>
      <c r="J147" s="5"/>
      <c r="K147" s="5"/>
      <c r="L147" s="5"/>
      <c r="M147" s="5"/>
      <c r="N147" s="5"/>
      <c r="O147" s="8" t="str">
        <f t="shared" si="31"/>
        <v>n/a</v>
      </c>
      <c r="Q147" s="5"/>
      <c r="R147" s="5"/>
      <c r="S147" s="5"/>
      <c r="U147" s="6"/>
      <c r="V147" s="9" t="str">
        <f t="shared" si="34"/>
        <v/>
      </c>
      <c r="W147" s="9" t="str">
        <f t="shared" si="35"/>
        <v/>
      </c>
      <c r="X147" s="10">
        <f>SUM(V$13:V147)/COUNTA(B$13:B147)</f>
        <v>0</v>
      </c>
      <c r="Z147" s="5"/>
      <c r="AA147" s="5"/>
      <c r="AC147" s="7"/>
      <c r="AE147" s="54" t="e">
        <f t="shared" si="36"/>
        <v>#N/A</v>
      </c>
      <c r="AF147" s="4" t="e">
        <f t="shared" si="32"/>
        <v>#N/A</v>
      </c>
    </row>
    <row r="148" spans="2:32">
      <c r="B148" s="5">
        <f t="shared" si="37"/>
        <v>136</v>
      </c>
      <c r="C148" s="5"/>
      <c r="E148" s="13"/>
      <c r="F148" s="5"/>
      <c r="G148" s="11" t="str">
        <f>IF(ISERROR(AVERAGE(F$13:F148)),"n/a",AVERAGE(F$13:F148))</f>
        <v>n/a</v>
      </c>
      <c r="H148" s="11" t="str">
        <f t="shared" si="33"/>
        <v>n/a</v>
      </c>
      <c r="J148" s="5"/>
      <c r="K148" s="5"/>
      <c r="L148" s="5"/>
      <c r="M148" s="5"/>
      <c r="N148" s="5"/>
      <c r="O148" s="8" t="str">
        <f t="shared" si="31"/>
        <v>n/a</v>
      </c>
      <c r="Q148" s="5"/>
      <c r="R148" s="5"/>
      <c r="S148" s="5"/>
      <c r="U148" s="6"/>
      <c r="V148" s="9" t="str">
        <f t="shared" si="34"/>
        <v/>
      </c>
      <c r="W148" s="9" t="str">
        <f t="shared" si="35"/>
        <v/>
      </c>
      <c r="X148" s="10">
        <f>SUM(V$13:V148)/COUNTA(B$13:B148)</f>
        <v>0</v>
      </c>
      <c r="Z148" s="5"/>
      <c r="AA148" s="5"/>
      <c r="AC148" s="7"/>
      <c r="AE148" s="54" t="e">
        <f t="shared" si="36"/>
        <v>#N/A</v>
      </c>
      <c r="AF148" s="4" t="e">
        <f t="shared" si="32"/>
        <v>#N/A</v>
      </c>
    </row>
    <row r="149" spans="2:32">
      <c r="B149" s="5">
        <f t="shared" si="37"/>
        <v>137</v>
      </c>
      <c r="C149" s="5"/>
      <c r="E149" s="13"/>
      <c r="F149" s="5"/>
      <c r="G149" s="11" t="str">
        <f>IF(ISERROR(AVERAGE(F$13:F149)),"n/a",AVERAGE(F$13:F149))</f>
        <v>n/a</v>
      </c>
      <c r="H149" s="11" t="str">
        <f t="shared" si="33"/>
        <v>n/a</v>
      </c>
      <c r="J149" s="5"/>
      <c r="K149" s="5"/>
      <c r="L149" s="5"/>
      <c r="M149" s="5"/>
      <c r="N149" s="5"/>
      <c r="O149" s="8" t="str">
        <f t="shared" si="31"/>
        <v>n/a</v>
      </c>
      <c r="Q149" s="5"/>
      <c r="R149" s="5"/>
      <c r="S149" s="5"/>
      <c r="U149" s="6"/>
      <c r="V149" s="9" t="str">
        <f t="shared" si="34"/>
        <v/>
      </c>
      <c r="W149" s="9" t="str">
        <f t="shared" si="35"/>
        <v/>
      </c>
      <c r="X149" s="10">
        <f>SUM(V$13:V149)/COUNTA(B$13:B149)</f>
        <v>0</v>
      </c>
      <c r="Z149" s="5"/>
      <c r="AA149" s="5"/>
      <c r="AC149" s="7"/>
      <c r="AE149" s="54" t="e">
        <f t="shared" si="36"/>
        <v>#N/A</v>
      </c>
      <c r="AF149" s="4" t="e">
        <f t="shared" si="32"/>
        <v>#N/A</v>
      </c>
    </row>
    <row r="150" spans="2:32">
      <c r="B150" s="5">
        <f t="shared" si="37"/>
        <v>138</v>
      </c>
      <c r="C150" s="5"/>
      <c r="E150" s="13"/>
      <c r="F150" s="5"/>
      <c r="G150" s="11" t="str">
        <f>IF(ISERROR(AVERAGE(F$13:F150)),"n/a",AVERAGE(F$13:F150))</f>
        <v>n/a</v>
      </c>
      <c r="H150" s="11" t="str">
        <f t="shared" si="33"/>
        <v>n/a</v>
      </c>
      <c r="J150" s="5"/>
      <c r="K150" s="5"/>
      <c r="L150" s="5"/>
      <c r="M150" s="5"/>
      <c r="N150" s="5"/>
      <c r="O150" s="8" t="str">
        <f t="shared" si="31"/>
        <v>n/a</v>
      </c>
      <c r="Q150" s="5"/>
      <c r="R150" s="5"/>
      <c r="S150" s="5"/>
      <c r="U150" s="6"/>
      <c r="V150" s="9" t="str">
        <f t="shared" si="34"/>
        <v/>
      </c>
      <c r="W150" s="9" t="str">
        <f t="shared" si="35"/>
        <v/>
      </c>
      <c r="X150" s="10">
        <f>SUM(V$13:V150)/COUNTA(B$13:B150)</f>
        <v>0</v>
      </c>
      <c r="Z150" s="5"/>
      <c r="AA150" s="5"/>
      <c r="AC150" s="7"/>
      <c r="AE150" s="54" t="e">
        <f t="shared" si="36"/>
        <v>#N/A</v>
      </c>
      <c r="AF150" s="4" t="e">
        <f t="shared" si="32"/>
        <v>#N/A</v>
      </c>
    </row>
    <row r="151" spans="2:32">
      <c r="B151" s="5">
        <f t="shared" si="37"/>
        <v>139</v>
      </c>
      <c r="C151" s="5"/>
      <c r="E151" s="13"/>
      <c r="F151" s="5"/>
      <c r="G151" s="11" t="str">
        <f>IF(ISERROR(AVERAGE(F$13:F151)),"n/a",AVERAGE(F$13:F151))</f>
        <v>n/a</v>
      </c>
      <c r="H151" s="11" t="str">
        <f t="shared" si="33"/>
        <v>n/a</v>
      </c>
      <c r="J151" s="5"/>
      <c r="K151" s="5"/>
      <c r="L151" s="5"/>
      <c r="M151" s="5"/>
      <c r="N151" s="5"/>
      <c r="O151" s="8" t="str">
        <f t="shared" si="31"/>
        <v>n/a</v>
      </c>
      <c r="Q151" s="5"/>
      <c r="R151" s="5"/>
      <c r="S151" s="5"/>
      <c r="U151" s="6"/>
      <c r="V151" s="9" t="str">
        <f t="shared" si="34"/>
        <v/>
      </c>
      <c r="W151" s="9" t="str">
        <f t="shared" si="35"/>
        <v/>
      </c>
      <c r="X151" s="10">
        <f>SUM(V$13:V151)/COUNTA(B$13:B151)</f>
        <v>0</v>
      </c>
      <c r="Z151" s="5"/>
      <c r="AA151" s="5"/>
      <c r="AC151" s="7"/>
      <c r="AE151" s="54" t="e">
        <f t="shared" si="36"/>
        <v>#N/A</v>
      </c>
      <c r="AF151" s="4" t="e">
        <f t="shared" si="32"/>
        <v>#N/A</v>
      </c>
    </row>
    <row r="152" spans="2:32">
      <c r="B152" s="5">
        <f t="shared" si="37"/>
        <v>140</v>
      </c>
      <c r="C152" s="5"/>
      <c r="E152" s="13"/>
      <c r="F152" s="5"/>
      <c r="G152" s="11" t="str">
        <f>IF(ISERROR(AVERAGE(F$13:F152)),"n/a",AVERAGE(F$13:F152))</f>
        <v>n/a</v>
      </c>
      <c r="H152" s="11" t="str">
        <f t="shared" si="33"/>
        <v>n/a</v>
      </c>
      <c r="J152" s="5"/>
      <c r="K152" s="5"/>
      <c r="L152" s="5"/>
      <c r="M152" s="5"/>
      <c r="N152" s="5"/>
      <c r="O152" s="8" t="str">
        <f t="shared" si="31"/>
        <v>n/a</v>
      </c>
      <c r="Q152" s="5"/>
      <c r="R152" s="5"/>
      <c r="S152" s="5"/>
      <c r="U152" s="6"/>
      <c r="V152" s="9" t="str">
        <f t="shared" si="34"/>
        <v/>
      </c>
      <c r="W152" s="9" t="str">
        <f t="shared" si="35"/>
        <v/>
      </c>
      <c r="X152" s="10">
        <f>SUM(V$13:V152)/COUNTA(B$13:B152)</f>
        <v>0</v>
      </c>
      <c r="Z152" s="5"/>
      <c r="AA152" s="5"/>
      <c r="AC152" s="7"/>
      <c r="AE152" s="54" t="e">
        <f t="shared" si="36"/>
        <v>#N/A</v>
      </c>
      <c r="AF152" s="4" t="e">
        <f t="shared" si="32"/>
        <v>#N/A</v>
      </c>
    </row>
    <row r="153" spans="2:32">
      <c r="B153" s="5">
        <f t="shared" si="37"/>
        <v>141</v>
      </c>
      <c r="C153" s="5"/>
      <c r="E153" s="13"/>
      <c r="F153" s="5"/>
      <c r="G153" s="11" t="str">
        <f>IF(ISERROR(AVERAGE(F$13:F153)),"n/a",AVERAGE(F$13:F153))</f>
        <v>n/a</v>
      </c>
      <c r="H153" s="11" t="str">
        <f t="shared" si="33"/>
        <v>n/a</v>
      </c>
      <c r="J153" s="5"/>
      <c r="K153" s="5"/>
      <c r="L153" s="5"/>
      <c r="M153" s="5"/>
      <c r="N153" s="5"/>
      <c r="O153" s="8" t="str">
        <f t="shared" si="31"/>
        <v>n/a</v>
      </c>
      <c r="Q153" s="5"/>
      <c r="R153" s="5"/>
      <c r="S153" s="5"/>
      <c r="U153" s="6"/>
      <c r="V153" s="9" t="str">
        <f t="shared" si="34"/>
        <v/>
      </c>
      <c r="W153" s="9" t="str">
        <f t="shared" si="35"/>
        <v/>
      </c>
      <c r="X153" s="10">
        <f>SUM(V$13:V153)/COUNTA(B$13:B153)</f>
        <v>0</v>
      </c>
      <c r="Z153" s="5"/>
      <c r="AA153" s="5"/>
      <c r="AC153" s="7"/>
      <c r="AE153" s="54" t="e">
        <f t="shared" si="36"/>
        <v>#N/A</v>
      </c>
      <c r="AF153" s="4" t="e">
        <f t="shared" si="32"/>
        <v>#N/A</v>
      </c>
    </row>
    <row r="154" spans="2:32">
      <c r="B154" s="5">
        <f t="shared" si="37"/>
        <v>142</v>
      </c>
      <c r="C154" s="5"/>
      <c r="E154" s="13"/>
      <c r="F154" s="5"/>
      <c r="G154" s="11" t="str">
        <f>IF(ISERROR(AVERAGE(F$13:F154)),"n/a",AVERAGE(F$13:F154))</f>
        <v>n/a</v>
      </c>
      <c r="H154" s="11" t="str">
        <f t="shared" si="33"/>
        <v>n/a</v>
      </c>
      <c r="J154" s="5"/>
      <c r="K154" s="5"/>
      <c r="L154" s="5"/>
      <c r="M154" s="5"/>
      <c r="N154" s="5"/>
      <c r="O154" s="8" t="str">
        <f t="shared" si="31"/>
        <v>n/a</v>
      </c>
      <c r="Q154" s="5"/>
      <c r="R154" s="5"/>
      <c r="S154" s="5"/>
      <c r="U154" s="6"/>
      <c r="V154" s="9" t="str">
        <f t="shared" si="34"/>
        <v/>
      </c>
      <c r="W154" s="9" t="str">
        <f t="shared" si="35"/>
        <v/>
      </c>
      <c r="X154" s="10">
        <f>SUM(V$13:V154)/COUNTA(B$13:B154)</f>
        <v>0</v>
      </c>
      <c r="Z154" s="5"/>
      <c r="AA154" s="5"/>
      <c r="AC154" s="7"/>
      <c r="AE154" s="54" t="e">
        <f t="shared" si="36"/>
        <v>#N/A</v>
      </c>
      <c r="AF154" s="4" t="e">
        <f t="shared" si="32"/>
        <v>#N/A</v>
      </c>
    </row>
    <row r="155" spans="2:32">
      <c r="B155" s="5">
        <f t="shared" si="37"/>
        <v>143</v>
      </c>
      <c r="C155" s="5"/>
      <c r="E155" s="13"/>
      <c r="F155" s="5"/>
      <c r="G155" s="11" t="str">
        <f>IF(ISERROR(AVERAGE(F$13:F155)),"n/a",AVERAGE(F$13:F155))</f>
        <v>n/a</v>
      </c>
      <c r="H155" s="11" t="str">
        <f t="shared" si="33"/>
        <v>n/a</v>
      </c>
      <c r="J155" s="5"/>
      <c r="K155" s="5"/>
      <c r="L155" s="5"/>
      <c r="M155" s="5"/>
      <c r="N155" s="5"/>
      <c r="O155" s="8" t="str">
        <f t="shared" si="31"/>
        <v>n/a</v>
      </c>
      <c r="Q155" s="5"/>
      <c r="R155" s="5"/>
      <c r="S155" s="5"/>
      <c r="U155" s="6"/>
      <c r="V155" s="9" t="str">
        <f t="shared" si="34"/>
        <v/>
      </c>
      <c r="W155" s="9" t="str">
        <f t="shared" si="35"/>
        <v/>
      </c>
      <c r="X155" s="10">
        <f>SUM(V$13:V155)/COUNTA(B$13:B155)</f>
        <v>0</v>
      </c>
      <c r="Z155" s="5"/>
      <c r="AA155" s="5"/>
      <c r="AC155" s="7"/>
      <c r="AE155" s="54" t="e">
        <f t="shared" si="36"/>
        <v>#N/A</v>
      </c>
      <c r="AF155" s="4" t="e">
        <f t="shared" si="32"/>
        <v>#N/A</v>
      </c>
    </row>
    <row r="156" spans="2:32">
      <c r="B156" s="5">
        <f t="shared" si="37"/>
        <v>144</v>
      </c>
      <c r="C156" s="5"/>
      <c r="E156" s="13"/>
      <c r="F156" s="5"/>
      <c r="G156" s="11" t="str">
        <f>IF(ISERROR(AVERAGE(F$13:F156)),"n/a",AVERAGE(F$13:F156))</f>
        <v>n/a</v>
      </c>
      <c r="H156" s="11" t="str">
        <f t="shared" si="33"/>
        <v>n/a</v>
      </c>
      <c r="J156" s="5"/>
      <c r="K156" s="5"/>
      <c r="L156" s="5"/>
      <c r="M156" s="5"/>
      <c r="N156" s="5"/>
      <c r="O156" s="8" t="str">
        <f t="shared" si="31"/>
        <v>n/a</v>
      </c>
      <c r="Q156" s="5"/>
      <c r="R156" s="5"/>
      <c r="S156" s="5"/>
      <c r="U156" s="6"/>
      <c r="V156" s="9" t="str">
        <f t="shared" si="34"/>
        <v/>
      </c>
      <c r="W156" s="9" t="str">
        <f t="shared" si="35"/>
        <v/>
      </c>
      <c r="X156" s="10">
        <f>SUM(V$13:V156)/COUNTA(B$13:B156)</f>
        <v>0</v>
      </c>
      <c r="Z156" s="5"/>
      <c r="AA156" s="5"/>
      <c r="AC156" s="7"/>
      <c r="AE156" s="54" t="e">
        <f t="shared" si="36"/>
        <v>#N/A</v>
      </c>
      <c r="AF156" s="4" t="e">
        <f t="shared" si="32"/>
        <v>#N/A</v>
      </c>
    </row>
    <row r="157" spans="2:32">
      <c r="B157" s="5">
        <f t="shared" si="37"/>
        <v>145</v>
      </c>
      <c r="C157" s="5"/>
      <c r="E157" s="13"/>
      <c r="F157" s="5"/>
      <c r="G157" s="11" t="str">
        <f>IF(ISERROR(AVERAGE(F$13:F157)),"n/a",AVERAGE(F$13:F157))</f>
        <v>n/a</v>
      </c>
      <c r="H157" s="11" t="str">
        <f t="shared" si="33"/>
        <v>n/a</v>
      </c>
      <c r="J157" s="5"/>
      <c r="K157" s="5"/>
      <c r="L157" s="5"/>
      <c r="M157" s="5"/>
      <c r="N157" s="5"/>
      <c r="O157" s="8" t="str">
        <f t="shared" si="31"/>
        <v>n/a</v>
      </c>
      <c r="Q157" s="5"/>
      <c r="R157" s="5"/>
      <c r="S157" s="5"/>
      <c r="U157" s="6"/>
      <c r="V157" s="9" t="str">
        <f t="shared" si="34"/>
        <v/>
      </c>
      <c r="W157" s="9" t="str">
        <f t="shared" si="35"/>
        <v/>
      </c>
      <c r="X157" s="10">
        <f>SUM(V$13:V157)/COUNTA(B$13:B157)</f>
        <v>0</v>
      </c>
      <c r="Z157" s="5"/>
      <c r="AA157" s="5"/>
      <c r="AC157" s="7"/>
      <c r="AE157" s="54" t="e">
        <f t="shared" si="36"/>
        <v>#N/A</v>
      </c>
      <c r="AF157" s="4" t="e">
        <f t="shared" si="32"/>
        <v>#N/A</v>
      </c>
    </row>
    <row r="158" spans="2:32">
      <c r="B158" s="5">
        <f t="shared" si="37"/>
        <v>146</v>
      </c>
      <c r="C158" s="5"/>
      <c r="E158" s="13"/>
      <c r="F158" s="5"/>
      <c r="G158" s="11" t="str">
        <f>IF(ISERROR(AVERAGE(F$13:F158)),"n/a",AVERAGE(F$13:F158))</f>
        <v>n/a</v>
      </c>
      <c r="H158" s="11" t="str">
        <f t="shared" si="33"/>
        <v>n/a</v>
      </c>
      <c r="J158" s="5"/>
      <c r="K158" s="5"/>
      <c r="L158" s="5"/>
      <c r="M158" s="5"/>
      <c r="N158" s="5"/>
      <c r="O158" s="8" t="str">
        <f t="shared" si="31"/>
        <v>n/a</v>
      </c>
      <c r="Q158" s="5"/>
      <c r="R158" s="5"/>
      <c r="S158" s="5"/>
      <c r="U158" s="6"/>
      <c r="V158" s="9" t="str">
        <f t="shared" si="34"/>
        <v/>
      </c>
      <c r="W158" s="9" t="str">
        <f t="shared" si="35"/>
        <v/>
      </c>
      <c r="X158" s="10">
        <f>SUM(V$13:V158)/COUNTA(B$13:B158)</f>
        <v>0</v>
      </c>
      <c r="Z158" s="5"/>
      <c r="AA158" s="5"/>
      <c r="AC158" s="7"/>
      <c r="AE158" s="54" t="e">
        <f t="shared" si="36"/>
        <v>#N/A</v>
      </c>
      <c r="AF158" s="4" t="e">
        <f t="shared" si="32"/>
        <v>#N/A</v>
      </c>
    </row>
    <row r="159" spans="2:32">
      <c r="B159" s="5">
        <f t="shared" si="37"/>
        <v>147</v>
      </c>
      <c r="C159" s="5"/>
      <c r="E159" s="13"/>
      <c r="F159" s="5"/>
      <c r="G159" s="11" t="str">
        <f>IF(ISERROR(AVERAGE(F$13:F159)),"n/a",AVERAGE(F$13:F159))</f>
        <v>n/a</v>
      </c>
      <c r="H159" s="11" t="str">
        <f t="shared" si="33"/>
        <v>n/a</v>
      </c>
      <c r="J159" s="5"/>
      <c r="K159" s="5"/>
      <c r="L159" s="5"/>
      <c r="M159" s="5"/>
      <c r="N159" s="5"/>
      <c r="O159" s="8" t="str">
        <f t="shared" si="31"/>
        <v>n/a</v>
      </c>
      <c r="Q159" s="5"/>
      <c r="R159" s="5"/>
      <c r="S159" s="5"/>
      <c r="U159" s="6"/>
      <c r="V159" s="9" t="str">
        <f t="shared" si="34"/>
        <v/>
      </c>
      <c r="W159" s="9" t="str">
        <f t="shared" si="35"/>
        <v/>
      </c>
      <c r="X159" s="10">
        <f>SUM(V$13:V159)/COUNTA(B$13:B159)</f>
        <v>0</v>
      </c>
      <c r="Z159" s="5"/>
      <c r="AA159" s="5"/>
      <c r="AC159" s="7"/>
      <c r="AE159" s="54" t="e">
        <f t="shared" si="36"/>
        <v>#N/A</v>
      </c>
      <c r="AF159" s="4" t="e">
        <f t="shared" si="32"/>
        <v>#N/A</v>
      </c>
    </row>
    <row r="160" spans="2:32">
      <c r="B160" s="5">
        <f t="shared" si="37"/>
        <v>148</v>
      </c>
      <c r="C160" s="5"/>
      <c r="E160" s="13"/>
      <c r="F160" s="5"/>
      <c r="G160" s="11" t="str">
        <f>IF(ISERROR(AVERAGE(F$13:F160)),"n/a",AVERAGE(F$13:F160))</f>
        <v>n/a</v>
      </c>
      <c r="H160" s="11" t="str">
        <f t="shared" si="33"/>
        <v>n/a</v>
      </c>
      <c r="J160" s="5"/>
      <c r="K160" s="5"/>
      <c r="L160" s="5"/>
      <c r="M160" s="5"/>
      <c r="N160" s="5"/>
      <c r="O160" s="8" t="str">
        <f t="shared" si="31"/>
        <v>n/a</v>
      </c>
      <c r="Q160" s="5"/>
      <c r="R160" s="5"/>
      <c r="S160" s="5"/>
      <c r="U160" s="6"/>
      <c r="V160" s="9" t="str">
        <f t="shared" si="34"/>
        <v/>
      </c>
      <c r="W160" s="9" t="str">
        <f t="shared" si="35"/>
        <v/>
      </c>
      <c r="X160" s="10">
        <f>SUM(V$13:V160)/COUNTA(B$13:B160)</f>
        <v>0</v>
      </c>
      <c r="Z160" s="5"/>
      <c r="AA160" s="5"/>
      <c r="AC160" s="7"/>
      <c r="AE160" s="54" t="e">
        <f t="shared" si="36"/>
        <v>#N/A</v>
      </c>
      <c r="AF160" s="4" t="e">
        <f t="shared" si="32"/>
        <v>#N/A</v>
      </c>
    </row>
    <row r="161" spans="2:32">
      <c r="B161" s="5">
        <f t="shared" si="37"/>
        <v>149</v>
      </c>
      <c r="C161" s="5"/>
      <c r="E161" s="13"/>
      <c r="F161" s="5"/>
      <c r="G161" s="11" t="str">
        <f>IF(ISERROR(AVERAGE(F$13:F161)),"n/a",AVERAGE(F$13:F161))</f>
        <v>n/a</v>
      </c>
      <c r="H161" s="11" t="str">
        <f t="shared" si="33"/>
        <v>n/a</v>
      </c>
      <c r="J161" s="5"/>
      <c r="K161" s="5"/>
      <c r="L161" s="5"/>
      <c r="M161" s="5"/>
      <c r="N161" s="5"/>
      <c r="O161" s="8" t="str">
        <f t="shared" si="31"/>
        <v>n/a</v>
      </c>
      <c r="Q161" s="5"/>
      <c r="R161" s="5"/>
      <c r="S161" s="5"/>
      <c r="U161" s="6"/>
      <c r="V161" s="9" t="str">
        <f t="shared" si="34"/>
        <v/>
      </c>
      <c r="W161" s="9" t="str">
        <f t="shared" si="35"/>
        <v/>
      </c>
      <c r="X161" s="10">
        <f>SUM(V$13:V161)/COUNTA(B$13:B161)</f>
        <v>0</v>
      </c>
      <c r="Z161" s="5"/>
      <c r="AA161" s="5"/>
      <c r="AC161" s="7"/>
      <c r="AE161" s="54" t="e">
        <f t="shared" si="36"/>
        <v>#N/A</v>
      </c>
      <c r="AF161" s="4" t="e">
        <f t="shared" si="32"/>
        <v>#N/A</v>
      </c>
    </row>
    <row r="162" spans="2:32">
      <c r="B162" s="5">
        <f t="shared" si="37"/>
        <v>150</v>
      </c>
      <c r="C162" s="5"/>
      <c r="E162" s="13"/>
      <c r="F162" s="5"/>
      <c r="G162" s="11" t="str">
        <f>IF(ISERROR(AVERAGE(F$13:F162)),"n/a",AVERAGE(F$13:F162))</f>
        <v>n/a</v>
      </c>
      <c r="H162" s="11" t="str">
        <f t="shared" si="33"/>
        <v>n/a</v>
      </c>
      <c r="J162" s="5"/>
      <c r="K162" s="5"/>
      <c r="L162" s="5"/>
      <c r="M162" s="5"/>
      <c r="N162" s="5"/>
      <c r="O162" s="8" t="str">
        <f t="shared" si="31"/>
        <v>n/a</v>
      </c>
      <c r="Q162" s="5"/>
      <c r="R162" s="5"/>
      <c r="S162" s="5"/>
      <c r="U162" s="6"/>
      <c r="V162" s="9" t="str">
        <f t="shared" si="34"/>
        <v/>
      </c>
      <c r="W162" s="9" t="str">
        <f t="shared" si="35"/>
        <v/>
      </c>
      <c r="X162" s="10">
        <f>SUM(V$13:V162)/COUNTA(B$13:B162)</f>
        <v>0</v>
      </c>
      <c r="Z162" s="5"/>
      <c r="AA162" s="5"/>
      <c r="AC162" s="7"/>
      <c r="AE162" s="54" t="e">
        <f t="shared" si="36"/>
        <v>#N/A</v>
      </c>
      <c r="AF162" s="4" t="e">
        <f t="shared" si="32"/>
        <v>#N/A</v>
      </c>
    </row>
    <row r="163" spans="2:32">
      <c r="B163" s="5">
        <f t="shared" si="37"/>
        <v>151</v>
      </c>
      <c r="C163" s="5"/>
      <c r="E163" s="13"/>
      <c r="F163" s="5"/>
      <c r="G163" s="11" t="str">
        <f>IF(ISERROR(AVERAGE(F$13:F163)),"n/a",AVERAGE(F$13:F163))</f>
        <v>n/a</v>
      </c>
      <c r="H163" s="11" t="str">
        <f t="shared" si="33"/>
        <v>n/a</v>
      </c>
      <c r="J163" s="5"/>
      <c r="K163" s="5"/>
      <c r="L163" s="5"/>
      <c r="M163" s="5"/>
      <c r="N163" s="5"/>
      <c r="O163" s="8" t="str">
        <f t="shared" si="31"/>
        <v>n/a</v>
      </c>
      <c r="Q163" s="5"/>
      <c r="R163" s="5"/>
      <c r="S163" s="5"/>
      <c r="U163" s="6"/>
      <c r="V163" s="9" t="str">
        <f t="shared" si="34"/>
        <v/>
      </c>
      <c r="W163" s="9" t="str">
        <f t="shared" si="35"/>
        <v/>
      </c>
      <c r="X163" s="10">
        <f>SUM(V$13:V163)/COUNTA(B$13:B163)</f>
        <v>0</v>
      </c>
      <c r="Z163" s="5"/>
      <c r="AA163" s="5"/>
      <c r="AC163" s="7"/>
      <c r="AE163" s="54" t="e">
        <f t="shared" si="36"/>
        <v>#N/A</v>
      </c>
      <c r="AF163" s="4" t="e">
        <f t="shared" si="32"/>
        <v>#N/A</v>
      </c>
    </row>
    <row r="164" spans="2:32">
      <c r="B164" s="5">
        <f t="shared" si="37"/>
        <v>152</v>
      </c>
      <c r="C164" s="5"/>
      <c r="E164" s="13"/>
      <c r="F164" s="5"/>
      <c r="G164" s="11" t="str">
        <f>IF(ISERROR(AVERAGE(F$13:F164)),"n/a",AVERAGE(F$13:F164))</f>
        <v>n/a</v>
      </c>
      <c r="H164" s="11" t="str">
        <f t="shared" si="33"/>
        <v>n/a</v>
      </c>
      <c r="J164" s="5"/>
      <c r="K164" s="5"/>
      <c r="L164" s="5"/>
      <c r="M164" s="5"/>
      <c r="N164" s="5"/>
      <c r="O164" s="8" t="str">
        <f t="shared" si="31"/>
        <v>n/a</v>
      </c>
      <c r="Q164" s="5"/>
      <c r="R164" s="5"/>
      <c r="S164" s="5"/>
      <c r="U164" s="6"/>
      <c r="V164" s="9" t="str">
        <f t="shared" si="34"/>
        <v/>
      </c>
      <c r="W164" s="9" t="str">
        <f t="shared" si="35"/>
        <v/>
      </c>
      <c r="X164" s="10">
        <f>SUM(V$13:V164)/COUNTA(B$13:B164)</f>
        <v>0</v>
      </c>
      <c r="Z164" s="5"/>
      <c r="AA164" s="5"/>
      <c r="AC164" s="7"/>
      <c r="AE164" s="54" t="e">
        <f t="shared" si="36"/>
        <v>#N/A</v>
      </c>
      <c r="AF164" s="4" t="e">
        <f t="shared" si="32"/>
        <v>#N/A</v>
      </c>
    </row>
    <row r="165" spans="2:32">
      <c r="B165" s="5">
        <f t="shared" si="37"/>
        <v>153</v>
      </c>
      <c r="C165" s="5"/>
      <c r="E165" s="13"/>
      <c r="F165" s="5"/>
      <c r="G165" s="11" t="str">
        <f>IF(ISERROR(AVERAGE(F$13:F165)),"n/a",AVERAGE(F$13:F165))</f>
        <v>n/a</v>
      </c>
      <c r="H165" s="11" t="str">
        <f t="shared" si="33"/>
        <v>n/a</v>
      </c>
      <c r="J165" s="5"/>
      <c r="K165" s="5"/>
      <c r="L165" s="5"/>
      <c r="M165" s="5"/>
      <c r="N165" s="5"/>
      <c r="O165" s="8" t="str">
        <f t="shared" si="31"/>
        <v>n/a</v>
      </c>
      <c r="Q165" s="5"/>
      <c r="R165" s="5"/>
      <c r="S165" s="5"/>
      <c r="U165" s="6"/>
      <c r="V165" s="9" t="str">
        <f t="shared" si="34"/>
        <v/>
      </c>
      <c r="W165" s="9" t="str">
        <f t="shared" si="35"/>
        <v/>
      </c>
      <c r="X165" s="10">
        <f>SUM(V$13:V165)/COUNTA(B$13:B165)</f>
        <v>0</v>
      </c>
      <c r="Z165" s="5"/>
      <c r="AA165" s="5"/>
      <c r="AC165" s="7"/>
      <c r="AE165" s="54" t="e">
        <f t="shared" si="36"/>
        <v>#N/A</v>
      </c>
      <c r="AF165" s="4" t="e">
        <f t="shared" si="32"/>
        <v>#N/A</v>
      </c>
    </row>
    <row r="166" spans="2:32">
      <c r="B166" s="5">
        <f t="shared" si="37"/>
        <v>154</v>
      </c>
      <c r="C166" s="5"/>
      <c r="E166" s="13"/>
      <c r="F166" s="5"/>
      <c r="G166" s="11" t="str">
        <f>IF(ISERROR(AVERAGE(F$13:F166)),"n/a",AVERAGE(F$13:F166))</f>
        <v>n/a</v>
      </c>
      <c r="H166" s="11" t="str">
        <f t="shared" si="33"/>
        <v>n/a</v>
      </c>
      <c r="J166" s="5"/>
      <c r="K166" s="5"/>
      <c r="L166" s="5"/>
      <c r="M166" s="5"/>
      <c r="N166" s="5"/>
      <c r="O166" s="8" t="str">
        <f t="shared" si="31"/>
        <v>n/a</v>
      </c>
      <c r="Q166" s="5"/>
      <c r="R166" s="5"/>
      <c r="S166" s="5"/>
      <c r="U166" s="6"/>
      <c r="V166" s="9" t="str">
        <f t="shared" si="34"/>
        <v/>
      </c>
      <c r="W166" s="9" t="str">
        <f t="shared" si="35"/>
        <v/>
      </c>
      <c r="X166" s="10">
        <f>SUM(V$13:V166)/COUNTA(B$13:B166)</f>
        <v>0</v>
      </c>
      <c r="Z166" s="5"/>
      <c r="AA166" s="5"/>
      <c r="AC166" s="7"/>
      <c r="AE166" s="54" t="e">
        <f t="shared" si="36"/>
        <v>#N/A</v>
      </c>
      <c r="AF166" s="4" t="e">
        <f t="shared" si="32"/>
        <v>#N/A</v>
      </c>
    </row>
    <row r="167" spans="2:32">
      <c r="B167" s="5">
        <f t="shared" si="37"/>
        <v>155</v>
      </c>
      <c r="C167" s="5"/>
      <c r="E167" s="13"/>
      <c r="F167" s="5"/>
      <c r="G167" s="11" t="str">
        <f>IF(ISERROR(AVERAGE(F$13:F167)),"n/a",AVERAGE(F$13:F167))</f>
        <v>n/a</v>
      </c>
      <c r="H167" s="11" t="str">
        <f t="shared" si="33"/>
        <v>n/a</v>
      </c>
      <c r="J167" s="5"/>
      <c r="K167" s="5"/>
      <c r="L167" s="5"/>
      <c r="M167" s="5"/>
      <c r="N167" s="5"/>
      <c r="O167" s="8" t="str">
        <f t="shared" si="31"/>
        <v>n/a</v>
      </c>
      <c r="Q167" s="5"/>
      <c r="R167" s="5"/>
      <c r="S167" s="5"/>
      <c r="U167" s="6"/>
      <c r="V167" s="9" t="str">
        <f t="shared" si="34"/>
        <v/>
      </c>
      <c r="W167" s="9" t="str">
        <f t="shared" si="35"/>
        <v/>
      </c>
      <c r="X167" s="10">
        <f>SUM(V$13:V167)/COUNTA(B$13:B167)</f>
        <v>0</v>
      </c>
      <c r="Z167" s="5"/>
      <c r="AA167" s="5"/>
      <c r="AC167" s="7"/>
      <c r="AE167" s="54" t="e">
        <f t="shared" si="36"/>
        <v>#N/A</v>
      </c>
      <c r="AF167" s="4" t="e">
        <f t="shared" si="32"/>
        <v>#N/A</v>
      </c>
    </row>
    <row r="168" spans="2:32">
      <c r="B168" s="5">
        <f t="shared" si="37"/>
        <v>156</v>
      </c>
      <c r="C168" s="5"/>
      <c r="E168" s="13"/>
      <c r="F168" s="5"/>
      <c r="G168" s="11" t="str">
        <f>IF(ISERROR(AVERAGE(F$13:F168)),"n/a",AVERAGE(F$13:F168))</f>
        <v>n/a</v>
      </c>
      <c r="H168" s="11" t="str">
        <f t="shared" si="33"/>
        <v>n/a</v>
      </c>
      <c r="J168" s="5"/>
      <c r="K168" s="5"/>
      <c r="L168" s="5"/>
      <c r="M168" s="5"/>
      <c r="N168" s="5"/>
      <c r="O168" s="8" t="str">
        <f t="shared" si="31"/>
        <v>n/a</v>
      </c>
      <c r="Q168" s="5"/>
      <c r="R168" s="5"/>
      <c r="S168" s="5"/>
      <c r="U168" s="6"/>
      <c r="V168" s="9" t="str">
        <f t="shared" si="34"/>
        <v/>
      </c>
      <c r="W168" s="9" t="str">
        <f t="shared" si="35"/>
        <v/>
      </c>
      <c r="X168" s="10">
        <f>SUM(V$13:V168)/COUNTA(B$13:B168)</f>
        <v>0</v>
      </c>
      <c r="Z168" s="5"/>
      <c r="AA168" s="5"/>
      <c r="AC168" s="7"/>
      <c r="AE168" s="54" t="e">
        <f t="shared" si="36"/>
        <v>#N/A</v>
      </c>
      <c r="AF168" s="4" t="e">
        <f t="shared" si="32"/>
        <v>#N/A</v>
      </c>
    </row>
    <row r="169" spans="2:32">
      <c r="B169" s="5">
        <f t="shared" si="37"/>
        <v>157</v>
      </c>
      <c r="C169" s="5"/>
      <c r="E169" s="13"/>
      <c r="F169" s="5"/>
      <c r="G169" s="11" t="str">
        <f>IF(ISERROR(AVERAGE(F$13:F169)),"n/a",AVERAGE(F$13:F169))</f>
        <v>n/a</v>
      </c>
      <c r="H169" s="11" t="str">
        <f t="shared" si="33"/>
        <v>n/a</v>
      </c>
      <c r="J169" s="5"/>
      <c r="K169" s="5"/>
      <c r="L169" s="5"/>
      <c r="M169" s="5"/>
      <c r="N169" s="5"/>
      <c r="O169" s="8" t="str">
        <f t="shared" si="31"/>
        <v>n/a</v>
      </c>
      <c r="Q169" s="5"/>
      <c r="R169" s="5"/>
      <c r="S169" s="5"/>
      <c r="U169" s="6"/>
      <c r="V169" s="9" t="str">
        <f t="shared" si="34"/>
        <v/>
      </c>
      <c r="W169" s="9" t="str">
        <f t="shared" si="35"/>
        <v/>
      </c>
      <c r="X169" s="10">
        <f>SUM(V$13:V169)/COUNTA(B$13:B169)</f>
        <v>0</v>
      </c>
      <c r="Z169" s="5"/>
      <c r="AA169" s="5"/>
      <c r="AC169" s="7"/>
      <c r="AE169" s="54" t="e">
        <f t="shared" si="36"/>
        <v>#N/A</v>
      </c>
      <c r="AF169" s="4" t="e">
        <f t="shared" si="32"/>
        <v>#N/A</v>
      </c>
    </row>
    <row r="170" spans="2:32">
      <c r="B170" s="5">
        <f t="shared" si="37"/>
        <v>158</v>
      </c>
      <c r="C170" s="5"/>
      <c r="E170" s="13"/>
      <c r="F170" s="5"/>
      <c r="G170" s="11" t="str">
        <f>IF(ISERROR(AVERAGE(F$13:F170)),"n/a",AVERAGE(F$13:F170))</f>
        <v>n/a</v>
      </c>
      <c r="H170" s="11" t="str">
        <f t="shared" si="33"/>
        <v>n/a</v>
      </c>
      <c r="J170" s="5"/>
      <c r="K170" s="5"/>
      <c r="L170" s="5"/>
      <c r="M170" s="5"/>
      <c r="N170" s="5"/>
      <c r="O170" s="8" t="str">
        <f t="shared" si="31"/>
        <v>n/a</v>
      </c>
      <c r="Q170" s="5"/>
      <c r="R170" s="5"/>
      <c r="S170" s="5"/>
      <c r="U170" s="6"/>
      <c r="V170" s="9" t="str">
        <f t="shared" si="34"/>
        <v/>
      </c>
      <c r="W170" s="9" t="str">
        <f t="shared" si="35"/>
        <v/>
      </c>
      <c r="X170" s="10">
        <f>SUM(V$13:V170)/COUNTA(B$13:B170)</f>
        <v>0</v>
      </c>
      <c r="Z170" s="5"/>
      <c r="AA170" s="5"/>
      <c r="AC170" s="7"/>
      <c r="AE170" s="54" t="e">
        <f t="shared" si="36"/>
        <v>#N/A</v>
      </c>
      <c r="AF170" s="4" t="e">
        <f t="shared" si="32"/>
        <v>#N/A</v>
      </c>
    </row>
    <row r="171" spans="2:32">
      <c r="B171" s="5">
        <f t="shared" si="37"/>
        <v>159</v>
      </c>
      <c r="C171" s="5"/>
      <c r="E171" s="13"/>
      <c r="F171" s="5"/>
      <c r="G171" s="11" t="str">
        <f>IF(ISERROR(AVERAGE(F$13:F171)),"n/a",AVERAGE(F$13:F171))</f>
        <v>n/a</v>
      </c>
      <c r="H171" s="11" t="str">
        <f t="shared" si="33"/>
        <v>n/a</v>
      </c>
      <c r="J171" s="5"/>
      <c r="K171" s="5"/>
      <c r="L171" s="5"/>
      <c r="M171" s="5"/>
      <c r="N171" s="5"/>
      <c r="O171" s="8" t="str">
        <f t="shared" si="31"/>
        <v>n/a</v>
      </c>
      <c r="Q171" s="5"/>
      <c r="R171" s="5"/>
      <c r="S171" s="5"/>
      <c r="U171" s="6"/>
      <c r="V171" s="9" t="str">
        <f t="shared" si="34"/>
        <v/>
      </c>
      <c r="W171" s="9" t="str">
        <f t="shared" si="35"/>
        <v/>
      </c>
      <c r="X171" s="10">
        <f>SUM(V$13:V171)/COUNTA(B$13:B171)</f>
        <v>0</v>
      </c>
      <c r="Z171" s="5"/>
      <c r="AA171" s="5"/>
      <c r="AC171" s="7"/>
      <c r="AE171" s="54" t="e">
        <f t="shared" si="36"/>
        <v>#N/A</v>
      </c>
      <c r="AF171" s="4" t="e">
        <f t="shared" si="32"/>
        <v>#N/A</v>
      </c>
    </row>
    <row r="172" spans="2:32">
      <c r="B172" s="5">
        <f t="shared" si="37"/>
        <v>160</v>
      </c>
      <c r="C172" s="5"/>
      <c r="E172" s="13"/>
      <c r="F172" s="5"/>
      <c r="G172" s="11" t="str">
        <f>IF(ISERROR(AVERAGE(F$13:F172)),"n/a",AVERAGE(F$13:F172))</f>
        <v>n/a</v>
      </c>
      <c r="H172" s="11" t="str">
        <f t="shared" si="33"/>
        <v>n/a</v>
      </c>
      <c r="J172" s="5"/>
      <c r="K172" s="5"/>
      <c r="L172" s="5"/>
      <c r="M172" s="5"/>
      <c r="N172" s="5"/>
      <c r="O172" s="8" t="str">
        <f t="shared" si="31"/>
        <v>n/a</v>
      </c>
      <c r="Q172" s="5"/>
      <c r="R172" s="5"/>
      <c r="S172" s="5"/>
      <c r="U172" s="6"/>
      <c r="V172" s="9" t="str">
        <f t="shared" si="34"/>
        <v/>
      </c>
      <c r="W172" s="9" t="str">
        <f t="shared" si="35"/>
        <v/>
      </c>
      <c r="X172" s="10">
        <f>SUM(V$13:V172)/COUNTA(B$13:B172)</f>
        <v>0</v>
      </c>
      <c r="Z172" s="5"/>
      <c r="AA172" s="5"/>
      <c r="AC172" s="7"/>
      <c r="AE172" s="54" t="e">
        <f t="shared" si="36"/>
        <v>#N/A</v>
      </c>
      <c r="AF172" s="4" t="e">
        <f t="shared" si="32"/>
        <v>#N/A</v>
      </c>
    </row>
    <row r="173" spans="2:32">
      <c r="B173" s="5">
        <f t="shared" si="37"/>
        <v>161</v>
      </c>
      <c r="C173" s="5"/>
      <c r="E173" s="13"/>
      <c r="F173" s="5"/>
      <c r="G173" s="11" t="str">
        <f>IF(ISERROR(AVERAGE(F$13:F173)),"n/a",AVERAGE(F$13:F173))</f>
        <v>n/a</v>
      </c>
      <c r="H173" s="11" t="str">
        <f t="shared" si="33"/>
        <v>n/a</v>
      </c>
      <c r="J173" s="5"/>
      <c r="K173" s="5"/>
      <c r="L173" s="5"/>
      <c r="M173" s="5"/>
      <c r="N173" s="5"/>
      <c r="O173" s="8" t="str">
        <f t="shared" si="31"/>
        <v>n/a</v>
      </c>
      <c r="Q173" s="5"/>
      <c r="R173" s="5"/>
      <c r="S173" s="5"/>
      <c r="U173" s="6"/>
      <c r="V173" s="9" t="str">
        <f t="shared" si="34"/>
        <v/>
      </c>
      <c r="W173" s="9" t="str">
        <f t="shared" si="35"/>
        <v/>
      </c>
      <c r="X173" s="10">
        <f>SUM(V$13:V173)/COUNTA(B$13:B173)</f>
        <v>0</v>
      </c>
      <c r="Z173" s="5"/>
      <c r="AA173" s="5"/>
      <c r="AC173" s="7"/>
      <c r="AE173" s="54" t="e">
        <f t="shared" si="36"/>
        <v>#N/A</v>
      </c>
      <c r="AF173" s="4" t="e">
        <f t="shared" si="32"/>
        <v>#N/A</v>
      </c>
    </row>
    <row r="174" spans="2:32">
      <c r="B174" s="5">
        <f t="shared" si="37"/>
        <v>162</v>
      </c>
      <c r="C174" s="5"/>
      <c r="E174" s="13"/>
      <c r="F174" s="5"/>
      <c r="G174" s="11" t="str">
        <f>IF(ISERROR(AVERAGE(F$13:F174)),"n/a",AVERAGE(F$13:F174))</f>
        <v>n/a</v>
      </c>
      <c r="H174" s="11" t="str">
        <f t="shared" si="33"/>
        <v>n/a</v>
      </c>
      <c r="J174" s="5"/>
      <c r="K174" s="5"/>
      <c r="L174" s="5"/>
      <c r="M174" s="5"/>
      <c r="N174" s="5"/>
      <c r="O174" s="8" t="str">
        <f t="shared" si="31"/>
        <v>n/a</v>
      </c>
      <c r="Q174" s="5"/>
      <c r="R174" s="5"/>
      <c r="S174" s="5"/>
      <c r="U174" s="6"/>
      <c r="V174" s="9" t="str">
        <f t="shared" si="34"/>
        <v/>
      </c>
      <c r="W174" s="9" t="str">
        <f t="shared" si="35"/>
        <v/>
      </c>
      <c r="X174" s="10">
        <f>SUM(V$13:V174)/COUNTA(B$13:B174)</f>
        <v>0</v>
      </c>
      <c r="Z174" s="5"/>
      <c r="AA174" s="5"/>
      <c r="AC174" s="7"/>
      <c r="AE174" s="54" t="e">
        <f t="shared" si="36"/>
        <v>#N/A</v>
      </c>
      <c r="AF174" s="4" t="e">
        <f t="shared" si="32"/>
        <v>#N/A</v>
      </c>
    </row>
    <row r="175" spans="2:32">
      <c r="B175" s="5">
        <f t="shared" si="37"/>
        <v>163</v>
      </c>
      <c r="C175" s="5"/>
      <c r="E175" s="13"/>
      <c r="F175" s="5"/>
      <c r="G175" s="11" t="str">
        <f>IF(ISERROR(AVERAGE(F$13:F175)),"n/a",AVERAGE(F$13:F175))</f>
        <v>n/a</v>
      </c>
      <c r="H175" s="11" t="str">
        <f t="shared" si="33"/>
        <v>n/a</v>
      </c>
      <c r="J175" s="5"/>
      <c r="K175" s="5"/>
      <c r="L175" s="5"/>
      <c r="M175" s="5"/>
      <c r="N175" s="5"/>
      <c r="O175" s="8" t="str">
        <f t="shared" si="31"/>
        <v>n/a</v>
      </c>
      <c r="Q175" s="5"/>
      <c r="R175" s="5"/>
      <c r="S175" s="5"/>
      <c r="U175" s="6"/>
      <c r="V175" s="9" t="str">
        <f t="shared" si="34"/>
        <v/>
      </c>
      <c r="W175" s="9" t="str">
        <f t="shared" si="35"/>
        <v/>
      </c>
      <c r="X175" s="10">
        <f>SUM(V$13:V175)/COUNTA(B$13:B175)</f>
        <v>0</v>
      </c>
      <c r="Z175" s="5"/>
      <c r="AA175" s="5"/>
      <c r="AC175" s="7"/>
      <c r="AE175" s="54" t="e">
        <f t="shared" si="36"/>
        <v>#N/A</v>
      </c>
      <c r="AF175" s="4" t="e">
        <f t="shared" si="32"/>
        <v>#N/A</v>
      </c>
    </row>
    <row r="176" spans="2:32">
      <c r="B176" s="5">
        <f t="shared" si="37"/>
        <v>164</v>
      </c>
      <c r="C176" s="5"/>
      <c r="E176" s="13"/>
      <c r="F176" s="5"/>
      <c r="G176" s="11" t="str">
        <f>IF(ISERROR(AVERAGE(F$13:F176)),"n/a",AVERAGE(F$13:F176))</f>
        <v>n/a</v>
      </c>
      <c r="H176" s="11" t="str">
        <f t="shared" si="33"/>
        <v>n/a</v>
      </c>
      <c r="J176" s="5"/>
      <c r="K176" s="5"/>
      <c r="L176" s="5"/>
      <c r="M176" s="5"/>
      <c r="N176" s="5"/>
      <c r="O176" s="8" t="str">
        <f t="shared" si="31"/>
        <v>n/a</v>
      </c>
      <c r="Q176" s="5"/>
      <c r="R176" s="5"/>
      <c r="S176" s="5"/>
      <c r="U176" s="6"/>
      <c r="V176" s="9" t="str">
        <f t="shared" si="34"/>
        <v/>
      </c>
      <c r="W176" s="9" t="str">
        <f t="shared" si="35"/>
        <v/>
      </c>
      <c r="X176" s="10">
        <f>SUM(V$13:V176)/COUNTA(B$13:B176)</f>
        <v>0</v>
      </c>
      <c r="Z176" s="5"/>
      <c r="AA176" s="5"/>
      <c r="AC176" s="7"/>
      <c r="AE176" s="54" t="e">
        <f t="shared" si="36"/>
        <v>#N/A</v>
      </c>
      <c r="AF176" s="4" t="e">
        <f t="shared" si="32"/>
        <v>#N/A</v>
      </c>
    </row>
    <row r="177" spans="2:32">
      <c r="B177" s="5">
        <f t="shared" si="37"/>
        <v>165</v>
      </c>
      <c r="C177" s="5"/>
      <c r="E177" s="13"/>
      <c r="F177" s="5"/>
      <c r="G177" s="11" t="str">
        <f>IF(ISERROR(AVERAGE(F$13:F177)),"n/a",AVERAGE(F$13:F177))</f>
        <v>n/a</v>
      </c>
      <c r="H177" s="11" t="str">
        <f t="shared" si="33"/>
        <v>n/a</v>
      </c>
      <c r="J177" s="5"/>
      <c r="K177" s="5"/>
      <c r="L177" s="5"/>
      <c r="M177" s="5"/>
      <c r="N177" s="5"/>
      <c r="O177" s="8" t="str">
        <f t="shared" si="31"/>
        <v>n/a</v>
      </c>
      <c r="Q177" s="5"/>
      <c r="R177" s="5"/>
      <c r="S177" s="5"/>
      <c r="U177" s="6"/>
      <c r="V177" s="9" t="str">
        <f t="shared" si="34"/>
        <v/>
      </c>
      <c r="W177" s="9" t="str">
        <f t="shared" si="35"/>
        <v/>
      </c>
      <c r="X177" s="10">
        <f>SUM(V$13:V177)/COUNTA(B$13:B177)</f>
        <v>0</v>
      </c>
      <c r="Z177" s="5"/>
      <c r="AA177" s="5"/>
      <c r="AC177" s="7"/>
      <c r="AE177" s="54" t="e">
        <f t="shared" si="36"/>
        <v>#N/A</v>
      </c>
      <c r="AF177" s="4" t="e">
        <f t="shared" si="32"/>
        <v>#N/A</v>
      </c>
    </row>
    <row r="178" spans="2:32">
      <c r="B178" s="5">
        <f t="shared" si="37"/>
        <v>166</v>
      </c>
      <c r="C178" s="5"/>
      <c r="E178" s="13"/>
      <c r="F178" s="5"/>
      <c r="G178" s="11" t="str">
        <f>IF(ISERROR(AVERAGE(F$13:F178)),"n/a",AVERAGE(F$13:F178))</f>
        <v>n/a</v>
      </c>
      <c r="H178" s="11" t="str">
        <f t="shared" si="33"/>
        <v>n/a</v>
      </c>
      <c r="J178" s="5"/>
      <c r="K178" s="5"/>
      <c r="L178" s="5"/>
      <c r="M178" s="5"/>
      <c r="N178" s="5"/>
      <c r="O178" s="8" t="str">
        <f t="shared" si="31"/>
        <v>n/a</v>
      </c>
      <c r="Q178" s="5"/>
      <c r="R178" s="5"/>
      <c r="S178" s="5"/>
      <c r="U178" s="6"/>
      <c r="V178" s="9" t="str">
        <f t="shared" si="34"/>
        <v/>
      </c>
      <c r="W178" s="9" t="str">
        <f t="shared" si="35"/>
        <v/>
      </c>
      <c r="X178" s="10">
        <f>SUM(V$13:V178)/COUNTA(B$13:B178)</f>
        <v>0</v>
      </c>
      <c r="Z178" s="5"/>
      <c r="AA178" s="5"/>
      <c r="AC178" s="7"/>
      <c r="AE178" s="54" t="e">
        <f t="shared" si="36"/>
        <v>#N/A</v>
      </c>
      <c r="AF178" s="4" t="e">
        <f t="shared" si="32"/>
        <v>#N/A</v>
      </c>
    </row>
    <row r="179" spans="2:32">
      <c r="B179" s="5">
        <f t="shared" si="37"/>
        <v>167</v>
      </c>
      <c r="C179" s="5"/>
      <c r="E179" s="13"/>
      <c r="F179" s="5"/>
      <c r="G179" s="11" t="str">
        <f>IF(ISERROR(AVERAGE(F$13:F179)),"n/a",AVERAGE(F$13:F179))</f>
        <v>n/a</v>
      </c>
      <c r="H179" s="11" t="str">
        <f t="shared" si="33"/>
        <v>n/a</v>
      </c>
      <c r="J179" s="5"/>
      <c r="K179" s="5"/>
      <c r="L179" s="5"/>
      <c r="M179" s="5"/>
      <c r="N179" s="5"/>
      <c r="O179" s="8" t="str">
        <f t="shared" si="31"/>
        <v>n/a</v>
      </c>
      <c r="Q179" s="5"/>
      <c r="R179" s="5"/>
      <c r="S179" s="5"/>
      <c r="U179" s="6"/>
      <c r="V179" s="9" t="str">
        <f t="shared" si="34"/>
        <v/>
      </c>
      <c r="W179" s="9" t="str">
        <f t="shared" si="35"/>
        <v/>
      </c>
      <c r="X179" s="10">
        <f>SUM(V$13:V179)/COUNTA(B$13:B179)</f>
        <v>0</v>
      </c>
      <c r="Z179" s="5"/>
      <c r="AA179" s="5"/>
      <c r="AC179" s="7"/>
      <c r="AE179" s="54" t="e">
        <f t="shared" si="36"/>
        <v>#N/A</v>
      </c>
      <c r="AF179" s="4" t="e">
        <f t="shared" si="32"/>
        <v>#N/A</v>
      </c>
    </row>
    <row r="180" spans="2:32">
      <c r="B180" s="5">
        <f t="shared" si="37"/>
        <v>168</v>
      </c>
      <c r="C180" s="5"/>
      <c r="E180" s="13"/>
      <c r="F180" s="5"/>
      <c r="G180" s="11" t="str">
        <f>IF(ISERROR(AVERAGE(F$13:F180)),"n/a",AVERAGE(F$13:F180))</f>
        <v>n/a</v>
      </c>
      <c r="H180" s="11" t="str">
        <f t="shared" si="33"/>
        <v>n/a</v>
      </c>
      <c r="J180" s="5"/>
      <c r="K180" s="5"/>
      <c r="L180" s="5"/>
      <c r="M180" s="5"/>
      <c r="N180" s="5"/>
      <c r="O180" s="8" t="str">
        <f t="shared" si="31"/>
        <v>n/a</v>
      </c>
      <c r="Q180" s="5"/>
      <c r="R180" s="5"/>
      <c r="S180" s="5"/>
      <c r="U180" s="6"/>
      <c r="V180" s="9" t="str">
        <f t="shared" si="34"/>
        <v/>
      </c>
      <c r="W180" s="9" t="str">
        <f t="shared" si="35"/>
        <v/>
      </c>
      <c r="X180" s="10">
        <f>SUM(V$13:V180)/COUNTA(B$13:B180)</f>
        <v>0</v>
      </c>
      <c r="Z180" s="5"/>
      <c r="AA180" s="5"/>
      <c r="AC180" s="7"/>
      <c r="AE180" s="54" t="e">
        <f t="shared" si="36"/>
        <v>#N/A</v>
      </c>
      <c r="AF180" s="4" t="e">
        <f t="shared" si="32"/>
        <v>#N/A</v>
      </c>
    </row>
    <row r="181" spans="2:32">
      <c r="B181" s="5">
        <f t="shared" si="37"/>
        <v>169</v>
      </c>
      <c r="C181" s="5"/>
      <c r="E181" s="13"/>
      <c r="F181" s="5"/>
      <c r="G181" s="11" t="str">
        <f>IF(ISERROR(AVERAGE(F$13:F181)),"n/a",AVERAGE(F$13:F181))</f>
        <v>n/a</v>
      </c>
      <c r="H181" s="11" t="str">
        <f t="shared" si="33"/>
        <v>n/a</v>
      </c>
      <c r="J181" s="5"/>
      <c r="K181" s="5"/>
      <c r="L181" s="5"/>
      <c r="M181" s="5"/>
      <c r="N181" s="5"/>
      <c r="O181" s="8" t="str">
        <f t="shared" si="31"/>
        <v>n/a</v>
      </c>
      <c r="Q181" s="5"/>
      <c r="R181" s="5"/>
      <c r="S181" s="5"/>
      <c r="U181" s="6"/>
      <c r="V181" s="9" t="str">
        <f t="shared" si="34"/>
        <v/>
      </c>
      <c r="W181" s="9" t="str">
        <f t="shared" si="35"/>
        <v/>
      </c>
      <c r="X181" s="10">
        <f>SUM(V$13:V181)/COUNTA(B$13:B181)</f>
        <v>0</v>
      </c>
      <c r="Z181" s="5"/>
      <c r="AA181" s="5"/>
      <c r="AC181" s="7"/>
      <c r="AE181" s="54" t="e">
        <f t="shared" si="36"/>
        <v>#N/A</v>
      </c>
      <c r="AF181" s="4" t="e">
        <f t="shared" si="32"/>
        <v>#N/A</v>
      </c>
    </row>
    <row r="182" spans="2:32">
      <c r="B182" s="5">
        <f t="shared" si="37"/>
        <v>170</v>
      </c>
      <c r="C182" s="5"/>
      <c r="E182" s="13"/>
      <c r="F182" s="5"/>
      <c r="G182" s="11" t="str">
        <f>IF(ISERROR(AVERAGE(F$13:F182)),"n/a",AVERAGE(F$13:F182))</f>
        <v>n/a</v>
      </c>
      <c r="H182" s="11" t="str">
        <f t="shared" si="33"/>
        <v>n/a</v>
      </c>
      <c r="J182" s="5"/>
      <c r="K182" s="5"/>
      <c r="L182" s="5"/>
      <c r="M182" s="5"/>
      <c r="N182" s="5"/>
      <c r="O182" s="8" t="str">
        <f t="shared" si="31"/>
        <v>n/a</v>
      </c>
      <c r="Q182" s="5"/>
      <c r="R182" s="5"/>
      <c r="S182" s="5"/>
      <c r="U182" s="6"/>
      <c r="V182" s="9" t="str">
        <f t="shared" si="34"/>
        <v/>
      </c>
      <c r="W182" s="9" t="str">
        <f t="shared" si="35"/>
        <v/>
      </c>
      <c r="X182" s="10">
        <f>SUM(V$13:V182)/COUNTA(B$13:B182)</f>
        <v>0</v>
      </c>
      <c r="Z182" s="5"/>
      <c r="AA182" s="5"/>
      <c r="AC182" s="7"/>
      <c r="AE182" s="54" t="e">
        <f t="shared" si="36"/>
        <v>#N/A</v>
      </c>
      <c r="AF182" s="4" t="e">
        <f t="shared" si="32"/>
        <v>#N/A</v>
      </c>
    </row>
    <row r="183" spans="2:32">
      <c r="B183" s="5">
        <f t="shared" si="37"/>
        <v>171</v>
      </c>
      <c r="C183" s="5"/>
      <c r="E183" s="13"/>
      <c r="F183" s="5"/>
      <c r="G183" s="11" t="str">
        <f>IF(ISERROR(AVERAGE(F$13:F183)),"n/a",AVERAGE(F$13:F183))</f>
        <v>n/a</v>
      </c>
      <c r="H183" s="11" t="str">
        <f t="shared" si="33"/>
        <v>n/a</v>
      </c>
      <c r="J183" s="5"/>
      <c r="K183" s="5"/>
      <c r="L183" s="5"/>
      <c r="M183" s="5"/>
      <c r="N183" s="5"/>
      <c r="O183" s="8" t="str">
        <f t="shared" si="31"/>
        <v>n/a</v>
      </c>
      <c r="Q183" s="5"/>
      <c r="R183" s="5"/>
      <c r="S183" s="5"/>
      <c r="U183" s="6"/>
      <c r="V183" s="9" t="str">
        <f t="shared" si="34"/>
        <v/>
      </c>
      <c r="W183" s="9" t="str">
        <f t="shared" si="35"/>
        <v/>
      </c>
      <c r="X183" s="10">
        <f>SUM(V$13:V183)/COUNTA(B$13:B183)</f>
        <v>0</v>
      </c>
      <c r="Z183" s="5"/>
      <c r="AA183" s="5"/>
      <c r="AC183" s="7"/>
      <c r="AE183" s="54" t="e">
        <f t="shared" si="36"/>
        <v>#N/A</v>
      </c>
      <c r="AF183" s="4" t="e">
        <f t="shared" si="32"/>
        <v>#N/A</v>
      </c>
    </row>
    <row r="184" spans="2:32">
      <c r="B184" s="5">
        <f t="shared" si="37"/>
        <v>172</v>
      </c>
      <c r="C184" s="5"/>
      <c r="E184" s="13"/>
      <c r="F184" s="5"/>
      <c r="G184" s="11" t="str">
        <f>IF(ISERROR(AVERAGE(F$13:F184)),"n/a",AVERAGE(F$13:F184))</f>
        <v>n/a</v>
      </c>
      <c r="H184" s="11" t="str">
        <f t="shared" si="33"/>
        <v>n/a</v>
      </c>
      <c r="J184" s="5"/>
      <c r="K184" s="5"/>
      <c r="L184" s="5"/>
      <c r="M184" s="5"/>
      <c r="N184" s="5"/>
      <c r="O184" s="8" t="str">
        <f t="shared" si="31"/>
        <v>n/a</v>
      </c>
      <c r="Q184" s="5"/>
      <c r="R184" s="5"/>
      <c r="S184" s="5"/>
      <c r="U184" s="6"/>
      <c r="V184" s="9" t="str">
        <f t="shared" si="34"/>
        <v/>
      </c>
      <c r="W184" s="9" t="str">
        <f t="shared" si="35"/>
        <v/>
      </c>
      <c r="X184" s="10">
        <f>SUM(V$13:V184)/COUNTA(B$13:B184)</f>
        <v>0</v>
      </c>
      <c r="Z184" s="5"/>
      <c r="AA184" s="5"/>
      <c r="AC184" s="7"/>
      <c r="AE184" s="54" t="e">
        <f t="shared" si="36"/>
        <v>#N/A</v>
      </c>
      <c r="AF184" s="4" t="e">
        <f t="shared" si="32"/>
        <v>#N/A</v>
      </c>
    </row>
    <row r="185" spans="2:32">
      <c r="B185" s="5">
        <f t="shared" si="37"/>
        <v>173</v>
      </c>
      <c r="C185" s="5"/>
      <c r="E185" s="13"/>
      <c r="F185" s="5"/>
      <c r="G185" s="11" t="str">
        <f>IF(ISERROR(AVERAGE(F$13:F185)),"n/a",AVERAGE(F$13:F185))</f>
        <v>n/a</v>
      </c>
      <c r="H185" s="11" t="str">
        <f t="shared" si="33"/>
        <v>n/a</v>
      </c>
      <c r="J185" s="5"/>
      <c r="K185" s="5"/>
      <c r="L185" s="5"/>
      <c r="M185" s="5"/>
      <c r="N185" s="5"/>
      <c r="O185" s="8" t="str">
        <f t="shared" si="31"/>
        <v>n/a</v>
      </c>
      <c r="Q185" s="5"/>
      <c r="R185" s="5"/>
      <c r="S185" s="5"/>
      <c r="U185" s="6"/>
      <c r="V185" s="9" t="str">
        <f t="shared" si="34"/>
        <v/>
      </c>
      <c r="W185" s="9" t="str">
        <f t="shared" si="35"/>
        <v/>
      </c>
      <c r="X185" s="10">
        <f>SUM(V$13:V185)/COUNTA(B$13:B185)</f>
        <v>0</v>
      </c>
      <c r="Z185" s="5"/>
      <c r="AA185" s="5"/>
      <c r="AC185" s="7"/>
      <c r="AE185" s="54" t="e">
        <f t="shared" si="36"/>
        <v>#N/A</v>
      </c>
      <c r="AF185" s="4" t="e">
        <f t="shared" si="32"/>
        <v>#N/A</v>
      </c>
    </row>
    <row r="186" spans="2:32">
      <c r="B186" s="5">
        <f t="shared" si="37"/>
        <v>174</v>
      </c>
      <c r="C186" s="5"/>
      <c r="E186" s="13"/>
      <c r="F186" s="5"/>
      <c r="G186" s="11" t="str">
        <f>IF(ISERROR(AVERAGE(F$13:F186)),"n/a",AVERAGE(F$13:F186))</f>
        <v>n/a</v>
      </c>
      <c r="H186" s="11" t="str">
        <f t="shared" si="33"/>
        <v>n/a</v>
      </c>
      <c r="J186" s="5"/>
      <c r="K186" s="5"/>
      <c r="L186" s="5"/>
      <c r="M186" s="5"/>
      <c r="N186" s="5"/>
      <c r="O186" s="8" t="str">
        <f t="shared" si="31"/>
        <v>n/a</v>
      </c>
      <c r="Q186" s="5"/>
      <c r="R186" s="5"/>
      <c r="S186" s="5"/>
      <c r="U186" s="6"/>
      <c r="V186" s="9" t="str">
        <f t="shared" si="34"/>
        <v/>
      </c>
      <c r="W186" s="9" t="str">
        <f t="shared" si="35"/>
        <v/>
      </c>
      <c r="X186" s="10">
        <f>SUM(V$13:V186)/COUNTA(B$13:B186)</f>
        <v>0</v>
      </c>
      <c r="Z186" s="5"/>
      <c r="AA186" s="5"/>
      <c r="AC186" s="7"/>
      <c r="AE186" s="54" t="e">
        <f t="shared" si="36"/>
        <v>#N/A</v>
      </c>
      <c r="AF186" s="4" t="e">
        <f t="shared" si="32"/>
        <v>#N/A</v>
      </c>
    </row>
    <row r="187" spans="2:32">
      <c r="B187" s="5">
        <f t="shared" si="37"/>
        <v>175</v>
      </c>
      <c r="C187" s="5"/>
      <c r="E187" s="13"/>
      <c r="F187" s="5"/>
      <c r="G187" s="11" t="str">
        <f>IF(ISERROR(AVERAGE(F$13:F187)),"n/a",AVERAGE(F$13:F187))</f>
        <v>n/a</v>
      </c>
      <c r="H187" s="11" t="str">
        <f t="shared" si="33"/>
        <v>n/a</v>
      </c>
      <c r="J187" s="5"/>
      <c r="K187" s="5"/>
      <c r="L187" s="5"/>
      <c r="M187" s="5"/>
      <c r="N187" s="5"/>
      <c r="O187" s="8" t="str">
        <f t="shared" si="31"/>
        <v>n/a</v>
      </c>
      <c r="Q187" s="5"/>
      <c r="R187" s="5"/>
      <c r="S187" s="5"/>
      <c r="U187" s="6"/>
      <c r="V187" s="9" t="str">
        <f t="shared" si="34"/>
        <v/>
      </c>
      <c r="W187" s="9" t="str">
        <f t="shared" si="35"/>
        <v/>
      </c>
      <c r="X187" s="10">
        <f>SUM(V$13:V187)/COUNTA(B$13:B187)</f>
        <v>0</v>
      </c>
      <c r="Z187" s="5"/>
      <c r="AA187" s="5"/>
      <c r="AC187" s="7"/>
      <c r="AE187" s="54" t="e">
        <f t="shared" si="36"/>
        <v>#N/A</v>
      </c>
      <c r="AF187" s="4" t="e">
        <f t="shared" si="32"/>
        <v>#N/A</v>
      </c>
    </row>
    <row r="188" spans="2:32">
      <c r="B188" s="5">
        <f t="shared" si="37"/>
        <v>176</v>
      </c>
      <c r="C188" s="5"/>
      <c r="E188" s="13"/>
      <c r="F188" s="5"/>
      <c r="G188" s="11" t="str">
        <f>IF(ISERROR(AVERAGE(F$13:F188)),"n/a",AVERAGE(F$13:F188))</f>
        <v>n/a</v>
      </c>
      <c r="H188" s="11" t="str">
        <f t="shared" si="33"/>
        <v>n/a</v>
      </c>
      <c r="J188" s="5"/>
      <c r="K188" s="5"/>
      <c r="L188" s="5"/>
      <c r="M188" s="5"/>
      <c r="N188" s="5"/>
      <c r="O188" s="8" t="str">
        <f t="shared" si="31"/>
        <v>n/a</v>
      </c>
      <c r="Q188" s="5"/>
      <c r="R188" s="5"/>
      <c r="S188" s="5"/>
      <c r="U188" s="6"/>
      <c r="V188" s="9" t="str">
        <f t="shared" si="34"/>
        <v/>
      </c>
      <c r="W188" s="9" t="str">
        <f t="shared" si="35"/>
        <v/>
      </c>
      <c r="X188" s="10">
        <f>SUM(V$13:V188)/COUNTA(B$13:B188)</f>
        <v>0</v>
      </c>
      <c r="Z188" s="5"/>
      <c r="AA188" s="5"/>
      <c r="AC188" s="7"/>
      <c r="AE188" s="54" t="e">
        <f t="shared" si="36"/>
        <v>#N/A</v>
      </c>
      <c r="AF188" s="4" t="e">
        <f t="shared" si="32"/>
        <v>#N/A</v>
      </c>
    </row>
    <row r="189" spans="2:32">
      <c r="B189" s="5">
        <f t="shared" si="37"/>
        <v>177</v>
      </c>
      <c r="C189" s="5"/>
      <c r="E189" s="13"/>
      <c r="F189" s="5"/>
      <c r="G189" s="11" t="str">
        <f>IF(ISERROR(AVERAGE(F$13:F189)),"n/a",AVERAGE(F$13:F189))</f>
        <v>n/a</v>
      </c>
      <c r="H189" s="11" t="str">
        <f t="shared" si="33"/>
        <v>n/a</v>
      </c>
      <c r="J189" s="5"/>
      <c r="K189" s="5"/>
      <c r="L189" s="5"/>
      <c r="M189" s="5"/>
      <c r="N189" s="5"/>
      <c r="O189" s="8" t="str">
        <f t="shared" si="31"/>
        <v>n/a</v>
      </c>
      <c r="Q189" s="5"/>
      <c r="R189" s="5"/>
      <c r="S189" s="5"/>
      <c r="U189" s="6"/>
      <c r="V189" s="9" t="str">
        <f t="shared" si="34"/>
        <v/>
      </c>
      <c r="W189" s="9" t="str">
        <f t="shared" si="35"/>
        <v/>
      </c>
      <c r="X189" s="10">
        <f>SUM(V$13:V189)/COUNTA(B$13:B189)</f>
        <v>0</v>
      </c>
      <c r="Z189" s="5"/>
      <c r="AA189" s="5"/>
      <c r="AC189" s="7"/>
      <c r="AE189" s="54" t="e">
        <f t="shared" si="36"/>
        <v>#N/A</v>
      </c>
      <c r="AF189" s="4" t="e">
        <f t="shared" si="32"/>
        <v>#N/A</v>
      </c>
    </row>
    <row r="190" spans="2:32">
      <c r="B190" s="5">
        <f t="shared" si="37"/>
        <v>178</v>
      </c>
      <c r="C190" s="5"/>
      <c r="E190" s="13"/>
      <c r="F190" s="5"/>
      <c r="G190" s="11" t="str">
        <f>IF(ISERROR(AVERAGE(F$13:F190)),"n/a",AVERAGE(F$13:F190))</f>
        <v>n/a</v>
      </c>
      <c r="H190" s="11" t="str">
        <f t="shared" si="33"/>
        <v>n/a</v>
      </c>
      <c r="J190" s="5"/>
      <c r="K190" s="5"/>
      <c r="L190" s="5"/>
      <c r="M190" s="5"/>
      <c r="N190" s="5"/>
      <c r="O190" s="8" t="str">
        <f t="shared" si="31"/>
        <v>n/a</v>
      </c>
      <c r="Q190" s="5"/>
      <c r="R190" s="5"/>
      <c r="S190" s="5"/>
      <c r="U190" s="6"/>
      <c r="V190" s="9" t="str">
        <f t="shared" si="34"/>
        <v/>
      </c>
      <c r="W190" s="9" t="str">
        <f t="shared" si="35"/>
        <v/>
      </c>
      <c r="X190" s="10">
        <f>SUM(V$13:V190)/COUNTA(B$13:B190)</f>
        <v>0</v>
      </c>
      <c r="Z190" s="5"/>
      <c r="AA190" s="5"/>
      <c r="AC190" s="7"/>
      <c r="AE190" s="54" t="e">
        <f t="shared" si="36"/>
        <v>#N/A</v>
      </c>
      <c r="AF190" s="4" t="e">
        <f t="shared" si="32"/>
        <v>#N/A</v>
      </c>
    </row>
    <row r="191" spans="2:32">
      <c r="B191" s="5">
        <f t="shared" si="37"/>
        <v>179</v>
      </c>
      <c r="C191" s="5"/>
      <c r="E191" s="13"/>
      <c r="F191" s="5"/>
      <c r="G191" s="11" t="str">
        <f>IF(ISERROR(AVERAGE(F$13:F191)),"n/a",AVERAGE(F$13:F191))</f>
        <v>n/a</v>
      </c>
      <c r="H191" s="11" t="str">
        <f t="shared" si="33"/>
        <v>n/a</v>
      </c>
      <c r="J191" s="5"/>
      <c r="K191" s="5"/>
      <c r="L191" s="5"/>
      <c r="M191" s="5"/>
      <c r="N191" s="5"/>
      <c r="O191" s="8" t="str">
        <f t="shared" si="31"/>
        <v>n/a</v>
      </c>
      <c r="Q191" s="5"/>
      <c r="R191" s="5"/>
      <c r="S191" s="5"/>
      <c r="U191" s="6"/>
      <c r="V191" s="9" t="str">
        <f t="shared" si="34"/>
        <v/>
      </c>
      <c r="W191" s="9" t="str">
        <f t="shared" si="35"/>
        <v/>
      </c>
      <c r="X191" s="10">
        <f>SUM(V$13:V191)/COUNTA(B$13:B191)</f>
        <v>0</v>
      </c>
      <c r="Z191" s="5"/>
      <c r="AA191" s="5"/>
      <c r="AC191" s="7"/>
      <c r="AE191" s="54" t="e">
        <f t="shared" si="36"/>
        <v>#N/A</v>
      </c>
      <c r="AF191" s="4" t="e">
        <f t="shared" si="32"/>
        <v>#N/A</v>
      </c>
    </row>
    <row r="192" spans="2:32">
      <c r="B192" s="5">
        <f t="shared" si="37"/>
        <v>180</v>
      </c>
      <c r="C192" s="5"/>
      <c r="E192" s="13"/>
      <c r="F192" s="5"/>
      <c r="G192" s="11" t="str">
        <f>IF(ISERROR(AVERAGE(F$13:F192)),"n/a",AVERAGE(F$13:F192))</f>
        <v>n/a</v>
      </c>
      <c r="H192" s="11" t="str">
        <f t="shared" si="33"/>
        <v>n/a</v>
      </c>
      <c r="J192" s="5"/>
      <c r="K192" s="5"/>
      <c r="L192" s="5"/>
      <c r="M192" s="5"/>
      <c r="N192" s="5"/>
      <c r="O192" s="8" t="str">
        <f t="shared" si="31"/>
        <v>n/a</v>
      </c>
      <c r="Q192" s="5"/>
      <c r="R192" s="5"/>
      <c r="S192" s="5"/>
      <c r="U192" s="6"/>
      <c r="V192" s="9" t="str">
        <f t="shared" si="34"/>
        <v/>
      </c>
      <c r="W192" s="9" t="str">
        <f t="shared" si="35"/>
        <v/>
      </c>
      <c r="X192" s="10">
        <f>SUM(V$13:V192)/COUNTA(B$13:B192)</f>
        <v>0</v>
      </c>
      <c r="Z192" s="5"/>
      <c r="AA192" s="5"/>
      <c r="AC192" s="7"/>
      <c r="AE192" s="54" t="e">
        <f t="shared" si="36"/>
        <v>#N/A</v>
      </c>
      <c r="AF192" s="4" t="e">
        <f t="shared" si="32"/>
        <v>#N/A</v>
      </c>
    </row>
    <row r="193" spans="2:32">
      <c r="B193" s="5">
        <f t="shared" si="37"/>
        <v>181</v>
      </c>
      <c r="C193" s="5"/>
      <c r="E193" s="13"/>
      <c r="F193" s="5"/>
      <c r="G193" s="11" t="str">
        <f>IF(ISERROR(AVERAGE(F$13:F193)),"n/a",AVERAGE(F$13:F193))</f>
        <v>n/a</v>
      </c>
      <c r="H193" s="11" t="str">
        <f t="shared" si="33"/>
        <v>n/a</v>
      </c>
      <c r="J193" s="5"/>
      <c r="K193" s="5"/>
      <c r="L193" s="5"/>
      <c r="M193" s="5"/>
      <c r="N193" s="5"/>
      <c r="O193" s="8" t="str">
        <f t="shared" si="31"/>
        <v>n/a</v>
      </c>
      <c r="Q193" s="5"/>
      <c r="R193" s="5"/>
      <c r="S193" s="5"/>
      <c r="U193" s="6"/>
      <c r="V193" s="9" t="str">
        <f t="shared" si="34"/>
        <v/>
      </c>
      <c r="W193" s="9" t="str">
        <f t="shared" si="35"/>
        <v/>
      </c>
      <c r="X193" s="10">
        <f>SUM(V$13:V193)/COUNTA(B$13:B193)</f>
        <v>0</v>
      </c>
      <c r="Z193" s="5"/>
      <c r="AA193" s="5"/>
      <c r="AC193" s="7"/>
      <c r="AE193" s="54" t="e">
        <f t="shared" si="36"/>
        <v>#N/A</v>
      </c>
      <c r="AF193" s="4" t="e">
        <f t="shared" si="32"/>
        <v>#N/A</v>
      </c>
    </row>
    <row r="194" spans="2:32">
      <c r="B194" s="5">
        <f t="shared" si="37"/>
        <v>182</v>
      </c>
      <c r="C194" s="5"/>
      <c r="E194" s="13"/>
      <c r="F194" s="5"/>
      <c r="G194" s="11" t="str">
        <f>IF(ISERROR(AVERAGE(F$13:F194)),"n/a",AVERAGE(F$13:F194))</f>
        <v>n/a</v>
      </c>
      <c r="H194" s="11" t="str">
        <f t="shared" si="33"/>
        <v>n/a</v>
      </c>
      <c r="J194" s="5"/>
      <c r="K194" s="5"/>
      <c r="L194" s="5"/>
      <c r="M194" s="5"/>
      <c r="N194" s="5"/>
      <c r="O194" s="8" t="str">
        <f t="shared" si="31"/>
        <v>n/a</v>
      </c>
      <c r="Q194" s="5"/>
      <c r="R194" s="5"/>
      <c r="S194" s="5"/>
      <c r="U194" s="6"/>
      <c r="V194" s="9" t="str">
        <f t="shared" si="34"/>
        <v/>
      </c>
      <c r="W194" s="9" t="str">
        <f t="shared" si="35"/>
        <v/>
      </c>
      <c r="X194" s="10">
        <f>SUM(V$13:V194)/COUNTA(B$13:B194)</f>
        <v>0</v>
      </c>
      <c r="Z194" s="5"/>
      <c r="AA194" s="5"/>
      <c r="AC194" s="7"/>
      <c r="AE194" s="54" t="e">
        <f t="shared" si="36"/>
        <v>#N/A</v>
      </c>
      <c r="AF194" s="4" t="e">
        <f t="shared" si="32"/>
        <v>#N/A</v>
      </c>
    </row>
    <row r="195" spans="2:32">
      <c r="B195" s="5">
        <f t="shared" si="37"/>
        <v>183</v>
      </c>
      <c r="C195" s="5"/>
      <c r="E195" s="13"/>
      <c r="F195" s="5"/>
      <c r="G195" s="11" t="str">
        <f>IF(ISERROR(AVERAGE(F$13:F195)),"n/a",AVERAGE(F$13:F195))</f>
        <v>n/a</v>
      </c>
      <c r="H195" s="11" t="str">
        <f t="shared" si="33"/>
        <v>n/a</v>
      </c>
      <c r="J195" s="5"/>
      <c r="K195" s="5"/>
      <c r="L195" s="5"/>
      <c r="M195" s="5"/>
      <c r="N195" s="5"/>
      <c r="O195" s="8" t="str">
        <f t="shared" si="31"/>
        <v>n/a</v>
      </c>
      <c r="Q195" s="5"/>
      <c r="R195" s="5"/>
      <c r="S195" s="5"/>
      <c r="U195" s="6"/>
      <c r="V195" s="9" t="str">
        <f t="shared" si="34"/>
        <v/>
      </c>
      <c r="W195" s="9" t="str">
        <f t="shared" si="35"/>
        <v/>
      </c>
      <c r="X195" s="10">
        <f>SUM(V$13:V195)/COUNTA(B$13:B195)</f>
        <v>0</v>
      </c>
      <c r="Z195" s="5"/>
      <c r="AA195" s="5"/>
      <c r="AC195" s="7"/>
      <c r="AE195" s="54" t="e">
        <f t="shared" si="36"/>
        <v>#N/A</v>
      </c>
      <c r="AF195" s="4" t="e">
        <f t="shared" si="32"/>
        <v>#N/A</v>
      </c>
    </row>
    <row r="196" spans="2:32">
      <c r="B196" s="5">
        <f t="shared" si="37"/>
        <v>184</v>
      </c>
      <c r="C196" s="5"/>
      <c r="E196" s="13"/>
      <c r="F196" s="5"/>
      <c r="G196" s="11" t="str">
        <f>IF(ISERROR(AVERAGE(F$13:F196)),"n/a",AVERAGE(F$13:F196))</f>
        <v>n/a</v>
      </c>
      <c r="H196" s="11" t="str">
        <f t="shared" si="33"/>
        <v>n/a</v>
      </c>
      <c r="J196" s="5"/>
      <c r="K196" s="5"/>
      <c r="L196" s="5"/>
      <c r="M196" s="5"/>
      <c r="N196" s="5"/>
      <c r="O196" s="8" t="str">
        <f t="shared" si="31"/>
        <v>n/a</v>
      </c>
      <c r="Q196" s="5"/>
      <c r="R196" s="5"/>
      <c r="S196" s="5"/>
      <c r="U196" s="6"/>
      <c r="V196" s="9" t="str">
        <f t="shared" si="34"/>
        <v/>
      </c>
      <c r="W196" s="9" t="str">
        <f t="shared" si="35"/>
        <v/>
      </c>
      <c r="X196" s="10">
        <f>SUM(V$13:V196)/COUNTA(B$13:B196)</f>
        <v>0</v>
      </c>
      <c r="Z196" s="5"/>
      <c r="AA196" s="5"/>
      <c r="AC196" s="7"/>
      <c r="AE196" s="54" t="e">
        <f t="shared" si="36"/>
        <v>#N/A</v>
      </c>
      <c r="AF196" s="4" t="e">
        <f t="shared" si="32"/>
        <v>#N/A</v>
      </c>
    </row>
    <row r="197" spans="2:32">
      <c r="B197" s="5">
        <f t="shared" si="37"/>
        <v>185</v>
      </c>
      <c r="C197" s="5"/>
      <c r="E197" s="13"/>
      <c r="F197" s="5"/>
      <c r="G197" s="11" t="str">
        <f>IF(ISERROR(AVERAGE(F$13:F197)),"n/a",AVERAGE(F$13:F197))</f>
        <v>n/a</v>
      </c>
      <c r="H197" s="11" t="str">
        <f t="shared" si="33"/>
        <v>n/a</v>
      </c>
      <c r="J197" s="5"/>
      <c r="K197" s="5"/>
      <c r="L197" s="5"/>
      <c r="M197" s="5"/>
      <c r="N197" s="5"/>
      <c r="O197" s="8" t="str">
        <f t="shared" si="31"/>
        <v>n/a</v>
      </c>
      <c r="Q197" s="5"/>
      <c r="R197" s="5"/>
      <c r="S197" s="5"/>
      <c r="U197" s="6"/>
      <c r="V197" s="9" t="str">
        <f t="shared" si="34"/>
        <v/>
      </c>
      <c r="W197" s="9" t="str">
        <f t="shared" si="35"/>
        <v/>
      </c>
      <c r="X197" s="10">
        <f>SUM(V$13:V197)/COUNTA(B$13:B197)</f>
        <v>0</v>
      </c>
      <c r="Z197" s="5"/>
      <c r="AA197" s="5"/>
      <c r="AC197" s="7"/>
      <c r="AE197" s="54" t="e">
        <f t="shared" si="36"/>
        <v>#N/A</v>
      </c>
      <c r="AF197" s="4" t="e">
        <f t="shared" si="32"/>
        <v>#N/A</v>
      </c>
    </row>
    <row r="198" spans="2:32">
      <c r="B198" s="5">
        <f t="shared" si="37"/>
        <v>186</v>
      </c>
      <c r="C198" s="5"/>
      <c r="E198" s="13"/>
      <c r="F198" s="5"/>
      <c r="G198" s="11" t="str">
        <f>IF(ISERROR(AVERAGE(F$13:F198)),"n/a",AVERAGE(F$13:F198))</f>
        <v>n/a</v>
      </c>
      <c r="H198" s="11" t="str">
        <f t="shared" si="33"/>
        <v>n/a</v>
      </c>
      <c r="J198" s="5"/>
      <c r="K198" s="5"/>
      <c r="L198" s="5"/>
      <c r="M198" s="5"/>
      <c r="N198" s="5"/>
      <c r="O198" s="8" t="str">
        <f t="shared" si="31"/>
        <v>n/a</v>
      </c>
      <c r="Q198" s="5"/>
      <c r="R198" s="5"/>
      <c r="S198" s="5"/>
      <c r="U198" s="6"/>
      <c r="V198" s="9" t="str">
        <f t="shared" si="34"/>
        <v/>
      </c>
      <c r="W198" s="9" t="str">
        <f t="shared" si="35"/>
        <v/>
      </c>
      <c r="X198" s="10">
        <f>SUM(V$13:V198)/COUNTA(B$13:B198)</f>
        <v>0</v>
      </c>
      <c r="Z198" s="5"/>
      <c r="AA198" s="5"/>
      <c r="AC198" s="7"/>
      <c r="AE198" s="54" t="e">
        <f t="shared" si="36"/>
        <v>#N/A</v>
      </c>
      <c r="AF198" s="4" t="e">
        <f t="shared" si="32"/>
        <v>#N/A</v>
      </c>
    </row>
    <row r="199" spans="2:32">
      <c r="B199" s="5">
        <f t="shared" si="37"/>
        <v>187</v>
      </c>
      <c r="C199" s="5"/>
      <c r="E199" s="13"/>
      <c r="F199" s="5"/>
      <c r="G199" s="11" t="str">
        <f>IF(ISERROR(AVERAGE(F$13:F199)),"n/a",AVERAGE(F$13:F199))</f>
        <v>n/a</v>
      </c>
      <c r="H199" s="11" t="str">
        <f t="shared" si="33"/>
        <v>n/a</v>
      </c>
      <c r="J199" s="5"/>
      <c r="K199" s="5"/>
      <c r="L199" s="5"/>
      <c r="M199" s="5"/>
      <c r="N199" s="5"/>
      <c r="O199" s="8" t="str">
        <f t="shared" si="31"/>
        <v>n/a</v>
      </c>
      <c r="Q199" s="5"/>
      <c r="R199" s="5"/>
      <c r="S199" s="5"/>
      <c r="U199" s="6"/>
      <c r="V199" s="9" t="str">
        <f t="shared" si="34"/>
        <v/>
      </c>
      <c r="W199" s="9" t="str">
        <f t="shared" si="35"/>
        <v/>
      </c>
      <c r="X199" s="10">
        <f>SUM(V$13:V199)/COUNTA(B$13:B199)</f>
        <v>0</v>
      </c>
      <c r="Z199" s="5"/>
      <c r="AA199" s="5"/>
      <c r="AC199" s="7"/>
      <c r="AE199" s="54" t="e">
        <f t="shared" si="36"/>
        <v>#N/A</v>
      </c>
      <c r="AF199" s="4" t="e">
        <f t="shared" si="32"/>
        <v>#N/A</v>
      </c>
    </row>
    <row r="200" spans="2:32">
      <c r="B200" s="5">
        <f t="shared" si="37"/>
        <v>188</v>
      </c>
      <c r="C200" s="5"/>
      <c r="E200" s="13"/>
      <c r="F200" s="5"/>
      <c r="G200" s="11" t="str">
        <f>IF(ISERROR(AVERAGE(F$13:F200)),"n/a",AVERAGE(F$13:F200))</f>
        <v>n/a</v>
      </c>
      <c r="H200" s="11" t="str">
        <f t="shared" si="33"/>
        <v>n/a</v>
      </c>
      <c r="J200" s="5"/>
      <c r="K200" s="5"/>
      <c r="L200" s="5"/>
      <c r="M200" s="5"/>
      <c r="N200" s="5"/>
      <c r="O200" s="8" t="str">
        <f t="shared" si="31"/>
        <v>n/a</v>
      </c>
      <c r="Q200" s="5"/>
      <c r="R200" s="5"/>
      <c r="S200" s="5"/>
      <c r="U200" s="6"/>
      <c r="V200" s="9" t="str">
        <f t="shared" si="34"/>
        <v/>
      </c>
      <c r="W200" s="9" t="str">
        <f t="shared" si="35"/>
        <v/>
      </c>
      <c r="X200" s="10">
        <f>SUM(V$13:V200)/COUNTA(B$13:B200)</f>
        <v>0</v>
      </c>
      <c r="Z200" s="5"/>
      <c r="AA200" s="5"/>
      <c r="AC200" s="7"/>
      <c r="AE200" s="54" t="e">
        <f t="shared" si="36"/>
        <v>#N/A</v>
      </c>
      <c r="AF200" s="4" t="e">
        <f t="shared" si="32"/>
        <v>#N/A</v>
      </c>
    </row>
    <row r="201" spans="2:32">
      <c r="B201" s="5">
        <f t="shared" si="37"/>
        <v>189</v>
      </c>
      <c r="C201" s="5"/>
      <c r="E201" s="13"/>
      <c r="F201" s="5"/>
      <c r="G201" s="11" t="str">
        <f>IF(ISERROR(AVERAGE(F$13:F201)),"n/a",AVERAGE(F$13:F201))</f>
        <v>n/a</v>
      </c>
      <c r="H201" s="11" t="str">
        <f t="shared" si="33"/>
        <v>n/a</v>
      </c>
      <c r="J201" s="5"/>
      <c r="K201" s="5"/>
      <c r="L201" s="5"/>
      <c r="M201" s="5"/>
      <c r="N201" s="5"/>
      <c r="O201" s="8" t="str">
        <f t="shared" si="31"/>
        <v>n/a</v>
      </c>
      <c r="Q201" s="5"/>
      <c r="R201" s="5"/>
      <c r="S201" s="5"/>
      <c r="U201" s="6"/>
      <c r="V201" s="9" t="str">
        <f t="shared" si="34"/>
        <v/>
      </c>
      <c r="W201" s="9" t="str">
        <f t="shared" si="35"/>
        <v/>
      </c>
      <c r="X201" s="10">
        <f>SUM(V$13:V201)/COUNTA(B$13:B201)</f>
        <v>0</v>
      </c>
      <c r="Z201" s="5"/>
      <c r="AA201" s="5"/>
      <c r="AC201" s="7"/>
      <c r="AE201" s="54" t="e">
        <f t="shared" si="36"/>
        <v>#N/A</v>
      </c>
      <c r="AF201" s="4" t="e">
        <f t="shared" si="32"/>
        <v>#N/A</v>
      </c>
    </row>
    <row r="202" spans="2:32">
      <c r="B202" s="5">
        <f t="shared" si="37"/>
        <v>190</v>
      </c>
      <c r="C202" s="5"/>
      <c r="E202" s="13"/>
      <c r="F202" s="5"/>
      <c r="G202" s="11" t="str">
        <f>IF(ISERROR(AVERAGE(F$13:F202)),"n/a",AVERAGE(F$13:F202))</f>
        <v>n/a</v>
      </c>
      <c r="H202" s="11" t="str">
        <f t="shared" si="33"/>
        <v>n/a</v>
      </c>
      <c r="J202" s="5"/>
      <c r="K202" s="5"/>
      <c r="L202" s="5"/>
      <c r="M202" s="5"/>
      <c r="N202" s="5"/>
      <c r="O202" s="8" t="str">
        <f t="shared" si="31"/>
        <v>n/a</v>
      </c>
      <c r="Q202" s="5"/>
      <c r="R202" s="5"/>
      <c r="S202" s="5"/>
      <c r="U202" s="6"/>
      <c r="V202" s="9" t="str">
        <f t="shared" si="34"/>
        <v/>
      </c>
      <c r="W202" s="9" t="str">
        <f t="shared" si="35"/>
        <v/>
      </c>
      <c r="X202" s="10">
        <f>SUM(V$13:V202)/COUNTA(B$13:B202)</f>
        <v>0</v>
      </c>
      <c r="Z202" s="5"/>
      <c r="AA202" s="5"/>
      <c r="AC202" s="7"/>
      <c r="AE202" s="54" t="e">
        <f t="shared" si="36"/>
        <v>#N/A</v>
      </c>
      <c r="AF202" s="4" t="e">
        <f t="shared" si="32"/>
        <v>#N/A</v>
      </c>
    </row>
    <row r="203" spans="2:32">
      <c r="B203" s="5">
        <f t="shared" si="37"/>
        <v>191</v>
      </c>
      <c r="C203" s="5"/>
      <c r="E203" s="13"/>
      <c r="F203" s="5"/>
      <c r="G203" s="11" t="str">
        <f>IF(ISERROR(AVERAGE(F$13:F203)),"n/a",AVERAGE(F$13:F203))</f>
        <v>n/a</v>
      </c>
      <c r="H203" s="11" t="str">
        <f t="shared" si="33"/>
        <v>n/a</v>
      </c>
      <c r="J203" s="5"/>
      <c r="K203" s="5"/>
      <c r="L203" s="5"/>
      <c r="M203" s="5"/>
      <c r="N203" s="5"/>
      <c r="O203" s="8" t="str">
        <f t="shared" si="31"/>
        <v>n/a</v>
      </c>
      <c r="Q203" s="5"/>
      <c r="R203" s="5"/>
      <c r="S203" s="5"/>
      <c r="U203" s="6"/>
      <c r="V203" s="9" t="str">
        <f t="shared" si="34"/>
        <v/>
      </c>
      <c r="W203" s="9" t="str">
        <f t="shared" si="35"/>
        <v/>
      </c>
      <c r="X203" s="10">
        <f>SUM(V$13:V203)/COUNTA(B$13:B203)</f>
        <v>0</v>
      </c>
      <c r="Z203" s="5"/>
      <c r="AA203" s="5"/>
      <c r="AC203" s="7"/>
      <c r="AE203" s="54" t="e">
        <f t="shared" si="36"/>
        <v>#N/A</v>
      </c>
      <c r="AF203" s="4" t="e">
        <f t="shared" si="32"/>
        <v>#N/A</v>
      </c>
    </row>
    <row r="204" spans="2:32">
      <c r="B204" s="5">
        <f t="shared" si="37"/>
        <v>192</v>
      </c>
      <c r="C204" s="5"/>
      <c r="E204" s="13"/>
      <c r="F204" s="5"/>
      <c r="G204" s="11" t="str">
        <f>IF(ISERROR(AVERAGE(F$13:F204)),"n/a",AVERAGE(F$13:F204))</f>
        <v>n/a</v>
      </c>
      <c r="H204" s="11" t="str">
        <f t="shared" si="33"/>
        <v>n/a</v>
      </c>
      <c r="J204" s="5"/>
      <c r="K204" s="5"/>
      <c r="L204" s="5"/>
      <c r="M204" s="5"/>
      <c r="N204" s="5"/>
      <c r="O204" s="8" t="str">
        <f t="shared" si="31"/>
        <v>n/a</v>
      </c>
      <c r="Q204" s="5"/>
      <c r="R204" s="5"/>
      <c r="S204" s="5"/>
      <c r="U204" s="6"/>
      <c r="V204" s="9" t="str">
        <f t="shared" si="34"/>
        <v/>
      </c>
      <c r="W204" s="9" t="str">
        <f t="shared" si="35"/>
        <v/>
      </c>
      <c r="X204" s="10">
        <f>SUM(V$13:V204)/COUNTA(B$13:B204)</f>
        <v>0</v>
      </c>
      <c r="Z204" s="5"/>
      <c r="AA204" s="5"/>
      <c r="AC204" s="7"/>
      <c r="AE204" s="54" t="e">
        <f t="shared" si="36"/>
        <v>#N/A</v>
      </c>
      <c r="AF204" s="4" t="e">
        <f t="shared" si="32"/>
        <v>#N/A</v>
      </c>
    </row>
    <row r="205" spans="2:32">
      <c r="B205" s="5">
        <f t="shared" si="37"/>
        <v>193</v>
      </c>
      <c r="C205" s="5"/>
      <c r="E205" s="13"/>
      <c r="F205" s="5"/>
      <c r="G205" s="11" t="str">
        <f>IF(ISERROR(AVERAGE(F$13:F205)),"n/a",AVERAGE(F$13:F205))</f>
        <v>n/a</v>
      </c>
      <c r="H205" s="11" t="str">
        <f t="shared" si="33"/>
        <v>n/a</v>
      </c>
      <c r="J205" s="5"/>
      <c r="K205" s="5"/>
      <c r="L205" s="5"/>
      <c r="M205" s="5"/>
      <c r="N205" s="5"/>
      <c r="O205" s="8" t="str">
        <f t="shared" ref="O205:O268" si="38">IF(J205=1,"A",IF(K205=1,"B",IF(L205=1,"C",IF(M205=1,"D",IF(N205=1,"E","n/a")))))</f>
        <v>n/a</v>
      </c>
      <c r="Q205" s="5"/>
      <c r="R205" s="5"/>
      <c r="S205" s="5"/>
      <c r="U205" s="6"/>
      <c r="V205" s="9" t="str">
        <f t="shared" si="34"/>
        <v/>
      </c>
      <c r="W205" s="9" t="str">
        <f t="shared" si="35"/>
        <v/>
      </c>
      <c r="X205" s="10">
        <f>SUM(V$13:V205)/COUNTA(B$13:B205)</f>
        <v>0</v>
      </c>
      <c r="Z205" s="5"/>
      <c r="AA205" s="5"/>
      <c r="AC205" s="7"/>
      <c r="AE205" s="54" t="e">
        <f t="shared" si="36"/>
        <v>#N/A</v>
      </c>
      <c r="AF205" s="4" t="e">
        <f t="shared" ref="AF205:AF268" si="39">HLOOKUP(C205,$K$6:$O$7,2,FALSE)</f>
        <v>#N/A</v>
      </c>
    </row>
    <row r="206" spans="2:32">
      <c r="B206" s="5">
        <f t="shared" si="37"/>
        <v>194</v>
      </c>
      <c r="C206" s="5"/>
      <c r="E206" s="13"/>
      <c r="F206" s="5"/>
      <c r="G206" s="11" t="str">
        <f>IF(ISERROR(AVERAGE(F$13:F206)),"n/a",AVERAGE(F$13:F206))</f>
        <v>n/a</v>
      </c>
      <c r="H206" s="11" t="str">
        <f t="shared" ref="H206:H269" si="40">G206</f>
        <v>n/a</v>
      </c>
      <c r="J206" s="5"/>
      <c r="K206" s="5"/>
      <c r="L206" s="5"/>
      <c r="M206" s="5"/>
      <c r="N206" s="5"/>
      <c r="O206" s="8" t="str">
        <f t="shared" si="38"/>
        <v>n/a</v>
      </c>
      <c r="Q206" s="5"/>
      <c r="R206" s="5"/>
      <c r="S206" s="5"/>
      <c r="U206" s="6"/>
      <c r="V206" s="9" t="str">
        <f t="shared" ref="V206:V269" si="41">IF(O206="n/a","",IF(O206=U206,1,""))</f>
        <v/>
      </c>
      <c r="W206" s="9" t="str">
        <f t="shared" ref="W206:W269" si="42">IF(O206="n/a","",IF(O206&lt;&gt;U206,1,""))</f>
        <v/>
      </c>
      <c r="X206" s="10">
        <f>SUM(V$13:V206)/COUNTA(B$13:B206)</f>
        <v>0</v>
      </c>
      <c r="Z206" s="5"/>
      <c r="AA206" s="5"/>
      <c r="AC206" s="7"/>
      <c r="AE206" s="54" t="e">
        <f t="shared" ref="AE206:AE269" si="43">+IF($F$4=0,0,IF(W206=1,1,IF(OR(R206*$F$8=1,S206*$F$9=1,F206&gt;=AF206),2,0)))</f>
        <v>#N/A</v>
      </c>
      <c r="AF206" s="4" t="e">
        <f t="shared" si="39"/>
        <v>#N/A</v>
      </c>
    </row>
    <row r="207" spans="2:32">
      <c r="B207" s="5">
        <f t="shared" si="37"/>
        <v>195</v>
      </c>
      <c r="C207" s="5"/>
      <c r="E207" s="13"/>
      <c r="F207" s="5"/>
      <c r="G207" s="11" t="str">
        <f>IF(ISERROR(AVERAGE(F$13:F207)),"n/a",AVERAGE(F$13:F207))</f>
        <v>n/a</v>
      </c>
      <c r="H207" s="11" t="str">
        <f t="shared" si="40"/>
        <v>n/a</v>
      </c>
      <c r="J207" s="5"/>
      <c r="K207" s="5"/>
      <c r="L207" s="5"/>
      <c r="M207" s="5"/>
      <c r="N207" s="5"/>
      <c r="O207" s="8" t="str">
        <f t="shared" si="38"/>
        <v>n/a</v>
      </c>
      <c r="Q207" s="5"/>
      <c r="R207" s="5"/>
      <c r="S207" s="5"/>
      <c r="U207" s="6"/>
      <c r="V207" s="9" t="str">
        <f t="shared" si="41"/>
        <v/>
      </c>
      <c r="W207" s="9" t="str">
        <f t="shared" si="42"/>
        <v/>
      </c>
      <c r="X207" s="10">
        <f>SUM(V$13:V207)/COUNTA(B$13:B207)</f>
        <v>0</v>
      </c>
      <c r="Z207" s="5"/>
      <c r="AA207" s="5"/>
      <c r="AC207" s="7"/>
      <c r="AE207" s="54" t="e">
        <f t="shared" si="43"/>
        <v>#N/A</v>
      </c>
      <c r="AF207" s="4" t="e">
        <f t="shared" si="39"/>
        <v>#N/A</v>
      </c>
    </row>
    <row r="208" spans="2:32">
      <c r="B208" s="5">
        <f t="shared" si="37"/>
        <v>196</v>
      </c>
      <c r="C208" s="5"/>
      <c r="E208" s="13"/>
      <c r="F208" s="5"/>
      <c r="G208" s="11" t="str">
        <f>IF(ISERROR(AVERAGE(F$13:F208)),"n/a",AVERAGE(F$13:F208))</f>
        <v>n/a</v>
      </c>
      <c r="H208" s="11" t="str">
        <f t="shared" si="40"/>
        <v>n/a</v>
      </c>
      <c r="J208" s="5"/>
      <c r="K208" s="5"/>
      <c r="L208" s="5"/>
      <c r="M208" s="5"/>
      <c r="N208" s="5"/>
      <c r="O208" s="8" t="str">
        <f t="shared" si="38"/>
        <v>n/a</v>
      </c>
      <c r="Q208" s="5"/>
      <c r="R208" s="5"/>
      <c r="S208" s="5"/>
      <c r="U208" s="6"/>
      <c r="V208" s="9" t="str">
        <f t="shared" si="41"/>
        <v/>
      </c>
      <c r="W208" s="9" t="str">
        <f t="shared" si="42"/>
        <v/>
      </c>
      <c r="X208" s="10">
        <f>SUM(V$13:V208)/COUNTA(B$13:B208)</f>
        <v>0</v>
      </c>
      <c r="Z208" s="5"/>
      <c r="AA208" s="5"/>
      <c r="AC208" s="7"/>
      <c r="AE208" s="54" t="e">
        <f t="shared" si="43"/>
        <v>#N/A</v>
      </c>
      <c r="AF208" s="4" t="e">
        <f t="shared" si="39"/>
        <v>#N/A</v>
      </c>
    </row>
    <row r="209" spans="2:32">
      <c r="B209" s="5">
        <f t="shared" si="37"/>
        <v>197</v>
      </c>
      <c r="C209" s="5"/>
      <c r="E209" s="13"/>
      <c r="F209" s="5"/>
      <c r="G209" s="11" t="str">
        <f>IF(ISERROR(AVERAGE(F$13:F209)),"n/a",AVERAGE(F$13:F209))</f>
        <v>n/a</v>
      </c>
      <c r="H209" s="11" t="str">
        <f t="shared" si="40"/>
        <v>n/a</v>
      </c>
      <c r="J209" s="5"/>
      <c r="K209" s="5"/>
      <c r="L209" s="5"/>
      <c r="M209" s="5"/>
      <c r="N209" s="5"/>
      <c r="O209" s="8" t="str">
        <f t="shared" si="38"/>
        <v>n/a</v>
      </c>
      <c r="Q209" s="5"/>
      <c r="R209" s="5"/>
      <c r="S209" s="5"/>
      <c r="U209" s="6"/>
      <c r="V209" s="9" t="str">
        <f t="shared" si="41"/>
        <v/>
      </c>
      <c r="W209" s="9" t="str">
        <f t="shared" si="42"/>
        <v/>
      </c>
      <c r="X209" s="10">
        <f>SUM(V$13:V209)/COUNTA(B$13:B209)</f>
        <v>0</v>
      </c>
      <c r="Z209" s="5"/>
      <c r="AA209" s="5"/>
      <c r="AC209" s="7"/>
      <c r="AE209" s="54" t="e">
        <f t="shared" si="43"/>
        <v>#N/A</v>
      </c>
      <c r="AF209" s="4" t="e">
        <f t="shared" si="39"/>
        <v>#N/A</v>
      </c>
    </row>
    <row r="210" spans="2:32">
      <c r="B210" s="5">
        <f t="shared" si="37"/>
        <v>198</v>
      </c>
      <c r="C210" s="5"/>
      <c r="E210" s="13"/>
      <c r="F210" s="5"/>
      <c r="G210" s="11" t="str">
        <f>IF(ISERROR(AVERAGE(F$13:F210)),"n/a",AVERAGE(F$13:F210))</f>
        <v>n/a</v>
      </c>
      <c r="H210" s="11" t="str">
        <f t="shared" si="40"/>
        <v>n/a</v>
      </c>
      <c r="J210" s="5"/>
      <c r="K210" s="5"/>
      <c r="L210" s="5"/>
      <c r="M210" s="5"/>
      <c r="N210" s="5"/>
      <c r="O210" s="8" t="str">
        <f t="shared" si="38"/>
        <v>n/a</v>
      </c>
      <c r="Q210" s="5"/>
      <c r="R210" s="5"/>
      <c r="S210" s="5"/>
      <c r="U210" s="6"/>
      <c r="V210" s="9" t="str">
        <f t="shared" si="41"/>
        <v/>
      </c>
      <c r="W210" s="9" t="str">
        <f t="shared" si="42"/>
        <v/>
      </c>
      <c r="X210" s="10">
        <f>SUM(V$13:V210)/COUNTA(B$13:B210)</f>
        <v>0</v>
      </c>
      <c r="Z210" s="5"/>
      <c r="AA210" s="5"/>
      <c r="AC210" s="7"/>
      <c r="AE210" s="54" t="e">
        <f t="shared" si="43"/>
        <v>#N/A</v>
      </c>
      <c r="AF210" s="4" t="e">
        <f t="shared" si="39"/>
        <v>#N/A</v>
      </c>
    </row>
    <row r="211" spans="2:32">
      <c r="B211" s="5">
        <f t="shared" ref="B211:B274" si="44">+B210+1</f>
        <v>199</v>
      </c>
      <c r="C211" s="5"/>
      <c r="E211" s="13"/>
      <c r="F211" s="5"/>
      <c r="G211" s="11" t="str">
        <f>IF(ISERROR(AVERAGE(F$13:F211)),"n/a",AVERAGE(F$13:F211))</f>
        <v>n/a</v>
      </c>
      <c r="H211" s="11" t="str">
        <f t="shared" si="40"/>
        <v>n/a</v>
      </c>
      <c r="J211" s="5"/>
      <c r="K211" s="5"/>
      <c r="L211" s="5"/>
      <c r="M211" s="5"/>
      <c r="N211" s="5"/>
      <c r="O211" s="8" t="str">
        <f t="shared" si="38"/>
        <v>n/a</v>
      </c>
      <c r="Q211" s="5"/>
      <c r="R211" s="5"/>
      <c r="S211" s="5"/>
      <c r="U211" s="6"/>
      <c r="V211" s="9" t="str">
        <f t="shared" si="41"/>
        <v/>
      </c>
      <c r="W211" s="9" t="str">
        <f t="shared" si="42"/>
        <v/>
      </c>
      <c r="X211" s="10">
        <f>SUM(V$13:V211)/COUNTA(B$13:B211)</f>
        <v>0</v>
      </c>
      <c r="Z211" s="5"/>
      <c r="AA211" s="5"/>
      <c r="AC211" s="7"/>
      <c r="AE211" s="54" t="e">
        <f t="shared" si="43"/>
        <v>#N/A</v>
      </c>
      <c r="AF211" s="4" t="e">
        <f t="shared" si="39"/>
        <v>#N/A</v>
      </c>
    </row>
    <row r="212" spans="2:32">
      <c r="B212" s="5">
        <f t="shared" si="44"/>
        <v>200</v>
      </c>
      <c r="C212" s="5"/>
      <c r="E212" s="13"/>
      <c r="F212" s="5"/>
      <c r="G212" s="11" t="str">
        <f>IF(ISERROR(AVERAGE(F$13:F212)),"n/a",AVERAGE(F$13:F212))</f>
        <v>n/a</v>
      </c>
      <c r="H212" s="11" t="str">
        <f t="shared" si="40"/>
        <v>n/a</v>
      </c>
      <c r="J212" s="5"/>
      <c r="K212" s="5"/>
      <c r="L212" s="5"/>
      <c r="M212" s="5"/>
      <c r="N212" s="5"/>
      <c r="O212" s="8" t="str">
        <f t="shared" si="38"/>
        <v>n/a</v>
      </c>
      <c r="Q212" s="5"/>
      <c r="R212" s="5"/>
      <c r="S212" s="5"/>
      <c r="U212" s="6"/>
      <c r="V212" s="9" t="str">
        <f t="shared" si="41"/>
        <v/>
      </c>
      <c r="W212" s="9" t="str">
        <f t="shared" si="42"/>
        <v/>
      </c>
      <c r="X212" s="10">
        <f>SUM(V$13:V212)/COUNTA(B$13:B212)</f>
        <v>0</v>
      </c>
      <c r="Z212" s="5"/>
      <c r="AA212" s="5"/>
      <c r="AC212" s="7"/>
      <c r="AE212" s="54" t="e">
        <f t="shared" si="43"/>
        <v>#N/A</v>
      </c>
      <c r="AF212" s="4" t="e">
        <f t="shared" si="39"/>
        <v>#N/A</v>
      </c>
    </row>
    <row r="213" spans="2:32">
      <c r="B213" s="5">
        <f t="shared" si="44"/>
        <v>201</v>
      </c>
      <c r="C213" s="5"/>
      <c r="E213" s="13"/>
      <c r="F213" s="5"/>
      <c r="G213" s="11" t="str">
        <f>IF(ISERROR(AVERAGE(F$13:F213)),"n/a",AVERAGE(F$13:F213))</f>
        <v>n/a</v>
      </c>
      <c r="H213" s="11" t="str">
        <f t="shared" si="40"/>
        <v>n/a</v>
      </c>
      <c r="J213" s="5"/>
      <c r="K213" s="5"/>
      <c r="L213" s="5"/>
      <c r="M213" s="5"/>
      <c r="N213" s="5"/>
      <c r="O213" s="8" t="str">
        <f t="shared" si="38"/>
        <v>n/a</v>
      </c>
      <c r="Q213" s="5"/>
      <c r="R213" s="5"/>
      <c r="S213" s="5"/>
      <c r="U213" s="6"/>
      <c r="V213" s="9" t="str">
        <f t="shared" si="41"/>
        <v/>
      </c>
      <c r="W213" s="9" t="str">
        <f t="shared" si="42"/>
        <v/>
      </c>
      <c r="X213" s="10">
        <f>SUM(V$13:V213)/COUNTA(B$13:B213)</f>
        <v>0</v>
      </c>
      <c r="Z213" s="5"/>
      <c r="AA213" s="5"/>
      <c r="AC213" s="7"/>
      <c r="AE213" s="54" t="e">
        <f t="shared" si="43"/>
        <v>#N/A</v>
      </c>
      <c r="AF213" s="4" t="e">
        <f t="shared" si="39"/>
        <v>#N/A</v>
      </c>
    </row>
    <row r="214" spans="2:32">
      <c r="B214" s="5">
        <f t="shared" si="44"/>
        <v>202</v>
      </c>
      <c r="C214" s="5"/>
      <c r="E214" s="13"/>
      <c r="F214" s="5"/>
      <c r="G214" s="11" t="str">
        <f>IF(ISERROR(AVERAGE(F$13:F214)),"n/a",AVERAGE(F$13:F214))</f>
        <v>n/a</v>
      </c>
      <c r="H214" s="11" t="str">
        <f t="shared" si="40"/>
        <v>n/a</v>
      </c>
      <c r="J214" s="5"/>
      <c r="K214" s="5"/>
      <c r="L214" s="5"/>
      <c r="M214" s="5"/>
      <c r="N214" s="5"/>
      <c r="O214" s="8" t="str">
        <f t="shared" si="38"/>
        <v>n/a</v>
      </c>
      <c r="Q214" s="5"/>
      <c r="R214" s="5"/>
      <c r="S214" s="5"/>
      <c r="U214" s="6"/>
      <c r="V214" s="9" t="str">
        <f t="shared" si="41"/>
        <v/>
      </c>
      <c r="W214" s="9" t="str">
        <f t="shared" si="42"/>
        <v/>
      </c>
      <c r="X214" s="10">
        <f>SUM(V$13:V214)/COUNTA(B$13:B214)</f>
        <v>0</v>
      </c>
      <c r="Z214" s="5"/>
      <c r="AA214" s="5"/>
      <c r="AC214" s="7"/>
      <c r="AE214" s="54" t="e">
        <f t="shared" si="43"/>
        <v>#N/A</v>
      </c>
      <c r="AF214" s="4" t="e">
        <f t="shared" si="39"/>
        <v>#N/A</v>
      </c>
    </row>
    <row r="215" spans="2:32">
      <c r="B215" s="5">
        <f t="shared" si="44"/>
        <v>203</v>
      </c>
      <c r="C215" s="5"/>
      <c r="E215" s="13"/>
      <c r="F215" s="5"/>
      <c r="G215" s="11" t="str">
        <f>IF(ISERROR(AVERAGE(F$13:F215)),"n/a",AVERAGE(F$13:F215))</f>
        <v>n/a</v>
      </c>
      <c r="H215" s="11" t="str">
        <f t="shared" si="40"/>
        <v>n/a</v>
      </c>
      <c r="J215" s="5"/>
      <c r="K215" s="5"/>
      <c r="L215" s="5"/>
      <c r="M215" s="5"/>
      <c r="N215" s="5"/>
      <c r="O215" s="8" t="str">
        <f t="shared" si="38"/>
        <v>n/a</v>
      </c>
      <c r="Q215" s="5"/>
      <c r="R215" s="5"/>
      <c r="S215" s="5"/>
      <c r="U215" s="6"/>
      <c r="V215" s="9" t="str">
        <f t="shared" si="41"/>
        <v/>
      </c>
      <c r="W215" s="9" t="str">
        <f t="shared" si="42"/>
        <v/>
      </c>
      <c r="X215" s="10">
        <f>SUM(V$13:V215)/COUNTA(B$13:B215)</f>
        <v>0</v>
      </c>
      <c r="Z215" s="5"/>
      <c r="AA215" s="5"/>
      <c r="AC215" s="7"/>
      <c r="AE215" s="54" t="e">
        <f t="shared" si="43"/>
        <v>#N/A</v>
      </c>
      <c r="AF215" s="4" t="e">
        <f t="shared" si="39"/>
        <v>#N/A</v>
      </c>
    </row>
    <row r="216" spans="2:32">
      <c r="B216" s="5">
        <f t="shared" si="44"/>
        <v>204</v>
      </c>
      <c r="C216" s="5"/>
      <c r="E216" s="13"/>
      <c r="F216" s="5"/>
      <c r="G216" s="11" t="str">
        <f>IF(ISERROR(AVERAGE(F$13:F216)),"n/a",AVERAGE(F$13:F216))</f>
        <v>n/a</v>
      </c>
      <c r="H216" s="11" t="str">
        <f t="shared" si="40"/>
        <v>n/a</v>
      </c>
      <c r="J216" s="5"/>
      <c r="K216" s="5"/>
      <c r="L216" s="5"/>
      <c r="M216" s="5"/>
      <c r="N216" s="5"/>
      <c r="O216" s="8" t="str">
        <f t="shared" si="38"/>
        <v>n/a</v>
      </c>
      <c r="Q216" s="5"/>
      <c r="R216" s="5"/>
      <c r="S216" s="5"/>
      <c r="U216" s="6"/>
      <c r="V216" s="9" t="str">
        <f t="shared" si="41"/>
        <v/>
      </c>
      <c r="W216" s="9" t="str">
        <f t="shared" si="42"/>
        <v/>
      </c>
      <c r="X216" s="10">
        <f>SUM(V$13:V216)/COUNTA(B$13:B216)</f>
        <v>0</v>
      </c>
      <c r="Z216" s="5"/>
      <c r="AA216" s="5"/>
      <c r="AC216" s="7"/>
      <c r="AE216" s="54" t="e">
        <f t="shared" si="43"/>
        <v>#N/A</v>
      </c>
      <c r="AF216" s="4" t="e">
        <f t="shared" si="39"/>
        <v>#N/A</v>
      </c>
    </row>
    <row r="217" spans="2:32">
      <c r="B217" s="5">
        <f t="shared" si="44"/>
        <v>205</v>
      </c>
      <c r="C217" s="5"/>
      <c r="E217" s="13"/>
      <c r="F217" s="5"/>
      <c r="G217" s="11" t="str">
        <f>IF(ISERROR(AVERAGE(F$13:F217)),"n/a",AVERAGE(F$13:F217))</f>
        <v>n/a</v>
      </c>
      <c r="H217" s="11" t="str">
        <f t="shared" si="40"/>
        <v>n/a</v>
      </c>
      <c r="J217" s="5"/>
      <c r="K217" s="5"/>
      <c r="L217" s="5"/>
      <c r="M217" s="5"/>
      <c r="N217" s="5"/>
      <c r="O217" s="8" t="str">
        <f t="shared" si="38"/>
        <v>n/a</v>
      </c>
      <c r="Q217" s="5"/>
      <c r="R217" s="5"/>
      <c r="S217" s="5"/>
      <c r="U217" s="6"/>
      <c r="V217" s="9" t="str">
        <f t="shared" si="41"/>
        <v/>
      </c>
      <c r="W217" s="9" t="str">
        <f t="shared" si="42"/>
        <v/>
      </c>
      <c r="X217" s="10">
        <f>SUM(V$13:V217)/COUNTA(B$13:B217)</f>
        <v>0</v>
      </c>
      <c r="Z217" s="5"/>
      <c r="AA217" s="5"/>
      <c r="AC217" s="7"/>
      <c r="AE217" s="54" t="e">
        <f t="shared" si="43"/>
        <v>#N/A</v>
      </c>
      <c r="AF217" s="4" t="e">
        <f t="shared" si="39"/>
        <v>#N/A</v>
      </c>
    </row>
    <row r="218" spans="2:32">
      <c r="B218" s="5">
        <f t="shared" si="44"/>
        <v>206</v>
      </c>
      <c r="C218" s="5"/>
      <c r="E218" s="13"/>
      <c r="F218" s="5"/>
      <c r="G218" s="11" t="str">
        <f>IF(ISERROR(AVERAGE(F$13:F218)),"n/a",AVERAGE(F$13:F218))</f>
        <v>n/a</v>
      </c>
      <c r="H218" s="11" t="str">
        <f t="shared" si="40"/>
        <v>n/a</v>
      </c>
      <c r="J218" s="5"/>
      <c r="K218" s="5"/>
      <c r="L218" s="5"/>
      <c r="M218" s="5"/>
      <c r="N218" s="5"/>
      <c r="O218" s="8" t="str">
        <f t="shared" si="38"/>
        <v>n/a</v>
      </c>
      <c r="Q218" s="5"/>
      <c r="R218" s="5"/>
      <c r="S218" s="5"/>
      <c r="U218" s="6"/>
      <c r="V218" s="9" t="str">
        <f t="shared" si="41"/>
        <v/>
      </c>
      <c r="W218" s="9" t="str">
        <f t="shared" si="42"/>
        <v/>
      </c>
      <c r="X218" s="10">
        <f>SUM(V$13:V218)/COUNTA(B$13:B218)</f>
        <v>0</v>
      </c>
      <c r="Z218" s="5"/>
      <c r="AA218" s="5"/>
      <c r="AC218" s="7"/>
      <c r="AE218" s="54" t="e">
        <f t="shared" si="43"/>
        <v>#N/A</v>
      </c>
      <c r="AF218" s="4" t="e">
        <f t="shared" si="39"/>
        <v>#N/A</v>
      </c>
    </row>
    <row r="219" spans="2:32">
      <c r="B219" s="5">
        <f t="shared" si="44"/>
        <v>207</v>
      </c>
      <c r="C219" s="5"/>
      <c r="E219" s="13"/>
      <c r="F219" s="5"/>
      <c r="G219" s="11" t="str">
        <f>IF(ISERROR(AVERAGE(F$13:F219)),"n/a",AVERAGE(F$13:F219))</f>
        <v>n/a</v>
      </c>
      <c r="H219" s="11" t="str">
        <f t="shared" si="40"/>
        <v>n/a</v>
      </c>
      <c r="J219" s="5"/>
      <c r="K219" s="5"/>
      <c r="L219" s="5"/>
      <c r="M219" s="5"/>
      <c r="N219" s="5"/>
      <c r="O219" s="8" t="str">
        <f t="shared" si="38"/>
        <v>n/a</v>
      </c>
      <c r="Q219" s="5"/>
      <c r="R219" s="5"/>
      <c r="S219" s="5"/>
      <c r="U219" s="6"/>
      <c r="V219" s="9" t="str">
        <f t="shared" si="41"/>
        <v/>
      </c>
      <c r="W219" s="9" t="str">
        <f t="shared" si="42"/>
        <v/>
      </c>
      <c r="X219" s="10">
        <f>SUM(V$13:V219)/COUNTA(B$13:B219)</f>
        <v>0</v>
      </c>
      <c r="Z219" s="5"/>
      <c r="AA219" s="5"/>
      <c r="AC219" s="7"/>
      <c r="AE219" s="54" t="e">
        <f t="shared" si="43"/>
        <v>#N/A</v>
      </c>
      <c r="AF219" s="4" t="e">
        <f t="shared" si="39"/>
        <v>#N/A</v>
      </c>
    </row>
    <row r="220" spans="2:32">
      <c r="B220" s="5">
        <f t="shared" si="44"/>
        <v>208</v>
      </c>
      <c r="C220" s="5"/>
      <c r="E220" s="13"/>
      <c r="F220" s="5"/>
      <c r="G220" s="11" t="str">
        <f>IF(ISERROR(AVERAGE(F$13:F220)),"n/a",AVERAGE(F$13:F220))</f>
        <v>n/a</v>
      </c>
      <c r="H220" s="11" t="str">
        <f t="shared" si="40"/>
        <v>n/a</v>
      </c>
      <c r="J220" s="5"/>
      <c r="K220" s="5"/>
      <c r="L220" s="5"/>
      <c r="M220" s="5"/>
      <c r="N220" s="5"/>
      <c r="O220" s="8" t="str">
        <f t="shared" si="38"/>
        <v>n/a</v>
      </c>
      <c r="Q220" s="5"/>
      <c r="R220" s="5"/>
      <c r="S220" s="5"/>
      <c r="U220" s="6"/>
      <c r="V220" s="9" t="str">
        <f t="shared" si="41"/>
        <v/>
      </c>
      <c r="W220" s="9" t="str">
        <f t="shared" si="42"/>
        <v/>
      </c>
      <c r="X220" s="10">
        <f>SUM(V$13:V220)/COUNTA(B$13:B220)</f>
        <v>0</v>
      </c>
      <c r="Z220" s="5"/>
      <c r="AA220" s="5"/>
      <c r="AC220" s="7"/>
      <c r="AE220" s="54" t="e">
        <f t="shared" si="43"/>
        <v>#N/A</v>
      </c>
      <c r="AF220" s="4" t="e">
        <f t="shared" si="39"/>
        <v>#N/A</v>
      </c>
    </row>
    <row r="221" spans="2:32">
      <c r="B221" s="5">
        <f t="shared" si="44"/>
        <v>209</v>
      </c>
      <c r="C221" s="5"/>
      <c r="E221" s="13"/>
      <c r="F221" s="5"/>
      <c r="G221" s="11" t="str">
        <f>IF(ISERROR(AVERAGE(F$13:F221)),"n/a",AVERAGE(F$13:F221))</f>
        <v>n/a</v>
      </c>
      <c r="H221" s="11" t="str">
        <f t="shared" si="40"/>
        <v>n/a</v>
      </c>
      <c r="J221" s="5"/>
      <c r="K221" s="5"/>
      <c r="L221" s="5"/>
      <c r="M221" s="5"/>
      <c r="N221" s="5"/>
      <c r="O221" s="8" t="str">
        <f t="shared" si="38"/>
        <v>n/a</v>
      </c>
      <c r="Q221" s="5"/>
      <c r="R221" s="5"/>
      <c r="S221" s="5"/>
      <c r="U221" s="6"/>
      <c r="V221" s="9" t="str">
        <f t="shared" si="41"/>
        <v/>
      </c>
      <c r="W221" s="9" t="str">
        <f t="shared" si="42"/>
        <v/>
      </c>
      <c r="X221" s="10">
        <f>SUM(V$13:V221)/COUNTA(B$13:B221)</f>
        <v>0</v>
      </c>
      <c r="Z221" s="5"/>
      <c r="AA221" s="5"/>
      <c r="AC221" s="7"/>
      <c r="AE221" s="54" t="e">
        <f t="shared" si="43"/>
        <v>#N/A</v>
      </c>
      <c r="AF221" s="4" t="e">
        <f t="shared" si="39"/>
        <v>#N/A</v>
      </c>
    </row>
    <row r="222" spans="2:32">
      <c r="B222" s="5">
        <f t="shared" si="44"/>
        <v>210</v>
      </c>
      <c r="C222" s="5"/>
      <c r="E222" s="13"/>
      <c r="F222" s="5"/>
      <c r="G222" s="11" t="str">
        <f>IF(ISERROR(AVERAGE(F$13:F222)),"n/a",AVERAGE(F$13:F222))</f>
        <v>n/a</v>
      </c>
      <c r="H222" s="11" t="str">
        <f t="shared" si="40"/>
        <v>n/a</v>
      </c>
      <c r="J222" s="5"/>
      <c r="K222" s="5"/>
      <c r="L222" s="5"/>
      <c r="M222" s="5"/>
      <c r="N222" s="5"/>
      <c r="O222" s="8" t="str">
        <f t="shared" si="38"/>
        <v>n/a</v>
      </c>
      <c r="Q222" s="5"/>
      <c r="R222" s="5"/>
      <c r="S222" s="5"/>
      <c r="U222" s="6"/>
      <c r="V222" s="9" t="str">
        <f t="shared" si="41"/>
        <v/>
      </c>
      <c r="W222" s="9" t="str">
        <f t="shared" si="42"/>
        <v/>
      </c>
      <c r="X222" s="10">
        <f>SUM(V$13:V222)/COUNTA(B$13:B222)</f>
        <v>0</v>
      </c>
      <c r="Z222" s="5"/>
      <c r="AA222" s="5"/>
      <c r="AC222" s="7"/>
      <c r="AE222" s="54" t="e">
        <f t="shared" si="43"/>
        <v>#N/A</v>
      </c>
      <c r="AF222" s="4" t="e">
        <f t="shared" si="39"/>
        <v>#N/A</v>
      </c>
    </row>
    <row r="223" spans="2:32">
      <c r="B223" s="5">
        <f t="shared" si="44"/>
        <v>211</v>
      </c>
      <c r="C223" s="5"/>
      <c r="E223" s="13"/>
      <c r="F223" s="5"/>
      <c r="G223" s="11" t="str">
        <f>IF(ISERROR(AVERAGE(F$13:F223)),"n/a",AVERAGE(F$13:F223))</f>
        <v>n/a</v>
      </c>
      <c r="H223" s="11" t="str">
        <f t="shared" si="40"/>
        <v>n/a</v>
      </c>
      <c r="J223" s="5"/>
      <c r="K223" s="5"/>
      <c r="L223" s="5"/>
      <c r="M223" s="5"/>
      <c r="N223" s="5"/>
      <c r="O223" s="8" t="str">
        <f t="shared" si="38"/>
        <v>n/a</v>
      </c>
      <c r="Q223" s="5"/>
      <c r="R223" s="5"/>
      <c r="S223" s="5"/>
      <c r="U223" s="6"/>
      <c r="V223" s="9" t="str">
        <f t="shared" si="41"/>
        <v/>
      </c>
      <c r="W223" s="9" t="str">
        <f t="shared" si="42"/>
        <v/>
      </c>
      <c r="X223" s="10">
        <f>SUM(V$13:V223)/COUNTA(B$13:B223)</f>
        <v>0</v>
      </c>
      <c r="Z223" s="5"/>
      <c r="AA223" s="5"/>
      <c r="AC223" s="7"/>
      <c r="AE223" s="54" t="e">
        <f t="shared" si="43"/>
        <v>#N/A</v>
      </c>
      <c r="AF223" s="4" t="e">
        <f t="shared" si="39"/>
        <v>#N/A</v>
      </c>
    </row>
    <row r="224" spans="2:32">
      <c r="B224" s="5">
        <f t="shared" si="44"/>
        <v>212</v>
      </c>
      <c r="C224" s="5"/>
      <c r="E224" s="13"/>
      <c r="F224" s="5"/>
      <c r="G224" s="11" t="str">
        <f>IF(ISERROR(AVERAGE(F$13:F224)),"n/a",AVERAGE(F$13:F224))</f>
        <v>n/a</v>
      </c>
      <c r="H224" s="11" t="str">
        <f t="shared" si="40"/>
        <v>n/a</v>
      </c>
      <c r="J224" s="5"/>
      <c r="K224" s="5"/>
      <c r="L224" s="5"/>
      <c r="M224" s="5"/>
      <c r="N224" s="5"/>
      <c r="O224" s="8" t="str">
        <f t="shared" si="38"/>
        <v>n/a</v>
      </c>
      <c r="Q224" s="5"/>
      <c r="R224" s="5"/>
      <c r="S224" s="5"/>
      <c r="U224" s="6"/>
      <c r="V224" s="9" t="str">
        <f t="shared" si="41"/>
        <v/>
      </c>
      <c r="W224" s="9" t="str">
        <f t="shared" si="42"/>
        <v/>
      </c>
      <c r="X224" s="10">
        <f>SUM(V$13:V224)/COUNTA(B$13:B224)</f>
        <v>0</v>
      </c>
      <c r="Z224" s="5"/>
      <c r="AA224" s="5"/>
      <c r="AC224" s="7"/>
      <c r="AE224" s="54" t="e">
        <f t="shared" si="43"/>
        <v>#N/A</v>
      </c>
      <c r="AF224" s="4" t="e">
        <f t="shared" si="39"/>
        <v>#N/A</v>
      </c>
    </row>
    <row r="225" spans="2:32">
      <c r="B225" s="5">
        <f t="shared" si="44"/>
        <v>213</v>
      </c>
      <c r="C225" s="5"/>
      <c r="E225" s="13"/>
      <c r="F225" s="5"/>
      <c r="G225" s="11" t="str">
        <f>IF(ISERROR(AVERAGE(F$13:F225)),"n/a",AVERAGE(F$13:F225))</f>
        <v>n/a</v>
      </c>
      <c r="H225" s="11" t="str">
        <f t="shared" si="40"/>
        <v>n/a</v>
      </c>
      <c r="J225" s="5"/>
      <c r="K225" s="5"/>
      <c r="L225" s="5"/>
      <c r="M225" s="5"/>
      <c r="N225" s="5"/>
      <c r="O225" s="8" t="str">
        <f t="shared" si="38"/>
        <v>n/a</v>
      </c>
      <c r="Q225" s="5"/>
      <c r="R225" s="5"/>
      <c r="S225" s="5"/>
      <c r="U225" s="6"/>
      <c r="V225" s="9" t="str">
        <f t="shared" si="41"/>
        <v/>
      </c>
      <c r="W225" s="9" t="str">
        <f t="shared" si="42"/>
        <v/>
      </c>
      <c r="X225" s="10">
        <f>SUM(V$13:V225)/COUNTA(B$13:B225)</f>
        <v>0</v>
      </c>
      <c r="Z225" s="5"/>
      <c r="AA225" s="5"/>
      <c r="AC225" s="7"/>
      <c r="AE225" s="54" t="e">
        <f t="shared" si="43"/>
        <v>#N/A</v>
      </c>
      <c r="AF225" s="4" t="e">
        <f t="shared" si="39"/>
        <v>#N/A</v>
      </c>
    </row>
    <row r="226" spans="2:32">
      <c r="B226" s="5">
        <f t="shared" si="44"/>
        <v>214</v>
      </c>
      <c r="C226" s="5"/>
      <c r="E226" s="13"/>
      <c r="F226" s="5"/>
      <c r="G226" s="11" t="str">
        <f>IF(ISERROR(AVERAGE(F$13:F226)),"n/a",AVERAGE(F$13:F226))</f>
        <v>n/a</v>
      </c>
      <c r="H226" s="11" t="str">
        <f t="shared" si="40"/>
        <v>n/a</v>
      </c>
      <c r="J226" s="5"/>
      <c r="K226" s="5"/>
      <c r="L226" s="5"/>
      <c r="M226" s="5"/>
      <c r="N226" s="5"/>
      <c r="O226" s="8" t="str">
        <f t="shared" si="38"/>
        <v>n/a</v>
      </c>
      <c r="Q226" s="5"/>
      <c r="R226" s="5"/>
      <c r="S226" s="5"/>
      <c r="U226" s="6"/>
      <c r="V226" s="9" t="str">
        <f t="shared" si="41"/>
        <v/>
      </c>
      <c r="W226" s="9" t="str">
        <f t="shared" si="42"/>
        <v/>
      </c>
      <c r="X226" s="10">
        <f>SUM(V$13:V226)/COUNTA(B$13:B226)</f>
        <v>0</v>
      </c>
      <c r="Z226" s="5"/>
      <c r="AA226" s="5"/>
      <c r="AC226" s="7"/>
      <c r="AE226" s="54" t="e">
        <f t="shared" si="43"/>
        <v>#N/A</v>
      </c>
      <c r="AF226" s="4" t="e">
        <f t="shared" si="39"/>
        <v>#N/A</v>
      </c>
    </row>
    <row r="227" spans="2:32">
      <c r="B227" s="5">
        <f t="shared" si="44"/>
        <v>215</v>
      </c>
      <c r="C227" s="5"/>
      <c r="E227" s="13"/>
      <c r="F227" s="5"/>
      <c r="G227" s="11" t="str">
        <f>IF(ISERROR(AVERAGE(F$13:F227)),"n/a",AVERAGE(F$13:F227))</f>
        <v>n/a</v>
      </c>
      <c r="H227" s="11" t="str">
        <f t="shared" si="40"/>
        <v>n/a</v>
      </c>
      <c r="J227" s="5"/>
      <c r="K227" s="5"/>
      <c r="L227" s="5"/>
      <c r="M227" s="5"/>
      <c r="N227" s="5"/>
      <c r="O227" s="8" t="str">
        <f t="shared" si="38"/>
        <v>n/a</v>
      </c>
      <c r="Q227" s="5"/>
      <c r="R227" s="5"/>
      <c r="S227" s="5"/>
      <c r="U227" s="6"/>
      <c r="V227" s="9" t="str">
        <f t="shared" si="41"/>
        <v/>
      </c>
      <c r="W227" s="9" t="str">
        <f t="shared" si="42"/>
        <v/>
      </c>
      <c r="X227" s="10">
        <f>SUM(V$13:V227)/COUNTA(B$13:B227)</f>
        <v>0</v>
      </c>
      <c r="Z227" s="5"/>
      <c r="AA227" s="5"/>
      <c r="AC227" s="7"/>
      <c r="AE227" s="54" t="e">
        <f t="shared" si="43"/>
        <v>#N/A</v>
      </c>
      <c r="AF227" s="4" t="e">
        <f t="shared" si="39"/>
        <v>#N/A</v>
      </c>
    </row>
    <row r="228" spans="2:32">
      <c r="B228" s="5">
        <f t="shared" si="44"/>
        <v>216</v>
      </c>
      <c r="C228" s="5"/>
      <c r="E228" s="13"/>
      <c r="F228" s="5"/>
      <c r="G228" s="11" t="str">
        <f>IF(ISERROR(AVERAGE(F$13:F228)),"n/a",AVERAGE(F$13:F228))</f>
        <v>n/a</v>
      </c>
      <c r="H228" s="11" t="str">
        <f t="shared" si="40"/>
        <v>n/a</v>
      </c>
      <c r="J228" s="5"/>
      <c r="K228" s="5"/>
      <c r="L228" s="5"/>
      <c r="M228" s="5"/>
      <c r="N228" s="5"/>
      <c r="O228" s="8" t="str">
        <f t="shared" si="38"/>
        <v>n/a</v>
      </c>
      <c r="Q228" s="5"/>
      <c r="R228" s="5"/>
      <c r="S228" s="5"/>
      <c r="U228" s="6"/>
      <c r="V228" s="9" t="str">
        <f t="shared" si="41"/>
        <v/>
      </c>
      <c r="W228" s="9" t="str">
        <f t="shared" si="42"/>
        <v/>
      </c>
      <c r="X228" s="10">
        <f>SUM(V$13:V228)/COUNTA(B$13:B228)</f>
        <v>0</v>
      </c>
      <c r="Z228" s="5"/>
      <c r="AA228" s="5"/>
      <c r="AC228" s="7"/>
      <c r="AE228" s="54" t="e">
        <f t="shared" si="43"/>
        <v>#N/A</v>
      </c>
      <c r="AF228" s="4" t="e">
        <f t="shared" si="39"/>
        <v>#N/A</v>
      </c>
    </row>
    <row r="229" spans="2:32">
      <c r="B229" s="5">
        <f t="shared" si="44"/>
        <v>217</v>
      </c>
      <c r="C229" s="5"/>
      <c r="E229" s="13"/>
      <c r="F229" s="5"/>
      <c r="G229" s="11" t="str">
        <f>IF(ISERROR(AVERAGE(F$13:F229)),"n/a",AVERAGE(F$13:F229))</f>
        <v>n/a</v>
      </c>
      <c r="H229" s="11" t="str">
        <f t="shared" si="40"/>
        <v>n/a</v>
      </c>
      <c r="J229" s="5"/>
      <c r="K229" s="5"/>
      <c r="L229" s="5"/>
      <c r="M229" s="5"/>
      <c r="N229" s="5"/>
      <c r="O229" s="8" t="str">
        <f t="shared" si="38"/>
        <v>n/a</v>
      </c>
      <c r="Q229" s="5"/>
      <c r="R229" s="5"/>
      <c r="S229" s="5"/>
      <c r="U229" s="6"/>
      <c r="V229" s="9" t="str">
        <f t="shared" si="41"/>
        <v/>
      </c>
      <c r="W229" s="9" t="str">
        <f t="shared" si="42"/>
        <v/>
      </c>
      <c r="X229" s="10">
        <f>SUM(V$13:V229)/COUNTA(B$13:B229)</f>
        <v>0</v>
      </c>
      <c r="Z229" s="5"/>
      <c r="AA229" s="5"/>
      <c r="AC229" s="7"/>
      <c r="AE229" s="54" t="e">
        <f t="shared" si="43"/>
        <v>#N/A</v>
      </c>
      <c r="AF229" s="4" t="e">
        <f t="shared" si="39"/>
        <v>#N/A</v>
      </c>
    </row>
    <row r="230" spans="2:32">
      <c r="B230" s="5">
        <f t="shared" si="44"/>
        <v>218</v>
      </c>
      <c r="C230" s="5"/>
      <c r="E230" s="13"/>
      <c r="F230" s="5"/>
      <c r="G230" s="11" t="str">
        <f>IF(ISERROR(AVERAGE(F$13:F230)),"n/a",AVERAGE(F$13:F230))</f>
        <v>n/a</v>
      </c>
      <c r="H230" s="11" t="str">
        <f t="shared" si="40"/>
        <v>n/a</v>
      </c>
      <c r="J230" s="5"/>
      <c r="K230" s="5"/>
      <c r="L230" s="5"/>
      <c r="M230" s="5"/>
      <c r="N230" s="5"/>
      <c r="O230" s="8" t="str">
        <f t="shared" si="38"/>
        <v>n/a</v>
      </c>
      <c r="Q230" s="5"/>
      <c r="R230" s="5"/>
      <c r="S230" s="5"/>
      <c r="U230" s="6"/>
      <c r="V230" s="9" t="str">
        <f t="shared" si="41"/>
        <v/>
      </c>
      <c r="W230" s="9" t="str">
        <f t="shared" si="42"/>
        <v/>
      </c>
      <c r="X230" s="10">
        <f>SUM(V$13:V230)/COUNTA(B$13:B230)</f>
        <v>0</v>
      </c>
      <c r="Z230" s="5"/>
      <c r="AA230" s="5"/>
      <c r="AC230" s="7"/>
      <c r="AE230" s="54" t="e">
        <f t="shared" si="43"/>
        <v>#N/A</v>
      </c>
      <c r="AF230" s="4" t="e">
        <f t="shared" si="39"/>
        <v>#N/A</v>
      </c>
    </row>
    <row r="231" spans="2:32">
      <c r="B231" s="5">
        <f t="shared" si="44"/>
        <v>219</v>
      </c>
      <c r="C231" s="5"/>
      <c r="E231" s="13"/>
      <c r="F231" s="5"/>
      <c r="G231" s="11" t="str">
        <f>IF(ISERROR(AVERAGE(F$13:F231)),"n/a",AVERAGE(F$13:F231))</f>
        <v>n/a</v>
      </c>
      <c r="H231" s="11" t="str">
        <f t="shared" si="40"/>
        <v>n/a</v>
      </c>
      <c r="J231" s="5"/>
      <c r="K231" s="5"/>
      <c r="L231" s="5"/>
      <c r="M231" s="5"/>
      <c r="N231" s="5"/>
      <c r="O231" s="8" t="str">
        <f t="shared" si="38"/>
        <v>n/a</v>
      </c>
      <c r="Q231" s="5"/>
      <c r="R231" s="5"/>
      <c r="S231" s="5"/>
      <c r="U231" s="6"/>
      <c r="V231" s="9" t="str">
        <f t="shared" si="41"/>
        <v/>
      </c>
      <c r="W231" s="9" t="str">
        <f t="shared" si="42"/>
        <v/>
      </c>
      <c r="X231" s="10">
        <f>SUM(V$13:V231)/COUNTA(B$13:B231)</f>
        <v>0</v>
      </c>
      <c r="Z231" s="5"/>
      <c r="AA231" s="5"/>
      <c r="AC231" s="7"/>
      <c r="AE231" s="54" t="e">
        <f t="shared" si="43"/>
        <v>#N/A</v>
      </c>
      <c r="AF231" s="4" t="e">
        <f t="shared" si="39"/>
        <v>#N/A</v>
      </c>
    </row>
    <row r="232" spans="2:32">
      <c r="B232" s="5">
        <f t="shared" si="44"/>
        <v>220</v>
      </c>
      <c r="C232" s="5"/>
      <c r="E232" s="13"/>
      <c r="F232" s="5"/>
      <c r="G232" s="11" t="str">
        <f>IF(ISERROR(AVERAGE(F$13:F232)),"n/a",AVERAGE(F$13:F232))</f>
        <v>n/a</v>
      </c>
      <c r="H232" s="11" t="str">
        <f t="shared" si="40"/>
        <v>n/a</v>
      </c>
      <c r="J232" s="5"/>
      <c r="K232" s="5"/>
      <c r="L232" s="5"/>
      <c r="M232" s="5"/>
      <c r="N232" s="5"/>
      <c r="O232" s="8" t="str">
        <f t="shared" si="38"/>
        <v>n/a</v>
      </c>
      <c r="Q232" s="5"/>
      <c r="R232" s="5"/>
      <c r="S232" s="5"/>
      <c r="U232" s="6"/>
      <c r="V232" s="9" t="str">
        <f t="shared" si="41"/>
        <v/>
      </c>
      <c r="W232" s="9" t="str">
        <f t="shared" si="42"/>
        <v/>
      </c>
      <c r="X232" s="10">
        <f>SUM(V$13:V232)/COUNTA(B$13:B232)</f>
        <v>0</v>
      </c>
      <c r="Z232" s="5"/>
      <c r="AA232" s="5"/>
      <c r="AC232" s="7"/>
      <c r="AE232" s="54" t="e">
        <f t="shared" si="43"/>
        <v>#N/A</v>
      </c>
      <c r="AF232" s="4" t="e">
        <f t="shared" si="39"/>
        <v>#N/A</v>
      </c>
    </row>
    <row r="233" spans="2:32">
      <c r="B233" s="5">
        <f t="shared" si="44"/>
        <v>221</v>
      </c>
      <c r="C233" s="5"/>
      <c r="E233" s="13"/>
      <c r="F233" s="5"/>
      <c r="G233" s="11" t="str">
        <f>IF(ISERROR(AVERAGE(F$13:F233)),"n/a",AVERAGE(F$13:F233))</f>
        <v>n/a</v>
      </c>
      <c r="H233" s="11" t="str">
        <f t="shared" si="40"/>
        <v>n/a</v>
      </c>
      <c r="J233" s="5"/>
      <c r="K233" s="5"/>
      <c r="L233" s="5"/>
      <c r="M233" s="5"/>
      <c r="N233" s="5"/>
      <c r="O233" s="8" t="str">
        <f t="shared" si="38"/>
        <v>n/a</v>
      </c>
      <c r="Q233" s="5"/>
      <c r="R233" s="5"/>
      <c r="S233" s="5"/>
      <c r="U233" s="6"/>
      <c r="V233" s="9" t="str">
        <f t="shared" si="41"/>
        <v/>
      </c>
      <c r="W233" s="9" t="str">
        <f t="shared" si="42"/>
        <v/>
      </c>
      <c r="X233" s="10">
        <f>SUM(V$13:V233)/COUNTA(B$13:B233)</f>
        <v>0</v>
      </c>
      <c r="Z233" s="5"/>
      <c r="AA233" s="5"/>
      <c r="AC233" s="7"/>
      <c r="AE233" s="54" t="e">
        <f t="shared" si="43"/>
        <v>#N/A</v>
      </c>
      <c r="AF233" s="4" t="e">
        <f t="shared" si="39"/>
        <v>#N/A</v>
      </c>
    </row>
    <row r="234" spans="2:32">
      <c r="B234" s="5">
        <f t="shared" si="44"/>
        <v>222</v>
      </c>
      <c r="C234" s="5"/>
      <c r="E234" s="13"/>
      <c r="F234" s="5"/>
      <c r="G234" s="11" t="str">
        <f>IF(ISERROR(AVERAGE(F$13:F234)),"n/a",AVERAGE(F$13:F234))</f>
        <v>n/a</v>
      </c>
      <c r="H234" s="11" t="str">
        <f t="shared" si="40"/>
        <v>n/a</v>
      </c>
      <c r="J234" s="5"/>
      <c r="K234" s="5"/>
      <c r="L234" s="5"/>
      <c r="M234" s="5"/>
      <c r="N234" s="5"/>
      <c r="O234" s="8" t="str">
        <f t="shared" si="38"/>
        <v>n/a</v>
      </c>
      <c r="Q234" s="5"/>
      <c r="R234" s="5"/>
      <c r="S234" s="5"/>
      <c r="U234" s="6"/>
      <c r="V234" s="9" t="str">
        <f t="shared" si="41"/>
        <v/>
      </c>
      <c r="W234" s="9" t="str">
        <f t="shared" si="42"/>
        <v/>
      </c>
      <c r="X234" s="10">
        <f>SUM(V$13:V234)/COUNTA(B$13:B234)</f>
        <v>0</v>
      </c>
      <c r="Z234" s="5"/>
      <c r="AA234" s="5"/>
      <c r="AC234" s="7"/>
      <c r="AE234" s="54" t="e">
        <f t="shared" si="43"/>
        <v>#N/A</v>
      </c>
      <c r="AF234" s="4" t="e">
        <f t="shared" si="39"/>
        <v>#N/A</v>
      </c>
    </row>
    <row r="235" spans="2:32">
      <c r="B235" s="5">
        <f t="shared" si="44"/>
        <v>223</v>
      </c>
      <c r="C235" s="5"/>
      <c r="E235" s="13"/>
      <c r="F235" s="5"/>
      <c r="G235" s="11" t="str">
        <f>IF(ISERROR(AVERAGE(F$13:F235)),"n/a",AVERAGE(F$13:F235))</f>
        <v>n/a</v>
      </c>
      <c r="H235" s="11" t="str">
        <f t="shared" si="40"/>
        <v>n/a</v>
      </c>
      <c r="J235" s="5"/>
      <c r="K235" s="5"/>
      <c r="L235" s="5"/>
      <c r="M235" s="5"/>
      <c r="N235" s="5"/>
      <c r="O235" s="8" t="str">
        <f t="shared" si="38"/>
        <v>n/a</v>
      </c>
      <c r="Q235" s="5"/>
      <c r="R235" s="5"/>
      <c r="S235" s="5"/>
      <c r="U235" s="6"/>
      <c r="V235" s="9" t="str">
        <f t="shared" si="41"/>
        <v/>
      </c>
      <c r="W235" s="9" t="str">
        <f t="shared" si="42"/>
        <v/>
      </c>
      <c r="X235" s="10">
        <f>SUM(V$13:V235)/COUNTA(B$13:B235)</f>
        <v>0</v>
      </c>
      <c r="Z235" s="5"/>
      <c r="AA235" s="5"/>
      <c r="AC235" s="7"/>
      <c r="AE235" s="54" t="e">
        <f t="shared" si="43"/>
        <v>#N/A</v>
      </c>
      <c r="AF235" s="4" t="e">
        <f t="shared" si="39"/>
        <v>#N/A</v>
      </c>
    </row>
    <row r="236" spans="2:32">
      <c r="B236" s="5">
        <f t="shared" si="44"/>
        <v>224</v>
      </c>
      <c r="C236" s="5"/>
      <c r="E236" s="13"/>
      <c r="F236" s="5"/>
      <c r="G236" s="11" t="str">
        <f>IF(ISERROR(AVERAGE(F$13:F236)),"n/a",AVERAGE(F$13:F236))</f>
        <v>n/a</v>
      </c>
      <c r="H236" s="11" t="str">
        <f t="shared" si="40"/>
        <v>n/a</v>
      </c>
      <c r="J236" s="5"/>
      <c r="K236" s="5"/>
      <c r="L236" s="5"/>
      <c r="M236" s="5"/>
      <c r="N236" s="5"/>
      <c r="O236" s="8" t="str">
        <f t="shared" si="38"/>
        <v>n/a</v>
      </c>
      <c r="Q236" s="5"/>
      <c r="R236" s="5"/>
      <c r="S236" s="5"/>
      <c r="U236" s="6"/>
      <c r="V236" s="9" t="str">
        <f t="shared" si="41"/>
        <v/>
      </c>
      <c r="W236" s="9" t="str">
        <f t="shared" si="42"/>
        <v/>
      </c>
      <c r="X236" s="10">
        <f>SUM(V$13:V236)/COUNTA(B$13:B236)</f>
        <v>0</v>
      </c>
      <c r="Z236" s="5"/>
      <c r="AA236" s="5"/>
      <c r="AC236" s="7"/>
      <c r="AE236" s="54" t="e">
        <f t="shared" si="43"/>
        <v>#N/A</v>
      </c>
      <c r="AF236" s="4" t="e">
        <f t="shared" si="39"/>
        <v>#N/A</v>
      </c>
    </row>
    <row r="237" spans="2:32">
      <c r="B237" s="5">
        <f t="shared" si="44"/>
        <v>225</v>
      </c>
      <c r="C237" s="5"/>
      <c r="E237" s="13"/>
      <c r="F237" s="5"/>
      <c r="G237" s="11" t="str">
        <f>IF(ISERROR(AVERAGE(F$13:F237)),"n/a",AVERAGE(F$13:F237))</f>
        <v>n/a</v>
      </c>
      <c r="H237" s="11" t="str">
        <f t="shared" si="40"/>
        <v>n/a</v>
      </c>
      <c r="J237" s="5"/>
      <c r="K237" s="5"/>
      <c r="L237" s="5"/>
      <c r="M237" s="5"/>
      <c r="N237" s="5"/>
      <c r="O237" s="8" t="str">
        <f t="shared" si="38"/>
        <v>n/a</v>
      </c>
      <c r="Q237" s="5"/>
      <c r="R237" s="5"/>
      <c r="S237" s="5"/>
      <c r="U237" s="6"/>
      <c r="V237" s="9" t="str">
        <f t="shared" si="41"/>
        <v/>
      </c>
      <c r="W237" s="9" t="str">
        <f t="shared" si="42"/>
        <v/>
      </c>
      <c r="X237" s="10">
        <f>SUM(V$13:V237)/COUNTA(B$13:B237)</f>
        <v>0</v>
      </c>
      <c r="Z237" s="5"/>
      <c r="AA237" s="5"/>
      <c r="AC237" s="7"/>
      <c r="AE237" s="54" t="e">
        <f t="shared" si="43"/>
        <v>#N/A</v>
      </c>
      <c r="AF237" s="4" t="e">
        <f t="shared" si="39"/>
        <v>#N/A</v>
      </c>
    </row>
    <row r="238" spans="2:32">
      <c r="B238" s="5">
        <f t="shared" si="44"/>
        <v>226</v>
      </c>
      <c r="C238" s="5"/>
      <c r="E238" s="13"/>
      <c r="F238" s="5"/>
      <c r="G238" s="11" t="str">
        <f>IF(ISERROR(AVERAGE(F$13:F238)),"n/a",AVERAGE(F$13:F238))</f>
        <v>n/a</v>
      </c>
      <c r="H238" s="11" t="str">
        <f t="shared" si="40"/>
        <v>n/a</v>
      </c>
      <c r="J238" s="5"/>
      <c r="K238" s="5"/>
      <c r="L238" s="5"/>
      <c r="M238" s="5"/>
      <c r="N238" s="5"/>
      <c r="O238" s="8" t="str">
        <f t="shared" si="38"/>
        <v>n/a</v>
      </c>
      <c r="Q238" s="5"/>
      <c r="R238" s="5"/>
      <c r="S238" s="5"/>
      <c r="U238" s="6"/>
      <c r="V238" s="9" t="str">
        <f t="shared" si="41"/>
        <v/>
      </c>
      <c r="W238" s="9" t="str">
        <f t="shared" si="42"/>
        <v/>
      </c>
      <c r="X238" s="10">
        <f>SUM(V$13:V238)/COUNTA(B$13:B238)</f>
        <v>0</v>
      </c>
      <c r="Z238" s="5"/>
      <c r="AA238" s="5"/>
      <c r="AC238" s="7"/>
      <c r="AE238" s="54" t="e">
        <f t="shared" si="43"/>
        <v>#N/A</v>
      </c>
      <c r="AF238" s="4" t="e">
        <f t="shared" si="39"/>
        <v>#N/A</v>
      </c>
    </row>
    <row r="239" spans="2:32">
      <c r="B239" s="5">
        <f t="shared" si="44"/>
        <v>227</v>
      </c>
      <c r="C239" s="5"/>
      <c r="E239" s="13"/>
      <c r="F239" s="5"/>
      <c r="G239" s="11" t="str">
        <f>IF(ISERROR(AVERAGE(F$13:F239)),"n/a",AVERAGE(F$13:F239))</f>
        <v>n/a</v>
      </c>
      <c r="H239" s="11" t="str">
        <f t="shared" si="40"/>
        <v>n/a</v>
      </c>
      <c r="J239" s="5"/>
      <c r="K239" s="5"/>
      <c r="L239" s="5"/>
      <c r="M239" s="5"/>
      <c r="N239" s="5"/>
      <c r="O239" s="8" t="str">
        <f t="shared" si="38"/>
        <v>n/a</v>
      </c>
      <c r="Q239" s="5"/>
      <c r="R239" s="5"/>
      <c r="S239" s="5"/>
      <c r="U239" s="6"/>
      <c r="V239" s="9" t="str">
        <f t="shared" si="41"/>
        <v/>
      </c>
      <c r="W239" s="9" t="str">
        <f t="shared" si="42"/>
        <v/>
      </c>
      <c r="X239" s="10">
        <f>SUM(V$13:V239)/COUNTA(B$13:B239)</f>
        <v>0</v>
      </c>
      <c r="Z239" s="5"/>
      <c r="AA239" s="5"/>
      <c r="AC239" s="7"/>
      <c r="AE239" s="54" t="e">
        <f t="shared" si="43"/>
        <v>#N/A</v>
      </c>
      <c r="AF239" s="4" t="e">
        <f t="shared" si="39"/>
        <v>#N/A</v>
      </c>
    </row>
    <row r="240" spans="2:32">
      <c r="B240" s="5">
        <f t="shared" si="44"/>
        <v>228</v>
      </c>
      <c r="C240" s="5"/>
      <c r="E240" s="13"/>
      <c r="F240" s="5"/>
      <c r="G240" s="11" t="str">
        <f>IF(ISERROR(AVERAGE(F$13:F240)),"n/a",AVERAGE(F$13:F240))</f>
        <v>n/a</v>
      </c>
      <c r="H240" s="11" t="str">
        <f t="shared" si="40"/>
        <v>n/a</v>
      </c>
      <c r="J240" s="5"/>
      <c r="K240" s="5"/>
      <c r="L240" s="5"/>
      <c r="M240" s="5"/>
      <c r="N240" s="5"/>
      <c r="O240" s="8" t="str">
        <f t="shared" si="38"/>
        <v>n/a</v>
      </c>
      <c r="Q240" s="5"/>
      <c r="R240" s="5"/>
      <c r="S240" s="5"/>
      <c r="U240" s="6"/>
      <c r="V240" s="9" t="str">
        <f t="shared" si="41"/>
        <v/>
      </c>
      <c r="W240" s="9" t="str">
        <f t="shared" si="42"/>
        <v/>
      </c>
      <c r="X240" s="10">
        <f>SUM(V$13:V240)/COUNTA(B$13:B240)</f>
        <v>0</v>
      </c>
      <c r="Z240" s="5"/>
      <c r="AA240" s="5"/>
      <c r="AC240" s="7"/>
      <c r="AE240" s="54" t="e">
        <f t="shared" si="43"/>
        <v>#N/A</v>
      </c>
      <c r="AF240" s="4" t="e">
        <f t="shared" si="39"/>
        <v>#N/A</v>
      </c>
    </row>
    <row r="241" spans="2:32">
      <c r="B241" s="5">
        <f t="shared" si="44"/>
        <v>229</v>
      </c>
      <c r="C241" s="5"/>
      <c r="E241" s="13"/>
      <c r="F241" s="5"/>
      <c r="G241" s="11" t="str">
        <f>IF(ISERROR(AVERAGE(F$13:F241)),"n/a",AVERAGE(F$13:F241))</f>
        <v>n/a</v>
      </c>
      <c r="H241" s="11" t="str">
        <f t="shared" si="40"/>
        <v>n/a</v>
      </c>
      <c r="J241" s="5"/>
      <c r="K241" s="5"/>
      <c r="L241" s="5"/>
      <c r="M241" s="5"/>
      <c r="N241" s="5"/>
      <c r="O241" s="8" t="str">
        <f t="shared" si="38"/>
        <v>n/a</v>
      </c>
      <c r="Q241" s="5"/>
      <c r="R241" s="5"/>
      <c r="S241" s="5"/>
      <c r="U241" s="6"/>
      <c r="V241" s="9" t="str">
        <f t="shared" si="41"/>
        <v/>
      </c>
      <c r="W241" s="9" t="str">
        <f t="shared" si="42"/>
        <v/>
      </c>
      <c r="X241" s="10">
        <f>SUM(V$13:V241)/COUNTA(B$13:B241)</f>
        <v>0</v>
      </c>
      <c r="Z241" s="5"/>
      <c r="AA241" s="5"/>
      <c r="AC241" s="7"/>
      <c r="AE241" s="54" t="e">
        <f t="shared" si="43"/>
        <v>#N/A</v>
      </c>
      <c r="AF241" s="4" t="e">
        <f t="shared" si="39"/>
        <v>#N/A</v>
      </c>
    </row>
    <row r="242" spans="2:32">
      <c r="B242" s="5">
        <f t="shared" si="44"/>
        <v>230</v>
      </c>
      <c r="C242" s="5"/>
      <c r="E242" s="13"/>
      <c r="F242" s="5"/>
      <c r="G242" s="11" t="str">
        <f>IF(ISERROR(AVERAGE(F$13:F242)),"n/a",AVERAGE(F$13:F242))</f>
        <v>n/a</v>
      </c>
      <c r="H242" s="11" t="str">
        <f t="shared" si="40"/>
        <v>n/a</v>
      </c>
      <c r="J242" s="5"/>
      <c r="K242" s="5"/>
      <c r="L242" s="5"/>
      <c r="M242" s="5"/>
      <c r="N242" s="5"/>
      <c r="O242" s="8" t="str">
        <f t="shared" si="38"/>
        <v>n/a</v>
      </c>
      <c r="Q242" s="5"/>
      <c r="R242" s="5"/>
      <c r="S242" s="5"/>
      <c r="U242" s="6"/>
      <c r="V242" s="9" t="str">
        <f t="shared" si="41"/>
        <v/>
      </c>
      <c r="W242" s="9" t="str">
        <f t="shared" si="42"/>
        <v/>
      </c>
      <c r="X242" s="10">
        <f>SUM(V$13:V242)/COUNTA(B$13:B242)</f>
        <v>0</v>
      </c>
      <c r="Z242" s="5"/>
      <c r="AA242" s="5"/>
      <c r="AC242" s="7"/>
      <c r="AE242" s="54" t="e">
        <f t="shared" si="43"/>
        <v>#N/A</v>
      </c>
      <c r="AF242" s="4" t="e">
        <f t="shared" si="39"/>
        <v>#N/A</v>
      </c>
    </row>
    <row r="243" spans="2:32">
      <c r="B243" s="5">
        <f t="shared" si="44"/>
        <v>231</v>
      </c>
      <c r="C243" s="5"/>
      <c r="E243" s="13"/>
      <c r="F243" s="5"/>
      <c r="G243" s="11" t="str">
        <f>IF(ISERROR(AVERAGE(F$13:F243)),"n/a",AVERAGE(F$13:F243))</f>
        <v>n/a</v>
      </c>
      <c r="H243" s="11" t="str">
        <f t="shared" si="40"/>
        <v>n/a</v>
      </c>
      <c r="J243" s="5"/>
      <c r="K243" s="5"/>
      <c r="L243" s="5"/>
      <c r="M243" s="5"/>
      <c r="N243" s="5"/>
      <c r="O243" s="8" t="str">
        <f t="shared" si="38"/>
        <v>n/a</v>
      </c>
      <c r="Q243" s="5"/>
      <c r="R243" s="5"/>
      <c r="S243" s="5"/>
      <c r="U243" s="6"/>
      <c r="V243" s="9" t="str">
        <f t="shared" si="41"/>
        <v/>
      </c>
      <c r="W243" s="9" t="str">
        <f t="shared" si="42"/>
        <v/>
      </c>
      <c r="X243" s="10">
        <f>SUM(V$13:V243)/COUNTA(B$13:B243)</f>
        <v>0</v>
      </c>
      <c r="Z243" s="5"/>
      <c r="AA243" s="5"/>
      <c r="AC243" s="7"/>
      <c r="AE243" s="54" t="e">
        <f t="shared" si="43"/>
        <v>#N/A</v>
      </c>
      <c r="AF243" s="4" t="e">
        <f t="shared" si="39"/>
        <v>#N/A</v>
      </c>
    </row>
    <row r="244" spans="2:32">
      <c r="B244" s="5">
        <f t="shared" si="44"/>
        <v>232</v>
      </c>
      <c r="C244" s="5"/>
      <c r="E244" s="13"/>
      <c r="F244" s="5"/>
      <c r="G244" s="11" t="str">
        <f>IF(ISERROR(AVERAGE(F$13:F244)),"n/a",AVERAGE(F$13:F244))</f>
        <v>n/a</v>
      </c>
      <c r="H244" s="11" t="str">
        <f t="shared" si="40"/>
        <v>n/a</v>
      </c>
      <c r="J244" s="5"/>
      <c r="K244" s="5"/>
      <c r="L244" s="5"/>
      <c r="M244" s="5"/>
      <c r="N244" s="5"/>
      <c r="O244" s="8" t="str">
        <f t="shared" si="38"/>
        <v>n/a</v>
      </c>
      <c r="Q244" s="5"/>
      <c r="R244" s="5"/>
      <c r="S244" s="5"/>
      <c r="U244" s="6"/>
      <c r="V244" s="9" t="str">
        <f t="shared" si="41"/>
        <v/>
      </c>
      <c r="W244" s="9" t="str">
        <f t="shared" si="42"/>
        <v/>
      </c>
      <c r="X244" s="10">
        <f>SUM(V$13:V244)/COUNTA(B$13:B244)</f>
        <v>0</v>
      </c>
      <c r="Z244" s="5"/>
      <c r="AA244" s="5"/>
      <c r="AC244" s="7"/>
      <c r="AE244" s="54" t="e">
        <f t="shared" si="43"/>
        <v>#N/A</v>
      </c>
      <c r="AF244" s="4" t="e">
        <f t="shared" si="39"/>
        <v>#N/A</v>
      </c>
    </row>
    <row r="245" spans="2:32">
      <c r="B245" s="5">
        <f t="shared" si="44"/>
        <v>233</v>
      </c>
      <c r="C245" s="5"/>
      <c r="E245" s="13"/>
      <c r="F245" s="5"/>
      <c r="G245" s="11" t="str">
        <f>IF(ISERROR(AVERAGE(F$13:F245)),"n/a",AVERAGE(F$13:F245))</f>
        <v>n/a</v>
      </c>
      <c r="H245" s="11" t="str">
        <f t="shared" si="40"/>
        <v>n/a</v>
      </c>
      <c r="J245" s="5"/>
      <c r="K245" s="5"/>
      <c r="L245" s="5"/>
      <c r="M245" s="5"/>
      <c r="N245" s="5"/>
      <c r="O245" s="8" t="str">
        <f t="shared" si="38"/>
        <v>n/a</v>
      </c>
      <c r="Q245" s="5"/>
      <c r="R245" s="5"/>
      <c r="S245" s="5"/>
      <c r="U245" s="6"/>
      <c r="V245" s="9" t="str">
        <f t="shared" si="41"/>
        <v/>
      </c>
      <c r="W245" s="9" t="str">
        <f t="shared" si="42"/>
        <v/>
      </c>
      <c r="X245" s="10">
        <f>SUM(V$13:V245)/COUNTA(B$13:B245)</f>
        <v>0</v>
      </c>
      <c r="Z245" s="5"/>
      <c r="AA245" s="5"/>
      <c r="AC245" s="7"/>
      <c r="AE245" s="54" t="e">
        <f t="shared" si="43"/>
        <v>#N/A</v>
      </c>
      <c r="AF245" s="4" t="e">
        <f t="shared" si="39"/>
        <v>#N/A</v>
      </c>
    </row>
    <row r="246" spans="2:32">
      <c r="B246" s="5">
        <f t="shared" si="44"/>
        <v>234</v>
      </c>
      <c r="C246" s="5"/>
      <c r="E246" s="13"/>
      <c r="F246" s="5"/>
      <c r="G246" s="11" t="str">
        <f>IF(ISERROR(AVERAGE(F$13:F246)),"n/a",AVERAGE(F$13:F246))</f>
        <v>n/a</v>
      </c>
      <c r="H246" s="11" t="str">
        <f t="shared" si="40"/>
        <v>n/a</v>
      </c>
      <c r="J246" s="5"/>
      <c r="K246" s="5"/>
      <c r="L246" s="5"/>
      <c r="M246" s="5"/>
      <c r="N246" s="5"/>
      <c r="O246" s="8" t="str">
        <f t="shared" si="38"/>
        <v>n/a</v>
      </c>
      <c r="Q246" s="5"/>
      <c r="R246" s="5"/>
      <c r="S246" s="5"/>
      <c r="U246" s="6"/>
      <c r="V246" s="9" t="str">
        <f t="shared" si="41"/>
        <v/>
      </c>
      <c r="W246" s="9" t="str">
        <f t="shared" si="42"/>
        <v/>
      </c>
      <c r="X246" s="10">
        <f>SUM(V$13:V246)/COUNTA(B$13:B246)</f>
        <v>0</v>
      </c>
      <c r="Z246" s="5"/>
      <c r="AA246" s="5"/>
      <c r="AC246" s="7"/>
      <c r="AE246" s="54" t="e">
        <f t="shared" si="43"/>
        <v>#N/A</v>
      </c>
      <c r="AF246" s="4" t="e">
        <f t="shared" si="39"/>
        <v>#N/A</v>
      </c>
    </row>
    <row r="247" spans="2:32">
      <c r="B247" s="5">
        <f t="shared" si="44"/>
        <v>235</v>
      </c>
      <c r="C247" s="5"/>
      <c r="E247" s="13"/>
      <c r="F247" s="5"/>
      <c r="G247" s="11" t="str">
        <f>IF(ISERROR(AVERAGE(F$13:F247)),"n/a",AVERAGE(F$13:F247))</f>
        <v>n/a</v>
      </c>
      <c r="H247" s="11" t="str">
        <f t="shared" si="40"/>
        <v>n/a</v>
      </c>
      <c r="J247" s="5"/>
      <c r="K247" s="5"/>
      <c r="L247" s="5"/>
      <c r="M247" s="5"/>
      <c r="N247" s="5"/>
      <c r="O247" s="8" t="str">
        <f t="shared" si="38"/>
        <v>n/a</v>
      </c>
      <c r="Q247" s="5"/>
      <c r="R247" s="5"/>
      <c r="S247" s="5"/>
      <c r="U247" s="6"/>
      <c r="V247" s="9" t="str">
        <f t="shared" si="41"/>
        <v/>
      </c>
      <c r="W247" s="9" t="str">
        <f t="shared" si="42"/>
        <v/>
      </c>
      <c r="X247" s="10">
        <f>SUM(V$13:V247)/COUNTA(B$13:B247)</f>
        <v>0</v>
      </c>
      <c r="Z247" s="5"/>
      <c r="AA247" s="5"/>
      <c r="AC247" s="7"/>
      <c r="AE247" s="54" t="e">
        <f t="shared" si="43"/>
        <v>#N/A</v>
      </c>
      <c r="AF247" s="4" t="e">
        <f t="shared" si="39"/>
        <v>#N/A</v>
      </c>
    </row>
    <row r="248" spans="2:32">
      <c r="B248" s="5">
        <f t="shared" si="44"/>
        <v>236</v>
      </c>
      <c r="C248" s="5"/>
      <c r="E248" s="13"/>
      <c r="F248" s="5"/>
      <c r="G248" s="11" t="str">
        <f>IF(ISERROR(AVERAGE(F$13:F248)),"n/a",AVERAGE(F$13:F248))</f>
        <v>n/a</v>
      </c>
      <c r="H248" s="11" t="str">
        <f t="shared" si="40"/>
        <v>n/a</v>
      </c>
      <c r="J248" s="5"/>
      <c r="K248" s="5"/>
      <c r="L248" s="5"/>
      <c r="M248" s="5"/>
      <c r="N248" s="5"/>
      <c r="O248" s="8" t="str">
        <f t="shared" si="38"/>
        <v>n/a</v>
      </c>
      <c r="Q248" s="5"/>
      <c r="R248" s="5"/>
      <c r="S248" s="5"/>
      <c r="U248" s="6"/>
      <c r="V248" s="9" t="str">
        <f t="shared" si="41"/>
        <v/>
      </c>
      <c r="W248" s="9" t="str">
        <f t="shared" si="42"/>
        <v/>
      </c>
      <c r="X248" s="10">
        <f>SUM(V$13:V248)/COUNTA(B$13:B248)</f>
        <v>0</v>
      </c>
      <c r="Z248" s="5"/>
      <c r="AA248" s="5"/>
      <c r="AC248" s="7"/>
      <c r="AE248" s="54" t="e">
        <f t="shared" si="43"/>
        <v>#N/A</v>
      </c>
      <c r="AF248" s="4" t="e">
        <f t="shared" si="39"/>
        <v>#N/A</v>
      </c>
    </row>
    <row r="249" spans="2:32">
      <c r="B249" s="5">
        <f t="shared" si="44"/>
        <v>237</v>
      </c>
      <c r="C249" s="5"/>
      <c r="E249" s="13"/>
      <c r="F249" s="5"/>
      <c r="G249" s="11" t="str">
        <f>IF(ISERROR(AVERAGE(F$13:F249)),"n/a",AVERAGE(F$13:F249))</f>
        <v>n/a</v>
      </c>
      <c r="H249" s="11" t="str">
        <f t="shared" si="40"/>
        <v>n/a</v>
      </c>
      <c r="J249" s="5"/>
      <c r="K249" s="5"/>
      <c r="L249" s="5"/>
      <c r="M249" s="5"/>
      <c r="N249" s="5"/>
      <c r="O249" s="8" t="str">
        <f t="shared" si="38"/>
        <v>n/a</v>
      </c>
      <c r="Q249" s="5"/>
      <c r="R249" s="5"/>
      <c r="S249" s="5"/>
      <c r="U249" s="6"/>
      <c r="V249" s="9" t="str">
        <f t="shared" si="41"/>
        <v/>
      </c>
      <c r="W249" s="9" t="str">
        <f t="shared" si="42"/>
        <v/>
      </c>
      <c r="X249" s="10">
        <f>SUM(V$13:V249)/COUNTA(B$13:B249)</f>
        <v>0</v>
      </c>
      <c r="Z249" s="5"/>
      <c r="AA249" s="5"/>
      <c r="AC249" s="7"/>
      <c r="AE249" s="54" t="e">
        <f t="shared" si="43"/>
        <v>#N/A</v>
      </c>
      <c r="AF249" s="4" t="e">
        <f t="shared" si="39"/>
        <v>#N/A</v>
      </c>
    </row>
    <row r="250" spans="2:32">
      <c r="B250" s="5">
        <f t="shared" si="44"/>
        <v>238</v>
      </c>
      <c r="C250" s="5"/>
      <c r="E250" s="13"/>
      <c r="F250" s="5"/>
      <c r="G250" s="11" t="str">
        <f>IF(ISERROR(AVERAGE(F$13:F250)),"n/a",AVERAGE(F$13:F250))</f>
        <v>n/a</v>
      </c>
      <c r="H250" s="11" t="str">
        <f t="shared" si="40"/>
        <v>n/a</v>
      </c>
      <c r="J250" s="5"/>
      <c r="K250" s="5"/>
      <c r="L250" s="5"/>
      <c r="M250" s="5"/>
      <c r="N250" s="5"/>
      <c r="O250" s="8" t="str">
        <f t="shared" si="38"/>
        <v>n/a</v>
      </c>
      <c r="Q250" s="5"/>
      <c r="R250" s="5"/>
      <c r="S250" s="5"/>
      <c r="U250" s="6"/>
      <c r="V250" s="9" t="str">
        <f t="shared" si="41"/>
        <v/>
      </c>
      <c r="W250" s="9" t="str">
        <f t="shared" si="42"/>
        <v/>
      </c>
      <c r="X250" s="10">
        <f>SUM(V$13:V250)/COUNTA(B$13:B250)</f>
        <v>0</v>
      </c>
      <c r="Z250" s="5"/>
      <c r="AA250" s="5"/>
      <c r="AC250" s="7"/>
      <c r="AE250" s="54" t="e">
        <f t="shared" si="43"/>
        <v>#N/A</v>
      </c>
      <c r="AF250" s="4" t="e">
        <f t="shared" si="39"/>
        <v>#N/A</v>
      </c>
    </row>
    <row r="251" spans="2:32">
      <c r="B251" s="5">
        <f t="shared" si="44"/>
        <v>239</v>
      </c>
      <c r="C251" s="5"/>
      <c r="E251" s="13"/>
      <c r="F251" s="5"/>
      <c r="G251" s="11" t="str">
        <f>IF(ISERROR(AVERAGE(F$13:F251)),"n/a",AVERAGE(F$13:F251))</f>
        <v>n/a</v>
      </c>
      <c r="H251" s="11" t="str">
        <f t="shared" si="40"/>
        <v>n/a</v>
      </c>
      <c r="J251" s="5"/>
      <c r="K251" s="5"/>
      <c r="L251" s="5"/>
      <c r="M251" s="5"/>
      <c r="N251" s="5"/>
      <c r="O251" s="8" t="str">
        <f t="shared" si="38"/>
        <v>n/a</v>
      </c>
      <c r="Q251" s="5"/>
      <c r="R251" s="5"/>
      <c r="S251" s="5"/>
      <c r="U251" s="6"/>
      <c r="V251" s="9" t="str">
        <f t="shared" si="41"/>
        <v/>
      </c>
      <c r="W251" s="9" t="str">
        <f t="shared" si="42"/>
        <v/>
      </c>
      <c r="X251" s="10">
        <f>SUM(V$13:V251)/COUNTA(B$13:B251)</f>
        <v>0</v>
      </c>
      <c r="Z251" s="5"/>
      <c r="AA251" s="5"/>
      <c r="AC251" s="7"/>
      <c r="AE251" s="54" t="e">
        <f t="shared" si="43"/>
        <v>#N/A</v>
      </c>
      <c r="AF251" s="4" t="e">
        <f t="shared" si="39"/>
        <v>#N/A</v>
      </c>
    </row>
    <row r="252" spans="2:32">
      <c r="B252" s="5">
        <f t="shared" si="44"/>
        <v>240</v>
      </c>
      <c r="C252" s="5"/>
      <c r="E252" s="13"/>
      <c r="F252" s="5"/>
      <c r="G252" s="11" t="str">
        <f>IF(ISERROR(AVERAGE(F$13:F252)),"n/a",AVERAGE(F$13:F252))</f>
        <v>n/a</v>
      </c>
      <c r="H252" s="11" t="str">
        <f t="shared" si="40"/>
        <v>n/a</v>
      </c>
      <c r="J252" s="5"/>
      <c r="K252" s="5"/>
      <c r="L252" s="5"/>
      <c r="M252" s="5"/>
      <c r="N252" s="5"/>
      <c r="O252" s="8" t="str">
        <f t="shared" si="38"/>
        <v>n/a</v>
      </c>
      <c r="Q252" s="5"/>
      <c r="R252" s="5"/>
      <c r="S252" s="5"/>
      <c r="U252" s="6"/>
      <c r="V252" s="9" t="str">
        <f t="shared" si="41"/>
        <v/>
      </c>
      <c r="W252" s="9" t="str">
        <f t="shared" si="42"/>
        <v/>
      </c>
      <c r="X252" s="10">
        <f>SUM(V$13:V252)/COUNTA(B$13:B252)</f>
        <v>0</v>
      </c>
      <c r="Z252" s="5"/>
      <c r="AA252" s="5"/>
      <c r="AC252" s="7"/>
      <c r="AE252" s="54" t="e">
        <f t="shared" si="43"/>
        <v>#N/A</v>
      </c>
      <c r="AF252" s="4" t="e">
        <f t="shared" si="39"/>
        <v>#N/A</v>
      </c>
    </row>
    <row r="253" spans="2:32">
      <c r="B253" s="5">
        <f t="shared" si="44"/>
        <v>241</v>
      </c>
      <c r="C253" s="5"/>
      <c r="E253" s="13"/>
      <c r="F253" s="5"/>
      <c r="G253" s="11" t="str">
        <f>IF(ISERROR(AVERAGE(F$13:F253)),"n/a",AVERAGE(F$13:F253))</f>
        <v>n/a</v>
      </c>
      <c r="H253" s="11" t="str">
        <f t="shared" si="40"/>
        <v>n/a</v>
      </c>
      <c r="J253" s="5"/>
      <c r="K253" s="5"/>
      <c r="L253" s="5"/>
      <c r="M253" s="5"/>
      <c r="N253" s="5"/>
      <c r="O253" s="8" t="str">
        <f t="shared" si="38"/>
        <v>n/a</v>
      </c>
      <c r="Q253" s="5"/>
      <c r="R253" s="5"/>
      <c r="S253" s="5"/>
      <c r="U253" s="6"/>
      <c r="V253" s="9" t="str">
        <f t="shared" si="41"/>
        <v/>
      </c>
      <c r="W253" s="9" t="str">
        <f t="shared" si="42"/>
        <v/>
      </c>
      <c r="X253" s="10">
        <f>SUM(V$13:V253)/COUNTA(B$13:B253)</f>
        <v>0</v>
      </c>
      <c r="Z253" s="5"/>
      <c r="AA253" s="5"/>
      <c r="AC253" s="7"/>
      <c r="AE253" s="54" t="e">
        <f t="shared" si="43"/>
        <v>#N/A</v>
      </c>
      <c r="AF253" s="4" t="e">
        <f t="shared" si="39"/>
        <v>#N/A</v>
      </c>
    </row>
    <row r="254" spans="2:32">
      <c r="B254" s="5">
        <f t="shared" si="44"/>
        <v>242</v>
      </c>
      <c r="C254" s="5"/>
      <c r="E254" s="13"/>
      <c r="F254" s="5"/>
      <c r="G254" s="11" t="str">
        <f>IF(ISERROR(AVERAGE(F$13:F254)),"n/a",AVERAGE(F$13:F254))</f>
        <v>n/a</v>
      </c>
      <c r="H254" s="11" t="str">
        <f t="shared" si="40"/>
        <v>n/a</v>
      </c>
      <c r="J254" s="5"/>
      <c r="K254" s="5"/>
      <c r="L254" s="5"/>
      <c r="M254" s="5"/>
      <c r="N254" s="5"/>
      <c r="O254" s="8" t="str">
        <f t="shared" si="38"/>
        <v>n/a</v>
      </c>
      <c r="Q254" s="5"/>
      <c r="R254" s="5"/>
      <c r="S254" s="5"/>
      <c r="U254" s="6"/>
      <c r="V254" s="9" t="str">
        <f t="shared" si="41"/>
        <v/>
      </c>
      <c r="W254" s="9" t="str">
        <f t="shared" si="42"/>
        <v/>
      </c>
      <c r="X254" s="10">
        <f>SUM(V$13:V254)/COUNTA(B$13:B254)</f>
        <v>0</v>
      </c>
      <c r="Z254" s="5"/>
      <c r="AA254" s="5"/>
      <c r="AC254" s="7"/>
      <c r="AE254" s="54" t="e">
        <f t="shared" si="43"/>
        <v>#N/A</v>
      </c>
      <c r="AF254" s="4" t="e">
        <f t="shared" si="39"/>
        <v>#N/A</v>
      </c>
    </row>
    <row r="255" spans="2:32">
      <c r="B255" s="5">
        <f t="shared" si="44"/>
        <v>243</v>
      </c>
      <c r="C255" s="5"/>
      <c r="E255" s="13"/>
      <c r="F255" s="5"/>
      <c r="G255" s="11" t="str">
        <f>IF(ISERROR(AVERAGE(F$13:F255)),"n/a",AVERAGE(F$13:F255))</f>
        <v>n/a</v>
      </c>
      <c r="H255" s="11" t="str">
        <f t="shared" si="40"/>
        <v>n/a</v>
      </c>
      <c r="J255" s="5"/>
      <c r="K255" s="5"/>
      <c r="L255" s="5"/>
      <c r="M255" s="5"/>
      <c r="N255" s="5"/>
      <c r="O255" s="8" t="str">
        <f t="shared" si="38"/>
        <v>n/a</v>
      </c>
      <c r="Q255" s="5"/>
      <c r="R255" s="5"/>
      <c r="S255" s="5"/>
      <c r="U255" s="6"/>
      <c r="V255" s="9" t="str">
        <f t="shared" si="41"/>
        <v/>
      </c>
      <c r="W255" s="9" t="str">
        <f t="shared" si="42"/>
        <v/>
      </c>
      <c r="X255" s="10">
        <f>SUM(V$13:V255)/COUNTA(B$13:B255)</f>
        <v>0</v>
      </c>
      <c r="Z255" s="5"/>
      <c r="AA255" s="5"/>
      <c r="AC255" s="7"/>
      <c r="AE255" s="54" t="e">
        <f t="shared" si="43"/>
        <v>#N/A</v>
      </c>
      <c r="AF255" s="4" t="e">
        <f t="shared" si="39"/>
        <v>#N/A</v>
      </c>
    </row>
    <row r="256" spans="2:32">
      <c r="B256" s="5">
        <f t="shared" si="44"/>
        <v>244</v>
      </c>
      <c r="C256" s="5"/>
      <c r="E256" s="13"/>
      <c r="F256" s="5"/>
      <c r="G256" s="11" t="str">
        <f>IF(ISERROR(AVERAGE(F$13:F256)),"n/a",AVERAGE(F$13:F256))</f>
        <v>n/a</v>
      </c>
      <c r="H256" s="11" t="str">
        <f t="shared" si="40"/>
        <v>n/a</v>
      </c>
      <c r="J256" s="5"/>
      <c r="K256" s="5"/>
      <c r="L256" s="5"/>
      <c r="M256" s="5"/>
      <c r="N256" s="5"/>
      <c r="O256" s="8" t="str">
        <f t="shared" si="38"/>
        <v>n/a</v>
      </c>
      <c r="Q256" s="5"/>
      <c r="R256" s="5"/>
      <c r="S256" s="5"/>
      <c r="U256" s="6"/>
      <c r="V256" s="9" t="str">
        <f t="shared" si="41"/>
        <v/>
      </c>
      <c r="W256" s="9" t="str">
        <f t="shared" si="42"/>
        <v/>
      </c>
      <c r="X256" s="10">
        <f>SUM(V$13:V256)/COUNTA(B$13:B256)</f>
        <v>0</v>
      </c>
      <c r="Z256" s="5"/>
      <c r="AA256" s="5"/>
      <c r="AC256" s="7"/>
      <c r="AE256" s="54" t="e">
        <f t="shared" si="43"/>
        <v>#N/A</v>
      </c>
      <c r="AF256" s="4" t="e">
        <f t="shared" si="39"/>
        <v>#N/A</v>
      </c>
    </row>
    <row r="257" spans="2:32">
      <c r="B257" s="5">
        <f t="shared" si="44"/>
        <v>245</v>
      </c>
      <c r="C257" s="5"/>
      <c r="E257" s="13"/>
      <c r="F257" s="5"/>
      <c r="G257" s="11" t="str">
        <f>IF(ISERROR(AVERAGE(F$13:F257)),"n/a",AVERAGE(F$13:F257))</f>
        <v>n/a</v>
      </c>
      <c r="H257" s="11" t="str">
        <f t="shared" si="40"/>
        <v>n/a</v>
      </c>
      <c r="J257" s="5"/>
      <c r="K257" s="5"/>
      <c r="L257" s="5"/>
      <c r="M257" s="5"/>
      <c r="N257" s="5"/>
      <c r="O257" s="8" t="str">
        <f t="shared" si="38"/>
        <v>n/a</v>
      </c>
      <c r="Q257" s="5"/>
      <c r="R257" s="5"/>
      <c r="S257" s="5"/>
      <c r="U257" s="6"/>
      <c r="V257" s="9" t="str">
        <f t="shared" si="41"/>
        <v/>
      </c>
      <c r="W257" s="9" t="str">
        <f t="shared" si="42"/>
        <v/>
      </c>
      <c r="X257" s="10">
        <f>SUM(V$13:V257)/COUNTA(B$13:B257)</f>
        <v>0</v>
      </c>
      <c r="Z257" s="5"/>
      <c r="AA257" s="5"/>
      <c r="AC257" s="7"/>
      <c r="AE257" s="54" t="e">
        <f t="shared" si="43"/>
        <v>#N/A</v>
      </c>
      <c r="AF257" s="4" t="e">
        <f t="shared" si="39"/>
        <v>#N/A</v>
      </c>
    </row>
    <row r="258" spans="2:32">
      <c r="B258" s="5">
        <f t="shared" si="44"/>
        <v>246</v>
      </c>
      <c r="C258" s="5"/>
      <c r="E258" s="13"/>
      <c r="F258" s="5"/>
      <c r="G258" s="11" t="str">
        <f>IF(ISERROR(AVERAGE(F$13:F258)),"n/a",AVERAGE(F$13:F258))</f>
        <v>n/a</v>
      </c>
      <c r="H258" s="11" t="str">
        <f t="shared" si="40"/>
        <v>n/a</v>
      </c>
      <c r="J258" s="5"/>
      <c r="K258" s="5"/>
      <c r="L258" s="5"/>
      <c r="M258" s="5"/>
      <c r="N258" s="5"/>
      <c r="O258" s="8" t="str">
        <f t="shared" si="38"/>
        <v>n/a</v>
      </c>
      <c r="Q258" s="5"/>
      <c r="R258" s="5"/>
      <c r="S258" s="5"/>
      <c r="U258" s="6"/>
      <c r="V258" s="9" t="str">
        <f t="shared" si="41"/>
        <v/>
      </c>
      <c r="W258" s="9" t="str">
        <f t="shared" si="42"/>
        <v/>
      </c>
      <c r="X258" s="10">
        <f>SUM(V$13:V258)/COUNTA(B$13:B258)</f>
        <v>0</v>
      </c>
      <c r="Z258" s="5"/>
      <c r="AA258" s="5"/>
      <c r="AC258" s="7"/>
      <c r="AE258" s="54" t="e">
        <f t="shared" si="43"/>
        <v>#N/A</v>
      </c>
      <c r="AF258" s="4" t="e">
        <f t="shared" si="39"/>
        <v>#N/A</v>
      </c>
    </row>
    <row r="259" spans="2:32">
      <c r="B259" s="5">
        <f t="shared" si="44"/>
        <v>247</v>
      </c>
      <c r="C259" s="5"/>
      <c r="E259" s="13"/>
      <c r="F259" s="5"/>
      <c r="G259" s="11" t="str">
        <f>IF(ISERROR(AVERAGE(F$13:F259)),"n/a",AVERAGE(F$13:F259))</f>
        <v>n/a</v>
      </c>
      <c r="H259" s="11" t="str">
        <f t="shared" si="40"/>
        <v>n/a</v>
      </c>
      <c r="J259" s="5"/>
      <c r="K259" s="5"/>
      <c r="L259" s="5"/>
      <c r="M259" s="5"/>
      <c r="N259" s="5"/>
      <c r="O259" s="8" t="str">
        <f t="shared" si="38"/>
        <v>n/a</v>
      </c>
      <c r="Q259" s="5"/>
      <c r="R259" s="5"/>
      <c r="S259" s="5"/>
      <c r="U259" s="6"/>
      <c r="V259" s="9" t="str">
        <f t="shared" si="41"/>
        <v/>
      </c>
      <c r="W259" s="9" t="str">
        <f t="shared" si="42"/>
        <v/>
      </c>
      <c r="X259" s="10">
        <f>SUM(V$13:V259)/COUNTA(B$13:B259)</f>
        <v>0</v>
      </c>
      <c r="Z259" s="5"/>
      <c r="AA259" s="5"/>
      <c r="AC259" s="7"/>
      <c r="AE259" s="54" t="e">
        <f t="shared" si="43"/>
        <v>#N/A</v>
      </c>
      <c r="AF259" s="4" t="e">
        <f t="shared" si="39"/>
        <v>#N/A</v>
      </c>
    </row>
    <row r="260" spans="2:32">
      <c r="B260" s="5">
        <f t="shared" si="44"/>
        <v>248</v>
      </c>
      <c r="C260" s="5"/>
      <c r="E260" s="13"/>
      <c r="F260" s="5"/>
      <c r="G260" s="11" t="str">
        <f>IF(ISERROR(AVERAGE(F$13:F260)),"n/a",AVERAGE(F$13:F260))</f>
        <v>n/a</v>
      </c>
      <c r="H260" s="11" t="str">
        <f t="shared" si="40"/>
        <v>n/a</v>
      </c>
      <c r="J260" s="5"/>
      <c r="K260" s="5"/>
      <c r="L260" s="5"/>
      <c r="M260" s="5"/>
      <c r="N260" s="5"/>
      <c r="O260" s="8" t="str">
        <f t="shared" si="38"/>
        <v>n/a</v>
      </c>
      <c r="Q260" s="5"/>
      <c r="R260" s="5"/>
      <c r="S260" s="5"/>
      <c r="U260" s="6"/>
      <c r="V260" s="9" t="str">
        <f t="shared" si="41"/>
        <v/>
      </c>
      <c r="W260" s="9" t="str">
        <f t="shared" si="42"/>
        <v/>
      </c>
      <c r="X260" s="10">
        <f>SUM(V$13:V260)/COUNTA(B$13:B260)</f>
        <v>0</v>
      </c>
      <c r="Z260" s="5"/>
      <c r="AA260" s="5"/>
      <c r="AC260" s="7"/>
      <c r="AE260" s="54" t="e">
        <f t="shared" si="43"/>
        <v>#N/A</v>
      </c>
      <c r="AF260" s="4" t="e">
        <f t="shared" si="39"/>
        <v>#N/A</v>
      </c>
    </row>
    <row r="261" spans="2:32">
      <c r="B261" s="5">
        <f t="shared" si="44"/>
        <v>249</v>
      </c>
      <c r="C261" s="5"/>
      <c r="E261" s="13"/>
      <c r="F261" s="5"/>
      <c r="G261" s="11" t="str">
        <f>IF(ISERROR(AVERAGE(F$13:F261)),"n/a",AVERAGE(F$13:F261))</f>
        <v>n/a</v>
      </c>
      <c r="H261" s="11" t="str">
        <f t="shared" si="40"/>
        <v>n/a</v>
      </c>
      <c r="J261" s="5"/>
      <c r="K261" s="5"/>
      <c r="L261" s="5"/>
      <c r="M261" s="5"/>
      <c r="N261" s="5"/>
      <c r="O261" s="8" t="str">
        <f t="shared" si="38"/>
        <v>n/a</v>
      </c>
      <c r="Q261" s="5"/>
      <c r="R261" s="5"/>
      <c r="S261" s="5"/>
      <c r="U261" s="6"/>
      <c r="V261" s="9" t="str">
        <f t="shared" si="41"/>
        <v/>
      </c>
      <c r="W261" s="9" t="str">
        <f t="shared" si="42"/>
        <v/>
      </c>
      <c r="X261" s="10">
        <f>SUM(V$13:V261)/COUNTA(B$13:B261)</f>
        <v>0</v>
      </c>
      <c r="Z261" s="5"/>
      <c r="AA261" s="5"/>
      <c r="AC261" s="7"/>
      <c r="AE261" s="54" t="e">
        <f t="shared" si="43"/>
        <v>#N/A</v>
      </c>
      <c r="AF261" s="4" t="e">
        <f t="shared" si="39"/>
        <v>#N/A</v>
      </c>
    </row>
    <row r="262" spans="2:32">
      <c r="B262" s="5">
        <f t="shared" si="44"/>
        <v>250</v>
      </c>
      <c r="C262" s="5"/>
      <c r="E262" s="13"/>
      <c r="F262" s="5"/>
      <c r="G262" s="11" t="str">
        <f>IF(ISERROR(AVERAGE(F$13:F262)),"n/a",AVERAGE(F$13:F262))</f>
        <v>n/a</v>
      </c>
      <c r="H262" s="11" t="str">
        <f t="shared" si="40"/>
        <v>n/a</v>
      </c>
      <c r="J262" s="5"/>
      <c r="K262" s="5"/>
      <c r="L262" s="5"/>
      <c r="M262" s="5"/>
      <c r="N262" s="5"/>
      <c r="O262" s="8" t="str">
        <f t="shared" si="38"/>
        <v>n/a</v>
      </c>
      <c r="Q262" s="5"/>
      <c r="R262" s="5"/>
      <c r="S262" s="5"/>
      <c r="U262" s="6"/>
      <c r="V262" s="9" t="str">
        <f t="shared" si="41"/>
        <v/>
      </c>
      <c r="W262" s="9" t="str">
        <f t="shared" si="42"/>
        <v/>
      </c>
      <c r="X262" s="10">
        <f>SUM(V$13:V262)/COUNTA(B$13:B262)</f>
        <v>0</v>
      </c>
      <c r="Z262" s="5"/>
      <c r="AA262" s="5"/>
      <c r="AC262" s="7"/>
      <c r="AE262" s="54" t="e">
        <f t="shared" si="43"/>
        <v>#N/A</v>
      </c>
      <c r="AF262" s="4" t="e">
        <f t="shared" si="39"/>
        <v>#N/A</v>
      </c>
    </row>
    <row r="263" spans="2:32">
      <c r="B263" s="5">
        <f t="shared" si="44"/>
        <v>251</v>
      </c>
      <c r="C263" s="5"/>
      <c r="E263" s="13"/>
      <c r="F263" s="5"/>
      <c r="G263" s="11" t="str">
        <f>IF(ISERROR(AVERAGE(F$13:F263)),"n/a",AVERAGE(F$13:F263))</f>
        <v>n/a</v>
      </c>
      <c r="H263" s="11" t="str">
        <f t="shared" si="40"/>
        <v>n/a</v>
      </c>
      <c r="J263" s="5"/>
      <c r="K263" s="5"/>
      <c r="L263" s="5"/>
      <c r="M263" s="5"/>
      <c r="N263" s="5"/>
      <c r="O263" s="8" t="str">
        <f t="shared" si="38"/>
        <v>n/a</v>
      </c>
      <c r="Q263" s="5"/>
      <c r="R263" s="5"/>
      <c r="S263" s="5"/>
      <c r="U263" s="6"/>
      <c r="V263" s="9" t="str">
        <f t="shared" si="41"/>
        <v/>
      </c>
      <c r="W263" s="9" t="str">
        <f t="shared" si="42"/>
        <v/>
      </c>
      <c r="X263" s="10">
        <f>SUM(V$13:V263)/COUNTA(B$13:B263)</f>
        <v>0</v>
      </c>
      <c r="Z263" s="5"/>
      <c r="AA263" s="5"/>
      <c r="AC263" s="7"/>
      <c r="AE263" s="54" t="e">
        <f t="shared" si="43"/>
        <v>#N/A</v>
      </c>
      <c r="AF263" s="4" t="e">
        <f t="shared" si="39"/>
        <v>#N/A</v>
      </c>
    </row>
    <row r="264" spans="2:32">
      <c r="B264" s="5">
        <f t="shared" si="44"/>
        <v>252</v>
      </c>
      <c r="C264" s="5"/>
      <c r="E264" s="13"/>
      <c r="F264" s="5"/>
      <c r="G264" s="11" t="str">
        <f>IF(ISERROR(AVERAGE(F$13:F264)),"n/a",AVERAGE(F$13:F264))</f>
        <v>n/a</v>
      </c>
      <c r="H264" s="11" t="str">
        <f t="shared" si="40"/>
        <v>n/a</v>
      </c>
      <c r="J264" s="5"/>
      <c r="K264" s="5"/>
      <c r="L264" s="5"/>
      <c r="M264" s="5"/>
      <c r="N264" s="5"/>
      <c r="O264" s="8" t="str">
        <f t="shared" si="38"/>
        <v>n/a</v>
      </c>
      <c r="Q264" s="5"/>
      <c r="R264" s="5"/>
      <c r="S264" s="5"/>
      <c r="U264" s="6"/>
      <c r="V264" s="9" t="str">
        <f t="shared" si="41"/>
        <v/>
      </c>
      <c r="W264" s="9" t="str">
        <f t="shared" si="42"/>
        <v/>
      </c>
      <c r="X264" s="10">
        <f>SUM(V$13:V264)/COUNTA(B$13:B264)</f>
        <v>0</v>
      </c>
      <c r="Z264" s="5"/>
      <c r="AA264" s="5"/>
      <c r="AC264" s="7"/>
      <c r="AE264" s="54" t="e">
        <f t="shared" si="43"/>
        <v>#N/A</v>
      </c>
      <c r="AF264" s="4" t="e">
        <f t="shared" si="39"/>
        <v>#N/A</v>
      </c>
    </row>
    <row r="265" spans="2:32">
      <c r="B265" s="5">
        <f t="shared" si="44"/>
        <v>253</v>
      </c>
      <c r="C265" s="5"/>
      <c r="E265" s="13"/>
      <c r="F265" s="5"/>
      <c r="G265" s="11" t="str">
        <f>IF(ISERROR(AVERAGE(F$13:F265)),"n/a",AVERAGE(F$13:F265))</f>
        <v>n/a</v>
      </c>
      <c r="H265" s="11" t="str">
        <f t="shared" si="40"/>
        <v>n/a</v>
      </c>
      <c r="J265" s="5"/>
      <c r="K265" s="5"/>
      <c r="L265" s="5"/>
      <c r="M265" s="5"/>
      <c r="N265" s="5"/>
      <c r="O265" s="8" t="str">
        <f t="shared" si="38"/>
        <v>n/a</v>
      </c>
      <c r="Q265" s="5"/>
      <c r="R265" s="5"/>
      <c r="S265" s="5"/>
      <c r="U265" s="6"/>
      <c r="V265" s="9" t="str">
        <f t="shared" si="41"/>
        <v/>
      </c>
      <c r="W265" s="9" t="str">
        <f t="shared" si="42"/>
        <v/>
      </c>
      <c r="X265" s="10">
        <f>SUM(V$13:V265)/COUNTA(B$13:B265)</f>
        <v>0</v>
      </c>
      <c r="Z265" s="5"/>
      <c r="AA265" s="5"/>
      <c r="AC265" s="7"/>
      <c r="AE265" s="54" t="e">
        <f t="shared" si="43"/>
        <v>#N/A</v>
      </c>
      <c r="AF265" s="4" t="e">
        <f t="shared" si="39"/>
        <v>#N/A</v>
      </c>
    </row>
    <row r="266" spans="2:32">
      <c r="B266" s="5">
        <f t="shared" si="44"/>
        <v>254</v>
      </c>
      <c r="C266" s="5"/>
      <c r="E266" s="13"/>
      <c r="F266" s="5"/>
      <c r="G266" s="11" t="str">
        <f>IF(ISERROR(AVERAGE(F$13:F266)),"n/a",AVERAGE(F$13:F266))</f>
        <v>n/a</v>
      </c>
      <c r="H266" s="11" t="str">
        <f t="shared" si="40"/>
        <v>n/a</v>
      </c>
      <c r="J266" s="5"/>
      <c r="K266" s="5"/>
      <c r="L266" s="5"/>
      <c r="M266" s="5"/>
      <c r="N266" s="5"/>
      <c r="O266" s="8" t="str">
        <f t="shared" si="38"/>
        <v>n/a</v>
      </c>
      <c r="Q266" s="5"/>
      <c r="R266" s="5"/>
      <c r="S266" s="5"/>
      <c r="U266" s="6"/>
      <c r="V266" s="9" t="str">
        <f t="shared" si="41"/>
        <v/>
      </c>
      <c r="W266" s="9" t="str">
        <f t="shared" si="42"/>
        <v/>
      </c>
      <c r="X266" s="10">
        <f>SUM(V$13:V266)/COUNTA(B$13:B266)</f>
        <v>0</v>
      </c>
      <c r="Z266" s="5"/>
      <c r="AA266" s="5"/>
      <c r="AC266" s="7"/>
      <c r="AE266" s="54" t="e">
        <f t="shared" si="43"/>
        <v>#N/A</v>
      </c>
      <c r="AF266" s="4" t="e">
        <f t="shared" si="39"/>
        <v>#N/A</v>
      </c>
    </row>
    <row r="267" spans="2:32">
      <c r="B267" s="5">
        <f t="shared" si="44"/>
        <v>255</v>
      </c>
      <c r="C267" s="5"/>
      <c r="E267" s="13"/>
      <c r="F267" s="5"/>
      <c r="G267" s="11" t="str">
        <f>IF(ISERROR(AVERAGE(F$13:F267)),"n/a",AVERAGE(F$13:F267))</f>
        <v>n/a</v>
      </c>
      <c r="H267" s="11" t="str">
        <f t="shared" si="40"/>
        <v>n/a</v>
      </c>
      <c r="J267" s="5"/>
      <c r="K267" s="5"/>
      <c r="L267" s="5"/>
      <c r="M267" s="5"/>
      <c r="N267" s="5"/>
      <c r="O267" s="8" t="str">
        <f t="shared" si="38"/>
        <v>n/a</v>
      </c>
      <c r="Q267" s="5"/>
      <c r="R267" s="5"/>
      <c r="S267" s="5"/>
      <c r="U267" s="6"/>
      <c r="V267" s="9" t="str">
        <f t="shared" si="41"/>
        <v/>
      </c>
      <c r="W267" s="9" t="str">
        <f t="shared" si="42"/>
        <v/>
      </c>
      <c r="X267" s="10">
        <f>SUM(V$13:V267)/COUNTA(B$13:B267)</f>
        <v>0</v>
      </c>
      <c r="Z267" s="5"/>
      <c r="AA267" s="5"/>
      <c r="AC267" s="7"/>
      <c r="AE267" s="54" t="e">
        <f t="shared" si="43"/>
        <v>#N/A</v>
      </c>
      <c r="AF267" s="4" t="e">
        <f t="shared" si="39"/>
        <v>#N/A</v>
      </c>
    </row>
    <row r="268" spans="2:32">
      <c r="B268" s="5">
        <f t="shared" si="44"/>
        <v>256</v>
      </c>
      <c r="C268" s="5"/>
      <c r="E268" s="13"/>
      <c r="F268" s="5"/>
      <c r="G268" s="11" t="str">
        <f>IF(ISERROR(AVERAGE(F$13:F268)),"n/a",AVERAGE(F$13:F268))</f>
        <v>n/a</v>
      </c>
      <c r="H268" s="11" t="str">
        <f t="shared" si="40"/>
        <v>n/a</v>
      </c>
      <c r="J268" s="5"/>
      <c r="K268" s="5"/>
      <c r="L268" s="5"/>
      <c r="M268" s="5"/>
      <c r="N268" s="5"/>
      <c r="O268" s="8" t="str">
        <f t="shared" si="38"/>
        <v>n/a</v>
      </c>
      <c r="Q268" s="5"/>
      <c r="R268" s="5"/>
      <c r="S268" s="5"/>
      <c r="U268" s="6"/>
      <c r="V268" s="9" t="str">
        <f t="shared" si="41"/>
        <v/>
      </c>
      <c r="W268" s="9" t="str">
        <f t="shared" si="42"/>
        <v/>
      </c>
      <c r="X268" s="10">
        <f>SUM(V$13:V268)/COUNTA(B$13:B268)</f>
        <v>0</v>
      </c>
      <c r="Z268" s="5"/>
      <c r="AA268" s="5"/>
      <c r="AC268" s="7"/>
      <c r="AE268" s="54" t="e">
        <f t="shared" si="43"/>
        <v>#N/A</v>
      </c>
      <c r="AF268" s="4" t="e">
        <f t="shared" si="39"/>
        <v>#N/A</v>
      </c>
    </row>
    <row r="269" spans="2:32">
      <c r="B269" s="5">
        <f t="shared" si="44"/>
        <v>257</v>
      </c>
      <c r="C269" s="5"/>
      <c r="E269" s="13"/>
      <c r="F269" s="5"/>
      <c r="G269" s="11" t="str">
        <f>IF(ISERROR(AVERAGE(F$13:F269)),"n/a",AVERAGE(F$13:F269))</f>
        <v>n/a</v>
      </c>
      <c r="H269" s="11" t="str">
        <f t="shared" si="40"/>
        <v>n/a</v>
      </c>
      <c r="J269" s="5"/>
      <c r="K269" s="5"/>
      <c r="L269" s="5"/>
      <c r="M269" s="5"/>
      <c r="N269" s="5"/>
      <c r="O269" s="8" t="str">
        <f t="shared" ref="O269:O332" si="45">IF(J269=1,"A",IF(K269=1,"B",IF(L269=1,"C",IF(M269=1,"D",IF(N269=1,"E","n/a")))))</f>
        <v>n/a</v>
      </c>
      <c r="Q269" s="5"/>
      <c r="R269" s="5"/>
      <c r="S269" s="5"/>
      <c r="U269" s="6"/>
      <c r="V269" s="9" t="str">
        <f t="shared" si="41"/>
        <v/>
      </c>
      <c r="W269" s="9" t="str">
        <f t="shared" si="42"/>
        <v/>
      </c>
      <c r="X269" s="10">
        <f>SUM(V$13:V269)/COUNTA(B$13:B269)</f>
        <v>0</v>
      </c>
      <c r="Z269" s="5"/>
      <c r="AA269" s="5"/>
      <c r="AC269" s="7"/>
      <c r="AE269" s="54" t="e">
        <f t="shared" si="43"/>
        <v>#N/A</v>
      </c>
      <c r="AF269" s="4" t="e">
        <f t="shared" ref="AF269:AF332" si="46">HLOOKUP(C269,$K$6:$O$7,2,FALSE)</f>
        <v>#N/A</v>
      </c>
    </row>
    <row r="270" spans="2:32">
      <c r="B270" s="5">
        <f t="shared" si="44"/>
        <v>258</v>
      </c>
      <c r="C270" s="5"/>
      <c r="E270" s="13"/>
      <c r="F270" s="5"/>
      <c r="G270" s="11" t="str">
        <f>IF(ISERROR(AVERAGE(F$13:F270)),"n/a",AVERAGE(F$13:F270))</f>
        <v>n/a</v>
      </c>
      <c r="H270" s="11" t="str">
        <f t="shared" ref="H270:H333" si="47">G270</f>
        <v>n/a</v>
      </c>
      <c r="J270" s="5"/>
      <c r="K270" s="5"/>
      <c r="L270" s="5"/>
      <c r="M270" s="5"/>
      <c r="N270" s="5"/>
      <c r="O270" s="8" t="str">
        <f t="shared" si="45"/>
        <v>n/a</v>
      </c>
      <c r="Q270" s="5"/>
      <c r="R270" s="5"/>
      <c r="S270" s="5"/>
      <c r="U270" s="6"/>
      <c r="V270" s="9" t="str">
        <f t="shared" ref="V270:V333" si="48">IF(O270="n/a","",IF(O270=U270,1,""))</f>
        <v/>
      </c>
      <c r="W270" s="9" t="str">
        <f t="shared" ref="W270:W333" si="49">IF(O270="n/a","",IF(O270&lt;&gt;U270,1,""))</f>
        <v/>
      </c>
      <c r="X270" s="10">
        <f>SUM(V$13:V270)/COUNTA(B$13:B270)</f>
        <v>0</v>
      </c>
      <c r="Z270" s="5"/>
      <c r="AA270" s="5"/>
      <c r="AC270" s="7"/>
      <c r="AE270" s="54" t="e">
        <f t="shared" ref="AE270:AE333" si="50">+IF($F$4=0,0,IF(W270=1,1,IF(OR(R270*$F$8=1,S270*$F$9=1,F270&gt;=AF270),2,0)))</f>
        <v>#N/A</v>
      </c>
      <c r="AF270" s="4" t="e">
        <f t="shared" si="46"/>
        <v>#N/A</v>
      </c>
    </row>
    <row r="271" spans="2:32">
      <c r="B271" s="5">
        <f t="shared" si="44"/>
        <v>259</v>
      </c>
      <c r="C271" s="5"/>
      <c r="E271" s="13"/>
      <c r="F271" s="5"/>
      <c r="G271" s="11" t="str">
        <f>IF(ISERROR(AVERAGE(F$13:F271)),"n/a",AVERAGE(F$13:F271))</f>
        <v>n/a</v>
      </c>
      <c r="H271" s="11" t="str">
        <f t="shared" si="47"/>
        <v>n/a</v>
      </c>
      <c r="J271" s="5"/>
      <c r="K271" s="5"/>
      <c r="L271" s="5"/>
      <c r="M271" s="5"/>
      <c r="N271" s="5"/>
      <c r="O271" s="8" t="str">
        <f t="shared" si="45"/>
        <v>n/a</v>
      </c>
      <c r="Q271" s="5"/>
      <c r="R271" s="5"/>
      <c r="S271" s="5"/>
      <c r="U271" s="6"/>
      <c r="V271" s="9" t="str">
        <f t="shared" si="48"/>
        <v/>
      </c>
      <c r="W271" s="9" t="str">
        <f t="shared" si="49"/>
        <v/>
      </c>
      <c r="X271" s="10">
        <f>SUM(V$13:V271)/COUNTA(B$13:B271)</f>
        <v>0</v>
      </c>
      <c r="Z271" s="5"/>
      <c r="AA271" s="5"/>
      <c r="AC271" s="7"/>
      <c r="AE271" s="54" t="e">
        <f t="shared" si="50"/>
        <v>#N/A</v>
      </c>
      <c r="AF271" s="4" t="e">
        <f t="shared" si="46"/>
        <v>#N/A</v>
      </c>
    </row>
    <row r="272" spans="2:32">
      <c r="B272" s="5">
        <f t="shared" si="44"/>
        <v>260</v>
      </c>
      <c r="C272" s="5"/>
      <c r="E272" s="13"/>
      <c r="F272" s="5"/>
      <c r="G272" s="11" t="str">
        <f>IF(ISERROR(AVERAGE(F$13:F272)),"n/a",AVERAGE(F$13:F272))</f>
        <v>n/a</v>
      </c>
      <c r="H272" s="11" t="str">
        <f t="shared" si="47"/>
        <v>n/a</v>
      </c>
      <c r="J272" s="5"/>
      <c r="K272" s="5"/>
      <c r="L272" s="5"/>
      <c r="M272" s="5"/>
      <c r="N272" s="5"/>
      <c r="O272" s="8" t="str">
        <f t="shared" si="45"/>
        <v>n/a</v>
      </c>
      <c r="Q272" s="5"/>
      <c r="R272" s="5"/>
      <c r="S272" s="5"/>
      <c r="U272" s="6"/>
      <c r="V272" s="9" t="str">
        <f t="shared" si="48"/>
        <v/>
      </c>
      <c r="W272" s="9" t="str">
        <f t="shared" si="49"/>
        <v/>
      </c>
      <c r="X272" s="10">
        <f>SUM(V$13:V272)/COUNTA(B$13:B272)</f>
        <v>0</v>
      </c>
      <c r="Z272" s="5"/>
      <c r="AA272" s="5"/>
      <c r="AC272" s="7"/>
      <c r="AE272" s="54" t="e">
        <f t="shared" si="50"/>
        <v>#N/A</v>
      </c>
      <c r="AF272" s="4" t="e">
        <f t="shared" si="46"/>
        <v>#N/A</v>
      </c>
    </row>
    <row r="273" spans="2:32">
      <c r="B273" s="5">
        <f t="shared" si="44"/>
        <v>261</v>
      </c>
      <c r="C273" s="5"/>
      <c r="E273" s="13"/>
      <c r="F273" s="5"/>
      <c r="G273" s="11" t="str">
        <f>IF(ISERROR(AVERAGE(F$13:F273)),"n/a",AVERAGE(F$13:F273))</f>
        <v>n/a</v>
      </c>
      <c r="H273" s="11" t="str">
        <f t="shared" si="47"/>
        <v>n/a</v>
      </c>
      <c r="J273" s="5"/>
      <c r="K273" s="5"/>
      <c r="L273" s="5"/>
      <c r="M273" s="5"/>
      <c r="N273" s="5"/>
      <c r="O273" s="8" t="str">
        <f t="shared" si="45"/>
        <v>n/a</v>
      </c>
      <c r="Q273" s="5"/>
      <c r="R273" s="5"/>
      <c r="S273" s="5"/>
      <c r="U273" s="6"/>
      <c r="V273" s="9" t="str">
        <f t="shared" si="48"/>
        <v/>
      </c>
      <c r="W273" s="9" t="str">
        <f t="shared" si="49"/>
        <v/>
      </c>
      <c r="X273" s="10">
        <f>SUM(V$13:V273)/COUNTA(B$13:B273)</f>
        <v>0</v>
      </c>
      <c r="Z273" s="5"/>
      <c r="AA273" s="5"/>
      <c r="AC273" s="7"/>
      <c r="AE273" s="54" t="e">
        <f t="shared" si="50"/>
        <v>#N/A</v>
      </c>
      <c r="AF273" s="4" t="e">
        <f t="shared" si="46"/>
        <v>#N/A</v>
      </c>
    </row>
    <row r="274" spans="2:32">
      <c r="B274" s="5">
        <f t="shared" si="44"/>
        <v>262</v>
      </c>
      <c r="C274" s="5"/>
      <c r="E274" s="13"/>
      <c r="F274" s="5"/>
      <c r="G274" s="11" t="str">
        <f>IF(ISERROR(AVERAGE(F$13:F274)),"n/a",AVERAGE(F$13:F274))</f>
        <v>n/a</v>
      </c>
      <c r="H274" s="11" t="str">
        <f t="shared" si="47"/>
        <v>n/a</v>
      </c>
      <c r="J274" s="5"/>
      <c r="K274" s="5"/>
      <c r="L274" s="5"/>
      <c r="M274" s="5"/>
      <c r="N274" s="5"/>
      <c r="O274" s="8" t="str">
        <f t="shared" si="45"/>
        <v>n/a</v>
      </c>
      <c r="Q274" s="5"/>
      <c r="R274" s="5"/>
      <c r="S274" s="5"/>
      <c r="U274" s="6"/>
      <c r="V274" s="9" t="str">
        <f t="shared" si="48"/>
        <v/>
      </c>
      <c r="W274" s="9" t="str">
        <f t="shared" si="49"/>
        <v/>
      </c>
      <c r="X274" s="10">
        <f>SUM(V$13:V274)/COUNTA(B$13:B274)</f>
        <v>0</v>
      </c>
      <c r="Z274" s="5"/>
      <c r="AA274" s="5"/>
      <c r="AC274" s="7"/>
      <c r="AE274" s="54" t="e">
        <f t="shared" si="50"/>
        <v>#N/A</v>
      </c>
      <c r="AF274" s="4" t="e">
        <f t="shared" si="46"/>
        <v>#N/A</v>
      </c>
    </row>
    <row r="275" spans="2:32">
      <c r="B275" s="5">
        <f t="shared" ref="B275:B338" si="51">+B274+1</f>
        <v>263</v>
      </c>
      <c r="C275" s="5"/>
      <c r="E275" s="13"/>
      <c r="F275" s="5"/>
      <c r="G275" s="11" t="str">
        <f>IF(ISERROR(AVERAGE(F$13:F275)),"n/a",AVERAGE(F$13:F275))</f>
        <v>n/a</v>
      </c>
      <c r="H275" s="11" t="str">
        <f t="shared" si="47"/>
        <v>n/a</v>
      </c>
      <c r="J275" s="5"/>
      <c r="K275" s="5"/>
      <c r="L275" s="5"/>
      <c r="M275" s="5"/>
      <c r="N275" s="5"/>
      <c r="O275" s="8" t="str">
        <f t="shared" si="45"/>
        <v>n/a</v>
      </c>
      <c r="Q275" s="5"/>
      <c r="R275" s="5"/>
      <c r="S275" s="5"/>
      <c r="U275" s="6"/>
      <c r="V275" s="9" t="str">
        <f t="shared" si="48"/>
        <v/>
      </c>
      <c r="W275" s="9" t="str">
        <f t="shared" si="49"/>
        <v/>
      </c>
      <c r="X275" s="10">
        <f>SUM(V$13:V275)/COUNTA(B$13:B275)</f>
        <v>0</v>
      </c>
      <c r="Z275" s="5"/>
      <c r="AA275" s="5"/>
      <c r="AC275" s="7"/>
      <c r="AE275" s="54" t="e">
        <f t="shared" si="50"/>
        <v>#N/A</v>
      </c>
      <c r="AF275" s="4" t="e">
        <f t="shared" si="46"/>
        <v>#N/A</v>
      </c>
    </row>
    <row r="276" spans="2:32">
      <c r="B276" s="5">
        <f t="shared" si="51"/>
        <v>264</v>
      </c>
      <c r="C276" s="5"/>
      <c r="E276" s="13"/>
      <c r="F276" s="5"/>
      <c r="G276" s="11" t="str">
        <f>IF(ISERROR(AVERAGE(F$13:F276)),"n/a",AVERAGE(F$13:F276))</f>
        <v>n/a</v>
      </c>
      <c r="H276" s="11" t="str">
        <f t="shared" si="47"/>
        <v>n/a</v>
      </c>
      <c r="J276" s="5"/>
      <c r="K276" s="5"/>
      <c r="L276" s="5"/>
      <c r="M276" s="5"/>
      <c r="N276" s="5"/>
      <c r="O276" s="8" t="str">
        <f t="shared" si="45"/>
        <v>n/a</v>
      </c>
      <c r="Q276" s="5"/>
      <c r="R276" s="5"/>
      <c r="S276" s="5"/>
      <c r="U276" s="6"/>
      <c r="V276" s="9" t="str">
        <f t="shared" si="48"/>
        <v/>
      </c>
      <c r="W276" s="9" t="str">
        <f t="shared" si="49"/>
        <v/>
      </c>
      <c r="X276" s="10">
        <f>SUM(V$13:V276)/COUNTA(B$13:B276)</f>
        <v>0</v>
      </c>
      <c r="Z276" s="5"/>
      <c r="AA276" s="5"/>
      <c r="AC276" s="7"/>
      <c r="AE276" s="54" t="e">
        <f t="shared" si="50"/>
        <v>#N/A</v>
      </c>
      <c r="AF276" s="4" t="e">
        <f t="shared" si="46"/>
        <v>#N/A</v>
      </c>
    </row>
    <row r="277" spans="2:32">
      <c r="B277" s="5">
        <f t="shared" si="51"/>
        <v>265</v>
      </c>
      <c r="C277" s="5"/>
      <c r="E277" s="13"/>
      <c r="F277" s="5"/>
      <c r="G277" s="11" t="str">
        <f>IF(ISERROR(AVERAGE(F$13:F277)),"n/a",AVERAGE(F$13:F277))</f>
        <v>n/a</v>
      </c>
      <c r="H277" s="11" t="str">
        <f t="shared" si="47"/>
        <v>n/a</v>
      </c>
      <c r="J277" s="5"/>
      <c r="K277" s="5"/>
      <c r="L277" s="5"/>
      <c r="M277" s="5"/>
      <c r="N277" s="5"/>
      <c r="O277" s="8" t="str">
        <f t="shared" si="45"/>
        <v>n/a</v>
      </c>
      <c r="Q277" s="5"/>
      <c r="R277" s="5"/>
      <c r="S277" s="5"/>
      <c r="U277" s="6"/>
      <c r="V277" s="9" t="str">
        <f t="shared" si="48"/>
        <v/>
      </c>
      <c r="W277" s="9" t="str">
        <f t="shared" si="49"/>
        <v/>
      </c>
      <c r="X277" s="10">
        <f>SUM(V$13:V277)/COUNTA(B$13:B277)</f>
        <v>0</v>
      </c>
      <c r="Z277" s="5"/>
      <c r="AA277" s="5"/>
      <c r="AC277" s="7"/>
      <c r="AE277" s="54" t="e">
        <f t="shared" si="50"/>
        <v>#N/A</v>
      </c>
      <c r="AF277" s="4" t="e">
        <f t="shared" si="46"/>
        <v>#N/A</v>
      </c>
    </row>
    <row r="278" spans="2:32">
      <c r="B278" s="5">
        <f t="shared" si="51"/>
        <v>266</v>
      </c>
      <c r="C278" s="5"/>
      <c r="E278" s="13"/>
      <c r="F278" s="5"/>
      <c r="G278" s="11" t="str">
        <f>IF(ISERROR(AVERAGE(F$13:F278)),"n/a",AVERAGE(F$13:F278))</f>
        <v>n/a</v>
      </c>
      <c r="H278" s="11" t="str">
        <f t="shared" si="47"/>
        <v>n/a</v>
      </c>
      <c r="J278" s="5"/>
      <c r="K278" s="5"/>
      <c r="L278" s="5"/>
      <c r="M278" s="5"/>
      <c r="N278" s="5"/>
      <c r="O278" s="8" t="str">
        <f t="shared" si="45"/>
        <v>n/a</v>
      </c>
      <c r="Q278" s="5"/>
      <c r="R278" s="5"/>
      <c r="S278" s="5"/>
      <c r="U278" s="6"/>
      <c r="V278" s="9" t="str">
        <f t="shared" si="48"/>
        <v/>
      </c>
      <c r="W278" s="9" t="str">
        <f t="shared" si="49"/>
        <v/>
      </c>
      <c r="X278" s="10">
        <f>SUM(V$13:V278)/COUNTA(B$13:B278)</f>
        <v>0</v>
      </c>
      <c r="Z278" s="5"/>
      <c r="AA278" s="5"/>
      <c r="AC278" s="7"/>
      <c r="AE278" s="54" t="e">
        <f t="shared" si="50"/>
        <v>#N/A</v>
      </c>
      <c r="AF278" s="4" t="e">
        <f t="shared" si="46"/>
        <v>#N/A</v>
      </c>
    </row>
    <row r="279" spans="2:32">
      <c r="B279" s="5">
        <f t="shared" si="51"/>
        <v>267</v>
      </c>
      <c r="C279" s="5"/>
      <c r="E279" s="13"/>
      <c r="F279" s="5"/>
      <c r="G279" s="11" t="str">
        <f>IF(ISERROR(AVERAGE(F$13:F279)),"n/a",AVERAGE(F$13:F279))</f>
        <v>n/a</v>
      </c>
      <c r="H279" s="11" t="str">
        <f t="shared" si="47"/>
        <v>n/a</v>
      </c>
      <c r="J279" s="5"/>
      <c r="K279" s="5"/>
      <c r="L279" s="5"/>
      <c r="M279" s="5"/>
      <c r="N279" s="5"/>
      <c r="O279" s="8" t="str">
        <f t="shared" si="45"/>
        <v>n/a</v>
      </c>
      <c r="Q279" s="5"/>
      <c r="R279" s="5"/>
      <c r="S279" s="5"/>
      <c r="U279" s="6"/>
      <c r="V279" s="9" t="str">
        <f t="shared" si="48"/>
        <v/>
      </c>
      <c r="W279" s="9" t="str">
        <f t="shared" si="49"/>
        <v/>
      </c>
      <c r="X279" s="10">
        <f>SUM(V$13:V279)/COUNTA(B$13:B279)</f>
        <v>0</v>
      </c>
      <c r="Z279" s="5"/>
      <c r="AA279" s="5"/>
      <c r="AC279" s="7"/>
      <c r="AE279" s="54" t="e">
        <f t="shared" si="50"/>
        <v>#N/A</v>
      </c>
      <c r="AF279" s="4" t="e">
        <f t="shared" si="46"/>
        <v>#N/A</v>
      </c>
    </row>
    <row r="280" spans="2:32">
      <c r="B280" s="5">
        <f t="shared" si="51"/>
        <v>268</v>
      </c>
      <c r="C280" s="5"/>
      <c r="E280" s="13"/>
      <c r="F280" s="5"/>
      <c r="G280" s="11" t="str">
        <f>IF(ISERROR(AVERAGE(F$13:F280)),"n/a",AVERAGE(F$13:F280))</f>
        <v>n/a</v>
      </c>
      <c r="H280" s="11" t="str">
        <f t="shared" si="47"/>
        <v>n/a</v>
      </c>
      <c r="J280" s="5"/>
      <c r="K280" s="5"/>
      <c r="L280" s="5"/>
      <c r="M280" s="5"/>
      <c r="N280" s="5"/>
      <c r="O280" s="8" t="str">
        <f t="shared" si="45"/>
        <v>n/a</v>
      </c>
      <c r="Q280" s="5"/>
      <c r="R280" s="5"/>
      <c r="S280" s="5"/>
      <c r="U280" s="6"/>
      <c r="V280" s="9" t="str">
        <f t="shared" si="48"/>
        <v/>
      </c>
      <c r="W280" s="9" t="str">
        <f t="shared" si="49"/>
        <v/>
      </c>
      <c r="X280" s="10">
        <f>SUM(V$13:V280)/COUNTA(B$13:B280)</f>
        <v>0</v>
      </c>
      <c r="Z280" s="5"/>
      <c r="AA280" s="5"/>
      <c r="AC280" s="7"/>
      <c r="AE280" s="54" t="e">
        <f t="shared" si="50"/>
        <v>#N/A</v>
      </c>
      <c r="AF280" s="4" t="e">
        <f t="shared" si="46"/>
        <v>#N/A</v>
      </c>
    </row>
    <row r="281" spans="2:32">
      <c r="B281" s="5">
        <f t="shared" si="51"/>
        <v>269</v>
      </c>
      <c r="C281" s="5"/>
      <c r="E281" s="13"/>
      <c r="F281" s="5"/>
      <c r="G281" s="11" t="str">
        <f>IF(ISERROR(AVERAGE(F$13:F281)),"n/a",AVERAGE(F$13:F281))</f>
        <v>n/a</v>
      </c>
      <c r="H281" s="11" t="str">
        <f t="shared" si="47"/>
        <v>n/a</v>
      </c>
      <c r="J281" s="5"/>
      <c r="K281" s="5"/>
      <c r="L281" s="5"/>
      <c r="M281" s="5"/>
      <c r="N281" s="5"/>
      <c r="O281" s="8" t="str">
        <f t="shared" si="45"/>
        <v>n/a</v>
      </c>
      <c r="Q281" s="5"/>
      <c r="R281" s="5"/>
      <c r="S281" s="5"/>
      <c r="U281" s="6"/>
      <c r="V281" s="9" t="str">
        <f t="shared" si="48"/>
        <v/>
      </c>
      <c r="W281" s="9" t="str">
        <f t="shared" si="49"/>
        <v/>
      </c>
      <c r="X281" s="10">
        <f>SUM(V$13:V281)/COUNTA(B$13:B281)</f>
        <v>0</v>
      </c>
      <c r="Z281" s="5"/>
      <c r="AA281" s="5"/>
      <c r="AC281" s="7"/>
      <c r="AE281" s="54" t="e">
        <f t="shared" si="50"/>
        <v>#N/A</v>
      </c>
      <c r="AF281" s="4" t="e">
        <f t="shared" si="46"/>
        <v>#N/A</v>
      </c>
    </row>
    <row r="282" spans="2:32">
      <c r="B282" s="5">
        <f t="shared" si="51"/>
        <v>270</v>
      </c>
      <c r="C282" s="5"/>
      <c r="E282" s="13"/>
      <c r="F282" s="5"/>
      <c r="G282" s="11" t="str">
        <f>IF(ISERROR(AVERAGE(F$13:F282)),"n/a",AVERAGE(F$13:F282))</f>
        <v>n/a</v>
      </c>
      <c r="H282" s="11" t="str">
        <f t="shared" si="47"/>
        <v>n/a</v>
      </c>
      <c r="J282" s="5"/>
      <c r="K282" s="5"/>
      <c r="L282" s="5"/>
      <c r="M282" s="5"/>
      <c r="N282" s="5"/>
      <c r="O282" s="8" t="str">
        <f t="shared" si="45"/>
        <v>n/a</v>
      </c>
      <c r="Q282" s="5"/>
      <c r="R282" s="5"/>
      <c r="S282" s="5"/>
      <c r="U282" s="6"/>
      <c r="V282" s="9" t="str">
        <f t="shared" si="48"/>
        <v/>
      </c>
      <c r="W282" s="9" t="str">
        <f t="shared" si="49"/>
        <v/>
      </c>
      <c r="X282" s="10">
        <f>SUM(V$13:V282)/COUNTA(B$13:B282)</f>
        <v>0</v>
      </c>
      <c r="Z282" s="5"/>
      <c r="AA282" s="5"/>
      <c r="AC282" s="7"/>
      <c r="AE282" s="54" t="e">
        <f t="shared" si="50"/>
        <v>#N/A</v>
      </c>
      <c r="AF282" s="4" t="e">
        <f t="shared" si="46"/>
        <v>#N/A</v>
      </c>
    </row>
    <row r="283" spans="2:32">
      <c r="B283" s="5">
        <f t="shared" si="51"/>
        <v>271</v>
      </c>
      <c r="C283" s="5"/>
      <c r="E283" s="13"/>
      <c r="F283" s="5"/>
      <c r="G283" s="11" t="str">
        <f>IF(ISERROR(AVERAGE(F$13:F283)),"n/a",AVERAGE(F$13:F283))</f>
        <v>n/a</v>
      </c>
      <c r="H283" s="11" t="str">
        <f t="shared" si="47"/>
        <v>n/a</v>
      </c>
      <c r="J283" s="5"/>
      <c r="K283" s="5"/>
      <c r="L283" s="5"/>
      <c r="M283" s="5"/>
      <c r="N283" s="5"/>
      <c r="O283" s="8" t="str">
        <f t="shared" si="45"/>
        <v>n/a</v>
      </c>
      <c r="Q283" s="5"/>
      <c r="R283" s="5"/>
      <c r="S283" s="5"/>
      <c r="U283" s="6"/>
      <c r="V283" s="9" t="str">
        <f t="shared" si="48"/>
        <v/>
      </c>
      <c r="W283" s="9" t="str">
        <f t="shared" si="49"/>
        <v/>
      </c>
      <c r="X283" s="10">
        <f>SUM(V$13:V283)/COUNTA(B$13:B283)</f>
        <v>0</v>
      </c>
      <c r="Z283" s="5"/>
      <c r="AA283" s="5"/>
      <c r="AC283" s="7"/>
      <c r="AE283" s="54" t="e">
        <f t="shared" si="50"/>
        <v>#N/A</v>
      </c>
      <c r="AF283" s="4" t="e">
        <f t="shared" si="46"/>
        <v>#N/A</v>
      </c>
    </row>
    <row r="284" spans="2:32">
      <c r="B284" s="5">
        <f t="shared" si="51"/>
        <v>272</v>
      </c>
      <c r="C284" s="5"/>
      <c r="E284" s="13"/>
      <c r="F284" s="5"/>
      <c r="G284" s="11" t="str">
        <f>IF(ISERROR(AVERAGE(F$13:F284)),"n/a",AVERAGE(F$13:F284))</f>
        <v>n/a</v>
      </c>
      <c r="H284" s="11" t="str">
        <f t="shared" si="47"/>
        <v>n/a</v>
      </c>
      <c r="J284" s="5"/>
      <c r="K284" s="5"/>
      <c r="L284" s="5"/>
      <c r="M284" s="5"/>
      <c r="N284" s="5"/>
      <c r="O284" s="8" t="str">
        <f t="shared" si="45"/>
        <v>n/a</v>
      </c>
      <c r="Q284" s="5"/>
      <c r="R284" s="5"/>
      <c r="S284" s="5"/>
      <c r="U284" s="6"/>
      <c r="V284" s="9" t="str">
        <f t="shared" si="48"/>
        <v/>
      </c>
      <c r="W284" s="9" t="str">
        <f t="shared" si="49"/>
        <v/>
      </c>
      <c r="X284" s="10">
        <f>SUM(V$13:V284)/COUNTA(B$13:B284)</f>
        <v>0</v>
      </c>
      <c r="Z284" s="5"/>
      <c r="AA284" s="5"/>
      <c r="AC284" s="7"/>
      <c r="AE284" s="54" t="e">
        <f t="shared" si="50"/>
        <v>#N/A</v>
      </c>
      <c r="AF284" s="4" t="e">
        <f t="shared" si="46"/>
        <v>#N/A</v>
      </c>
    </row>
    <row r="285" spans="2:32">
      <c r="B285" s="5">
        <f t="shared" si="51"/>
        <v>273</v>
      </c>
      <c r="C285" s="5"/>
      <c r="E285" s="13"/>
      <c r="F285" s="5"/>
      <c r="G285" s="11" t="str">
        <f>IF(ISERROR(AVERAGE(F$13:F285)),"n/a",AVERAGE(F$13:F285))</f>
        <v>n/a</v>
      </c>
      <c r="H285" s="11" t="str">
        <f t="shared" si="47"/>
        <v>n/a</v>
      </c>
      <c r="J285" s="5"/>
      <c r="K285" s="5"/>
      <c r="L285" s="5"/>
      <c r="M285" s="5"/>
      <c r="N285" s="5"/>
      <c r="O285" s="8" t="str">
        <f t="shared" si="45"/>
        <v>n/a</v>
      </c>
      <c r="Q285" s="5"/>
      <c r="R285" s="5"/>
      <c r="S285" s="5"/>
      <c r="U285" s="6"/>
      <c r="V285" s="9" t="str">
        <f t="shared" si="48"/>
        <v/>
      </c>
      <c r="W285" s="9" t="str">
        <f t="shared" si="49"/>
        <v/>
      </c>
      <c r="X285" s="10">
        <f>SUM(V$13:V285)/COUNTA(B$13:B285)</f>
        <v>0</v>
      </c>
      <c r="Z285" s="5"/>
      <c r="AA285" s="5"/>
      <c r="AC285" s="7"/>
      <c r="AE285" s="54" t="e">
        <f t="shared" si="50"/>
        <v>#N/A</v>
      </c>
      <c r="AF285" s="4" t="e">
        <f t="shared" si="46"/>
        <v>#N/A</v>
      </c>
    </row>
    <row r="286" spans="2:32">
      <c r="B286" s="5">
        <f t="shared" si="51"/>
        <v>274</v>
      </c>
      <c r="C286" s="5"/>
      <c r="E286" s="13"/>
      <c r="F286" s="5"/>
      <c r="G286" s="11" t="str">
        <f>IF(ISERROR(AVERAGE(F$13:F286)),"n/a",AVERAGE(F$13:F286))</f>
        <v>n/a</v>
      </c>
      <c r="H286" s="11" t="str">
        <f t="shared" si="47"/>
        <v>n/a</v>
      </c>
      <c r="J286" s="5"/>
      <c r="K286" s="5"/>
      <c r="L286" s="5"/>
      <c r="M286" s="5"/>
      <c r="N286" s="5"/>
      <c r="O286" s="8" t="str">
        <f t="shared" si="45"/>
        <v>n/a</v>
      </c>
      <c r="Q286" s="5"/>
      <c r="R286" s="5"/>
      <c r="S286" s="5"/>
      <c r="U286" s="6"/>
      <c r="V286" s="9" t="str">
        <f t="shared" si="48"/>
        <v/>
      </c>
      <c r="W286" s="9" t="str">
        <f t="shared" si="49"/>
        <v/>
      </c>
      <c r="X286" s="10">
        <f>SUM(V$13:V286)/COUNTA(B$13:B286)</f>
        <v>0</v>
      </c>
      <c r="Z286" s="5"/>
      <c r="AA286" s="5"/>
      <c r="AC286" s="7"/>
      <c r="AE286" s="54" t="e">
        <f t="shared" si="50"/>
        <v>#N/A</v>
      </c>
      <c r="AF286" s="4" t="e">
        <f t="shared" si="46"/>
        <v>#N/A</v>
      </c>
    </row>
    <row r="287" spans="2:32">
      <c r="B287" s="5">
        <f t="shared" si="51"/>
        <v>275</v>
      </c>
      <c r="C287" s="5"/>
      <c r="E287" s="13"/>
      <c r="F287" s="5"/>
      <c r="G287" s="11" t="str">
        <f>IF(ISERROR(AVERAGE(F$13:F287)),"n/a",AVERAGE(F$13:F287))</f>
        <v>n/a</v>
      </c>
      <c r="H287" s="11" t="str">
        <f t="shared" si="47"/>
        <v>n/a</v>
      </c>
      <c r="J287" s="5"/>
      <c r="K287" s="5"/>
      <c r="L287" s="5"/>
      <c r="M287" s="5"/>
      <c r="N287" s="5"/>
      <c r="O287" s="8" t="str">
        <f t="shared" si="45"/>
        <v>n/a</v>
      </c>
      <c r="Q287" s="5"/>
      <c r="R287" s="5"/>
      <c r="S287" s="5"/>
      <c r="U287" s="6"/>
      <c r="V287" s="9" t="str">
        <f t="shared" si="48"/>
        <v/>
      </c>
      <c r="W287" s="9" t="str">
        <f t="shared" si="49"/>
        <v/>
      </c>
      <c r="X287" s="10">
        <f>SUM(V$13:V287)/COUNTA(B$13:B287)</f>
        <v>0</v>
      </c>
      <c r="Z287" s="5"/>
      <c r="AA287" s="5"/>
      <c r="AC287" s="7"/>
      <c r="AE287" s="54" t="e">
        <f t="shared" si="50"/>
        <v>#N/A</v>
      </c>
      <c r="AF287" s="4" t="e">
        <f t="shared" si="46"/>
        <v>#N/A</v>
      </c>
    </row>
    <row r="288" spans="2:32">
      <c r="B288" s="5">
        <f t="shared" si="51"/>
        <v>276</v>
      </c>
      <c r="C288" s="5"/>
      <c r="E288" s="13"/>
      <c r="F288" s="5"/>
      <c r="G288" s="11" t="str">
        <f>IF(ISERROR(AVERAGE(F$13:F288)),"n/a",AVERAGE(F$13:F288))</f>
        <v>n/a</v>
      </c>
      <c r="H288" s="11" t="str">
        <f t="shared" si="47"/>
        <v>n/a</v>
      </c>
      <c r="J288" s="5"/>
      <c r="K288" s="5"/>
      <c r="L288" s="5"/>
      <c r="M288" s="5"/>
      <c r="N288" s="5"/>
      <c r="O288" s="8" t="str">
        <f t="shared" si="45"/>
        <v>n/a</v>
      </c>
      <c r="Q288" s="5"/>
      <c r="R288" s="5"/>
      <c r="S288" s="5"/>
      <c r="U288" s="6"/>
      <c r="V288" s="9" t="str">
        <f t="shared" si="48"/>
        <v/>
      </c>
      <c r="W288" s="9" t="str">
        <f t="shared" si="49"/>
        <v/>
      </c>
      <c r="X288" s="10">
        <f>SUM(V$13:V288)/COUNTA(B$13:B288)</f>
        <v>0</v>
      </c>
      <c r="Z288" s="5"/>
      <c r="AA288" s="5"/>
      <c r="AC288" s="7"/>
      <c r="AE288" s="54" t="e">
        <f t="shared" si="50"/>
        <v>#N/A</v>
      </c>
      <c r="AF288" s="4" t="e">
        <f t="shared" si="46"/>
        <v>#N/A</v>
      </c>
    </row>
    <row r="289" spans="2:32">
      <c r="B289" s="5">
        <f t="shared" si="51"/>
        <v>277</v>
      </c>
      <c r="C289" s="5"/>
      <c r="E289" s="13"/>
      <c r="F289" s="5"/>
      <c r="G289" s="11" t="str">
        <f>IF(ISERROR(AVERAGE(F$13:F289)),"n/a",AVERAGE(F$13:F289))</f>
        <v>n/a</v>
      </c>
      <c r="H289" s="11" t="str">
        <f t="shared" si="47"/>
        <v>n/a</v>
      </c>
      <c r="J289" s="5"/>
      <c r="K289" s="5"/>
      <c r="L289" s="5"/>
      <c r="M289" s="5"/>
      <c r="N289" s="5"/>
      <c r="O289" s="8" t="str">
        <f t="shared" si="45"/>
        <v>n/a</v>
      </c>
      <c r="Q289" s="5"/>
      <c r="R289" s="5"/>
      <c r="S289" s="5"/>
      <c r="U289" s="6"/>
      <c r="V289" s="9" t="str">
        <f t="shared" si="48"/>
        <v/>
      </c>
      <c r="W289" s="9" t="str">
        <f t="shared" si="49"/>
        <v/>
      </c>
      <c r="X289" s="10">
        <f>SUM(V$13:V289)/COUNTA(B$13:B289)</f>
        <v>0</v>
      </c>
      <c r="Z289" s="5"/>
      <c r="AA289" s="5"/>
      <c r="AC289" s="7"/>
      <c r="AE289" s="54" t="e">
        <f t="shared" si="50"/>
        <v>#N/A</v>
      </c>
      <c r="AF289" s="4" t="e">
        <f t="shared" si="46"/>
        <v>#N/A</v>
      </c>
    </row>
    <row r="290" spans="2:32">
      <c r="B290" s="5">
        <f t="shared" si="51"/>
        <v>278</v>
      </c>
      <c r="C290" s="5"/>
      <c r="E290" s="13"/>
      <c r="F290" s="5"/>
      <c r="G290" s="11" t="str">
        <f>IF(ISERROR(AVERAGE(F$13:F290)),"n/a",AVERAGE(F$13:F290))</f>
        <v>n/a</v>
      </c>
      <c r="H290" s="11" t="str">
        <f t="shared" si="47"/>
        <v>n/a</v>
      </c>
      <c r="J290" s="5"/>
      <c r="K290" s="5"/>
      <c r="L290" s="5"/>
      <c r="M290" s="5"/>
      <c r="N290" s="5"/>
      <c r="O290" s="8" t="str">
        <f t="shared" si="45"/>
        <v>n/a</v>
      </c>
      <c r="Q290" s="5"/>
      <c r="R290" s="5"/>
      <c r="S290" s="5"/>
      <c r="U290" s="6"/>
      <c r="V290" s="9" t="str">
        <f t="shared" si="48"/>
        <v/>
      </c>
      <c r="W290" s="9" t="str">
        <f t="shared" si="49"/>
        <v/>
      </c>
      <c r="X290" s="10">
        <f>SUM(V$13:V290)/COUNTA(B$13:B290)</f>
        <v>0</v>
      </c>
      <c r="Z290" s="5"/>
      <c r="AA290" s="5"/>
      <c r="AC290" s="7"/>
      <c r="AE290" s="54" t="e">
        <f t="shared" si="50"/>
        <v>#N/A</v>
      </c>
      <c r="AF290" s="4" t="e">
        <f t="shared" si="46"/>
        <v>#N/A</v>
      </c>
    </row>
    <row r="291" spans="2:32">
      <c r="B291" s="5">
        <f t="shared" si="51"/>
        <v>279</v>
      </c>
      <c r="C291" s="5"/>
      <c r="E291" s="13"/>
      <c r="F291" s="5"/>
      <c r="G291" s="11" t="str">
        <f>IF(ISERROR(AVERAGE(F$13:F291)),"n/a",AVERAGE(F$13:F291))</f>
        <v>n/a</v>
      </c>
      <c r="H291" s="11" t="str">
        <f t="shared" si="47"/>
        <v>n/a</v>
      </c>
      <c r="J291" s="5"/>
      <c r="K291" s="5"/>
      <c r="L291" s="5"/>
      <c r="M291" s="5"/>
      <c r="N291" s="5"/>
      <c r="O291" s="8" t="str">
        <f t="shared" si="45"/>
        <v>n/a</v>
      </c>
      <c r="Q291" s="5"/>
      <c r="R291" s="5"/>
      <c r="S291" s="5"/>
      <c r="U291" s="6"/>
      <c r="V291" s="9" t="str">
        <f t="shared" si="48"/>
        <v/>
      </c>
      <c r="W291" s="9" t="str">
        <f t="shared" si="49"/>
        <v/>
      </c>
      <c r="X291" s="10">
        <f>SUM(V$13:V291)/COUNTA(B$13:B291)</f>
        <v>0</v>
      </c>
      <c r="Z291" s="5"/>
      <c r="AA291" s="5"/>
      <c r="AC291" s="7"/>
      <c r="AE291" s="54" t="e">
        <f t="shared" si="50"/>
        <v>#N/A</v>
      </c>
      <c r="AF291" s="4" t="e">
        <f t="shared" si="46"/>
        <v>#N/A</v>
      </c>
    </row>
    <row r="292" spans="2:32">
      <c r="B292" s="5">
        <f t="shared" si="51"/>
        <v>280</v>
      </c>
      <c r="C292" s="5"/>
      <c r="E292" s="13"/>
      <c r="F292" s="5"/>
      <c r="G292" s="11" t="str">
        <f>IF(ISERROR(AVERAGE(F$13:F292)),"n/a",AVERAGE(F$13:F292))</f>
        <v>n/a</v>
      </c>
      <c r="H292" s="11" t="str">
        <f t="shared" si="47"/>
        <v>n/a</v>
      </c>
      <c r="J292" s="5"/>
      <c r="K292" s="5"/>
      <c r="L292" s="5"/>
      <c r="M292" s="5"/>
      <c r="N292" s="5"/>
      <c r="O292" s="8" t="str">
        <f t="shared" si="45"/>
        <v>n/a</v>
      </c>
      <c r="Q292" s="5"/>
      <c r="R292" s="5"/>
      <c r="S292" s="5"/>
      <c r="U292" s="6"/>
      <c r="V292" s="9" t="str">
        <f t="shared" si="48"/>
        <v/>
      </c>
      <c r="W292" s="9" t="str">
        <f t="shared" si="49"/>
        <v/>
      </c>
      <c r="X292" s="10">
        <f>SUM(V$13:V292)/COUNTA(B$13:B292)</f>
        <v>0</v>
      </c>
      <c r="Z292" s="5"/>
      <c r="AA292" s="5"/>
      <c r="AC292" s="7"/>
      <c r="AE292" s="54" t="e">
        <f t="shared" si="50"/>
        <v>#N/A</v>
      </c>
      <c r="AF292" s="4" t="e">
        <f t="shared" si="46"/>
        <v>#N/A</v>
      </c>
    </row>
    <row r="293" spans="2:32">
      <c r="B293" s="5">
        <f t="shared" si="51"/>
        <v>281</v>
      </c>
      <c r="C293" s="5"/>
      <c r="E293" s="13"/>
      <c r="F293" s="5"/>
      <c r="G293" s="11" t="str">
        <f>IF(ISERROR(AVERAGE(F$13:F293)),"n/a",AVERAGE(F$13:F293))</f>
        <v>n/a</v>
      </c>
      <c r="H293" s="11" t="str">
        <f t="shared" si="47"/>
        <v>n/a</v>
      </c>
      <c r="J293" s="5"/>
      <c r="K293" s="5"/>
      <c r="L293" s="5"/>
      <c r="M293" s="5"/>
      <c r="N293" s="5"/>
      <c r="O293" s="8" t="str">
        <f t="shared" si="45"/>
        <v>n/a</v>
      </c>
      <c r="Q293" s="5"/>
      <c r="R293" s="5"/>
      <c r="S293" s="5"/>
      <c r="U293" s="6"/>
      <c r="V293" s="9" t="str">
        <f t="shared" si="48"/>
        <v/>
      </c>
      <c r="W293" s="9" t="str">
        <f t="shared" si="49"/>
        <v/>
      </c>
      <c r="X293" s="10">
        <f>SUM(V$13:V293)/COUNTA(B$13:B293)</f>
        <v>0</v>
      </c>
      <c r="Z293" s="5"/>
      <c r="AA293" s="5"/>
      <c r="AC293" s="7"/>
      <c r="AE293" s="54" t="e">
        <f t="shared" si="50"/>
        <v>#N/A</v>
      </c>
      <c r="AF293" s="4" t="e">
        <f t="shared" si="46"/>
        <v>#N/A</v>
      </c>
    </row>
    <row r="294" spans="2:32">
      <c r="B294" s="5">
        <f t="shared" si="51"/>
        <v>282</v>
      </c>
      <c r="C294" s="5"/>
      <c r="E294" s="13"/>
      <c r="F294" s="5"/>
      <c r="G294" s="11" t="str">
        <f>IF(ISERROR(AVERAGE(F$13:F294)),"n/a",AVERAGE(F$13:F294))</f>
        <v>n/a</v>
      </c>
      <c r="H294" s="11" t="str">
        <f t="shared" si="47"/>
        <v>n/a</v>
      </c>
      <c r="J294" s="5"/>
      <c r="K294" s="5"/>
      <c r="L294" s="5"/>
      <c r="M294" s="5"/>
      <c r="N294" s="5"/>
      <c r="O294" s="8" t="str">
        <f t="shared" si="45"/>
        <v>n/a</v>
      </c>
      <c r="Q294" s="5"/>
      <c r="R294" s="5"/>
      <c r="S294" s="5"/>
      <c r="U294" s="6"/>
      <c r="V294" s="9" t="str">
        <f t="shared" si="48"/>
        <v/>
      </c>
      <c r="W294" s="9" t="str">
        <f t="shared" si="49"/>
        <v/>
      </c>
      <c r="X294" s="10">
        <f>SUM(V$13:V294)/COUNTA(B$13:B294)</f>
        <v>0</v>
      </c>
      <c r="Z294" s="5"/>
      <c r="AA294" s="5"/>
      <c r="AC294" s="7"/>
      <c r="AE294" s="54" t="e">
        <f t="shared" si="50"/>
        <v>#N/A</v>
      </c>
      <c r="AF294" s="4" t="e">
        <f t="shared" si="46"/>
        <v>#N/A</v>
      </c>
    </row>
    <row r="295" spans="2:32">
      <c r="B295" s="5">
        <f t="shared" si="51"/>
        <v>283</v>
      </c>
      <c r="C295" s="5"/>
      <c r="E295" s="13"/>
      <c r="F295" s="5"/>
      <c r="G295" s="11" t="str">
        <f>IF(ISERROR(AVERAGE(F$13:F295)),"n/a",AVERAGE(F$13:F295))</f>
        <v>n/a</v>
      </c>
      <c r="H295" s="11" t="str">
        <f t="shared" si="47"/>
        <v>n/a</v>
      </c>
      <c r="J295" s="5"/>
      <c r="K295" s="5"/>
      <c r="L295" s="5"/>
      <c r="M295" s="5"/>
      <c r="N295" s="5"/>
      <c r="O295" s="8" t="str">
        <f t="shared" si="45"/>
        <v>n/a</v>
      </c>
      <c r="Q295" s="5"/>
      <c r="R295" s="5"/>
      <c r="S295" s="5"/>
      <c r="U295" s="6"/>
      <c r="V295" s="9" t="str">
        <f t="shared" si="48"/>
        <v/>
      </c>
      <c r="W295" s="9" t="str">
        <f t="shared" si="49"/>
        <v/>
      </c>
      <c r="X295" s="10">
        <f>SUM(V$13:V295)/COUNTA(B$13:B295)</f>
        <v>0</v>
      </c>
      <c r="Z295" s="5"/>
      <c r="AA295" s="5"/>
      <c r="AC295" s="7"/>
      <c r="AE295" s="54" t="e">
        <f t="shared" si="50"/>
        <v>#N/A</v>
      </c>
      <c r="AF295" s="4" t="e">
        <f t="shared" si="46"/>
        <v>#N/A</v>
      </c>
    </row>
    <row r="296" spans="2:32">
      <c r="B296" s="5">
        <f t="shared" si="51"/>
        <v>284</v>
      </c>
      <c r="C296" s="5"/>
      <c r="E296" s="13"/>
      <c r="F296" s="5"/>
      <c r="G296" s="11" t="str">
        <f>IF(ISERROR(AVERAGE(F$13:F296)),"n/a",AVERAGE(F$13:F296))</f>
        <v>n/a</v>
      </c>
      <c r="H296" s="11" t="str">
        <f t="shared" si="47"/>
        <v>n/a</v>
      </c>
      <c r="J296" s="5"/>
      <c r="K296" s="5"/>
      <c r="L296" s="5"/>
      <c r="M296" s="5"/>
      <c r="N296" s="5"/>
      <c r="O296" s="8" t="str">
        <f t="shared" si="45"/>
        <v>n/a</v>
      </c>
      <c r="Q296" s="5"/>
      <c r="R296" s="5"/>
      <c r="S296" s="5"/>
      <c r="U296" s="6"/>
      <c r="V296" s="9" t="str">
        <f t="shared" si="48"/>
        <v/>
      </c>
      <c r="W296" s="9" t="str">
        <f t="shared" si="49"/>
        <v/>
      </c>
      <c r="X296" s="10">
        <f>SUM(V$13:V296)/COUNTA(B$13:B296)</f>
        <v>0</v>
      </c>
      <c r="Z296" s="5"/>
      <c r="AA296" s="5"/>
      <c r="AC296" s="7"/>
      <c r="AE296" s="54" t="e">
        <f t="shared" si="50"/>
        <v>#N/A</v>
      </c>
      <c r="AF296" s="4" t="e">
        <f t="shared" si="46"/>
        <v>#N/A</v>
      </c>
    </row>
    <row r="297" spans="2:32">
      <c r="B297" s="5">
        <f t="shared" si="51"/>
        <v>285</v>
      </c>
      <c r="C297" s="5"/>
      <c r="E297" s="13"/>
      <c r="F297" s="5"/>
      <c r="G297" s="11" t="str">
        <f>IF(ISERROR(AVERAGE(F$13:F297)),"n/a",AVERAGE(F$13:F297))</f>
        <v>n/a</v>
      </c>
      <c r="H297" s="11" t="str">
        <f t="shared" si="47"/>
        <v>n/a</v>
      </c>
      <c r="J297" s="5"/>
      <c r="K297" s="5"/>
      <c r="L297" s="5"/>
      <c r="M297" s="5"/>
      <c r="N297" s="5"/>
      <c r="O297" s="8" t="str">
        <f t="shared" si="45"/>
        <v>n/a</v>
      </c>
      <c r="Q297" s="5"/>
      <c r="R297" s="5"/>
      <c r="S297" s="5"/>
      <c r="U297" s="6"/>
      <c r="V297" s="9" t="str">
        <f t="shared" si="48"/>
        <v/>
      </c>
      <c r="W297" s="9" t="str">
        <f t="shared" si="49"/>
        <v/>
      </c>
      <c r="X297" s="10">
        <f>SUM(V$13:V297)/COUNTA(B$13:B297)</f>
        <v>0</v>
      </c>
      <c r="Z297" s="5"/>
      <c r="AA297" s="5"/>
      <c r="AC297" s="7"/>
      <c r="AE297" s="54" t="e">
        <f t="shared" si="50"/>
        <v>#N/A</v>
      </c>
      <c r="AF297" s="4" t="e">
        <f t="shared" si="46"/>
        <v>#N/A</v>
      </c>
    </row>
    <row r="298" spans="2:32">
      <c r="B298" s="5">
        <f t="shared" si="51"/>
        <v>286</v>
      </c>
      <c r="C298" s="5"/>
      <c r="E298" s="13"/>
      <c r="F298" s="5"/>
      <c r="G298" s="11" t="str">
        <f>IF(ISERROR(AVERAGE(F$13:F298)),"n/a",AVERAGE(F$13:F298))</f>
        <v>n/a</v>
      </c>
      <c r="H298" s="11" t="str">
        <f t="shared" si="47"/>
        <v>n/a</v>
      </c>
      <c r="J298" s="5"/>
      <c r="K298" s="5"/>
      <c r="L298" s="5"/>
      <c r="M298" s="5"/>
      <c r="N298" s="5"/>
      <c r="O298" s="8" t="str">
        <f t="shared" si="45"/>
        <v>n/a</v>
      </c>
      <c r="Q298" s="5"/>
      <c r="R298" s="5"/>
      <c r="S298" s="5"/>
      <c r="U298" s="6"/>
      <c r="V298" s="9" t="str">
        <f t="shared" si="48"/>
        <v/>
      </c>
      <c r="W298" s="9" t="str">
        <f t="shared" si="49"/>
        <v/>
      </c>
      <c r="X298" s="10">
        <f>SUM(V$13:V298)/COUNTA(B$13:B298)</f>
        <v>0</v>
      </c>
      <c r="Z298" s="5"/>
      <c r="AA298" s="5"/>
      <c r="AC298" s="7"/>
      <c r="AE298" s="54" t="e">
        <f t="shared" si="50"/>
        <v>#N/A</v>
      </c>
      <c r="AF298" s="4" t="e">
        <f t="shared" si="46"/>
        <v>#N/A</v>
      </c>
    </row>
    <row r="299" spans="2:32">
      <c r="B299" s="5">
        <f t="shared" si="51"/>
        <v>287</v>
      </c>
      <c r="C299" s="5"/>
      <c r="E299" s="13"/>
      <c r="F299" s="5"/>
      <c r="G299" s="11" t="str">
        <f>IF(ISERROR(AVERAGE(F$13:F299)),"n/a",AVERAGE(F$13:F299))</f>
        <v>n/a</v>
      </c>
      <c r="H299" s="11" t="str">
        <f t="shared" si="47"/>
        <v>n/a</v>
      </c>
      <c r="J299" s="5"/>
      <c r="K299" s="5"/>
      <c r="L299" s="5"/>
      <c r="M299" s="5"/>
      <c r="N299" s="5"/>
      <c r="O299" s="8" t="str">
        <f t="shared" si="45"/>
        <v>n/a</v>
      </c>
      <c r="Q299" s="5"/>
      <c r="R299" s="5"/>
      <c r="S299" s="5"/>
      <c r="U299" s="6"/>
      <c r="V299" s="9" t="str">
        <f t="shared" si="48"/>
        <v/>
      </c>
      <c r="W299" s="9" t="str">
        <f t="shared" si="49"/>
        <v/>
      </c>
      <c r="X299" s="10">
        <f>SUM(V$13:V299)/COUNTA(B$13:B299)</f>
        <v>0</v>
      </c>
      <c r="Z299" s="5"/>
      <c r="AA299" s="5"/>
      <c r="AC299" s="7"/>
      <c r="AE299" s="54" t="e">
        <f t="shared" si="50"/>
        <v>#N/A</v>
      </c>
      <c r="AF299" s="4" t="e">
        <f t="shared" si="46"/>
        <v>#N/A</v>
      </c>
    </row>
    <row r="300" spans="2:32">
      <c r="B300" s="5">
        <f t="shared" si="51"/>
        <v>288</v>
      </c>
      <c r="C300" s="5"/>
      <c r="E300" s="13"/>
      <c r="F300" s="5"/>
      <c r="G300" s="11" t="str">
        <f>IF(ISERROR(AVERAGE(F$13:F300)),"n/a",AVERAGE(F$13:F300))</f>
        <v>n/a</v>
      </c>
      <c r="H300" s="11" t="str">
        <f t="shared" si="47"/>
        <v>n/a</v>
      </c>
      <c r="J300" s="5"/>
      <c r="K300" s="5"/>
      <c r="L300" s="5"/>
      <c r="M300" s="5"/>
      <c r="N300" s="5"/>
      <c r="O300" s="8" t="str">
        <f t="shared" si="45"/>
        <v>n/a</v>
      </c>
      <c r="Q300" s="5"/>
      <c r="R300" s="5"/>
      <c r="S300" s="5"/>
      <c r="U300" s="6"/>
      <c r="V300" s="9" t="str">
        <f t="shared" si="48"/>
        <v/>
      </c>
      <c r="W300" s="9" t="str">
        <f t="shared" si="49"/>
        <v/>
      </c>
      <c r="X300" s="10">
        <f>SUM(V$13:V300)/COUNTA(B$13:B300)</f>
        <v>0</v>
      </c>
      <c r="Z300" s="5"/>
      <c r="AA300" s="5"/>
      <c r="AC300" s="7"/>
      <c r="AE300" s="54" t="e">
        <f t="shared" si="50"/>
        <v>#N/A</v>
      </c>
      <c r="AF300" s="4" t="e">
        <f t="shared" si="46"/>
        <v>#N/A</v>
      </c>
    </row>
    <row r="301" spans="2:32">
      <c r="B301" s="5">
        <f t="shared" si="51"/>
        <v>289</v>
      </c>
      <c r="C301" s="5"/>
      <c r="E301" s="13"/>
      <c r="F301" s="5"/>
      <c r="G301" s="11" t="str">
        <f>IF(ISERROR(AVERAGE(F$13:F301)),"n/a",AVERAGE(F$13:F301))</f>
        <v>n/a</v>
      </c>
      <c r="H301" s="11" t="str">
        <f t="shared" si="47"/>
        <v>n/a</v>
      </c>
      <c r="J301" s="5"/>
      <c r="K301" s="5"/>
      <c r="L301" s="5"/>
      <c r="M301" s="5"/>
      <c r="N301" s="5"/>
      <c r="O301" s="8" t="str">
        <f t="shared" si="45"/>
        <v>n/a</v>
      </c>
      <c r="Q301" s="5"/>
      <c r="R301" s="5"/>
      <c r="S301" s="5"/>
      <c r="U301" s="6"/>
      <c r="V301" s="9" t="str">
        <f t="shared" si="48"/>
        <v/>
      </c>
      <c r="W301" s="9" t="str">
        <f t="shared" si="49"/>
        <v/>
      </c>
      <c r="X301" s="10">
        <f>SUM(V$13:V301)/COUNTA(B$13:B301)</f>
        <v>0</v>
      </c>
      <c r="Z301" s="5"/>
      <c r="AA301" s="5"/>
      <c r="AC301" s="7"/>
      <c r="AE301" s="54" t="e">
        <f t="shared" si="50"/>
        <v>#N/A</v>
      </c>
      <c r="AF301" s="4" t="e">
        <f t="shared" si="46"/>
        <v>#N/A</v>
      </c>
    </row>
    <row r="302" spans="2:32">
      <c r="B302" s="5">
        <f t="shared" si="51"/>
        <v>290</v>
      </c>
      <c r="C302" s="5"/>
      <c r="E302" s="13"/>
      <c r="F302" s="5"/>
      <c r="G302" s="11" t="str">
        <f>IF(ISERROR(AVERAGE(F$13:F302)),"n/a",AVERAGE(F$13:F302))</f>
        <v>n/a</v>
      </c>
      <c r="H302" s="11" t="str">
        <f t="shared" si="47"/>
        <v>n/a</v>
      </c>
      <c r="J302" s="5"/>
      <c r="K302" s="5"/>
      <c r="L302" s="5"/>
      <c r="M302" s="5"/>
      <c r="N302" s="5"/>
      <c r="O302" s="8" t="str">
        <f t="shared" si="45"/>
        <v>n/a</v>
      </c>
      <c r="Q302" s="5"/>
      <c r="R302" s="5"/>
      <c r="S302" s="5"/>
      <c r="U302" s="6"/>
      <c r="V302" s="9" t="str">
        <f t="shared" si="48"/>
        <v/>
      </c>
      <c r="W302" s="9" t="str">
        <f t="shared" si="49"/>
        <v/>
      </c>
      <c r="X302" s="10">
        <f>SUM(V$13:V302)/COUNTA(B$13:B302)</f>
        <v>0</v>
      </c>
      <c r="Z302" s="5"/>
      <c r="AA302" s="5"/>
      <c r="AC302" s="7"/>
      <c r="AE302" s="54" t="e">
        <f t="shared" si="50"/>
        <v>#N/A</v>
      </c>
      <c r="AF302" s="4" t="e">
        <f t="shared" si="46"/>
        <v>#N/A</v>
      </c>
    </row>
    <row r="303" spans="2:32">
      <c r="B303" s="5">
        <f t="shared" si="51"/>
        <v>291</v>
      </c>
      <c r="C303" s="5"/>
      <c r="E303" s="13"/>
      <c r="F303" s="5"/>
      <c r="G303" s="11" t="str">
        <f>IF(ISERROR(AVERAGE(F$13:F303)),"n/a",AVERAGE(F$13:F303))</f>
        <v>n/a</v>
      </c>
      <c r="H303" s="11" t="str">
        <f t="shared" si="47"/>
        <v>n/a</v>
      </c>
      <c r="J303" s="5"/>
      <c r="K303" s="5"/>
      <c r="L303" s="5"/>
      <c r="M303" s="5"/>
      <c r="N303" s="5"/>
      <c r="O303" s="8" t="str">
        <f t="shared" si="45"/>
        <v>n/a</v>
      </c>
      <c r="Q303" s="5"/>
      <c r="R303" s="5"/>
      <c r="S303" s="5"/>
      <c r="U303" s="6"/>
      <c r="V303" s="9" t="str">
        <f t="shared" si="48"/>
        <v/>
      </c>
      <c r="W303" s="9" t="str">
        <f t="shared" si="49"/>
        <v/>
      </c>
      <c r="X303" s="10">
        <f>SUM(V$13:V303)/COUNTA(B$13:B303)</f>
        <v>0</v>
      </c>
      <c r="Z303" s="5"/>
      <c r="AA303" s="5"/>
      <c r="AC303" s="7"/>
      <c r="AE303" s="54" t="e">
        <f t="shared" si="50"/>
        <v>#N/A</v>
      </c>
      <c r="AF303" s="4" t="e">
        <f t="shared" si="46"/>
        <v>#N/A</v>
      </c>
    </row>
    <row r="304" spans="2:32">
      <c r="B304" s="5">
        <f t="shared" si="51"/>
        <v>292</v>
      </c>
      <c r="C304" s="5"/>
      <c r="E304" s="13"/>
      <c r="F304" s="5"/>
      <c r="G304" s="11" t="str">
        <f>IF(ISERROR(AVERAGE(F$13:F304)),"n/a",AVERAGE(F$13:F304))</f>
        <v>n/a</v>
      </c>
      <c r="H304" s="11" t="str">
        <f t="shared" si="47"/>
        <v>n/a</v>
      </c>
      <c r="J304" s="5"/>
      <c r="K304" s="5"/>
      <c r="L304" s="5"/>
      <c r="M304" s="5"/>
      <c r="N304" s="5"/>
      <c r="O304" s="8" t="str">
        <f t="shared" si="45"/>
        <v>n/a</v>
      </c>
      <c r="Q304" s="5"/>
      <c r="R304" s="5"/>
      <c r="S304" s="5"/>
      <c r="U304" s="6"/>
      <c r="V304" s="9" t="str">
        <f t="shared" si="48"/>
        <v/>
      </c>
      <c r="W304" s="9" t="str">
        <f t="shared" si="49"/>
        <v/>
      </c>
      <c r="X304" s="10">
        <f>SUM(V$13:V304)/COUNTA(B$13:B304)</f>
        <v>0</v>
      </c>
      <c r="Z304" s="5"/>
      <c r="AA304" s="5"/>
      <c r="AC304" s="7"/>
      <c r="AE304" s="54" t="e">
        <f t="shared" si="50"/>
        <v>#N/A</v>
      </c>
      <c r="AF304" s="4" t="e">
        <f t="shared" si="46"/>
        <v>#N/A</v>
      </c>
    </row>
    <row r="305" spans="2:32">
      <c r="B305" s="5">
        <f t="shared" si="51"/>
        <v>293</v>
      </c>
      <c r="C305" s="5"/>
      <c r="E305" s="13"/>
      <c r="F305" s="5"/>
      <c r="G305" s="11" t="str">
        <f>IF(ISERROR(AVERAGE(F$13:F305)),"n/a",AVERAGE(F$13:F305))</f>
        <v>n/a</v>
      </c>
      <c r="H305" s="11" t="str">
        <f t="shared" si="47"/>
        <v>n/a</v>
      </c>
      <c r="J305" s="5"/>
      <c r="K305" s="5"/>
      <c r="L305" s="5"/>
      <c r="M305" s="5"/>
      <c r="N305" s="5"/>
      <c r="O305" s="8" t="str">
        <f t="shared" si="45"/>
        <v>n/a</v>
      </c>
      <c r="Q305" s="5"/>
      <c r="R305" s="5"/>
      <c r="S305" s="5"/>
      <c r="U305" s="6"/>
      <c r="V305" s="9" t="str">
        <f t="shared" si="48"/>
        <v/>
      </c>
      <c r="W305" s="9" t="str">
        <f t="shared" si="49"/>
        <v/>
      </c>
      <c r="X305" s="10">
        <f>SUM(V$13:V305)/COUNTA(B$13:B305)</f>
        <v>0</v>
      </c>
      <c r="Z305" s="5"/>
      <c r="AA305" s="5"/>
      <c r="AC305" s="7"/>
      <c r="AE305" s="54" t="e">
        <f t="shared" si="50"/>
        <v>#N/A</v>
      </c>
      <c r="AF305" s="4" t="e">
        <f t="shared" si="46"/>
        <v>#N/A</v>
      </c>
    </row>
    <row r="306" spans="2:32">
      <c r="B306" s="5">
        <f t="shared" si="51"/>
        <v>294</v>
      </c>
      <c r="C306" s="5"/>
      <c r="E306" s="13"/>
      <c r="F306" s="5"/>
      <c r="G306" s="11" t="str">
        <f>IF(ISERROR(AVERAGE(F$13:F306)),"n/a",AVERAGE(F$13:F306))</f>
        <v>n/a</v>
      </c>
      <c r="H306" s="11" t="str">
        <f t="shared" si="47"/>
        <v>n/a</v>
      </c>
      <c r="J306" s="5"/>
      <c r="K306" s="5"/>
      <c r="L306" s="5"/>
      <c r="M306" s="5"/>
      <c r="N306" s="5"/>
      <c r="O306" s="8" t="str">
        <f t="shared" si="45"/>
        <v>n/a</v>
      </c>
      <c r="Q306" s="5"/>
      <c r="R306" s="5"/>
      <c r="S306" s="5"/>
      <c r="U306" s="6"/>
      <c r="V306" s="9" t="str">
        <f t="shared" si="48"/>
        <v/>
      </c>
      <c r="W306" s="9" t="str">
        <f t="shared" si="49"/>
        <v/>
      </c>
      <c r="X306" s="10">
        <f>SUM(V$13:V306)/COUNTA(B$13:B306)</f>
        <v>0</v>
      </c>
      <c r="Z306" s="5"/>
      <c r="AA306" s="5"/>
      <c r="AC306" s="7"/>
      <c r="AE306" s="54" t="e">
        <f t="shared" si="50"/>
        <v>#N/A</v>
      </c>
      <c r="AF306" s="4" t="e">
        <f t="shared" si="46"/>
        <v>#N/A</v>
      </c>
    </row>
    <row r="307" spans="2:32">
      <c r="B307" s="5">
        <f t="shared" si="51"/>
        <v>295</v>
      </c>
      <c r="C307" s="5"/>
      <c r="E307" s="13"/>
      <c r="F307" s="5"/>
      <c r="G307" s="11" t="str">
        <f>IF(ISERROR(AVERAGE(F$13:F307)),"n/a",AVERAGE(F$13:F307))</f>
        <v>n/a</v>
      </c>
      <c r="H307" s="11" t="str">
        <f t="shared" si="47"/>
        <v>n/a</v>
      </c>
      <c r="J307" s="5"/>
      <c r="K307" s="5"/>
      <c r="L307" s="5"/>
      <c r="M307" s="5"/>
      <c r="N307" s="5"/>
      <c r="O307" s="8" t="str">
        <f t="shared" si="45"/>
        <v>n/a</v>
      </c>
      <c r="Q307" s="5"/>
      <c r="R307" s="5"/>
      <c r="S307" s="5"/>
      <c r="U307" s="6"/>
      <c r="V307" s="9" t="str">
        <f t="shared" si="48"/>
        <v/>
      </c>
      <c r="W307" s="9" t="str">
        <f t="shared" si="49"/>
        <v/>
      </c>
      <c r="X307" s="10">
        <f>SUM(V$13:V307)/COUNTA(B$13:B307)</f>
        <v>0</v>
      </c>
      <c r="Z307" s="5"/>
      <c r="AA307" s="5"/>
      <c r="AC307" s="7"/>
      <c r="AE307" s="54" t="e">
        <f t="shared" si="50"/>
        <v>#N/A</v>
      </c>
      <c r="AF307" s="4" t="e">
        <f t="shared" si="46"/>
        <v>#N/A</v>
      </c>
    </row>
    <row r="308" spans="2:32">
      <c r="B308" s="5">
        <f t="shared" si="51"/>
        <v>296</v>
      </c>
      <c r="C308" s="5"/>
      <c r="E308" s="13"/>
      <c r="F308" s="5"/>
      <c r="G308" s="11" t="str">
        <f>IF(ISERROR(AVERAGE(F$13:F308)),"n/a",AVERAGE(F$13:F308))</f>
        <v>n/a</v>
      </c>
      <c r="H308" s="11" t="str">
        <f t="shared" si="47"/>
        <v>n/a</v>
      </c>
      <c r="J308" s="5"/>
      <c r="K308" s="5"/>
      <c r="L308" s="5"/>
      <c r="M308" s="5"/>
      <c r="N308" s="5"/>
      <c r="O308" s="8" t="str">
        <f t="shared" si="45"/>
        <v>n/a</v>
      </c>
      <c r="Q308" s="5"/>
      <c r="R308" s="5"/>
      <c r="S308" s="5"/>
      <c r="U308" s="6"/>
      <c r="V308" s="9" t="str">
        <f t="shared" si="48"/>
        <v/>
      </c>
      <c r="W308" s="9" t="str">
        <f t="shared" si="49"/>
        <v/>
      </c>
      <c r="X308" s="10">
        <f>SUM(V$13:V308)/COUNTA(B$13:B308)</f>
        <v>0</v>
      </c>
      <c r="Z308" s="5"/>
      <c r="AA308" s="5"/>
      <c r="AC308" s="7"/>
      <c r="AE308" s="54" t="e">
        <f t="shared" si="50"/>
        <v>#N/A</v>
      </c>
      <c r="AF308" s="4" t="e">
        <f t="shared" si="46"/>
        <v>#N/A</v>
      </c>
    </row>
    <row r="309" spans="2:32">
      <c r="B309" s="5">
        <f t="shared" si="51"/>
        <v>297</v>
      </c>
      <c r="C309" s="5"/>
      <c r="E309" s="13"/>
      <c r="F309" s="5"/>
      <c r="G309" s="11" t="str">
        <f>IF(ISERROR(AVERAGE(F$13:F309)),"n/a",AVERAGE(F$13:F309))</f>
        <v>n/a</v>
      </c>
      <c r="H309" s="11" t="str">
        <f t="shared" si="47"/>
        <v>n/a</v>
      </c>
      <c r="J309" s="5"/>
      <c r="K309" s="5"/>
      <c r="L309" s="5"/>
      <c r="M309" s="5"/>
      <c r="N309" s="5"/>
      <c r="O309" s="8" t="str">
        <f t="shared" si="45"/>
        <v>n/a</v>
      </c>
      <c r="Q309" s="5"/>
      <c r="R309" s="5"/>
      <c r="S309" s="5"/>
      <c r="U309" s="6"/>
      <c r="V309" s="9" t="str">
        <f t="shared" si="48"/>
        <v/>
      </c>
      <c r="W309" s="9" t="str">
        <f t="shared" si="49"/>
        <v/>
      </c>
      <c r="X309" s="10">
        <f>SUM(V$13:V309)/COUNTA(B$13:B309)</f>
        <v>0</v>
      </c>
      <c r="Z309" s="5"/>
      <c r="AA309" s="5"/>
      <c r="AC309" s="7"/>
      <c r="AE309" s="54" t="e">
        <f t="shared" si="50"/>
        <v>#N/A</v>
      </c>
      <c r="AF309" s="4" t="e">
        <f t="shared" si="46"/>
        <v>#N/A</v>
      </c>
    </row>
    <row r="310" spans="2:32">
      <c r="B310" s="5">
        <f t="shared" si="51"/>
        <v>298</v>
      </c>
      <c r="C310" s="5"/>
      <c r="E310" s="13"/>
      <c r="F310" s="5"/>
      <c r="G310" s="11" t="str">
        <f>IF(ISERROR(AVERAGE(F$13:F310)),"n/a",AVERAGE(F$13:F310))</f>
        <v>n/a</v>
      </c>
      <c r="H310" s="11" t="str">
        <f t="shared" si="47"/>
        <v>n/a</v>
      </c>
      <c r="J310" s="5"/>
      <c r="K310" s="5"/>
      <c r="L310" s="5"/>
      <c r="M310" s="5"/>
      <c r="N310" s="5"/>
      <c r="O310" s="8" t="str">
        <f t="shared" si="45"/>
        <v>n/a</v>
      </c>
      <c r="Q310" s="5"/>
      <c r="R310" s="5"/>
      <c r="S310" s="5"/>
      <c r="U310" s="6"/>
      <c r="V310" s="9" t="str">
        <f t="shared" si="48"/>
        <v/>
      </c>
      <c r="W310" s="9" t="str">
        <f t="shared" si="49"/>
        <v/>
      </c>
      <c r="X310" s="10">
        <f>SUM(V$13:V310)/COUNTA(B$13:B310)</f>
        <v>0</v>
      </c>
      <c r="Z310" s="5"/>
      <c r="AA310" s="5"/>
      <c r="AC310" s="7"/>
      <c r="AE310" s="54" t="e">
        <f t="shared" si="50"/>
        <v>#N/A</v>
      </c>
      <c r="AF310" s="4" t="e">
        <f t="shared" si="46"/>
        <v>#N/A</v>
      </c>
    </row>
    <row r="311" spans="2:32">
      <c r="B311" s="5">
        <f t="shared" si="51"/>
        <v>299</v>
      </c>
      <c r="C311" s="5"/>
      <c r="E311" s="13"/>
      <c r="F311" s="5"/>
      <c r="G311" s="11" t="str">
        <f>IF(ISERROR(AVERAGE(F$13:F311)),"n/a",AVERAGE(F$13:F311))</f>
        <v>n/a</v>
      </c>
      <c r="H311" s="11" t="str">
        <f t="shared" si="47"/>
        <v>n/a</v>
      </c>
      <c r="J311" s="5"/>
      <c r="K311" s="5"/>
      <c r="L311" s="5"/>
      <c r="M311" s="5"/>
      <c r="N311" s="5"/>
      <c r="O311" s="8" t="str">
        <f t="shared" si="45"/>
        <v>n/a</v>
      </c>
      <c r="Q311" s="5"/>
      <c r="R311" s="5"/>
      <c r="S311" s="5"/>
      <c r="U311" s="6"/>
      <c r="V311" s="9" t="str">
        <f t="shared" si="48"/>
        <v/>
      </c>
      <c r="W311" s="9" t="str">
        <f t="shared" si="49"/>
        <v/>
      </c>
      <c r="X311" s="10">
        <f>SUM(V$13:V311)/COUNTA(B$13:B311)</f>
        <v>0</v>
      </c>
      <c r="Z311" s="5"/>
      <c r="AA311" s="5"/>
      <c r="AC311" s="7"/>
      <c r="AE311" s="54" t="e">
        <f t="shared" si="50"/>
        <v>#N/A</v>
      </c>
      <c r="AF311" s="4" t="e">
        <f t="shared" si="46"/>
        <v>#N/A</v>
      </c>
    </row>
    <row r="312" spans="2:32">
      <c r="B312" s="5">
        <f t="shared" si="51"/>
        <v>300</v>
      </c>
      <c r="C312" s="5"/>
      <c r="E312" s="13"/>
      <c r="F312" s="5"/>
      <c r="G312" s="11" t="str">
        <f>IF(ISERROR(AVERAGE(F$13:F312)),"n/a",AVERAGE(F$13:F312))</f>
        <v>n/a</v>
      </c>
      <c r="H312" s="11" t="str">
        <f t="shared" si="47"/>
        <v>n/a</v>
      </c>
      <c r="J312" s="5"/>
      <c r="K312" s="5"/>
      <c r="L312" s="5"/>
      <c r="M312" s="5"/>
      <c r="N312" s="5"/>
      <c r="O312" s="8" t="str">
        <f t="shared" si="45"/>
        <v>n/a</v>
      </c>
      <c r="Q312" s="5"/>
      <c r="R312" s="5"/>
      <c r="S312" s="5"/>
      <c r="U312" s="6"/>
      <c r="V312" s="9" t="str">
        <f t="shared" si="48"/>
        <v/>
      </c>
      <c r="W312" s="9" t="str">
        <f t="shared" si="49"/>
        <v/>
      </c>
      <c r="X312" s="10">
        <f>SUM(V$13:V312)/COUNTA(B$13:B312)</f>
        <v>0</v>
      </c>
      <c r="Z312" s="5"/>
      <c r="AA312" s="5"/>
      <c r="AC312" s="7"/>
      <c r="AE312" s="54" t="e">
        <f t="shared" si="50"/>
        <v>#N/A</v>
      </c>
      <c r="AF312" s="4" t="e">
        <f t="shared" si="46"/>
        <v>#N/A</v>
      </c>
    </row>
    <row r="313" spans="2:32">
      <c r="B313" s="5">
        <f t="shared" si="51"/>
        <v>301</v>
      </c>
      <c r="C313" s="5"/>
      <c r="E313" s="13"/>
      <c r="F313" s="5"/>
      <c r="G313" s="11" t="str">
        <f>IF(ISERROR(AVERAGE(F$13:F313)),"n/a",AVERAGE(F$13:F313))</f>
        <v>n/a</v>
      </c>
      <c r="H313" s="11" t="str">
        <f t="shared" si="47"/>
        <v>n/a</v>
      </c>
      <c r="J313" s="5"/>
      <c r="K313" s="5"/>
      <c r="L313" s="5"/>
      <c r="M313" s="5"/>
      <c r="N313" s="5"/>
      <c r="O313" s="8" t="str">
        <f t="shared" si="45"/>
        <v>n/a</v>
      </c>
      <c r="Q313" s="5"/>
      <c r="R313" s="5"/>
      <c r="S313" s="5"/>
      <c r="U313" s="6"/>
      <c r="V313" s="9" t="str">
        <f t="shared" si="48"/>
        <v/>
      </c>
      <c r="W313" s="9" t="str">
        <f t="shared" si="49"/>
        <v/>
      </c>
      <c r="X313" s="10">
        <f>SUM(V$13:V313)/COUNTA(B$13:B313)</f>
        <v>0</v>
      </c>
      <c r="Z313" s="5"/>
      <c r="AA313" s="5"/>
      <c r="AC313" s="7"/>
      <c r="AE313" s="54" t="e">
        <f t="shared" si="50"/>
        <v>#N/A</v>
      </c>
      <c r="AF313" s="4" t="e">
        <f t="shared" si="46"/>
        <v>#N/A</v>
      </c>
    </row>
    <row r="314" spans="2:32">
      <c r="B314" s="5">
        <f t="shared" si="51"/>
        <v>302</v>
      </c>
      <c r="C314" s="5"/>
      <c r="E314" s="13"/>
      <c r="F314" s="5"/>
      <c r="G314" s="11" t="str">
        <f>IF(ISERROR(AVERAGE(F$13:F314)),"n/a",AVERAGE(F$13:F314))</f>
        <v>n/a</v>
      </c>
      <c r="H314" s="11" t="str">
        <f t="shared" si="47"/>
        <v>n/a</v>
      </c>
      <c r="J314" s="5"/>
      <c r="K314" s="5"/>
      <c r="L314" s="5"/>
      <c r="M314" s="5"/>
      <c r="N314" s="5"/>
      <c r="O314" s="8" t="str">
        <f t="shared" si="45"/>
        <v>n/a</v>
      </c>
      <c r="Q314" s="5"/>
      <c r="R314" s="5"/>
      <c r="S314" s="5"/>
      <c r="U314" s="6"/>
      <c r="V314" s="9" t="str">
        <f t="shared" si="48"/>
        <v/>
      </c>
      <c r="W314" s="9" t="str">
        <f t="shared" si="49"/>
        <v/>
      </c>
      <c r="X314" s="10">
        <f>SUM(V$13:V314)/COUNTA(B$13:B314)</f>
        <v>0</v>
      </c>
      <c r="Z314" s="5"/>
      <c r="AA314" s="5"/>
      <c r="AC314" s="7"/>
      <c r="AE314" s="54" t="e">
        <f t="shared" si="50"/>
        <v>#N/A</v>
      </c>
      <c r="AF314" s="4" t="e">
        <f t="shared" si="46"/>
        <v>#N/A</v>
      </c>
    </row>
    <row r="315" spans="2:32">
      <c r="B315" s="5">
        <f t="shared" si="51"/>
        <v>303</v>
      </c>
      <c r="C315" s="5"/>
      <c r="E315" s="13"/>
      <c r="F315" s="5"/>
      <c r="G315" s="11" t="str">
        <f>IF(ISERROR(AVERAGE(F$13:F315)),"n/a",AVERAGE(F$13:F315))</f>
        <v>n/a</v>
      </c>
      <c r="H315" s="11" t="str">
        <f t="shared" si="47"/>
        <v>n/a</v>
      </c>
      <c r="J315" s="5"/>
      <c r="K315" s="5"/>
      <c r="L315" s="5"/>
      <c r="M315" s="5"/>
      <c r="N315" s="5"/>
      <c r="O315" s="8" t="str">
        <f t="shared" si="45"/>
        <v>n/a</v>
      </c>
      <c r="Q315" s="5"/>
      <c r="R315" s="5"/>
      <c r="S315" s="5"/>
      <c r="U315" s="6"/>
      <c r="V315" s="9" t="str">
        <f t="shared" si="48"/>
        <v/>
      </c>
      <c r="W315" s="9" t="str">
        <f t="shared" si="49"/>
        <v/>
      </c>
      <c r="X315" s="10">
        <f>SUM(V$13:V315)/COUNTA(B$13:B315)</f>
        <v>0</v>
      </c>
      <c r="Z315" s="5"/>
      <c r="AA315" s="5"/>
      <c r="AC315" s="7"/>
      <c r="AE315" s="54" t="e">
        <f t="shared" si="50"/>
        <v>#N/A</v>
      </c>
      <c r="AF315" s="4" t="e">
        <f t="shared" si="46"/>
        <v>#N/A</v>
      </c>
    </row>
    <row r="316" spans="2:32">
      <c r="B316" s="5">
        <f t="shared" si="51"/>
        <v>304</v>
      </c>
      <c r="C316" s="5"/>
      <c r="E316" s="13"/>
      <c r="F316" s="5"/>
      <c r="G316" s="11" t="str">
        <f>IF(ISERROR(AVERAGE(F$13:F316)),"n/a",AVERAGE(F$13:F316))</f>
        <v>n/a</v>
      </c>
      <c r="H316" s="11" t="str">
        <f t="shared" si="47"/>
        <v>n/a</v>
      </c>
      <c r="J316" s="5"/>
      <c r="K316" s="5"/>
      <c r="L316" s="5"/>
      <c r="M316" s="5"/>
      <c r="N316" s="5"/>
      <c r="O316" s="8" t="str">
        <f t="shared" si="45"/>
        <v>n/a</v>
      </c>
      <c r="Q316" s="5"/>
      <c r="R316" s="5"/>
      <c r="S316" s="5"/>
      <c r="U316" s="6"/>
      <c r="V316" s="9" t="str">
        <f t="shared" si="48"/>
        <v/>
      </c>
      <c r="W316" s="9" t="str">
        <f t="shared" si="49"/>
        <v/>
      </c>
      <c r="X316" s="10">
        <f>SUM(V$13:V316)/COUNTA(B$13:B316)</f>
        <v>0</v>
      </c>
      <c r="Z316" s="5"/>
      <c r="AA316" s="5"/>
      <c r="AC316" s="7"/>
      <c r="AE316" s="54" t="e">
        <f t="shared" si="50"/>
        <v>#N/A</v>
      </c>
      <c r="AF316" s="4" t="e">
        <f t="shared" si="46"/>
        <v>#N/A</v>
      </c>
    </row>
    <row r="317" spans="2:32">
      <c r="B317" s="5">
        <f t="shared" si="51"/>
        <v>305</v>
      </c>
      <c r="C317" s="5"/>
      <c r="E317" s="13"/>
      <c r="F317" s="5"/>
      <c r="G317" s="11" t="str">
        <f>IF(ISERROR(AVERAGE(F$13:F317)),"n/a",AVERAGE(F$13:F317))</f>
        <v>n/a</v>
      </c>
      <c r="H317" s="11" t="str">
        <f t="shared" si="47"/>
        <v>n/a</v>
      </c>
      <c r="J317" s="5"/>
      <c r="K317" s="5"/>
      <c r="L317" s="5"/>
      <c r="M317" s="5"/>
      <c r="N317" s="5"/>
      <c r="O317" s="8" t="str">
        <f t="shared" si="45"/>
        <v>n/a</v>
      </c>
      <c r="Q317" s="5"/>
      <c r="R317" s="5"/>
      <c r="S317" s="5"/>
      <c r="U317" s="6"/>
      <c r="V317" s="9" t="str">
        <f t="shared" si="48"/>
        <v/>
      </c>
      <c r="W317" s="9" t="str">
        <f t="shared" si="49"/>
        <v/>
      </c>
      <c r="X317" s="10">
        <f>SUM(V$13:V317)/COUNTA(B$13:B317)</f>
        <v>0</v>
      </c>
      <c r="Z317" s="5"/>
      <c r="AA317" s="5"/>
      <c r="AC317" s="7"/>
      <c r="AE317" s="54" t="e">
        <f t="shared" si="50"/>
        <v>#N/A</v>
      </c>
      <c r="AF317" s="4" t="e">
        <f t="shared" si="46"/>
        <v>#N/A</v>
      </c>
    </row>
    <row r="318" spans="2:32">
      <c r="B318" s="5">
        <f t="shared" si="51"/>
        <v>306</v>
      </c>
      <c r="C318" s="5"/>
      <c r="E318" s="13"/>
      <c r="F318" s="5"/>
      <c r="G318" s="11" t="str">
        <f>IF(ISERROR(AVERAGE(F$13:F318)),"n/a",AVERAGE(F$13:F318))</f>
        <v>n/a</v>
      </c>
      <c r="H318" s="11" t="str">
        <f t="shared" si="47"/>
        <v>n/a</v>
      </c>
      <c r="J318" s="5"/>
      <c r="K318" s="5"/>
      <c r="L318" s="5"/>
      <c r="M318" s="5"/>
      <c r="N318" s="5"/>
      <c r="O318" s="8" t="str">
        <f t="shared" si="45"/>
        <v>n/a</v>
      </c>
      <c r="Q318" s="5"/>
      <c r="R318" s="5"/>
      <c r="S318" s="5"/>
      <c r="U318" s="6"/>
      <c r="V318" s="9" t="str">
        <f t="shared" si="48"/>
        <v/>
      </c>
      <c r="W318" s="9" t="str">
        <f t="shared" si="49"/>
        <v/>
      </c>
      <c r="X318" s="10">
        <f>SUM(V$13:V318)/COUNTA(B$13:B318)</f>
        <v>0</v>
      </c>
      <c r="Z318" s="5"/>
      <c r="AA318" s="5"/>
      <c r="AC318" s="7"/>
      <c r="AE318" s="54" t="e">
        <f t="shared" si="50"/>
        <v>#N/A</v>
      </c>
      <c r="AF318" s="4" t="e">
        <f t="shared" si="46"/>
        <v>#N/A</v>
      </c>
    </row>
    <row r="319" spans="2:32">
      <c r="B319" s="5">
        <f t="shared" si="51"/>
        <v>307</v>
      </c>
      <c r="C319" s="5"/>
      <c r="E319" s="13"/>
      <c r="F319" s="5"/>
      <c r="G319" s="11" t="str">
        <f>IF(ISERROR(AVERAGE(F$13:F319)),"n/a",AVERAGE(F$13:F319))</f>
        <v>n/a</v>
      </c>
      <c r="H319" s="11" t="str">
        <f t="shared" si="47"/>
        <v>n/a</v>
      </c>
      <c r="J319" s="5"/>
      <c r="K319" s="5"/>
      <c r="L319" s="5"/>
      <c r="M319" s="5"/>
      <c r="N319" s="5"/>
      <c r="O319" s="8" t="str">
        <f t="shared" si="45"/>
        <v>n/a</v>
      </c>
      <c r="Q319" s="5"/>
      <c r="R319" s="5"/>
      <c r="S319" s="5"/>
      <c r="U319" s="6"/>
      <c r="V319" s="9" t="str">
        <f t="shared" si="48"/>
        <v/>
      </c>
      <c r="W319" s="9" t="str">
        <f t="shared" si="49"/>
        <v/>
      </c>
      <c r="X319" s="10">
        <f>SUM(V$13:V319)/COUNTA(B$13:B319)</f>
        <v>0</v>
      </c>
      <c r="Z319" s="5"/>
      <c r="AA319" s="5"/>
      <c r="AC319" s="7"/>
      <c r="AE319" s="54" t="e">
        <f t="shared" si="50"/>
        <v>#N/A</v>
      </c>
      <c r="AF319" s="4" t="e">
        <f t="shared" si="46"/>
        <v>#N/A</v>
      </c>
    </row>
    <row r="320" spans="2:32">
      <c r="B320" s="5">
        <f t="shared" si="51"/>
        <v>308</v>
      </c>
      <c r="C320" s="5"/>
      <c r="E320" s="13"/>
      <c r="F320" s="5"/>
      <c r="G320" s="11" t="str">
        <f>IF(ISERROR(AVERAGE(F$13:F320)),"n/a",AVERAGE(F$13:F320))</f>
        <v>n/a</v>
      </c>
      <c r="H320" s="11" t="str">
        <f t="shared" si="47"/>
        <v>n/a</v>
      </c>
      <c r="J320" s="5"/>
      <c r="K320" s="5"/>
      <c r="L320" s="5"/>
      <c r="M320" s="5"/>
      <c r="N320" s="5"/>
      <c r="O320" s="8" t="str">
        <f t="shared" si="45"/>
        <v>n/a</v>
      </c>
      <c r="Q320" s="5"/>
      <c r="R320" s="5"/>
      <c r="S320" s="5"/>
      <c r="U320" s="6"/>
      <c r="V320" s="9" t="str">
        <f t="shared" si="48"/>
        <v/>
      </c>
      <c r="W320" s="9" t="str">
        <f t="shared" si="49"/>
        <v/>
      </c>
      <c r="X320" s="10">
        <f>SUM(V$13:V320)/COUNTA(B$13:B320)</f>
        <v>0</v>
      </c>
      <c r="Z320" s="5"/>
      <c r="AA320" s="5"/>
      <c r="AC320" s="7"/>
      <c r="AE320" s="54" t="e">
        <f t="shared" si="50"/>
        <v>#N/A</v>
      </c>
      <c r="AF320" s="4" t="e">
        <f t="shared" si="46"/>
        <v>#N/A</v>
      </c>
    </row>
    <row r="321" spans="2:32">
      <c r="B321" s="5">
        <f t="shared" si="51"/>
        <v>309</v>
      </c>
      <c r="C321" s="5"/>
      <c r="E321" s="13"/>
      <c r="F321" s="5"/>
      <c r="G321" s="11" t="str">
        <f>IF(ISERROR(AVERAGE(F$13:F321)),"n/a",AVERAGE(F$13:F321))</f>
        <v>n/a</v>
      </c>
      <c r="H321" s="11" t="str">
        <f t="shared" si="47"/>
        <v>n/a</v>
      </c>
      <c r="J321" s="5"/>
      <c r="K321" s="5"/>
      <c r="L321" s="5"/>
      <c r="M321" s="5"/>
      <c r="N321" s="5"/>
      <c r="O321" s="8" t="str">
        <f t="shared" si="45"/>
        <v>n/a</v>
      </c>
      <c r="Q321" s="5"/>
      <c r="R321" s="5"/>
      <c r="S321" s="5"/>
      <c r="U321" s="6"/>
      <c r="V321" s="9" t="str">
        <f t="shared" si="48"/>
        <v/>
      </c>
      <c r="W321" s="9" t="str">
        <f t="shared" si="49"/>
        <v/>
      </c>
      <c r="X321" s="10">
        <f>SUM(V$13:V321)/COUNTA(B$13:B321)</f>
        <v>0</v>
      </c>
      <c r="Z321" s="5"/>
      <c r="AA321" s="5"/>
      <c r="AC321" s="7"/>
      <c r="AE321" s="54" t="e">
        <f t="shared" si="50"/>
        <v>#N/A</v>
      </c>
      <c r="AF321" s="4" t="e">
        <f t="shared" si="46"/>
        <v>#N/A</v>
      </c>
    </row>
    <row r="322" spans="2:32">
      <c r="B322" s="5">
        <f t="shared" si="51"/>
        <v>310</v>
      </c>
      <c r="C322" s="5"/>
      <c r="E322" s="13"/>
      <c r="F322" s="5"/>
      <c r="G322" s="11" t="str">
        <f>IF(ISERROR(AVERAGE(F$13:F322)),"n/a",AVERAGE(F$13:F322))</f>
        <v>n/a</v>
      </c>
      <c r="H322" s="11" t="str">
        <f t="shared" si="47"/>
        <v>n/a</v>
      </c>
      <c r="J322" s="5"/>
      <c r="K322" s="5"/>
      <c r="L322" s="5"/>
      <c r="M322" s="5"/>
      <c r="N322" s="5"/>
      <c r="O322" s="8" t="str">
        <f t="shared" si="45"/>
        <v>n/a</v>
      </c>
      <c r="Q322" s="5"/>
      <c r="R322" s="5"/>
      <c r="S322" s="5"/>
      <c r="U322" s="6"/>
      <c r="V322" s="9" t="str">
        <f t="shared" si="48"/>
        <v/>
      </c>
      <c r="W322" s="9" t="str">
        <f t="shared" si="49"/>
        <v/>
      </c>
      <c r="X322" s="10">
        <f>SUM(V$13:V322)/COUNTA(B$13:B322)</f>
        <v>0</v>
      </c>
      <c r="Z322" s="5"/>
      <c r="AA322" s="5"/>
      <c r="AC322" s="7"/>
      <c r="AE322" s="54" t="e">
        <f t="shared" si="50"/>
        <v>#N/A</v>
      </c>
      <c r="AF322" s="4" t="e">
        <f t="shared" si="46"/>
        <v>#N/A</v>
      </c>
    </row>
    <row r="323" spans="2:32">
      <c r="B323" s="5">
        <f t="shared" si="51"/>
        <v>311</v>
      </c>
      <c r="C323" s="5"/>
      <c r="E323" s="13"/>
      <c r="F323" s="5"/>
      <c r="G323" s="11" t="str">
        <f>IF(ISERROR(AVERAGE(F$13:F323)),"n/a",AVERAGE(F$13:F323))</f>
        <v>n/a</v>
      </c>
      <c r="H323" s="11" t="str">
        <f t="shared" si="47"/>
        <v>n/a</v>
      </c>
      <c r="J323" s="5"/>
      <c r="K323" s="5"/>
      <c r="L323" s="5"/>
      <c r="M323" s="5"/>
      <c r="N323" s="5"/>
      <c r="O323" s="8" t="str">
        <f t="shared" si="45"/>
        <v>n/a</v>
      </c>
      <c r="Q323" s="5"/>
      <c r="R323" s="5"/>
      <c r="S323" s="5"/>
      <c r="U323" s="6"/>
      <c r="V323" s="9" t="str">
        <f t="shared" si="48"/>
        <v/>
      </c>
      <c r="W323" s="9" t="str">
        <f t="shared" si="49"/>
        <v/>
      </c>
      <c r="X323" s="10">
        <f>SUM(V$13:V323)/COUNTA(B$13:B323)</f>
        <v>0</v>
      </c>
      <c r="Z323" s="5"/>
      <c r="AA323" s="5"/>
      <c r="AC323" s="7"/>
      <c r="AE323" s="54" t="e">
        <f t="shared" si="50"/>
        <v>#N/A</v>
      </c>
      <c r="AF323" s="4" t="e">
        <f t="shared" si="46"/>
        <v>#N/A</v>
      </c>
    </row>
    <row r="324" spans="2:32">
      <c r="B324" s="5">
        <f t="shared" si="51"/>
        <v>312</v>
      </c>
      <c r="C324" s="5"/>
      <c r="E324" s="13"/>
      <c r="F324" s="5"/>
      <c r="G324" s="11" t="str">
        <f>IF(ISERROR(AVERAGE(F$13:F324)),"n/a",AVERAGE(F$13:F324))</f>
        <v>n/a</v>
      </c>
      <c r="H324" s="11" t="str">
        <f t="shared" si="47"/>
        <v>n/a</v>
      </c>
      <c r="J324" s="5"/>
      <c r="K324" s="5"/>
      <c r="L324" s="5"/>
      <c r="M324" s="5"/>
      <c r="N324" s="5"/>
      <c r="O324" s="8" t="str">
        <f t="shared" si="45"/>
        <v>n/a</v>
      </c>
      <c r="Q324" s="5"/>
      <c r="R324" s="5"/>
      <c r="S324" s="5"/>
      <c r="U324" s="6"/>
      <c r="V324" s="9" t="str">
        <f t="shared" si="48"/>
        <v/>
      </c>
      <c r="W324" s="9" t="str">
        <f t="shared" si="49"/>
        <v/>
      </c>
      <c r="X324" s="10">
        <f>SUM(V$13:V324)/COUNTA(B$13:B324)</f>
        <v>0</v>
      </c>
      <c r="Z324" s="5"/>
      <c r="AA324" s="5"/>
      <c r="AC324" s="7"/>
      <c r="AE324" s="54" t="e">
        <f t="shared" si="50"/>
        <v>#N/A</v>
      </c>
      <c r="AF324" s="4" t="e">
        <f t="shared" si="46"/>
        <v>#N/A</v>
      </c>
    </row>
    <row r="325" spans="2:32">
      <c r="B325" s="5">
        <f t="shared" si="51"/>
        <v>313</v>
      </c>
      <c r="C325" s="5"/>
      <c r="E325" s="13"/>
      <c r="F325" s="5"/>
      <c r="G325" s="11" t="str">
        <f>IF(ISERROR(AVERAGE(F$13:F325)),"n/a",AVERAGE(F$13:F325))</f>
        <v>n/a</v>
      </c>
      <c r="H325" s="11" t="str">
        <f t="shared" si="47"/>
        <v>n/a</v>
      </c>
      <c r="J325" s="5"/>
      <c r="K325" s="5"/>
      <c r="L325" s="5"/>
      <c r="M325" s="5"/>
      <c r="N325" s="5"/>
      <c r="O325" s="8" t="str">
        <f t="shared" si="45"/>
        <v>n/a</v>
      </c>
      <c r="Q325" s="5"/>
      <c r="R325" s="5"/>
      <c r="S325" s="5"/>
      <c r="U325" s="6"/>
      <c r="V325" s="9" t="str">
        <f t="shared" si="48"/>
        <v/>
      </c>
      <c r="W325" s="9" t="str">
        <f t="shared" si="49"/>
        <v/>
      </c>
      <c r="X325" s="10">
        <f>SUM(V$13:V325)/COUNTA(B$13:B325)</f>
        <v>0</v>
      </c>
      <c r="Z325" s="5"/>
      <c r="AA325" s="5"/>
      <c r="AC325" s="7"/>
      <c r="AE325" s="54" t="e">
        <f t="shared" si="50"/>
        <v>#N/A</v>
      </c>
      <c r="AF325" s="4" t="e">
        <f t="shared" si="46"/>
        <v>#N/A</v>
      </c>
    </row>
    <row r="326" spans="2:32">
      <c r="B326" s="5">
        <f t="shared" si="51"/>
        <v>314</v>
      </c>
      <c r="C326" s="5"/>
      <c r="E326" s="13"/>
      <c r="F326" s="5"/>
      <c r="G326" s="11" t="str">
        <f>IF(ISERROR(AVERAGE(F$13:F326)),"n/a",AVERAGE(F$13:F326))</f>
        <v>n/a</v>
      </c>
      <c r="H326" s="11" t="str">
        <f t="shared" si="47"/>
        <v>n/a</v>
      </c>
      <c r="J326" s="5"/>
      <c r="K326" s="5"/>
      <c r="L326" s="5"/>
      <c r="M326" s="5"/>
      <c r="N326" s="5"/>
      <c r="O326" s="8" t="str">
        <f t="shared" si="45"/>
        <v>n/a</v>
      </c>
      <c r="Q326" s="5"/>
      <c r="R326" s="5"/>
      <c r="S326" s="5"/>
      <c r="U326" s="6"/>
      <c r="V326" s="9" t="str">
        <f t="shared" si="48"/>
        <v/>
      </c>
      <c r="W326" s="9" t="str">
        <f t="shared" si="49"/>
        <v/>
      </c>
      <c r="X326" s="10">
        <f>SUM(V$13:V326)/COUNTA(B$13:B326)</f>
        <v>0</v>
      </c>
      <c r="Z326" s="5"/>
      <c r="AA326" s="5"/>
      <c r="AC326" s="7"/>
      <c r="AE326" s="54" t="e">
        <f t="shared" si="50"/>
        <v>#N/A</v>
      </c>
      <c r="AF326" s="4" t="e">
        <f t="shared" si="46"/>
        <v>#N/A</v>
      </c>
    </row>
    <row r="327" spans="2:32">
      <c r="B327" s="5">
        <f t="shared" si="51"/>
        <v>315</v>
      </c>
      <c r="C327" s="5"/>
      <c r="E327" s="13"/>
      <c r="F327" s="5"/>
      <c r="G327" s="11" t="str">
        <f>IF(ISERROR(AVERAGE(F$13:F327)),"n/a",AVERAGE(F$13:F327))</f>
        <v>n/a</v>
      </c>
      <c r="H327" s="11" t="str">
        <f t="shared" si="47"/>
        <v>n/a</v>
      </c>
      <c r="J327" s="5"/>
      <c r="K327" s="5"/>
      <c r="L327" s="5"/>
      <c r="M327" s="5"/>
      <c r="N327" s="5"/>
      <c r="O327" s="8" t="str">
        <f t="shared" si="45"/>
        <v>n/a</v>
      </c>
      <c r="Q327" s="5"/>
      <c r="R327" s="5"/>
      <c r="S327" s="5"/>
      <c r="U327" s="6"/>
      <c r="V327" s="9" t="str">
        <f t="shared" si="48"/>
        <v/>
      </c>
      <c r="W327" s="9" t="str">
        <f t="shared" si="49"/>
        <v/>
      </c>
      <c r="X327" s="10">
        <f>SUM(V$13:V327)/COUNTA(B$13:B327)</f>
        <v>0</v>
      </c>
      <c r="Z327" s="5"/>
      <c r="AA327" s="5"/>
      <c r="AC327" s="7"/>
      <c r="AE327" s="54" t="e">
        <f t="shared" si="50"/>
        <v>#N/A</v>
      </c>
      <c r="AF327" s="4" t="e">
        <f t="shared" si="46"/>
        <v>#N/A</v>
      </c>
    </row>
    <row r="328" spans="2:32">
      <c r="B328" s="5">
        <f t="shared" si="51"/>
        <v>316</v>
      </c>
      <c r="C328" s="5"/>
      <c r="E328" s="13"/>
      <c r="F328" s="5"/>
      <c r="G328" s="11" t="str">
        <f>IF(ISERROR(AVERAGE(F$13:F328)),"n/a",AVERAGE(F$13:F328))</f>
        <v>n/a</v>
      </c>
      <c r="H328" s="11" t="str">
        <f t="shared" si="47"/>
        <v>n/a</v>
      </c>
      <c r="J328" s="5"/>
      <c r="K328" s="5"/>
      <c r="L328" s="5"/>
      <c r="M328" s="5"/>
      <c r="N328" s="5"/>
      <c r="O328" s="8" t="str">
        <f t="shared" si="45"/>
        <v>n/a</v>
      </c>
      <c r="Q328" s="5"/>
      <c r="R328" s="5"/>
      <c r="S328" s="5"/>
      <c r="U328" s="6"/>
      <c r="V328" s="9" t="str">
        <f t="shared" si="48"/>
        <v/>
      </c>
      <c r="W328" s="9" t="str">
        <f t="shared" si="49"/>
        <v/>
      </c>
      <c r="X328" s="10">
        <f>SUM(V$13:V328)/COUNTA(B$13:B328)</f>
        <v>0</v>
      </c>
      <c r="Z328" s="5"/>
      <c r="AA328" s="5"/>
      <c r="AC328" s="7"/>
      <c r="AE328" s="54" t="e">
        <f t="shared" si="50"/>
        <v>#N/A</v>
      </c>
      <c r="AF328" s="4" t="e">
        <f t="shared" si="46"/>
        <v>#N/A</v>
      </c>
    </row>
    <row r="329" spans="2:32">
      <c r="B329" s="5">
        <f t="shared" si="51"/>
        <v>317</v>
      </c>
      <c r="C329" s="5"/>
      <c r="E329" s="13"/>
      <c r="F329" s="5"/>
      <c r="G329" s="11" t="str">
        <f>IF(ISERROR(AVERAGE(F$13:F329)),"n/a",AVERAGE(F$13:F329))</f>
        <v>n/a</v>
      </c>
      <c r="H329" s="11" t="str">
        <f t="shared" si="47"/>
        <v>n/a</v>
      </c>
      <c r="J329" s="5"/>
      <c r="K329" s="5"/>
      <c r="L329" s="5"/>
      <c r="M329" s="5"/>
      <c r="N329" s="5"/>
      <c r="O329" s="8" t="str">
        <f t="shared" si="45"/>
        <v>n/a</v>
      </c>
      <c r="Q329" s="5"/>
      <c r="R329" s="5"/>
      <c r="S329" s="5"/>
      <c r="U329" s="6"/>
      <c r="V329" s="9" t="str">
        <f t="shared" si="48"/>
        <v/>
      </c>
      <c r="W329" s="9" t="str">
        <f t="shared" si="49"/>
        <v/>
      </c>
      <c r="X329" s="10">
        <f>SUM(V$13:V329)/COUNTA(B$13:B329)</f>
        <v>0</v>
      </c>
      <c r="Z329" s="5"/>
      <c r="AA329" s="5"/>
      <c r="AC329" s="7"/>
      <c r="AE329" s="54" t="e">
        <f t="shared" si="50"/>
        <v>#N/A</v>
      </c>
      <c r="AF329" s="4" t="e">
        <f t="shared" si="46"/>
        <v>#N/A</v>
      </c>
    </row>
    <row r="330" spans="2:32">
      <c r="B330" s="5">
        <f t="shared" si="51"/>
        <v>318</v>
      </c>
      <c r="C330" s="5"/>
      <c r="E330" s="13"/>
      <c r="F330" s="5"/>
      <c r="G330" s="11" t="str">
        <f>IF(ISERROR(AVERAGE(F$13:F330)),"n/a",AVERAGE(F$13:F330))</f>
        <v>n/a</v>
      </c>
      <c r="H330" s="11" t="str">
        <f t="shared" si="47"/>
        <v>n/a</v>
      </c>
      <c r="J330" s="5"/>
      <c r="K330" s="5"/>
      <c r="L330" s="5"/>
      <c r="M330" s="5"/>
      <c r="N330" s="5"/>
      <c r="O330" s="8" t="str">
        <f t="shared" si="45"/>
        <v>n/a</v>
      </c>
      <c r="Q330" s="5"/>
      <c r="R330" s="5"/>
      <c r="S330" s="5"/>
      <c r="U330" s="6"/>
      <c r="V330" s="9" t="str">
        <f t="shared" si="48"/>
        <v/>
      </c>
      <c r="W330" s="9" t="str">
        <f t="shared" si="49"/>
        <v/>
      </c>
      <c r="X330" s="10">
        <f>SUM(V$13:V330)/COUNTA(B$13:B330)</f>
        <v>0</v>
      </c>
      <c r="Z330" s="5"/>
      <c r="AA330" s="5"/>
      <c r="AC330" s="7"/>
      <c r="AE330" s="54" t="e">
        <f t="shared" si="50"/>
        <v>#N/A</v>
      </c>
      <c r="AF330" s="4" t="e">
        <f t="shared" si="46"/>
        <v>#N/A</v>
      </c>
    </row>
    <row r="331" spans="2:32">
      <c r="B331" s="5">
        <f t="shared" si="51"/>
        <v>319</v>
      </c>
      <c r="C331" s="5"/>
      <c r="E331" s="13"/>
      <c r="F331" s="5"/>
      <c r="G331" s="11" t="str">
        <f>IF(ISERROR(AVERAGE(F$13:F331)),"n/a",AVERAGE(F$13:F331))</f>
        <v>n/a</v>
      </c>
      <c r="H331" s="11" t="str">
        <f t="shared" si="47"/>
        <v>n/a</v>
      </c>
      <c r="J331" s="5"/>
      <c r="K331" s="5"/>
      <c r="L331" s="5"/>
      <c r="M331" s="5"/>
      <c r="N331" s="5"/>
      <c r="O331" s="8" t="str">
        <f t="shared" si="45"/>
        <v>n/a</v>
      </c>
      <c r="Q331" s="5"/>
      <c r="R331" s="5"/>
      <c r="S331" s="5"/>
      <c r="U331" s="6"/>
      <c r="V331" s="9" t="str">
        <f t="shared" si="48"/>
        <v/>
      </c>
      <c r="W331" s="9" t="str">
        <f t="shared" si="49"/>
        <v/>
      </c>
      <c r="X331" s="10">
        <f>SUM(V$13:V331)/COUNTA(B$13:B331)</f>
        <v>0</v>
      </c>
      <c r="Z331" s="5"/>
      <c r="AA331" s="5"/>
      <c r="AC331" s="7"/>
      <c r="AE331" s="54" t="e">
        <f t="shared" si="50"/>
        <v>#N/A</v>
      </c>
      <c r="AF331" s="4" t="e">
        <f t="shared" si="46"/>
        <v>#N/A</v>
      </c>
    </row>
    <row r="332" spans="2:32">
      <c r="B332" s="5">
        <f t="shared" si="51"/>
        <v>320</v>
      </c>
      <c r="C332" s="5"/>
      <c r="E332" s="13"/>
      <c r="F332" s="5"/>
      <c r="G332" s="11" t="str">
        <f>IF(ISERROR(AVERAGE(F$13:F332)),"n/a",AVERAGE(F$13:F332))</f>
        <v>n/a</v>
      </c>
      <c r="H332" s="11" t="str">
        <f t="shared" si="47"/>
        <v>n/a</v>
      </c>
      <c r="J332" s="5"/>
      <c r="K332" s="5"/>
      <c r="L332" s="5"/>
      <c r="M332" s="5"/>
      <c r="N332" s="5"/>
      <c r="O332" s="8" t="str">
        <f t="shared" si="45"/>
        <v>n/a</v>
      </c>
      <c r="Q332" s="5"/>
      <c r="R332" s="5"/>
      <c r="S332" s="5"/>
      <c r="U332" s="6"/>
      <c r="V332" s="9" t="str">
        <f t="shared" si="48"/>
        <v/>
      </c>
      <c r="W332" s="9" t="str">
        <f t="shared" si="49"/>
        <v/>
      </c>
      <c r="X332" s="10">
        <f>SUM(V$13:V332)/COUNTA(B$13:B332)</f>
        <v>0</v>
      </c>
      <c r="Z332" s="5"/>
      <c r="AA332" s="5"/>
      <c r="AC332" s="7"/>
      <c r="AE332" s="54" t="e">
        <f t="shared" si="50"/>
        <v>#N/A</v>
      </c>
      <c r="AF332" s="4" t="e">
        <f t="shared" si="46"/>
        <v>#N/A</v>
      </c>
    </row>
    <row r="333" spans="2:32">
      <c r="B333" s="5">
        <f t="shared" si="51"/>
        <v>321</v>
      </c>
      <c r="C333" s="5"/>
      <c r="E333" s="13"/>
      <c r="F333" s="5"/>
      <c r="G333" s="11" t="str">
        <f>IF(ISERROR(AVERAGE(F$13:F333)),"n/a",AVERAGE(F$13:F333))</f>
        <v>n/a</v>
      </c>
      <c r="H333" s="11" t="str">
        <f t="shared" si="47"/>
        <v>n/a</v>
      </c>
      <c r="J333" s="5"/>
      <c r="K333" s="5"/>
      <c r="L333" s="5"/>
      <c r="M333" s="5"/>
      <c r="N333" s="5"/>
      <c r="O333" s="8" t="str">
        <f t="shared" ref="O333:O396" si="52">IF(J333=1,"A",IF(K333=1,"B",IF(L333=1,"C",IF(M333=1,"D",IF(N333=1,"E","n/a")))))</f>
        <v>n/a</v>
      </c>
      <c r="Q333" s="5"/>
      <c r="R333" s="5"/>
      <c r="S333" s="5"/>
      <c r="U333" s="6"/>
      <c r="V333" s="9" t="str">
        <f t="shared" si="48"/>
        <v/>
      </c>
      <c r="W333" s="9" t="str">
        <f t="shared" si="49"/>
        <v/>
      </c>
      <c r="X333" s="10">
        <f>SUM(V$13:V333)/COUNTA(B$13:B333)</f>
        <v>0</v>
      </c>
      <c r="Z333" s="5"/>
      <c r="AA333" s="5"/>
      <c r="AC333" s="7"/>
      <c r="AE333" s="54" t="e">
        <f t="shared" si="50"/>
        <v>#N/A</v>
      </c>
      <c r="AF333" s="4" t="e">
        <f t="shared" ref="AF333:AF396" si="53">HLOOKUP(C333,$K$6:$O$7,2,FALSE)</f>
        <v>#N/A</v>
      </c>
    </row>
    <row r="334" spans="2:32">
      <c r="B334" s="5">
        <f t="shared" si="51"/>
        <v>322</v>
      </c>
      <c r="C334" s="5"/>
      <c r="E334" s="13"/>
      <c r="F334" s="5"/>
      <c r="G334" s="11" t="str">
        <f>IF(ISERROR(AVERAGE(F$13:F334)),"n/a",AVERAGE(F$13:F334))</f>
        <v>n/a</v>
      </c>
      <c r="H334" s="11" t="str">
        <f t="shared" ref="H334:H397" si="54">G334</f>
        <v>n/a</v>
      </c>
      <c r="J334" s="5"/>
      <c r="K334" s="5"/>
      <c r="L334" s="5"/>
      <c r="M334" s="5"/>
      <c r="N334" s="5"/>
      <c r="O334" s="8" t="str">
        <f t="shared" si="52"/>
        <v>n/a</v>
      </c>
      <c r="Q334" s="5"/>
      <c r="R334" s="5"/>
      <c r="S334" s="5"/>
      <c r="U334" s="6"/>
      <c r="V334" s="9" t="str">
        <f t="shared" ref="V334:V397" si="55">IF(O334="n/a","",IF(O334=U334,1,""))</f>
        <v/>
      </c>
      <c r="W334" s="9" t="str">
        <f t="shared" ref="W334:W397" si="56">IF(O334="n/a","",IF(O334&lt;&gt;U334,1,""))</f>
        <v/>
      </c>
      <c r="X334" s="10">
        <f>SUM(V$13:V334)/COUNTA(B$13:B334)</f>
        <v>0</v>
      </c>
      <c r="Z334" s="5"/>
      <c r="AA334" s="5"/>
      <c r="AC334" s="7"/>
      <c r="AE334" s="54" t="e">
        <f t="shared" ref="AE334:AE397" si="57">+IF($F$4=0,0,IF(W334=1,1,IF(OR(R334*$F$8=1,S334*$F$9=1,F334&gt;=AF334),2,0)))</f>
        <v>#N/A</v>
      </c>
      <c r="AF334" s="4" t="e">
        <f t="shared" si="53"/>
        <v>#N/A</v>
      </c>
    </row>
    <row r="335" spans="2:32">
      <c r="B335" s="5">
        <f t="shared" si="51"/>
        <v>323</v>
      </c>
      <c r="C335" s="5"/>
      <c r="E335" s="13"/>
      <c r="F335" s="5"/>
      <c r="G335" s="11" t="str">
        <f>IF(ISERROR(AVERAGE(F$13:F335)),"n/a",AVERAGE(F$13:F335))</f>
        <v>n/a</v>
      </c>
      <c r="H335" s="11" t="str">
        <f t="shared" si="54"/>
        <v>n/a</v>
      </c>
      <c r="J335" s="5"/>
      <c r="K335" s="5"/>
      <c r="L335" s="5"/>
      <c r="M335" s="5"/>
      <c r="N335" s="5"/>
      <c r="O335" s="8" t="str">
        <f t="shared" si="52"/>
        <v>n/a</v>
      </c>
      <c r="Q335" s="5"/>
      <c r="R335" s="5"/>
      <c r="S335" s="5"/>
      <c r="U335" s="6"/>
      <c r="V335" s="9" t="str">
        <f t="shared" si="55"/>
        <v/>
      </c>
      <c r="W335" s="9" t="str">
        <f t="shared" si="56"/>
        <v/>
      </c>
      <c r="X335" s="10">
        <f>SUM(V$13:V335)/COUNTA(B$13:B335)</f>
        <v>0</v>
      </c>
      <c r="Z335" s="5"/>
      <c r="AA335" s="5"/>
      <c r="AC335" s="7"/>
      <c r="AE335" s="54" t="e">
        <f t="shared" si="57"/>
        <v>#N/A</v>
      </c>
      <c r="AF335" s="4" t="e">
        <f t="shared" si="53"/>
        <v>#N/A</v>
      </c>
    </row>
    <row r="336" spans="2:32">
      <c r="B336" s="5">
        <f t="shared" si="51"/>
        <v>324</v>
      </c>
      <c r="C336" s="5"/>
      <c r="E336" s="13"/>
      <c r="F336" s="5"/>
      <c r="G336" s="11" t="str">
        <f>IF(ISERROR(AVERAGE(F$13:F336)),"n/a",AVERAGE(F$13:F336))</f>
        <v>n/a</v>
      </c>
      <c r="H336" s="11" t="str">
        <f t="shared" si="54"/>
        <v>n/a</v>
      </c>
      <c r="J336" s="5"/>
      <c r="K336" s="5"/>
      <c r="L336" s="5"/>
      <c r="M336" s="5"/>
      <c r="N336" s="5"/>
      <c r="O336" s="8" t="str">
        <f t="shared" si="52"/>
        <v>n/a</v>
      </c>
      <c r="Q336" s="5"/>
      <c r="R336" s="5"/>
      <c r="S336" s="5"/>
      <c r="U336" s="6"/>
      <c r="V336" s="9" t="str">
        <f t="shared" si="55"/>
        <v/>
      </c>
      <c r="W336" s="9" t="str">
        <f t="shared" si="56"/>
        <v/>
      </c>
      <c r="X336" s="10">
        <f>SUM(V$13:V336)/COUNTA(B$13:B336)</f>
        <v>0</v>
      </c>
      <c r="Z336" s="5"/>
      <c r="AA336" s="5"/>
      <c r="AC336" s="7"/>
      <c r="AE336" s="54" t="e">
        <f t="shared" si="57"/>
        <v>#N/A</v>
      </c>
      <c r="AF336" s="4" t="e">
        <f t="shared" si="53"/>
        <v>#N/A</v>
      </c>
    </row>
    <row r="337" spans="2:32">
      <c r="B337" s="5">
        <f t="shared" si="51"/>
        <v>325</v>
      </c>
      <c r="C337" s="5"/>
      <c r="E337" s="13"/>
      <c r="F337" s="5"/>
      <c r="G337" s="11" t="str">
        <f>IF(ISERROR(AVERAGE(F$13:F337)),"n/a",AVERAGE(F$13:F337))</f>
        <v>n/a</v>
      </c>
      <c r="H337" s="11" t="str">
        <f t="shared" si="54"/>
        <v>n/a</v>
      </c>
      <c r="J337" s="5"/>
      <c r="K337" s="5"/>
      <c r="L337" s="5"/>
      <c r="M337" s="5"/>
      <c r="N337" s="5"/>
      <c r="O337" s="8" t="str">
        <f t="shared" si="52"/>
        <v>n/a</v>
      </c>
      <c r="Q337" s="5"/>
      <c r="R337" s="5"/>
      <c r="S337" s="5"/>
      <c r="U337" s="6"/>
      <c r="V337" s="9" t="str">
        <f t="shared" si="55"/>
        <v/>
      </c>
      <c r="W337" s="9" t="str">
        <f t="shared" si="56"/>
        <v/>
      </c>
      <c r="X337" s="10">
        <f>SUM(V$13:V337)/COUNTA(B$13:B337)</f>
        <v>0</v>
      </c>
      <c r="Z337" s="5"/>
      <c r="AA337" s="5"/>
      <c r="AC337" s="7"/>
      <c r="AE337" s="54" t="e">
        <f t="shared" si="57"/>
        <v>#N/A</v>
      </c>
      <c r="AF337" s="4" t="e">
        <f t="shared" si="53"/>
        <v>#N/A</v>
      </c>
    </row>
    <row r="338" spans="2:32">
      <c r="B338" s="5">
        <f t="shared" si="51"/>
        <v>326</v>
      </c>
      <c r="C338" s="5"/>
      <c r="E338" s="13"/>
      <c r="F338" s="5"/>
      <c r="G338" s="11" t="str">
        <f>IF(ISERROR(AVERAGE(F$13:F338)),"n/a",AVERAGE(F$13:F338))</f>
        <v>n/a</v>
      </c>
      <c r="H338" s="11" t="str">
        <f t="shared" si="54"/>
        <v>n/a</v>
      </c>
      <c r="J338" s="5"/>
      <c r="K338" s="5"/>
      <c r="L338" s="5"/>
      <c r="M338" s="5"/>
      <c r="N338" s="5"/>
      <c r="O338" s="8" t="str">
        <f t="shared" si="52"/>
        <v>n/a</v>
      </c>
      <c r="Q338" s="5"/>
      <c r="R338" s="5"/>
      <c r="S338" s="5"/>
      <c r="U338" s="6"/>
      <c r="V338" s="9" t="str">
        <f t="shared" si="55"/>
        <v/>
      </c>
      <c r="W338" s="9" t="str">
        <f t="shared" si="56"/>
        <v/>
      </c>
      <c r="X338" s="10">
        <f>SUM(V$13:V338)/COUNTA(B$13:B338)</f>
        <v>0</v>
      </c>
      <c r="Z338" s="5"/>
      <c r="AA338" s="5"/>
      <c r="AC338" s="7"/>
      <c r="AE338" s="54" t="e">
        <f t="shared" si="57"/>
        <v>#N/A</v>
      </c>
      <c r="AF338" s="4" t="e">
        <f t="shared" si="53"/>
        <v>#N/A</v>
      </c>
    </row>
    <row r="339" spans="2:32">
      <c r="B339" s="5">
        <f t="shared" ref="B339:B402" si="58">+B338+1</f>
        <v>327</v>
      </c>
      <c r="C339" s="5"/>
      <c r="E339" s="13"/>
      <c r="F339" s="5"/>
      <c r="G339" s="11" t="str">
        <f>IF(ISERROR(AVERAGE(F$13:F339)),"n/a",AVERAGE(F$13:F339))</f>
        <v>n/a</v>
      </c>
      <c r="H339" s="11" t="str">
        <f t="shared" si="54"/>
        <v>n/a</v>
      </c>
      <c r="J339" s="5"/>
      <c r="K339" s="5"/>
      <c r="L339" s="5"/>
      <c r="M339" s="5"/>
      <c r="N339" s="5"/>
      <c r="O339" s="8" t="str">
        <f t="shared" si="52"/>
        <v>n/a</v>
      </c>
      <c r="Q339" s="5"/>
      <c r="R339" s="5"/>
      <c r="S339" s="5"/>
      <c r="U339" s="6"/>
      <c r="V339" s="9" t="str">
        <f t="shared" si="55"/>
        <v/>
      </c>
      <c r="W339" s="9" t="str">
        <f t="shared" si="56"/>
        <v/>
      </c>
      <c r="X339" s="10">
        <f>SUM(V$13:V339)/COUNTA(B$13:B339)</f>
        <v>0</v>
      </c>
      <c r="Z339" s="5"/>
      <c r="AA339" s="5"/>
      <c r="AC339" s="7"/>
      <c r="AE339" s="54" t="e">
        <f t="shared" si="57"/>
        <v>#N/A</v>
      </c>
      <c r="AF339" s="4" t="e">
        <f t="shared" si="53"/>
        <v>#N/A</v>
      </c>
    </row>
    <row r="340" spans="2:32">
      <c r="B340" s="5">
        <f t="shared" si="58"/>
        <v>328</v>
      </c>
      <c r="C340" s="5"/>
      <c r="E340" s="13"/>
      <c r="F340" s="5"/>
      <c r="G340" s="11" t="str">
        <f>IF(ISERROR(AVERAGE(F$13:F340)),"n/a",AVERAGE(F$13:F340))</f>
        <v>n/a</v>
      </c>
      <c r="H340" s="11" t="str">
        <f t="shared" si="54"/>
        <v>n/a</v>
      </c>
      <c r="J340" s="5"/>
      <c r="K340" s="5"/>
      <c r="L340" s="5"/>
      <c r="M340" s="5"/>
      <c r="N340" s="5"/>
      <c r="O340" s="8" t="str">
        <f t="shared" si="52"/>
        <v>n/a</v>
      </c>
      <c r="Q340" s="5"/>
      <c r="R340" s="5"/>
      <c r="S340" s="5"/>
      <c r="U340" s="6"/>
      <c r="V340" s="9" t="str">
        <f t="shared" si="55"/>
        <v/>
      </c>
      <c r="W340" s="9" t="str">
        <f t="shared" si="56"/>
        <v/>
      </c>
      <c r="X340" s="10">
        <f>SUM(V$13:V340)/COUNTA(B$13:B340)</f>
        <v>0</v>
      </c>
      <c r="Z340" s="5"/>
      <c r="AA340" s="5"/>
      <c r="AC340" s="7"/>
      <c r="AE340" s="54" t="e">
        <f t="shared" si="57"/>
        <v>#N/A</v>
      </c>
      <c r="AF340" s="4" t="e">
        <f t="shared" si="53"/>
        <v>#N/A</v>
      </c>
    </row>
    <row r="341" spans="2:32">
      <c r="B341" s="5">
        <f t="shared" si="58"/>
        <v>329</v>
      </c>
      <c r="C341" s="5"/>
      <c r="E341" s="13"/>
      <c r="F341" s="5"/>
      <c r="G341" s="11" t="str">
        <f>IF(ISERROR(AVERAGE(F$13:F341)),"n/a",AVERAGE(F$13:F341))</f>
        <v>n/a</v>
      </c>
      <c r="H341" s="11" t="str">
        <f t="shared" si="54"/>
        <v>n/a</v>
      </c>
      <c r="J341" s="5"/>
      <c r="K341" s="5"/>
      <c r="L341" s="5"/>
      <c r="M341" s="5"/>
      <c r="N341" s="5"/>
      <c r="O341" s="8" t="str">
        <f t="shared" si="52"/>
        <v>n/a</v>
      </c>
      <c r="Q341" s="5"/>
      <c r="R341" s="5"/>
      <c r="S341" s="5"/>
      <c r="U341" s="6"/>
      <c r="V341" s="9" t="str">
        <f t="shared" si="55"/>
        <v/>
      </c>
      <c r="W341" s="9" t="str">
        <f t="shared" si="56"/>
        <v/>
      </c>
      <c r="X341" s="10">
        <f>SUM(V$13:V341)/COUNTA(B$13:B341)</f>
        <v>0</v>
      </c>
      <c r="Z341" s="5"/>
      <c r="AA341" s="5"/>
      <c r="AC341" s="7"/>
      <c r="AE341" s="54" t="e">
        <f t="shared" si="57"/>
        <v>#N/A</v>
      </c>
      <c r="AF341" s="4" t="e">
        <f t="shared" si="53"/>
        <v>#N/A</v>
      </c>
    </row>
    <row r="342" spans="2:32">
      <c r="B342" s="5">
        <f t="shared" si="58"/>
        <v>330</v>
      </c>
      <c r="C342" s="5"/>
      <c r="E342" s="13"/>
      <c r="F342" s="5"/>
      <c r="G342" s="11" t="str">
        <f>IF(ISERROR(AVERAGE(F$13:F342)),"n/a",AVERAGE(F$13:F342))</f>
        <v>n/a</v>
      </c>
      <c r="H342" s="11" t="str">
        <f t="shared" si="54"/>
        <v>n/a</v>
      </c>
      <c r="J342" s="5"/>
      <c r="K342" s="5"/>
      <c r="L342" s="5"/>
      <c r="M342" s="5"/>
      <c r="N342" s="5"/>
      <c r="O342" s="8" t="str">
        <f t="shared" si="52"/>
        <v>n/a</v>
      </c>
      <c r="Q342" s="5"/>
      <c r="R342" s="5"/>
      <c r="S342" s="5"/>
      <c r="U342" s="6"/>
      <c r="V342" s="9" t="str">
        <f t="shared" si="55"/>
        <v/>
      </c>
      <c r="W342" s="9" t="str">
        <f t="shared" si="56"/>
        <v/>
      </c>
      <c r="X342" s="10">
        <f>SUM(V$13:V342)/COUNTA(B$13:B342)</f>
        <v>0</v>
      </c>
      <c r="Z342" s="5"/>
      <c r="AA342" s="5"/>
      <c r="AC342" s="7"/>
      <c r="AE342" s="54" t="e">
        <f t="shared" si="57"/>
        <v>#N/A</v>
      </c>
      <c r="AF342" s="4" t="e">
        <f t="shared" si="53"/>
        <v>#N/A</v>
      </c>
    </row>
    <row r="343" spans="2:32">
      <c r="B343" s="5">
        <f t="shared" si="58"/>
        <v>331</v>
      </c>
      <c r="C343" s="5"/>
      <c r="E343" s="13"/>
      <c r="F343" s="5"/>
      <c r="G343" s="11" t="str">
        <f>IF(ISERROR(AVERAGE(F$13:F343)),"n/a",AVERAGE(F$13:F343))</f>
        <v>n/a</v>
      </c>
      <c r="H343" s="11" t="str">
        <f t="shared" si="54"/>
        <v>n/a</v>
      </c>
      <c r="J343" s="5"/>
      <c r="K343" s="5"/>
      <c r="L343" s="5"/>
      <c r="M343" s="5"/>
      <c r="N343" s="5"/>
      <c r="O343" s="8" t="str">
        <f t="shared" si="52"/>
        <v>n/a</v>
      </c>
      <c r="Q343" s="5"/>
      <c r="R343" s="5"/>
      <c r="S343" s="5"/>
      <c r="U343" s="6"/>
      <c r="V343" s="9" t="str">
        <f t="shared" si="55"/>
        <v/>
      </c>
      <c r="W343" s="9" t="str">
        <f t="shared" si="56"/>
        <v/>
      </c>
      <c r="X343" s="10">
        <f>SUM(V$13:V343)/COUNTA(B$13:B343)</f>
        <v>0</v>
      </c>
      <c r="Z343" s="5"/>
      <c r="AA343" s="5"/>
      <c r="AC343" s="7"/>
      <c r="AE343" s="54" t="e">
        <f t="shared" si="57"/>
        <v>#N/A</v>
      </c>
      <c r="AF343" s="4" t="e">
        <f t="shared" si="53"/>
        <v>#N/A</v>
      </c>
    </row>
    <row r="344" spans="2:32">
      <c r="B344" s="5">
        <f t="shared" si="58"/>
        <v>332</v>
      </c>
      <c r="C344" s="5"/>
      <c r="E344" s="13"/>
      <c r="F344" s="5"/>
      <c r="G344" s="11" t="str">
        <f>IF(ISERROR(AVERAGE(F$13:F344)),"n/a",AVERAGE(F$13:F344))</f>
        <v>n/a</v>
      </c>
      <c r="H344" s="11" t="str">
        <f t="shared" si="54"/>
        <v>n/a</v>
      </c>
      <c r="J344" s="5"/>
      <c r="K344" s="5"/>
      <c r="L344" s="5"/>
      <c r="M344" s="5"/>
      <c r="N344" s="5"/>
      <c r="O344" s="8" t="str">
        <f t="shared" si="52"/>
        <v>n/a</v>
      </c>
      <c r="Q344" s="5"/>
      <c r="R344" s="5"/>
      <c r="S344" s="5"/>
      <c r="U344" s="6"/>
      <c r="V344" s="9" t="str">
        <f t="shared" si="55"/>
        <v/>
      </c>
      <c r="W344" s="9" t="str">
        <f t="shared" si="56"/>
        <v/>
      </c>
      <c r="X344" s="10">
        <f>SUM(V$13:V344)/COUNTA(B$13:B344)</f>
        <v>0</v>
      </c>
      <c r="Z344" s="5"/>
      <c r="AA344" s="5"/>
      <c r="AC344" s="7"/>
      <c r="AE344" s="54" t="e">
        <f t="shared" si="57"/>
        <v>#N/A</v>
      </c>
      <c r="AF344" s="4" t="e">
        <f t="shared" si="53"/>
        <v>#N/A</v>
      </c>
    </row>
    <row r="345" spans="2:32">
      <c r="B345" s="5">
        <f t="shared" si="58"/>
        <v>333</v>
      </c>
      <c r="C345" s="5"/>
      <c r="E345" s="13"/>
      <c r="F345" s="5"/>
      <c r="G345" s="11" t="str">
        <f>IF(ISERROR(AVERAGE(F$13:F345)),"n/a",AVERAGE(F$13:F345))</f>
        <v>n/a</v>
      </c>
      <c r="H345" s="11" t="str">
        <f t="shared" si="54"/>
        <v>n/a</v>
      </c>
      <c r="J345" s="5"/>
      <c r="K345" s="5"/>
      <c r="L345" s="5"/>
      <c r="M345" s="5"/>
      <c r="N345" s="5"/>
      <c r="O345" s="8" t="str">
        <f t="shared" si="52"/>
        <v>n/a</v>
      </c>
      <c r="Q345" s="5"/>
      <c r="R345" s="5"/>
      <c r="S345" s="5"/>
      <c r="U345" s="6"/>
      <c r="V345" s="9" t="str">
        <f t="shared" si="55"/>
        <v/>
      </c>
      <c r="W345" s="9" t="str">
        <f t="shared" si="56"/>
        <v/>
      </c>
      <c r="X345" s="10">
        <f>SUM(V$13:V345)/COUNTA(B$13:B345)</f>
        <v>0</v>
      </c>
      <c r="Z345" s="5"/>
      <c r="AA345" s="5"/>
      <c r="AC345" s="7"/>
      <c r="AE345" s="54" t="e">
        <f t="shared" si="57"/>
        <v>#N/A</v>
      </c>
      <c r="AF345" s="4" t="e">
        <f t="shared" si="53"/>
        <v>#N/A</v>
      </c>
    </row>
    <row r="346" spans="2:32">
      <c r="B346" s="5">
        <f t="shared" si="58"/>
        <v>334</v>
      </c>
      <c r="C346" s="5"/>
      <c r="E346" s="13"/>
      <c r="F346" s="5"/>
      <c r="G346" s="11" t="str">
        <f>IF(ISERROR(AVERAGE(F$13:F346)),"n/a",AVERAGE(F$13:F346))</f>
        <v>n/a</v>
      </c>
      <c r="H346" s="11" t="str">
        <f t="shared" si="54"/>
        <v>n/a</v>
      </c>
      <c r="J346" s="5"/>
      <c r="K346" s="5"/>
      <c r="L346" s="5"/>
      <c r="M346" s="5"/>
      <c r="N346" s="5"/>
      <c r="O346" s="8" t="str">
        <f t="shared" si="52"/>
        <v>n/a</v>
      </c>
      <c r="Q346" s="5"/>
      <c r="R346" s="5"/>
      <c r="S346" s="5"/>
      <c r="U346" s="6"/>
      <c r="V346" s="9" t="str">
        <f t="shared" si="55"/>
        <v/>
      </c>
      <c r="W346" s="9" t="str">
        <f t="shared" si="56"/>
        <v/>
      </c>
      <c r="X346" s="10">
        <f>SUM(V$13:V346)/COUNTA(B$13:B346)</f>
        <v>0</v>
      </c>
      <c r="Z346" s="5"/>
      <c r="AA346" s="5"/>
      <c r="AC346" s="7"/>
      <c r="AE346" s="54" t="e">
        <f t="shared" si="57"/>
        <v>#N/A</v>
      </c>
      <c r="AF346" s="4" t="e">
        <f t="shared" si="53"/>
        <v>#N/A</v>
      </c>
    </row>
    <row r="347" spans="2:32">
      <c r="B347" s="5">
        <f t="shared" si="58"/>
        <v>335</v>
      </c>
      <c r="C347" s="5"/>
      <c r="E347" s="13"/>
      <c r="F347" s="5"/>
      <c r="G347" s="11" t="str">
        <f>IF(ISERROR(AVERAGE(F$13:F347)),"n/a",AVERAGE(F$13:F347))</f>
        <v>n/a</v>
      </c>
      <c r="H347" s="11" t="str">
        <f t="shared" si="54"/>
        <v>n/a</v>
      </c>
      <c r="J347" s="5"/>
      <c r="K347" s="5"/>
      <c r="L347" s="5"/>
      <c r="M347" s="5"/>
      <c r="N347" s="5"/>
      <c r="O347" s="8" t="str">
        <f t="shared" si="52"/>
        <v>n/a</v>
      </c>
      <c r="Q347" s="5"/>
      <c r="R347" s="5"/>
      <c r="S347" s="5"/>
      <c r="U347" s="6"/>
      <c r="V347" s="9" t="str">
        <f t="shared" si="55"/>
        <v/>
      </c>
      <c r="W347" s="9" t="str">
        <f t="shared" si="56"/>
        <v/>
      </c>
      <c r="X347" s="10">
        <f>SUM(V$13:V347)/COUNTA(B$13:B347)</f>
        <v>0</v>
      </c>
      <c r="Z347" s="5"/>
      <c r="AA347" s="5"/>
      <c r="AC347" s="7"/>
      <c r="AE347" s="54" t="e">
        <f t="shared" si="57"/>
        <v>#N/A</v>
      </c>
      <c r="AF347" s="4" t="e">
        <f t="shared" si="53"/>
        <v>#N/A</v>
      </c>
    </row>
    <row r="348" spans="2:32">
      <c r="B348" s="5">
        <f t="shared" si="58"/>
        <v>336</v>
      </c>
      <c r="C348" s="5"/>
      <c r="E348" s="13"/>
      <c r="F348" s="5"/>
      <c r="G348" s="11" t="str">
        <f>IF(ISERROR(AVERAGE(F$13:F348)),"n/a",AVERAGE(F$13:F348))</f>
        <v>n/a</v>
      </c>
      <c r="H348" s="11" t="str">
        <f t="shared" si="54"/>
        <v>n/a</v>
      </c>
      <c r="J348" s="5"/>
      <c r="K348" s="5"/>
      <c r="L348" s="5"/>
      <c r="M348" s="5"/>
      <c r="N348" s="5"/>
      <c r="O348" s="8" t="str">
        <f t="shared" si="52"/>
        <v>n/a</v>
      </c>
      <c r="Q348" s="5"/>
      <c r="R348" s="5"/>
      <c r="S348" s="5"/>
      <c r="U348" s="6"/>
      <c r="V348" s="9" t="str">
        <f t="shared" si="55"/>
        <v/>
      </c>
      <c r="W348" s="9" t="str">
        <f t="shared" si="56"/>
        <v/>
      </c>
      <c r="X348" s="10">
        <f>SUM(V$13:V348)/COUNTA(B$13:B348)</f>
        <v>0</v>
      </c>
      <c r="Z348" s="5"/>
      <c r="AA348" s="5"/>
      <c r="AC348" s="7"/>
      <c r="AE348" s="54" t="e">
        <f t="shared" si="57"/>
        <v>#N/A</v>
      </c>
      <c r="AF348" s="4" t="e">
        <f t="shared" si="53"/>
        <v>#N/A</v>
      </c>
    </row>
    <row r="349" spans="2:32">
      <c r="B349" s="5">
        <f t="shared" si="58"/>
        <v>337</v>
      </c>
      <c r="C349" s="5"/>
      <c r="E349" s="13"/>
      <c r="F349" s="5"/>
      <c r="G349" s="11" t="str">
        <f>IF(ISERROR(AVERAGE(F$13:F349)),"n/a",AVERAGE(F$13:F349))</f>
        <v>n/a</v>
      </c>
      <c r="H349" s="11" t="str">
        <f t="shared" si="54"/>
        <v>n/a</v>
      </c>
      <c r="J349" s="5"/>
      <c r="K349" s="5"/>
      <c r="L349" s="5"/>
      <c r="M349" s="5"/>
      <c r="N349" s="5"/>
      <c r="O349" s="8" t="str">
        <f t="shared" si="52"/>
        <v>n/a</v>
      </c>
      <c r="Q349" s="5"/>
      <c r="R349" s="5"/>
      <c r="S349" s="5"/>
      <c r="U349" s="6"/>
      <c r="V349" s="9" t="str">
        <f t="shared" si="55"/>
        <v/>
      </c>
      <c r="W349" s="9" t="str">
        <f t="shared" si="56"/>
        <v/>
      </c>
      <c r="X349" s="10">
        <f>SUM(V$13:V349)/COUNTA(B$13:B349)</f>
        <v>0</v>
      </c>
      <c r="Z349" s="5"/>
      <c r="AA349" s="5"/>
      <c r="AC349" s="7"/>
      <c r="AE349" s="54" t="e">
        <f t="shared" si="57"/>
        <v>#N/A</v>
      </c>
      <c r="AF349" s="4" t="e">
        <f t="shared" si="53"/>
        <v>#N/A</v>
      </c>
    </row>
    <row r="350" spans="2:32">
      <c r="B350" s="5">
        <f t="shared" si="58"/>
        <v>338</v>
      </c>
      <c r="C350" s="5"/>
      <c r="E350" s="13"/>
      <c r="F350" s="5"/>
      <c r="G350" s="11" t="str">
        <f>IF(ISERROR(AVERAGE(F$13:F350)),"n/a",AVERAGE(F$13:F350))</f>
        <v>n/a</v>
      </c>
      <c r="H350" s="11" t="str">
        <f t="shared" si="54"/>
        <v>n/a</v>
      </c>
      <c r="J350" s="5"/>
      <c r="K350" s="5"/>
      <c r="L350" s="5"/>
      <c r="M350" s="5"/>
      <c r="N350" s="5"/>
      <c r="O350" s="8" t="str">
        <f t="shared" si="52"/>
        <v>n/a</v>
      </c>
      <c r="Q350" s="5"/>
      <c r="R350" s="5"/>
      <c r="S350" s="5"/>
      <c r="U350" s="6"/>
      <c r="V350" s="9" t="str">
        <f t="shared" si="55"/>
        <v/>
      </c>
      <c r="W350" s="9" t="str">
        <f t="shared" si="56"/>
        <v/>
      </c>
      <c r="X350" s="10">
        <f>SUM(V$13:V350)/COUNTA(B$13:B350)</f>
        <v>0</v>
      </c>
      <c r="Z350" s="5"/>
      <c r="AA350" s="5"/>
      <c r="AC350" s="7"/>
      <c r="AE350" s="54" t="e">
        <f t="shared" si="57"/>
        <v>#N/A</v>
      </c>
      <c r="AF350" s="4" t="e">
        <f t="shared" si="53"/>
        <v>#N/A</v>
      </c>
    </row>
    <row r="351" spans="2:32">
      <c r="B351" s="5">
        <f t="shared" si="58"/>
        <v>339</v>
      </c>
      <c r="C351" s="5"/>
      <c r="E351" s="13"/>
      <c r="F351" s="5"/>
      <c r="G351" s="11" t="str">
        <f>IF(ISERROR(AVERAGE(F$13:F351)),"n/a",AVERAGE(F$13:F351))</f>
        <v>n/a</v>
      </c>
      <c r="H351" s="11" t="str">
        <f t="shared" si="54"/>
        <v>n/a</v>
      </c>
      <c r="J351" s="5"/>
      <c r="K351" s="5"/>
      <c r="L351" s="5"/>
      <c r="M351" s="5"/>
      <c r="N351" s="5"/>
      <c r="O351" s="8" t="str">
        <f t="shared" si="52"/>
        <v>n/a</v>
      </c>
      <c r="Q351" s="5"/>
      <c r="R351" s="5"/>
      <c r="S351" s="5"/>
      <c r="U351" s="6"/>
      <c r="V351" s="9" t="str">
        <f t="shared" si="55"/>
        <v/>
      </c>
      <c r="W351" s="9" t="str">
        <f t="shared" si="56"/>
        <v/>
      </c>
      <c r="X351" s="10">
        <f>SUM(V$13:V351)/COUNTA(B$13:B351)</f>
        <v>0</v>
      </c>
      <c r="Z351" s="5"/>
      <c r="AA351" s="5"/>
      <c r="AC351" s="7"/>
      <c r="AE351" s="54" t="e">
        <f t="shared" si="57"/>
        <v>#N/A</v>
      </c>
      <c r="AF351" s="4" t="e">
        <f t="shared" si="53"/>
        <v>#N/A</v>
      </c>
    </row>
    <row r="352" spans="2:32">
      <c r="B352" s="5">
        <f t="shared" si="58"/>
        <v>340</v>
      </c>
      <c r="C352" s="5"/>
      <c r="E352" s="13"/>
      <c r="F352" s="5"/>
      <c r="G352" s="11" t="str">
        <f>IF(ISERROR(AVERAGE(F$13:F352)),"n/a",AVERAGE(F$13:F352))</f>
        <v>n/a</v>
      </c>
      <c r="H352" s="11" t="str">
        <f t="shared" si="54"/>
        <v>n/a</v>
      </c>
      <c r="J352" s="5"/>
      <c r="K352" s="5"/>
      <c r="L352" s="5"/>
      <c r="M352" s="5"/>
      <c r="N352" s="5"/>
      <c r="O352" s="8" t="str">
        <f t="shared" si="52"/>
        <v>n/a</v>
      </c>
      <c r="Q352" s="5"/>
      <c r="R352" s="5"/>
      <c r="S352" s="5"/>
      <c r="U352" s="6"/>
      <c r="V352" s="9" t="str">
        <f t="shared" si="55"/>
        <v/>
      </c>
      <c r="W352" s="9" t="str">
        <f t="shared" si="56"/>
        <v/>
      </c>
      <c r="X352" s="10">
        <f>SUM(V$13:V352)/COUNTA(B$13:B352)</f>
        <v>0</v>
      </c>
      <c r="Z352" s="5"/>
      <c r="AA352" s="5"/>
      <c r="AC352" s="7"/>
      <c r="AE352" s="54" t="e">
        <f t="shared" si="57"/>
        <v>#N/A</v>
      </c>
      <c r="AF352" s="4" t="e">
        <f t="shared" si="53"/>
        <v>#N/A</v>
      </c>
    </row>
    <row r="353" spans="2:32">
      <c r="B353" s="5">
        <f t="shared" si="58"/>
        <v>341</v>
      </c>
      <c r="C353" s="5"/>
      <c r="E353" s="13"/>
      <c r="F353" s="5"/>
      <c r="G353" s="11" t="str">
        <f>IF(ISERROR(AVERAGE(F$13:F353)),"n/a",AVERAGE(F$13:F353))</f>
        <v>n/a</v>
      </c>
      <c r="H353" s="11" t="str">
        <f t="shared" si="54"/>
        <v>n/a</v>
      </c>
      <c r="J353" s="5"/>
      <c r="K353" s="5"/>
      <c r="L353" s="5"/>
      <c r="M353" s="5"/>
      <c r="N353" s="5"/>
      <c r="O353" s="8" t="str">
        <f t="shared" si="52"/>
        <v>n/a</v>
      </c>
      <c r="Q353" s="5"/>
      <c r="R353" s="5"/>
      <c r="S353" s="5"/>
      <c r="U353" s="6"/>
      <c r="V353" s="9" t="str">
        <f t="shared" si="55"/>
        <v/>
      </c>
      <c r="W353" s="9" t="str">
        <f t="shared" si="56"/>
        <v/>
      </c>
      <c r="X353" s="10">
        <f>SUM(V$13:V353)/COUNTA(B$13:B353)</f>
        <v>0</v>
      </c>
      <c r="Z353" s="5"/>
      <c r="AA353" s="5"/>
      <c r="AC353" s="7"/>
      <c r="AE353" s="54" t="e">
        <f t="shared" si="57"/>
        <v>#N/A</v>
      </c>
      <c r="AF353" s="4" t="e">
        <f t="shared" si="53"/>
        <v>#N/A</v>
      </c>
    </row>
    <row r="354" spans="2:32">
      <c r="B354" s="5">
        <f t="shared" si="58"/>
        <v>342</v>
      </c>
      <c r="C354" s="5"/>
      <c r="E354" s="13"/>
      <c r="F354" s="5"/>
      <c r="G354" s="11" t="str">
        <f>IF(ISERROR(AVERAGE(F$13:F354)),"n/a",AVERAGE(F$13:F354))</f>
        <v>n/a</v>
      </c>
      <c r="H354" s="11" t="str">
        <f t="shared" si="54"/>
        <v>n/a</v>
      </c>
      <c r="J354" s="5"/>
      <c r="K354" s="5"/>
      <c r="L354" s="5"/>
      <c r="M354" s="5"/>
      <c r="N354" s="5"/>
      <c r="O354" s="8" t="str">
        <f t="shared" si="52"/>
        <v>n/a</v>
      </c>
      <c r="Q354" s="5"/>
      <c r="R354" s="5"/>
      <c r="S354" s="5"/>
      <c r="U354" s="6"/>
      <c r="V354" s="9" t="str">
        <f t="shared" si="55"/>
        <v/>
      </c>
      <c r="W354" s="9" t="str">
        <f t="shared" si="56"/>
        <v/>
      </c>
      <c r="X354" s="10">
        <f>SUM(V$13:V354)/COUNTA(B$13:B354)</f>
        <v>0</v>
      </c>
      <c r="Z354" s="5"/>
      <c r="AA354" s="5"/>
      <c r="AC354" s="7"/>
      <c r="AE354" s="54" t="e">
        <f t="shared" si="57"/>
        <v>#N/A</v>
      </c>
      <c r="AF354" s="4" t="e">
        <f t="shared" si="53"/>
        <v>#N/A</v>
      </c>
    </row>
    <row r="355" spans="2:32">
      <c r="B355" s="5">
        <f t="shared" si="58"/>
        <v>343</v>
      </c>
      <c r="C355" s="5"/>
      <c r="E355" s="13"/>
      <c r="F355" s="5"/>
      <c r="G355" s="11" t="str">
        <f>IF(ISERROR(AVERAGE(F$13:F355)),"n/a",AVERAGE(F$13:F355))</f>
        <v>n/a</v>
      </c>
      <c r="H355" s="11" t="str">
        <f t="shared" si="54"/>
        <v>n/a</v>
      </c>
      <c r="J355" s="5"/>
      <c r="K355" s="5"/>
      <c r="L355" s="5"/>
      <c r="M355" s="5"/>
      <c r="N355" s="5"/>
      <c r="O355" s="8" t="str">
        <f t="shared" si="52"/>
        <v>n/a</v>
      </c>
      <c r="Q355" s="5"/>
      <c r="R355" s="5"/>
      <c r="S355" s="5"/>
      <c r="U355" s="6"/>
      <c r="V355" s="9" t="str">
        <f t="shared" si="55"/>
        <v/>
      </c>
      <c r="W355" s="9" t="str">
        <f t="shared" si="56"/>
        <v/>
      </c>
      <c r="X355" s="10">
        <f>SUM(V$13:V355)/COUNTA(B$13:B355)</f>
        <v>0</v>
      </c>
      <c r="Z355" s="5"/>
      <c r="AA355" s="5"/>
      <c r="AC355" s="7"/>
      <c r="AE355" s="54" t="e">
        <f t="shared" si="57"/>
        <v>#N/A</v>
      </c>
      <c r="AF355" s="4" t="e">
        <f t="shared" si="53"/>
        <v>#N/A</v>
      </c>
    </row>
    <row r="356" spans="2:32">
      <c r="B356" s="5">
        <f t="shared" si="58"/>
        <v>344</v>
      </c>
      <c r="C356" s="5"/>
      <c r="E356" s="13"/>
      <c r="F356" s="5"/>
      <c r="G356" s="11" t="str">
        <f>IF(ISERROR(AVERAGE(F$13:F356)),"n/a",AVERAGE(F$13:F356))</f>
        <v>n/a</v>
      </c>
      <c r="H356" s="11" t="str">
        <f t="shared" si="54"/>
        <v>n/a</v>
      </c>
      <c r="J356" s="5"/>
      <c r="K356" s="5"/>
      <c r="L356" s="5"/>
      <c r="M356" s="5"/>
      <c r="N356" s="5"/>
      <c r="O356" s="8" t="str">
        <f t="shared" si="52"/>
        <v>n/a</v>
      </c>
      <c r="Q356" s="5"/>
      <c r="R356" s="5"/>
      <c r="S356" s="5"/>
      <c r="U356" s="6"/>
      <c r="V356" s="9" t="str">
        <f t="shared" si="55"/>
        <v/>
      </c>
      <c r="W356" s="9" t="str">
        <f t="shared" si="56"/>
        <v/>
      </c>
      <c r="X356" s="10">
        <f>SUM(V$13:V356)/COUNTA(B$13:B356)</f>
        <v>0</v>
      </c>
      <c r="Z356" s="5"/>
      <c r="AA356" s="5"/>
      <c r="AC356" s="7"/>
      <c r="AE356" s="54" t="e">
        <f t="shared" si="57"/>
        <v>#N/A</v>
      </c>
      <c r="AF356" s="4" t="e">
        <f t="shared" si="53"/>
        <v>#N/A</v>
      </c>
    </row>
    <row r="357" spans="2:32">
      <c r="B357" s="5">
        <f t="shared" si="58"/>
        <v>345</v>
      </c>
      <c r="C357" s="5"/>
      <c r="E357" s="13"/>
      <c r="F357" s="5"/>
      <c r="G357" s="11" t="str">
        <f>IF(ISERROR(AVERAGE(F$13:F357)),"n/a",AVERAGE(F$13:F357))</f>
        <v>n/a</v>
      </c>
      <c r="H357" s="11" t="str">
        <f t="shared" si="54"/>
        <v>n/a</v>
      </c>
      <c r="J357" s="5"/>
      <c r="K357" s="5"/>
      <c r="L357" s="5"/>
      <c r="M357" s="5"/>
      <c r="N357" s="5"/>
      <c r="O357" s="8" t="str">
        <f t="shared" si="52"/>
        <v>n/a</v>
      </c>
      <c r="Q357" s="5"/>
      <c r="R357" s="5"/>
      <c r="S357" s="5"/>
      <c r="U357" s="6"/>
      <c r="V357" s="9" t="str">
        <f t="shared" si="55"/>
        <v/>
      </c>
      <c r="W357" s="9" t="str">
        <f t="shared" si="56"/>
        <v/>
      </c>
      <c r="X357" s="10">
        <f>SUM(V$13:V357)/COUNTA(B$13:B357)</f>
        <v>0</v>
      </c>
      <c r="Z357" s="5"/>
      <c r="AA357" s="5"/>
      <c r="AC357" s="7"/>
      <c r="AE357" s="54" t="e">
        <f t="shared" si="57"/>
        <v>#N/A</v>
      </c>
      <c r="AF357" s="4" t="e">
        <f t="shared" si="53"/>
        <v>#N/A</v>
      </c>
    </row>
    <row r="358" spans="2:32">
      <c r="B358" s="5">
        <f t="shared" si="58"/>
        <v>346</v>
      </c>
      <c r="C358" s="5"/>
      <c r="E358" s="13"/>
      <c r="F358" s="5"/>
      <c r="G358" s="11" t="str">
        <f>IF(ISERROR(AVERAGE(F$13:F358)),"n/a",AVERAGE(F$13:F358))</f>
        <v>n/a</v>
      </c>
      <c r="H358" s="11" t="str">
        <f t="shared" si="54"/>
        <v>n/a</v>
      </c>
      <c r="J358" s="5"/>
      <c r="K358" s="5"/>
      <c r="L358" s="5"/>
      <c r="M358" s="5"/>
      <c r="N358" s="5"/>
      <c r="O358" s="8" t="str">
        <f t="shared" si="52"/>
        <v>n/a</v>
      </c>
      <c r="Q358" s="5"/>
      <c r="R358" s="5"/>
      <c r="S358" s="5"/>
      <c r="U358" s="6"/>
      <c r="V358" s="9" t="str">
        <f t="shared" si="55"/>
        <v/>
      </c>
      <c r="W358" s="9" t="str">
        <f t="shared" si="56"/>
        <v/>
      </c>
      <c r="X358" s="10">
        <f>SUM(V$13:V358)/COUNTA(B$13:B358)</f>
        <v>0</v>
      </c>
      <c r="Z358" s="5"/>
      <c r="AA358" s="5"/>
      <c r="AC358" s="7"/>
      <c r="AE358" s="54" t="e">
        <f t="shared" si="57"/>
        <v>#N/A</v>
      </c>
      <c r="AF358" s="4" t="e">
        <f t="shared" si="53"/>
        <v>#N/A</v>
      </c>
    </row>
    <row r="359" spans="2:32">
      <c r="B359" s="5">
        <f t="shared" si="58"/>
        <v>347</v>
      </c>
      <c r="C359" s="5"/>
      <c r="E359" s="13"/>
      <c r="F359" s="5"/>
      <c r="G359" s="11" t="str">
        <f>IF(ISERROR(AVERAGE(F$13:F359)),"n/a",AVERAGE(F$13:F359))</f>
        <v>n/a</v>
      </c>
      <c r="H359" s="11" t="str">
        <f t="shared" si="54"/>
        <v>n/a</v>
      </c>
      <c r="J359" s="5"/>
      <c r="K359" s="5"/>
      <c r="L359" s="5"/>
      <c r="M359" s="5"/>
      <c r="N359" s="5"/>
      <c r="O359" s="8" t="str">
        <f t="shared" si="52"/>
        <v>n/a</v>
      </c>
      <c r="Q359" s="5"/>
      <c r="R359" s="5"/>
      <c r="S359" s="5"/>
      <c r="U359" s="6"/>
      <c r="V359" s="9" t="str">
        <f t="shared" si="55"/>
        <v/>
      </c>
      <c r="W359" s="9" t="str">
        <f t="shared" si="56"/>
        <v/>
      </c>
      <c r="X359" s="10">
        <f>SUM(V$13:V359)/COUNTA(B$13:B359)</f>
        <v>0</v>
      </c>
      <c r="Z359" s="5"/>
      <c r="AA359" s="5"/>
      <c r="AC359" s="7"/>
      <c r="AE359" s="54" t="e">
        <f t="shared" si="57"/>
        <v>#N/A</v>
      </c>
      <c r="AF359" s="4" t="e">
        <f t="shared" si="53"/>
        <v>#N/A</v>
      </c>
    </row>
    <row r="360" spans="2:32">
      <c r="B360" s="5">
        <f t="shared" si="58"/>
        <v>348</v>
      </c>
      <c r="C360" s="5"/>
      <c r="E360" s="13"/>
      <c r="F360" s="5"/>
      <c r="G360" s="11" t="str">
        <f>IF(ISERROR(AVERAGE(F$13:F360)),"n/a",AVERAGE(F$13:F360))</f>
        <v>n/a</v>
      </c>
      <c r="H360" s="11" t="str">
        <f t="shared" si="54"/>
        <v>n/a</v>
      </c>
      <c r="J360" s="5"/>
      <c r="K360" s="5"/>
      <c r="L360" s="5"/>
      <c r="M360" s="5"/>
      <c r="N360" s="5"/>
      <c r="O360" s="8" t="str">
        <f t="shared" si="52"/>
        <v>n/a</v>
      </c>
      <c r="Q360" s="5"/>
      <c r="R360" s="5"/>
      <c r="S360" s="5"/>
      <c r="U360" s="6"/>
      <c r="V360" s="9" t="str">
        <f t="shared" si="55"/>
        <v/>
      </c>
      <c r="W360" s="9" t="str">
        <f t="shared" si="56"/>
        <v/>
      </c>
      <c r="X360" s="10">
        <f>SUM(V$13:V360)/COUNTA(B$13:B360)</f>
        <v>0</v>
      </c>
      <c r="Z360" s="5"/>
      <c r="AA360" s="5"/>
      <c r="AC360" s="7"/>
      <c r="AE360" s="54" t="e">
        <f t="shared" si="57"/>
        <v>#N/A</v>
      </c>
      <c r="AF360" s="4" t="e">
        <f t="shared" si="53"/>
        <v>#N/A</v>
      </c>
    </row>
    <row r="361" spans="2:32">
      <c r="B361" s="5">
        <f t="shared" si="58"/>
        <v>349</v>
      </c>
      <c r="C361" s="5"/>
      <c r="E361" s="13"/>
      <c r="F361" s="5"/>
      <c r="G361" s="11" t="str">
        <f>IF(ISERROR(AVERAGE(F$13:F361)),"n/a",AVERAGE(F$13:F361))</f>
        <v>n/a</v>
      </c>
      <c r="H361" s="11" t="str">
        <f t="shared" si="54"/>
        <v>n/a</v>
      </c>
      <c r="J361" s="5"/>
      <c r="K361" s="5"/>
      <c r="L361" s="5"/>
      <c r="M361" s="5"/>
      <c r="N361" s="5"/>
      <c r="O361" s="8" t="str">
        <f t="shared" si="52"/>
        <v>n/a</v>
      </c>
      <c r="Q361" s="5"/>
      <c r="R361" s="5"/>
      <c r="S361" s="5"/>
      <c r="U361" s="6"/>
      <c r="V361" s="9" t="str">
        <f t="shared" si="55"/>
        <v/>
      </c>
      <c r="W361" s="9" t="str">
        <f t="shared" si="56"/>
        <v/>
      </c>
      <c r="X361" s="10">
        <f>SUM(V$13:V361)/COUNTA(B$13:B361)</f>
        <v>0</v>
      </c>
      <c r="Z361" s="5"/>
      <c r="AA361" s="5"/>
      <c r="AC361" s="7"/>
      <c r="AE361" s="54" t="e">
        <f t="shared" si="57"/>
        <v>#N/A</v>
      </c>
      <c r="AF361" s="4" t="e">
        <f t="shared" si="53"/>
        <v>#N/A</v>
      </c>
    </row>
    <row r="362" spans="2:32">
      <c r="B362" s="5">
        <f t="shared" si="58"/>
        <v>350</v>
      </c>
      <c r="C362" s="5"/>
      <c r="E362" s="13"/>
      <c r="F362" s="5"/>
      <c r="G362" s="11" t="str">
        <f>IF(ISERROR(AVERAGE(F$13:F362)),"n/a",AVERAGE(F$13:F362))</f>
        <v>n/a</v>
      </c>
      <c r="H362" s="11" t="str">
        <f t="shared" si="54"/>
        <v>n/a</v>
      </c>
      <c r="J362" s="5"/>
      <c r="K362" s="5"/>
      <c r="L362" s="5"/>
      <c r="M362" s="5"/>
      <c r="N362" s="5"/>
      <c r="O362" s="8" t="str">
        <f t="shared" si="52"/>
        <v>n/a</v>
      </c>
      <c r="Q362" s="5"/>
      <c r="R362" s="5"/>
      <c r="S362" s="5"/>
      <c r="U362" s="6"/>
      <c r="V362" s="9" t="str">
        <f t="shared" si="55"/>
        <v/>
      </c>
      <c r="W362" s="9" t="str">
        <f t="shared" si="56"/>
        <v/>
      </c>
      <c r="X362" s="10">
        <f>SUM(V$13:V362)/COUNTA(B$13:B362)</f>
        <v>0</v>
      </c>
      <c r="Z362" s="5"/>
      <c r="AA362" s="5"/>
      <c r="AC362" s="7"/>
      <c r="AE362" s="54" t="e">
        <f t="shared" si="57"/>
        <v>#N/A</v>
      </c>
      <c r="AF362" s="4" t="e">
        <f t="shared" si="53"/>
        <v>#N/A</v>
      </c>
    </row>
    <row r="363" spans="2:32">
      <c r="B363" s="5">
        <f t="shared" si="58"/>
        <v>351</v>
      </c>
      <c r="C363" s="5"/>
      <c r="E363" s="13"/>
      <c r="F363" s="5"/>
      <c r="G363" s="11" t="str">
        <f>IF(ISERROR(AVERAGE(F$13:F363)),"n/a",AVERAGE(F$13:F363))</f>
        <v>n/a</v>
      </c>
      <c r="H363" s="11" t="str">
        <f t="shared" si="54"/>
        <v>n/a</v>
      </c>
      <c r="J363" s="5"/>
      <c r="K363" s="5"/>
      <c r="L363" s="5"/>
      <c r="M363" s="5"/>
      <c r="N363" s="5"/>
      <c r="O363" s="8" t="str">
        <f t="shared" si="52"/>
        <v>n/a</v>
      </c>
      <c r="Q363" s="5"/>
      <c r="R363" s="5"/>
      <c r="S363" s="5"/>
      <c r="U363" s="6"/>
      <c r="V363" s="9" t="str">
        <f t="shared" si="55"/>
        <v/>
      </c>
      <c r="W363" s="9" t="str">
        <f t="shared" si="56"/>
        <v/>
      </c>
      <c r="X363" s="10">
        <f>SUM(V$13:V363)/COUNTA(B$13:B363)</f>
        <v>0</v>
      </c>
      <c r="Z363" s="5"/>
      <c r="AA363" s="5"/>
      <c r="AC363" s="7"/>
      <c r="AE363" s="54" t="e">
        <f t="shared" si="57"/>
        <v>#N/A</v>
      </c>
      <c r="AF363" s="4" t="e">
        <f t="shared" si="53"/>
        <v>#N/A</v>
      </c>
    </row>
    <row r="364" spans="2:32">
      <c r="B364" s="5">
        <f t="shared" si="58"/>
        <v>352</v>
      </c>
      <c r="C364" s="5"/>
      <c r="E364" s="13"/>
      <c r="F364" s="5"/>
      <c r="G364" s="11" t="str">
        <f>IF(ISERROR(AVERAGE(F$13:F364)),"n/a",AVERAGE(F$13:F364))</f>
        <v>n/a</v>
      </c>
      <c r="H364" s="11" t="str">
        <f t="shared" si="54"/>
        <v>n/a</v>
      </c>
      <c r="J364" s="5"/>
      <c r="K364" s="5"/>
      <c r="L364" s="5"/>
      <c r="M364" s="5"/>
      <c r="N364" s="5"/>
      <c r="O364" s="8" t="str">
        <f t="shared" si="52"/>
        <v>n/a</v>
      </c>
      <c r="Q364" s="5"/>
      <c r="R364" s="5"/>
      <c r="S364" s="5"/>
      <c r="U364" s="6"/>
      <c r="V364" s="9" t="str">
        <f t="shared" si="55"/>
        <v/>
      </c>
      <c r="W364" s="9" t="str">
        <f t="shared" si="56"/>
        <v/>
      </c>
      <c r="X364" s="10">
        <f>SUM(V$13:V364)/COUNTA(B$13:B364)</f>
        <v>0</v>
      </c>
      <c r="Z364" s="5"/>
      <c r="AA364" s="5"/>
      <c r="AC364" s="7"/>
      <c r="AE364" s="54" t="e">
        <f t="shared" si="57"/>
        <v>#N/A</v>
      </c>
      <c r="AF364" s="4" t="e">
        <f t="shared" si="53"/>
        <v>#N/A</v>
      </c>
    </row>
    <row r="365" spans="2:32">
      <c r="B365" s="5">
        <f t="shared" si="58"/>
        <v>353</v>
      </c>
      <c r="C365" s="5"/>
      <c r="E365" s="13"/>
      <c r="F365" s="5"/>
      <c r="G365" s="11" t="str">
        <f>IF(ISERROR(AVERAGE(F$13:F365)),"n/a",AVERAGE(F$13:F365))</f>
        <v>n/a</v>
      </c>
      <c r="H365" s="11" t="str">
        <f t="shared" si="54"/>
        <v>n/a</v>
      </c>
      <c r="J365" s="5"/>
      <c r="K365" s="5"/>
      <c r="L365" s="5"/>
      <c r="M365" s="5"/>
      <c r="N365" s="5"/>
      <c r="O365" s="8" t="str">
        <f t="shared" si="52"/>
        <v>n/a</v>
      </c>
      <c r="Q365" s="5"/>
      <c r="R365" s="5"/>
      <c r="S365" s="5"/>
      <c r="U365" s="6"/>
      <c r="V365" s="9" t="str">
        <f t="shared" si="55"/>
        <v/>
      </c>
      <c r="W365" s="9" t="str">
        <f t="shared" si="56"/>
        <v/>
      </c>
      <c r="X365" s="10">
        <f>SUM(V$13:V365)/COUNTA(B$13:B365)</f>
        <v>0</v>
      </c>
      <c r="Z365" s="5"/>
      <c r="AA365" s="5"/>
      <c r="AC365" s="7"/>
      <c r="AE365" s="54" t="e">
        <f t="shared" si="57"/>
        <v>#N/A</v>
      </c>
      <c r="AF365" s="4" t="e">
        <f t="shared" si="53"/>
        <v>#N/A</v>
      </c>
    </row>
    <row r="366" spans="2:32">
      <c r="B366" s="5">
        <f t="shared" si="58"/>
        <v>354</v>
      </c>
      <c r="C366" s="5"/>
      <c r="E366" s="13"/>
      <c r="F366" s="5"/>
      <c r="G366" s="11" t="str">
        <f>IF(ISERROR(AVERAGE(F$13:F366)),"n/a",AVERAGE(F$13:F366))</f>
        <v>n/a</v>
      </c>
      <c r="H366" s="11" t="str">
        <f t="shared" si="54"/>
        <v>n/a</v>
      </c>
      <c r="J366" s="5"/>
      <c r="K366" s="5"/>
      <c r="L366" s="5"/>
      <c r="M366" s="5"/>
      <c r="N366" s="5"/>
      <c r="O366" s="8" t="str">
        <f t="shared" si="52"/>
        <v>n/a</v>
      </c>
      <c r="Q366" s="5"/>
      <c r="R366" s="5"/>
      <c r="S366" s="5"/>
      <c r="U366" s="6"/>
      <c r="V366" s="9" t="str">
        <f t="shared" si="55"/>
        <v/>
      </c>
      <c r="W366" s="9" t="str">
        <f t="shared" si="56"/>
        <v/>
      </c>
      <c r="X366" s="10">
        <f>SUM(V$13:V366)/COUNTA(B$13:B366)</f>
        <v>0</v>
      </c>
      <c r="Z366" s="5"/>
      <c r="AA366" s="5"/>
      <c r="AC366" s="7"/>
      <c r="AE366" s="54" t="e">
        <f t="shared" si="57"/>
        <v>#N/A</v>
      </c>
      <c r="AF366" s="4" t="e">
        <f t="shared" si="53"/>
        <v>#N/A</v>
      </c>
    </row>
    <row r="367" spans="2:32">
      <c r="B367" s="5">
        <f t="shared" si="58"/>
        <v>355</v>
      </c>
      <c r="C367" s="5"/>
      <c r="E367" s="13"/>
      <c r="F367" s="5"/>
      <c r="G367" s="11" t="str">
        <f>IF(ISERROR(AVERAGE(F$13:F367)),"n/a",AVERAGE(F$13:F367))</f>
        <v>n/a</v>
      </c>
      <c r="H367" s="11" t="str">
        <f t="shared" si="54"/>
        <v>n/a</v>
      </c>
      <c r="J367" s="5"/>
      <c r="K367" s="5"/>
      <c r="L367" s="5"/>
      <c r="M367" s="5"/>
      <c r="N367" s="5"/>
      <c r="O367" s="8" t="str">
        <f t="shared" si="52"/>
        <v>n/a</v>
      </c>
      <c r="Q367" s="5"/>
      <c r="R367" s="5"/>
      <c r="S367" s="5"/>
      <c r="U367" s="6"/>
      <c r="V367" s="9" t="str">
        <f t="shared" si="55"/>
        <v/>
      </c>
      <c r="W367" s="9" t="str">
        <f t="shared" si="56"/>
        <v/>
      </c>
      <c r="X367" s="10">
        <f>SUM(V$13:V367)/COUNTA(B$13:B367)</f>
        <v>0</v>
      </c>
      <c r="Z367" s="5"/>
      <c r="AA367" s="5"/>
      <c r="AC367" s="7"/>
      <c r="AE367" s="54" t="e">
        <f t="shared" si="57"/>
        <v>#N/A</v>
      </c>
      <c r="AF367" s="4" t="e">
        <f t="shared" si="53"/>
        <v>#N/A</v>
      </c>
    </row>
    <row r="368" spans="2:32">
      <c r="B368" s="5">
        <f t="shared" si="58"/>
        <v>356</v>
      </c>
      <c r="C368" s="5"/>
      <c r="E368" s="13"/>
      <c r="F368" s="5"/>
      <c r="G368" s="11" t="str">
        <f>IF(ISERROR(AVERAGE(F$13:F368)),"n/a",AVERAGE(F$13:F368))</f>
        <v>n/a</v>
      </c>
      <c r="H368" s="11" t="str">
        <f t="shared" si="54"/>
        <v>n/a</v>
      </c>
      <c r="J368" s="5"/>
      <c r="K368" s="5"/>
      <c r="L368" s="5"/>
      <c r="M368" s="5"/>
      <c r="N368" s="5"/>
      <c r="O368" s="8" t="str">
        <f t="shared" si="52"/>
        <v>n/a</v>
      </c>
      <c r="Q368" s="5"/>
      <c r="R368" s="5"/>
      <c r="S368" s="5"/>
      <c r="U368" s="6"/>
      <c r="V368" s="9" t="str">
        <f t="shared" si="55"/>
        <v/>
      </c>
      <c r="W368" s="9" t="str">
        <f t="shared" si="56"/>
        <v/>
      </c>
      <c r="X368" s="10">
        <f>SUM(V$13:V368)/COUNTA(B$13:B368)</f>
        <v>0</v>
      </c>
      <c r="Z368" s="5"/>
      <c r="AA368" s="5"/>
      <c r="AC368" s="7"/>
      <c r="AE368" s="54" t="e">
        <f t="shared" si="57"/>
        <v>#N/A</v>
      </c>
      <c r="AF368" s="4" t="e">
        <f t="shared" si="53"/>
        <v>#N/A</v>
      </c>
    </row>
    <row r="369" spans="2:32">
      <c r="B369" s="5">
        <f t="shared" si="58"/>
        <v>357</v>
      </c>
      <c r="C369" s="5"/>
      <c r="E369" s="13"/>
      <c r="F369" s="5"/>
      <c r="G369" s="11" t="str">
        <f>IF(ISERROR(AVERAGE(F$13:F369)),"n/a",AVERAGE(F$13:F369))</f>
        <v>n/a</v>
      </c>
      <c r="H369" s="11" t="str">
        <f t="shared" si="54"/>
        <v>n/a</v>
      </c>
      <c r="J369" s="5"/>
      <c r="K369" s="5"/>
      <c r="L369" s="5"/>
      <c r="M369" s="5"/>
      <c r="N369" s="5"/>
      <c r="O369" s="8" t="str">
        <f t="shared" si="52"/>
        <v>n/a</v>
      </c>
      <c r="Q369" s="5"/>
      <c r="R369" s="5"/>
      <c r="S369" s="5"/>
      <c r="U369" s="6"/>
      <c r="V369" s="9" t="str">
        <f t="shared" si="55"/>
        <v/>
      </c>
      <c r="W369" s="9" t="str">
        <f t="shared" si="56"/>
        <v/>
      </c>
      <c r="X369" s="10">
        <f>SUM(V$13:V369)/COUNTA(B$13:B369)</f>
        <v>0</v>
      </c>
      <c r="Z369" s="5"/>
      <c r="AA369" s="5"/>
      <c r="AC369" s="7"/>
      <c r="AE369" s="54" t="e">
        <f t="shared" si="57"/>
        <v>#N/A</v>
      </c>
      <c r="AF369" s="4" t="e">
        <f t="shared" si="53"/>
        <v>#N/A</v>
      </c>
    </row>
    <row r="370" spans="2:32">
      <c r="B370" s="5">
        <f t="shared" si="58"/>
        <v>358</v>
      </c>
      <c r="C370" s="5"/>
      <c r="E370" s="13"/>
      <c r="F370" s="5"/>
      <c r="G370" s="11" t="str">
        <f>IF(ISERROR(AVERAGE(F$13:F370)),"n/a",AVERAGE(F$13:F370))</f>
        <v>n/a</v>
      </c>
      <c r="H370" s="11" t="str">
        <f t="shared" si="54"/>
        <v>n/a</v>
      </c>
      <c r="J370" s="5"/>
      <c r="K370" s="5"/>
      <c r="L370" s="5"/>
      <c r="M370" s="5"/>
      <c r="N370" s="5"/>
      <c r="O370" s="8" t="str">
        <f t="shared" si="52"/>
        <v>n/a</v>
      </c>
      <c r="Q370" s="5"/>
      <c r="R370" s="5"/>
      <c r="S370" s="5"/>
      <c r="U370" s="6"/>
      <c r="V370" s="9" t="str">
        <f t="shared" si="55"/>
        <v/>
      </c>
      <c r="W370" s="9" t="str">
        <f t="shared" si="56"/>
        <v/>
      </c>
      <c r="X370" s="10">
        <f>SUM(V$13:V370)/COUNTA(B$13:B370)</f>
        <v>0</v>
      </c>
      <c r="Z370" s="5"/>
      <c r="AA370" s="5"/>
      <c r="AC370" s="7"/>
      <c r="AE370" s="54" t="e">
        <f t="shared" si="57"/>
        <v>#N/A</v>
      </c>
      <c r="AF370" s="4" t="e">
        <f t="shared" si="53"/>
        <v>#N/A</v>
      </c>
    </row>
    <row r="371" spans="2:32">
      <c r="B371" s="5">
        <f t="shared" si="58"/>
        <v>359</v>
      </c>
      <c r="C371" s="5"/>
      <c r="E371" s="13"/>
      <c r="F371" s="5"/>
      <c r="G371" s="11" t="str">
        <f>IF(ISERROR(AVERAGE(F$13:F371)),"n/a",AVERAGE(F$13:F371))</f>
        <v>n/a</v>
      </c>
      <c r="H371" s="11" t="str">
        <f t="shared" si="54"/>
        <v>n/a</v>
      </c>
      <c r="J371" s="5"/>
      <c r="K371" s="5"/>
      <c r="L371" s="5"/>
      <c r="M371" s="5"/>
      <c r="N371" s="5"/>
      <c r="O371" s="8" t="str">
        <f t="shared" si="52"/>
        <v>n/a</v>
      </c>
      <c r="Q371" s="5"/>
      <c r="R371" s="5"/>
      <c r="S371" s="5"/>
      <c r="U371" s="6"/>
      <c r="V371" s="9" t="str">
        <f t="shared" si="55"/>
        <v/>
      </c>
      <c r="W371" s="9" t="str">
        <f t="shared" si="56"/>
        <v/>
      </c>
      <c r="X371" s="10">
        <f>SUM(V$13:V371)/COUNTA(B$13:B371)</f>
        <v>0</v>
      </c>
      <c r="Z371" s="5"/>
      <c r="AA371" s="5"/>
      <c r="AC371" s="7"/>
      <c r="AE371" s="54" t="e">
        <f t="shared" si="57"/>
        <v>#N/A</v>
      </c>
      <c r="AF371" s="4" t="e">
        <f t="shared" si="53"/>
        <v>#N/A</v>
      </c>
    </row>
    <row r="372" spans="2:32">
      <c r="B372" s="5">
        <f t="shared" si="58"/>
        <v>360</v>
      </c>
      <c r="C372" s="5"/>
      <c r="E372" s="13"/>
      <c r="F372" s="5"/>
      <c r="G372" s="11" t="str">
        <f>IF(ISERROR(AVERAGE(F$13:F372)),"n/a",AVERAGE(F$13:F372))</f>
        <v>n/a</v>
      </c>
      <c r="H372" s="11" t="str">
        <f t="shared" si="54"/>
        <v>n/a</v>
      </c>
      <c r="J372" s="5"/>
      <c r="K372" s="5"/>
      <c r="L372" s="5"/>
      <c r="M372" s="5"/>
      <c r="N372" s="5"/>
      <c r="O372" s="8" t="str">
        <f t="shared" si="52"/>
        <v>n/a</v>
      </c>
      <c r="Q372" s="5"/>
      <c r="R372" s="5"/>
      <c r="S372" s="5"/>
      <c r="U372" s="6"/>
      <c r="V372" s="9" t="str">
        <f t="shared" si="55"/>
        <v/>
      </c>
      <c r="W372" s="9" t="str">
        <f t="shared" si="56"/>
        <v/>
      </c>
      <c r="X372" s="10">
        <f>SUM(V$13:V372)/COUNTA(B$13:B372)</f>
        <v>0</v>
      </c>
      <c r="Z372" s="5"/>
      <c r="AA372" s="5"/>
      <c r="AC372" s="7"/>
      <c r="AE372" s="54" t="e">
        <f t="shared" si="57"/>
        <v>#N/A</v>
      </c>
      <c r="AF372" s="4" t="e">
        <f t="shared" si="53"/>
        <v>#N/A</v>
      </c>
    </row>
    <row r="373" spans="2:32">
      <c r="B373" s="5">
        <f t="shared" si="58"/>
        <v>361</v>
      </c>
      <c r="C373" s="5"/>
      <c r="E373" s="13"/>
      <c r="F373" s="5"/>
      <c r="G373" s="11" t="str">
        <f>IF(ISERROR(AVERAGE(F$13:F373)),"n/a",AVERAGE(F$13:F373))</f>
        <v>n/a</v>
      </c>
      <c r="H373" s="11" t="str">
        <f t="shared" si="54"/>
        <v>n/a</v>
      </c>
      <c r="J373" s="5"/>
      <c r="K373" s="5"/>
      <c r="L373" s="5"/>
      <c r="M373" s="5"/>
      <c r="N373" s="5"/>
      <c r="O373" s="8" t="str">
        <f t="shared" si="52"/>
        <v>n/a</v>
      </c>
      <c r="Q373" s="5"/>
      <c r="R373" s="5"/>
      <c r="S373" s="5"/>
      <c r="U373" s="6"/>
      <c r="V373" s="9" t="str">
        <f t="shared" si="55"/>
        <v/>
      </c>
      <c r="W373" s="9" t="str">
        <f t="shared" si="56"/>
        <v/>
      </c>
      <c r="X373" s="10">
        <f>SUM(V$13:V373)/COUNTA(B$13:B373)</f>
        <v>0</v>
      </c>
      <c r="Z373" s="5"/>
      <c r="AA373" s="5"/>
      <c r="AC373" s="7"/>
      <c r="AE373" s="54" t="e">
        <f t="shared" si="57"/>
        <v>#N/A</v>
      </c>
      <c r="AF373" s="4" t="e">
        <f t="shared" si="53"/>
        <v>#N/A</v>
      </c>
    </row>
    <row r="374" spans="2:32">
      <c r="B374" s="5">
        <f t="shared" si="58"/>
        <v>362</v>
      </c>
      <c r="C374" s="5"/>
      <c r="E374" s="13"/>
      <c r="F374" s="5"/>
      <c r="G374" s="11" t="str">
        <f>IF(ISERROR(AVERAGE(F$13:F374)),"n/a",AVERAGE(F$13:F374))</f>
        <v>n/a</v>
      </c>
      <c r="H374" s="11" t="str">
        <f t="shared" si="54"/>
        <v>n/a</v>
      </c>
      <c r="J374" s="5"/>
      <c r="K374" s="5"/>
      <c r="L374" s="5"/>
      <c r="M374" s="5"/>
      <c r="N374" s="5"/>
      <c r="O374" s="8" t="str">
        <f t="shared" si="52"/>
        <v>n/a</v>
      </c>
      <c r="Q374" s="5"/>
      <c r="R374" s="5"/>
      <c r="S374" s="5"/>
      <c r="U374" s="6"/>
      <c r="V374" s="9" t="str">
        <f t="shared" si="55"/>
        <v/>
      </c>
      <c r="W374" s="9" t="str">
        <f t="shared" si="56"/>
        <v/>
      </c>
      <c r="X374" s="10">
        <f>SUM(V$13:V374)/COUNTA(B$13:B374)</f>
        <v>0</v>
      </c>
      <c r="Z374" s="5"/>
      <c r="AA374" s="5"/>
      <c r="AC374" s="7"/>
      <c r="AE374" s="54" t="e">
        <f t="shared" si="57"/>
        <v>#N/A</v>
      </c>
      <c r="AF374" s="4" t="e">
        <f t="shared" si="53"/>
        <v>#N/A</v>
      </c>
    </row>
    <row r="375" spans="2:32">
      <c r="B375" s="5">
        <f t="shared" si="58"/>
        <v>363</v>
      </c>
      <c r="C375" s="5"/>
      <c r="E375" s="13"/>
      <c r="F375" s="5"/>
      <c r="G375" s="11" t="str">
        <f>IF(ISERROR(AVERAGE(F$13:F375)),"n/a",AVERAGE(F$13:F375))</f>
        <v>n/a</v>
      </c>
      <c r="H375" s="11" t="str">
        <f t="shared" si="54"/>
        <v>n/a</v>
      </c>
      <c r="J375" s="5"/>
      <c r="K375" s="5"/>
      <c r="L375" s="5"/>
      <c r="M375" s="5"/>
      <c r="N375" s="5"/>
      <c r="O375" s="8" t="str">
        <f t="shared" si="52"/>
        <v>n/a</v>
      </c>
      <c r="Q375" s="5"/>
      <c r="R375" s="5"/>
      <c r="S375" s="5"/>
      <c r="U375" s="6"/>
      <c r="V375" s="9" t="str">
        <f t="shared" si="55"/>
        <v/>
      </c>
      <c r="W375" s="9" t="str">
        <f t="shared" si="56"/>
        <v/>
      </c>
      <c r="X375" s="10">
        <f>SUM(V$13:V375)/COUNTA(B$13:B375)</f>
        <v>0</v>
      </c>
      <c r="Z375" s="5"/>
      <c r="AA375" s="5"/>
      <c r="AC375" s="7"/>
      <c r="AE375" s="54" t="e">
        <f t="shared" si="57"/>
        <v>#N/A</v>
      </c>
      <c r="AF375" s="4" t="e">
        <f t="shared" si="53"/>
        <v>#N/A</v>
      </c>
    </row>
    <row r="376" spans="2:32">
      <c r="B376" s="5">
        <f t="shared" si="58"/>
        <v>364</v>
      </c>
      <c r="C376" s="5"/>
      <c r="E376" s="13"/>
      <c r="F376" s="5"/>
      <c r="G376" s="11" t="str">
        <f>IF(ISERROR(AVERAGE(F$13:F376)),"n/a",AVERAGE(F$13:F376))</f>
        <v>n/a</v>
      </c>
      <c r="H376" s="11" t="str">
        <f t="shared" si="54"/>
        <v>n/a</v>
      </c>
      <c r="J376" s="5"/>
      <c r="K376" s="5"/>
      <c r="L376" s="5"/>
      <c r="M376" s="5"/>
      <c r="N376" s="5"/>
      <c r="O376" s="8" t="str">
        <f t="shared" si="52"/>
        <v>n/a</v>
      </c>
      <c r="Q376" s="5"/>
      <c r="R376" s="5"/>
      <c r="S376" s="5"/>
      <c r="U376" s="6"/>
      <c r="V376" s="9" t="str">
        <f t="shared" si="55"/>
        <v/>
      </c>
      <c r="W376" s="9" t="str">
        <f t="shared" si="56"/>
        <v/>
      </c>
      <c r="X376" s="10">
        <f>SUM(V$13:V376)/COUNTA(B$13:B376)</f>
        <v>0</v>
      </c>
      <c r="Z376" s="5"/>
      <c r="AA376" s="5"/>
      <c r="AC376" s="7"/>
      <c r="AE376" s="54" t="e">
        <f t="shared" si="57"/>
        <v>#N/A</v>
      </c>
      <c r="AF376" s="4" t="e">
        <f t="shared" si="53"/>
        <v>#N/A</v>
      </c>
    </row>
    <row r="377" spans="2:32">
      <c r="B377" s="5">
        <f t="shared" si="58"/>
        <v>365</v>
      </c>
      <c r="C377" s="5"/>
      <c r="E377" s="13"/>
      <c r="F377" s="5"/>
      <c r="G377" s="11" t="str">
        <f>IF(ISERROR(AVERAGE(F$13:F377)),"n/a",AVERAGE(F$13:F377))</f>
        <v>n/a</v>
      </c>
      <c r="H377" s="11" t="str">
        <f t="shared" si="54"/>
        <v>n/a</v>
      </c>
      <c r="J377" s="5"/>
      <c r="K377" s="5"/>
      <c r="L377" s="5"/>
      <c r="M377" s="5"/>
      <c r="N377" s="5"/>
      <c r="O377" s="8" t="str">
        <f t="shared" si="52"/>
        <v>n/a</v>
      </c>
      <c r="Q377" s="5"/>
      <c r="R377" s="5"/>
      <c r="S377" s="5"/>
      <c r="U377" s="6"/>
      <c r="V377" s="9" t="str">
        <f t="shared" si="55"/>
        <v/>
      </c>
      <c r="W377" s="9" t="str">
        <f t="shared" si="56"/>
        <v/>
      </c>
      <c r="X377" s="10">
        <f>SUM(V$13:V377)/COUNTA(B$13:B377)</f>
        <v>0</v>
      </c>
      <c r="Z377" s="5"/>
      <c r="AA377" s="5"/>
      <c r="AC377" s="7"/>
      <c r="AE377" s="54" t="e">
        <f t="shared" si="57"/>
        <v>#N/A</v>
      </c>
      <c r="AF377" s="4" t="e">
        <f t="shared" si="53"/>
        <v>#N/A</v>
      </c>
    </row>
    <row r="378" spans="2:32">
      <c r="B378" s="5">
        <f t="shared" si="58"/>
        <v>366</v>
      </c>
      <c r="C378" s="5"/>
      <c r="E378" s="13"/>
      <c r="F378" s="5"/>
      <c r="G378" s="11" t="str">
        <f>IF(ISERROR(AVERAGE(F$13:F378)),"n/a",AVERAGE(F$13:F378))</f>
        <v>n/a</v>
      </c>
      <c r="H378" s="11" t="str">
        <f t="shared" si="54"/>
        <v>n/a</v>
      </c>
      <c r="J378" s="5"/>
      <c r="K378" s="5"/>
      <c r="L378" s="5"/>
      <c r="M378" s="5"/>
      <c r="N378" s="5"/>
      <c r="O378" s="8" t="str">
        <f t="shared" si="52"/>
        <v>n/a</v>
      </c>
      <c r="Q378" s="5"/>
      <c r="R378" s="5"/>
      <c r="S378" s="5"/>
      <c r="U378" s="6"/>
      <c r="V378" s="9" t="str">
        <f t="shared" si="55"/>
        <v/>
      </c>
      <c r="W378" s="9" t="str">
        <f t="shared" si="56"/>
        <v/>
      </c>
      <c r="X378" s="10">
        <f>SUM(V$13:V378)/COUNTA(B$13:B378)</f>
        <v>0</v>
      </c>
      <c r="Z378" s="5"/>
      <c r="AA378" s="5"/>
      <c r="AC378" s="7"/>
      <c r="AE378" s="54" t="e">
        <f t="shared" si="57"/>
        <v>#N/A</v>
      </c>
      <c r="AF378" s="4" t="e">
        <f t="shared" si="53"/>
        <v>#N/A</v>
      </c>
    </row>
    <row r="379" spans="2:32">
      <c r="B379" s="5">
        <f t="shared" si="58"/>
        <v>367</v>
      </c>
      <c r="C379" s="5"/>
      <c r="E379" s="13"/>
      <c r="F379" s="5"/>
      <c r="G379" s="11" t="str">
        <f>IF(ISERROR(AVERAGE(F$13:F379)),"n/a",AVERAGE(F$13:F379))</f>
        <v>n/a</v>
      </c>
      <c r="H379" s="11" t="str">
        <f t="shared" si="54"/>
        <v>n/a</v>
      </c>
      <c r="J379" s="5"/>
      <c r="K379" s="5"/>
      <c r="L379" s="5"/>
      <c r="M379" s="5"/>
      <c r="N379" s="5"/>
      <c r="O379" s="8" t="str">
        <f t="shared" si="52"/>
        <v>n/a</v>
      </c>
      <c r="Q379" s="5"/>
      <c r="R379" s="5"/>
      <c r="S379" s="5"/>
      <c r="U379" s="6"/>
      <c r="V379" s="9" t="str">
        <f t="shared" si="55"/>
        <v/>
      </c>
      <c r="W379" s="9" t="str">
        <f t="shared" si="56"/>
        <v/>
      </c>
      <c r="X379" s="10">
        <f>SUM(V$13:V379)/COUNTA(B$13:B379)</f>
        <v>0</v>
      </c>
      <c r="Z379" s="5"/>
      <c r="AA379" s="5"/>
      <c r="AC379" s="7"/>
      <c r="AE379" s="54" t="e">
        <f t="shared" si="57"/>
        <v>#N/A</v>
      </c>
      <c r="AF379" s="4" t="e">
        <f t="shared" si="53"/>
        <v>#N/A</v>
      </c>
    </row>
    <row r="380" spans="2:32">
      <c r="B380" s="5">
        <f t="shared" si="58"/>
        <v>368</v>
      </c>
      <c r="C380" s="5"/>
      <c r="E380" s="13"/>
      <c r="F380" s="5"/>
      <c r="G380" s="11" t="str">
        <f>IF(ISERROR(AVERAGE(F$13:F380)),"n/a",AVERAGE(F$13:F380))</f>
        <v>n/a</v>
      </c>
      <c r="H380" s="11" t="str">
        <f t="shared" si="54"/>
        <v>n/a</v>
      </c>
      <c r="J380" s="5"/>
      <c r="K380" s="5"/>
      <c r="L380" s="5"/>
      <c r="M380" s="5"/>
      <c r="N380" s="5"/>
      <c r="O380" s="8" t="str">
        <f t="shared" si="52"/>
        <v>n/a</v>
      </c>
      <c r="Q380" s="5"/>
      <c r="R380" s="5"/>
      <c r="S380" s="5"/>
      <c r="U380" s="6"/>
      <c r="V380" s="9" t="str">
        <f t="shared" si="55"/>
        <v/>
      </c>
      <c r="W380" s="9" t="str">
        <f t="shared" si="56"/>
        <v/>
      </c>
      <c r="X380" s="10">
        <f>SUM(V$13:V380)/COUNTA(B$13:B380)</f>
        <v>0</v>
      </c>
      <c r="Z380" s="5"/>
      <c r="AA380" s="5"/>
      <c r="AC380" s="7"/>
      <c r="AE380" s="54" t="e">
        <f t="shared" si="57"/>
        <v>#N/A</v>
      </c>
      <c r="AF380" s="4" t="e">
        <f t="shared" si="53"/>
        <v>#N/A</v>
      </c>
    </row>
    <row r="381" spans="2:32">
      <c r="B381" s="5">
        <f t="shared" si="58"/>
        <v>369</v>
      </c>
      <c r="C381" s="5"/>
      <c r="E381" s="13"/>
      <c r="F381" s="5"/>
      <c r="G381" s="11" t="str">
        <f>IF(ISERROR(AVERAGE(F$13:F381)),"n/a",AVERAGE(F$13:F381))</f>
        <v>n/a</v>
      </c>
      <c r="H381" s="11" t="str">
        <f t="shared" si="54"/>
        <v>n/a</v>
      </c>
      <c r="J381" s="5"/>
      <c r="K381" s="5"/>
      <c r="L381" s="5"/>
      <c r="M381" s="5"/>
      <c r="N381" s="5"/>
      <c r="O381" s="8" t="str">
        <f t="shared" si="52"/>
        <v>n/a</v>
      </c>
      <c r="Q381" s="5"/>
      <c r="R381" s="5"/>
      <c r="S381" s="5"/>
      <c r="U381" s="6"/>
      <c r="V381" s="9" t="str">
        <f t="shared" si="55"/>
        <v/>
      </c>
      <c r="W381" s="9" t="str">
        <f t="shared" si="56"/>
        <v/>
      </c>
      <c r="X381" s="10">
        <f>SUM(V$13:V381)/COUNTA(B$13:B381)</f>
        <v>0</v>
      </c>
      <c r="Z381" s="5"/>
      <c r="AA381" s="5"/>
      <c r="AC381" s="7"/>
      <c r="AE381" s="54" t="e">
        <f t="shared" si="57"/>
        <v>#N/A</v>
      </c>
      <c r="AF381" s="4" t="e">
        <f t="shared" si="53"/>
        <v>#N/A</v>
      </c>
    </row>
    <row r="382" spans="2:32">
      <c r="B382" s="5">
        <f t="shared" si="58"/>
        <v>370</v>
      </c>
      <c r="C382" s="5"/>
      <c r="E382" s="13"/>
      <c r="F382" s="5"/>
      <c r="G382" s="11" t="str">
        <f>IF(ISERROR(AVERAGE(F$13:F382)),"n/a",AVERAGE(F$13:F382))</f>
        <v>n/a</v>
      </c>
      <c r="H382" s="11" t="str">
        <f t="shared" si="54"/>
        <v>n/a</v>
      </c>
      <c r="J382" s="5"/>
      <c r="K382" s="5"/>
      <c r="L382" s="5"/>
      <c r="M382" s="5"/>
      <c r="N382" s="5"/>
      <c r="O382" s="8" t="str">
        <f t="shared" si="52"/>
        <v>n/a</v>
      </c>
      <c r="Q382" s="5"/>
      <c r="R382" s="5"/>
      <c r="S382" s="5"/>
      <c r="U382" s="6"/>
      <c r="V382" s="9" t="str">
        <f t="shared" si="55"/>
        <v/>
      </c>
      <c r="W382" s="9" t="str">
        <f t="shared" si="56"/>
        <v/>
      </c>
      <c r="X382" s="10">
        <f>SUM(V$13:V382)/COUNTA(B$13:B382)</f>
        <v>0</v>
      </c>
      <c r="Z382" s="5"/>
      <c r="AA382" s="5"/>
      <c r="AC382" s="7"/>
      <c r="AE382" s="54" t="e">
        <f t="shared" si="57"/>
        <v>#N/A</v>
      </c>
      <c r="AF382" s="4" t="e">
        <f t="shared" si="53"/>
        <v>#N/A</v>
      </c>
    </row>
    <row r="383" spans="2:32">
      <c r="B383" s="5">
        <f t="shared" si="58"/>
        <v>371</v>
      </c>
      <c r="C383" s="5"/>
      <c r="E383" s="13"/>
      <c r="F383" s="5"/>
      <c r="G383" s="11" t="str">
        <f>IF(ISERROR(AVERAGE(F$13:F383)),"n/a",AVERAGE(F$13:F383))</f>
        <v>n/a</v>
      </c>
      <c r="H383" s="11" t="str">
        <f t="shared" si="54"/>
        <v>n/a</v>
      </c>
      <c r="J383" s="5"/>
      <c r="K383" s="5"/>
      <c r="L383" s="5"/>
      <c r="M383" s="5"/>
      <c r="N383" s="5"/>
      <c r="O383" s="8" t="str">
        <f t="shared" si="52"/>
        <v>n/a</v>
      </c>
      <c r="Q383" s="5"/>
      <c r="R383" s="5"/>
      <c r="S383" s="5"/>
      <c r="U383" s="6"/>
      <c r="V383" s="9" t="str">
        <f t="shared" si="55"/>
        <v/>
      </c>
      <c r="W383" s="9" t="str">
        <f t="shared" si="56"/>
        <v/>
      </c>
      <c r="X383" s="10">
        <f>SUM(V$13:V383)/COUNTA(B$13:B383)</f>
        <v>0</v>
      </c>
      <c r="Z383" s="5"/>
      <c r="AA383" s="5"/>
      <c r="AC383" s="7"/>
      <c r="AE383" s="54" t="e">
        <f t="shared" si="57"/>
        <v>#N/A</v>
      </c>
      <c r="AF383" s="4" t="e">
        <f t="shared" si="53"/>
        <v>#N/A</v>
      </c>
    </row>
    <row r="384" spans="2:32">
      <c r="B384" s="5">
        <f t="shared" si="58"/>
        <v>372</v>
      </c>
      <c r="C384" s="5"/>
      <c r="E384" s="13"/>
      <c r="F384" s="5"/>
      <c r="G384" s="11" t="str">
        <f>IF(ISERROR(AVERAGE(F$13:F384)),"n/a",AVERAGE(F$13:F384))</f>
        <v>n/a</v>
      </c>
      <c r="H384" s="11" t="str">
        <f t="shared" si="54"/>
        <v>n/a</v>
      </c>
      <c r="J384" s="5"/>
      <c r="K384" s="5"/>
      <c r="L384" s="5"/>
      <c r="M384" s="5"/>
      <c r="N384" s="5"/>
      <c r="O384" s="8" t="str">
        <f t="shared" si="52"/>
        <v>n/a</v>
      </c>
      <c r="Q384" s="5"/>
      <c r="R384" s="5"/>
      <c r="S384" s="5"/>
      <c r="U384" s="6"/>
      <c r="V384" s="9" t="str">
        <f t="shared" si="55"/>
        <v/>
      </c>
      <c r="W384" s="9" t="str">
        <f t="shared" si="56"/>
        <v/>
      </c>
      <c r="X384" s="10">
        <f>SUM(V$13:V384)/COUNTA(B$13:B384)</f>
        <v>0</v>
      </c>
      <c r="Z384" s="5"/>
      <c r="AA384" s="5"/>
      <c r="AC384" s="7"/>
      <c r="AE384" s="54" t="e">
        <f t="shared" si="57"/>
        <v>#N/A</v>
      </c>
      <c r="AF384" s="4" t="e">
        <f t="shared" si="53"/>
        <v>#N/A</v>
      </c>
    </row>
    <row r="385" spans="2:32">
      <c r="B385" s="5">
        <f t="shared" si="58"/>
        <v>373</v>
      </c>
      <c r="C385" s="5"/>
      <c r="E385" s="13"/>
      <c r="F385" s="5"/>
      <c r="G385" s="11" t="str">
        <f>IF(ISERROR(AVERAGE(F$13:F385)),"n/a",AVERAGE(F$13:F385))</f>
        <v>n/a</v>
      </c>
      <c r="H385" s="11" t="str">
        <f t="shared" si="54"/>
        <v>n/a</v>
      </c>
      <c r="J385" s="5"/>
      <c r="K385" s="5"/>
      <c r="L385" s="5"/>
      <c r="M385" s="5"/>
      <c r="N385" s="5"/>
      <c r="O385" s="8" t="str">
        <f t="shared" si="52"/>
        <v>n/a</v>
      </c>
      <c r="Q385" s="5"/>
      <c r="R385" s="5"/>
      <c r="S385" s="5"/>
      <c r="U385" s="6"/>
      <c r="V385" s="9" t="str">
        <f t="shared" si="55"/>
        <v/>
      </c>
      <c r="W385" s="9" t="str">
        <f t="shared" si="56"/>
        <v/>
      </c>
      <c r="X385" s="10">
        <f>SUM(V$13:V385)/COUNTA(B$13:B385)</f>
        <v>0</v>
      </c>
      <c r="Z385" s="5"/>
      <c r="AA385" s="5"/>
      <c r="AC385" s="7"/>
      <c r="AE385" s="54" t="e">
        <f t="shared" si="57"/>
        <v>#N/A</v>
      </c>
      <c r="AF385" s="4" t="e">
        <f t="shared" si="53"/>
        <v>#N/A</v>
      </c>
    </row>
    <row r="386" spans="2:32">
      <c r="B386" s="5">
        <f t="shared" si="58"/>
        <v>374</v>
      </c>
      <c r="C386" s="5"/>
      <c r="E386" s="13"/>
      <c r="F386" s="5"/>
      <c r="G386" s="11" t="str">
        <f>IF(ISERROR(AVERAGE(F$13:F386)),"n/a",AVERAGE(F$13:F386))</f>
        <v>n/a</v>
      </c>
      <c r="H386" s="11" t="str">
        <f t="shared" si="54"/>
        <v>n/a</v>
      </c>
      <c r="J386" s="5"/>
      <c r="K386" s="5"/>
      <c r="L386" s="5"/>
      <c r="M386" s="5"/>
      <c r="N386" s="5"/>
      <c r="O386" s="8" t="str">
        <f t="shared" si="52"/>
        <v>n/a</v>
      </c>
      <c r="Q386" s="5"/>
      <c r="R386" s="5"/>
      <c r="S386" s="5"/>
      <c r="U386" s="6"/>
      <c r="V386" s="9" t="str">
        <f t="shared" si="55"/>
        <v/>
      </c>
      <c r="W386" s="9" t="str">
        <f t="shared" si="56"/>
        <v/>
      </c>
      <c r="X386" s="10">
        <f>SUM(V$13:V386)/COUNTA(B$13:B386)</f>
        <v>0</v>
      </c>
      <c r="Z386" s="5"/>
      <c r="AA386" s="5"/>
      <c r="AC386" s="7"/>
      <c r="AE386" s="54" t="e">
        <f t="shared" si="57"/>
        <v>#N/A</v>
      </c>
      <c r="AF386" s="4" t="e">
        <f t="shared" si="53"/>
        <v>#N/A</v>
      </c>
    </row>
    <row r="387" spans="2:32">
      <c r="B387" s="5">
        <f t="shared" si="58"/>
        <v>375</v>
      </c>
      <c r="C387" s="5"/>
      <c r="E387" s="13"/>
      <c r="F387" s="5"/>
      <c r="G387" s="11" t="str">
        <f>IF(ISERROR(AVERAGE(F$13:F387)),"n/a",AVERAGE(F$13:F387))</f>
        <v>n/a</v>
      </c>
      <c r="H387" s="11" t="str">
        <f t="shared" si="54"/>
        <v>n/a</v>
      </c>
      <c r="J387" s="5"/>
      <c r="K387" s="5"/>
      <c r="L387" s="5"/>
      <c r="M387" s="5"/>
      <c r="N387" s="5"/>
      <c r="O387" s="8" t="str">
        <f t="shared" si="52"/>
        <v>n/a</v>
      </c>
      <c r="Q387" s="5"/>
      <c r="R387" s="5"/>
      <c r="S387" s="5"/>
      <c r="U387" s="6"/>
      <c r="V387" s="9" t="str">
        <f t="shared" si="55"/>
        <v/>
      </c>
      <c r="W387" s="9" t="str">
        <f t="shared" si="56"/>
        <v/>
      </c>
      <c r="X387" s="10">
        <f>SUM(V$13:V387)/COUNTA(B$13:B387)</f>
        <v>0</v>
      </c>
      <c r="Z387" s="5"/>
      <c r="AA387" s="5"/>
      <c r="AC387" s="7"/>
      <c r="AE387" s="54" t="e">
        <f t="shared" si="57"/>
        <v>#N/A</v>
      </c>
      <c r="AF387" s="4" t="e">
        <f t="shared" si="53"/>
        <v>#N/A</v>
      </c>
    </row>
    <row r="388" spans="2:32">
      <c r="B388" s="5">
        <f t="shared" si="58"/>
        <v>376</v>
      </c>
      <c r="C388" s="5"/>
      <c r="E388" s="13"/>
      <c r="F388" s="5"/>
      <c r="G388" s="11" t="str">
        <f>IF(ISERROR(AVERAGE(F$13:F388)),"n/a",AVERAGE(F$13:F388))</f>
        <v>n/a</v>
      </c>
      <c r="H388" s="11" t="str">
        <f t="shared" si="54"/>
        <v>n/a</v>
      </c>
      <c r="J388" s="5"/>
      <c r="K388" s="5"/>
      <c r="L388" s="5"/>
      <c r="M388" s="5"/>
      <c r="N388" s="5"/>
      <c r="O388" s="8" t="str">
        <f t="shared" si="52"/>
        <v>n/a</v>
      </c>
      <c r="Q388" s="5"/>
      <c r="R388" s="5"/>
      <c r="S388" s="5"/>
      <c r="U388" s="6"/>
      <c r="V388" s="9" t="str">
        <f t="shared" si="55"/>
        <v/>
      </c>
      <c r="W388" s="9" t="str">
        <f t="shared" si="56"/>
        <v/>
      </c>
      <c r="X388" s="10">
        <f>SUM(V$13:V388)/COUNTA(B$13:B388)</f>
        <v>0</v>
      </c>
      <c r="Z388" s="5"/>
      <c r="AA388" s="5"/>
      <c r="AC388" s="7"/>
      <c r="AE388" s="54" t="e">
        <f t="shared" si="57"/>
        <v>#N/A</v>
      </c>
      <c r="AF388" s="4" t="e">
        <f t="shared" si="53"/>
        <v>#N/A</v>
      </c>
    </row>
    <row r="389" spans="2:32">
      <c r="B389" s="5">
        <f t="shared" si="58"/>
        <v>377</v>
      </c>
      <c r="C389" s="5"/>
      <c r="E389" s="13"/>
      <c r="F389" s="5"/>
      <c r="G389" s="11" t="str">
        <f>IF(ISERROR(AVERAGE(F$13:F389)),"n/a",AVERAGE(F$13:F389))</f>
        <v>n/a</v>
      </c>
      <c r="H389" s="11" t="str">
        <f t="shared" si="54"/>
        <v>n/a</v>
      </c>
      <c r="J389" s="5"/>
      <c r="K389" s="5"/>
      <c r="L389" s="5"/>
      <c r="M389" s="5"/>
      <c r="N389" s="5"/>
      <c r="O389" s="8" t="str">
        <f t="shared" si="52"/>
        <v>n/a</v>
      </c>
      <c r="Q389" s="5"/>
      <c r="R389" s="5"/>
      <c r="S389" s="5"/>
      <c r="U389" s="6"/>
      <c r="V389" s="9" t="str">
        <f t="shared" si="55"/>
        <v/>
      </c>
      <c r="W389" s="9" t="str">
        <f t="shared" si="56"/>
        <v/>
      </c>
      <c r="X389" s="10">
        <f>SUM(V$13:V389)/COUNTA(B$13:B389)</f>
        <v>0</v>
      </c>
      <c r="Z389" s="5"/>
      <c r="AA389" s="5"/>
      <c r="AC389" s="7"/>
      <c r="AE389" s="54" t="e">
        <f t="shared" si="57"/>
        <v>#N/A</v>
      </c>
      <c r="AF389" s="4" t="e">
        <f t="shared" si="53"/>
        <v>#N/A</v>
      </c>
    </row>
    <row r="390" spans="2:32">
      <c r="B390" s="5">
        <f t="shared" si="58"/>
        <v>378</v>
      </c>
      <c r="C390" s="5"/>
      <c r="E390" s="13"/>
      <c r="F390" s="5"/>
      <c r="G390" s="11" t="str">
        <f>IF(ISERROR(AVERAGE(F$13:F390)),"n/a",AVERAGE(F$13:F390))</f>
        <v>n/a</v>
      </c>
      <c r="H390" s="11" t="str">
        <f t="shared" si="54"/>
        <v>n/a</v>
      </c>
      <c r="J390" s="5"/>
      <c r="K390" s="5"/>
      <c r="L390" s="5"/>
      <c r="M390" s="5"/>
      <c r="N390" s="5"/>
      <c r="O390" s="8" t="str">
        <f t="shared" si="52"/>
        <v>n/a</v>
      </c>
      <c r="Q390" s="5"/>
      <c r="R390" s="5"/>
      <c r="S390" s="5"/>
      <c r="U390" s="6"/>
      <c r="V390" s="9" t="str">
        <f t="shared" si="55"/>
        <v/>
      </c>
      <c r="W390" s="9" t="str">
        <f t="shared" si="56"/>
        <v/>
      </c>
      <c r="X390" s="10">
        <f>SUM(V$13:V390)/COUNTA(B$13:B390)</f>
        <v>0</v>
      </c>
      <c r="Z390" s="5"/>
      <c r="AA390" s="5"/>
      <c r="AC390" s="7"/>
      <c r="AE390" s="54" t="e">
        <f t="shared" si="57"/>
        <v>#N/A</v>
      </c>
      <c r="AF390" s="4" t="e">
        <f t="shared" si="53"/>
        <v>#N/A</v>
      </c>
    </row>
    <row r="391" spans="2:32">
      <c r="B391" s="5">
        <f t="shared" si="58"/>
        <v>379</v>
      </c>
      <c r="C391" s="5"/>
      <c r="E391" s="13"/>
      <c r="F391" s="5"/>
      <c r="G391" s="11" t="str">
        <f>IF(ISERROR(AVERAGE(F$13:F391)),"n/a",AVERAGE(F$13:F391))</f>
        <v>n/a</v>
      </c>
      <c r="H391" s="11" t="str">
        <f t="shared" si="54"/>
        <v>n/a</v>
      </c>
      <c r="J391" s="5"/>
      <c r="K391" s="5"/>
      <c r="L391" s="5"/>
      <c r="M391" s="5"/>
      <c r="N391" s="5"/>
      <c r="O391" s="8" t="str">
        <f t="shared" si="52"/>
        <v>n/a</v>
      </c>
      <c r="Q391" s="5"/>
      <c r="R391" s="5"/>
      <c r="S391" s="5"/>
      <c r="U391" s="6"/>
      <c r="V391" s="9" t="str">
        <f t="shared" si="55"/>
        <v/>
      </c>
      <c r="W391" s="9" t="str">
        <f t="shared" si="56"/>
        <v/>
      </c>
      <c r="X391" s="10">
        <f>SUM(V$13:V391)/COUNTA(B$13:B391)</f>
        <v>0</v>
      </c>
      <c r="Z391" s="5"/>
      <c r="AA391" s="5"/>
      <c r="AC391" s="7"/>
      <c r="AE391" s="54" t="e">
        <f t="shared" si="57"/>
        <v>#N/A</v>
      </c>
      <c r="AF391" s="4" t="e">
        <f t="shared" si="53"/>
        <v>#N/A</v>
      </c>
    </row>
    <row r="392" spans="2:32">
      <c r="B392" s="5">
        <f t="shared" si="58"/>
        <v>380</v>
      </c>
      <c r="C392" s="5"/>
      <c r="E392" s="13"/>
      <c r="F392" s="5"/>
      <c r="G392" s="11" t="str">
        <f>IF(ISERROR(AVERAGE(F$13:F392)),"n/a",AVERAGE(F$13:F392))</f>
        <v>n/a</v>
      </c>
      <c r="H392" s="11" t="str">
        <f t="shared" si="54"/>
        <v>n/a</v>
      </c>
      <c r="J392" s="5"/>
      <c r="K392" s="5"/>
      <c r="L392" s="5"/>
      <c r="M392" s="5"/>
      <c r="N392" s="5"/>
      <c r="O392" s="8" t="str">
        <f t="shared" si="52"/>
        <v>n/a</v>
      </c>
      <c r="Q392" s="5"/>
      <c r="R392" s="5"/>
      <c r="S392" s="5"/>
      <c r="U392" s="6"/>
      <c r="V392" s="9" t="str">
        <f t="shared" si="55"/>
        <v/>
      </c>
      <c r="W392" s="9" t="str">
        <f t="shared" si="56"/>
        <v/>
      </c>
      <c r="X392" s="10">
        <f>SUM(V$13:V392)/COUNTA(B$13:B392)</f>
        <v>0</v>
      </c>
      <c r="Z392" s="5"/>
      <c r="AA392" s="5"/>
      <c r="AC392" s="7"/>
      <c r="AE392" s="54" t="e">
        <f t="shared" si="57"/>
        <v>#N/A</v>
      </c>
      <c r="AF392" s="4" t="e">
        <f t="shared" si="53"/>
        <v>#N/A</v>
      </c>
    </row>
    <row r="393" spans="2:32">
      <c r="B393" s="5">
        <f t="shared" si="58"/>
        <v>381</v>
      </c>
      <c r="C393" s="5"/>
      <c r="E393" s="13"/>
      <c r="F393" s="5"/>
      <c r="G393" s="11" t="str">
        <f>IF(ISERROR(AVERAGE(F$13:F393)),"n/a",AVERAGE(F$13:F393))</f>
        <v>n/a</v>
      </c>
      <c r="H393" s="11" t="str">
        <f t="shared" si="54"/>
        <v>n/a</v>
      </c>
      <c r="J393" s="5"/>
      <c r="K393" s="5"/>
      <c r="L393" s="5"/>
      <c r="M393" s="5"/>
      <c r="N393" s="5"/>
      <c r="O393" s="8" t="str">
        <f t="shared" si="52"/>
        <v>n/a</v>
      </c>
      <c r="Q393" s="5"/>
      <c r="R393" s="5"/>
      <c r="S393" s="5"/>
      <c r="U393" s="6"/>
      <c r="V393" s="9" t="str">
        <f t="shared" si="55"/>
        <v/>
      </c>
      <c r="W393" s="9" t="str">
        <f t="shared" si="56"/>
        <v/>
      </c>
      <c r="X393" s="10">
        <f>SUM(V$13:V393)/COUNTA(B$13:B393)</f>
        <v>0</v>
      </c>
      <c r="Z393" s="5"/>
      <c r="AA393" s="5"/>
      <c r="AC393" s="7"/>
      <c r="AE393" s="54" t="e">
        <f t="shared" si="57"/>
        <v>#N/A</v>
      </c>
      <c r="AF393" s="4" t="e">
        <f t="shared" si="53"/>
        <v>#N/A</v>
      </c>
    </row>
    <row r="394" spans="2:32">
      <c r="B394" s="5">
        <f t="shared" si="58"/>
        <v>382</v>
      </c>
      <c r="C394" s="5"/>
      <c r="E394" s="13"/>
      <c r="F394" s="5"/>
      <c r="G394" s="11" t="str">
        <f>IF(ISERROR(AVERAGE(F$13:F394)),"n/a",AVERAGE(F$13:F394))</f>
        <v>n/a</v>
      </c>
      <c r="H394" s="11" t="str">
        <f t="shared" si="54"/>
        <v>n/a</v>
      </c>
      <c r="J394" s="5"/>
      <c r="K394" s="5"/>
      <c r="L394" s="5"/>
      <c r="M394" s="5"/>
      <c r="N394" s="5"/>
      <c r="O394" s="8" t="str">
        <f t="shared" si="52"/>
        <v>n/a</v>
      </c>
      <c r="Q394" s="5"/>
      <c r="R394" s="5"/>
      <c r="S394" s="5"/>
      <c r="U394" s="6"/>
      <c r="V394" s="9" t="str">
        <f t="shared" si="55"/>
        <v/>
      </c>
      <c r="W394" s="9" t="str">
        <f t="shared" si="56"/>
        <v/>
      </c>
      <c r="X394" s="10">
        <f>SUM(V$13:V394)/COUNTA(B$13:B394)</f>
        <v>0</v>
      </c>
      <c r="Z394" s="5"/>
      <c r="AA394" s="5"/>
      <c r="AC394" s="7"/>
      <c r="AE394" s="54" t="e">
        <f t="shared" si="57"/>
        <v>#N/A</v>
      </c>
      <c r="AF394" s="4" t="e">
        <f t="shared" si="53"/>
        <v>#N/A</v>
      </c>
    </row>
    <row r="395" spans="2:32">
      <c r="B395" s="5">
        <f t="shared" si="58"/>
        <v>383</v>
      </c>
      <c r="C395" s="5"/>
      <c r="E395" s="13"/>
      <c r="F395" s="5"/>
      <c r="G395" s="11" t="str">
        <f>IF(ISERROR(AVERAGE(F$13:F395)),"n/a",AVERAGE(F$13:F395))</f>
        <v>n/a</v>
      </c>
      <c r="H395" s="11" t="str">
        <f t="shared" si="54"/>
        <v>n/a</v>
      </c>
      <c r="J395" s="5"/>
      <c r="K395" s="5"/>
      <c r="L395" s="5"/>
      <c r="M395" s="5"/>
      <c r="N395" s="5"/>
      <c r="O395" s="8" t="str">
        <f t="shared" si="52"/>
        <v>n/a</v>
      </c>
      <c r="Q395" s="5"/>
      <c r="R395" s="5"/>
      <c r="S395" s="5"/>
      <c r="U395" s="6"/>
      <c r="V395" s="9" t="str">
        <f t="shared" si="55"/>
        <v/>
      </c>
      <c r="W395" s="9" t="str">
        <f t="shared" si="56"/>
        <v/>
      </c>
      <c r="X395" s="10">
        <f>SUM(V$13:V395)/COUNTA(B$13:B395)</f>
        <v>0</v>
      </c>
      <c r="Z395" s="5"/>
      <c r="AA395" s="5"/>
      <c r="AC395" s="7"/>
      <c r="AE395" s="54" t="e">
        <f t="shared" si="57"/>
        <v>#N/A</v>
      </c>
      <c r="AF395" s="4" t="e">
        <f t="shared" si="53"/>
        <v>#N/A</v>
      </c>
    </row>
    <row r="396" spans="2:32">
      <c r="B396" s="5">
        <f t="shared" si="58"/>
        <v>384</v>
      </c>
      <c r="C396" s="5"/>
      <c r="E396" s="13"/>
      <c r="F396" s="5"/>
      <c r="G396" s="11" t="str">
        <f>IF(ISERROR(AVERAGE(F$13:F396)),"n/a",AVERAGE(F$13:F396))</f>
        <v>n/a</v>
      </c>
      <c r="H396" s="11" t="str">
        <f t="shared" si="54"/>
        <v>n/a</v>
      </c>
      <c r="J396" s="5"/>
      <c r="K396" s="5"/>
      <c r="L396" s="5"/>
      <c r="M396" s="5"/>
      <c r="N396" s="5"/>
      <c r="O396" s="8" t="str">
        <f t="shared" si="52"/>
        <v>n/a</v>
      </c>
      <c r="Q396" s="5"/>
      <c r="R396" s="5"/>
      <c r="S396" s="5"/>
      <c r="U396" s="6"/>
      <c r="V396" s="9" t="str">
        <f t="shared" si="55"/>
        <v/>
      </c>
      <c r="W396" s="9" t="str">
        <f t="shared" si="56"/>
        <v/>
      </c>
      <c r="X396" s="10">
        <f>SUM(V$13:V396)/COUNTA(B$13:B396)</f>
        <v>0</v>
      </c>
      <c r="Z396" s="5"/>
      <c r="AA396" s="5"/>
      <c r="AC396" s="7"/>
      <c r="AE396" s="54" t="e">
        <f t="shared" si="57"/>
        <v>#N/A</v>
      </c>
      <c r="AF396" s="4" t="e">
        <f t="shared" si="53"/>
        <v>#N/A</v>
      </c>
    </row>
    <row r="397" spans="2:32">
      <c r="B397" s="5">
        <f t="shared" si="58"/>
        <v>385</v>
      </c>
      <c r="C397" s="5"/>
      <c r="E397" s="13"/>
      <c r="F397" s="5"/>
      <c r="G397" s="11" t="str">
        <f>IF(ISERROR(AVERAGE(F$13:F397)),"n/a",AVERAGE(F$13:F397))</f>
        <v>n/a</v>
      </c>
      <c r="H397" s="11" t="str">
        <f t="shared" si="54"/>
        <v>n/a</v>
      </c>
      <c r="J397" s="5"/>
      <c r="K397" s="5"/>
      <c r="L397" s="5"/>
      <c r="M397" s="5"/>
      <c r="N397" s="5"/>
      <c r="O397" s="8" t="str">
        <f t="shared" ref="O397:O460" si="59">IF(J397=1,"A",IF(K397=1,"B",IF(L397=1,"C",IF(M397=1,"D",IF(N397=1,"E","n/a")))))</f>
        <v>n/a</v>
      </c>
      <c r="Q397" s="5"/>
      <c r="R397" s="5"/>
      <c r="S397" s="5"/>
      <c r="U397" s="6"/>
      <c r="V397" s="9" t="str">
        <f t="shared" si="55"/>
        <v/>
      </c>
      <c r="W397" s="9" t="str">
        <f t="shared" si="56"/>
        <v/>
      </c>
      <c r="X397" s="10">
        <f>SUM(V$13:V397)/COUNTA(B$13:B397)</f>
        <v>0</v>
      </c>
      <c r="Z397" s="5"/>
      <c r="AA397" s="5"/>
      <c r="AC397" s="7"/>
      <c r="AE397" s="54" t="e">
        <f t="shared" si="57"/>
        <v>#N/A</v>
      </c>
      <c r="AF397" s="4" t="e">
        <f t="shared" ref="AF397:AF460" si="60">HLOOKUP(C397,$K$6:$O$7,2,FALSE)</f>
        <v>#N/A</v>
      </c>
    </row>
    <row r="398" spans="2:32">
      <c r="B398" s="5">
        <f t="shared" si="58"/>
        <v>386</v>
      </c>
      <c r="C398" s="5"/>
      <c r="E398" s="13"/>
      <c r="F398" s="5"/>
      <c r="G398" s="11" t="str">
        <f>IF(ISERROR(AVERAGE(F$13:F398)),"n/a",AVERAGE(F$13:F398))</f>
        <v>n/a</v>
      </c>
      <c r="H398" s="11" t="str">
        <f t="shared" ref="H398:H461" si="61">G398</f>
        <v>n/a</v>
      </c>
      <c r="J398" s="5"/>
      <c r="K398" s="5"/>
      <c r="L398" s="5"/>
      <c r="M398" s="5"/>
      <c r="N398" s="5"/>
      <c r="O398" s="8" t="str">
        <f t="shared" si="59"/>
        <v>n/a</v>
      </c>
      <c r="Q398" s="5"/>
      <c r="R398" s="5"/>
      <c r="S398" s="5"/>
      <c r="U398" s="6"/>
      <c r="V398" s="9" t="str">
        <f t="shared" ref="V398:V461" si="62">IF(O398="n/a","",IF(O398=U398,1,""))</f>
        <v/>
      </c>
      <c r="W398" s="9" t="str">
        <f t="shared" ref="W398:W461" si="63">IF(O398="n/a","",IF(O398&lt;&gt;U398,1,""))</f>
        <v/>
      </c>
      <c r="X398" s="10">
        <f>SUM(V$13:V398)/COUNTA(B$13:B398)</f>
        <v>0</v>
      </c>
      <c r="Z398" s="5"/>
      <c r="AA398" s="5"/>
      <c r="AC398" s="7"/>
      <c r="AE398" s="54" t="e">
        <f t="shared" ref="AE398:AE461" si="64">+IF($F$4=0,0,IF(W398=1,1,IF(OR(R398*$F$8=1,S398*$F$9=1,F398&gt;=AF398),2,0)))</f>
        <v>#N/A</v>
      </c>
      <c r="AF398" s="4" t="e">
        <f t="shared" si="60"/>
        <v>#N/A</v>
      </c>
    </row>
    <row r="399" spans="2:32">
      <c r="B399" s="5">
        <f t="shared" si="58"/>
        <v>387</v>
      </c>
      <c r="C399" s="5"/>
      <c r="E399" s="13"/>
      <c r="F399" s="5"/>
      <c r="G399" s="11" t="str">
        <f>IF(ISERROR(AVERAGE(F$13:F399)),"n/a",AVERAGE(F$13:F399))</f>
        <v>n/a</v>
      </c>
      <c r="H399" s="11" t="str">
        <f t="shared" si="61"/>
        <v>n/a</v>
      </c>
      <c r="J399" s="5"/>
      <c r="K399" s="5"/>
      <c r="L399" s="5"/>
      <c r="M399" s="5"/>
      <c r="N399" s="5"/>
      <c r="O399" s="8" t="str">
        <f t="shared" si="59"/>
        <v>n/a</v>
      </c>
      <c r="Q399" s="5"/>
      <c r="R399" s="5"/>
      <c r="S399" s="5"/>
      <c r="U399" s="6"/>
      <c r="V399" s="9" t="str">
        <f t="shared" si="62"/>
        <v/>
      </c>
      <c r="W399" s="9" t="str">
        <f t="shared" si="63"/>
        <v/>
      </c>
      <c r="X399" s="10">
        <f>SUM(V$13:V399)/COUNTA(B$13:B399)</f>
        <v>0</v>
      </c>
      <c r="Z399" s="5"/>
      <c r="AA399" s="5"/>
      <c r="AC399" s="7"/>
      <c r="AE399" s="54" t="e">
        <f t="shared" si="64"/>
        <v>#N/A</v>
      </c>
      <c r="AF399" s="4" t="e">
        <f t="shared" si="60"/>
        <v>#N/A</v>
      </c>
    </row>
    <row r="400" spans="2:32">
      <c r="B400" s="5">
        <f t="shared" si="58"/>
        <v>388</v>
      </c>
      <c r="C400" s="5"/>
      <c r="E400" s="13"/>
      <c r="F400" s="5"/>
      <c r="G400" s="11" t="str">
        <f>IF(ISERROR(AVERAGE(F$13:F400)),"n/a",AVERAGE(F$13:F400))</f>
        <v>n/a</v>
      </c>
      <c r="H400" s="11" t="str">
        <f t="shared" si="61"/>
        <v>n/a</v>
      </c>
      <c r="J400" s="5"/>
      <c r="K400" s="5"/>
      <c r="L400" s="5"/>
      <c r="M400" s="5"/>
      <c r="N400" s="5"/>
      <c r="O400" s="8" t="str">
        <f t="shared" si="59"/>
        <v>n/a</v>
      </c>
      <c r="Q400" s="5"/>
      <c r="R400" s="5"/>
      <c r="S400" s="5"/>
      <c r="U400" s="6"/>
      <c r="V400" s="9" t="str">
        <f t="shared" si="62"/>
        <v/>
      </c>
      <c r="W400" s="9" t="str">
        <f t="shared" si="63"/>
        <v/>
      </c>
      <c r="X400" s="10">
        <f>SUM(V$13:V400)/COUNTA(B$13:B400)</f>
        <v>0</v>
      </c>
      <c r="Z400" s="5"/>
      <c r="AA400" s="5"/>
      <c r="AC400" s="7"/>
      <c r="AE400" s="54" t="e">
        <f t="shared" si="64"/>
        <v>#N/A</v>
      </c>
      <c r="AF400" s="4" t="e">
        <f t="shared" si="60"/>
        <v>#N/A</v>
      </c>
    </row>
    <row r="401" spans="2:32">
      <c r="B401" s="5">
        <f t="shared" si="58"/>
        <v>389</v>
      </c>
      <c r="C401" s="5"/>
      <c r="E401" s="13"/>
      <c r="F401" s="5"/>
      <c r="G401" s="11" t="str">
        <f>IF(ISERROR(AVERAGE(F$13:F401)),"n/a",AVERAGE(F$13:F401))</f>
        <v>n/a</v>
      </c>
      <c r="H401" s="11" t="str">
        <f t="shared" si="61"/>
        <v>n/a</v>
      </c>
      <c r="J401" s="5"/>
      <c r="K401" s="5"/>
      <c r="L401" s="5"/>
      <c r="M401" s="5"/>
      <c r="N401" s="5"/>
      <c r="O401" s="8" t="str">
        <f t="shared" si="59"/>
        <v>n/a</v>
      </c>
      <c r="Q401" s="5"/>
      <c r="R401" s="5"/>
      <c r="S401" s="5"/>
      <c r="U401" s="6"/>
      <c r="V401" s="9" t="str">
        <f t="shared" si="62"/>
        <v/>
      </c>
      <c r="W401" s="9" t="str">
        <f t="shared" si="63"/>
        <v/>
      </c>
      <c r="X401" s="10">
        <f>SUM(V$13:V401)/COUNTA(B$13:B401)</f>
        <v>0</v>
      </c>
      <c r="Z401" s="5"/>
      <c r="AA401" s="5"/>
      <c r="AC401" s="7"/>
      <c r="AE401" s="54" t="e">
        <f t="shared" si="64"/>
        <v>#N/A</v>
      </c>
      <c r="AF401" s="4" t="e">
        <f t="shared" si="60"/>
        <v>#N/A</v>
      </c>
    </row>
    <row r="402" spans="2:32">
      <c r="B402" s="5">
        <f t="shared" si="58"/>
        <v>390</v>
      </c>
      <c r="C402" s="5"/>
      <c r="E402" s="13"/>
      <c r="F402" s="5"/>
      <c r="G402" s="11" t="str">
        <f>IF(ISERROR(AVERAGE(F$13:F402)),"n/a",AVERAGE(F$13:F402))</f>
        <v>n/a</v>
      </c>
      <c r="H402" s="11" t="str">
        <f t="shared" si="61"/>
        <v>n/a</v>
      </c>
      <c r="J402" s="5"/>
      <c r="K402" s="5"/>
      <c r="L402" s="5"/>
      <c r="M402" s="5"/>
      <c r="N402" s="5"/>
      <c r="O402" s="8" t="str">
        <f t="shared" si="59"/>
        <v>n/a</v>
      </c>
      <c r="Q402" s="5"/>
      <c r="R402" s="5"/>
      <c r="S402" s="5"/>
      <c r="U402" s="6"/>
      <c r="V402" s="9" t="str">
        <f t="shared" si="62"/>
        <v/>
      </c>
      <c r="W402" s="9" t="str">
        <f t="shared" si="63"/>
        <v/>
      </c>
      <c r="X402" s="10">
        <f>SUM(V$13:V402)/COUNTA(B$13:B402)</f>
        <v>0</v>
      </c>
      <c r="Z402" s="5"/>
      <c r="AA402" s="5"/>
      <c r="AC402" s="7"/>
      <c r="AE402" s="54" t="e">
        <f t="shared" si="64"/>
        <v>#N/A</v>
      </c>
      <c r="AF402" s="4" t="e">
        <f t="shared" si="60"/>
        <v>#N/A</v>
      </c>
    </row>
    <row r="403" spans="2:32">
      <c r="B403" s="5">
        <f t="shared" ref="B403:B466" si="65">+B402+1</f>
        <v>391</v>
      </c>
      <c r="C403" s="5"/>
      <c r="E403" s="13"/>
      <c r="F403" s="5"/>
      <c r="G403" s="11" t="str">
        <f>IF(ISERROR(AVERAGE(F$13:F403)),"n/a",AVERAGE(F$13:F403))</f>
        <v>n/a</v>
      </c>
      <c r="H403" s="11" t="str">
        <f t="shared" si="61"/>
        <v>n/a</v>
      </c>
      <c r="J403" s="5"/>
      <c r="K403" s="5"/>
      <c r="L403" s="5"/>
      <c r="M403" s="5"/>
      <c r="N403" s="5"/>
      <c r="O403" s="8" t="str">
        <f t="shared" si="59"/>
        <v>n/a</v>
      </c>
      <c r="Q403" s="5"/>
      <c r="R403" s="5"/>
      <c r="S403" s="5"/>
      <c r="U403" s="6"/>
      <c r="V403" s="9" t="str">
        <f t="shared" si="62"/>
        <v/>
      </c>
      <c r="W403" s="9" t="str">
        <f t="shared" si="63"/>
        <v/>
      </c>
      <c r="X403" s="10">
        <f>SUM(V$13:V403)/COUNTA(B$13:B403)</f>
        <v>0</v>
      </c>
      <c r="Z403" s="5"/>
      <c r="AA403" s="5"/>
      <c r="AC403" s="7"/>
      <c r="AE403" s="54" t="e">
        <f t="shared" si="64"/>
        <v>#N/A</v>
      </c>
      <c r="AF403" s="4" t="e">
        <f t="shared" si="60"/>
        <v>#N/A</v>
      </c>
    </row>
    <row r="404" spans="2:32">
      <c r="B404" s="5">
        <f t="shared" si="65"/>
        <v>392</v>
      </c>
      <c r="C404" s="5"/>
      <c r="E404" s="13"/>
      <c r="F404" s="5"/>
      <c r="G404" s="11" t="str">
        <f>IF(ISERROR(AVERAGE(F$13:F404)),"n/a",AVERAGE(F$13:F404))</f>
        <v>n/a</v>
      </c>
      <c r="H404" s="11" t="str">
        <f t="shared" si="61"/>
        <v>n/a</v>
      </c>
      <c r="J404" s="5"/>
      <c r="K404" s="5"/>
      <c r="L404" s="5"/>
      <c r="M404" s="5"/>
      <c r="N404" s="5"/>
      <c r="O404" s="8" t="str">
        <f t="shared" si="59"/>
        <v>n/a</v>
      </c>
      <c r="Q404" s="5"/>
      <c r="R404" s="5"/>
      <c r="S404" s="5"/>
      <c r="U404" s="6"/>
      <c r="V404" s="9" t="str">
        <f t="shared" si="62"/>
        <v/>
      </c>
      <c r="W404" s="9" t="str">
        <f t="shared" si="63"/>
        <v/>
      </c>
      <c r="X404" s="10">
        <f>SUM(V$13:V404)/COUNTA(B$13:B404)</f>
        <v>0</v>
      </c>
      <c r="Z404" s="5"/>
      <c r="AA404" s="5"/>
      <c r="AC404" s="7"/>
      <c r="AE404" s="54" t="e">
        <f t="shared" si="64"/>
        <v>#N/A</v>
      </c>
      <c r="AF404" s="4" t="e">
        <f t="shared" si="60"/>
        <v>#N/A</v>
      </c>
    </row>
    <row r="405" spans="2:32">
      <c r="B405" s="5">
        <f t="shared" si="65"/>
        <v>393</v>
      </c>
      <c r="C405" s="5"/>
      <c r="E405" s="13"/>
      <c r="F405" s="5"/>
      <c r="G405" s="11" t="str">
        <f>IF(ISERROR(AVERAGE(F$13:F405)),"n/a",AVERAGE(F$13:F405))</f>
        <v>n/a</v>
      </c>
      <c r="H405" s="11" t="str">
        <f t="shared" si="61"/>
        <v>n/a</v>
      </c>
      <c r="J405" s="5"/>
      <c r="K405" s="5"/>
      <c r="L405" s="5"/>
      <c r="M405" s="5"/>
      <c r="N405" s="5"/>
      <c r="O405" s="8" t="str">
        <f t="shared" si="59"/>
        <v>n/a</v>
      </c>
      <c r="Q405" s="5"/>
      <c r="R405" s="5"/>
      <c r="S405" s="5"/>
      <c r="U405" s="6"/>
      <c r="V405" s="9" t="str">
        <f t="shared" si="62"/>
        <v/>
      </c>
      <c r="W405" s="9" t="str">
        <f t="shared" si="63"/>
        <v/>
      </c>
      <c r="X405" s="10">
        <f>SUM(V$13:V405)/COUNTA(B$13:B405)</f>
        <v>0</v>
      </c>
      <c r="Z405" s="5"/>
      <c r="AA405" s="5"/>
      <c r="AC405" s="7"/>
      <c r="AE405" s="54" t="e">
        <f t="shared" si="64"/>
        <v>#N/A</v>
      </c>
      <c r="AF405" s="4" t="e">
        <f t="shared" si="60"/>
        <v>#N/A</v>
      </c>
    </row>
    <row r="406" spans="2:32">
      <c r="B406" s="5">
        <f t="shared" si="65"/>
        <v>394</v>
      </c>
      <c r="C406" s="5"/>
      <c r="E406" s="13"/>
      <c r="F406" s="5"/>
      <c r="G406" s="11" t="str">
        <f>IF(ISERROR(AVERAGE(F$13:F406)),"n/a",AVERAGE(F$13:F406))</f>
        <v>n/a</v>
      </c>
      <c r="H406" s="11" t="str">
        <f t="shared" si="61"/>
        <v>n/a</v>
      </c>
      <c r="J406" s="5"/>
      <c r="K406" s="5"/>
      <c r="L406" s="5"/>
      <c r="M406" s="5"/>
      <c r="N406" s="5"/>
      <c r="O406" s="8" t="str">
        <f t="shared" si="59"/>
        <v>n/a</v>
      </c>
      <c r="Q406" s="5"/>
      <c r="R406" s="5"/>
      <c r="S406" s="5"/>
      <c r="U406" s="6"/>
      <c r="V406" s="9" t="str">
        <f t="shared" si="62"/>
        <v/>
      </c>
      <c r="W406" s="9" t="str">
        <f t="shared" si="63"/>
        <v/>
      </c>
      <c r="X406" s="10">
        <f>SUM(V$13:V406)/COUNTA(B$13:B406)</f>
        <v>0</v>
      </c>
      <c r="Z406" s="5"/>
      <c r="AA406" s="5"/>
      <c r="AC406" s="7"/>
      <c r="AE406" s="54" t="e">
        <f t="shared" si="64"/>
        <v>#N/A</v>
      </c>
      <c r="AF406" s="4" t="e">
        <f t="shared" si="60"/>
        <v>#N/A</v>
      </c>
    </row>
    <row r="407" spans="2:32">
      <c r="B407" s="5">
        <f t="shared" si="65"/>
        <v>395</v>
      </c>
      <c r="C407" s="5"/>
      <c r="E407" s="13"/>
      <c r="F407" s="5"/>
      <c r="G407" s="11" t="str">
        <f>IF(ISERROR(AVERAGE(F$13:F407)),"n/a",AVERAGE(F$13:F407))</f>
        <v>n/a</v>
      </c>
      <c r="H407" s="11" t="str">
        <f t="shared" si="61"/>
        <v>n/a</v>
      </c>
      <c r="J407" s="5"/>
      <c r="K407" s="5"/>
      <c r="L407" s="5"/>
      <c r="M407" s="5"/>
      <c r="N407" s="5"/>
      <c r="O407" s="8" t="str">
        <f t="shared" si="59"/>
        <v>n/a</v>
      </c>
      <c r="Q407" s="5"/>
      <c r="R407" s="5"/>
      <c r="S407" s="5"/>
      <c r="U407" s="6"/>
      <c r="V407" s="9" t="str">
        <f t="shared" si="62"/>
        <v/>
      </c>
      <c r="W407" s="9" t="str">
        <f t="shared" si="63"/>
        <v/>
      </c>
      <c r="X407" s="10">
        <f>SUM(V$13:V407)/COUNTA(B$13:B407)</f>
        <v>0</v>
      </c>
      <c r="Z407" s="5"/>
      <c r="AA407" s="5"/>
      <c r="AC407" s="7"/>
      <c r="AE407" s="54" t="e">
        <f t="shared" si="64"/>
        <v>#N/A</v>
      </c>
      <c r="AF407" s="4" t="e">
        <f t="shared" si="60"/>
        <v>#N/A</v>
      </c>
    </row>
    <row r="408" spans="2:32">
      <c r="B408" s="5">
        <f t="shared" si="65"/>
        <v>396</v>
      </c>
      <c r="C408" s="5"/>
      <c r="E408" s="13"/>
      <c r="F408" s="5"/>
      <c r="G408" s="11" t="str">
        <f>IF(ISERROR(AVERAGE(F$13:F408)),"n/a",AVERAGE(F$13:F408))</f>
        <v>n/a</v>
      </c>
      <c r="H408" s="11" t="str">
        <f t="shared" si="61"/>
        <v>n/a</v>
      </c>
      <c r="J408" s="5"/>
      <c r="K408" s="5"/>
      <c r="L408" s="5"/>
      <c r="M408" s="5"/>
      <c r="N408" s="5"/>
      <c r="O408" s="8" t="str">
        <f t="shared" si="59"/>
        <v>n/a</v>
      </c>
      <c r="Q408" s="5"/>
      <c r="R408" s="5"/>
      <c r="S408" s="5"/>
      <c r="U408" s="6"/>
      <c r="V408" s="9" t="str">
        <f t="shared" si="62"/>
        <v/>
      </c>
      <c r="W408" s="9" t="str">
        <f t="shared" si="63"/>
        <v/>
      </c>
      <c r="X408" s="10">
        <f>SUM(V$13:V408)/COUNTA(B$13:B408)</f>
        <v>0</v>
      </c>
      <c r="Z408" s="5"/>
      <c r="AA408" s="5"/>
      <c r="AC408" s="7"/>
      <c r="AE408" s="54" t="e">
        <f t="shared" si="64"/>
        <v>#N/A</v>
      </c>
      <c r="AF408" s="4" t="e">
        <f t="shared" si="60"/>
        <v>#N/A</v>
      </c>
    </row>
    <row r="409" spans="2:32">
      <c r="B409" s="5">
        <f t="shared" si="65"/>
        <v>397</v>
      </c>
      <c r="C409" s="5"/>
      <c r="E409" s="13"/>
      <c r="F409" s="5"/>
      <c r="G409" s="11" t="str">
        <f>IF(ISERROR(AVERAGE(F$13:F409)),"n/a",AVERAGE(F$13:F409))</f>
        <v>n/a</v>
      </c>
      <c r="H409" s="11" t="str">
        <f t="shared" si="61"/>
        <v>n/a</v>
      </c>
      <c r="J409" s="5"/>
      <c r="K409" s="5"/>
      <c r="L409" s="5"/>
      <c r="M409" s="5"/>
      <c r="N409" s="5"/>
      <c r="O409" s="8" t="str">
        <f t="shared" si="59"/>
        <v>n/a</v>
      </c>
      <c r="Q409" s="5"/>
      <c r="R409" s="5"/>
      <c r="S409" s="5"/>
      <c r="U409" s="6"/>
      <c r="V409" s="9" t="str">
        <f t="shared" si="62"/>
        <v/>
      </c>
      <c r="W409" s="9" t="str">
        <f t="shared" si="63"/>
        <v/>
      </c>
      <c r="X409" s="10">
        <f>SUM(V$13:V409)/COUNTA(B$13:B409)</f>
        <v>0</v>
      </c>
      <c r="Z409" s="5"/>
      <c r="AA409" s="5"/>
      <c r="AC409" s="7"/>
      <c r="AE409" s="54" t="e">
        <f t="shared" si="64"/>
        <v>#N/A</v>
      </c>
      <c r="AF409" s="4" t="e">
        <f t="shared" si="60"/>
        <v>#N/A</v>
      </c>
    </row>
    <row r="410" spans="2:32">
      <c r="B410" s="5">
        <f t="shared" si="65"/>
        <v>398</v>
      </c>
      <c r="C410" s="5"/>
      <c r="E410" s="13"/>
      <c r="F410" s="5"/>
      <c r="G410" s="11" t="str">
        <f>IF(ISERROR(AVERAGE(F$13:F410)),"n/a",AVERAGE(F$13:F410))</f>
        <v>n/a</v>
      </c>
      <c r="H410" s="11" t="str">
        <f t="shared" si="61"/>
        <v>n/a</v>
      </c>
      <c r="J410" s="5"/>
      <c r="K410" s="5"/>
      <c r="L410" s="5"/>
      <c r="M410" s="5"/>
      <c r="N410" s="5"/>
      <c r="O410" s="8" t="str">
        <f t="shared" si="59"/>
        <v>n/a</v>
      </c>
      <c r="Q410" s="5"/>
      <c r="R410" s="5"/>
      <c r="S410" s="5"/>
      <c r="U410" s="6"/>
      <c r="V410" s="9" t="str">
        <f t="shared" si="62"/>
        <v/>
      </c>
      <c r="W410" s="9" t="str">
        <f t="shared" si="63"/>
        <v/>
      </c>
      <c r="X410" s="10">
        <f>SUM(V$13:V410)/COUNTA(B$13:B410)</f>
        <v>0</v>
      </c>
      <c r="Z410" s="5"/>
      <c r="AA410" s="5"/>
      <c r="AC410" s="7"/>
      <c r="AE410" s="54" t="e">
        <f t="shared" si="64"/>
        <v>#N/A</v>
      </c>
      <c r="AF410" s="4" t="e">
        <f t="shared" si="60"/>
        <v>#N/A</v>
      </c>
    </row>
    <row r="411" spans="2:32">
      <c r="B411" s="5">
        <f t="shared" si="65"/>
        <v>399</v>
      </c>
      <c r="C411" s="5"/>
      <c r="E411" s="13"/>
      <c r="F411" s="5"/>
      <c r="G411" s="11" t="str">
        <f>IF(ISERROR(AVERAGE(F$13:F411)),"n/a",AVERAGE(F$13:F411))</f>
        <v>n/a</v>
      </c>
      <c r="H411" s="11" t="str">
        <f t="shared" si="61"/>
        <v>n/a</v>
      </c>
      <c r="J411" s="5"/>
      <c r="K411" s="5"/>
      <c r="L411" s="5"/>
      <c r="M411" s="5"/>
      <c r="N411" s="5"/>
      <c r="O411" s="8" t="str">
        <f t="shared" si="59"/>
        <v>n/a</v>
      </c>
      <c r="Q411" s="5"/>
      <c r="R411" s="5"/>
      <c r="S411" s="5"/>
      <c r="U411" s="6"/>
      <c r="V411" s="9" t="str">
        <f t="shared" si="62"/>
        <v/>
      </c>
      <c r="W411" s="9" t="str">
        <f t="shared" si="63"/>
        <v/>
      </c>
      <c r="X411" s="10">
        <f>SUM(V$13:V411)/COUNTA(B$13:B411)</f>
        <v>0</v>
      </c>
      <c r="Z411" s="5"/>
      <c r="AA411" s="5"/>
      <c r="AC411" s="7"/>
      <c r="AE411" s="54" t="e">
        <f t="shared" si="64"/>
        <v>#N/A</v>
      </c>
      <c r="AF411" s="4" t="e">
        <f t="shared" si="60"/>
        <v>#N/A</v>
      </c>
    </row>
    <row r="412" spans="2:32">
      <c r="B412" s="5">
        <f t="shared" si="65"/>
        <v>400</v>
      </c>
      <c r="C412" s="5"/>
      <c r="E412" s="13"/>
      <c r="F412" s="5"/>
      <c r="G412" s="11" t="str">
        <f>IF(ISERROR(AVERAGE(F$13:F412)),"n/a",AVERAGE(F$13:F412))</f>
        <v>n/a</v>
      </c>
      <c r="H412" s="11" t="str">
        <f t="shared" si="61"/>
        <v>n/a</v>
      </c>
      <c r="J412" s="5"/>
      <c r="K412" s="5"/>
      <c r="L412" s="5"/>
      <c r="M412" s="5"/>
      <c r="N412" s="5"/>
      <c r="O412" s="8" t="str">
        <f t="shared" si="59"/>
        <v>n/a</v>
      </c>
      <c r="Q412" s="5"/>
      <c r="R412" s="5"/>
      <c r="S412" s="5"/>
      <c r="U412" s="6"/>
      <c r="V412" s="9" t="str">
        <f t="shared" si="62"/>
        <v/>
      </c>
      <c r="W412" s="9" t="str">
        <f t="shared" si="63"/>
        <v/>
      </c>
      <c r="X412" s="10">
        <f>SUM(V$13:V412)/COUNTA(B$13:B412)</f>
        <v>0</v>
      </c>
      <c r="Z412" s="5"/>
      <c r="AA412" s="5"/>
      <c r="AC412" s="7"/>
      <c r="AE412" s="54" t="e">
        <f t="shared" si="64"/>
        <v>#N/A</v>
      </c>
      <c r="AF412" s="4" t="e">
        <f t="shared" si="60"/>
        <v>#N/A</v>
      </c>
    </row>
    <row r="413" spans="2:32">
      <c r="B413" s="5">
        <f t="shared" si="65"/>
        <v>401</v>
      </c>
      <c r="C413" s="5"/>
      <c r="E413" s="13"/>
      <c r="F413" s="5"/>
      <c r="G413" s="11" t="str">
        <f>IF(ISERROR(AVERAGE(F$13:F413)),"n/a",AVERAGE(F$13:F413))</f>
        <v>n/a</v>
      </c>
      <c r="H413" s="11" t="str">
        <f t="shared" si="61"/>
        <v>n/a</v>
      </c>
      <c r="J413" s="5"/>
      <c r="K413" s="5"/>
      <c r="L413" s="5"/>
      <c r="M413" s="5"/>
      <c r="N413" s="5"/>
      <c r="O413" s="8" t="str">
        <f t="shared" si="59"/>
        <v>n/a</v>
      </c>
      <c r="Q413" s="5"/>
      <c r="R413" s="5"/>
      <c r="S413" s="5"/>
      <c r="U413" s="6"/>
      <c r="V413" s="9" t="str">
        <f t="shared" si="62"/>
        <v/>
      </c>
      <c r="W413" s="9" t="str">
        <f t="shared" si="63"/>
        <v/>
      </c>
      <c r="X413" s="10">
        <f>SUM(V$13:V413)/COUNTA(B$13:B413)</f>
        <v>0</v>
      </c>
      <c r="Z413" s="5"/>
      <c r="AA413" s="5"/>
      <c r="AC413" s="7"/>
      <c r="AE413" s="54" t="e">
        <f t="shared" si="64"/>
        <v>#N/A</v>
      </c>
      <c r="AF413" s="4" t="e">
        <f t="shared" si="60"/>
        <v>#N/A</v>
      </c>
    </row>
    <row r="414" spans="2:32">
      <c r="B414" s="5">
        <f t="shared" si="65"/>
        <v>402</v>
      </c>
      <c r="C414" s="5"/>
      <c r="E414" s="13"/>
      <c r="F414" s="5"/>
      <c r="G414" s="11" t="str">
        <f>IF(ISERROR(AVERAGE(F$13:F414)),"n/a",AVERAGE(F$13:F414))</f>
        <v>n/a</v>
      </c>
      <c r="H414" s="11" t="str">
        <f t="shared" si="61"/>
        <v>n/a</v>
      </c>
      <c r="J414" s="5"/>
      <c r="K414" s="5"/>
      <c r="L414" s="5"/>
      <c r="M414" s="5"/>
      <c r="N414" s="5"/>
      <c r="O414" s="8" t="str">
        <f t="shared" si="59"/>
        <v>n/a</v>
      </c>
      <c r="Q414" s="5"/>
      <c r="R414" s="5"/>
      <c r="S414" s="5"/>
      <c r="U414" s="6"/>
      <c r="V414" s="9" t="str">
        <f t="shared" si="62"/>
        <v/>
      </c>
      <c r="W414" s="9" t="str">
        <f t="shared" si="63"/>
        <v/>
      </c>
      <c r="X414" s="10">
        <f>SUM(V$13:V414)/COUNTA(B$13:B414)</f>
        <v>0</v>
      </c>
      <c r="Z414" s="5"/>
      <c r="AA414" s="5"/>
      <c r="AC414" s="7"/>
      <c r="AE414" s="54" t="e">
        <f t="shared" si="64"/>
        <v>#N/A</v>
      </c>
      <c r="AF414" s="4" t="e">
        <f t="shared" si="60"/>
        <v>#N/A</v>
      </c>
    </row>
    <row r="415" spans="2:32">
      <c r="B415" s="5">
        <f t="shared" si="65"/>
        <v>403</v>
      </c>
      <c r="C415" s="5"/>
      <c r="E415" s="13"/>
      <c r="F415" s="5"/>
      <c r="G415" s="11" t="str">
        <f>IF(ISERROR(AVERAGE(F$13:F415)),"n/a",AVERAGE(F$13:F415))</f>
        <v>n/a</v>
      </c>
      <c r="H415" s="11" t="str">
        <f t="shared" si="61"/>
        <v>n/a</v>
      </c>
      <c r="J415" s="5"/>
      <c r="K415" s="5"/>
      <c r="L415" s="5"/>
      <c r="M415" s="5"/>
      <c r="N415" s="5"/>
      <c r="O415" s="8" t="str">
        <f t="shared" si="59"/>
        <v>n/a</v>
      </c>
      <c r="Q415" s="5"/>
      <c r="R415" s="5"/>
      <c r="S415" s="5"/>
      <c r="U415" s="6"/>
      <c r="V415" s="9" t="str">
        <f t="shared" si="62"/>
        <v/>
      </c>
      <c r="W415" s="9" t="str">
        <f t="shared" si="63"/>
        <v/>
      </c>
      <c r="X415" s="10">
        <f>SUM(V$13:V415)/COUNTA(B$13:B415)</f>
        <v>0</v>
      </c>
      <c r="Z415" s="5"/>
      <c r="AA415" s="5"/>
      <c r="AC415" s="7"/>
      <c r="AE415" s="54" t="e">
        <f t="shared" si="64"/>
        <v>#N/A</v>
      </c>
      <c r="AF415" s="4" t="e">
        <f t="shared" si="60"/>
        <v>#N/A</v>
      </c>
    </row>
    <row r="416" spans="2:32">
      <c r="B416" s="5">
        <f t="shared" si="65"/>
        <v>404</v>
      </c>
      <c r="C416" s="5"/>
      <c r="E416" s="13"/>
      <c r="F416" s="5"/>
      <c r="G416" s="11" t="str">
        <f>IF(ISERROR(AVERAGE(F$13:F416)),"n/a",AVERAGE(F$13:F416))</f>
        <v>n/a</v>
      </c>
      <c r="H416" s="11" t="str">
        <f t="shared" si="61"/>
        <v>n/a</v>
      </c>
      <c r="J416" s="5"/>
      <c r="K416" s="5"/>
      <c r="L416" s="5"/>
      <c r="M416" s="5"/>
      <c r="N416" s="5"/>
      <c r="O416" s="8" t="str">
        <f t="shared" si="59"/>
        <v>n/a</v>
      </c>
      <c r="Q416" s="5"/>
      <c r="R416" s="5"/>
      <c r="S416" s="5"/>
      <c r="U416" s="6"/>
      <c r="V416" s="9" t="str">
        <f t="shared" si="62"/>
        <v/>
      </c>
      <c r="W416" s="9" t="str">
        <f t="shared" si="63"/>
        <v/>
      </c>
      <c r="X416" s="10">
        <f>SUM(V$13:V416)/COUNTA(B$13:B416)</f>
        <v>0</v>
      </c>
      <c r="Z416" s="5"/>
      <c r="AA416" s="5"/>
      <c r="AC416" s="7"/>
      <c r="AE416" s="54" t="e">
        <f t="shared" si="64"/>
        <v>#N/A</v>
      </c>
      <c r="AF416" s="4" t="e">
        <f t="shared" si="60"/>
        <v>#N/A</v>
      </c>
    </row>
    <row r="417" spans="2:32">
      <c r="B417" s="5">
        <f t="shared" si="65"/>
        <v>405</v>
      </c>
      <c r="C417" s="5"/>
      <c r="E417" s="13"/>
      <c r="F417" s="5"/>
      <c r="G417" s="11" t="str">
        <f>IF(ISERROR(AVERAGE(F$13:F417)),"n/a",AVERAGE(F$13:F417))</f>
        <v>n/a</v>
      </c>
      <c r="H417" s="11" t="str">
        <f t="shared" si="61"/>
        <v>n/a</v>
      </c>
      <c r="J417" s="5"/>
      <c r="K417" s="5"/>
      <c r="L417" s="5"/>
      <c r="M417" s="5"/>
      <c r="N417" s="5"/>
      <c r="O417" s="8" t="str">
        <f t="shared" si="59"/>
        <v>n/a</v>
      </c>
      <c r="Q417" s="5"/>
      <c r="R417" s="5"/>
      <c r="S417" s="5"/>
      <c r="U417" s="6"/>
      <c r="V417" s="9" t="str">
        <f t="shared" si="62"/>
        <v/>
      </c>
      <c r="W417" s="9" t="str">
        <f t="shared" si="63"/>
        <v/>
      </c>
      <c r="X417" s="10">
        <f>SUM(V$13:V417)/COUNTA(B$13:B417)</f>
        <v>0</v>
      </c>
      <c r="Z417" s="5"/>
      <c r="AA417" s="5"/>
      <c r="AC417" s="7"/>
      <c r="AE417" s="54" t="e">
        <f t="shared" si="64"/>
        <v>#N/A</v>
      </c>
      <c r="AF417" s="4" t="e">
        <f t="shared" si="60"/>
        <v>#N/A</v>
      </c>
    </row>
    <row r="418" spans="2:32">
      <c r="B418" s="5">
        <f t="shared" si="65"/>
        <v>406</v>
      </c>
      <c r="C418" s="5"/>
      <c r="E418" s="13"/>
      <c r="F418" s="5"/>
      <c r="G418" s="11" t="str">
        <f>IF(ISERROR(AVERAGE(F$13:F418)),"n/a",AVERAGE(F$13:F418))</f>
        <v>n/a</v>
      </c>
      <c r="H418" s="11" t="str">
        <f t="shared" si="61"/>
        <v>n/a</v>
      </c>
      <c r="J418" s="5"/>
      <c r="K418" s="5"/>
      <c r="L418" s="5"/>
      <c r="M418" s="5"/>
      <c r="N418" s="5"/>
      <c r="O418" s="8" t="str">
        <f t="shared" si="59"/>
        <v>n/a</v>
      </c>
      <c r="Q418" s="5"/>
      <c r="R418" s="5"/>
      <c r="S418" s="5"/>
      <c r="U418" s="6"/>
      <c r="V418" s="9" t="str">
        <f t="shared" si="62"/>
        <v/>
      </c>
      <c r="W418" s="9" t="str">
        <f t="shared" si="63"/>
        <v/>
      </c>
      <c r="X418" s="10">
        <f>SUM(V$13:V418)/COUNTA(B$13:B418)</f>
        <v>0</v>
      </c>
      <c r="Z418" s="5"/>
      <c r="AA418" s="5"/>
      <c r="AC418" s="7"/>
      <c r="AE418" s="54" t="e">
        <f t="shared" si="64"/>
        <v>#N/A</v>
      </c>
      <c r="AF418" s="4" t="e">
        <f t="shared" si="60"/>
        <v>#N/A</v>
      </c>
    </row>
    <row r="419" spans="2:32">
      <c r="B419" s="5">
        <f t="shared" si="65"/>
        <v>407</v>
      </c>
      <c r="C419" s="5"/>
      <c r="E419" s="13"/>
      <c r="F419" s="5"/>
      <c r="G419" s="11" t="str">
        <f>IF(ISERROR(AVERAGE(F$13:F419)),"n/a",AVERAGE(F$13:F419))</f>
        <v>n/a</v>
      </c>
      <c r="H419" s="11" t="str">
        <f t="shared" si="61"/>
        <v>n/a</v>
      </c>
      <c r="J419" s="5"/>
      <c r="K419" s="5"/>
      <c r="L419" s="5"/>
      <c r="M419" s="5"/>
      <c r="N419" s="5"/>
      <c r="O419" s="8" t="str">
        <f t="shared" si="59"/>
        <v>n/a</v>
      </c>
      <c r="Q419" s="5"/>
      <c r="R419" s="5"/>
      <c r="S419" s="5"/>
      <c r="U419" s="6"/>
      <c r="V419" s="9" t="str">
        <f t="shared" si="62"/>
        <v/>
      </c>
      <c r="W419" s="9" t="str">
        <f t="shared" si="63"/>
        <v/>
      </c>
      <c r="X419" s="10">
        <f>SUM(V$13:V419)/COUNTA(B$13:B419)</f>
        <v>0</v>
      </c>
      <c r="Z419" s="5"/>
      <c r="AA419" s="5"/>
      <c r="AC419" s="7"/>
      <c r="AE419" s="54" t="e">
        <f t="shared" si="64"/>
        <v>#N/A</v>
      </c>
      <c r="AF419" s="4" t="e">
        <f t="shared" si="60"/>
        <v>#N/A</v>
      </c>
    </row>
    <row r="420" spans="2:32">
      <c r="B420" s="5">
        <f t="shared" si="65"/>
        <v>408</v>
      </c>
      <c r="C420" s="5"/>
      <c r="E420" s="13"/>
      <c r="F420" s="5"/>
      <c r="G420" s="11" t="str">
        <f>IF(ISERROR(AVERAGE(F$13:F420)),"n/a",AVERAGE(F$13:F420))</f>
        <v>n/a</v>
      </c>
      <c r="H420" s="11" t="str">
        <f t="shared" si="61"/>
        <v>n/a</v>
      </c>
      <c r="J420" s="5"/>
      <c r="K420" s="5"/>
      <c r="L420" s="5"/>
      <c r="M420" s="5"/>
      <c r="N420" s="5"/>
      <c r="O420" s="8" t="str">
        <f t="shared" si="59"/>
        <v>n/a</v>
      </c>
      <c r="Q420" s="5"/>
      <c r="R420" s="5"/>
      <c r="S420" s="5"/>
      <c r="U420" s="6"/>
      <c r="V420" s="9" t="str">
        <f t="shared" si="62"/>
        <v/>
      </c>
      <c r="W420" s="9" t="str">
        <f t="shared" si="63"/>
        <v/>
      </c>
      <c r="X420" s="10">
        <f>SUM(V$13:V420)/COUNTA(B$13:B420)</f>
        <v>0</v>
      </c>
      <c r="Z420" s="5"/>
      <c r="AA420" s="5"/>
      <c r="AC420" s="7"/>
      <c r="AE420" s="54" t="e">
        <f t="shared" si="64"/>
        <v>#N/A</v>
      </c>
      <c r="AF420" s="4" t="e">
        <f t="shared" si="60"/>
        <v>#N/A</v>
      </c>
    </row>
    <row r="421" spans="2:32">
      <c r="B421" s="5">
        <f t="shared" si="65"/>
        <v>409</v>
      </c>
      <c r="C421" s="5"/>
      <c r="E421" s="13"/>
      <c r="F421" s="5"/>
      <c r="G421" s="11" t="str">
        <f>IF(ISERROR(AVERAGE(F$13:F421)),"n/a",AVERAGE(F$13:F421))</f>
        <v>n/a</v>
      </c>
      <c r="H421" s="11" t="str">
        <f t="shared" si="61"/>
        <v>n/a</v>
      </c>
      <c r="J421" s="5"/>
      <c r="K421" s="5"/>
      <c r="L421" s="5"/>
      <c r="M421" s="5"/>
      <c r="N421" s="5"/>
      <c r="O421" s="8" t="str">
        <f t="shared" si="59"/>
        <v>n/a</v>
      </c>
      <c r="Q421" s="5"/>
      <c r="R421" s="5"/>
      <c r="S421" s="5"/>
      <c r="U421" s="6"/>
      <c r="V421" s="9" t="str">
        <f t="shared" si="62"/>
        <v/>
      </c>
      <c r="W421" s="9" t="str">
        <f t="shared" si="63"/>
        <v/>
      </c>
      <c r="X421" s="10">
        <f>SUM(V$13:V421)/COUNTA(B$13:B421)</f>
        <v>0</v>
      </c>
      <c r="Z421" s="5"/>
      <c r="AA421" s="5"/>
      <c r="AC421" s="7"/>
      <c r="AE421" s="54" t="e">
        <f t="shared" si="64"/>
        <v>#N/A</v>
      </c>
      <c r="AF421" s="4" t="e">
        <f t="shared" si="60"/>
        <v>#N/A</v>
      </c>
    </row>
    <row r="422" spans="2:32">
      <c r="B422" s="5">
        <f t="shared" si="65"/>
        <v>410</v>
      </c>
      <c r="C422" s="5"/>
      <c r="E422" s="13"/>
      <c r="F422" s="5"/>
      <c r="G422" s="11" t="str">
        <f>IF(ISERROR(AVERAGE(F$13:F422)),"n/a",AVERAGE(F$13:F422))</f>
        <v>n/a</v>
      </c>
      <c r="H422" s="11" t="str">
        <f t="shared" si="61"/>
        <v>n/a</v>
      </c>
      <c r="J422" s="5"/>
      <c r="K422" s="5"/>
      <c r="L422" s="5"/>
      <c r="M422" s="5"/>
      <c r="N422" s="5"/>
      <c r="O422" s="8" t="str">
        <f t="shared" si="59"/>
        <v>n/a</v>
      </c>
      <c r="Q422" s="5"/>
      <c r="R422" s="5"/>
      <c r="S422" s="5"/>
      <c r="U422" s="6"/>
      <c r="V422" s="9" t="str">
        <f t="shared" si="62"/>
        <v/>
      </c>
      <c r="W422" s="9" t="str">
        <f t="shared" si="63"/>
        <v/>
      </c>
      <c r="X422" s="10">
        <f>SUM(V$13:V422)/COUNTA(B$13:B422)</f>
        <v>0</v>
      </c>
      <c r="Z422" s="5"/>
      <c r="AA422" s="5"/>
      <c r="AC422" s="7"/>
      <c r="AE422" s="54" t="e">
        <f t="shared" si="64"/>
        <v>#N/A</v>
      </c>
      <c r="AF422" s="4" t="e">
        <f t="shared" si="60"/>
        <v>#N/A</v>
      </c>
    </row>
    <row r="423" spans="2:32">
      <c r="B423" s="5">
        <f t="shared" si="65"/>
        <v>411</v>
      </c>
      <c r="C423" s="5"/>
      <c r="E423" s="13"/>
      <c r="F423" s="5"/>
      <c r="G423" s="11" t="str">
        <f>IF(ISERROR(AVERAGE(F$13:F423)),"n/a",AVERAGE(F$13:F423))</f>
        <v>n/a</v>
      </c>
      <c r="H423" s="11" t="str">
        <f t="shared" si="61"/>
        <v>n/a</v>
      </c>
      <c r="J423" s="5"/>
      <c r="K423" s="5"/>
      <c r="L423" s="5"/>
      <c r="M423" s="5"/>
      <c r="N423" s="5"/>
      <c r="O423" s="8" t="str">
        <f t="shared" si="59"/>
        <v>n/a</v>
      </c>
      <c r="Q423" s="5"/>
      <c r="R423" s="5"/>
      <c r="S423" s="5"/>
      <c r="U423" s="6"/>
      <c r="V423" s="9" t="str">
        <f t="shared" si="62"/>
        <v/>
      </c>
      <c r="W423" s="9" t="str">
        <f t="shared" si="63"/>
        <v/>
      </c>
      <c r="X423" s="10">
        <f>SUM(V$13:V423)/COUNTA(B$13:B423)</f>
        <v>0</v>
      </c>
      <c r="Z423" s="5"/>
      <c r="AA423" s="5"/>
      <c r="AC423" s="7"/>
      <c r="AE423" s="54" t="e">
        <f t="shared" si="64"/>
        <v>#N/A</v>
      </c>
      <c r="AF423" s="4" t="e">
        <f t="shared" si="60"/>
        <v>#N/A</v>
      </c>
    </row>
    <row r="424" spans="2:32">
      <c r="B424" s="5">
        <f t="shared" si="65"/>
        <v>412</v>
      </c>
      <c r="C424" s="5"/>
      <c r="E424" s="13"/>
      <c r="F424" s="5"/>
      <c r="G424" s="11" t="str">
        <f>IF(ISERROR(AVERAGE(F$13:F424)),"n/a",AVERAGE(F$13:F424))</f>
        <v>n/a</v>
      </c>
      <c r="H424" s="11" t="str">
        <f t="shared" si="61"/>
        <v>n/a</v>
      </c>
      <c r="J424" s="5"/>
      <c r="K424" s="5"/>
      <c r="L424" s="5"/>
      <c r="M424" s="5"/>
      <c r="N424" s="5"/>
      <c r="O424" s="8" t="str">
        <f t="shared" si="59"/>
        <v>n/a</v>
      </c>
      <c r="Q424" s="5"/>
      <c r="R424" s="5"/>
      <c r="S424" s="5"/>
      <c r="U424" s="6"/>
      <c r="V424" s="9" t="str">
        <f t="shared" si="62"/>
        <v/>
      </c>
      <c r="W424" s="9" t="str">
        <f t="shared" si="63"/>
        <v/>
      </c>
      <c r="X424" s="10">
        <f>SUM(V$13:V424)/COUNTA(B$13:B424)</f>
        <v>0</v>
      </c>
      <c r="Z424" s="5"/>
      <c r="AA424" s="5"/>
      <c r="AC424" s="7"/>
      <c r="AE424" s="54" t="e">
        <f t="shared" si="64"/>
        <v>#N/A</v>
      </c>
      <c r="AF424" s="4" t="e">
        <f t="shared" si="60"/>
        <v>#N/A</v>
      </c>
    </row>
    <row r="425" spans="2:32">
      <c r="B425" s="5">
        <f t="shared" si="65"/>
        <v>413</v>
      </c>
      <c r="C425" s="5"/>
      <c r="E425" s="13"/>
      <c r="F425" s="5"/>
      <c r="G425" s="11" t="str">
        <f>IF(ISERROR(AVERAGE(F$13:F425)),"n/a",AVERAGE(F$13:F425))</f>
        <v>n/a</v>
      </c>
      <c r="H425" s="11" t="str">
        <f t="shared" si="61"/>
        <v>n/a</v>
      </c>
      <c r="J425" s="5"/>
      <c r="K425" s="5"/>
      <c r="L425" s="5"/>
      <c r="M425" s="5"/>
      <c r="N425" s="5"/>
      <c r="O425" s="8" t="str">
        <f t="shared" si="59"/>
        <v>n/a</v>
      </c>
      <c r="Q425" s="5"/>
      <c r="R425" s="5"/>
      <c r="S425" s="5"/>
      <c r="U425" s="6"/>
      <c r="V425" s="9" t="str">
        <f t="shared" si="62"/>
        <v/>
      </c>
      <c r="W425" s="9" t="str">
        <f t="shared" si="63"/>
        <v/>
      </c>
      <c r="X425" s="10">
        <f>SUM(V$13:V425)/COUNTA(B$13:B425)</f>
        <v>0</v>
      </c>
      <c r="Z425" s="5"/>
      <c r="AA425" s="5"/>
      <c r="AC425" s="7"/>
      <c r="AE425" s="54" t="e">
        <f t="shared" si="64"/>
        <v>#N/A</v>
      </c>
      <c r="AF425" s="4" t="e">
        <f t="shared" si="60"/>
        <v>#N/A</v>
      </c>
    </row>
    <row r="426" spans="2:32">
      <c r="B426" s="5">
        <f t="shared" si="65"/>
        <v>414</v>
      </c>
      <c r="C426" s="5"/>
      <c r="E426" s="13"/>
      <c r="F426" s="5"/>
      <c r="G426" s="11" t="str">
        <f>IF(ISERROR(AVERAGE(F$13:F426)),"n/a",AVERAGE(F$13:F426))</f>
        <v>n/a</v>
      </c>
      <c r="H426" s="11" t="str">
        <f t="shared" si="61"/>
        <v>n/a</v>
      </c>
      <c r="J426" s="5"/>
      <c r="K426" s="5"/>
      <c r="L426" s="5"/>
      <c r="M426" s="5"/>
      <c r="N426" s="5"/>
      <c r="O426" s="8" t="str">
        <f t="shared" si="59"/>
        <v>n/a</v>
      </c>
      <c r="Q426" s="5"/>
      <c r="R426" s="5"/>
      <c r="S426" s="5"/>
      <c r="U426" s="6"/>
      <c r="V426" s="9" t="str">
        <f t="shared" si="62"/>
        <v/>
      </c>
      <c r="W426" s="9" t="str">
        <f t="shared" si="63"/>
        <v/>
      </c>
      <c r="X426" s="10">
        <f>SUM(V$13:V426)/COUNTA(B$13:B426)</f>
        <v>0</v>
      </c>
      <c r="Z426" s="5"/>
      <c r="AA426" s="5"/>
      <c r="AC426" s="7"/>
      <c r="AE426" s="54" t="e">
        <f t="shared" si="64"/>
        <v>#N/A</v>
      </c>
      <c r="AF426" s="4" t="e">
        <f t="shared" si="60"/>
        <v>#N/A</v>
      </c>
    </row>
    <row r="427" spans="2:32">
      <c r="B427" s="5">
        <f t="shared" si="65"/>
        <v>415</v>
      </c>
      <c r="C427" s="5"/>
      <c r="E427" s="13"/>
      <c r="F427" s="5"/>
      <c r="G427" s="11" t="str">
        <f>IF(ISERROR(AVERAGE(F$13:F427)),"n/a",AVERAGE(F$13:F427))</f>
        <v>n/a</v>
      </c>
      <c r="H427" s="11" t="str">
        <f t="shared" si="61"/>
        <v>n/a</v>
      </c>
      <c r="J427" s="5"/>
      <c r="K427" s="5"/>
      <c r="L427" s="5"/>
      <c r="M427" s="5"/>
      <c r="N427" s="5"/>
      <c r="O427" s="8" t="str">
        <f t="shared" si="59"/>
        <v>n/a</v>
      </c>
      <c r="Q427" s="5"/>
      <c r="R427" s="5"/>
      <c r="S427" s="5"/>
      <c r="U427" s="6"/>
      <c r="V427" s="9" t="str">
        <f t="shared" si="62"/>
        <v/>
      </c>
      <c r="W427" s="9" t="str">
        <f t="shared" si="63"/>
        <v/>
      </c>
      <c r="X427" s="10">
        <f>SUM(V$13:V427)/COUNTA(B$13:B427)</f>
        <v>0</v>
      </c>
      <c r="Z427" s="5"/>
      <c r="AA427" s="5"/>
      <c r="AC427" s="7"/>
      <c r="AE427" s="54" t="e">
        <f t="shared" si="64"/>
        <v>#N/A</v>
      </c>
      <c r="AF427" s="4" t="e">
        <f t="shared" si="60"/>
        <v>#N/A</v>
      </c>
    </row>
    <row r="428" spans="2:32">
      <c r="B428" s="5">
        <f t="shared" si="65"/>
        <v>416</v>
      </c>
      <c r="C428" s="5"/>
      <c r="E428" s="13"/>
      <c r="F428" s="5"/>
      <c r="G428" s="11" t="str">
        <f>IF(ISERROR(AVERAGE(F$13:F428)),"n/a",AVERAGE(F$13:F428))</f>
        <v>n/a</v>
      </c>
      <c r="H428" s="11" t="str">
        <f t="shared" si="61"/>
        <v>n/a</v>
      </c>
      <c r="J428" s="5"/>
      <c r="K428" s="5"/>
      <c r="L428" s="5"/>
      <c r="M428" s="5"/>
      <c r="N428" s="5"/>
      <c r="O428" s="8" t="str">
        <f t="shared" si="59"/>
        <v>n/a</v>
      </c>
      <c r="Q428" s="5"/>
      <c r="R428" s="5"/>
      <c r="S428" s="5"/>
      <c r="U428" s="6"/>
      <c r="V428" s="9" t="str">
        <f t="shared" si="62"/>
        <v/>
      </c>
      <c r="W428" s="9" t="str">
        <f t="shared" si="63"/>
        <v/>
      </c>
      <c r="X428" s="10">
        <f>SUM(V$13:V428)/COUNTA(B$13:B428)</f>
        <v>0</v>
      </c>
      <c r="Z428" s="5"/>
      <c r="AA428" s="5"/>
      <c r="AC428" s="7"/>
      <c r="AE428" s="54" t="e">
        <f t="shared" si="64"/>
        <v>#N/A</v>
      </c>
      <c r="AF428" s="4" t="e">
        <f t="shared" si="60"/>
        <v>#N/A</v>
      </c>
    </row>
    <row r="429" spans="2:32">
      <c r="B429" s="5">
        <f t="shared" si="65"/>
        <v>417</v>
      </c>
      <c r="C429" s="5"/>
      <c r="E429" s="13"/>
      <c r="F429" s="5"/>
      <c r="G429" s="11" t="str">
        <f>IF(ISERROR(AVERAGE(F$13:F429)),"n/a",AVERAGE(F$13:F429))</f>
        <v>n/a</v>
      </c>
      <c r="H429" s="11" t="str">
        <f t="shared" si="61"/>
        <v>n/a</v>
      </c>
      <c r="J429" s="5"/>
      <c r="K429" s="5"/>
      <c r="L429" s="5"/>
      <c r="M429" s="5"/>
      <c r="N429" s="5"/>
      <c r="O429" s="8" t="str">
        <f t="shared" si="59"/>
        <v>n/a</v>
      </c>
      <c r="Q429" s="5"/>
      <c r="R429" s="5"/>
      <c r="S429" s="5"/>
      <c r="U429" s="6"/>
      <c r="V429" s="9" t="str">
        <f t="shared" si="62"/>
        <v/>
      </c>
      <c r="W429" s="9" t="str">
        <f t="shared" si="63"/>
        <v/>
      </c>
      <c r="X429" s="10">
        <f>SUM(V$13:V429)/COUNTA(B$13:B429)</f>
        <v>0</v>
      </c>
      <c r="Z429" s="5"/>
      <c r="AA429" s="5"/>
      <c r="AC429" s="7"/>
      <c r="AE429" s="54" t="e">
        <f t="shared" si="64"/>
        <v>#N/A</v>
      </c>
      <c r="AF429" s="4" t="e">
        <f t="shared" si="60"/>
        <v>#N/A</v>
      </c>
    </row>
    <row r="430" spans="2:32">
      <c r="B430" s="5">
        <f t="shared" si="65"/>
        <v>418</v>
      </c>
      <c r="C430" s="5"/>
      <c r="E430" s="13"/>
      <c r="F430" s="5"/>
      <c r="G430" s="11" t="str">
        <f>IF(ISERROR(AVERAGE(F$13:F430)),"n/a",AVERAGE(F$13:F430))</f>
        <v>n/a</v>
      </c>
      <c r="H430" s="11" t="str">
        <f t="shared" si="61"/>
        <v>n/a</v>
      </c>
      <c r="J430" s="5"/>
      <c r="K430" s="5"/>
      <c r="L430" s="5"/>
      <c r="M430" s="5"/>
      <c r="N430" s="5"/>
      <c r="O430" s="8" t="str">
        <f t="shared" si="59"/>
        <v>n/a</v>
      </c>
      <c r="Q430" s="5"/>
      <c r="R430" s="5"/>
      <c r="S430" s="5"/>
      <c r="U430" s="6"/>
      <c r="V430" s="9" t="str">
        <f t="shared" si="62"/>
        <v/>
      </c>
      <c r="W430" s="9" t="str">
        <f t="shared" si="63"/>
        <v/>
      </c>
      <c r="X430" s="10">
        <f>SUM(V$13:V430)/COUNTA(B$13:B430)</f>
        <v>0</v>
      </c>
      <c r="Z430" s="5"/>
      <c r="AA430" s="5"/>
      <c r="AC430" s="7"/>
      <c r="AE430" s="54" t="e">
        <f t="shared" si="64"/>
        <v>#N/A</v>
      </c>
      <c r="AF430" s="4" t="e">
        <f t="shared" si="60"/>
        <v>#N/A</v>
      </c>
    </row>
    <row r="431" spans="2:32">
      <c r="B431" s="5">
        <f t="shared" si="65"/>
        <v>419</v>
      </c>
      <c r="C431" s="5"/>
      <c r="E431" s="13"/>
      <c r="F431" s="5"/>
      <c r="G431" s="11" t="str">
        <f>IF(ISERROR(AVERAGE(F$13:F431)),"n/a",AVERAGE(F$13:F431))</f>
        <v>n/a</v>
      </c>
      <c r="H431" s="11" t="str">
        <f t="shared" si="61"/>
        <v>n/a</v>
      </c>
      <c r="J431" s="5"/>
      <c r="K431" s="5"/>
      <c r="L431" s="5"/>
      <c r="M431" s="5"/>
      <c r="N431" s="5"/>
      <c r="O431" s="8" t="str">
        <f t="shared" si="59"/>
        <v>n/a</v>
      </c>
      <c r="Q431" s="5"/>
      <c r="R431" s="5"/>
      <c r="S431" s="5"/>
      <c r="U431" s="6"/>
      <c r="V431" s="9" t="str">
        <f t="shared" si="62"/>
        <v/>
      </c>
      <c r="W431" s="9" t="str">
        <f t="shared" si="63"/>
        <v/>
      </c>
      <c r="X431" s="10">
        <f>SUM(V$13:V431)/COUNTA(B$13:B431)</f>
        <v>0</v>
      </c>
      <c r="Z431" s="5"/>
      <c r="AA431" s="5"/>
      <c r="AC431" s="7"/>
      <c r="AE431" s="54" t="e">
        <f t="shared" si="64"/>
        <v>#N/A</v>
      </c>
      <c r="AF431" s="4" t="e">
        <f t="shared" si="60"/>
        <v>#N/A</v>
      </c>
    </row>
    <row r="432" spans="2:32">
      <c r="B432" s="5">
        <f t="shared" si="65"/>
        <v>420</v>
      </c>
      <c r="C432" s="5"/>
      <c r="E432" s="13"/>
      <c r="F432" s="5"/>
      <c r="G432" s="11" t="str">
        <f>IF(ISERROR(AVERAGE(F$13:F432)),"n/a",AVERAGE(F$13:F432))</f>
        <v>n/a</v>
      </c>
      <c r="H432" s="11" t="str">
        <f t="shared" si="61"/>
        <v>n/a</v>
      </c>
      <c r="J432" s="5"/>
      <c r="K432" s="5"/>
      <c r="L432" s="5"/>
      <c r="M432" s="5"/>
      <c r="N432" s="5"/>
      <c r="O432" s="8" t="str">
        <f t="shared" si="59"/>
        <v>n/a</v>
      </c>
      <c r="Q432" s="5"/>
      <c r="R432" s="5"/>
      <c r="S432" s="5"/>
      <c r="U432" s="6"/>
      <c r="V432" s="9" t="str">
        <f t="shared" si="62"/>
        <v/>
      </c>
      <c r="W432" s="9" t="str">
        <f t="shared" si="63"/>
        <v/>
      </c>
      <c r="X432" s="10">
        <f>SUM(V$13:V432)/COUNTA(B$13:B432)</f>
        <v>0</v>
      </c>
      <c r="Z432" s="5"/>
      <c r="AA432" s="5"/>
      <c r="AC432" s="7"/>
      <c r="AE432" s="54" t="e">
        <f t="shared" si="64"/>
        <v>#N/A</v>
      </c>
      <c r="AF432" s="4" t="e">
        <f t="shared" si="60"/>
        <v>#N/A</v>
      </c>
    </row>
    <row r="433" spans="2:32">
      <c r="B433" s="5">
        <f t="shared" si="65"/>
        <v>421</v>
      </c>
      <c r="C433" s="5"/>
      <c r="E433" s="13"/>
      <c r="F433" s="5"/>
      <c r="G433" s="11" t="str">
        <f>IF(ISERROR(AVERAGE(F$13:F433)),"n/a",AVERAGE(F$13:F433))</f>
        <v>n/a</v>
      </c>
      <c r="H433" s="11" t="str">
        <f t="shared" si="61"/>
        <v>n/a</v>
      </c>
      <c r="J433" s="5"/>
      <c r="K433" s="5"/>
      <c r="L433" s="5"/>
      <c r="M433" s="5"/>
      <c r="N433" s="5"/>
      <c r="O433" s="8" t="str">
        <f t="shared" si="59"/>
        <v>n/a</v>
      </c>
      <c r="Q433" s="5"/>
      <c r="R433" s="5"/>
      <c r="S433" s="5"/>
      <c r="U433" s="6"/>
      <c r="V433" s="9" t="str">
        <f t="shared" si="62"/>
        <v/>
      </c>
      <c r="W433" s="9" t="str">
        <f t="shared" si="63"/>
        <v/>
      </c>
      <c r="X433" s="10">
        <f>SUM(V$13:V433)/COUNTA(B$13:B433)</f>
        <v>0</v>
      </c>
      <c r="Z433" s="5"/>
      <c r="AA433" s="5"/>
      <c r="AC433" s="7"/>
      <c r="AE433" s="54" t="e">
        <f t="shared" si="64"/>
        <v>#N/A</v>
      </c>
      <c r="AF433" s="4" t="e">
        <f t="shared" si="60"/>
        <v>#N/A</v>
      </c>
    </row>
    <row r="434" spans="2:32">
      <c r="B434" s="5">
        <f t="shared" si="65"/>
        <v>422</v>
      </c>
      <c r="C434" s="5"/>
      <c r="E434" s="13"/>
      <c r="F434" s="5"/>
      <c r="G434" s="11" t="str">
        <f>IF(ISERROR(AVERAGE(F$13:F434)),"n/a",AVERAGE(F$13:F434))</f>
        <v>n/a</v>
      </c>
      <c r="H434" s="11" t="str">
        <f t="shared" si="61"/>
        <v>n/a</v>
      </c>
      <c r="J434" s="5"/>
      <c r="K434" s="5"/>
      <c r="L434" s="5"/>
      <c r="M434" s="5"/>
      <c r="N434" s="5"/>
      <c r="O434" s="8" t="str">
        <f t="shared" si="59"/>
        <v>n/a</v>
      </c>
      <c r="Q434" s="5"/>
      <c r="R434" s="5"/>
      <c r="S434" s="5"/>
      <c r="U434" s="6"/>
      <c r="V434" s="9" t="str">
        <f t="shared" si="62"/>
        <v/>
      </c>
      <c r="W434" s="9" t="str">
        <f t="shared" si="63"/>
        <v/>
      </c>
      <c r="X434" s="10">
        <f>SUM(V$13:V434)/COUNTA(B$13:B434)</f>
        <v>0</v>
      </c>
      <c r="Z434" s="5"/>
      <c r="AA434" s="5"/>
      <c r="AC434" s="7"/>
      <c r="AE434" s="54" t="e">
        <f t="shared" si="64"/>
        <v>#N/A</v>
      </c>
      <c r="AF434" s="4" t="e">
        <f t="shared" si="60"/>
        <v>#N/A</v>
      </c>
    </row>
    <row r="435" spans="2:32">
      <c r="B435" s="5">
        <f t="shared" si="65"/>
        <v>423</v>
      </c>
      <c r="C435" s="5"/>
      <c r="E435" s="13"/>
      <c r="F435" s="5"/>
      <c r="G435" s="11" t="str">
        <f>IF(ISERROR(AVERAGE(F$13:F435)),"n/a",AVERAGE(F$13:F435))</f>
        <v>n/a</v>
      </c>
      <c r="H435" s="11" t="str">
        <f t="shared" si="61"/>
        <v>n/a</v>
      </c>
      <c r="J435" s="5"/>
      <c r="K435" s="5"/>
      <c r="L435" s="5"/>
      <c r="M435" s="5"/>
      <c r="N435" s="5"/>
      <c r="O435" s="8" t="str">
        <f t="shared" si="59"/>
        <v>n/a</v>
      </c>
      <c r="Q435" s="5"/>
      <c r="R435" s="5"/>
      <c r="S435" s="5"/>
      <c r="U435" s="6"/>
      <c r="V435" s="9" t="str">
        <f t="shared" si="62"/>
        <v/>
      </c>
      <c r="W435" s="9" t="str">
        <f t="shared" si="63"/>
        <v/>
      </c>
      <c r="X435" s="10">
        <f>SUM(V$13:V435)/COUNTA(B$13:B435)</f>
        <v>0</v>
      </c>
      <c r="Z435" s="5"/>
      <c r="AA435" s="5"/>
      <c r="AC435" s="7"/>
      <c r="AE435" s="54" t="e">
        <f t="shared" si="64"/>
        <v>#N/A</v>
      </c>
      <c r="AF435" s="4" t="e">
        <f t="shared" si="60"/>
        <v>#N/A</v>
      </c>
    </row>
    <row r="436" spans="2:32">
      <c r="B436" s="5">
        <f t="shared" si="65"/>
        <v>424</v>
      </c>
      <c r="C436" s="5"/>
      <c r="E436" s="13"/>
      <c r="F436" s="5"/>
      <c r="G436" s="11" t="str">
        <f>IF(ISERROR(AVERAGE(F$13:F436)),"n/a",AVERAGE(F$13:F436))</f>
        <v>n/a</v>
      </c>
      <c r="H436" s="11" t="str">
        <f t="shared" si="61"/>
        <v>n/a</v>
      </c>
      <c r="J436" s="5"/>
      <c r="K436" s="5"/>
      <c r="L436" s="5"/>
      <c r="M436" s="5"/>
      <c r="N436" s="5"/>
      <c r="O436" s="8" t="str">
        <f t="shared" si="59"/>
        <v>n/a</v>
      </c>
      <c r="Q436" s="5"/>
      <c r="R436" s="5"/>
      <c r="S436" s="5"/>
      <c r="U436" s="6"/>
      <c r="V436" s="9" t="str">
        <f t="shared" si="62"/>
        <v/>
      </c>
      <c r="W436" s="9" t="str">
        <f t="shared" si="63"/>
        <v/>
      </c>
      <c r="X436" s="10">
        <f>SUM(V$13:V436)/COUNTA(B$13:B436)</f>
        <v>0</v>
      </c>
      <c r="Z436" s="5"/>
      <c r="AA436" s="5"/>
      <c r="AC436" s="7"/>
      <c r="AE436" s="54" t="e">
        <f t="shared" si="64"/>
        <v>#N/A</v>
      </c>
      <c r="AF436" s="4" t="e">
        <f t="shared" si="60"/>
        <v>#N/A</v>
      </c>
    </row>
    <row r="437" spans="2:32">
      <c r="B437" s="5">
        <f t="shared" si="65"/>
        <v>425</v>
      </c>
      <c r="C437" s="5"/>
      <c r="E437" s="13"/>
      <c r="F437" s="5"/>
      <c r="G437" s="11" t="str">
        <f>IF(ISERROR(AVERAGE(F$13:F437)),"n/a",AVERAGE(F$13:F437))</f>
        <v>n/a</v>
      </c>
      <c r="H437" s="11" t="str">
        <f t="shared" si="61"/>
        <v>n/a</v>
      </c>
      <c r="J437" s="5"/>
      <c r="K437" s="5"/>
      <c r="L437" s="5"/>
      <c r="M437" s="5"/>
      <c r="N437" s="5"/>
      <c r="O437" s="8" t="str">
        <f t="shared" si="59"/>
        <v>n/a</v>
      </c>
      <c r="Q437" s="5"/>
      <c r="R437" s="5"/>
      <c r="S437" s="5"/>
      <c r="U437" s="6"/>
      <c r="V437" s="9" t="str">
        <f t="shared" si="62"/>
        <v/>
      </c>
      <c r="W437" s="9" t="str">
        <f t="shared" si="63"/>
        <v/>
      </c>
      <c r="X437" s="10">
        <f>SUM(V$13:V437)/COUNTA(B$13:B437)</f>
        <v>0</v>
      </c>
      <c r="Z437" s="5"/>
      <c r="AA437" s="5"/>
      <c r="AC437" s="7"/>
      <c r="AE437" s="54" t="e">
        <f t="shared" si="64"/>
        <v>#N/A</v>
      </c>
      <c r="AF437" s="4" t="e">
        <f t="shared" si="60"/>
        <v>#N/A</v>
      </c>
    </row>
    <row r="438" spans="2:32">
      <c r="B438" s="5">
        <f t="shared" si="65"/>
        <v>426</v>
      </c>
      <c r="C438" s="5"/>
      <c r="E438" s="13"/>
      <c r="F438" s="5"/>
      <c r="G438" s="11" t="str">
        <f>IF(ISERROR(AVERAGE(F$13:F438)),"n/a",AVERAGE(F$13:F438))</f>
        <v>n/a</v>
      </c>
      <c r="H438" s="11" t="str">
        <f t="shared" si="61"/>
        <v>n/a</v>
      </c>
      <c r="J438" s="5"/>
      <c r="K438" s="5"/>
      <c r="L438" s="5"/>
      <c r="M438" s="5"/>
      <c r="N438" s="5"/>
      <c r="O438" s="8" t="str">
        <f t="shared" si="59"/>
        <v>n/a</v>
      </c>
      <c r="Q438" s="5"/>
      <c r="R438" s="5"/>
      <c r="S438" s="5"/>
      <c r="U438" s="6"/>
      <c r="V438" s="9" t="str">
        <f t="shared" si="62"/>
        <v/>
      </c>
      <c r="W438" s="9" t="str">
        <f t="shared" si="63"/>
        <v/>
      </c>
      <c r="X438" s="10">
        <f>SUM(V$13:V438)/COUNTA(B$13:B438)</f>
        <v>0</v>
      </c>
      <c r="Z438" s="5"/>
      <c r="AA438" s="5"/>
      <c r="AC438" s="7"/>
      <c r="AE438" s="54" t="e">
        <f t="shared" si="64"/>
        <v>#N/A</v>
      </c>
      <c r="AF438" s="4" t="e">
        <f t="shared" si="60"/>
        <v>#N/A</v>
      </c>
    </row>
    <row r="439" spans="2:32">
      <c r="B439" s="5">
        <f t="shared" si="65"/>
        <v>427</v>
      </c>
      <c r="C439" s="5"/>
      <c r="E439" s="13"/>
      <c r="F439" s="5"/>
      <c r="G439" s="11" t="str">
        <f>IF(ISERROR(AVERAGE(F$13:F439)),"n/a",AVERAGE(F$13:F439))</f>
        <v>n/a</v>
      </c>
      <c r="H439" s="11" t="str">
        <f t="shared" si="61"/>
        <v>n/a</v>
      </c>
      <c r="J439" s="5"/>
      <c r="K439" s="5"/>
      <c r="L439" s="5"/>
      <c r="M439" s="5"/>
      <c r="N439" s="5"/>
      <c r="O439" s="8" t="str">
        <f t="shared" si="59"/>
        <v>n/a</v>
      </c>
      <c r="Q439" s="5"/>
      <c r="R439" s="5"/>
      <c r="S439" s="5"/>
      <c r="U439" s="6"/>
      <c r="V439" s="9" t="str">
        <f t="shared" si="62"/>
        <v/>
      </c>
      <c r="W439" s="9" t="str">
        <f t="shared" si="63"/>
        <v/>
      </c>
      <c r="X439" s="10">
        <f>SUM(V$13:V439)/COUNTA(B$13:B439)</f>
        <v>0</v>
      </c>
      <c r="Z439" s="5"/>
      <c r="AA439" s="5"/>
      <c r="AC439" s="7"/>
      <c r="AE439" s="54" t="e">
        <f t="shared" si="64"/>
        <v>#N/A</v>
      </c>
      <c r="AF439" s="4" t="e">
        <f t="shared" si="60"/>
        <v>#N/A</v>
      </c>
    </row>
    <row r="440" spans="2:32">
      <c r="B440" s="5">
        <f t="shared" si="65"/>
        <v>428</v>
      </c>
      <c r="C440" s="5"/>
      <c r="E440" s="13"/>
      <c r="F440" s="5"/>
      <c r="G440" s="11" t="str">
        <f>IF(ISERROR(AVERAGE(F$13:F440)),"n/a",AVERAGE(F$13:F440))</f>
        <v>n/a</v>
      </c>
      <c r="H440" s="11" t="str">
        <f t="shared" si="61"/>
        <v>n/a</v>
      </c>
      <c r="J440" s="5"/>
      <c r="K440" s="5"/>
      <c r="L440" s="5"/>
      <c r="M440" s="5"/>
      <c r="N440" s="5"/>
      <c r="O440" s="8" t="str">
        <f t="shared" si="59"/>
        <v>n/a</v>
      </c>
      <c r="Q440" s="5"/>
      <c r="R440" s="5"/>
      <c r="S440" s="5"/>
      <c r="U440" s="6"/>
      <c r="V440" s="9" t="str">
        <f t="shared" si="62"/>
        <v/>
      </c>
      <c r="W440" s="9" t="str">
        <f t="shared" si="63"/>
        <v/>
      </c>
      <c r="X440" s="10">
        <f>SUM(V$13:V440)/COUNTA(B$13:B440)</f>
        <v>0</v>
      </c>
      <c r="Z440" s="5"/>
      <c r="AA440" s="5"/>
      <c r="AC440" s="7"/>
      <c r="AE440" s="54" t="e">
        <f t="shared" si="64"/>
        <v>#N/A</v>
      </c>
      <c r="AF440" s="4" t="e">
        <f t="shared" si="60"/>
        <v>#N/A</v>
      </c>
    </row>
    <row r="441" spans="2:32">
      <c r="B441" s="5">
        <f t="shared" si="65"/>
        <v>429</v>
      </c>
      <c r="C441" s="5"/>
      <c r="E441" s="13"/>
      <c r="F441" s="5"/>
      <c r="G441" s="11" t="str">
        <f>IF(ISERROR(AVERAGE(F$13:F441)),"n/a",AVERAGE(F$13:F441))</f>
        <v>n/a</v>
      </c>
      <c r="H441" s="11" t="str">
        <f t="shared" si="61"/>
        <v>n/a</v>
      </c>
      <c r="J441" s="5"/>
      <c r="K441" s="5"/>
      <c r="L441" s="5"/>
      <c r="M441" s="5"/>
      <c r="N441" s="5"/>
      <c r="O441" s="8" t="str">
        <f t="shared" si="59"/>
        <v>n/a</v>
      </c>
      <c r="Q441" s="5"/>
      <c r="R441" s="5"/>
      <c r="S441" s="5"/>
      <c r="U441" s="6"/>
      <c r="V441" s="9" t="str">
        <f t="shared" si="62"/>
        <v/>
      </c>
      <c r="W441" s="9" t="str">
        <f t="shared" si="63"/>
        <v/>
      </c>
      <c r="X441" s="10">
        <f>SUM(V$13:V441)/COUNTA(B$13:B441)</f>
        <v>0</v>
      </c>
      <c r="Z441" s="5"/>
      <c r="AA441" s="5"/>
      <c r="AC441" s="7"/>
      <c r="AE441" s="54" t="e">
        <f t="shared" si="64"/>
        <v>#N/A</v>
      </c>
      <c r="AF441" s="4" t="e">
        <f t="shared" si="60"/>
        <v>#N/A</v>
      </c>
    </row>
    <row r="442" spans="2:32">
      <c r="B442" s="5">
        <f t="shared" si="65"/>
        <v>430</v>
      </c>
      <c r="C442" s="5"/>
      <c r="E442" s="13"/>
      <c r="F442" s="5"/>
      <c r="G442" s="11" t="str">
        <f>IF(ISERROR(AVERAGE(F$13:F442)),"n/a",AVERAGE(F$13:F442))</f>
        <v>n/a</v>
      </c>
      <c r="H442" s="11" t="str">
        <f t="shared" si="61"/>
        <v>n/a</v>
      </c>
      <c r="J442" s="5"/>
      <c r="K442" s="5"/>
      <c r="L442" s="5"/>
      <c r="M442" s="5"/>
      <c r="N442" s="5"/>
      <c r="O442" s="8" t="str">
        <f t="shared" si="59"/>
        <v>n/a</v>
      </c>
      <c r="Q442" s="5"/>
      <c r="R442" s="5"/>
      <c r="S442" s="5"/>
      <c r="U442" s="6"/>
      <c r="V442" s="9" t="str">
        <f t="shared" si="62"/>
        <v/>
      </c>
      <c r="W442" s="9" t="str">
        <f t="shared" si="63"/>
        <v/>
      </c>
      <c r="X442" s="10">
        <f>SUM(V$13:V442)/COUNTA(B$13:B442)</f>
        <v>0</v>
      </c>
      <c r="Z442" s="5"/>
      <c r="AA442" s="5"/>
      <c r="AC442" s="7"/>
      <c r="AE442" s="54" t="e">
        <f t="shared" si="64"/>
        <v>#N/A</v>
      </c>
      <c r="AF442" s="4" t="e">
        <f t="shared" si="60"/>
        <v>#N/A</v>
      </c>
    </row>
    <row r="443" spans="2:32">
      <c r="B443" s="5">
        <f t="shared" si="65"/>
        <v>431</v>
      </c>
      <c r="C443" s="5"/>
      <c r="E443" s="13"/>
      <c r="F443" s="5"/>
      <c r="G443" s="11" t="str">
        <f>IF(ISERROR(AVERAGE(F$13:F443)),"n/a",AVERAGE(F$13:F443))</f>
        <v>n/a</v>
      </c>
      <c r="H443" s="11" t="str">
        <f t="shared" si="61"/>
        <v>n/a</v>
      </c>
      <c r="J443" s="5"/>
      <c r="K443" s="5"/>
      <c r="L443" s="5"/>
      <c r="M443" s="5"/>
      <c r="N443" s="5"/>
      <c r="O443" s="8" t="str">
        <f t="shared" si="59"/>
        <v>n/a</v>
      </c>
      <c r="Q443" s="5"/>
      <c r="R443" s="5"/>
      <c r="S443" s="5"/>
      <c r="U443" s="6"/>
      <c r="V443" s="9" t="str">
        <f t="shared" si="62"/>
        <v/>
      </c>
      <c r="W443" s="9" t="str">
        <f t="shared" si="63"/>
        <v/>
      </c>
      <c r="X443" s="10">
        <f>SUM(V$13:V443)/COUNTA(B$13:B443)</f>
        <v>0</v>
      </c>
      <c r="Z443" s="5"/>
      <c r="AA443" s="5"/>
      <c r="AC443" s="7"/>
      <c r="AE443" s="54" t="e">
        <f t="shared" si="64"/>
        <v>#N/A</v>
      </c>
      <c r="AF443" s="4" t="e">
        <f t="shared" si="60"/>
        <v>#N/A</v>
      </c>
    </row>
    <row r="444" spans="2:32">
      <c r="B444" s="5">
        <f t="shared" si="65"/>
        <v>432</v>
      </c>
      <c r="C444" s="5"/>
      <c r="E444" s="13"/>
      <c r="F444" s="5"/>
      <c r="G444" s="11" t="str">
        <f>IF(ISERROR(AVERAGE(F$13:F444)),"n/a",AVERAGE(F$13:F444))</f>
        <v>n/a</v>
      </c>
      <c r="H444" s="11" t="str">
        <f t="shared" si="61"/>
        <v>n/a</v>
      </c>
      <c r="J444" s="5"/>
      <c r="K444" s="5"/>
      <c r="L444" s="5"/>
      <c r="M444" s="5"/>
      <c r="N444" s="5"/>
      <c r="O444" s="8" t="str">
        <f t="shared" si="59"/>
        <v>n/a</v>
      </c>
      <c r="Q444" s="5"/>
      <c r="R444" s="5"/>
      <c r="S444" s="5"/>
      <c r="U444" s="6"/>
      <c r="V444" s="9" t="str">
        <f t="shared" si="62"/>
        <v/>
      </c>
      <c r="W444" s="9" t="str">
        <f t="shared" si="63"/>
        <v/>
      </c>
      <c r="X444" s="10">
        <f>SUM(V$13:V444)/COUNTA(B$13:B444)</f>
        <v>0</v>
      </c>
      <c r="Z444" s="5"/>
      <c r="AA444" s="5"/>
      <c r="AC444" s="7"/>
      <c r="AE444" s="54" t="e">
        <f t="shared" si="64"/>
        <v>#N/A</v>
      </c>
      <c r="AF444" s="4" t="e">
        <f t="shared" si="60"/>
        <v>#N/A</v>
      </c>
    </row>
    <row r="445" spans="2:32">
      <c r="B445" s="5">
        <f t="shared" si="65"/>
        <v>433</v>
      </c>
      <c r="C445" s="5"/>
      <c r="E445" s="13"/>
      <c r="F445" s="5"/>
      <c r="G445" s="11" t="str">
        <f>IF(ISERROR(AVERAGE(F$13:F445)),"n/a",AVERAGE(F$13:F445))</f>
        <v>n/a</v>
      </c>
      <c r="H445" s="11" t="str">
        <f t="shared" si="61"/>
        <v>n/a</v>
      </c>
      <c r="J445" s="5"/>
      <c r="K445" s="5"/>
      <c r="L445" s="5"/>
      <c r="M445" s="5"/>
      <c r="N445" s="5"/>
      <c r="O445" s="8" t="str">
        <f t="shared" si="59"/>
        <v>n/a</v>
      </c>
      <c r="Q445" s="5"/>
      <c r="R445" s="5"/>
      <c r="S445" s="5"/>
      <c r="U445" s="6"/>
      <c r="V445" s="9" t="str">
        <f t="shared" si="62"/>
        <v/>
      </c>
      <c r="W445" s="9" t="str">
        <f t="shared" si="63"/>
        <v/>
      </c>
      <c r="X445" s="10">
        <f>SUM(V$13:V445)/COUNTA(B$13:B445)</f>
        <v>0</v>
      </c>
      <c r="Z445" s="5"/>
      <c r="AA445" s="5"/>
      <c r="AC445" s="7"/>
      <c r="AE445" s="54" t="e">
        <f t="shared" si="64"/>
        <v>#N/A</v>
      </c>
      <c r="AF445" s="4" t="e">
        <f t="shared" si="60"/>
        <v>#N/A</v>
      </c>
    </row>
    <row r="446" spans="2:32">
      <c r="B446" s="5">
        <f t="shared" si="65"/>
        <v>434</v>
      </c>
      <c r="C446" s="5"/>
      <c r="E446" s="13"/>
      <c r="F446" s="5"/>
      <c r="G446" s="11" t="str">
        <f>IF(ISERROR(AVERAGE(F$13:F446)),"n/a",AVERAGE(F$13:F446))</f>
        <v>n/a</v>
      </c>
      <c r="H446" s="11" t="str">
        <f t="shared" si="61"/>
        <v>n/a</v>
      </c>
      <c r="J446" s="5"/>
      <c r="K446" s="5"/>
      <c r="L446" s="5"/>
      <c r="M446" s="5"/>
      <c r="N446" s="5"/>
      <c r="O446" s="8" t="str">
        <f t="shared" si="59"/>
        <v>n/a</v>
      </c>
      <c r="Q446" s="5"/>
      <c r="R446" s="5"/>
      <c r="S446" s="5"/>
      <c r="U446" s="6"/>
      <c r="V446" s="9" t="str">
        <f t="shared" si="62"/>
        <v/>
      </c>
      <c r="W446" s="9" t="str">
        <f t="shared" si="63"/>
        <v/>
      </c>
      <c r="X446" s="10">
        <f>SUM(V$13:V446)/COUNTA(B$13:B446)</f>
        <v>0</v>
      </c>
      <c r="Z446" s="5"/>
      <c r="AA446" s="5"/>
      <c r="AC446" s="7"/>
      <c r="AE446" s="54" t="e">
        <f t="shared" si="64"/>
        <v>#N/A</v>
      </c>
      <c r="AF446" s="4" t="e">
        <f t="shared" si="60"/>
        <v>#N/A</v>
      </c>
    </row>
    <row r="447" spans="2:32">
      <c r="B447" s="5">
        <f t="shared" si="65"/>
        <v>435</v>
      </c>
      <c r="C447" s="5"/>
      <c r="E447" s="13"/>
      <c r="F447" s="5"/>
      <c r="G447" s="11" t="str">
        <f>IF(ISERROR(AVERAGE(F$13:F447)),"n/a",AVERAGE(F$13:F447))</f>
        <v>n/a</v>
      </c>
      <c r="H447" s="11" t="str">
        <f t="shared" si="61"/>
        <v>n/a</v>
      </c>
      <c r="J447" s="5"/>
      <c r="K447" s="5"/>
      <c r="L447" s="5"/>
      <c r="M447" s="5"/>
      <c r="N447" s="5"/>
      <c r="O447" s="8" t="str">
        <f t="shared" si="59"/>
        <v>n/a</v>
      </c>
      <c r="Q447" s="5"/>
      <c r="R447" s="5"/>
      <c r="S447" s="5"/>
      <c r="U447" s="6"/>
      <c r="V447" s="9" t="str">
        <f t="shared" si="62"/>
        <v/>
      </c>
      <c r="W447" s="9" t="str">
        <f t="shared" si="63"/>
        <v/>
      </c>
      <c r="X447" s="10">
        <f>SUM(V$13:V447)/COUNTA(B$13:B447)</f>
        <v>0</v>
      </c>
      <c r="Z447" s="5"/>
      <c r="AA447" s="5"/>
      <c r="AC447" s="7"/>
      <c r="AE447" s="54" t="e">
        <f t="shared" si="64"/>
        <v>#N/A</v>
      </c>
      <c r="AF447" s="4" t="e">
        <f t="shared" si="60"/>
        <v>#N/A</v>
      </c>
    </row>
    <row r="448" spans="2:32">
      <c r="B448" s="5">
        <f t="shared" si="65"/>
        <v>436</v>
      </c>
      <c r="C448" s="5"/>
      <c r="E448" s="13"/>
      <c r="F448" s="5"/>
      <c r="G448" s="11" t="str">
        <f>IF(ISERROR(AVERAGE(F$13:F448)),"n/a",AVERAGE(F$13:F448))</f>
        <v>n/a</v>
      </c>
      <c r="H448" s="11" t="str">
        <f t="shared" si="61"/>
        <v>n/a</v>
      </c>
      <c r="J448" s="5"/>
      <c r="K448" s="5"/>
      <c r="L448" s="5"/>
      <c r="M448" s="5"/>
      <c r="N448" s="5"/>
      <c r="O448" s="8" t="str">
        <f t="shared" si="59"/>
        <v>n/a</v>
      </c>
      <c r="Q448" s="5"/>
      <c r="R448" s="5"/>
      <c r="S448" s="5"/>
      <c r="U448" s="6"/>
      <c r="V448" s="9" t="str">
        <f t="shared" si="62"/>
        <v/>
      </c>
      <c r="W448" s="9" t="str">
        <f t="shared" si="63"/>
        <v/>
      </c>
      <c r="X448" s="10">
        <f>SUM(V$13:V448)/COUNTA(B$13:B448)</f>
        <v>0</v>
      </c>
      <c r="Z448" s="5"/>
      <c r="AA448" s="5"/>
      <c r="AC448" s="7"/>
      <c r="AE448" s="54" t="e">
        <f t="shared" si="64"/>
        <v>#N/A</v>
      </c>
      <c r="AF448" s="4" t="e">
        <f t="shared" si="60"/>
        <v>#N/A</v>
      </c>
    </row>
    <row r="449" spans="2:32">
      <c r="B449" s="5">
        <f t="shared" si="65"/>
        <v>437</v>
      </c>
      <c r="C449" s="5"/>
      <c r="E449" s="13"/>
      <c r="F449" s="5"/>
      <c r="G449" s="11" t="str">
        <f>IF(ISERROR(AVERAGE(F$13:F449)),"n/a",AVERAGE(F$13:F449))</f>
        <v>n/a</v>
      </c>
      <c r="H449" s="11" t="str">
        <f t="shared" si="61"/>
        <v>n/a</v>
      </c>
      <c r="J449" s="5"/>
      <c r="K449" s="5"/>
      <c r="L449" s="5"/>
      <c r="M449" s="5"/>
      <c r="N449" s="5"/>
      <c r="O449" s="8" t="str">
        <f t="shared" si="59"/>
        <v>n/a</v>
      </c>
      <c r="Q449" s="5"/>
      <c r="R449" s="5"/>
      <c r="S449" s="5"/>
      <c r="U449" s="6"/>
      <c r="V449" s="9" t="str">
        <f t="shared" si="62"/>
        <v/>
      </c>
      <c r="W449" s="9" t="str">
        <f t="shared" si="63"/>
        <v/>
      </c>
      <c r="X449" s="10">
        <f>SUM(V$13:V449)/COUNTA(B$13:B449)</f>
        <v>0</v>
      </c>
      <c r="Z449" s="5"/>
      <c r="AA449" s="5"/>
      <c r="AC449" s="7"/>
      <c r="AE449" s="54" t="e">
        <f t="shared" si="64"/>
        <v>#N/A</v>
      </c>
      <c r="AF449" s="4" t="e">
        <f t="shared" si="60"/>
        <v>#N/A</v>
      </c>
    </row>
    <row r="450" spans="2:32">
      <c r="B450" s="5">
        <f t="shared" si="65"/>
        <v>438</v>
      </c>
      <c r="C450" s="5"/>
      <c r="E450" s="13"/>
      <c r="F450" s="5"/>
      <c r="G450" s="11" t="str">
        <f>IF(ISERROR(AVERAGE(F$13:F450)),"n/a",AVERAGE(F$13:F450))</f>
        <v>n/a</v>
      </c>
      <c r="H450" s="11" t="str">
        <f t="shared" si="61"/>
        <v>n/a</v>
      </c>
      <c r="J450" s="5"/>
      <c r="K450" s="5"/>
      <c r="L450" s="5"/>
      <c r="M450" s="5"/>
      <c r="N450" s="5"/>
      <c r="O450" s="8" t="str">
        <f t="shared" si="59"/>
        <v>n/a</v>
      </c>
      <c r="Q450" s="5"/>
      <c r="R450" s="5"/>
      <c r="S450" s="5"/>
      <c r="U450" s="6"/>
      <c r="V450" s="9" t="str">
        <f t="shared" si="62"/>
        <v/>
      </c>
      <c r="W450" s="9" t="str">
        <f t="shared" si="63"/>
        <v/>
      </c>
      <c r="X450" s="10">
        <f>SUM(V$13:V450)/COUNTA(B$13:B450)</f>
        <v>0</v>
      </c>
      <c r="Z450" s="5"/>
      <c r="AA450" s="5"/>
      <c r="AC450" s="7"/>
      <c r="AE450" s="54" t="e">
        <f t="shared" si="64"/>
        <v>#N/A</v>
      </c>
      <c r="AF450" s="4" t="e">
        <f t="shared" si="60"/>
        <v>#N/A</v>
      </c>
    </row>
    <row r="451" spans="2:32">
      <c r="B451" s="5">
        <f t="shared" si="65"/>
        <v>439</v>
      </c>
      <c r="C451" s="5"/>
      <c r="E451" s="13"/>
      <c r="F451" s="5"/>
      <c r="G451" s="11" t="str">
        <f>IF(ISERROR(AVERAGE(F$13:F451)),"n/a",AVERAGE(F$13:F451))</f>
        <v>n/a</v>
      </c>
      <c r="H451" s="11" t="str">
        <f t="shared" si="61"/>
        <v>n/a</v>
      </c>
      <c r="J451" s="5"/>
      <c r="K451" s="5"/>
      <c r="L451" s="5"/>
      <c r="M451" s="5"/>
      <c r="N451" s="5"/>
      <c r="O451" s="8" t="str">
        <f t="shared" si="59"/>
        <v>n/a</v>
      </c>
      <c r="Q451" s="5"/>
      <c r="R451" s="5"/>
      <c r="S451" s="5"/>
      <c r="U451" s="6"/>
      <c r="V451" s="9" t="str">
        <f t="shared" si="62"/>
        <v/>
      </c>
      <c r="W451" s="9" t="str">
        <f t="shared" si="63"/>
        <v/>
      </c>
      <c r="X451" s="10">
        <f>SUM(V$13:V451)/COUNTA(B$13:B451)</f>
        <v>0</v>
      </c>
      <c r="Z451" s="5"/>
      <c r="AA451" s="5"/>
      <c r="AC451" s="7"/>
      <c r="AE451" s="54" t="e">
        <f t="shared" si="64"/>
        <v>#N/A</v>
      </c>
      <c r="AF451" s="4" t="e">
        <f t="shared" si="60"/>
        <v>#N/A</v>
      </c>
    </row>
    <row r="452" spans="2:32">
      <c r="B452" s="5">
        <f t="shared" si="65"/>
        <v>440</v>
      </c>
      <c r="C452" s="5"/>
      <c r="E452" s="13"/>
      <c r="F452" s="5"/>
      <c r="G452" s="11" t="str">
        <f>IF(ISERROR(AVERAGE(F$13:F452)),"n/a",AVERAGE(F$13:F452))</f>
        <v>n/a</v>
      </c>
      <c r="H452" s="11" t="str">
        <f t="shared" si="61"/>
        <v>n/a</v>
      </c>
      <c r="J452" s="5"/>
      <c r="K452" s="5"/>
      <c r="L452" s="5"/>
      <c r="M452" s="5"/>
      <c r="N452" s="5"/>
      <c r="O452" s="8" t="str">
        <f t="shared" si="59"/>
        <v>n/a</v>
      </c>
      <c r="Q452" s="5"/>
      <c r="R452" s="5"/>
      <c r="S452" s="5"/>
      <c r="U452" s="6"/>
      <c r="V452" s="9" t="str">
        <f t="shared" si="62"/>
        <v/>
      </c>
      <c r="W452" s="9" t="str">
        <f t="shared" si="63"/>
        <v/>
      </c>
      <c r="X452" s="10">
        <f>SUM(V$13:V452)/COUNTA(B$13:B452)</f>
        <v>0</v>
      </c>
      <c r="Z452" s="5"/>
      <c r="AA452" s="5"/>
      <c r="AC452" s="7"/>
      <c r="AE452" s="54" t="e">
        <f t="shared" si="64"/>
        <v>#N/A</v>
      </c>
      <c r="AF452" s="4" t="e">
        <f t="shared" si="60"/>
        <v>#N/A</v>
      </c>
    </row>
    <row r="453" spans="2:32">
      <c r="B453" s="5">
        <f t="shared" si="65"/>
        <v>441</v>
      </c>
      <c r="C453" s="5"/>
      <c r="E453" s="13"/>
      <c r="F453" s="5"/>
      <c r="G453" s="11" t="str">
        <f>IF(ISERROR(AVERAGE(F$13:F453)),"n/a",AVERAGE(F$13:F453))</f>
        <v>n/a</v>
      </c>
      <c r="H453" s="11" t="str">
        <f t="shared" si="61"/>
        <v>n/a</v>
      </c>
      <c r="J453" s="5"/>
      <c r="K453" s="5"/>
      <c r="L453" s="5"/>
      <c r="M453" s="5"/>
      <c r="N453" s="5"/>
      <c r="O453" s="8" t="str">
        <f t="shared" si="59"/>
        <v>n/a</v>
      </c>
      <c r="Q453" s="5"/>
      <c r="R453" s="5"/>
      <c r="S453" s="5"/>
      <c r="U453" s="6"/>
      <c r="V453" s="9" t="str">
        <f t="shared" si="62"/>
        <v/>
      </c>
      <c r="W453" s="9" t="str">
        <f t="shared" si="63"/>
        <v/>
      </c>
      <c r="X453" s="10">
        <f>SUM(V$13:V453)/COUNTA(B$13:B453)</f>
        <v>0</v>
      </c>
      <c r="Z453" s="5"/>
      <c r="AA453" s="5"/>
      <c r="AC453" s="7"/>
      <c r="AE453" s="54" t="e">
        <f t="shared" si="64"/>
        <v>#N/A</v>
      </c>
      <c r="AF453" s="4" t="e">
        <f t="shared" si="60"/>
        <v>#N/A</v>
      </c>
    </row>
    <row r="454" spans="2:32">
      <c r="B454" s="5">
        <f t="shared" si="65"/>
        <v>442</v>
      </c>
      <c r="C454" s="5"/>
      <c r="E454" s="13"/>
      <c r="F454" s="5"/>
      <c r="G454" s="11" t="str">
        <f>IF(ISERROR(AVERAGE(F$13:F454)),"n/a",AVERAGE(F$13:F454))</f>
        <v>n/a</v>
      </c>
      <c r="H454" s="11" t="str">
        <f t="shared" si="61"/>
        <v>n/a</v>
      </c>
      <c r="J454" s="5"/>
      <c r="K454" s="5"/>
      <c r="L454" s="5"/>
      <c r="M454" s="5"/>
      <c r="N454" s="5"/>
      <c r="O454" s="8" t="str">
        <f t="shared" si="59"/>
        <v>n/a</v>
      </c>
      <c r="Q454" s="5"/>
      <c r="R454" s="5"/>
      <c r="S454" s="5"/>
      <c r="U454" s="6"/>
      <c r="V454" s="9" t="str">
        <f t="shared" si="62"/>
        <v/>
      </c>
      <c r="W454" s="9" t="str">
        <f t="shared" si="63"/>
        <v/>
      </c>
      <c r="X454" s="10">
        <f>SUM(V$13:V454)/COUNTA(B$13:B454)</f>
        <v>0</v>
      </c>
      <c r="Z454" s="5"/>
      <c r="AA454" s="5"/>
      <c r="AC454" s="7"/>
      <c r="AE454" s="54" t="e">
        <f t="shared" si="64"/>
        <v>#N/A</v>
      </c>
      <c r="AF454" s="4" t="e">
        <f t="shared" si="60"/>
        <v>#N/A</v>
      </c>
    </row>
    <row r="455" spans="2:32">
      <c r="B455" s="5">
        <f t="shared" si="65"/>
        <v>443</v>
      </c>
      <c r="C455" s="5"/>
      <c r="E455" s="13"/>
      <c r="F455" s="5"/>
      <c r="G455" s="11" t="str">
        <f>IF(ISERROR(AVERAGE(F$13:F455)),"n/a",AVERAGE(F$13:F455))</f>
        <v>n/a</v>
      </c>
      <c r="H455" s="11" t="str">
        <f t="shared" si="61"/>
        <v>n/a</v>
      </c>
      <c r="J455" s="5"/>
      <c r="K455" s="5"/>
      <c r="L455" s="5"/>
      <c r="M455" s="5"/>
      <c r="N455" s="5"/>
      <c r="O455" s="8" t="str">
        <f t="shared" si="59"/>
        <v>n/a</v>
      </c>
      <c r="Q455" s="5"/>
      <c r="R455" s="5"/>
      <c r="S455" s="5"/>
      <c r="U455" s="6"/>
      <c r="V455" s="9" t="str">
        <f t="shared" si="62"/>
        <v/>
      </c>
      <c r="W455" s="9" t="str">
        <f t="shared" si="63"/>
        <v/>
      </c>
      <c r="X455" s="10">
        <f>SUM(V$13:V455)/COUNTA(B$13:B455)</f>
        <v>0</v>
      </c>
      <c r="Z455" s="5"/>
      <c r="AA455" s="5"/>
      <c r="AC455" s="7"/>
      <c r="AE455" s="54" t="e">
        <f t="shared" si="64"/>
        <v>#N/A</v>
      </c>
      <c r="AF455" s="4" t="e">
        <f t="shared" si="60"/>
        <v>#N/A</v>
      </c>
    </row>
    <row r="456" spans="2:32">
      <c r="B456" s="5">
        <f t="shared" si="65"/>
        <v>444</v>
      </c>
      <c r="C456" s="5"/>
      <c r="E456" s="13"/>
      <c r="F456" s="5"/>
      <c r="G456" s="11" t="str">
        <f>IF(ISERROR(AVERAGE(F$13:F456)),"n/a",AVERAGE(F$13:F456))</f>
        <v>n/a</v>
      </c>
      <c r="H456" s="11" t="str">
        <f t="shared" si="61"/>
        <v>n/a</v>
      </c>
      <c r="J456" s="5"/>
      <c r="K456" s="5"/>
      <c r="L456" s="5"/>
      <c r="M456" s="5"/>
      <c r="N456" s="5"/>
      <c r="O456" s="8" t="str">
        <f t="shared" si="59"/>
        <v>n/a</v>
      </c>
      <c r="Q456" s="5"/>
      <c r="R456" s="5"/>
      <c r="S456" s="5"/>
      <c r="U456" s="6"/>
      <c r="V456" s="9" t="str">
        <f t="shared" si="62"/>
        <v/>
      </c>
      <c r="W456" s="9" t="str">
        <f t="shared" si="63"/>
        <v/>
      </c>
      <c r="X456" s="10">
        <f>SUM(V$13:V456)/COUNTA(B$13:B456)</f>
        <v>0</v>
      </c>
      <c r="Z456" s="5"/>
      <c r="AA456" s="5"/>
      <c r="AC456" s="7"/>
      <c r="AE456" s="54" t="e">
        <f t="shared" si="64"/>
        <v>#N/A</v>
      </c>
      <c r="AF456" s="4" t="e">
        <f t="shared" si="60"/>
        <v>#N/A</v>
      </c>
    </row>
    <row r="457" spans="2:32">
      <c r="B457" s="5">
        <f t="shared" si="65"/>
        <v>445</v>
      </c>
      <c r="C457" s="5"/>
      <c r="E457" s="13"/>
      <c r="F457" s="5"/>
      <c r="G457" s="11" t="str">
        <f>IF(ISERROR(AVERAGE(F$13:F457)),"n/a",AVERAGE(F$13:F457))</f>
        <v>n/a</v>
      </c>
      <c r="H457" s="11" t="str">
        <f t="shared" si="61"/>
        <v>n/a</v>
      </c>
      <c r="J457" s="5"/>
      <c r="K457" s="5"/>
      <c r="L457" s="5"/>
      <c r="M457" s="5"/>
      <c r="N457" s="5"/>
      <c r="O457" s="8" t="str">
        <f t="shared" si="59"/>
        <v>n/a</v>
      </c>
      <c r="Q457" s="5"/>
      <c r="R457" s="5"/>
      <c r="S457" s="5"/>
      <c r="U457" s="6"/>
      <c r="V457" s="9" t="str">
        <f t="shared" si="62"/>
        <v/>
      </c>
      <c r="W457" s="9" t="str">
        <f t="shared" si="63"/>
        <v/>
      </c>
      <c r="X457" s="10">
        <f>SUM(V$13:V457)/COUNTA(B$13:B457)</f>
        <v>0</v>
      </c>
      <c r="Z457" s="5"/>
      <c r="AA457" s="5"/>
      <c r="AC457" s="7"/>
      <c r="AE457" s="54" t="e">
        <f t="shared" si="64"/>
        <v>#N/A</v>
      </c>
      <c r="AF457" s="4" t="e">
        <f t="shared" si="60"/>
        <v>#N/A</v>
      </c>
    </row>
    <row r="458" spans="2:32">
      <c r="B458" s="5">
        <f t="shared" si="65"/>
        <v>446</v>
      </c>
      <c r="C458" s="5"/>
      <c r="E458" s="13"/>
      <c r="F458" s="5"/>
      <c r="G458" s="11" t="str">
        <f>IF(ISERROR(AVERAGE(F$13:F458)),"n/a",AVERAGE(F$13:F458))</f>
        <v>n/a</v>
      </c>
      <c r="H458" s="11" t="str">
        <f t="shared" si="61"/>
        <v>n/a</v>
      </c>
      <c r="J458" s="5"/>
      <c r="K458" s="5"/>
      <c r="L458" s="5"/>
      <c r="M458" s="5"/>
      <c r="N458" s="5"/>
      <c r="O458" s="8" t="str">
        <f t="shared" si="59"/>
        <v>n/a</v>
      </c>
      <c r="Q458" s="5"/>
      <c r="R458" s="5"/>
      <c r="S458" s="5"/>
      <c r="U458" s="6"/>
      <c r="V458" s="9" t="str">
        <f t="shared" si="62"/>
        <v/>
      </c>
      <c r="W458" s="9" t="str">
        <f t="shared" si="63"/>
        <v/>
      </c>
      <c r="X458" s="10">
        <f>SUM(V$13:V458)/COUNTA(B$13:B458)</f>
        <v>0</v>
      </c>
      <c r="Z458" s="5"/>
      <c r="AA458" s="5"/>
      <c r="AC458" s="7"/>
      <c r="AE458" s="54" t="e">
        <f t="shared" si="64"/>
        <v>#N/A</v>
      </c>
      <c r="AF458" s="4" t="e">
        <f t="shared" si="60"/>
        <v>#N/A</v>
      </c>
    </row>
    <row r="459" spans="2:32">
      <c r="B459" s="5">
        <f t="shared" si="65"/>
        <v>447</v>
      </c>
      <c r="C459" s="5"/>
      <c r="E459" s="13"/>
      <c r="F459" s="5"/>
      <c r="G459" s="11" t="str">
        <f>IF(ISERROR(AVERAGE(F$13:F459)),"n/a",AVERAGE(F$13:F459))</f>
        <v>n/a</v>
      </c>
      <c r="H459" s="11" t="str">
        <f t="shared" si="61"/>
        <v>n/a</v>
      </c>
      <c r="J459" s="5"/>
      <c r="K459" s="5"/>
      <c r="L459" s="5"/>
      <c r="M459" s="5"/>
      <c r="N459" s="5"/>
      <c r="O459" s="8" t="str">
        <f t="shared" si="59"/>
        <v>n/a</v>
      </c>
      <c r="Q459" s="5"/>
      <c r="R459" s="5"/>
      <c r="S459" s="5"/>
      <c r="U459" s="6"/>
      <c r="V459" s="9" t="str">
        <f t="shared" si="62"/>
        <v/>
      </c>
      <c r="W459" s="9" t="str">
        <f t="shared" si="63"/>
        <v/>
      </c>
      <c r="X459" s="10">
        <f>SUM(V$13:V459)/COUNTA(B$13:B459)</f>
        <v>0</v>
      </c>
      <c r="Z459" s="5"/>
      <c r="AA459" s="5"/>
      <c r="AC459" s="7"/>
      <c r="AE459" s="54" t="e">
        <f t="shared" si="64"/>
        <v>#N/A</v>
      </c>
      <c r="AF459" s="4" t="e">
        <f t="shared" si="60"/>
        <v>#N/A</v>
      </c>
    </row>
    <row r="460" spans="2:32">
      <c r="B460" s="5">
        <f t="shared" si="65"/>
        <v>448</v>
      </c>
      <c r="C460" s="5"/>
      <c r="E460" s="13"/>
      <c r="F460" s="5"/>
      <c r="G460" s="11" t="str">
        <f>IF(ISERROR(AVERAGE(F$13:F460)),"n/a",AVERAGE(F$13:F460))</f>
        <v>n/a</v>
      </c>
      <c r="H460" s="11" t="str">
        <f t="shared" si="61"/>
        <v>n/a</v>
      </c>
      <c r="J460" s="5"/>
      <c r="K460" s="5"/>
      <c r="L460" s="5"/>
      <c r="M460" s="5"/>
      <c r="N460" s="5"/>
      <c r="O460" s="8" t="str">
        <f t="shared" si="59"/>
        <v>n/a</v>
      </c>
      <c r="Q460" s="5"/>
      <c r="R460" s="5"/>
      <c r="S460" s="5"/>
      <c r="U460" s="6"/>
      <c r="V460" s="9" t="str">
        <f t="shared" si="62"/>
        <v/>
      </c>
      <c r="W460" s="9" t="str">
        <f t="shared" si="63"/>
        <v/>
      </c>
      <c r="X460" s="10">
        <f>SUM(V$13:V460)/COUNTA(B$13:B460)</f>
        <v>0</v>
      </c>
      <c r="Z460" s="5"/>
      <c r="AA460" s="5"/>
      <c r="AC460" s="7"/>
      <c r="AE460" s="54" t="e">
        <f t="shared" si="64"/>
        <v>#N/A</v>
      </c>
      <c r="AF460" s="4" t="e">
        <f t="shared" si="60"/>
        <v>#N/A</v>
      </c>
    </row>
    <row r="461" spans="2:32">
      <c r="B461" s="5">
        <f t="shared" si="65"/>
        <v>449</v>
      </c>
      <c r="C461" s="5"/>
      <c r="E461" s="13"/>
      <c r="F461" s="5"/>
      <c r="G461" s="11" t="str">
        <f>IF(ISERROR(AVERAGE(F$13:F461)),"n/a",AVERAGE(F$13:F461))</f>
        <v>n/a</v>
      </c>
      <c r="H461" s="11" t="str">
        <f t="shared" si="61"/>
        <v>n/a</v>
      </c>
      <c r="J461" s="5"/>
      <c r="K461" s="5"/>
      <c r="L461" s="5"/>
      <c r="M461" s="5"/>
      <c r="N461" s="5"/>
      <c r="O461" s="8" t="str">
        <f t="shared" ref="O461:O524" si="66">IF(J461=1,"A",IF(K461=1,"B",IF(L461=1,"C",IF(M461=1,"D",IF(N461=1,"E","n/a")))))</f>
        <v>n/a</v>
      </c>
      <c r="Q461" s="5"/>
      <c r="R461" s="5"/>
      <c r="S461" s="5"/>
      <c r="U461" s="6"/>
      <c r="V461" s="9" t="str">
        <f t="shared" si="62"/>
        <v/>
      </c>
      <c r="W461" s="9" t="str">
        <f t="shared" si="63"/>
        <v/>
      </c>
      <c r="X461" s="10">
        <f>SUM(V$13:V461)/COUNTA(B$13:B461)</f>
        <v>0</v>
      </c>
      <c r="Z461" s="5"/>
      <c r="AA461" s="5"/>
      <c r="AC461" s="7"/>
      <c r="AE461" s="54" t="e">
        <f t="shared" si="64"/>
        <v>#N/A</v>
      </c>
      <c r="AF461" s="4" t="e">
        <f t="shared" ref="AF461:AF524" si="67">HLOOKUP(C461,$K$6:$O$7,2,FALSE)</f>
        <v>#N/A</v>
      </c>
    </row>
    <row r="462" spans="2:32">
      <c r="B462" s="5">
        <f t="shared" si="65"/>
        <v>450</v>
      </c>
      <c r="C462" s="5"/>
      <c r="E462" s="13"/>
      <c r="F462" s="5"/>
      <c r="G462" s="11" t="str">
        <f>IF(ISERROR(AVERAGE(F$13:F462)),"n/a",AVERAGE(F$13:F462))</f>
        <v>n/a</v>
      </c>
      <c r="H462" s="11" t="str">
        <f t="shared" ref="H462:H525" si="68">G462</f>
        <v>n/a</v>
      </c>
      <c r="J462" s="5"/>
      <c r="K462" s="5"/>
      <c r="L462" s="5"/>
      <c r="M462" s="5"/>
      <c r="N462" s="5"/>
      <c r="O462" s="8" t="str">
        <f t="shared" si="66"/>
        <v>n/a</v>
      </c>
      <c r="Q462" s="5"/>
      <c r="R462" s="5"/>
      <c r="S462" s="5"/>
      <c r="U462" s="6"/>
      <c r="V462" s="9" t="str">
        <f t="shared" ref="V462:V525" si="69">IF(O462="n/a","",IF(O462=U462,1,""))</f>
        <v/>
      </c>
      <c r="W462" s="9" t="str">
        <f t="shared" ref="W462:W525" si="70">IF(O462="n/a","",IF(O462&lt;&gt;U462,1,""))</f>
        <v/>
      </c>
      <c r="X462" s="10">
        <f>SUM(V$13:V462)/COUNTA(B$13:B462)</f>
        <v>0</v>
      </c>
      <c r="Z462" s="5"/>
      <c r="AA462" s="5"/>
      <c r="AC462" s="7"/>
      <c r="AE462" s="54" t="e">
        <f t="shared" ref="AE462:AE525" si="71">+IF($F$4=0,0,IF(W462=1,1,IF(OR(R462*$F$8=1,S462*$F$9=1,F462&gt;=AF462),2,0)))</f>
        <v>#N/A</v>
      </c>
      <c r="AF462" s="4" t="e">
        <f t="shared" si="67"/>
        <v>#N/A</v>
      </c>
    </row>
    <row r="463" spans="2:32">
      <c r="B463" s="5">
        <f t="shared" si="65"/>
        <v>451</v>
      </c>
      <c r="C463" s="5"/>
      <c r="E463" s="13"/>
      <c r="F463" s="5"/>
      <c r="G463" s="11" t="str">
        <f>IF(ISERROR(AVERAGE(F$13:F463)),"n/a",AVERAGE(F$13:F463))</f>
        <v>n/a</v>
      </c>
      <c r="H463" s="11" t="str">
        <f t="shared" si="68"/>
        <v>n/a</v>
      </c>
      <c r="J463" s="5"/>
      <c r="K463" s="5"/>
      <c r="L463" s="5"/>
      <c r="M463" s="5"/>
      <c r="N463" s="5"/>
      <c r="O463" s="8" t="str">
        <f t="shared" si="66"/>
        <v>n/a</v>
      </c>
      <c r="Q463" s="5"/>
      <c r="R463" s="5"/>
      <c r="S463" s="5"/>
      <c r="U463" s="6"/>
      <c r="V463" s="9" t="str">
        <f t="shared" si="69"/>
        <v/>
      </c>
      <c r="W463" s="9" t="str">
        <f t="shared" si="70"/>
        <v/>
      </c>
      <c r="X463" s="10">
        <f>SUM(V$13:V463)/COUNTA(B$13:B463)</f>
        <v>0</v>
      </c>
      <c r="Z463" s="5"/>
      <c r="AA463" s="5"/>
      <c r="AC463" s="7"/>
      <c r="AE463" s="54" t="e">
        <f t="shared" si="71"/>
        <v>#N/A</v>
      </c>
      <c r="AF463" s="4" t="e">
        <f t="shared" si="67"/>
        <v>#N/A</v>
      </c>
    </row>
    <row r="464" spans="2:32">
      <c r="B464" s="5">
        <f t="shared" si="65"/>
        <v>452</v>
      </c>
      <c r="C464" s="5"/>
      <c r="E464" s="13"/>
      <c r="F464" s="5"/>
      <c r="G464" s="11" t="str">
        <f>IF(ISERROR(AVERAGE(F$13:F464)),"n/a",AVERAGE(F$13:F464))</f>
        <v>n/a</v>
      </c>
      <c r="H464" s="11" t="str">
        <f t="shared" si="68"/>
        <v>n/a</v>
      </c>
      <c r="J464" s="5"/>
      <c r="K464" s="5"/>
      <c r="L464" s="5"/>
      <c r="M464" s="5"/>
      <c r="N464" s="5"/>
      <c r="O464" s="8" t="str">
        <f t="shared" si="66"/>
        <v>n/a</v>
      </c>
      <c r="Q464" s="5"/>
      <c r="R464" s="5"/>
      <c r="S464" s="5"/>
      <c r="U464" s="6"/>
      <c r="V464" s="9" t="str">
        <f t="shared" si="69"/>
        <v/>
      </c>
      <c r="W464" s="9" t="str">
        <f t="shared" si="70"/>
        <v/>
      </c>
      <c r="X464" s="10">
        <f>SUM(V$13:V464)/COUNTA(B$13:B464)</f>
        <v>0</v>
      </c>
      <c r="Z464" s="5"/>
      <c r="AA464" s="5"/>
      <c r="AC464" s="7"/>
      <c r="AE464" s="54" t="e">
        <f t="shared" si="71"/>
        <v>#N/A</v>
      </c>
      <c r="AF464" s="4" t="e">
        <f t="shared" si="67"/>
        <v>#N/A</v>
      </c>
    </row>
    <row r="465" spans="2:32">
      <c r="B465" s="5">
        <f t="shared" si="65"/>
        <v>453</v>
      </c>
      <c r="C465" s="5"/>
      <c r="E465" s="13"/>
      <c r="F465" s="5"/>
      <c r="G465" s="11" t="str">
        <f>IF(ISERROR(AVERAGE(F$13:F465)),"n/a",AVERAGE(F$13:F465))</f>
        <v>n/a</v>
      </c>
      <c r="H465" s="11" t="str">
        <f t="shared" si="68"/>
        <v>n/a</v>
      </c>
      <c r="J465" s="5"/>
      <c r="K465" s="5"/>
      <c r="L465" s="5"/>
      <c r="M465" s="5"/>
      <c r="N465" s="5"/>
      <c r="O465" s="8" t="str">
        <f t="shared" si="66"/>
        <v>n/a</v>
      </c>
      <c r="Q465" s="5"/>
      <c r="R465" s="5"/>
      <c r="S465" s="5"/>
      <c r="U465" s="6"/>
      <c r="V465" s="9" t="str">
        <f t="shared" si="69"/>
        <v/>
      </c>
      <c r="W465" s="9" t="str">
        <f t="shared" si="70"/>
        <v/>
      </c>
      <c r="X465" s="10">
        <f>SUM(V$13:V465)/COUNTA(B$13:B465)</f>
        <v>0</v>
      </c>
      <c r="Z465" s="5"/>
      <c r="AA465" s="5"/>
      <c r="AC465" s="7"/>
      <c r="AE465" s="54" t="e">
        <f t="shared" si="71"/>
        <v>#N/A</v>
      </c>
      <c r="AF465" s="4" t="e">
        <f t="shared" si="67"/>
        <v>#N/A</v>
      </c>
    </row>
    <row r="466" spans="2:32">
      <c r="B466" s="5">
        <f t="shared" si="65"/>
        <v>454</v>
      </c>
      <c r="C466" s="5"/>
      <c r="E466" s="13"/>
      <c r="F466" s="5"/>
      <c r="G466" s="11" t="str">
        <f>IF(ISERROR(AVERAGE(F$13:F466)),"n/a",AVERAGE(F$13:F466))</f>
        <v>n/a</v>
      </c>
      <c r="H466" s="11" t="str">
        <f t="shared" si="68"/>
        <v>n/a</v>
      </c>
      <c r="J466" s="5"/>
      <c r="K466" s="5"/>
      <c r="L466" s="5"/>
      <c r="M466" s="5"/>
      <c r="N466" s="5"/>
      <c r="O466" s="8" t="str">
        <f t="shared" si="66"/>
        <v>n/a</v>
      </c>
      <c r="Q466" s="5"/>
      <c r="R466" s="5"/>
      <c r="S466" s="5"/>
      <c r="U466" s="6"/>
      <c r="V466" s="9" t="str">
        <f t="shared" si="69"/>
        <v/>
      </c>
      <c r="W466" s="9" t="str">
        <f t="shared" si="70"/>
        <v/>
      </c>
      <c r="X466" s="10">
        <f>SUM(V$13:V466)/COUNTA(B$13:B466)</f>
        <v>0</v>
      </c>
      <c r="Z466" s="5"/>
      <c r="AA466" s="5"/>
      <c r="AC466" s="7"/>
      <c r="AE466" s="54" t="e">
        <f t="shared" si="71"/>
        <v>#N/A</v>
      </c>
      <c r="AF466" s="4" t="e">
        <f t="shared" si="67"/>
        <v>#N/A</v>
      </c>
    </row>
    <row r="467" spans="2:32">
      <c r="B467" s="5">
        <f t="shared" ref="B467:B530" si="72">+B466+1</f>
        <v>455</v>
      </c>
      <c r="C467" s="5"/>
      <c r="E467" s="13"/>
      <c r="F467" s="5"/>
      <c r="G467" s="11" t="str">
        <f>IF(ISERROR(AVERAGE(F$13:F467)),"n/a",AVERAGE(F$13:F467))</f>
        <v>n/a</v>
      </c>
      <c r="H467" s="11" t="str">
        <f t="shared" si="68"/>
        <v>n/a</v>
      </c>
      <c r="J467" s="5"/>
      <c r="K467" s="5"/>
      <c r="L467" s="5"/>
      <c r="M467" s="5"/>
      <c r="N467" s="5"/>
      <c r="O467" s="8" t="str">
        <f t="shared" si="66"/>
        <v>n/a</v>
      </c>
      <c r="Q467" s="5"/>
      <c r="R467" s="5"/>
      <c r="S467" s="5"/>
      <c r="U467" s="6"/>
      <c r="V467" s="9" t="str">
        <f t="shared" si="69"/>
        <v/>
      </c>
      <c r="W467" s="9" t="str">
        <f t="shared" si="70"/>
        <v/>
      </c>
      <c r="X467" s="10">
        <f>SUM(V$13:V467)/COUNTA(B$13:B467)</f>
        <v>0</v>
      </c>
      <c r="Z467" s="5"/>
      <c r="AA467" s="5"/>
      <c r="AC467" s="7"/>
      <c r="AE467" s="54" t="e">
        <f t="shared" si="71"/>
        <v>#N/A</v>
      </c>
      <c r="AF467" s="4" t="e">
        <f t="shared" si="67"/>
        <v>#N/A</v>
      </c>
    </row>
    <row r="468" spans="2:32">
      <c r="B468" s="5">
        <f t="shared" si="72"/>
        <v>456</v>
      </c>
      <c r="C468" s="5"/>
      <c r="E468" s="13"/>
      <c r="F468" s="5"/>
      <c r="G468" s="11" t="str">
        <f>IF(ISERROR(AVERAGE(F$13:F468)),"n/a",AVERAGE(F$13:F468))</f>
        <v>n/a</v>
      </c>
      <c r="H468" s="11" t="str">
        <f t="shared" si="68"/>
        <v>n/a</v>
      </c>
      <c r="J468" s="5"/>
      <c r="K468" s="5"/>
      <c r="L468" s="5"/>
      <c r="M468" s="5"/>
      <c r="N468" s="5"/>
      <c r="O468" s="8" t="str">
        <f t="shared" si="66"/>
        <v>n/a</v>
      </c>
      <c r="Q468" s="5"/>
      <c r="R468" s="5"/>
      <c r="S468" s="5"/>
      <c r="U468" s="6"/>
      <c r="V468" s="9" t="str">
        <f t="shared" si="69"/>
        <v/>
      </c>
      <c r="W468" s="9" t="str">
        <f t="shared" si="70"/>
        <v/>
      </c>
      <c r="X468" s="10">
        <f>SUM(V$13:V468)/COUNTA(B$13:B468)</f>
        <v>0</v>
      </c>
      <c r="Z468" s="5"/>
      <c r="AA468" s="5"/>
      <c r="AC468" s="7"/>
      <c r="AE468" s="54" t="e">
        <f t="shared" si="71"/>
        <v>#N/A</v>
      </c>
      <c r="AF468" s="4" t="e">
        <f t="shared" si="67"/>
        <v>#N/A</v>
      </c>
    </row>
    <row r="469" spans="2:32">
      <c r="B469" s="5">
        <f t="shared" si="72"/>
        <v>457</v>
      </c>
      <c r="C469" s="5"/>
      <c r="E469" s="13"/>
      <c r="F469" s="5"/>
      <c r="G469" s="11" t="str">
        <f>IF(ISERROR(AVERAGE(F$13:F469)),"n/a",AVERAGE(F$13:F469))</f>
        <v>n/a</v>
      </c>
      <c r="H469" s="11" t="str">
        <f t="shared" si="68"/>
        <v>n/a</v>
      </c>
      <c r="J469" s="5"/>
      <c r="K469" s="5"/>
      <c r="L469" s="5"/>
      <c r="M469" s="5"/>
      <c r="N469" s="5"/>
      <c r="O469" s="8" t="str">
        <f t="shared" si="66"/>
        <v>n/a</v>
      </c>
      <c r="Q469" s="5"/>
      <c r="R469" s="5"/>
      <c r="S469" s="5"/>
      <c r="U469" s="6"/>
      <c r="V469" s="9" t="str">
        <f t="shared" si="69"/>
        <v/>
      </c>
      <c r="W469" s="9" t="str">
        <f t="shared" si="70"/>
        <v/>
      </c>
      <c r="X469" s="10">
        <f>SUM(V$13:V469)/COUNTA(B$13:B469)</f>
        <v>0</v>
      </c>
      <c r="Z469" s="5"/>
      <c r="AA469" s="5"/>
      <c r="AC469" s="7"/>
      <c r="AE469" s="54" t="e">
        <f t="shared" si="71"/>
        <v>#N/A</v>
      </c>
      <c r="AF469" s="4" t="e">
        <f t="shared" si="67"/>
        <v>#N/A</v>
      </c>
    </row>
    <row r="470" spans="2:32">
      <c r="B470" s="5">
        <f t="shared" si="72"/>
        <v>458</v>
      </c>
      <c r="C470" s="5"/>
      <c r="E470" s="13"/>
      <c r="F470" s="5"/>
      <c r="G470" s="11" t="str">
        <f>IF(ISERROR(AVERAGE(F$13:F470)),"n/a",AVERAGE(F$13:F470))</f>
        <v>n/a</v>
      </c>
      <c r="H470" s="11" t="str">
        <f t="shared" si="68"/>
        <v>n/a</v>
      </c>
      <c r="J470" s="5"/>
      <c r="K470" s="5"/>
      <c r="L470" s="5"/>
      <c r="M470" s="5"/>
      <c r="N470" s="5"/>
      <c r="O470" s="8" t="str">
        <f t="shared" si="66"/>
        <v>n/a</v>
      </c>
      <c r="Q470" s="5"/>
      <c r="R470" s="5"/>
      <c r="S470" s="5"/>
      <c r="U470" s="6"/>
      <c r="V470" s="9" t="str">
        <f t="shared" si="69"/>
        <v/>
      </c>
      <c r="W470" s="9" t="str">
        <f t="shared" si="70"/>
        <v/>
      </c>
      <c r="X470" s="10">
        <f>SUM(V$13:V470)/COUNTA(B$13:B470)</f>
        <v>0</v>
      </c>
      <c r="Z470" s="5"/>
      <c r="AA470" s="5"/>
      <c r="AC470" s="7"/>
      <c r="AE470" s="54" t="e">
        <f t="shared" si="71"/>
        <v>#N/A</v>
      </c>
      <c r="AF470" s="4" t="e">
        <f t="shared" si="67"/>
        <v>#N/A</v>
      </c>
    </row>
    <row r="471" spans="2:32">
      <c r="B471" s="5">
        <f t="shared" si="72"/>
        <v>459</v>
      </c>
      <c r="C471" s="5"/>
      <c r="E471" s="13"/>
      <c r="F471" s="5"/>
      <c r="G471" s="11" t="str">
        <f>IF(ISERROR(AVERAGE(F$13:F471)),"n/a",AVERAGE(F$13:F471))</f>
        <v>n/a</v>
      </c>
      <c r="H471" s="11" t="str">
        <f t="shared" si="68"/>
        <v>n/a</v>
      </c>
      <c r="J471" s="5"/>
      <c r="K471" s="5"/>
      <c r="L471" s="5"/>
      <c r="M471" s="5"/>
      <c r="N471" s="5"/>
      <c r="O471" s="8" t="str">
        <f t="shared" si="66"/>
        <v>n/a</v>
      </c>
      <c r="Q471" s="5"/>
      <c r="R471" s="5"/>
      <c r="S471" s="5"/>
      <c r="U471" s="6"/>
      <c r="V471" s="9" t="str">
        <f t="shared" si="69"/>
        <v/>
      </c>
      <c r="W471" s="9" t="str">
        <f t="shared" si="70"/>
        <v/>
      </c>
      <c r="X471" s="10">
        <f>SUM(V$13:V471)/COUNTA(B$13:B471)</f>
        <v>0</v>
      </c>
      <c r="Z471" s="5"/>
      <c r="AA471" s="5"/>
      <c r="AC471" s="7"/>
      <c r="AE471" s="54" t="e">
        <f t="shared" si="71"/>
        <v>#N/A</v>
      </c>
      <c r="AF471" s="4" t="e">
        <f t="shared" si="67"/>
        <v>#N/A</v>
      </c>
    </row>
    <row r="472" spans="2:32">
      <c r="B472" s="5">
        <f t="shared" si="72"/>
        <v>460</v>
      </c>
      <c r="C472" s="5"/>
      <c r="E472" s="13"/>
      <c r="F472" s="5"/>
      <c r="G472" s="11" t="str">
        <f>IF(ISERROR(AVERAGE(F$13:F472)),"n/a",AVERAGE(F$13:F472))</f>
        <v>n/a</v>
      </c>
      <c r="H472" s="11" t="str">
        <f t="shared" si="68"/>
        <v>n/a</v>
      </c>
      <c r="J472" s="5"/>
      <c r="K472" s="5"/>
      <c r="L472" s="5"/>
      <c r="M472" s="5"/>
      <c r="N472" s="5"/>
      <c r="O472" s="8" t="str">
        <f t="shared" si="66"/>
        <v>n/a</v>
      </c>
      <c r="Q472" s="5"/>
      <c r="R472" s="5"/>
      <c r="S472" s="5"/>
      <c r="U472" s="6"/>
      <c r="V472" s="9" t="str">
        <f t="shared" si="69"/>
        <v/>
      </c>
      <c r="W472" s="9" t="str">
        <f t="shared" si="70"/>
        <v/>
      </c>
      <c r="X472" s="10">
        <f>SUM(V$13:V472)/COUNTA(B$13:B472)</f>
        <v>0</v>
      </c>
      <c r="Z472" s="5"/>
      <c r="AA472" s="5"/>
      <c r="AC472" s="7"/>
      <c r="AE472" s="54" t="e">
        <f t="shared" si="71"/>
        <v>#N/A</v>
      </c>
      <c r="AF472" s="4" t="e">
        <f t="shared" si="67"/>
        <v>#N/A</v>
      </c>
    </row>
    <row r="473" spans="2:32">
      <c r="B473" s="5">
        <f t="shared" si="72"/>
        <v>461</v>
      </c>
      <c r="C473" s="5"/>
      <c r="E473" s="13"/>
      <c r="F473" s="5"/>
      <c r="G473" s="11" t="str">
        <f>IF(ISERROR(AVERAGE(F$13:F473)),"n/a",AVERAGE(F$13:F473))</f>
        <v>n/a</v>
      </c>
      <c r="H473" s="11" t="str">
        <f t="shared" si="68"/>
        <v>n/a</v>
      </c>
      <c r="J473" s="5"/>
      <c r="K473" s="5"/>
      <c r="L473" s="5"/>
      <c r="M473" s="5"/>
      <c r="N473" s="5"/>
      <c r="O473" s="8" t="str">
        <f t="shared" si="66"/>
        <v>n/a</v>
      </c>
      <c r="Q473" s="5"/>
      <c r="R473" s="5"/>
      <c r="S473" s="5"/>
      <c r="U473" s="6"/>
      <c r="V473" s="9" t="str">
        <f t="shared" si="69"/>
        <v/>
      </c>
      <c r="W473" s="9" t="str">
        <f t="shared" si="70"/>
        <v/>
      </c>
      <c r="X473" s="10">
        <f>SUM(V$13:V473)/COUNTA(B$13:B473)</f>
        <v>0</v>
      </c>
      <c r="Z473" s="5"/>
      <c r="AA473" s="5"/>
      <c r="AC473" s="7"/>
      <c r="AE473" s="54" t="e">
        <f t="shared" si="71"/>
        <v>#N/A</v>
      </c>
      <c r="AF473" s="4" t="e">
        <f t="shared" si="67"/>
        <v>#N/A</v>
      </c>
    </row>
    <row r="474" spans="2:32">
      <c r="B474" s="5">
        <f t="shared" si="72"/>
        <v>462</v>
      </c>
      <c r="C474" s="5"/>
      <c r="E474" s="13"/>
      <c r="F474" s="5"/>
      <c r="G474" s="11" t="str">
        <f>IF(ISERROR(AVERAGE(F$13:F474)),"n/a",AVERAGE(F$13:F474))</f>
        <v>n/a</v>
      </c>
      <c r="H474" s="11" t="str">
        <f t="shared" si="68"/>
        <v>n/a</v>
      </c>
      <c r="J474" s="5"/>
      <c r="K474" s="5"/>
      <c r="L474" s="5"/>
      <c r="M474" s="5"/>
      <c r="N474" s="5"/>
      <c r="O474" s="8" t="str">
        <f t="shared" si="66"/>
        <v>n/a</v>
      </c>
      <c r="Q474" s="5"/>
      <c r="R474" s="5"/>
      <c r="S474" s="5"/>
      <c r="U474" s="6"/>
      <c r="V474" s="9" t="str">
        <f t="shared" si="69"/>
        <v/>
      </c>
      <c r="W474" s="9" t="str">
        <f t="shared" si="70"/>
        <v/>
      </c>
      <c r="X474" s="10">
        <f>SUM(V$13:V474)/COUNTA(B$13:B474)</f>
        <v>0</v>
      </c>
      <c r="Z474" s="5"/>
      <c r="AA474" s="5"/>
      <c r="AC474" s="7"/>
      <c r="AE474" s="54" t="e">
        <f t="shared" si="71"/>
        <v>#N/A</v>
      </c>
      <c r="AF474" s="4" t="e">
        <f t="shared" si="67"/>
        <v>#N/A</v>
      </c>
    </row>
    <row r="475" spans="2:32">
      <c r="B475" s="5">
        <f t="shared" si="72"/>
        <v>463</v>
      </c>
      <c r="C475" s="5"/>
      <c r="E475" s="13"/>
      <c r="F475" s="5"/>
      <c r="G475" s="11" t="str">
        <f>IF(ISERROR(AVERAGE(F$13:F475)),"n/a",AVERAGE(F$13:F475))</f>
        <v>n/a</v>
      </c>
      <c r="H475" s="11" t="str">
        <f t="shared" si="68"/>
        <v>n/a</v>
      </c>
      <c r="J475" s="5"/>
      <c r="K475" s="5"/>
      <c r="L475" s="5"/>
      <c r="M475" s="5"/>
      <c r="N475" s="5"/>
      <c r="O475" s="8" t="str">
        <f t="shared" si="66"/>
        <v>n/a</v>
      </c>
      <c r="Q475" s="5"/>
      <c r="R475" s="5"/>
      <c r="S475" s="5"/>
      <c r="U475" s="6"/>
      <c r="V475" s="9" t="str">
        <f t="shared" si="69"/>
        <v/>
      </c>
      <c r="W475" s="9" t="str">
        <f t="shared" si="70"/>
        <v/>
      </c>
      <c r="X475" s="10">
        <f>SUM(V$13:V475)/COUNTA(B$13:B475)</f>
        <v>0</v>
      </c>
      <c r="Z475" s="5"/>
      <c r="AA475" s="5"/>
      <c r="AC475" s="7"/>
      <c r="AE475" s="54" t="e">
        <f t="shared" si="71"/>
        <v>#N/A</v>
      </c>
      <c r="AF475" s="4" t="e">
        <f t="shared" si="67"/>
        <v>#N/A</v>
      </c>
    </row>
    <row r="476" spans="2:32">
      <c r="B476" s="5">
        <f t="shared" si="72"/>
        <v>464</v>
      </c>
      <c r="C476" s="5"/>
      <c r="E476" s="13"/>
      <c r="F476" s="5"/>
      <c r="G476" s="11" t="str">
        <f>IF(ISERROR(AVERAGE(F$13:F476)),"n/a",AVERAGE(F$13:F476))</f>
        <v>n/a</v>
      </c>
      <c r="H476" s="11" t="str">
        <f t="shared" si="68"/>
        <v>n/a</v>
      </c>
      <c r="J476" s="5"/>
      <c r="K476" s="5"/>
      <c r="L476" s="5"/>
      <c r="M476" s="5"/>
      <c r="N476" s="5"/>
      <c r="O476" s="8" t="str">
        <f t="shared" si="66"/>
        <v>n/a</v>
      </c>
      <c r="Q476" s="5"/>
      <c r="R476" s="5"/>
      <c r="S476" s="5"/>
      <c r="U476" s="6"/>
      <c r="V476" s="9" t="str">
        <f t="shared" si="69"/>
        <v/>
      </c>
      <c r="W476" s="9" t="str">
        <f t="shared" si="70"/>
        <v/>
      </c>
      <c r="X476" s="10">
        <f>SUM(V$13:V476)/COUNTA(B$13:B476)</f>
        <v>0</v>
      </c>
      <c r="Z476" s="5"/>
      <c r="AA476" s="5"/>
      <c r="AC476" s="7"/>
      <c r="AE476" s="54" t="e">
        <f t="shared" si="71"/>
        <v>#N/A</v>
      </c>
      <c r="AF476" s="4" t="e">
        <f t="shared" si="67"/>
        <v>#N/A</v>
      </c>
    </row>
    <row r="477" spans="2:32">
      <c r="B477" s="5">
        <f t="shared" si="72"/>
        <v>465</v>
      </c>
      <c r="C477" s="5"/>
      <c r="E477" s="13"/>
      <c r="F477" s="5"/>
      <c r="G477" s="11" t="str">
        <f>IF(ISERROR(AVERAGE(F$13:F477)),"n/a",AVERAGE(F$13:F477))</f>
        <v>n/a</v>
      </c>
      <c r="H477" s="11" t="str">
        <f t="shared" si="68"/>
        <v>n/a</v>
      </c>
      <c r="J477" s="5"/>
      <c r="K477" s="5"/>
      <c r="L477" s="5"/>
      <c r="M477" s="5"/>
      <c r="N477" s="5"/>
      <c r="O477" s="8" t="str">
        <f t="shared" si="66"/>
        <v>n/a</v>
      </c>
      <c r="Q477" s="5"/>
      <c r="R477" s="5"/>
      <c r="S477" s="5"/>
      <c r="U477" s="6"/>
      <c r="V477" s="9" t="str">
        <f t="shared" si="69"/>
        <v/>
      </c>
      <c r="W477" s="9" t="str">
        <f t="shared" si="70"/>
        <v/>
      </c>
      <c r="X477" s="10">
        <f>SUM(V$13:V477)/COUNTA(B$13:B477)</f>
        <v>0</v>
      </c>
      <c r="Z477" s="5"/>
      <c r="AA477" s="5"/>
      <c r="AC477" s="7"/>
      <c r="AE477" s="54" t="e">
        <f t="shared" si="71"/>
        <v>#N/A</v>
      </c>
      <c r="AF477" s="4" t="e">
        <f t="shared" si="67"/>
        <v>#N/A</v>
      </c>
    </row>
    <row r="478" spans="2:32">
      <c r="B478" s="5">
        <f t="shared" si="72"/>
        <v>466</v>
      </c>
      <c r="C478" s="5"/>
      <c r="E478" s="13"/>
      <c r="F478" s="5"/>
      <c r="G478" s="11" t="str">
        <f>IF(ISERROR(AVERAGE(F$13:F478)),"n/a",AVERAGE(F$13:F478))</f>
        <v>n/a</v>
      </c>
      <c r="H478" s="11" t="str">
        <f t="shared" si="68"/>
        <v>n/a</v>
      </c>
      <c r="J478" s="5"/>
      <c r="K478" s="5"/>
      <c r="L478" s="5"/>
      <c r="M478" s="5"/>
      <c r="N478" s="5"/>
      <c r="O478" s="8" t="str">
        <f t="shared" si="66"/>
        <v>n/a</v>
      </c>
      <c r="Q478" s="5"/>
      <c r="R478" s="5"/>
      <c r="S478" s="5"/>
      <c r="U478" s="6"/>
      <c r="V478" s="9" t="str">
        <f t="shared" si="69"/>
        <v/>
      </c>
      <c r="W478" s="9" t="str">
        <f t="shared" si="70"/>
        <v/>
      </c>
      <c r="X478" s="10">
        <f>SUM(V$13:V478)/COUNTA(B$13:B478)</f>
        <v>0</v>
      </c>
      <c r="Z478" s="5"/>
      <c r="AA478" s="5"/>
      <c r="AC478" s="7"/>
      <c r="AE478" s="54" t="e">
        <f t="shared" si="71"/>
        <v>#N/A</v>
      </c>
      <c r="AF478" s="4" t="e">
        <f t="shared" si="67"/>
        <v>#N/A</v>
      </c>
    </row>
    <row r="479" spans="2:32">
      <c r="B479" s="5">
        <f t="shared" si="72"/>
        <v>467</v>
      </c>
      <c r="C479" s="5"/>
      <c r="E479" s="13"/>
      <c r="F479" s="5"/>
      <c r="G479" s="11" t="str">
        <f>IF(ISERROR(AVERAGE(F$13:F479)),"n/a",AVERAGE(F$13:F479))</f>
        <v>n/a</v>
      </c>
      <c r="H479" s="11" t="str">
        <f t="shared" si="68"/>
        <v>n/a</v>
      </c>
      <c r="J479" s="5"/>
      <c r="K479" s="5"/>
      <c r="L479" s="5"/>
      <c r="M479" s="5"/>
      <c r="N479" s="5"/>
      <c r="O479" s="8" t="str">
        <f t="shared" si="66"/>
        <v>n/a</v>
      </c>
      <c r="Q479" s="5"/>
      <c r="R479" s="5"/>
      <c r="S479" s="5"/>
      <c r="U479" s="6"/>
      <c r="V479" s="9" t="str">
        <f t="shared" si="69"/>
        <v/>
      </c>
      <c r="W479" s="9" t="str">
        <f t="shared" si="70"/>
        <v/>
      </c>
      <c r="X479" s="10">
        <f>SUM(V$13:V479)/COUNTA(B$13:B479)</f>
        <v>0</v>
      </c>
      <c r="Z479" s="5"/>
      <c r="AA479" s="5"/>
      <c r="AC479" s="7"/>
      <c r="AE479" s="54" t="e">
        <f t="shared" si="71"/>
        <v>#N/A</v>
      </c>
      <c r="AF479" s="4" t="e">
        <f t="shared" si="67"/>
        <v>#N/A</v>
      </c>
    </row>
    <row r="480" spans="2:32">
      <c r="B480" s="5">
        <f t="shared" si="72"/>
        <v>468</v>
      </c>
      <c r="C480" s="5"/>
      <c r="E480" s="13"/>
      <c r="F480" s="5"/>
      <c r="G480" s="11" t="str">
        <f>IF(ISERROR(AVERAGE(F$13:F480)),"n/a",AVERAGE(F$13:F480))</f>
        <v>n/a</v>
      </c>
      <c r="H480" s="11" t="str">
        <f t="shared" si="68"/>
        <v>n/a</v>
      </c>
      <c r="J480" s="5"/>
      <c r="K480" s="5"/>
      <c r="L480" s="5"/>
      <c r="M480" s="5"/>
      <c r="N480" s="5"/>
      <c r="O480" s="8" t="str">
        <f t="shared" si="66"/>
        <v>n/a</v>
      </c>
      <c r="Q480" s="5"/>
      <c r="R480" s="5"/>
      <c r="S480" s="5"/>
      <c r="U480" s="6"/>
      <c r="V480" s="9" t="str">
        <f t="shared" si="69"/>
        <v/>
      </c>
      <c r="W480" s="9" t="str">
        <f t="shared" si="70"/>
        <v/>
      </c>
      <c r="X480" s="10">
        <f>SUM(V$13:V480)/COUNTA(B$13:B480)</f>
        <v>0</v>
      </c>
      <c r="Z480" s="5"/>
      <c r="AA480" s="5"/>
      <c r="AC480" s="7"/>
      <c r="AE480" s="54" t="e">
        <f t="shared" si="71"/>
        <v>#N/A</v>
      </c>
      <c r="AF480" s="4" t="e">
        <f t="shared" si="67"/>
        <v>#N/A</v>
      </c>
    </row>
    <row r="481" spans="2:32">
      <c r="B481" s="5">
        <f t="shared" si="72"/>
        <v>469</v>
      </c>
      <c r="C481" s="5"/>
      <c r="E481" s="13"/>
      <c r="F481" s="5"/>
      <c r="G481" s="11" t="str">
        <f>IF(ISERROR(AVERAGE(F$13:F481)),"n/a",AVERAGE(F$13:F481))</f>
        <v>n/a</v>
      </c>
      <c r="H481" s="11" t="str">
        <f t="shared" si="68"/>
        <v>n/a</v>
      </c>
      <c r="J481" s="5"/>
      <c r="K481" s="5"/>
      <c r="L481" s="5"/>
      <c r="M481" s="5"/>
      <c r="N481" s="5"/>
      <c r="O481" s="8" t="str">
        <f t="shared" si="66"/>
        <v>n/a</v>
      </c>
      <c r="Q481" s="5"/>
      <c r="R481" s="5"/>
      <c r="S481" s="5"/>
      <c r="U481" s="6"/>
      <c r="V481" s="9" t="str">
        <f t="shared" si="69"/>
        <v/>
      </c>
      <c r="W481" s="9" t="str">
        <f t="shared" si="70"/>
        <v/>
      </c>
      <c r="X481" s="10">
        <f>SUM(V$13:V481)/COUNTA(B$13:B481)</f>
        <v>0</v>
      </c>
      <c r="Z481" s="5"/>
      <c r="AA481" s="5"/>
      <c r="AC481" s="7"/>
      <c r="AE481" s="54" t="e">
        <f t="shared" si="71"/>
        <v>#N/A</v>
      </c>
      <c r="AF481" s="4" t="e">
        <f t="shared" si="67"/>
        <v>#N/A</v>
      </c>
    </row>
    <row r="482" spans="2:32">
      <c r="B482" s="5">
        <f t="shared" si="72"/>
        <v>470</v>
      </c>
      <c r="C482" s="5"/>
      <c r="E482" s="13"/>
      <c r="F482" s="5"/>
      <c r="G482" s="11" t="str">
        <f>IF(ISERROR(AVERAGE(F$13:F482)),"n/a",AVERAGE(F$13:F482))</f>
        <v>n/a</v>
      </c>
      <c r="H482" s="11" t="str">
        <f t="shared" si="68"/>
        <v>n/a</v>
      </c>
      <c r="J482" s="5"/>
      <c r="K482" s="5"/>
      <c r="L482" s="5"/>
      <c r="M482" s="5"/>
      <c r="N482" s="5"/>
      <c r="O482" s="8" t="str">
        <f t="shared" si="66"/>
        <v>n/a</v>
      </c>
      <c r="Q482" s="5"/>
      <c r="R482" s="5"/>
      <c r="S482" s="5"/>
      <c r="U482" s="6"/>
      <c r="V482" s="9" t="str">
        <f t="shared" si="69"/>
        <v/>
      </c>
      <c r="W482" s="9" t="str">
        <f t="shared" si="70"/>
        <v/>
      </c>
      <c r="X482" s="10">
        <f>SUM(V$13:V482)/COUNTA(B$13:B482)</f>
        <v>0</v>
      </c>
      <c r="Z482" s="5"/>
      <c r="AA482" s="5"/>
      <c r="AC482" s="7"/>
      <c r="AE482" s="54" t="e">
        <f t="shared" si="71"/>
        <v>#N/A</v>
      </c>
      <c r="AF482" s="4" t="e">
        <f t="shared" si="67"/>
        <v>#N/A</v>
      </c>
    </row>
    <row r="483" spans="2:32">
      <c r="B483" s="5">
        <f t="shared" si="72"/>
        <v>471</v>
      </c>
      <c r="C483" s="5"/>
      <c r="E483" s="13"/>
      <c r="F483" s="5"/>
      <c r="G483" s="11" t="str">
        <f>IF(ISERROR(AVERAGE(F$13:F483)),"n/a",AVERAGE(F$13:F483))</f>
        <v>n/a</v>
      </c>
      <c r="H483" s="11" t="str">
        <f t="shared" si="68"/>
        <v>n/a</v>
      </c>
      <c r="J483" s="5"/>
      <c r="K483" s="5"/>
      <c r="L483" s="5"/>
      <c r="M483" s="5"/>
      <c r="N483" s="5"/>
      <c r="O483" s="8" t="str">
        <f t="shared" si="66"/>
        <v>n/a</v>
      </c>
      <c r="Q483" s="5"/>
      <c r="R483" s="5"/>
      <c r="S483" s="5"/>
      <c r="U483" s="6"/>
      <c r="V483" s="9" t="str">
        <f t="shared" si="69"/>
        <v/>
      </c>
      <c r="W483" s="9" t="str">
        <f t="shared" si="70"/>
        <v/>
      </c>
      <c r="X483" s="10">
        <f>SUM(V$13:V483)/COUNTA(B$13:B483)</f>
        <v>0</v>
      </c>
      <c r="Z483" s="5"/>
      <c r="AA483" s="5"/>
      <c r="AC483" s="7"/>
      <c r="AE483" s="54" t="e">
        <f t="shared" si="71"/>
        <v>#N/A</v>
      </c>
      <c r="AF483" s="4" t="e">
        <f t="shared" si="67"/>
        <v>#N/A</v>
      </c>
    </row>
    <row r="484" spans="2:32">
      <c r="B484" s="5">
        <f t="shared" si="72"/>
        <v>472</v>
      </c>
      <c r="C484" s="5"/>
      <c r="E484" s="13"/>
      <c r="F484" s="5"/>
      <c r="G484" s="11" t="str">
        <f>IF(ISERROR(AVERAGE(F$13:F484)),"n/a",AVERAGE(F$13:F484))</f>
        <v>n/a</v>
      </c>
      <c r="H484" s="11" t="str">
        <f t="shared" si="68"/>
        <v>n/a</v>
      </c>
      <c r="J484" s="5"/>
      <c r="K484" s="5"/>
      <c r="L484" s="5"/>
      <c r="M484" s="5"/>
      <c r="N484" s="5"/>
      <c r="O484" s="8" t="str">
        <f t="shared" si="66"/>
        <v>n/a</v>
      </c>
      <c r="Q484" s="5"/>
      <c r="R484" s="5"/>
      <c r="S484" s="5"/>
      <c r="U484" s="6"/>
      <c r="V484" s="9" t="str">
        <f t="shared" si="69"/>
        <v/>
      </c>
      <c r="W484" s="9" t="str">
        <f t="shared" si="70"/>
        <v/>
      </c>
      <c r="X484" s="10">
        <f>SUM(V$13:V484)/COUNTA(B$13:B484)</f>
        <v>0</v>
      </c>
      <c r="Z484" s="5"/>
      <c r="AA484" s="5"/>
      <c r="AC484" s="7"/>
      <c r="AE484" s="54" t="e">
        <f t="shared" si="71"/>
        <v>#N/A</v>
      </c>
      <c r="AF484" s="4" t="e">
        <f t="shared" si="67"/>
        <v>#N/A</v>
      </c>
    </row>
    <row r="485" spans="2:32">
      <c r="B485" s="5">
        <f t="shared" si="72"/>
        <v>473</v>
      </c>
      <c r="C485" s="5"/>
      <c r="E485" s="13"/>
      <c r="F485" s="5"/>
      <c r="G485" s="11" t="str">
        <f>IF(ISERROR(AVERAGE(F$13:F485)),"n/a",AVERAGE(F$13:F485))</f>
        <v>n/a</v>
      </c>
      <c r="H485" s="11" t="str">
        <f t="shared" si="68"/>
        <v>n/a</v>
      </c>
      <c r="J485" s="5"/>
      <c r="K485" s="5"/>
      <c r="L485" s="5"/>
      <c r="M485" s="5"/>
      <c r="N485" s="5"/>
      <c r="O485" s="8" t="str">
        <f t="shared" si="66"/>
        <v>n/a</v>
      </c>
      <c r="Q485" s="5"/>
      <c r="R485" s="5"/>
      <c r="S485" s="5"/>
      <c r="U485" s="6"/>
      <c r="V485" s="9" t="str">
        <f t="shared" si="69"/>
        <v/>
      </c>
      <c r="W485" s="9" t="str">
        <f t="shared" si="70"/>
        <v/>
      </c>
      <c r="X485" s="10">
        <f>SUM(V$13:V485)/COUNTA(B$13:B485)</f>
        <v>0</v>
      </c>
      <c r="Z485" s="5"/>
      <c r="AA485" s="5"/>
      <c r="AC485" s="7"/>
      <c r="AE485" s="54" t="e">
        <f t="shared" si="71"/>
        <v>#N/A</v>
      </c>
      <c r="AF485" s="4" t="e">
        <f t="shared" si="67"/>
        <v>#N/A</v>
      </c>
    </row>
    <row r="486" spans="2:32">
      <c r="B486" s="5">
        <f t="shared" si="72"/>
        <v>474</v>
      </c>
      <c r="C486" s="5"/>
      <c r="E486" s="13"/>
      <c r="F486" s="5"/>
      <c r="G486" s="11" t="str">
        <f>IF(ISERROR(AVERAGE(F$13:F486)),"n/a",AVERAGE(F$13:F486))</f>
        <v>n/a</v>
      </c>
      <c r="H486" s="11" t="str">
        <f t="shared" si="68"/>
        <v>n/a</v>
      </c>
      <c r="J486" s="5"/>
      <c r="K486" s="5"/>
      <c r="L486" s="5"/>
      <c r="M486" s="5"/>
      <c r="N486" s="5"/>
      <c r="O486" s="8" t="str">
        <f t="shared" si="66"/>
        <v>n/a</v>
      </c>
      <c r="Q486" s="5"/>
      <c r="R486" s="5"/>
      <c r="S486" s="5"/>
      <c r="U486" s="6"/>
      <c r="V486" s="9" t="str">
        <f t="shared" si="69"/>
        <v/>
      </c>
      <c r="W486" s="9" t="str">
        <f t="shared" si="70"/>
        <v/>
      </c>
      <c r="X486" s="10">
        <f>SUM(V$13:V486)/COUNTA(B$13:B486)</f>
        <v>0</v>
      </c>
      <c r="Z486" s="5"/>
      <c r="AA486" s="5"/>
      <c r="AC486" s="7"/>
      <c r="AE486" s="54" t="e">
        <f t="shared" si="71"/>
        <v>#N/A</v>
      </c>
      <c r="AF486" s="4" t="e">
        <f t="shared" si="67"/>
        <v>#N/A</v>
      </c>
    </row>
    <row r="487" spans="2:32">
      <c r="B487" s="5">
        <f t="shared" si="72"/>
        <v>475</v>
      </c>
      <c r="C487" s="5"/>
      <c r="E487" s="13"/>
      <c r="F487" s="5"/>
      <c r="G487" s="11" t="str">
        <f>IF(ISERROR(AVERAGE(F$13:F487)),"n/a",AVERAGE(F$13:F487))</f>
        <v>n/a</v>
      </c>
      <c r="H487" s="11" t="str">
        <f t="shared" si="68"/>
        <v>n/a</v>
      </c>
      <c r="J487" s="5"/>
      <c r="K487" s="5"/>
      <c r="L487" s="5"/>
      <c r="M487" s="5"/>
      <c r="N487" s="5"/>
      <c r="O487" s="8" t="str">
        <f t="shared" si="66"/>
        <v>n/a</v>
      </c>
      <c r="Q487" s="5"/>
      <c r="R487" s="5"/>
      <c r="S487" s="5"/>
      <c r="U487" s="6"/>
      <c r="V487" s="9" t="str">
        <f t="shared" si="69"/>
        <v/>
      </c>
      <c r="W487" s="9" t="str">
        <f t="shared" si="70"/>
        <v/>
      </c>
      <c r="X487" s="10">
        <f>SUM(V$13:V487)/COUNTA(B$13:B487)</f>
        <v>0</v>
      </c>
      <c r="Z487" s="5"/>
      <c r="AA487" s="5"/>
      <c r="AC487" s="7"/>
      <c r="AE487" s="54" t="e">
        <f t="shared" si="71"/>
        <v>#N/A</v>
      </c>
      <c r="AF487" s="4" t="e">
        <f t="shared" si="67"/>
        <v>#N/A</v>
      </c>
    </row>
    <row r="488" spans="2:32">
      <c r="B488" s="5">
        <f t="shared" si="72"/>
        <v>476</v>
      </c>
      <c r="C488" s="5"/>
      <c r="E488" s="13"/>
      <c r="F488" s="5"/>
      <c r="G488" s="11" t="str">
        <f>IF(ISERROR(AVERAGE(F$13:F488)),"n/a",AVERAGE(F$13:F488))</f>
        <v>n/a</v>
      </c>
      <c r="H488" s="11" t="str">
        <f t="shared" si="68"/>
        <v>n/a</v>
      </c>
      <c r="J488" s="5"/>
      <c r="K488" s="5"/>
      <c r="L488" s="5"/>
      <c r="M488" s="5"/>
      <c r="N488" s="5"/>
      <c r="O488" s="8" t="str">
        <f t="shared" si="66"/>
        <v>n/a</v>
      </c>
      <c r="Q488" s="5"/>
      <c r="R488" s="5"/>
      <c r="S488" s="5"/>
      <c r="U488" s="6"/>
      <c r="V488" s="9" t="str">
        <f t="shared" si="69"/>
        <v/>
      </c>
      <c r="W488" s="9" t="str">
        <f t="shared" si="70"/>
        <v/>
      </c>
      <c r="X488" s="10">
        <f>SUM(V$13:V488)/COUNTA(B$13:B488)</f>
        <v>0</v>
      </c>
      <c r="Z488" s="5"/>
      <c r="AA488" s="5"/>
      <c r="AC488" s="7"/>
      <c r="AE488" s="54" t="e">
        <f t="shared" si="71"/>
        <v>#N/A</v>
      </c>
      <c r="AF488" s="4" t="e">
        <f t="shared" si="67"/>
        <v>#N/A</v>
      </c>
    </row>
    <row r="489" spans="2:32">
      <c r="B489" s="5">
        <f t="shared" si="72"/>
        <v>477</v>
      </c>
      <c r="C489" s="5"/>
      <c r="E489" s="13"/>
      <c r="F489" s="5"/>
      <c r="G489" s="11" t="str">
        <f>IF(ISERROR(AVERAGE(F$13:F489)),"n/a",AVERAGE(F$13:F489))</f>
        <v>n/a</v>
      </c>
      <c r="H489" s="11" t="str">
        <f t="shared" si="68"/>
        <v>n/a</v>
      </c>
      <c r="J489" s="5"/>
      <c r="K489" s="5"/>
      <c r="L489" s="5"/>
      <c r="M489" s="5"/>
      <c r="N489" s="5"/>
      <c r="O489" s="8" t="str">
        <f t="shared" si="66"/>
        <v>n/a</v>
      </c>
      <c r="Q489" s="5"/>
      <c r="R489" s="5"/>
      <c r="S489" s="5"/>
      <c r="U489" s="6"/>
      <c r="V489" s="9" t="str">
        <f t="shared" si="69"/>
        <v/>
      </c>
      <c r="W489" s="9" t="str">
        <f t="shared" si="70"/>
        <v/>
      </c>
      <c r="X489" s="10">
        <f>SUM(V$13:V489)/COUNTA(B$13:B489)</f>
        <v>0</v>
      </c>
      <c r="Z489" s="5"/>
      <c r="AA489" s="5"/>
      <c r="AC489" s="7"/>
      <c r="AE489" s="54" t="e">
        <f t="shared" si="71"/>
        <v>#N/A</v>
      </c>
      <c r="AF489" s="4" t="e">
        <f t="shared" si="67"/>
        <v>#N/A</v>
      </c>
    </row>
    <row r="490" spans="2:32">
      <c r="B490" s="5">
        <f t="shared" si="72"/>
        <v>478</v>
      </c>
      <c r="C490" s="5"/>
      <c r="E490" s="13"/>
      <c r="F490" s="5"/>
      <c r="G490" s="11" t="str">
        <f>IF(ISERROR(AVERAGE(F$13:F490)),"n/a",AVERAGE(F$13:F490))</f>
        <v>n/a</v>
      </c>
      <c r="H490" s="11" t="str">
        <f t="shared" si="68"/>
        <v>n/a</v>
      </c>
      <c r="J490" s="5"/>
      <c r="K490" s="5"/>
      <c r="L490" s="5"/>
      <c r="M490" s="5"/>
      <c r="N490" s="5"/>
      <c r="O490" s="8" t="str">
        <f t="shared" si="66"/>
        <v>n/a</v>
      </c>
      <c r="Q490" s="5"/>
      <c r="R490" s="5"/>
      <c r="S490" s="5"/>
      <c r="U490" s="6"/>
      <c r="V490" s="9" t="str">
        <f t="shared" si="69"/>
        <v/>
      </c>
      <c r="W490" s="9" t="str">
        <f t="shared" si="70"/>
        <v/>
      </c>
      <c r="X490" s="10">
        <f>SUM(V$13:V490)/COUNTA(B$13:B490)</f>
        <v>0</v>
      </c>
      <c r="Z490" s="5"/>
      <c r="AA490" s="5"/>
      <c r="AC490" s="7"/>
      <c r="AE490" s="54" t="e">
        <f t="shared" si="71"/>
        <v>#N/A</v>
      </c>
      <c r="AF490" s="4" t="e">
        <f t="shared" si="67"/>
        <v>#N/A</v>
      </c>
    </row>
    <row r="491" spans="2:32">
      <c r="B491" s="5">
        <f t="shared" si="72"/>
        <v>479</v>
      </c>
      <c r="C491" s="5"/>
      <c r="E491" s="13"/>
      <c r="F491" s="5"/>
      <c r="G491" s="11" t="str">
        <f>IF(ISERROR(AVERAGE(F$13:F491)),"n/a",AVERAGE(F$13:F491))</f>
        <v>n/a</v>
      </c>
      <c r="H491" s="11" t="str">
        <f t="shared" si="68"/>
        <v>n/a</v>
      </c>
      <c r="J491" s="5"/>
      <c r="K491" s="5"/>
      <c r="L491" s="5"/>
      <c r="M491" s="5"/>
      <c r="N491" s="5"/>
      <c r="O491" s="8" t="str">
        <f t="shared" si="66"/>
        <v>n/a</v>
      </c>
      <c r="Q491" s="5"/>
      <c r="R491" s="5"/>
      <c r="S491" s="5"/>
      <c r="U491" s="6"/>
      <c r="V491" s="9" t="str">
        <f t="shared" si="69"/>
        <v/>
      </c>
      <c r="W491" s="9" t="str">
        <f t="shared" si="70"/>
        <v/>
      </c>
      <c r="X491" s="10">
        <f>SUM(V$13:V491)/COUNTA(B$13:B491)</f>
        <v>0</v>
      </c>
      <c r="Z491" s="5"/>
      <c r="AA491" s="5"/>
      <c r="AC491" s="7"/>
      <c r="AE491" s="54" t="e">
        <f t="shared" si="71"/>
        <v>#N/A</v>
      </c>
      <c r="AF491" s="4" t="e">
        <f t="shared" si="67"/>
        <v>#N/A</v>
      </c>
    </row>
    <row r="492" spans="2:32">
      <c r="B492" s="5">
        <f t="shared" si="72"/>
        <v>480</v>
      </c>
      <c r="C492" s="5"/>
      <c r="E492" s="13"/>
      <c r="F492" s="5"/>
      <c r="G492" s="11" t="str">
        <f>IF(ISERROR(AVERAGE(F$13:F492)),"n/a",AVERAGE(F$13:F492))</f>
        <v>n/a</v>
      </c>
      <c r="H492" s="11" t="str">
        <f t="shared" si="68"/>
        <v>n/a</v>
      </c>
      <c r="J492" s="5"/>
      <c r="K492" s="5"/>
      <c r="L492" s="5"/>
      <c r="M492" s="5"/>
      <c r="N492" s="5"/>
      <c r="O492" s="8" t="str">
        <f t="shared" si="66"/>
        <v>n/a</v>
      </c>
      <c r="Q492" s="5"/>
      <c r="R492" s="5"/>
      <c r="S492" s="5"/>
      <c r="U492" s="6"/>
      <c r="V492" s="9" t="str">
        <f t="shared" si="69"/>
        <v/>
      </c>
      <c r="W492" s="9" t="str">
        <f t="shared" si="70"/>
        <v/>
      </c>
      <c r="X492" s="10">
        <f>SUM(V$13:V492)/COUNTA(B$13:B492)</f>
        <v>0</v>
      </c>
      <c r="Z492" s="5"/>
      <c r="AA492" s="5"/>
      <c r="AC492" s="7"/>
      <c r="AE492" s="54" t="e">
        <f t="shared" si="71"/>
        <v>#N/A</v>
      </c>
      <c r="AF492" s="4" t="e">
        <f t="shared" si="67"/>
        <v>#N/A</v>
      </c>
    </row>
    <row r="493" spans="2:32">
      <c r="B493" s="5">
        <f t="shared" si="72"/>
        <v>481</v>
      </c>
      <c r="C493" s="5"/>
      <c r="E493" s="13"/>
      <c r="F493" s="5"/>
      <c r="G493" s="11" t="str">
        <f>IF(ISERROR(AVERAGE(F$13:F493)),"n/a",AVERAGE(F$13:F493))</f>
        <v>n/a</v>
      </c>
      <c r="H493" s="11" t="str">
        <f t="shared" si="68"/>
        <v>n/a</v>
      </c>
      <c r="J493" s="5"/>
      <c r="K493" s="5"/>
      <c r="L493" s="5"/>
      <c r="M493" s="5"/>
      <c r="N493" s="5"/>
      <c r="O493" s="8" t="str">
        <f t="shared" si="66"/>
        <v>n/a</v>
      </c>
      <c r="Q493" s="5"/>
      <c r="R493" s="5"/>
      <c r="S493" s="5"/>
      <c r="U493" s="6"/>
      <c r="V493" s="9" t="str">
        <f t="shared" si="69"/>
        <v/>
      </c>
      <c r="W493" s="9" t="str">
        <f t="shared" si="70"/>
        <v/>
      </c>
      <c r="X493" s="10">
        <f>SUM(V$13:V493)/COUNTA(B$13:B493)</f>
        <v>0</v>
      </c>
      <c r="Z493" s="5"/>
      <c r="AA493" s="5"/>
      <c r="AC493" s="7"/>
      <c r="AE493" s="54" t="e">
        <f t="shared" si="71"/>
        <v>#N/A</v>
      </c>
      <c r="AF493" s="4" t="e">
        <f t="shared" si="67"/>
        <v>#N/A</v>
      </c>
    </row>
    <row r="494" spans="2:32">
      <c r="B494" s="5">
        <f t="shared" si="72"/>
        <v>482</v>
      </c>
      <c r="C494" s="5"/>
      <c r="E494" s="13"/>
      <c r="F494" s="5"/>
      <c r="G494" s="11" t="str">
        <f>IF(ISERROR(AVERAGE(F$13:F494)),"n/a",AVERAGE(F$13:F494))</f>
        <v>n/a</v>
      </c>
      <c r="H494" s="11" t="str">
        <f t="shared" si="68"/>
        <v>n/a</v>
      </c>
      <c r="J494" s="5"/>
      <c r="K494" s="5"/>
      <c r="L494" s="5"/>
      <c r="M494" s="5"/>
      <c r="N494" s="5"/>
      <c r="O494" s="8" t="str">
        <f t="shared" si="66"/>
        <v>n/a</v>
      </c>
      <c r="Q494" s="5"/>
      <c r="R494" s="5"/>
      <c r="S494" s="5"/>
      <c r="U494" s="6"/>
      <c r="V494" s="9" t="str">
        <f t="shared" si="69"/>
        <v/>
      </c>
      <c r="W494" s="9" t="str">
        <f t="shared" si="70"/>
        <v/>
      </c>
      <c r="X494" s="10">
        <f>SUM(V$13:V494)/COUNTA(B$13:B494)</f>
        <v>0</v>
      </c>
      <c r="Z494" s="5"/>
      <c r="AA494" s="5"/>
      <c r="AC494" s="7"/>
      <c r="AE494" s="54" t="e">
        <f t="shared" si="71"/>
        <v>#N/A</v>
      </c>
      <c r="AF494" s="4" t="e">
        <f t="shared" si="67"/>
        <v>#N/A</v>
      </c>
    </row>
    <row r="495" spans="2:32">
      <c r="B495" s="5">
        <f t="shared" si="72"/>
        <v>483</v>
      </c>
      <c r="C495" s="5"/>
      <c r="E495" s="13"/>
      <c r="F495" s="5"/>
      <c r="G495" s="11" t="str">
        <f>IF(ISERROR(AVERAGE(F$13:F495)),"n/a",AVERAGE(F$13:F495))</f>
        <v>n/a</v>
      </c>
      <c r="H495" s="11" t="str">
        <f t="shared" si="68"/>
        <v>n/a</v>
      </c>
      <c r="J495" s="5"/>
      <c r="K495" s="5"/>
      <c r="L495" s="5"/>
      <c r="M495" s="5"/>
      <c r="N495" s="5"/>
      <c r="O495" s="8" t="str">
        <f t="shared" si="66"/>
        <v>n/a</v>
      </c>
      <c r="Q495" s="5"/>
      <c r="R495" s="5"/>
      <c r="S495" s="5"/>
      <c r="U495" s="6"/>
      <c r="V495" s="9" t="str">
        <f t="shared" si="69"/>
        <v/>
      </c>
      <c r="W495" s="9" t="str">
        <f t="shared" si="70"/>
        <v/>
      </c>
      <c r="X495" s="10">
        <f>SUM(V$13:V495)/COUNTA(B$13:B495)</f>
        <v>0</v>
      </c>
      <c r="Z495" s="5"/>
      <c r="AA495" s="5"/>
      <c r="AC495" s="7"/>
      <c r="AE495" s="54" t="e">
        <f t="shared" si="71"/>
        <v>#N/A</v>
      </c>
      <c r="AF495" s="4" t="e">
        <f t="shared" si="67"/>
        <v>#N/A</v>
      </c>
    </row>
    <row r="496" spans="2:32">
      <c r="B496" s="5">
        <f t="shared" si="72"/>
        <v>484</v>
      </c>
      <c r="C496" s="5"/>
      <c r="E496" s="13"/>
      <c r="F496" s="5"/>
      <c r="G496" s="11" t="str">
        <f>IF(ISERROR(AVERAGE(F$13:F496)),"n/a",AVERAGE(F$13:F496))</f>
        <v>n/a</v>
      </c>
      <c r="H496" s="11" t="str">
        <f t="shared" si="68"/>
        <v>n/a</v>
      </c>
      <c r="J496" s="5"/>
      <c r="K496" s="5"/>
      <c r="L496" s="5"/>
      <c r="M496" s="5"/>
      <c r="N496" s="5"/>
      <c r="O496" s="8" t="str">
        <f t="shared" si="66"/>
        <v>n/a</v>
      </c>
      <c r="Q496" s="5"/>
      <c r="R496" s="5"/>
      <c r="S496" s="5"/>
      <c r="U496" s="6"/>
      <c r="V496" s="9" t="str">
        <f t="shared" si="69"/>
        <v/>
      </c>
      <c r="W496" s="9" t="str">
        <f t="shared" si="70"/>
        <v/>
      </c>
      <c r="X496" s="10">
        <f>SUM(V$13:V496)/COUNTA(B$13:B496)</f>
        <v>0</v>
      </c>
      <c r="Z496" s="5"/>
      <c r="AA496" s="5"/>
      <c r="AC496" s="7"/>
      <c r="AE496" s="54" t="e">
        <f t="shared" si="71"/>
        <v>#N/A</v>
      </c>
      <c r="AF496" s="4" t="e">
        <f t="shared" si="67"/>
        <v>#N/A</v>
      </c>
    </row>
    <row r="497" spans="2:32">
      <c r="B497" s="5">
        <f t="shared" si="72"/>
        <v>485</v>
      </c>
      <c r="C497" s="5"/>
      <c r="E497" s="13"/>
      <c r="F497" s="5"/>
      <c r="G497" s="11" t="str">
        <f>IF(ISERROR(AVERAGE(F$13:F497)),"n/a",AVERAGE(F$13:F497))</f>
        <v>n/a</v>
      </c>
      <c r="H497" s="11" t="str">
        <f t="shared" si="68"/>
        <v>n/a</v>
      </c>
      <c r="J497" s="5"/>
      <c r="K497" s="5"/>
      <c r="L497" s="5"/>
      <c r="M497" s="5"/>
      <c r="N497" s="5"/>
      <c r="O497" s="8" t="str">
        <f t="shared" si="66"/>
        <v>n/a</v>
      </c>
      <c r="Q497" s="5"/>
      <c r="R497" s="5"/>
      <c r="S497" s="5"/>
      <c r="U497" s="6"/>
      <c r="V497" s="9" t="str">
        <f t="shared" si="69"/>
        <v/>
      </c>
      <c r="W497" s="9" t="str">
        <f t="shared" si="70"/>
        <v/>
      </c>
      <c r="X497" s="10">
        <f>SUM(V$13:V497)/COUNTA(B$13:B497)</f>
        <v>0</v>
      </c>
      <c r="Z497" s="5"/>
      <c r="AA497" s="5"/>
      <c r="AC497" s="7"/>
      <c r="AE497" s="54" t="e">
        <f t="shared" si="71"/>
        <v>#N/A</v>
      </c>
      <c r="AF497" s="4" t="e">
        <f t="shared" si="67"/>
        <v>#N/A</v>
      </c>
    </row>
    <row r="498" spans="2:32">
      <c r="B498" s="5">
        <f t="shared" si="72"/>
        <v>486</v>
      </c>
      <c r="C498" s="5"/>
      <c r="E498" s="13"/>
      <c r="F498" s="5"/>
      <c r="G498" s="11" t="str">
        <f>IF(ISERROR(AVERAGE(F$13:F498)),"n/a",AVERAGE(F$13:F498))</f>
        <v>n/a</v>
      </c>
      <c r="H498" s="11" t="str">
        <f t="shared" si="68"/>
        <v>n/a</v>
      </c>
      <c r="J498" s="5"/>
      <c r="K498" s="5"/>
      <c r="L498" s="5"/>
      <c r="M498" s="5"/>
      <c r="N498" s="5"/>
      <c r="O498" s="8" t="str">
        <f t="shared" si="66"/>
        <v>n/a</v>
      </c>
      <c r="Q498" s="5"/>
      <c r="R498" s="5"/>
      <c r="S498" s="5"/>
      <c r="U498" s="6"/>
      <c r="V498" s="9" t="str">
        <f t="shared" si="69"/>
        <v/>
      </c>
      <c r="W498" s="9" t="str">
        <f t="shared" si="70"/>
        <v/>
      </c>
      <c r="X498" s="10">
        <f>SUM(V$13:V498)/COUNTA(B$13:B498)</f>
        <v>0</v>
      </c>
      <c r="Z498" s="5"/>
      <c r="AA498" s="5"/>
      <c r="AC498" s="7"/>
      <c r="AE498" s="54" t="e">
        <f t="shared" si="71"/>
        <v>#N/A</v>
      </c>
      <c r="AF498" s="4" t="e">
        <f t="shared" si="67"/>
        <v>#N/A</v>
      </c>
    </row>
    <row r="499" spans="2:32">
      <c r="B499" s="5">
        <f t="shared" si="72"/>
        <v>487</v>
      </c>
      <c r="C499" s="5"/>
      <c r="E499" s="13"/>
      <c r="F499" s="5"/>
      <c r="G499" s="11" t="str">
        <f>IF(ISERROR(AVERAGE(F$13:F499)),"n/a",AVERAGE(F$13:F499))</f>
        <v>n/a</v>
      </c>
      <c r="H499" s="11" t="str">
        <f t="shared" si="68"/>
        <v>n/a</v>
      </c>
      <c r="J499" s="5"/>
      <c r="K499" s="5"/>
      <c r="L499" s="5"/>
      <c r="M499" s="5"/>
      <c r="N499" s="5"/>
      <c r="O499" s="8" t="str">
        <f t="shared" si="66"/>
        <v>n/a</v>
      </c>
      <c r="Q499" s="5"/>
      <c r="R499" s="5"/>
      <c r="S499" s="5"/>
      <c r="U499" s="6"/>
      <c r="V499" s="9" t="str">
        <f t="shared" si="69"/>
        <v/>
      </c>
      <c r="W499" s="9" t="str">
        <f t="shared" si="70"/>
        <v/>
      </c>
      <c r="X499" s="10">
        <f>SUM(V$13:V499)/COUNTA(B$13:B499)</f>
        <v>0</v>
      </c>
      <c r="Z499" s="5"/>
      <c r="AA499" s="5"/>
      <c r="AC499" s="7"/>
      <c r="AE499" s="54" t="e">
        <f t="shared" si="71"/>
        <v>#N/A</v>
      </c>
      <c r="AF499" s="4" t="e">
        <f t="shared" si="67"/>
        <v>#N/A</v>
      </c>
    </row>
    <row r="500" spans="2:32">
      <c r="B500" s="5">
        <f t="shared" si="72"/>
        <v>488</v>
      </c>
      <c r="C500" s="5"/>
      <c r="E500" s="13"/>
      <c r="F500" s="5"/>
      <c r="G500" s="11" t="str">
        <f>IF(ISERROR(AVERAGE(F$13:F500)),"n/a",AVERAGE(F$13:F500))</f>
        <v>n/a</v>
      </c>
      <c r="H500" s="11" t="str">
        <f t="shared" si="68"/>
        <v>n/a</v>
      </c>
      <c r="J500" s="5"/>
      <c r="K500" s="5"/>
      <c r="L500" s="5"/>
      <c r="M500" s="5"/>
      <c r="N500" s="5"/>
      <c r="O500" s="8" t="str">
        <f t="shared" si="66"/>
        <v>n/a</v>
      </c>
      <c r="Q500" s="5"/>
      <c r="R500" s="5"/>
      <c r="S500" s="5"/>
      <c r="U500" s="6"/>
      <c r="V500" s="9" t="str">
        <f t="shared" si="69"/>
        <v/>
      </c>
      <c r="W500" s="9" t="str">
        <f t="shared" si="70"/>
        <v/>
      </c>
      <c r="X500" s="10">
        <f>SUM(V$13:V500)/COUNTA(B$13:B500)</f>
        <v>0</v>
      </c>
      <c r="Z500" s="5"/>
      <c r="AA500" s="5"/>
      <c r="AC500" s="7"/>
      <c r="AE500" s="54" t="e">
        <f t="shared" si="71"/>
        <v>#N/A</v>
      </c>
      <c r="AF500" s="4" t="e">
        <f t="shared" si="67"/>
        <v>#N/A</v>
      </c>
    </row>
    <row r="501" spans="2:32">
      <c r="B501" s="5">
        <f t="shared" si="72"/>
        <v>489</v>
      </c>
      <c r="C501" s="5"/>
      <c r="E501" s="13"/>
      <c r="F501" s="5"/>
      <c r="G501" s="11" t="str">
        <f>IF(ISERROR(AVERAGE(F$13:F501)),"n/a",AVERAGE(F$13:F501))</f>
        <v>n/a</v>
      </c>
      <c r="H501" s="11" t="str">
        <f t="shared" si="68"/>
        <v>n/a</v>
      </c>
      <c r="J501" s="5"/>
      <c r="K501" s="5"/>
      <c r="L501" s="5"/>
      <c r="M501" s="5"/>
      <c r="N501" s="5"/>
      <c r="O501" s="8" t="str">
        <f t="shared" si="66"/>
        <v>n/a</v>
      </c>
      <c r="Q501" s="5"/>
      <c r="R501" s="5"/>
      <c r="S501" s="5"/>
      <c r="U501" s="6"/>
      <c r="V501" s="9" t="str">
        <f t="shared" si="69"/>
        <v/>
      </c>
      <c r="W501" s="9" t="str">
        <f t="shared" si="70"/>
        <v/>
      </c>
      <c r="X501" s="10">
        <f>SUM(V$13:V501)/COUNTA(B$13:B501)</f>
        <v>0</v>
      </c>
      <c r="Z501" s="5"/>
      <c r="AA501" s="5"/>
      <c r="AC501" s="7"/>
      <c r="AE501" s="54" t="e">
        <f t="shared" si="71"/>
        <v>#N/A</v>
      </c>
      <c r="AF501" s="4" t="e">
        <f t="shared" si="67"/>
        <v>#N/A</v>
      </c>
    </row>
    <row r="502" spans="2:32">
      <c r="B502" s="5">
        <f t="shared" si="72"/>
        <v>490</v>
      </c>
      <c r="C502" s="5"/>
      <c r="E502" s="13"/>
      <c r="F502" s="5"/>
      <c r="G502" s="11" t="str">
        <f>IF(ISERROR(AVERAGE(F$13:F502)),"n/a",AVERAGE(F$13:F502))</f>
        <v>n/a</v>
      </c>
      <c r="H502" s="11" t="str">
        <f t="shared" si="68"/>
        <v>n/a</v>
      </c>
      <c r="J502" s="5"/>
      <c r="K502" s="5"/>
      <c r="L502" s="5"/>
      <c r="M502" s="5"/>
      <c r="N502" s="5"/>
      <c r="O502" s="8" t="str">
        <f t="shared" si="66"/>
        <v>n/a</v>
      </c>
      <c r="Q502" s="5"/>
      <c r="R502" s="5"/>
      <c r="S502" s="5"/>
      <c r="U502" s="6"/>
      <c r="V502" s="9" t="str">
        <f t="shared" si="69"/>
        <v/>
      </c>
      <c r="W502" s="9" t="str">
        <f t="shared" si="70"/>
        <v/>
      </c>
      <c r="X502" s="10">
        <f>SUM(V$13:V502)/COUNTA(B$13:B502)</f>
        <v>0</v>
      </c>
      <c r="Z502" s="5"/>
      <c r="AA502" s="5"/>
      <c r="AC502" s="7"/>
      <c r="AE502" s="54" t="e">
        <f t="shared" si="71"/>
        <v>#N/A</v>
      </c>
      <c r="AF502" s="4" t="e">
        <f t="shared" si="67"/>
        <v>#N/A</v>
      </c>
    </row>
    <row r="503" spans="2:32">
      <c r="B503" s="5">
        <f t="shared" si="72"/>
        <v>491</v>
      </c>
      <c r="C503" s="5"/>
      <c r="E503" s="13"/>
      <c r="F503" s="5"/>
      <c r="G503" s="11" t="str">
        <f>IF(ISERROR(AVERAGE(F$13:F503)),"n/a",AVERAGE(F$13:F503))</f>
        <v>n/a</v>
      </c>
      <c r="H503" s="11" t="str">
        <f t="shared" si="68"/>
        <v>n/a</v>
      </c>
      <c r="J503" s="5"/>
      <c r="K503" s="5"/>
      <c r="L503" s="5"/>
      <c r="M503" s="5"/>
      <c r="N503" s="5"/>
      <c r="O503" s="8" t="str">
        <f t="shared" si="66"/>
        <v>n/a</v>
      </c>
      <c r="Q503" s="5"/>
      <c r="R503" s="5"/>
      <c r="S503" s="5"/>
      <c r="U503" s="6"/>
      <c r="V503" s="9" t="str">
        <f t="shared" si="69"/>
        <v/>
      </c>
      <c r="W503" s="9" t="str">
        <f t="shared" si="70"/>
        <v/>
      </c>
      <c r="X503" s="10">
        <f>SUM(V$13:V503)/COUNTA(B$13:B503)</f>
        <v>0</v>
      </c>
      <c r="Z503" s="5"/>
      <c r="AA503" s="5"/>
      <c r="AC503" s="7"/>
      <c r="AE503" s="54" t="e">
        <f t="shared" si="71"/>
        <v>#N/A</v>
      </c>
      <c r="AF503" s="4" t="e">
        <f t="shared" si="67"/>
        <v>#N/A</v>
      </c>
    </row>
    <row r="504" spans="2:32">
      <c r="B504" s="5">
        <f t="shared" si="72"/>
        <v>492</v>
      </c>
      <c r="C504" s="5"/>
      <c r="E504" s="13"/>
      <c r="F504" s="5"/>
      <c r="G504" s="11" t="str">
        <f>IF(ISERROR(AVERAGE(F$13:F504)),"n/a",AVERAGE(F$13:F504))</f>
        <v>n/a</v>
      </c>
      <c r="H504" s="11" t="str">
        <f t="shared" si="68"/>
        <v>n/a</v>
      </c>
      <c r="J504" s="5"/>
      <c r="K504" s="5"/>
      <c r="L504" s="5"/>
      <c r="M504" s="5"/>
      <c r="N504" s="5"/>
      <c r="O504" s="8" t="str">
        <f t="shared" si="66"/>
        <v>n/a</v>
      </c>
      <c r="Q504" s="5"/>
      <c r="R504" s="5"/>
      <c r="S504" s="5"/>
      <c r="U504" s="6"/>
      <c r="V504" s="9" t="str">
        <f t="shared" si="69"/>
        <v/>
      </c>
      <c r="W504" s="9" t="str">
        <f t="shared" si="70"/>
        <v/>
      </c>
      <c r="X504" s="10">
        <f>SUM(V$13:V504)/COUNTA(B$13:B504)</f>
        <v>0</v>
      </c>
      <c r="Z504" s="5"/>
      <c r="AA504" s="5"/>
      <c r="AC504" s="7"/>
      <c r="AE504" s="54" t="e">
        <f t="shared" si="71"/>
        <v>#N/A</v>
      </c>
      <c r="AF504" s="4" t="e">
        <f t="shared" si="67"/>
        <v>#N/A</v>
      </c>
    </row>
    <row r="505" spans="2:32">
      <c r="B505" s="5">
        <f t="shared" si="72"/>
        <v>493</v>
      </c>
      <c r="C505" s="5"/>
      <c r="E505" s="13"/>
      <c r="F505" s="5"/>
      <c r="G505" s="11" t="str">
        <f>IF(ISERROR(AVERAGE(F$13:F505)),"n/a",AVERAGE(F$13:F505))</f>
        <v>n/a</v>
      </c>
      <c r="H505" s="11" t="str">
        <f t="shared" si="68"/>
        <v>n/a</v>
      </c>
      <c r="J505" s="5"/>
      <c r="K505" s="5"/>
      <c r="L505" s="5"/>
      <c r="M505" s="5"/>
      <c r="N505" s="5"/>
      <c r="O505" s="8" t="str">
        <f t="shared" si="66"/>
        <v>n/a</v>
      </c>
      <c r="Q505" s="5"/>
      <c r="R505" s="5"/>
      <c r="S505" s="5"/>
      <c r="U505" s="6"/>
      <c r="V505" s="9" t="str">
        <f t="shared" si="69"/>
        <v/>
      </c>
      <c r="W505" s="9" t="str">
        <f t="shared" si="70"/>
        <v/>
      </c>
      <c r="X505" s="10">
        <f>SUM(V$13:V505)/COUNTA(B$13:B505)</f>
        <v>0</v>
      </c>
      <c r="Z505" s="5"/>
      <c r="AA505" s="5"/>
      <c r="AC505" s="7"/>
      <c r="AE505" s="54" t="e">
        <f t="shared" si="71"/>
        <v>#N/A</v>
      </c>
      <c r="AF505" s="4" t="e">
        <f t="shared" si="67"/>
        <v>#N/A</v>
      </c>
    </row>
    <row r="506" spans="2:32">
      <c r="B506" s="5">
        <f t="shared" si="72"/>
        <v>494</v>
      </c>
      <c r="C506" s="5"/>
      <c r="E506" s="13"/>
      <c r="F506" s="5"/>
      <c r="G506" s="11" t="str">
        <f>IF(ISERROR(AVERAGE(F$13:F506)),"n/a",AVERAGE(F$13:F506))</f>
        <v>n/a</v>
      </c>
      <c r="H506" s="11" t="str">
        <f t="shared" si="68"/>
        <v>n/a</v>
      </c>
      <c r="J506" s="5"/>
      <c r="K506" s="5"/>
      <c r="L506" s="5"/>
      <c r="M506" s="5"/>
      <c r="N506" s="5"/>
      <c r="O506" s="8" t="str">
        <f t="shared" si="66"/>
        <v>n/a</v>
      </c>
      <c r="Q506" s="5"/>
      <c r="R506" s="5"/>
      <c r="S506" s="5"/>
      <c r="U506" s="6"/>
      <c r="V506" s="9" t="str">
        <f t="shared" si="69"/>
        <v/>
      </c>
      <c r="W506" s="9" t="str">
        <f t="shared" si="70"/>
        <v/>
      </c>
      <c r="X506" s="10">
        <f>SUM(V$13:V506)/COUNTA(B$13:B506)</f>
        <v>0</v>
      </c>
      <c r="Z506" s="5"/>
      <c r="AA506" s="5"/>
      <c r="AC506" s="7"/>
      <c r="AE506" s="54" t="e">
        <f t="shared" si="71"/>
        <v>#N/A</v>
      </c>
      <c r="AF506" s="4" t="e">
        <f t="shared" si="67"/>
        <v>#N/A</v>
      </c>
    </row>
    <row r="507" spans="2:32">
      <c r="B507" s="5">
        <f t="shared" si="72"/>
        <v>495</v>
      </c>
      <c r="C507" s="5"/>
      <c r="E507" s="13"/>
      <c r="F507" s="5"/>
      <c r="G507" s="11" t="str">
        <f>IF(ISERROR(AVERAGE(F$13:F507)),"n/a",AVERAGE(F$13:F507))</f>
        <v>n/a</v>
      </c>
      <c r="H507" s="11" t="str">
        <f t="shared" si="68"/>
        <v>n/a</v>
      </c>
      <c r="J507" s="5"/>
      <c r="K507" s="5"/>
      <c r="L507" s="5"/>
      <c r="M507" s="5"/>
      <c r="N507" s="5"/>
      <c r="O507" s="8" t="str">
        <f t="shared" si="66"/>
        <v>n/a</v>
      </c>
      <c r="Q507" s="5"/>
      <c r="R507" s="5"/>
      <c r="S507" s="5"/>
      <c r="U507" s="6"/>
      <c r="V507" s="9" t="str">
        <f t="shared" si="69"/>
        <v/>
      </c>
      <c r="W507" s="9" t="str">
        <f t="shared" si="70"/>
        <v/>
      </c>
      <c r="X507" s="10">
        <f>SUM(V$13:V507)/COUNTA(B$13:B507)</f>
        <v>0</v>
      </c>
      <c r="Z507" s="5"/>
      <c r="AA507" s="5"/>
      <c r="AC507" s="7"/>
      <c r="AE507" s="54" t="e">
        <f t="shared" si="71"/>
        <v>#N/A</v>
      </c>
      <c r="AF507" s="4" t="e">
        <f t="shared" si="67"/>
        <v>#N/A</v>
      </c>
    </row>
    <row r="508" spans="2:32">
      <c r="B508" s="5">
        <f t="shared" si="72"/>
        <v>496</v>
      </c>
      <c r="C508" s="5"/>
      <c r="E508" s="13"/>
      <c r="F508" s="5"/>
      <c r="G508" s="11" t="str">
        <f>IF(ISERROR(AVERAGE(F$13:F508)),"n/a",AVERAGE(F$13:F508))</f>
        <v>n/a</v>
      </c>
      <c r="H508" s="11" t="str">
        <f t="shared" si="68"/>
        <v>n/a</v>
      </c>
      <c r="J508" s="5"/>
      <c r="K508" s="5"/>
      <c r="L508" s="5"/>
      <c r="M508" s="5"/>
      <c r="N508" s="5"/>
      <c r="O508" s="8" t="str">
        <f t="shared" si="66"/>
        <v>n/a</v>
      </c>
      <c r="Q508" s="5"/>
      <c r="R508" s="5"/>
      <c r="S508" s="5"/>
      <c r="U508" s="6"/>
      <c r="V508" s="9" t="str">
        <f t="shared" si="69"/>
        <v/>
      </c>
      <c r="W508" s="9" t="str">
        <f t="shared" si="70"/>
        <v/>
      </c>
      <c r="X508" s="10">
        <f>SUM(V$13:V508)/COUNTA(B$13:B508)</f>
        <v>0</v>
      </c>
      <c r="Z508" s="5"/>
      <c r="AA508" s="5"/>
      <c r="AC508" s="7"/>
      <c r="AE508" s="54" t="e">
        <f t="shared" si="71"/>
        <v>#N/A</v>
      </c>
      <c r="AF508" s="4" t="e">
        <f t="shared" si="67"/>
        <v>#N/A</v>
      </c>
    </row>
    <row r="509" spans="2:32">
      <c r="B509" s="5">
        <f t="shared" si="72"/>
        <v>497</v>
      </c>
      <c r="C509" s="5"/>
      <c r="E509" s="13"/>
      <c r="F509" s="5"/>
      <c r="G509" s="11" t="str">
        <f>IF(ISERROR(AVERAGE(F$13:F509)),"n/a",AVERAGE(F$13:F509))</f>
        <v>n/a</v>
      </c>
      <c r="H509" s="11" t="str">
        <f t="shared" si="68"/>
        <v>n/a</v>
      </c>
      <c r="J509" s="5"/>
      <c r="K509" s="5"/>
      <c r="L509" s="5"/>
      <c r="M509" s="5"/>
      <c r="N509" s="5"/>
      <c r="O509" s="8" t="str">
        <f t="shared" si="66"/>
        <v>n/a</v>
      </c>
      <c r="Q509" s="5"/>
      <c r="R509" s="5"/>
      <c r="S509" s="5"/>
      <c r="U509" s="6"/>
      <c r="V509" s="9" t="str">
        <f t="shared" si="69"/>
        <v/>
      </c>
      <c r="W509" s="9" t="str">
        <f t="shared" si="70"/>
        <v/>
      </c>
      <c r="X509" s="10">
        <f>SUM(V$13:V509)/COUNTA(B$13:B509)</f>
        <v>0</v>
      </c>
      <c r="Z509" s="5"/>
      <c r="AA509" s="5"/>
      <c r="AC509" s="7"/>
      <c r="AE509" s="54" t="e">
        <f t="shared" si="71"/>
        <v>#N/A</v>
      </c>
      <c r="AF509" s="4" t="e">
        <f t="shared" si="67"/>
        <v>#N/A</v>
      </c>
    </row>
    <row r="510" spans="2:32">
      <c r="B510" s="5">
        <f t="shared" si="72"/>
        <v>498</v>
      </c>
      <c r="C510" s="5"/>
      <c r="E510" s="13"/>
      <c r="F510" s="5"/>
      <c r="G510" s="11" t="str">
        <f>IF(ISERROR(AVERAGE(F$13:F510)),"n/a",AVERAGE(F$13:F510))</f>
        <v>n/a</v>
      </c>
      <c r="H510" s="11" t="str">
        <f t="shared" si="68"/>
        <v>n/a</v>
      </c>
      <c r="J510" s="5"/>
      <c r="K510" s="5"/>
      <c r="L510" s="5"/>
      <c r="M510" s="5"/>
      <c r="N510" s="5"/>
      <c r="O510" s="8" t="str">
        <f t="shared" si="66"/>
        <v>n/a</v>
      </c>
      <c r="Q510" s="5"/>
      <c r="R510" s="5"/>
      <c r="S510" s="5"/>
      <c r="U510" s="6"/>
      <c r="V510" s="9" t="str">
        <f t="shared" si="69"/>
        <v/>
      </c>
      <c r="W510" s="9" t="str">
        <f t="shared" si="70"/>
        <v/>
      </c>
      <c r="X510" s="10">
        <f>SUM(V$13:V510)/COUNTA(B$13:B510)</f>
        <v>0</v>
      </c>
      <c r="Z510" s="5"/>
      <c r="AA510" s="5"/>
      <c r="AC510" s="7"/>
      <c r="AE510" s="54" t="e">
        <f t="shared" si="71"/>
        <v>#N/A</v>
      </c>
      <c r="AF510" s="4" t="e">
        <f t="shared" si="67"/>
        <v>#N/A</v>
      </c>
    </row>
    <row r="511" spans="2:32">
      <c r="B511" s="5">
        <f t="shared" si="72"/>
        <v>499</v>
      </c>
      <c r="C511" s="5"/>
      <c r="E511" s="13"/>
      <c r="F511" s="5"/>
      <c r="G511" s="11" t="str">
        <f>IF(ISERROR(AVERAGE(F$13:F511)),"n/a",AVERAGE(F$13:F511))</f>
        <v>n/a</v>
      </c>
      <c r="H511" s="11" t="str">
        <f t="shared" si="68"/>
        <v>n/a</v>
      </c>
      <c r="J511" s="5"/>
      <c r="K511" s="5"/>
      <c r="L511" s="5"/>
      <c r="M511" s="5"/>
      <c r="N511" s="5"/>
      <c r="O511" s="8" t="str">
        <f t="shared" si="66"/>
        <v>n/a</v>
      </c>
      <c r="Q511" s="5"/>
      <c r="R511" s="5"/>
      <c r="S511" s="5"/>
      <c r="U511" s="6"/>
      <c r="V511" s="9" t="str">
        <f t="shared" si="69"/>
        <v/>
      </c>
      <c r="W511" s="9" t="str">
        <f t="shared" si="70"/>
        <v/>
      </c>
      <c r="X511" s="10">
        <f>SUM(V$13:V511)/COUNTA(B$13:B511)</f>
        <v>0</v>
      </c>
      <c r="Z511" s="5"/>
      <c r="AA511" s="5"/>
      <c r="AC511" s="7"/>
      <c r="AE511" s="54" t="e">
        <f t="shared" si="71"/>
        <v>#N/A</v>
      </c>
      <c r="AF511" s="4" t="e">
        <f t="shared" si="67"/>
        <v>#N/A</v>
      </c>
    </row>
    <row r="512" spans="2:32">
      <c r="B512" s="5">
        <f t="shared" si="72"/>
        <v>500</v>
      </c>
      <c r="C512" s="5"/>
      <c r="E512" s="13"/>
      <c r="F512" s="5"/>
      <c r="G512" s="11" t="str">
        <f>IF(ISERROR(AVERAGE(F$13:F512)),"n/a",AVERAGE(F$13:F512))</f>
        <v>n/a</v>
      </c>
      <c r="H512" s="11" t="str">
        <f t="shared" si="68"/>
        <v>n/a</v>
      </c>
      <c r="J512" s="5"/>
      <c r="K512" s="5"/>
      <c r="L512" s="5"/>
      <c r="M512" s="5"/>
      <c r="N512" s="5"/>
      <c r="O512" s="8" t="str">
        <f t="shared" si="66"/>
        <v>n/a</v>
      </c>
      <c r="Q512" s="5"/>
      <c r="R512" s="5"/>
      <c r="S512" s="5"/>
      <c r="U512" s="6"/>
      <c r="V512" s="9" t="str">
        <f t="shared" si="69"/>
        <v/>
      </c>
      <c r="W512" s="9" t="str">
        <f t="shared" si="70"/>
        <v/>
      </c>
      <c r="X512" s="10">
        <f>SUM(V$13:V512)/COUNTA(B$13:B512)</f>
        <v>0</v>
      </c>
      <c r="Z512" s="5"/>
      <c r="AA512" s="5"/>
      <c r="AC512" s="7"/>
      <c r="AE512" s="54" t="e">
        <f t="shared" si="71"/>
        <v>#N/A</v>
      </c>
      <c r="AF512" s="4" t="e">
        <f t="shared" si="67"/>
        <v>#N/A</v>
      </c>
    </row>
    <row r="513" spans="2:32">
      <c r="B513" s="5">
        <f t="shared" si="72"/>
        <v>501</v>
      </c>
      <c r="C513" s="5"/>
      <c r="E513" s="13"/>
      <c r="F513" s="5"/>
      <c r="G513" s="11" t="str">
        <f>IF(ISERROR(AVERAGE(F$13:F513)),"n/a",AVERAGE(F$13:F513))</f>
        <v>n/a</v>
      </c>
      <c r="H513" s="11" t="str">
        <f t="shared" si="68"/>
        <v>n/a</v>
      </c>
      <c r="J513" s="5"/>
      <c r="K513" s="5"/>
      <c r="L513" s="5"/>
      <c r="M513" s="5"/>
      <c r="N513" s="5"/>
      <c r="O513" s="8" t="str">
        <f t="shared" si="66"/>
        <v>n/a</v>
      </c>
      <c r="Q513" s="5"/>
      <c r="R513" s="5"/>
      <c r="S513" s="5"/>
      <c r="U513" s="6"/>
      <c r="V513" s="9" t="str">
        <f t="shared" si="69"/>
        <v/>
      </c>
      <c r="W513" s="9" t="str">
        <f t="shared" si="70"/>
        <v/>
      </c>
      <c r="X513" s="10">
        <f>SUM(V$13:V513)/COUNTA(B$13:B513)</f>
        <v>0</v>
      </c>
      <c r="Z513" s="5"/>
      <c r="AA513" s="5"/>
      <c r="AC513" s="7"/>
      <c r="AE513" s="54" t="e">
        <f t="shared" si="71"/>
        <v>#N/A</v>
      </c>
      <c r="AF513" s="4" t="e">
        <f t="shared" si="67"/>
        <v>#N/A</v>
      </c>
    </row>
    <row r="514" spans="2:32">
      <c r="B514" s="5">
        <f t="shared" si="72"/>
        <v>502</v>
      </c>
      <c r="C514" s="5"/>
      <c r="E514" s="13"/>
      <c r="F514" s="5"/>
      <c r="G514" s="11" t="str">
        <f>IF(ISERROR(AVERAGE(F$13:F514)),"n/a",AVERAGE(F$13:F514))</f>
        <v>n/a</v>
      </c>
      <c r="H514" s="11" t="str">
        <f t="shared" si="68"/>
        <v>n/a</v>
      </c>
      <c r="J514" s="5"/>
      <c r="K514" s="5"/>
      <c r="L514" s="5"/>
      <c r="M514" s="5"/>
      <c r="N514" s="5"/>
      <c r="O514" s="8" t="str">
        <f t="shared" si="66"/>
        <v>n/a</v>
      </c>
      <c r="Q514" s="5"/>
      <c r="R514" s="5"/>
      <c r="S514" s="5"/>
      <c r="U514" s="6"/>
      <c r="V514" s="9" t="str">
        <f t="shared" si="69"/>
        <v/>
      </c>
      <c r="W514" s="9" t="str">
        <f t="shared" si="70"/>
        <v/>
      </c>
      <c r="X514" s="10">
        <f>SUM(V$13:V514)/COUNTA(B$13:B514)</f>
        <v>0</v>
      </c>
      <c r="Z514" s="5"/>
      <c r="AA514" s="5"/>
      <c r="AC514" s="7"/>
      <c r="AE514" s="54" t="e">
        <f t="shared" si="71"/>
        <v>#N/A</v>
      </c>
      <c r="AF514" s="4" t="e">
        <f t="shared" si="67"/>
        <v>#N/A</v>
      </c>
    </row>
    <row r="515" spans="2:32">
      <c r="B515" s="5">
        <f t="shared" si="72"/>
        <v>503</v>
      </c>
      <c r="C515" s="5"/>
      <c r="E515" s="13"/>
      <c r="F515" s="5"/>
      <c r="G515" s="11" t="str">
        <f>IF(ISERROR(AVERAGE(F$13:F515)),"n/a",AVERAGE(F$13:F515))</f>
        <v>n/a</v>
      </c>
      <c r="H515" s="11" t="str">
        <f t="shared" si="68"/>
        <v>n/a</v>
      </c>
      <c r="J515" s="5"/>
      <c r="K515" s="5"/>
      <c r="L515" s="5"/>
      <c r="M515" s="5"/>
      <c r="N515" s="5"/>
      <c r="O515" s="8" t="str">
        <f t="shared" si="66"/>
        <v>n/a</v>
      </c>
      <c r="Q515" s="5"/>
      <c r="R515" s="5"/>
      <c r="S515" s="5"/>
      <c r="U515" s="6"/>
      <c r="V515" s="9" t="str">
        <f t="shared" si="69"/>
        <v/>
      </c>
      <c r="W515" s="9" t="str">
        <f t="shared" si="70"/>
        <v/>
      </c>
      <c r="X515" s="10">
        <f>SUM(V$13:V515)/COUNTA(B$13:B515)</f>
        <v>0</v>
      </c>
      <c r="Z515" s="5"/>
      <c r="AA515" s="5"/>
      <c r="AC515" s="7"/>
      <c r="AE515" s="54" t="e">
        <f t="shared" si="71"/>
        <v>#N/A</v>
      </c>
      <c r="AF515" s="4" t="e">
        <f t="shared" si="67"/>
        <v>#N/A</v>
      </c>
    </row>
    <row r="516" spans="2:32">
      <c r="B516" s="5">
        <f t="shared" si="72"/>
        <v>504</v>
      </c>
      <c r="C516" s="5"/>
      <c r="E516" s="13"/>
      <c r="F516" s="5"/>
      <c r="G516" s="11" t="str">
        <f>IF(ISERROR(AVERAGE(F$13:F516)),"n/a",AVERAGE(F$13:F516))</f>
        <v>n/a</v>
      </c>
      <c r="H516" s="11" t="str">
        <f t="shared" si="68"/>
        <v>n/a</v>
      </c>
      <c r="J516" s="5"/>
      <c r="K516" s="5"/>
      <c r="L516" s="5"/>
      <c r="M516" s="5"/>
      <c r="N516" s="5"/>
      <c r="O516" s="8" t="str">
        <f t="shared" si="66"/>
        <v>n/a</v>
      </c>
      <c r="Q516" s="5"/>
      <c r="R516" s="5"/>
      <c r="S516" s="5"/>
      <c r="U516" s="6"/>
      <c r="V516" s="9" t="str">
        <f t="shared" si="69"/>
        <v/>
      </c>
      <c r="W516" s="9" t="str">
        <f t="shared" si="70"/>
        <v/>
      </c>
      <c r="X516" s="10">
        <f>SUM(V$13:V516)/COUNTA(B$13:B516)</f>
        <v>0</v>
      </c>
      <c r="Z516" s="5"/>
      <c r="AA516" s="5"/>
      <c r="AC516" s="7"/>
      <c r="AE516" s="54" t="e">
        <f t="shared" si="71"/>
        <v>#N/A</v>
      </c>
      <c r="AF516" s="4" t="e">
        <f t="shared" si="67"/>
        <v>#N/A</v>
      </c>
    </row>
    <row r="517" spans="2:32">
      <c r="B517" s="5">
        <f t="shared" si="72"/>
        <v>505</v>
      </c>
      <c r="C517" s="5"/>
      <c r="E517" s="13"/>
      <c r="F517" s="5"/>
      <c r="G517" s="11" t="str">
        <f>IF(ISERROR(AVERAGE(F$13:F517)),"n/a",AVERAGE(F$13:F517))</f>
        <v>n/a</v>
      </c>
      <c r="H517" s="11" t="str">
        <f t="shared" si="68"/>
        <v>n/a</v>
      </c>
      <c r="J517" s="5"/>
      <c r="K517" s="5"/>
      <c r="L517" s="5"/>
      <c r="M517" s="5"/>
      <c r="N517" s="5"/>
      <c r="O517" s="8" t="str">
        <f t="shared" si="66"/>
        <v>n/a</v>
      </c>
      <c r="Q517" s="5"/>
      <c r="R517" s="5"/>
      <c r="S517" s="5"/>
      <c r="U517" s="6"/>
      <c r="V517" s="9" t="str">
        <f t="shared" si="69"/>
        <v/>
      </c>
      <c r="W517" s="9" t="str">
        <f t="shared" si="70"/>
        <v/>
      </c>
      <c r="X517" s="10">
        <f>SUM(V$13:V517)/COUNTA(B$13:B517)</f>
        <v>0</v>
      </c>
      <c r="Z517" s="5"/>
      <c r="AA517" s="5"/>
      <c r="AC517" s="7"/>
      <c r="AE517" s="54" t="e">
        <f t="shared" si="71"/>
        <v>#N/A</v>
      </c>
      <c r="AF517" s="4" t="e">
        <f t="shared" si="67"/>
        <v>#N/A</v>
      </c>
    </row>
    <row r="518" spans="2:32">
      <c r="B518" s="5">
        <f t="shared" si="72"/>
        <v>506</v>
      </c>
      <c r="C518" s="5"/>
      <c r="E518" s="13"/>
      <c r="F518" s="5"/>
      <c r="G518" s="11" t="str">
        <f>IF(ISERROR(AVERAGE(F$13:F518)),"n/a",AVERAGE(F$13:F518))</f>
        <v>n/a</v>
      </c>
      <c r="H518" s="11" t="str">
        <f t="shared" si="68"/>
        <v>n/a</v>
      </c>
      <c r="J518" s="5"/>
      <c r="K518" s="5"/>
      <c r="L518" s="5"/>
      <c r="M518" s="5"/>
      <c r="N518" s="5"/>
      <c r="O518" s="8" t="str">
        <f t="shared" si="66"/>
        <v>n/a</v>
      </c>
      <c r="Q518" s="5"/>
      <c r="R518" s="5"/>
      <c r="S518" s="5"/>
      <c r="U518" s="6"/>
      <c r="V518" s="9" t="str">
        <f t="shared" si="69"/>
        <v/>
      </c>
      <c r="W518" s="9" t="str">
        <f t="shared" si="70"/>
        <v/>
      </c>
      <c r="X518" s="10">
        <f>SUM(V$13:V518)/COUNTA(B$13:B518)</f>
        <v>0</v>
      </c>
      <c r="Z518" s="5"/>
      <c r="AA518" s="5"/>
      <c r="AC518" s="7"/>
      <c r="AE518" s="54" t="e">
        <f t="shared" si="71"/>
        <v>#N/A</v>
      </c>
      <c r="AF518" s="4" t="e">
        <f t="shared" si="67"/>
        <v>#N/A</v>
      </c>
    </row>
    <row r="519" spans="2:32">
      <c r="B519" s="5">
        <f t="shared" si="72"/>
        <v>507</v>
      </c>
      <c r="C519" s="5"/>
      <c r="E519" s="13"/>
      <c r="F519" s="5"/>
      <c r="G519" s="11" t="str">
        <f>IF(ISERROR(AVERAGE(F$13:F519)),"n/a",AVERAGE(F$13:F519))</f>
        <v>n/a</v>
      </c>
      <c r="H519" s="11" t="str">
        <f t="shared" si="68"/>
        <v>n/a</v>
      </c>
      <c r="J519" s="5"/>
      <c r="K519" s="5"/>
      <c r="L519" s="5"/>
      <c r="M519" s="5"/>
      <c r="N519" s="5"/>
      <c r="O519" s="8" t="str">
        <f t="shared" si="66"/>
        <v>n/a</v>
      </c>
      <c r="Q519" s="5"/>
      <c r="R519" s="5"/>
      <c r="S519" s="5"/>
      <c r="U519" s="6"/>
      <c r="V519" s="9" t="str">
        <f t="shared" si="69"/>
        <v/>
      </c>
      <c r="W519" s="9" t="str">
        <f t="shared" si="70"/>
        <v/>
      </c>
      <c r="X519" s="10">
        <f>SUM(V$13:V519)/COUNTA(B$13:B519)</f>
        <v>0</v>
      </c>
      <c r="Z519" s="5"/>
      <c r="AA519" s="5"/>
      <c r="AC519" s="7"/>
      <c r="AE519" s="54" t="e">
        <f t="shared" si="71"/>
        <v>#N/A</v>
      </c>
      <c r="AF519" s="4" t="e">
        <f t="shared" si="67"/>
        <v>#N/A</v>
      </c>
    </row>
    <row r="520" spans="2:32">
      <c r="B520" s="5">
        <f t="shared" si="72"/>
        <v>508</v>
      </c>
      <c r="C520" s="5"/>
      <c r="E520" s="13"/>
      <c r="F520" s="5"/>
      <c r="G520" s="11" t="str">
        <f>IF(ISERROR(AVERAGE(F$13:F520)),"n/a",AVERAGE(F$13:F520))</f>
        <v>n/a</v>
      </c>
      <c r="H520" s="11" t="str">
        <f t="shared" si="68"/>
        <v>n/a</v>
      </c>
      <c r="J520" s="5"/>
      <c r="K520" s="5"/>
      <c r="L520" s="5"/>
      <c r="M520" s="5"/>
      <c r="N520" s="5"/>
      <c r="O520" s="8" t="str">
        <f t="shared" si="66"/>
        <v>n/a</v>
      </c>
      <c r="Q520" s="5"/>
      <c r="R520" s="5"/>
      <c r="S520" s="5"/>
      <c r="U520" s="6"/>
      <c r="V520" s="9" t="str">
        <f t="shared" si="69"/>
        <v/>
      </c>
      <c r="W520" s="9" t="str">
        <f t="shared" si="70"/>
        <v/>
      </c>
      <c r="X520" s="10">
        <f>SUM(V$13:V520)/COUNTA(B$13:B520)</f>
        <v>0</v>
      </c>
      <c r="Z520" s="5"/>
      <c r="AA520" s="5"/>
      <c r="AC520" s="7"/>
      <c r="AE520" s="54" t="e">
        <f t="shared" si="71"/>
        <v>#N/A</v>
      </c>
      <c r="AF520" s="4" t="e">
        <f t="shared" si="67"/>
        <v>#N/A</v>
      </c>
    </row>
    <row r="521" spans="2:32">
      <c r="B521" s="5">
        <f t="shared" si="72"/>
        <v>509</v>
      </c>
      <c r="C521" s="5"/>
      <c r="E521" s="13"/>
      <c r="F521" s="5"/>
      <c r="G521" s="11" t="str">
        <f>IF(ISERROR(AVERAGE(F$13:F521)),"n/a",AVERAGE(F$13:F521))</f>
        <v>n/a</v>
      </c>
      <c r="H521" s="11" t="str">
        <f t="shared" si="68"/>
        <v>n/a</v>
      </c>
      <c r="J521" s="5"/>
      <c r="K521" s="5"/>
      <c r="L521" s="5"/>
      <c r="M521" s="5"/>
      <c r="N521" s="5"/>
      <c r="O521" s="8" t="str">
        <f t="shared" si="66"/>
        <v>n/a</v>
      </c>
      <c r="Q521" s="5"/>
      <c r="R521" s="5"/>
      <c r="S521" s="5"/>
      <c r="U521" s="6"/>
      <c r="V521" s="9" t="str">
        <f t="shared" si="69"/>
        <v/>
      </c>
      <c r="W521" s="9" t="str">
        <f t="shared" si="70"/>
        <v/>
      </c>
      <c r="X521" s="10">
        <f>SUM(V$13:V521)/COUNTA(B$13:B521)</f>
        <v>0</v>
      </c>
      <c r="Z521" s="5"/>
      <c r="AA521" s="5"/>
      <c r="AC521" s="7"/>
      <c r="AE521" s="54" t="e">
        <f t="shared" si="71"/>
        <v>#N/A</v>
      </c>
      <c r="AF521" s="4" t="e">
        <f t="shared" si="67"/>
        <v>#N/A</v>
      </c>
    </row>
    <row r="522" spans="2:32">
      <c r="B522" s="5">
        <f t="shared" si="72"/>
        <v>510</v>
      </c>
      <c r="C522" s="5"/>
      <c r="E522" s="13"/>
      <c r="F522" s="5"/>
      <c r="G522" s="11" t="str">
        <f>IF(ISERROR(AVERAGE(F$13:F522)),"n/a",AVERAGE(F$13:F522))</f>
        <v>n/a</v>
      </c>
      <c r="H522" s="11" t="str">
        <f t="shared" si="68"/>
        <v>n/a</v>
      </c>
      <c r="J522" s="5"/>
      <c r="K522" s="5"/>
      <c r="L522" s="5"/>
      <c r="M522" s="5"/>
      <c r="N522" s="5"/>
      <c r="O522" s="8" t="str">
        <f t="shared" si="66"/>
        <v>n/a</v>
      </c>
      <c r="Q522" s="5"/>
      <c r="R522" s="5"/>
      <c r="S522" s="5"/>
      <c r="U522" s="6"/>
      <c r="V522" s="9" t="str">
        <f t="shared" si="69"/>
        <v/>
      </c>
      <c r="W522" s="9" t="str">
        <f t="shared" si="70"/>
        <v/>
      </c>
      <c r="X522" s="10">
        <f>SUM(V$13:V522)/COUNTA(B$13:B522)</f>
        <v>0</v>
      </c>
      <c r="Z522" s="5"/>
      <c r="AA522" s="5"/>
      <c r="AC522" s="7"/>
      <c r="AE522" s="54" t="e">
        <f t="shared" si="71"/>
        <v>#N/A</v>
      </c>
      <c r="AF522" s="4" t="e">
        <f t="shared" si="67"/>
        <v>#N/A</v>
      </c>
    </row>
    <row r="523" spans="2:32">
      <c r="B523" s="5">
        <f t="shared" si="72"/>
        <v>511</v>
      </c>
      <c r="C523" s="5"/>
      <c r="E523" s="13"/>
      <c r="F523" s="5"/>
      <c r="G523" s="11" t="str">
        <f>IF(ISERROR(AVERAGE(F$13:F523)),"n/a",AVERAGE(F$13:F523))</f>
        <v>n/a</v>
      </c>
      <c r="H523" s="11" t="str">
        <f t="shared" si="68"/>
        <v>n/a</v>
      </c>
      <c r="J523" s="5"/>
      <c r="K523" s="5"/>
      <c r="L523" s="5"/>
      <c r="M523" s="5"/>
      <c r="N523" s="5"/>
      <c r="O523" s="8" t="str">
        <f t="shared" si="66"/>
        <v>n/a</v>
      </c>
      <c r="Q523" s="5"/>
      <c r="R523" s="5"/>
      <c r="S523" s="5"/>
      <c r="U523" s="6"/>
      <c r="V523" s="9" t="str">
        <f t="shared" si="69"/>
        <v/>
      </c>
      <c r="W523" s="9" t="str">
        <f t="shared" si="70"/>
        <v/>
      </c>
      <c r="X523" s="10">
        <f>SUM(V$13:V523)/COUNTA(B$13:B523)</f>
        <v>0</v>
      </c>
      <c r="Z523" s="5"/>
      <c r="AA523" s="5"/>
      <c r="AC523" s="7"/>
      <c r="AE523" s="54" t="e">
        <f t="shared" si="71"/>
        <v>#N/A</v>
      </c>
      <c r="AF523" s="4" t="e">
        <f t="shared" si="67"/>
        <v>#N/A</v>
      </c>
    </row>
    <row r="524" spans="2:32">
      <c r="B524" s="5">
        <f t="shared" si="72"/>
        <v>512</v>
      </c>
      <c r="C524" s="5"/>
      <c r="E524" s="13"/>
      <c r="F524" s="5"/>
      <c r="G524" s="11" t="str">
        <f>IF(ISERROR(AVERAGE(F$13:F524)),"n/a",AVERAGE(F$13:F524))</f>
        <v>n/a</v>
      </c>
      <c r="H524" s="11" t="str">
        <f t="shared" si="68"/>
        <v>n/a</v>
      </c>
      <c r="J524" s="5"/>
      <c r="K524" s="5"/>
      <c r="L524" s="5"/>
      <c r="M524" s="5"/>
      <c r="N524" s="5"/>
      <c r="O524" s="8" t="str">
        <f t="shared" si="66"/>
        <v>n/a</v>
      </c>
      <c r="Q524" s="5"/>
      <c r="R524" s="5"/>
      <c r="S524" s="5"/>
      <c r="U524" s="6"/>
      <c r="V524" s="9" t="str">
        <f t="shared" si="69"/>
        <v/>
      </c>
      <c r="W524" s="9" t="str">
        <f t="shared" si="70"/>
        <v/>
      </c>
      <c r="X524" s="10">
        <f>SUM(V$13:V524)/COUNTA(B$13:B524)</f>
        <v>0</v>
      </c>
      <c r="Z524" s="5"/>
      <c r="AA524" s="5"/>
      <c r="AC524" s="7"/>
      <c r="AE524" s="54" t="e">
        <f t="shared" si="71"/>
        <v>#N/A</v>
      </c>
      <c r="AF524" s="4" t="e">
        <f t="shared" si="67"/>
        <v>#N/A</v>
      </c>
    </row>
    <row r="525" spans="2:32">
      <c r="B525" s="5">
        <f t="shared" si="72"/>
        <v>513</v>
      </c>
      <c r="C525" s="5"/>
      <c r="E525" s="13"/>
      <c r="F525" s="5"/>
      <c r="G525" s="11" t="str">
        <f>IF(ISERROR(AVERAGE(F$13:F525)),"n/a",AVERAGE(F$13:F525))</f>
        <v>n/a</v>
      </c>
      <c r="H525" s="11" t="str">
        <f t="shared" si="68"/>
        <v>n/a</v>
      </c>
      <c r="J525" s="5"/>
      <c r="K525" s="5"/>
      <c r="L525" s="5"/>
      <c r="M525" s="5"/>
      <c r="N525" s="5"/>
      <c r="O525" s="8" t="str">
        <f t="shared" ref="O525:O588" si="73">IF(J525=1,"A",IF(K525=1,"B",IF(L525=1,"C",IF(M525=1,"D",IF(N525=1,"E","n/a")))))</f>
        <v>n/a</v>
      </c>
      <c r="Q525" s="5"/>
      <c r="R525" s="5"/>
      <c r="S525" s="5"/>
      <c r="U525" s="6"/>
      <c r="V525" s="9" t="str">
        <f t="shared" si="69"/>
        <v/>
      </c>
      <c r="W525" s="9" t="str">
        <f t="shared" si="70"/>
        <v/>
      </c>
      <c r="X525" s="10">
        <f>SUM(V$13:V525)/COUNTA(B$13:B525)</f>
        <v>0</v>
      </c>
      <c r="Z525" s="5"/>
      <c r="AA525" s="5"/>
      <c r="AC525" s="7"/>
      <c r="AE525" s="54" t="e">
        <f t="shared" si="71"/>
        <v>#N/A</v>
      </c>
      <c r="AF525" s="4" t="e">
        <f t="shared" ref="AF525:AF588" si="74">HLOOKUP(C525,$K$6:$O$7,2,FALSE)</f>
        <v>#N/A</v>
      </c>
    </row>
    <row r="526" spans="2:32">
      <c r="B526" s="5">
        <f t="shared" si="72"/>
        <v>514</v>
      </c>
      <c r="C526" s="5"/>
      <c r="E526" s="13"/>
      <c r="F526" s="5"/>
      <c r="G526" s="11" t="str">
        <f>IF(ISERROR(AVERAGE(F$13:F526)),"n/a",AVERAGE(F$13:F526))</f>
        <v>n/a</v>
      </c>
      <c r="H526" s="11" t="str">
        <f t="shared" ref="H526:H589" si="75">G526</f>
        <v>n/a</v>
      </c>
      <c r="J526" s="5"/>
      <c r="K526" s="5"/>
      <c r="L526" s="5"/>
      <c r="M526" s="5"/>
      <c r="N526" s="5"/>
      <c r="O526" s="8" t="str">
        <f t="shared" si="73"/>
        <v>n/a</v>
      </c>
      <c r="Q526" s="5"/>
      <c r="R526" s="5"/>
      <c r="S526" s="5"/>
      <c r="U526" s="6"/>
      <c r="V526" s="9" t="str">
        <f t="shared" ref="V526:V589" si="76">IF(O526="n/a","",IF(O526=U526,1,""))</f>
        <v/>
      </c>
      <c r="W526" s="9" t="str">
        <f t="shared" ref="W526:W589" si="77">IF(O526="n/a","",IF(O526&lt;&gt;U526,1,""))</f>
        <v/>
      </c>
      <c r="X526" s="10">
        <f>SUM(V$13:V526)/COUNTA(B$13:B526)</f>
        <v>0</v>
      </c>
      <c r="Z526" s="5"/>
      <c r="AA526" s="5"/>
      <c r="AC526" s="7"/>
      <c r="AE526" s="54" t="e">
        <f t="shared" ref="AE526:AE589" si="78">+IF($F$4=0,0,IF(W526=1,1,IF(OR(R526*$F$8=1,S526*$F$9=1,F526&gt;=AF526),2,0)))</f>
        <v>#N/A</v>
      </c>
      <c r="AF526" s="4" t="e">
        <f t="shared" si="74"/>
        <v>#N/A</v>
      </c>
    </row>
    <row r="527" spans="2:32">
      <c r="B527" s="5">
        <f t="shared" si="72"/>
        <v>515</v>
      </c>
      <c r="C527" s="5"/>
      <c r="E527" s="13"/>
      <c r="F527" s="5"/>
      <c r="G527" s="11" t="str">
        <f>IF(ISERROR(AVERAGE(F$13:F527)),"n/a",AVERAGE(F$13:F527))</f>
        <v>n/a</v>
      </c>
      <c r="H527" s="11" t="str">
        <f t="shared" si="75"/>
        <v>n/a</v>
      </c>
      <c r="J527" s="5"/>
      <c r="K527" s="5"/>
      <c r="L527" s="5"/>
      <c r="M527" s="5"/>
      <c r="N527" s="5"/>
      <c r="O527" s="8" t="str">
        <f t="shared" si="73"/>
        <v>n/a</v>
      </c>
      <c r="Q527" s="5"/>
      <c r="R527" s="5"/>
      <c r="S527" s="5"/>
      <c r="U527" s="6"/>
      <c r="V527" s="9" t="str">
        <f t="shared" si="76"/>
        <v/>
      </c>
      <c r="W527" s="9" t="str">
        <f t="shared" si="77"/>
        <v/>
      </c>
      <c r="X527" s="10">
        <f>SUM(V$13:V527)/COUNTA(B$13:B527)</f>
        <v>0</v>
      </c>
      <c r="Z527" s="5"/>
      <c r="AA527" s="5"/>
      <c r="AC527" s="7"/>
      <c r="AE527" s="54" t="e">
        <f t="shared" si="78"/>
        <v>#N/A</v>
      </c>
      <c r="AF527" s="4" t="e">
        <f t="shared" si="74"/>
        <v>#N/A</v>
      </c>
    </row>
    <row r="528" spans="2:32">
      <c r="B528" s="5">
        <f t="shared" si="72"/>
        <v>516</v>
      </c>
      <c r="C528" s="5"/>
      <c r="E528" s="13"/>
      <c r="F528" s="5"/>
      <c r="G528" s="11" t="str">
        <f>IF(ISERROR(AVERAGE(F$13:F528)),"n/a",AVERAGE(F$13:F528))</f>
        <v>n/a</v>
      </c>
      <c r="H528" s="11" t="str">
        <f t="shared" si="75"/>
        <v>n/a</v>
      </c>
      <c r="J528" s="5"/>
      <c r="K528" s="5"/>
      <c r="L528" s="5"/>
      <c r="M528" s="5"/>
      <c r="N528" s="5"/>
      <c r="O528" s="8" t="str">
        <f t="shared" si="73"/>
        <v>n/a</v>
      </c>
      <c r="Q528" s="5"/>
      <c r="R528" s="5"/>
      <c r="S528" s="5"/>
      <c r="U528" s="6"/>
      <c r="V528" s="9" t="str">
        <f t="shared" si="76"/>
        <v/>
      </c>
      <c r="W528" s="9" t="str">
        <f t="shared" si="77"/>
        <v/>
      </c>
      <c r="X528" s="10">
        <f>SUM(V$13:V528)/COUNTA(B$13:B528)</f>
        <v>0</v>
      </c>
      <c r="Z528" s="5"/>
      <c r="AA528" s="5"/>
      <c r="AC528" s="7"/>
      <c r="AE528" s="54" t="e">
        <f t="shared" si="78"/>
        <v>#N/A</v>
      </c>
      <c r="AF528" s="4" t="e">
        <f t="shared" si="74"/>
        <v>#N/A</v>
      </c>
    </row>
    <row r="529" spans="2:32">
      <c r="B529" s="5">
        <f t="shared" si="72"/>
        <v>517</v>
      </c>
      <c r="C529" s="5"/>
      <c r="E529" s="13"/>
      <c r="F529" s="5"/>
      <c r="G529" s="11" t="str">
        <f>IF(ISERROR(AVERAGE(F$13:F529)),"n/a",AVERAGE(F$13:F529))</f>
        <v>n/a</v>
      </c>
      <c r="H529" s="11" t="str">
        <f t="shared" si="75"/>
        <v>n/a</v>
      </c>
      <c r="J529" s="5"/>
      <c r="K529" s="5"/>
      <c r="L529" s="5"/>
      <c r="M529" s="5"/>
      <c r="N529" s="5"/>
      <c r="O529" s="8" t="str">
        <f t="shared" si="73"/>
        <v>n/a</v>
      </c>
      <c r="Q529" s="5"/>
      <c r="R529" s="5"/>
      <c r="S529" s="5"/>
      <c r="U529" s="6"/>
      <c r="V529" s="9" t="str">
        <f t="shared" si="76"/>
        <v/>
      </c>
      <c r="W529" s="9" t="str">
        <f t="shared" si="77"/>
        <v/>
      </c>
      <c r="X529" s="10">
        <f>SUM(V$13:V529)/COUNTA(B$13:B529)</f>
        <v>0</v>
      </c>
      <c r="Z529" s="5"/>
      <c r="AA529" s="5"/>
      <c r="AC529" s="7"/>
      <c r="AE529" s="54" t="e">
        <f t="shared" si="78"/>
        <v>#N/A</v>
      </c>
      <c r="AF529" s="4" t="e">
        <f t="shared" si="74"/>
        <v>#N/A</v>
      </c>
    </row>
    <row r="530" spans="2:32">
      <c r="B530" s="5">
        <f t="shared" si="72"/>
        <v>518</v>
      </c>
      <c r="C530" s="5"/>
      <c r="E530" s="13"/>
      <c r="F530" s="5"/>
      <c r="G530" s="11" t="str">
        <f>IF(ISERROR(AVERAGE(F$13:F530)),"n/a",AVERAGE(F$13:F530))</f>
        <v>n/a</v>
      </c>
      <c r="H530" s="11" t="str">
        <f t="shared" si="75"/>
        <v>n/a</v>
      </c>
      <c r="J530" s="5"/>
      <c r="K530" s="5"/>
      <c r="L530" s="5"/>
      <c r="M530" s="5"/>
      <c r="N530" s="5"/>
      <c r="O530" s="8" t="str">
        <f t="shared" si="73"/>
        <v>n/a</v>
      </c>
      <c r="Q530" s="5"/>
      <c r="R530" s="5"/>
      <c r="S530" s="5"/>
      <c r="U530" s="6"/>
      <c r="V530" s="9" t="str">
        <f t="shared" si="76"/>
        <v/>
      </c>
      <c r="W530" s="9" t="str">
        <f t="shared" si="77"/>
        <v/>
      </c>
      <c r="X530" s="10">
        <f>SUM(V$13:V530)/COUNTA(B$13:B530)</f>
        <v>0</v>
      </c>
      <c r="Z530" s="5"/>
      <c r="AA530" s="5"/>
      <c r="AC530" s="7"/>
      <c r="AE530" s="54" t="e">
        <f t="shared" si="78"/>
        <v>#N/A</v>
      </c>
      <c r="AF530" s="4" t="e">
        <f t="shared" si="74"/>
        <v>#N/A</v>
      </c>
    </row>
    <row r="531" spans="2:32">
      <c r="B531" s="5">
        <f t="shared" ref="B531:B594" si="79">+B530+1</f>
        <v>519</v>
      </c>
      <c r="C531" s="5"/>
      <c r="E531" s="13"/>
      <c r="F531" s="5"/>
      <c r="G531" s="11" t="str">
        <f>IF(ISERROR(AVERAGE(F$13:F531)),"n/a",AVERAGE(F$13:F531))</f>
        <v>n/a</v>
      </c>
      <c r="H531" s="11" t="str">
        <f t="shared" si="75"/>
        <v>n/a</v>
      </c>
      <c r="J531" s="5"/>
      <c r="K531" s="5"/>
      <c r="L531" s="5"/>
      <c r="M531" s="5"/>
      <c r="N531" s="5"/>
      <c r="O531" s="8" t="str">
        <f t="shared" si="73"/>
        <v>n/a</v>
      </c>
      <c r="Q531" s="5"/>
      <c r="R531" s="5"/>
      <c r="S531" s="5"/>
      <c r="U531" s="6"/>
      <c r="V531" s="9" t="str">
        <f t="shared" si="76"/>
        <v/>
      </c>
      <c r="W531" s="9" t="str">
        <f t="shared" si="77"/>
        <v/>
      </c>
      <c r="X531" s="10">
        <f>SUM(V$13:V531)/COUNTA(B$13:B531)</f>
        <v>0</v>
      </c>
      <c r="Z531" s="5"/>
      <c r="AA531" s="5"/>
      <c r="AC531" s="7"/>
      <c r="AE531" s="54" t="e">
        <f t="shared" si="78"/>
        <v>#N/A</v>
      </c>
      <c r="AF531" s="4" t="e">
        <f t="shared" si="74"/>
        <v>#N/A</v>
      </c>
    </row>
    <row r="532" spans="2:32">
      <c r="B532" s="5">
        <f t="shared" si="79"/>
        <v>520</v>
      </c>
      <c r="C532" s="5"/>
      <c r="E532" s="13"/>
      <c r="F532" s="5"/>
      <c r="G532" s="11" t="str">
        <f>IF(ISERROR(AVERAGE(F$13:F532)),"n/a",AVERAGE(F$13:F532))</f>
        <v>n/a</v>
      </c>
      <c r="H532" s="11" t="str">
        <f t="shared" si="75"/>
        <v>n/a</v>
      </c>
      <c r="J532" s="5"/>
      <c r="K532" s="5"/>
      <c r="L532" s="5"/>
      <c r="M532" s="5"/>
      <c r="N532" s="5"/>
      <c r="O532" s="8" t="str">
        <f t="shared" si="73"/>
        <v>n/a</v>
      </c>
      <c r="Q532" s="5"/>
      <c r="R532" s="5"/>
      <c r="S532" s="5"/>
      <c r="U532" s="6"/>
      <c r="V532" s="9" t="str">
        <f t="shared" si="76"/>
        <v/>
      </c>
      <c r="W532" s="9" t="str">
        <f t="shared" si="77"/>
        <v/>
      </c>
      <c r="X532" s="10">
        <f>SUM(V$13:V532)/COUNTA(B$13:B532)</f>
        <v>0</v>
      </c>
      <c r="Z532" s="5"/>
      <c r="AA532" s="5"/>
      <c r="AC532" s="7"/>
      <c r="AE532" s="54" t="e">
        <f t="shared" si="78"/>
        <v>#N/A</v>
      </c>
      <c r="AF532" s="4" t="e">
        <f t="shared" si="74"/>
        <v>#N/A</v>
      </c>
    </row>
    <row r="533" spans="2:32">
      <c r="B533" s="5">
        <f t="shared" si="79"/>
        <v>521</v>
      </c>
      <c r="C533" s="5"/>
      <c r="E533" s="13"/>
      <c r="F533" s="5"/>
      <c r="G533" s="11" t="str">
        <f>IF(ISERROR(AVERAGE(F$13:F533)),"n/a",AVERAGE(F$13:F533))</f>
        <v>n/a</v>
      </c>
      <c r="H533" s="11" t="str">
        <f t="shared" si="75"/>
        <v>n/a</v>
      </c>
      <c r="J533" s="5"/>
      <c r="K533" s="5"/>
      <c r="L533" s="5"/>
      <c r="M533" s="5"/>
      <c r="N533" s="5"/>
      <c r="O533" s="8" t="str">
        <f t="shared" si="73"/>
        <v>n/a</v>
      </c>
      <c r="Q533" s="5"/>
      <c r="R533" s="5"/>
      <c r="S533" s="5"/>
      <c r="U533" s="6"/>
      <c r="V533" s="9" t="str">
        <f t="shared" si="76"/>
        <v/>
      </c>
      <c r="W533" s="9" t="str">
        <f t="shared" si="77"/>
        <v/>
      </c>
      <c r="X533" s="10">
        <f>SUM(V$13:V533)/COUNTA(B$13:B533)</f>
        <v>0</v>
      </c>
      <c r="Z533" s="5"/>
      <c r="AA533" s="5"/>
      <c r="AC533" s="7"/>
      <c r="AE533" s="54" t="e">
        <f t="shared" si="78"/>
        <v>#N/A</v>
      </c>
      <c r="AF533" s="4" t="e">
        <f t="shared" si="74"/>
        <v>#N/A</v>
      </c>
    </row>
    <row r="534" spans="2:32">
      <c r="B534" s="5">
        <f t="shared" si="79"/>
        <v>522</v>
      </c>
      <c r="C534" s="5"/>
      <c r="E534" s="13"/>
      <c r="F534" s="5"/>
      <c r="G534" s="11" t="str">
        <f>IF(ISERROR(AVERAGE(F$13:F534)),"n/a",AVERAGE(F$13:F534))</f>
        <v>n/a</v>
      </c>
      <c r="H534" s="11" t="str">
        <f t="shared" si="75"/>
        <v>n/a</v>
      </c>
      <c r="J534" s="5"/>
      <c r="K534" s="5"/>
      <c r="L534" s="5"/>
      <c r="M534" s="5"/>
      <c r="N534" s="5"/>
      <c r="O534" s="8" t="str">
        <f t="shared" si="73"/>
        <v>n/a</v>
      </c>
      <c r="Q534" s="5"/>
      <c r="R534" s="5"/>
      <c r="S534" s="5"/>
      <c r="U534" s="6"/>
      <c r="V534" s="9" t="str">
        <f t="shared" si="76"/>
        <v/>
      </c>
      <c r="W534" s="9" t="str">
        <f t="shared" si="77"/>
        <v/>
      </c>
      <c r="X534" s="10">
        <f>SUM(V$13:V534)/COUNTA(B$13:B534)</f>
        <v>0</v>
      </c>
      <c r="Z534" s="5"/>
      <c r="AA534" s="5"/>
      <c r="AC534" s="7"/>
      <c r="AE534" s="54" t="e">
        <f t="shared" si="78"/>
        <v>#N/A</v>
      </c>
      <c r="AF534" s="4" t="e">
        <f t="shared" si="74"/>
        <v>#N/A</v>
      </c>
    </row>
    <row r="535" spans="2:32">
      <c r="B535" s="5">
        <f t="shared" si="79"/>
        <v>523</v>
      </c>
      <c r="C535" s="5"/>
      <c r="E535" s="13"/>
      <c r="F535" s="5"/>
      <c r="G535" s="11" t="str">
        <f>IF(ISERROR(AVERAGE(F$13:F535)),"n/a",AVERAGE(F$13:F535))</f>
        <v>n/a</v>
      </c>
      <c r="H535" s="11" t="str">
        <f t="shared" si="75"/>
        <v>n/a</v>
      </c>
      <c r="J535" s="5"/>
      <c r="K535" s="5"/>
      <c r="L535" s="5"/>
      <c r="M535" s="5"/>
      <c r="N535" s="5"/>
      <c r="O535" s="8" t="str">
        <f t="shared" si="73"/>
        <v>n/a</v>
      </c>
      <c r="Q535" s="5"/>
      <c r="R535" s="5"/>
      <c r="S535" s="5"/>
      <c r="U535" s="6"/>
      <c r="V535" s="9" t="str">
        <f t="shared" si="76"/>
        <v/>
      </c>
      <c r="W535" s="9" t="str">
        <f t="shared" si="77"/>
        <v/>
      </c>
      <c r="X535" s="10">
        <f>SUM(V$13:V535)/COUNTA(B$13:B535)</f>
        <v>0</v>
      </c>
      <c r="Z535" s="5"/>
      <c r="AA535" s="5"/>
      <c r="AC535" s="7"/>
      <c r="AE535" s="54" t="e">
        <f t="shared" si="78"/>
        <v>#N/A</v>
      </c>
      <c r="AF535" s="4" t="e">
        <f t="shared" si="74"/>
        <v>#N/A</v>
      </c>
    </row>
    <row r="536" spans="2:32">
      <c r="B536" s="5">
        <f t="shared" si="79"/>
        <v>524</v>
      </c>
      <c r="C536" s="5"/>
      <c r="E536" s="13"/>
      <c r="F536" s="5"/>
      <c r="G536" s="11" t="str">
        <f>IF(ISERROR(AVERAGE(F$13:F536)),"n/a",AVERAGE(F$13:F536))</f>
        <v>n/a</v>
      </c>
      <c r="H536" s="11" t="str">
        <f t="shared" si="75"/>
        <v>n/a</v>
      </c>
      <c r="J536" s="5"/>
      <c r="K536" s="5"/>
      <c r="L536" s="5"/>
      <c r="M536" s="5"/>
      <c r="N536" s="5"/>
      <c r="O536" s="8" t="str">
        <f t="shared" si="73"/>
        <v>n/a</v>
      </c>
      <c r="Q536" s="5"/>
      <c r="R536" s="5"/>
      <c r="S536" s="5"/>
      <c r="U536" s="6"/>
      <c r="V536" s="9" t="str">
        <f t="shared" si="76"/>
        <v/>
      </c>
      <c r="W536" s="9" t="str">
        <f t="shared" si="77"/>
        <v/>
      </c>
      <c r="X536" s="10">
        <f>SUM(V$13:V536)/COUNTA(B$13:B536)</f>
        <v>0</v>
      </c>
      <c r="Z536" s="5"/>
      <c r="AA536" s="5"/>
      <c r="AC536" s="7"/>
      <c r="AE536" s="54" t="e">
        <f t="shared" si="78"/>
        <v>#N/A</v>
      </c>
      <c r="AF536" s="4" t="e">
        <f t="shared" si="74"/>
        <v>#N/A</v>
      </c>
    </row>
    <row r="537" spans="2:32">
      <c r="B537" s="5">
        <f t="shared" si="79"/>
        <v>525</v>
      </c>
      <c r="C537" s="5"/>
      <c r="E537" s="13"/>
      <c r="F537" s="5"/>
      <c r="G537" s="11" t="str">
        <f>IF(ISERROR(AVERAGE(F$13:F537)),"n/a",AVERAGE(F$13:F537))</f>
        <v>n/a</v>
      </c>
      <c r="H537" s="11" t="str">
        <f t="shared" si="75"/>
        <v>n/a</v>
      </c>
      <c r="J537" s="5"/>
      <c r="K537" s="5"/>
      <c r="L537" s="5"/>
      <c r="M537" s="5"/>
      <c r="N537" s="5"/>
      <c r="O537" s="8" t="str">
        <f t="shared" si="73"/>
        <v>n/a</v>
      </c>
      <c r="Q537" s="5"/>
      <c r="R537" s="5"/>
      <c r="S537" s="5"/>
      <c r="U537" s="6"/>
      <c r="V537" s="9" t="str">
        <f t="shared" si="76"/>
        <v/>
      </c>
      <c r="W537" s="9" t="str">
        <f t="shared" si="77"/>
        <v/>
      </c>
      <c r="X537" s="10">
        <f>SUM(V$13:V537)/COUNTA(B$13:B537)</f>
        <v>0</v>
      </c>
      <c r="Z537" s="5"/>
      <c r="AA537" s="5"/>
      <c r="AC537" s="7"/>
      <c r="AE537" s="54" t="e">
        <f t="shared" si="78"/>
        <v>#N/A</v>
      </c>
      <c r="AF537" s="4" t="e">
        <f t="shared" si="74"/>
        <v>#N/A</v>
      </c>
    </row>
    <row r="538" spans="2:32">
      <c r="B538" s="5">
        <f t="shared" si="79"/>
        <v>526</v>
      </c>
      <c r="C538" s="5"/>
      <c r="E538" s="13"/>
      <c r="F538" s="5"/>
      <c r="G538" s="11" t="str">
        <f>IF(ISERROR(AVERAGE(F$13:F538)),"n/a",AVERAGE(F$13:F538))</f>
        <v>n/a</v>
      </c>
      <c r="H538" s="11" t="str">
        <f t="shared" si="75"/>
        <v>n/a</v>
      </c>
      <c r="J538" s="5"/>
      <c r="K538" s="5"/>
      <c r="L538" s="5"/>
      <c r="M538" s="5"/>
      <c r="N538" s="5"/>
      <c r="O538" s="8" t="str">
        <f t="shared" si="73"/>
        <v>n/a</v>
      </c>
      <c r="Q538" s="5"/>
      <c r="R538" s="5"/>
      <c r="S538" s="5"/>
      <c r="U538" s="6"/>
      <c r="V538" s="9" t="str">
        <f t="shared" si="76"/>
        <v/>
      </c>
      <c r="W538" s="9" t="str">
        <f t="shared" si="77"/>
        <v/>
      </c>
      <c r="X538" s="10">
        <f>SUM(V$13:V538)/COUNTA(B$13:B538)</f>
        <v>0</v>
      </c>
      <c r="Z538" s="5"/>
      <c r="AA538" s="5"/>
      <c r="AC538" s="7"/>
      <c r="AE538" s="54" t="e">
        <f t="shared" si="78"/>
        <v>#N/A</v>
      </c>
      <c r="AF538" s="4" t="e">
        <f t="shared" si="74"/>
        <v>#N/A</v>
      </c>
    </row>
    <row r="539" spans="2:32">
      <c r="B539" s="5">
        <f t="shared" si="79"/>
        <v>527</v>
      </c>
      <c r="C539" s="5"/>
      <c r="E539" s="13"/>
      <c r="F539" s="5"/>
      <c r="G539" s="11" t="str">
        <f>IF(ISERROR(AVERAGE(F$13:F539)),"n/a",AVERAGE(F$13:F539))</f>
        <v>n/a</v>
      </c>
      <c r="H539" s="11" t="str">
        <f t="shared" si="75"/>
        <v>n/a</v>
      </c>
      <c r="J539" s="5"/>
      <c r="K539" s="5"/>
      <c r="L539" s="5"/>
      <c r="M539" s="5"/>
      <c r="N539" s="5"/>
      <c r="O539" s="8" t="str">
        <f t="shared" si="73"/>
        <v>n/a</v>
      </c>
      <c r="Q539" s="5"/>
      <c r="R539" s="5"/>
      <c r="S539" s="5"/>
      <c r="U539" s="6"/>
      <c r="V539" s="9" t="str">
        <f t="shared" si="76"/>
        <v/>
      </c>
      <c r="W539" s="9" t="str">
        <f t="shared" si="77"/>
        <v/>
      </c>
      <c r="X539" s="10">
        <f>SUM(V$13:V539)/COUNTA(B$13:B539)</f>
        <v>0</v>
      </c>
      <c r="Z539" s="5"/>
      <c r="AA539" s="5"/>
      <c r="AC539" s="7"/>
      <c r="AE539" s="54" t="e">
        <f t="shared" si="78"/>
        <v>#N/A</v>
      </c>
      <c r="AF539" s="4" t="e">
        <f t="shared" si="74"/>
        <v>#N/A</v>
      </c>
    </row>
    <row r="540" spans="2:32">
      <c r="B540" s="5">
        <f t="shared" si="79"/>
        <v>528</v>
      </c>
      <c r="C540" s="5"/>
      <c r="E540" s="13"/>
      <c r="F540" s="5"/>
      <c r="G540" s="11" t="str">
        <f>IF(ISERROR(AVERAGE(F$13:F540)),"n/a",AVERAGE(F$13:F540))</f>
        <v>n/a</v>
      </c>
      <c r="H540" s="11" t="str">
        <f t="shared" si="75"/>
        <v>n/a</v>
      </c>
      <c r="J540" s="5"/>
      <c r="K540" s="5"/>
      <c r="L540" s="5"/>
      <c r="M540" s="5"/>
      <c r="N540" s="5"/>
      <c r="O540" s="8" t="str">
        <f t="shared" si="73"/>
        <v>n/a</v>
      </c>
      <c r="Q540" s="5"/>
      <c r="R540" s="5"/>
      <c r="S540" s="5"/>
      <c r="U540" s="6"/>
      <c r="V540" s="9" t="str">
        <f t="shared" si="76"/>
        <v/>
      </c>
      <c r="W540" s="9" t="str">
        <f t="shared" si="77"/>
        <v/>
      </c>
      <c r="X540" s="10">
        <f>SUM(V$13:V540)/COUNTA(B$13:B540)</f>
        <v>0</v>
      </c>
      <c r="Z540" s="5"/>
      <c r="AA540" s="5"/>
      <c r="AC540" s="7"/>
      <c r="AE540" s="54" t="e">
        <f t="shared" si="78"/>
        <v>#N/A</v>
      </c>
      <c r="AF540" s="4" t="e">
        <f t="shared" si="74"/>
        <v>#N/A</v>
      </c>
    </row>
    <row r="541" spans="2:32">
      <c r="B541" s="5">
        <f t="shared" si="79"/>
        <v>529</v>
      </c>
      <c r="C541" s="5"/>
      <c r="E541" s="13"/>
      <c r="F541" s="5"/>
      <c r="G541" s="11" t="str">
        <f>IF(ISERROR(AVERAGE(F$13:F541)),"n/a",AVERAGE(F$13:F541))</f>
        <v>n/a</v>
      </c>
      <c r="H541" s="11" t="str">
        <f t="shared" si="75"/>
        <v>n/a</v>
      </c>
      <c r="J541" s="5"/>
      <c r="K541" s="5"/>
      <c r="L541" s="5"/>
      <c r="M541" s="5"/>
      <c r="N541" s="5"/>
      <c r="O541" s="8" t="str">
        <f t="shared" si="73"/>
        <v>n/a</v>
      </c>
      <c r="Q541" s="5"/>
      <c r="R541" s="5"/>
      <c r="S541" s="5"/>
      <c r="U541" s="6"/>
      <c r="V541" s="9" t="str">
        <f t="shared" si="76"/>
        <v/>
      </c>
      <c r="W541" s="9" t="str">
        <f t="shared" si="77"/>
        <v/>
      </c>
      <c r="X541" s="10">
        <f>SUM(V$13:V541)/COUNTA(B$13:B541)</f>
        <v>0</v>
      </c>
      <c r="Z541" s="5"/>
      <c r="AA541" s="5"/>
      <c r="AC541" s="7"/>
      <c r="AE541" s="54" t="e">
        <f t="shared" si="78"/>
        <v>#N/A</v>
      </c>
      <c r="AF541" s="4" t="e">
        <f t="shared" si="74"/>
        <v>#N/A</v>
      </c>
    </row>
    <row r="542" spans="2:32">
      <c r="B542" s="5">
        <f t="shared" si="79"/>
        <v>530</v>
      </c>
      <c r="C542" s="5"/>
      <c r="E542" s="13"/>
      <c r="F542" s="5"/>
      <c r="G542" s="11" t="str">
        <f>IF(ISERROR(AVERAGE(F$13:F542)),"n/a",AVERAGE(F$13:F542))</f>
        <v>n/a</v>
      </c>
      <c r="H542" s="11" t="str">
        <f t="shared" si="75"/>
        <v>n/a</v>
      </c>
      <c r="J542" s="5"/>
      <c r="K542" s="5"/>
      <c r="L542" s="5"/>
      <c r="M542" s="5"/>
      <c r="N542" s="5"/>
      <c r="O542" s="8" t="str">
        <f t="shared" si="73"/>
        <v>n/a</v>
      </c>
      <c r="Q542" s="5"/>
      <c r="R542" s="5"/>
      <c r="S542" s="5"/>
      <c r="U542" s="6"/>
      <c r="V542" s="9" t="str">
        <f t="shared" si="76"/>
        <v/>
      </c>
      <c r="W542" s="9" t="str">
        <f t="shared" si="77"/>
        <v/>
      </c>
      <c r="X542" s="10">
        <f>SUM(V$13:V542)/COUNTA(B$13:B542)</f>
        <v>0</v>
      </c>
      <c r="Z542" s="5"/>
      <c r="AA542" s="5"/>
      <c r="AC542" s="7"/>
      <c r="AE542" s="54" t="e">
        <f t="shared" si="78"/>
        <v>#N/A</v>
      </c>
      <c r="AF542" s="4" t="e">
        <f t="shared" si="74"/>
        <v>#N/A</v>
      </c>
    </row>
    <row r="543" spans="2:32">
      <c r="B543" s="5">
        <f t="shared" si="79"/>
        <v>531</v>
      </c>
      <c r="C543" s="5"/>
      <c r="E543" s="13"/>
      <c r="F543" s="5"/>
      <c r="G543" s="11" t="str">
        <f>IF(ISERROR(AVERAGE(F$13:F543)),"n/a",AVERAGE(F$13:F543))</f>
        <v>n/a</v>
      </c>
      <c r="H543" s="11" t="str">
        <f t="shared" si="75"/>
        <v>n/a</v>
      </c>
      <c r="J543" s="5"/>
      <c r="K543" s="5"/>
      <c r="L543" s="5"/>
      <c r="M543" s="5"/>
      <c r="N543" s="5"/>
      <c r="O543" s="8" t="str">
        <f t="shared" si="73"/>
        <v>n/a</v>
      </c>
      <c r="Q543" s="5"/>
      <c r="R543" s="5"/>
      <c r="S543" s="5"/>
      <c r="U543" s="6"/>
      <c r="V543" s="9" t="str">
        <f t="shared" si="76"/>
        <v/>
      </c>
      <c r="W543" s="9" t="str">
        <f t="shared" si="77"/>
        <v/>
      </c>
      <c r="X543" s="10">
        <f>SUM(V$13:V543)/COUNTA(B$13:B543)</f>
        <v>0</v>
      </c>
      <c r="Z543" s="5"/>
      <c r="AA543" s="5"/>
      <c r="AC543" s="7"/>
      <c r="AE543" s="54" t="e">
        <f t="shared" si="78"/>
        <v>#N/A</v>
      </c>
      <c r="AF543" s="4" t="e">
        <f t="shared" si="74"/>
        <v>#N/A</v>
      </c>
    </row>
    <row r="544" spans="2:32">
      <c r="B544" s="5">
        <f t="shared" si="79"/>
        <v>532</v>
      </c>
      <c r="C544" s="5"/>
      <c r="E544" s="13"/>
      <c r="F544" s="5"/>
      <c r="G544" s="11" t="str">
        <f>IF(ISERROR(AVERAGE(F$13:F544)),"n/a",AVERAGE(F$13:F544))</f>
        <v>n/a</v>
      </c>
      <c r="H544" s="11" t="str">
        <f t="shared" si="75"/>
        <v>n/a</v>
      </c>
      <c r="J544" s="5"/>
      <c r="K544" s="5"/>
      <c r="L544" s="5"/>
      <c r="M544" s="5"/>
      <c r="N544" s="5"/>
      <c r="O544" s="8" t="str">
        <f t="shared" si="73"/>
        <v>n/a</v>
      </c>
      <c r="Q544" s="5"/>
      <c r="R544" s="5"/>
      <c r="S544" s="5"/>
      <c r="U544" s="6"/>
      <c r="V544" s="9" t="str">
        <f t="shared" si="76"/>
        <v/>
      </c>
      <c r="W544" s="9" t="str">
        <f t="shared" si="77"/>
        <v/>
      </c>
      <c r="X544" s="10">
        <f>SUM(V$13:V544)/COUNTA(B$13:B544)</f>
        <v>0</v>
      </c>
      <c r="Z544" s="5"/>
      <c r="AA544" s="5"/>
      <c r="AC544" s="7"/>
      <c r="AE544" s="54" t="e">
        <f t="shared" si="78"/>
        <v>#N/A</v>
      </c>
      <c r="AF544" s="4" t="e">
        <f t="shared" si="74"/>
        <v>#N/A</v>
      </c>
    </row>
    <row r="545" spans="2:32">
      <c r="B545" s="5">
        <f t="shared" si="79"/>
        <v>533</v>
      </c>
      <c r="C545" s="5"/>
      <c r="E545" s="13"/>
      <c r="F545" s="5"/>
      <c r="G545" s="11" t="str">
        <f>IF(ISERROR(AVERAGE(F$13:F545)),"n/a",AVERAGE(F$13:F545))</f>
        <v>n/a</v>
      </c>
      <c r="H545" s="11" t="str">
        <f t="shared" si="75"/>
        <v>n/a</v>
      </c>
      <c r="J545" s="5"/>
      <c r="K545" s="5"/>
      <c r="L545" s="5"/>
      <c r="M545" s="5"/>
      <c r="N545" s="5"/>
      <c r="O545" s="8" t="str">
        <f t="shared" si="73"/>
        <v>n/a</v>
      </c>
      <c r="Q545" s="5"/>
      <c r="R545" s="5"/>
      <c r="S545" s="5"/>
      <c r="U545" s="6"/>
      <c r="V545" s="9" t="str">
        <f t="shared" si="76"/>
        <v/>
      </c>
      <c r="W545" s="9" t="str">
        <f t="shared" si="77"/>
        <v/>
      </c>
      <c r="X545" s="10">
        <f>SUM(V$13:V545)/COUNTA(B$13:B545)</f>
        <v>0</v>
      </c>
      <c r="Z545" s="5"/>
      <c r="AA545" s="5"/>
      <c r="AC545" s="7"/>
      <c r="AE545" s="54" t="e">
        <f t="shared" si="78"/>
        <v>#N/A</v>
      </c>
      <c r="AF545" s="4" t="e">
        <f t="shared" si="74"/>
        <v>#N/A</v>
      </c>
    </row>
    <row r="546" spans="2:32">
      <c r="B546" s="5">
        <f t="shared" si="79"/>
        <v>534</v>
      </c>
      <c r="C546" s="5"/>
      <c r="E546" s="13"/>
      <c r="F546" s="5"/>
      <c r="G546" s="11" t="str">
        <f>IF(ISERROR(AVERAGE(F$13:F546)),"n/a",AVERAGE(F$13:F546))</f>
        <v>n/a</v>
      </c>
      <c r="H546" s="11" t="str">
        <f t="shared" si="75"/>
        <v>n/a</v>
      </c>
      <c r="J546" s="5"/>
      <c r="K546" s="5"/>
      <c r="L546" s="5"/>
      <c r="M546" s="5"/>
      <c r="N546" s="5"/>
      <c r="O546" s="8" t="str">
        <f t="shared" si="73"/>
        <v>n/a</v>
      </c>
      <c r="Q546" s="5"/>
      <c r="R546" s="5"/>
      <c r="S546" s="5"/>
      <c r="U546" s="6"/>
      <c r="V546" s="9" t="str">
        <f t="shared" si="76"/>
        <v/>
      </c>
      <c r="W546" s="9" t="str">
        <f t="shared" si="77"/>
        <v/>
      </c>
      <c r="X546" s="10">
        <f>SUM(V$13:V546)/COUNTA(B$13:B546)</f>
        <v>0</v>
      </c>
      <c r="Z546" s="5"/>
      <c r="AA546" s="5"/>
      <c r="AC546" s="7"/>
      <c r="AE546" s="54" t="e">
        <f t="shared" si="78"/>
        <v>#N/A</v>
      </c>
      <c r="AF546" s="4" t="e">
        <f t="shared" si="74"/>
        <v>#N/A</v>
      </c>
    </row>
    <row r="547" spans="2:32">
      <c r="B547" s="5">
        <f t="shared" si="79"/>
        <v>535</v>
      </c>
      <c r="C547" s="5"/>
      <c r="E547" s="13"/>
      <c r="F547" s="5"/>
      <c r="G547" s="11" t="str">
        <f>IF(ISERROR(AVERAGE(F$13:F547)),"n/a",AVERAGE(F$13:F547))</f>
        <v>n/a</v>
      </c>
      <c r="H547" s="11" t="str">
        <f t="shared" si="75"/>
        <v>n/a</v>
      </c>
      <c r="J547" s="5"/>
      <c r="K547" s="5"/>
      <c r="L547" s="5"/>
      <c r="M547" s="5"/>
      <c r="N547" s="5"/>
      <c r="O547" s="8" t="str">
        <f t="shared" si="73"/>
        <v>n/a</v>
      </c>
      <c r="Q547" s="5"/>
      <c r="R547" s="5"/>
      <c r="S547" s="5"/>
      <c r="U547" s="6"/>
      <c r="V547" s="9" t="str">
        <f t="shared" si="76"/>
        <v/>
      </c>
      <c r="W547" s="9" t="str">
        <f t="shared" si="77"/>
        <v/>
      </c>
      <c r="X547" s="10">
        <f>SUM(V$13:V547)/COUNTA(B$13:B547)</f>
        <v>0</v>
      </c>
      <c r="Z547" s="5"/>
      <c r="AA547" s="5"/>
      <c r="AC547" s="7"/>
      <c r="AE547" s="54" t="e">
        <f t="shared" si="78"/>
        <v>#N/A</v>
      </c>
      <c r="AF547" s="4" t="e">
        <f t="shared" si="74"/>
        <v>#N/A</v>
      </c>
    </row>
    <row r="548" spans="2:32">
      <c r="B548" s="5">
        <f t="shared" si="79"/>
        <v>536</v>
      </c>
      <c r="C548" s="5"/>
      <c r="E548" s="13"/>
      <c r="F548" s="5"/>
      <c r="G548" s="11" t="str">
        <f>IF(ISERROR(AVERAGE(F$13:F548)),"n/a",AVERAGE(F$13:F548))</f>
        <v>n/a</v>
      </c>
      <c r="H548" s="11" t="str">
        <f t="shared" si="75"/>
        <v>n/a</v>
      </c>
      <c r="J548" s="5"/>
      <c r="K548" s="5"/>
      <c r="L548" s="5"/>
      <c r="M548" s="5"/>
      <c r="N548" s="5"/>
      <c r="O548" s="8" t="str">
        <f t="shared" si="73"/>
        <v>n/a</v>
      </c>
      <c r="Q548" s="5"/>
      <c r="R548" s="5"/>
      <c r="S548" s="5"/>
      <c r="U548" s="6"/>
      <c r="V548" s="9" t="str">
        <f t="shared" si="76"/>
        <v/>
      </c>
      <c r="W548" s="9" t="str">
        <f t="shared" si="77"/>
        <v/>
      </c>
      <c r="X548" s="10">
        <f>SUM(V$13:V548)/COUNTA(B$13:B548)</f>
        <v>0</v>
      </c>
      <c r="Z548" s="5"/>
      <c r="AA548" s="5"/>
      <c r="AC548" s="7"/>
      <c r="AE548" s="54" t="e">
        <f t="shared" si="78"/>
        <v>#N/A</v>
      </c>
      <c r="AF548" s="4" t="e">
        <f t="shared" si="74"/>
        <v>#N/A</v>
      </c>
    </row>
    <row r="549" spans="2:32">
      <c r="B549" s="5">
        <f t="shared" si="79"/>
        <v>537</v>
      </c>
      <c r="C549" s="5"/>
      <c r="E549" s="13"/>
      <c r="F549" s="5"/>
      <c r="G549" s="11" t="str">
        <f>IF(ISERROR(AVERAGE(F$13:F549)),"n/a",AVERAGE(F$13:F549))</f>
        <v>n/a</v>
      </c>
      <c r="H549" s="11" t="str">
        <f t="shared" si="75"/>
        <v>n/a</v>
      </c>
      <c r="J549" s="5"/>
      <c r="K549" s="5"/>
      <c r="L549" s="5"/>
      <c r="M549" s="5"/>
      <c r="N549" s="5"/>
      <c r="O549" s="8" t="str">
        <f t="shared" si="73"/>
        <v>n/a</v>
      </c>
      <c r="Q549" s="5"/>
      <c r="R549" s="5"/>
      <c r="S549" s="5"/>
      <c r="U549" s="6"/>
      <c r="V549" s="9" t="str">
        <f t="shared" si="76"/>
        <v/>
      </c>
      <c r="W549" s="9" t="str">
        <f t="shared" si="77"/>
        <v/>
      </c>
      <c r="X549" s="10">
        <f>SUM(V$13:V549)/COUNTA(B$13:B549)</f>
        <v>0</v>
      </c>
      <c r="Z549" s="5"/>
      <c r="AA549" s="5"/>
      <c r="AC549" s="7"/>
      <c r="AE549" s="54" t="e">
        <f t="shared" si="78"/>
        <v>#N/A</v>
      </c>
      <c r="AF549" s="4" t="e">
        <f t="shared" si="74"/>
        <v>#N/A</v>
      </c>
    </row>
    <row r="550" spans="2:32">
      <c r="B550" s="5">
        <f t="shared" si="79"/>
        <v>538</v>
      </c>
      <c r="C550" s="5"/>
      <c r="E550" s="13"/>
      <c r="F550" s="5"/>
      <c r="G550" s="11" t="str">
        <f>IF(ISERROR(AVERAGE(F$13:F550)),"n/a",AVERAGE(F$13:F550))</f>
        <v>n/a</v>
      </c>
      <c r="H550" s="11" t="str">
        <f t="shared" si="75"/>
        <v>n/a</v>
      </c>
      <c r="J550" s="5"/>
      <c r="K550" s="5"/>
      <c r="L550" s="5"/>
      <c r="M550" s="5"/>
      <c r="N550" s="5"/>
      <c r="O550" s="8" t="str">
        <f t="shared" si="73"/>
        <v>n/a</v>
      </c>
      <c r="Q550" s="5"/>
      <c r="R550" s="5"/>
      <c r="S550" s="5"/>
      <c r="U550" s="6"/>
      <c r="V550" s="9" t="str">
        <f t="shared" si="76"/>
        <v/>
      </c>
      <c r="W550" s="9" t="str">
        <f t="shared" si="77"/>
        <v/>
      </c>
      <c r="X550" s="10">
        <f>SUM(V$13:V550)/COUNTA(B$13:B550)</f>
        <v>0</v>
      </c>
      <c r="Z550" s="5"/>
      <c r="AA550" s="5"/>
      <c r="AC550" s="7"/>
      <c r="AE550" s="54" t="e">
        <f t="shared" si="78"/>
        <v>#N/A</v>
      </c>
      <c r="AF550" s="4" t="e">
        <f t="shared" si="74"/>
        <v>#N/A</v>
      </c>
    </row>
    <row r="551" spans="2:32">
      <c r="B551" s="5">
        <f t="shared" si="79"/>
        <v>539</v>
      </c>
      <c r="C551" s="5"/>
      <c r="E551" s="13"/>
      <c r="F551" s="5"/>
      <c r="G551" s="11" t="str">
        <f>IF(ISERROR(AVERAGE(F$13:F551)),"n/a",AVERAGE(F$13:F551))</f>
        <v>n/a</v>
      </c>
      <c r="H551" s="11" t="str">
        <f t="shared" si="75"/>
        <v>n/a</v>
      </c>
      <c r="J551" s="5"/>
      <c r="K551" s="5"/>
      <c r="L551" s="5"/>
      <c r="M551" s="5"/>
      <c r="N551" s="5"/>
      <c r="O551" s="8" t="str">
        <f t="shared" si="73"/>
        <v>n/a</v>
      </c>
      <c r="Q551" s="5"/>
      <c r="R551" s="5"/>
      <c r="S551" s="5"/>
      <c r="U551" s="6"/>
      <c r="V551" s="9" t="str">
        <f t="shared" si="76"/>
        <v/>
      </c>
      <c r="W551" s="9" t="str">
        <f t="shared" si="77"/>
        <v/>
      </c>
      <c r="X551" s="10">
        <f>SUM(V$13:V551)/COUNTA(B$13:B551)</f>
        <v>0</v>
      </c>
      <c r="Z551" s="5"/>
      <c r="AA551" s="5"/>
      <c r="AC551" s="7"/>
      <c r="AE551" s="54" t="e">
        <f t="shared" si="78"/>
        <v>#N/A</v>
      </c>
      <c r="AF551" s="4" t="e">
        <f t="shared" si="74"/>
        <v>#N/A</v>
      </c>
    </row>
    <row r="552" spans="2:32">
      <c r="B552" s="5">
        <f t="shared" si="79"/>
        <v>540</v>
      </c>
      <c r="C552" s="5"/>
      <c r="E552" s="13"/>
      <c r="F552" s="5"/>
      <c r="G552" s="11" t="str">
        <f>IF(ISERROR(AVERAGE(F$13:F552)),"n/a",AVERAGE(F$13:F552))</f>
        <v>n/a</v>
      </c>
      <c r="H552" s="11" t="str">
        <f t="shared" si="75"/>
        <v>n/a</v>
      </c>
      <c r="J552" s="5"/>
      <c r="K552" s="5"/>
      <c r="L552" s="5"/>
      <c r="M552" s="5"/>
      <c r="N552" s="5"/>
      <c r="O552" s="8" t="str">
        <f t="shared" si="73"/>
        <v>n/a</v>
      </c>
      <c r="Q552" s="5"/>
      <c r="R552" s="5"/>
      <c r="S552" s="5"/>
      <c r="U552" s="6"/>
      <c r="V552" s="9" t="str">
        <f t="shared" si="76"/>
        <v/>
      </c>
      <c r="W552" s="9" t="str">
        <f t="shared" si="77"/>
        <v/>
      </c>
      <c r="X552" s="10">
        <f>SUM(V$13:V552)/COUNTA(B$13:B552)</f>
        <v>0</v>
      </c>
      <c r="Z552" s="5"/>
      <c r="AA552" s="5"/>
      <c r="AC552" s="7"/>
      <c r="AE552" s="54" t="e">
        <f t="shared" si="78"/>
        <v>#N/A</v>
      </c>
      <c r="AF552" s="4" t="e">
        <f t="shared" si="74"/>
        <v>#N/A</v>
      </c>
    </row>
    <row r="553" spans="2:32">
      <c r="B553" s="5">
        <f t="shared" si="79"/>
        <v>541</v>
      </c>
      <c r="C553" s="5"/>
      <c r="E553" s="13"/>
      <c r="F553" s="5"/>
      <c r="G553" s="11" t="str">
        <f>IF(ISERROR(AVERAGE(F$13:F553)),"n/a",AVERAGE(F$13:F553))</f>
        <v>n/a</v>
      </c>
      <c r="H553" s="11" t="str">
        <f t="shared" si="75"/>
        <v>n/a</v>
      </c>
      <c r="J553" s="5"/>
      <c r="K553" s="5"/>
      <c r="L553" s="5"/>
      <c r="M553" s="5"/>
      <c r="N553" s="5"/>
      <c r="O553" s="8" t="str">
        <f t="shared" si="73"/>
        <v>n/a</v>
      </c>
      <c r="Q553" s="5"/>
      <c r="R553" s="5"/>
      <c r="S553" s="5"/>
      <c r="U553" s="6"/>
      <c r="V553" s="9" t="str">
        <f t="shared" si="76"/>
        <v/>
      </c>
      <c r="W553" s="9" t="str">
        <f t="shared" si="77"/>
        <v/>
      </c>
      <c r="X553" s="10">
        <f>SUM(V$13:V553)/COUNTA(B$13:B553)</f>
        <v>0</v>
      </c>
      <c r="Z553" s="5"/>
      <c r="AA553" s="5"/>
      <c r="AC553" s="7"/>
      <c r="AE553" s="54" t="e">
        <f t="shared" si="78"/>
        <v>#N/A</v>
      </c>
      <c r="AF553" s="4" t="e">
        <f t="shared" si="74"/>
        <v>#N/A</v>
      </c>
    </row>
    <row r="554" spans="2:32">
      <c r="B554" s="5">
        <f t="shared" si="79"/>
        <v>542</v>
      </c>
      <c r="C554" s="5"/>
      <c r="E554" s="13"/>
      <c r="F554" s="5"/>
      <c r="G554" s="11" t="str">
        <f>IF(ISERROR(AVERAGE(F$13:F554)),"n/a",AVERAGE(F$13:F554))</f>
        <v>n/a</v>
      </c>
      <c r="H554" s="11" t="str">
        <f t="shared" si="75"/>
        <v>n/a</v>
      </c>
      <c r="J554" s="5"/>
      <c r="K554" s="5"/>
      <c r="L554" s="5"/>
      <c r="M554" s="5"/>
      <c r="N554" s="5"/>
      <c r="O554" s="8" t="str">
        <f t="shared" si="73"/>
        <v>n/a</v>
      </c>
      <c r="Q554" s="5"/>
      <c r="R554" s="5"/>
      <c r="S554" s="5"/>
      <c r="U554" s="6"/>
      <c r="V554" s="9" t="str">
        <f t="shared" si="76"/>
        <v/>
      </c>
      <c r="W554" s="9" t="str">
        <f t="shared" si="77"/>
        <v/>
      </c>
      <c r="X554" s="10">
        <f>SUM(V$13:V554)/COUNTA(B$13:B554)</f>
        <v>0</v>
      </c>
      <c r="Z554" s="5"/>
      <c r="AA554" s="5"/>
      <c r="AC554" s="7"/>
      <c r="AE554" s="54" t="e">
        <f t="shared" si="78"/>
        <v>#N/A</v>
      </c>
      <c r="AF554" s="4" t="e">
        <f t="shared" si="74"/>
        <v>#N/A</v>
      </c>
    </row>
    <row r="555" spans="2:32">
      <c r="B555" s="5">
        <f t="shared" si="79"/>
        <v>543</v>
      </c>
      <c r="C555" s="5"/>
      <c r="E555" s="13"/>
      <c r="F555" s="5"/>
      <c r="G555" s="11" t="str">
        <f>IF(ISERROR(AVERAGE(F$13:F555)),"n/a",AVERAGE(F$13:F555))</f>
        <v>n/a</v>
      </c>
      <c r="H555" s="11" t="str">
        <f t="shared" si="75"/>
        <v>n/a</v>
      </c>
      <c r="J555" s="5"/>
      <c r="K555" s="5"/>
      <c r="L555" s="5"/>
      <c r="M555" s="5"/>
      <c r="N555" s="5"/>
      <c r="O555" s="8" t="str">
        <f t="shared" si="73"/>
        <v>n/a</v>
      </c>
      <c r="Q555" s="5"/>
      <c r="R555" s="5"/>
      <c r="S555" s="5"/>
      <c r="U555" s="6"/>
      <c r="V555" s="9" t="str">
        <f t="shared" si="76"/>
        <v/>
      </c>
      <c r="W555" s="9" t="str">
        <f t="shared" si="77"/>
        <v/>
      </c>
      <c r="X555" s="10">
        <f>SUM(V$13:V555)/COUNTA(B$13:B555)</f>
        <v>0</v>
      </c>
      <c r="Z555" s="5"/>
      <c r="AA555" s="5"/>
      <c r="AC555" s="7"/>
      <c r="AE555" s="54" t="e">
        <f t="shared" si="78"/>
        <v>#N/A</v>
      </c>
      <c r="AF555" s="4" t="e">
        <f t="shared" si="74"/>
        <v>#N/A</v>
      </c>
    </row>
    <row r="556" spans="2:32">
      <c r="B556" s="5">
        <f t="shared" si="79"/>
        <v>544</v>
      </c>
      <c r="C556" s="5"/>
      <c r="E556" s="13"/>
      <c r="F556" s="5"/>
      <c r="G556" s="11" t="str">
        <f>IF(ISERROR(AVERAGE(F$13:F556)),"n/a",AVERAGE(F$13:F556))</f>
        <v>n/a</v>
      </c>
      <c r="H556" s="11" t="str">
        <f t="shared" si="75"/>
        <v>n/a</v>
      </c>
      <c r="J556" s="5"/>
      <c r="K556" s="5"/>
      <c r="L556" s="5"/>
      <c r="M556" s="5"/>
      <c r="N556" s="5"/>
      <c r="O556" s="8" t="str">
        <f t="shared" si="73"/>
        <v>n/a</v>
      </c>
      <c r="Q556" s="5"/>
      <c r="R556" s="5"/>
      <c r="S556" s="5"/>
      <c r="U556" s="6"/>
      <c r="V556" s="9" t="str">
        <f t="shared" si="76"/>
        <v/>
      </c>
      <c r="W556" s="9" t="str">
        <f t="shared" si="77"/>
        <v/>
      </c>
      <c r="X556" s="10">
        <f>SUM(V$13:V556)/COUNTA(B$13:B556)</f>
        <v>0</v>
      </c>
      <c r="Z556" s="5"/>
      <c r="AA556" s="5"/>
      <c r="AC556" s="7"/>
      <c r="AE556" s="54" t="e">
        <f t="shared" si="78"/>
        <v>#N/A</v>
      </c>
      <c r="AF556" s="4" t="e">
        <f t="shared" si="74"/>
        <v>#N/A</v>
      </c>
    </row>
    <row r="557" spans="2:32">
      <c r="B557" s="5">
        <f t="shared" si="79"/>
        <v>545</v>
      </c>
      <c r="C557" s="5"/>
      <c r="E557" s="13"/>
      <c r="F557" s="5"/>
      <c r="G557" s="11" t="str">
        <f>IF(ISERROR(AVERAGE(F$13:F557)),"n/a",AVERAGE(F$13:F557))</f>
        <v>n/a</v>
      </c>
      <c r="H557" s="11" t="str">
        <f t="shared" si="75"/>
        <v>n/a</v>
      </c>
      <c r="J557" s="5"/>
      <c r="K557" s="5"/>
      <c r="L557" s="5"/>
      <c r="M557" s="5"/>
      <c r="N557" s="5"/>
      <c r="O557" s="8" t="str">
        <f t="shared" si="73"/>
        <v>n/a</v>
      </c>
      <c r="Q557" s="5"/>
      <c r="R557" s="5"/>
      <c r="S557" s="5"/>
      <c r="U557" s="6"/>
      <c r="V557" s="9" t="str">
        <f t="shared" si="76"/>
        <v/>
      </c>
      <c r="W557" s="9" t="str">
        <f t="shared" si="77"/>
        <v/>
      </c>
      <c r="X557" s="10">
        <f>SUM(V$13:V557)/COUNTA(B$13:B557)</f>
        <v>0</v>
      </c>
      <c r="Z557" s="5"/>
      <c r="AA557" s="5"/>
      <c r="AC557" s="7"/>
      <c r="AE557" s="54" t="e">
        <f t="shared" si="78"/>
        <v>#N/A</v>
      </c>
      <c r="AF557" s="4" t="e">
        <f t="shared" si="74"/>
        <v>#N/A</v>
      </c>
    </row>
    <row r="558" spans="2:32">
      <c r="B558" s="5">
        <f t="shared" si="79"/>
        <v>546</v>
      </c>
      <c r="C558" s="5"/>
      <c r="E558" s="13"/>
      <c r="F558" s="5"/>
      <c r="G558" s="11" t="str">
        <f>IF(ISERROR(AVERAGE(F$13:F558)),"n/a",AVERAGE(F$13:F558))</f>
        <v>n/a</v>
      </c>
      <c r="H558" s="11" t="str">
        <f t="shared" si="75"/>
        <v>n/a</v>
      </c>
      <c r="J558" s="5"/>
      <c r="K558" s="5"/>
      <c r="L558" s="5"/>
      <c r="M558" s="5"/>
      <c r="N558" s="5"/>
      <c r="O558" s="8" t="str">
        <f t="shared" si="73"/>
        <v>n/a</v>
      </c>
      <c r="Q558" s="5"/>
      <c r="R558" s="5"/>
      <c r="S558" s="5"/>
      <c r="U558" s="6"/>
      <c r="V558" s="9" t="str">
        <f t="shared" si="76"/>
        <v/>
      </c>
      <c r="W558" s="9" t="str">
        <f t="shared" si="77"/>
        <v/>
      </c>
      <c r="X558" s="10">
        <f>SUM(V$13:V558)/COUNTA(B$13:B558)</f>
        <v>0</v>
      </c>
      <c r="Z558" s="5"/>
      <c r="AA558" s="5"/>
      <c r="AC558" s="7"/>
      <c r="AE558" s="54" t="e">
        <f t="shared" si="78"/>
        <v>#N/A</v>
      </c>
      <c r="AF558" s="4" t="e">
        <f t="shared" si="74"/>
        <v>#N/A</v>
      </c>
    </row>
    <row r="559" spans="2:32">
      <c r="B559" s="5">
        <f t="shared" si="79"/>
        <v>547</v>
      </c>
      <c r="C559" s="5"/>
      <c r="E559" s="13"/>
      <c r="F559" s="5"/>
      <c r="G559" s="11" t="str">
        <f>IF(ISERROR(AVERAGE(F$13:F559)),"n/a",AVERAGE(F$13:F559))</f>
        <v>n/a</v>
      </c>
      <c r="H559" s="11" t="str">
        <f t="shared" si="75"/>
        <v>n/a</v>
      </c>
      <c r="J559" s="5"/>
      <c r="K559" s="5"/>
      <c r="L559" s="5"/>
      <c r="M559" s="5"/>
      <c r="N559" s="5"/>
      <c r="O559" s="8" t="str">
        <f t="shared" si="73"/>
        <v>n/a</v>
      </c>
      <c r="Q559" s="5"/>
      <c r="R559" s="5"/>
      <c r="S559" s="5"/>
      <c r="U559" s="6"/>
      <c r="V559" s="9" t="str">
        <f t="shared" si="76"/>
        <v/>
      </c>
      <c r="W559" s="9" t="str">
        <f t="shared" si="77"/>
        <v/>
      </c>
      <c r="X559" s="10">
        <f>SUM(V$13:V559)/COUNTA(B$13:B559)</f>
        <v>0</v>
      </c>
      <c r="Z559" s="5"/>
      <c r="AA559" s="5"/>
      <c r="AC559" s="7"/>
      <c r="AE559" s="54" t="e">
        <f t="shared" si="78"/>
        <v>#N/A</v>
      </c>
      <c r="AF559" s="4" t="e">
        <f t="shared" si="74"/>
        <v>#N/A</v>
      </c>
    </row>
    <row r="560" spans="2:32">
      <c r="B560" s="5">
        <f t="shared" si="79"/>
        <v>548</v>
      </c>
      <c r="C560" s="5"/>
      <c r="E560" s="13"/>
      <c r="F560" s="5"/>
      <c r="G560" s="11" t="str">
        <f>IF(ISERROR(AVERAGE(F$13:F560)),"n/a",AVERAGE(F$13:F560))</f>
        <v>n/a</v>
      </c>
      <c r="H560" s="11" t="str">
        <f t="shared" si="75"/>
        <v>n/a</v>
      </c>
      <c r="J560" s="5"/>
      <c r="K560" s="5"/>
      <c r="L560" s="5"/>
      <c r="M560" s="5"/>
      <c r="N560" s="5"/>
      <c r="O560" s="8" t="str">
        <f t="shared" si="73"/>
        <v>n/a</v>
      </c>
      <c r="Q560" s="5"/>
      <c r="R560" s="5"/>
      <c r="S560" s="5"/>
      <c r="U560" s="6"/>
      <c r="V560" s="9" t="str">
        <f t="shared" si="76"/>
        <v/>
      </c>
      <c r="W560" s="9" t="str">
        <f t="shared" si="77"/>
        <v/>
      </c>
      <c r="X560" s="10">
        <f>SUM(V$13:V560)/COUNTA(B$13:B560)</f>
        <v>0</v>
      </c>
      <c r="Z560" s="5"/>
      <c r="AA560" s="5"/>
      <c r="AC560" s="7"/>
      <c r="AE560" s="54" t="e">
        <f t="shared" si="78"/>
        <v>#N/A</v>
      </c>
      <c r="AF560" s="4" t="e">
        <f t="shared" si="74"/>
        <v>#N/A</v>
      </c>
    </row>
    <row r="561" spans="2:32">
      <c r="B561" s="5">
        <f t="shared" si="79"/>
        <v>549</v>
      </c>
      <c r="C561" s="5"/>
      <c r="E561" s="13"/>
      <c r="F561" s="5"/>
      <c r="G561" s="11" t="str">
        <f>IF(ISERROR(AVERAGE(F$13:F561)),"n/a",AVERAGE(F$13:F561))</f>
        <v>n/a</v>
      </c>
      <c r="H561" s="11" t="str">
        <f t="shared" si="75"/>
        <v>n/a</v>
      </c>
      <c r="J561" s="5"/>
      <c r="K561" s="5"/>
      <c r="L561" s="5"/>
      <c r="M561" s="5"/>
      <c r="N561" s="5"/>
      <c r="O561" s="8" t="str">
        <f t="shared" si="73"/>
        <v>n/a</v>
      </c>
      <c r="Q561" s="5"/>
      <c r="R561" s="5"/>
      <c r="S561" s="5"/>
      <c r="U561" s="6"/>
      <c r="V561" s="9" t="str">
        <f t="shared" si="76"/>
        <v/>
      </c>
      <c r="W561" s="9" t="str">
        <f t="shared" si="77"/>
        <v/>
      </c>
      <c r="X561" s="10">
        <f>SUM(V$13:V561)/COUNTA(B$13:B561)</f>
        <v>0</v>
      </c>
      <c r="Z561" s="5"/>
      <c r="AA561" s="5"/>
      <c r="AC561" s="7"/>
      <c r="AE561" s="54" t="e">
        <f t="shared" si="78"/>
        <v>#N/A</v>
      </c>
      <c r="AF561" s="4" t="e">
        <f t="shared" si="74"/>
        <v>#N/A</v>
      </c>
    </row>
    <row r="562" spans="2:32">
      <c r="B562" s="5">
        <f t="shared" si="79"/>
        <v>550</v>
      </c>
      <c r="C562" s="5"/>
      <c r="E562" s="13"/>
      <c r="F562" s="5"/>
      <c r="G562" s="11" t="str">
        <f>IF(ISERROR(AVERAGE(F$13:F562)),"n/a",AVERAGE(F$13:F562))</f>
        <v>n/a</v>
      </c>
      <c r="H562" s="11" t="str">
        <f t="shared" si="75"/>
        <v>n/a</v>
      </c>
      <c r="J562" s="5"/>
      <c r="K562" s="5"/>
      <c r="L562" s="5"/>
      <c r="M562" s="5"/>
      <c r="N562" s="5"/>
      <c r="O562" s="8" t="str">
        <f t="shared" si="73"/>
        <v>n/a</v>
      </c>
      <c r="Q562" s="5"/>
      <c r="R562" s="5"/>
      <c r="S562" s="5"/>
      <c r="U562" s="6"/>
      <c r="V562" s="9" t="str">
        <f t="shared" si="76"/>
        <v/>
      </c>
      <c r="W562" s="9" t="str">
        <f t="shared" si="77"/>
        <v/>
      </c>
      <c r="X562" s="10">
        <f>SUM(V$13:V562)/COUNTA(B$13:B562)</f>
        <v>0</v>
      </c>
      <c r="Z562" s="5"/>
      <c r="AA562" s="5"/>
      <c r="AC562" s="7"/>
      <c r="AE562" s="54" t="e">
        <f t="shared" si="78"/>
        <v>#N/A</v>
      </c>
      <c r="AF562" s="4" t="e">
        <f t="shared" si="74"/>
        <v>#N/A</v>
      </c>
    </row>
    <row r="563" spans="2:32">
      <c r="B563" s="5">
        <f t="shared" si="79"/>
        <v>551</v>
      </c>
      <c r="C563" s="5"/>
      <c r="E563" s="13"/>
      <c r="F563" s="5"/>
      <c r="G563" s="11" t="str">
        <f>IF(ISERROR(AVERAGE(F$13:F563)),"n/a",AVERAGE(F$13:F563))</f>
        <v>n/a</v>
      </c>
      <c r="H563" s="11" t="str">
        <f t="shared" si="75"/>
        <v>n/a</v>
      </c>
      <c r="J563" s="5"/>
      <c r="K563" s="5"/>
      <c r="L563" s="5"/>
      <c r="M563" s="5"/>
      <c r="N563" s="5"/>
      <c r="O563" s="8" t="str">
        <f t="shared" si="73"/>
        <v>n/a</v>
      </c>
      <c r="Q563" s="5"/>
      <c r="R563" s="5"/>
      <c r="S563" s="5"/>
      <c r="U563" s="6"/>
      <c r="V563" s="9" t="str">
        <f t="shared" si="76"/>
        <v/>
      </c>
      <c r="W563" s="9" t="str">
        <f t="shared" si="77"/>
        <v/>
      </c>
      <c r="X563" s="10">
        <f>SUM(V$13:V563)/COUNTA(B$13:B563)</f>
        <v>0</v>
      </c>
      <c r="Z563" s="5"/>
      <c r="AA563" s="5"/>
      <c r="AC563" s="7"/>
      <c r="AE563" s="54" t="e">
        <f t="shared" si="78"/>
        <v>#N/A</v>
      </c>
      <c r="AF563" s="4" t="e">
        <f t="shared" si="74"/>
        <v>#N/A</v>
      </c>
    </row>
    <row r="564" spans="2:32">
      <c r="B564" s="5">
        <f t="shared" si="79"/>
        <v>552</v>
      </c>
      <c r="C564" s="5"/>
      <c r="E564" s="13"/>
      <c r="F564" s="5"/>
      <c r="G564" s="11" t="str">
        <f>IF(ISERROR(AVERAGE(F$13:F564)),"n/a",AVERAGE(F$13:F564))</f>
        <v>n/a</v>
      </c>
      <c r="H564" s="11" t="str">
        <f t="shared" si="75"/>
        <v>n/a</v>
      </c>
      <c r="J564" s="5"/>
      <c r="K564" s="5"/>
      <c r="L564" s="5"/>
      <c r="M564" s="5"/>
      <c r="N564" s="5"/>
      <c r="O564" s="8" t="str">
        <f t="shared" si="73"/>
        <v>n/a</v>
      </c>
      <c r="Q564" s="5"/>
      <c r="R564" s="5"/>
      <c r="S564" s="5"/>
      <c r="U564" s="6"/>
      <c r="V564" s="9" t="str">
        <f t="shared" si="76"/>
        <v/>
      </c>
      <c r="W564" s="9" t="str">
        <f t="shared" si="77"/>
        <v/>
      </c>
      <c r="X564" s="10">
        <f>SUM(V$13:V564)/COUNTA(B$13:B564)</f>
        <v>0</v>
      </c>
      <c r="Z564" s="5"/>
      <c r="AA564" s="5"/>
      <c r="AC564" s="7"/>
      <c r="AE564" s="54" t="e">
        <f t="shared" si="78"/>
        <v>#N/A</v>
      </c>
      <c r="AF564" s="4" t="e">
        <f t="shared" si="74"/>
        <v>#N/A</v>
      </c>
    </row>
    <row r="565" spans="2:32">
      <c r="B565" s="5">
        <f t="shared" si="79"/>
        <v>553</v>
      </c>
      <c r="C565" s="5"/>
      <c r="E565" s="13"/>
      <c r="F565" s="5"/>
      <c r="G565" s="11" t="str">
        <f>IF(ISERROR(AVERAGE(F$13:F565)),"n/a",AVERAGE(F$13:F565))</f>
        <v>n/a</v>
      </c>
      <c r="H565" s="11" t="str">
        <f t="shared" si="75"/>
        <v>n/a</v>
      </c>
      <c r="J565" s="5"/>
      <c r="K565" s="5"/>
      <c r="L565" s="5"/>
      <c r="M565" s="5"/>
      <c r="N565" s="5"/>
      <c r="O565" s="8" t="str">
        <f t="shared" si="73"/>
        <v>n/a</v>
      </c>
      <c r="Q565" s="5"/>
      <c r="R565" s="5"/>
      <c r="S565" s="5"/>
      <c r="U565" s="6"/>
      <c r="V565" s="9" t="str">
        <f t="shared" si="76"/>
        <v/>
      </c>
      <c r="W565" s="9" t="str">
        <f t="shared" si="77"/>
        <v/>
      </c>
      <c r="X565" s="10">
        <f>SUM(V$13:V565)/COUNTA(B$13:B565)</f>
        <v>0</v>
      </c>
      <c r="Z565" s="5"/>
      <c r="AA565" s="5"/>
      <c r="AC565" s="7"/>
      <c r="AE565" s="54" t="e">
        <f t="shared" si="78"/>
        <v>#N/A</v>
      </c>
      <c r="AF565" s="4" t="e">
        <f t="shared" si="74"/>
        <v>#N/A</v>
      </c>
    </row>
    <row r="566" spans="2:32">
      <c r="B566" s="5">
        <f t="shared" si="79"/>
        <v>554</v>
      </c>
      <c r="C566" s="5"/>
      <c r="E566" s="13"/>
      <c r="F566" s="5"/>
      <c r="G566" s="11" t="str">
        <f>IF(ISERROR(AVERAGE(F$13:F566)),"n/a",AVERAGE(F$13:F566))</f>
        <v>n/a</v>
      </c>
      <c r="H566" s="11" t="str">
        <f t="shared" si="75"/>
        <v>n/a</v>
      </c>
      <c r="J566" s="5"/>
      <c r="K566" s="5"/>
      <c r="L566" s="5"/>
      <c r="M566" s="5"/>
      <c r="N566" s="5"/>
      <c r="O566" s="8" t="str">
        <f t="shared" si="73"/>
        <v>n/a</v>
      </c>
      <c r="Q566" s="5"/>
      <c r="R566" s="5"/>
      <c r="S566" s="5"/>
      <c r="U566" s="6"/>
      <c r="V566" s="9" t="str">
        <f t="shared" si="76"/>
        <v/>
      </c>
      <c r="W566" s="9" t="str">
        <f t="shared" si="77"/>
        <v/>
      </c>
      <c r="X566" s="10">
        <f>SUM(V$13:V566)/COUNTA(B$13:B566)</f>
        <v>0</v>
      </c>
      <c r="Z566" s="5"/>
      <c r="AA566" s="5"/>
      <c r="AC566" s="7"/>
      <c r="AE566" s="54" t="e">
        <f t="shared" si="78"/>
        <v>#N/A</v>
      </c>
      <c r="AF566" s="4" t="e">
        <f t="shared" si="74"/>
        <v>#N/A</v>
      </c>
    </row>
    <row r="567" spans="2:32">
      <c r="B567" s="5">
        <f t="shared" si="79"/>
        <v>555</v>
      </c>
      <c r="C567" s="5"/>
      <c r="E567" s="13"/>
      <c r="F567" s="5"/>
      <c r="G567" s="11" t="str">
        <f>IF(ISERROR(AVERAGE(F$13:F567)),"n/a",AVERAGE(F$13:F567))</f>
        <v>n/a</v>
      </c>
      <c r="H567" s="11" t="str">
        <f t="shared" si="75"/>
        <v>n/a</v>
      </c>
      <c r="J567" s="5"/>
      <c r="K567" s="5"/>
      <c r="L567" s="5"/>
      <c r="M567" s="5"/>
      <c r="N567" s="5"/>
      <c r="O567" s="8" t="str">
        <f t="shared" si="73"/>
        <v>n/a</v>
      </c>
      <c r="Q567" s="5"/>
      <c r="R567" s="5"/>
      <c r="S567" s="5"/>
      <c r="U567" s="6"/>
      <c r="V567" s="9" t="str">
        <f t="shared" si="76"/>
        <v/>
      </c>
      <c r="W567" s="9" t="str">
        <f t="shared" si="77"/>
        <v/>
      </c>
      <c r="X567" s="10">
        <f>SUM(V$13:V567)/COUNTA(B$13:B567)</f>
        <v>0</v>
      </c>
      <c r="Z567" s="5"/>
      <c r="AA567" s="5"/>
      <c r="AC567" s="7"/>
      <c r="AE567" s="54" t="e">
        <f t="shared" si="78"/>
        <v>#N/A</v>
      </c>
      <c r="AF567" s="4" t="e">
        <f t="shared" si="74"/>
        <v>#N/A</v>
      </c>
    </row>
    <row r="568" spans="2:32">
      <c r="B568" s="5">
        <f t="shared" si="79"/>
        <v>556</v>
      </c>
      <c r="C568" s="5"/>
      <c r="E568" s="13"/>
      <c r="F568" s="5"/>
      <c r="G568" s="11" t="str">
        <f>IF(ISERROR(AVERAGE(F$13:F568)),"n/a",AVERAGE(F$13:F568))</f>
        <v>n/a</v>
      </c>
      <c r="H568" s="11" t="str">
        <f t="shared" si="75"/>
        <v>n/a</v>
      </c>
      <c r="J568" s="5"/>
      <c r="K568" s="5"/>
      <c r="L568" s="5"/>
      <c r="M568" s="5"/>
      <c r="N568" s="5"/>
      <c r="O568" s="8" t="str">
        <f t="shared" si="73"/>
        <v>n/a</v>
      </c>
      <c r="Q568" s="5"/>
      <c r="R568" s="5"/>
      <c r="S568" s="5"/>
      <c r="U568" s="6"/>
      <c r="V568" s="9" t="str">
        <f t="shared" si="76"/>
        <v/>
      </c>
      <c r="W568" s="9" t="str">
        <f t="shared" si="77"/>
        <v/>
      </c>
      <c r="X568" s="10">
        <f>SUM(V$13:V568)/COUNTA(B$13:B568)</f>
        <v>0</v>
      </c>
      <c r="Z568" s="5"/>
      <c r="AA568" s="5"/>
      <c r="AC568" s="7"/>
      <c r="AE568" s="54" t="e">
        <f t="shared" si="78"/>
        <v>#N/A</v>
      </c>
      <c r="AF568" s="4" t="e">
        <f t="shared" si="74"/>
        <v>#N/A</v>
      </c>
    </row>
    <row r="569" spans="2:32">
      <c r="B569" s="5">
        <f t="shared" si="79"/>
        <v>557</v>
      </c>
      <c r="C569" s="5"/>
      <c r="E569" s="13"/>
      <c r="F569" s="5"/>
      <c r="G569" s="11" t="str">
        <f>IF(ISERROR(AVERAGE(F$13:F569)),"n/a",AVERAGE(F$13:F569))</f>
        <v>n/a</v>
      </c>
      <c r="H569" s="11" t="str">
        <f t="shared" si="75"/>
        <v>n/a</v>
      </c>
      <c r="J569" s="5"/>
      <c r="K569" s="5"/>
      <c r="L569" s="5"/>
      <c r="M569" s="5"/>
      <c r="N569" s="5"/>
      <c r="O569" s="8" t="str">
        <f t="shared" si="73"/>
        <v>n/a</v>
      </c>
      <c r="Q569" s="5"/>
      <c r="R569" s="5"/>
      <c r="S569" s="5"/>
      <c r="U569" s="6"/>
      <c r="V569" s="9" t="str">
        <f t="shared" si="76"/>
        <v/>
      </c>
      <c r="W569" s="9" t="str">
        <f t="shared" si="77"/>
        <v/>
      </c>
      <c r="X569" s="10">
        <f>SUM(V$13:V569)/COUNTA(B$13:B569)</f>
        <v>0</v>
      </c>
      <c r="Z569" s="5"/>
      <c r="AA569" s="5"/>
      <c r="AC569" s="7"/>
      <c r="AE569" s="54" t="e">
        <f t="shared" si="78"/>
        <v>#N/A</v>
      </c>
      <c r="AF569" s="4" t="e">
        <f t="shared" si="74"/>
        <v>#N/A</v>
      </c>
    </row>
    <row r="570" spans="2:32">
      <c r="B570" s="5">
        <f t="shared" si="79"/>
        <v>558</v>
      </c>
      <c r="C570" s="5"/>
      <c r="E570" s="13"/>
      <c r="F570" s="5"/>
      <c r="G570" s="11" t="str">
        <f>IF(ISERROR(AVERAGE(F$13:F570)),"n/a",AVERAGE(F$13:F570))</f>
        <v>n/a</v>
      </c>
      <c r="H570" s="11" t="str">
        <f t="shared" si="75"/>
        <v>n/a</v>
      </c>
      <c r="J570" s="5"/>
      <c r="K570" s="5"/>
      <c r="L570" s="5"/>
      <c r="M570" s="5"/>
      <c r="N570" s="5"/>
      <c r="O570" s="8" t="str">
        <f t="shared" si="73"/>
        <v>n/a</v>
      </c>
      <c r="Q570" s="5"/>
      <c r="R570" s="5"/>
      <c r="S570" s="5"/>
      <c r="U570" s="6"/>
      <c r="V570" s="9" t="str">
        <f t="shared" si="76"/>
        <v/>
      </c>
      <c r="W570" s="9" t="str">
        <f t="shared" si="77"/>
        <v/>
      </c>
      <c r="X570" s="10">
        <f>SUM(V$13:V570)/COUNTA(B$13:B570)</f>
        <v>0</v>
      </c>
      <c r="Z570" s="5"/>
      <c r="AA570" s="5"/>
      <c r="AC570" s="7"/>
      <c r="AE570" s="54" t="e">
        <f t="shared" si="78"/>
        <v>#N/A</v>
      </c>
      <c r="AF570" s="4" t="e">
        <f t="shared" si="74"/>
        <v>#N/A</v>
      </c>
    </row>
    <row r="571" spans="2:32">
      <c r="B571" s="5">
        <f t="shared" si="79"/>
        <v>559</v>
      </c>
      <c r="C571" s="5"/>
      <c r="E571" s="13"/>
      <c r="F571" s="5"/>
      <c r="G571" s="11" t="str">
        <f>IF(ISERROR(AVERAGE(F$13:F571)),"n/a",AVERAGE(F$13:F571))</f>
        <v>n/a</v>
      </c>
      <c r="H571" s="11" t="str">
        <f t="shared" si="75"/>
        <v>n/a</v>
      </c>
      <c r="J571" s="5"/>
      <c r="K571" s="5"/>
      <c r="L571" s="5"/>
      <c r="M571" s="5"/>
      <c r="N571" s="5"/>
      <c r="O571" s="8" t="str">
        <f t="shared" si="73"/>
        <v>n/a</v>
      </c>
      <c r="Q571" s="5"/>
      <c r="R571" s="5"/>
      <c r="S571" s="5"/>
      <c r="U571" s="6"/>
      <c r="V571" s="9" t="str">
        <f t="shared" si="76"/>
        <v/>
      </c>
      <c r="W571" s="9" t="str">
        <f t="shared" si="77"/>
        <v/>
      </c>
      <c r="X571" s="10">
        <f>SUM(V$13:V571)/COUNTA(B$13:B571)</f>
        <v>0</v>
      </c>
      <c r="Z571" s="5"/>
      <c r="AA571" s="5"/>
      <c r="AC571" s="7"/>
      <c r="AE571" s="54" t="e">
        <f t="shared" si="78"/>
        <v>#N/A</v>
      </c>
      <c r="AF571" s="4" t="e">
        <f t="shared" si="74"/>
        <v>#N/A</v>
      </c>
    </row>
    <row r="572" spans="2:32">
      <c r="B572" s="5">
        <f t="shared" si="79"/>
        <v>560</v>
      </c>
      <c r="C572" s="5"/>
      <c r="E572" s="13"/>
      <c r="F572" s="5"/>
      <c r="G572" s="11" t="str">
        <f>IF(ISERROR(AVERAGE(F$13:F572)),"n/a",AVERAGE(F$13:F572))</f>
        <v>n/a</v>
      </c>
      <c r="H572" s="11" t="str">
        <f t="shared" si="75"/>
        <v>n/a</v>
      </c>
      <c r="J572" s="5"/>
      <c r="K572" s="5"/>
      <c r="L572" s="5"/>
      <c r="M572" s="5"/>
      <c r="N572" s="5"/>
      <c r="O572" s="8" t="str">
        <f t="shared" si="73"/>
        <v>n/a</v>
      </c>
      <c r="Q572" s="5"/>
      <c r="R572" s="5"/>
      <c r="S572" s="5"/>
      <c r="U572" s="6"/>
      <c r="V572" s="9" t="str">
        <f t="shared" si="76"/>
        <v/>
      </c>
      <c r="W572" s="9" t="str">
        <f t="shared" si="77"/>
        <v/>
      </c>
      <c r="X572" s="10">
        <f>SUM(V$13:V572)/COUNTA(B$13:B572)</f>
        <v>0</v>
      </c>
      <c r="Z572" s="5"/>
      <c r="AA572" s="5"/>
      <c r="AC572" s="7"/>
      <c r="AE572" s="54" t="e">
        <f t="shared" si="78"/>
        <v>#N/A</v>
      </c>
      <c r="AF572" s="4" t="e">
        <f t="shared" si="74"/>
        <v>#N/A</v>
      </c>
    </row>
    <row r="573" spans="2:32">
      <c r="B573" s="5">
        <f t="shared" si="79"/>
        <v>561</v>
      </c>
      <c r="C573" s="5"/>
      <c r="E573" s="13"/>
      <c r="F573" s="5"/>
      <c r="G573" s="11" t="str">
        <f>IF(ISERROR(AVERAGE(F$13:F573)),"n/a",AVERAGE(F$13:F573))</f>
        <v>n/a</v>
      </c>
      <c r="H573" s="11" t="str">
        <f t="shared" si="75"/>
        <v>n/a</v>
      </c>
      <c r="J573" s="5"/>
      <c r="K573" s="5"/>
      <c r="L573" s="5"/>
      <c r="M573" s="5"/>
      <c r="N573" s="5"/>
      <c r="O573" s="8" t="str">
        <f t="shared" si="73"/>
        <v>n/a</v>
      </c>
      <c r="Q573" s="5"/>
      <c r="R573" s="5"/>
      <c r="S573" s="5"/>
      <c r="U573" s="6"/>
      <c r="V573" s="9" t="str">
        <f t="shared" si="76"/>
        <v/>
      </c>
      <c r="W573" s="9" t="str">
        <f t="shared" si="77"/>
        <v/>
      </c>
      <c r="X573" s="10">
        <f>SUM(V$13:V573)/COUNTA(B$13:B573)</f>
        <v>0</v>
      </c>
      <c r="Z573" s="5"/>
      <c r="AA573" s="5"/>
      <c r="AC573" s="7"/>
      <c r="AE573" s="54" t="e">
        <f t="shared" si="78"/>
        <v>#N/A</v>
      </c>
      <c r="AF573" s="4" t="e">
        <f t="shared" si="74"/>
        <v>#N/A</v>
      </c>
    </row>
    <row r="574" spans="2:32">
      <c r="B574" s="5">
        <f t="shared" si="79"/>
        <v>562</v>
      </c>
      <c r="C574" s="5"/>
      <c r="E574" s="13"/>
      <c r="F574" s="5"/>
      <c r="G574" s="11" t="str">
        <f>IF(ISERROR(AVERAGE(F$13:F574)),"n/a",AVERAGE(F$13:F574))</f>
        <v>n/a</v>
      </c>
      <c r="H574" s="11" t="str">
        <f t="shared" si="75"/>
        <v>n/a</v>
      </c>
      <c r="J574" s="5"/>
      <c r="K574" s="5"/>
      <c r="L574" s="5"/>
      <c r="M574" s="5"/>
      <c r="N574" s="5"/>
      <c r="O574" s="8" t="str">
        <f t="shared" si="73"/>
        <v>n/a</v>
      </c>
      <c r="Q574" s="5"/>
      <c r="R574" s="5"/>
      <c r="S574" s="5"/>
      <c r="U574" s="6"/>
      <c r="V574" s="9" t="str">
        <f t="shared" si="76"/>
        <v/>
      </c>
      <c r="W574" s="9" t="str">
        <f t="shared" si="77"/>
        <v/>
      </c>
      <c r="X574" s="10">
        <f>SUM(V$13:V574)/COUNTA(B$13:B574)</f>
        <v>0</v>
      </c>
      <c r="Z574" s="5"/>
      <c r="AA574" s="5"/>
      <c r="AC574" s="7"/>
      <c r="AE574" s="54" t="e">
        <f t="shared" si="78"/>
        <v>#N/A</v>
      </c>
      <c r="AF574" s="4" t="e">
        <f t="shared" si="74"/>
        <v>#N/A</v>
      </c>
    </row>
    <row r="575" spans="2:32">
      <c r="B575" s="5">
        <f t="shared" si="79"/>
        <v>563</v>
      </c>
      <c r="C575" s="5"/>
      <c r="E575" s="13"/>
      <c r="F575" s="5"/>
      <c r="G575" s="11" t="str">
        <f>IF(ISERROR(AVERAGE(F$13:F575)),"n/a",AVERAGE(F$13:F575))</f>
        <v>n/a</v>
      </c>
      <c r="H575" s="11" t="str">
        <f t="shared" si="75"/>
        <v>n/a</v>
      </c>
      <c r="J575" s="5"/>
      <c r="K575" s="5"/>
      <c r="L575" s="5"/>
      <c r="M575" s="5"/>
      <c r="N575" s="5"/>
      <c r="O575" s="8" t="str">
        <f t="shared" si="73"/>
        <v>n/a</v>
      </c>
      <c r="Q575" s="5"/>
      <c r="R575" s="5"/>
      <c r="S575" s="5"/>
      <c r="U575" s="6"/>
      <c r="V575" s="9" t="str">
        <f t="shared" si="76"/>
        <v/>
      </c>
      <c r="W575" s="9" t="str">
        <f t="shared" si="77"/>
        <v/>
      </c>
      <c r="X575" s="10">
        <f>SUM(V$13:V575)/COUNTA(B$13:B575)</f>
        <v>0</v>
      </c>
      <c r="Z575" s="5"/>
      <c r="AA575" s="5"/>
      <c r="AC575" s="7"/>
      <c r="AE575" s="54" t="e">
        <f t="shared" si="78"/>
        <v>#N/A</v>
      </c>
      <c r="AF575" s="4" t="e">
        <f t="shared" si="74"/>
        <v>#N/A</v>
      </c>
    </row>
    <row r="576" spans="2:32">
      <c r="B576" s="5">
        <f t="shared" si="79"/>
        <v>564</v>
      </c>
      <c r="C576" s="5"/>
      <c r="E576" s="13"/>
      <c r="F576" s="5"/>
      <c r="G576" s="11" t="str">
        <f>IF(ISERROR(AVERAGE(F$13:F576)),"n/a",AVERAGE(F$13:F576))</f>
        <v>n/a</v>
      </c>
      <c r="H576" s="11" t="str">
        <f t="shared" si="75"/>
        <v>n/a</v>
      </c>
      <c r="J576" s="5"/>
      <c r="K576" s="5"/>
      <c r="L576" s="5"/>
      <c r="M576" s="5"/>
      <c r="N576" s="5"/>
      <c r="O576" s="8" t="str">
        <f t="shared" si="73"/>
        <v>n/a</v>
      </c>
      <c r="Q576" s="5"/>
      <c r="R576" s="5"/>
      <c r="S576" s="5"/>
      <c r="U576" s="6"/>
      <c r="V576" s="9" t="str">
        <f t="shared" si="76"/>
        <v/>
      </c>
      <c r="W576" s="9" t="str">
        <f t="shared" si="77"/>
        <v/>
      </c>
      <c r="X576" s="10">
        <f>SUM(V$13:V576)/COUNTA(B$13:B576)</f>
        <v>0</v>
      </c>
      <c r="Z576" s="5"/>
      <c r="AA576" s="5"/>
      <c r="AC576" s="7"/>
      <c r="AE576" s="54" t="e">
        <f t="shared" si="78"/>
        <v>#N/A</v>
      </c>
      <c r="AF576" s="4" t="e">
        <f t="shared" si="74"/>
        <v>#N/A</v>
      </c>
    </row>
    <row r="577" spans="2:32">
      <c r="B577" s="5">
        <f t="shared" si="79"/>
        <v>565</v>
      </c>
      <c r="C577" s="5"/>
      <c r="E577" s="13"/>
      <c r="F577" s="5"/>
      <c r="G577" s="11" t="str">
        <f>IF(ISERROR(AVERAGE(F$13:F577)),"n/a",AVERAGE(F$13:F577))</f>
        <v>n/a</v>
      </c>
      <c r="H577" s="11" t="str">
        <f t="shared" si="75"/>
        <v>n/a</v>
      </c>
      <c r="J577" s="5"/>
      <c r="K577" s="5"/>
      <c r="L577" s="5"/>
      <c r="M577" s="5"/>
      <c r="N577" s="5"/>
      <c r="O577" s="8" t="str">
        <f t="shared" si="73"/>
        <v>n/a</v>
      </c>
      <c r="Q577" s="5"/>
      <c r="R577" s="5"/>
      <c r="S577" s="5"/>
      <c r="U577" s="6"/>
      <c r="V577" s="9" t="str">
        <f t="shared" si="76"/>
        <v/>
      </c>
      <c r="W577" s="9" t="str">
        <f t="shared" si="77"/>
        <v/>
      </c>
      <c r="X577" s="10">
        <f>SUM(V$13:V577)/COUNTA(B$13:B577)</f>
        <v>0</v>
      </c>
      <c r="Z577" s="5"/>
      <c r="AA577" s="5"/>
      <c r="AC577" s="7"/>
      <c r="AE577" s="54" t="e">
        <f t="shared" si="78"/>
        <v>#N/A</v>
      </c>
      <c r="AF577" s="4" t="e">
        <f t="shared" si="74"/>
        <v>#N/A</v>
      </c>
    </row>
    <row r="578" spans="2:32">
      <c r="B578" s="5">
        <f t="shared" si="79"/>
        <v>566</v>
      </c>
      <c r="C578" s="5"/>
      <c r="E578" s="13"/>
      <c r="F578" s="5"/>
      <c r="G578" s="11" t="str">
        <f>IF(ISERROR(AVERAGE(F$13:F578)),"n/a",AVERAGE(F$13:F578))</f>
        <v>n/a</v>
      </c>
      <c r="H578" s="11" t="str">
        <f t="shared" si="75"/>
        <v>n/a</v>
      </c>
      <c r="J578" s="5"/>
      <c r="K578" s="5"/>
      <c r="L578" s="5"/>
      <c r="M578" s="5"/>
      <c r="N578" s="5"/>
      <c r="O578" s="8" t="str">
        <f t="shared" si="73"/>
        <v>n/a</v>
      </c>
      <c r="Q578" s="5"/>
      <c r="R578" s="5"/>
      <c r="S578" s="5"/>
      <c r="U578" s="6"/>
      <c r="V578" s="9" t="str">
        <f t="shared" si="76"/>
        <v/>
      </c>
      <c r="W578" s="9" t="str">
        <f t="shared" si="77"/>
        <v/>
      </c>
      <c r="X578" s="10">
        <f>SUM(V$13:V578)/COUNTA(B$13:B578)</f>
        <v>0</v>
      </c>
      <c r="Z578" s="5"/>
      <c r="AA578" s="5"/>
      <c r="AC578" s="7"/>
      <c r="AE578" s="54" t="e">
        <f t="shared" si="78"/>
        <v>#N/A</v>
      </c>
      <c r="AF578" s="4" t="e">
        <f t="shared" si="74"/>
        <v>#N/A</v>
      </c>
    </row>
    <row r="579" spans="2:32">
      <c r="B579" s="5">
        <f t="shared" si="79"/>
        <v>567</v>
      </c>
      <c r="C579" s="5"/>
      <c r="E579" s="13"/>
      <c r="F579" s="5"/>
      <c r="G579" s="11" t="str">
        <f>IF(ISERROR(AVERAGE(F$13:F579)),"n/a",AVERAGE(F$13:F579))</f>
        <v>n/a</v>
      </c>
      <c r="H579" s="11" t="str">
        <f t="shared" si="75"/>
        <v>n/a</v>
      </c>
      <c r="J579" s="5"/>
      <c r="K579" s="5"/>
      <c r="L579" s="5"/>
      <c r="M579" s="5"/>
      <c r="N579" s="5"/>
      <c r="O579" s="8" t="str">
        <f t="shared" si="73"/>
        <v>n/a</v>
      </c>
      <c r="Q579" s="5"/>
      <c r="R579" s="5"/>
      <c r="S579" s="5"/>
      <c r="U579" s="6"/>
      <c r="V579" s="9" t="str">
        <f t="shared" si="76"/>
        <v/>
      </c>
      <c r="W579" s="9" t="str">
        <f t="shared" si="77"/>
        <v/>
      </c>
      <c r="X579" s="10">
        <f>SUM(V$13:V579)/COUNTA(B$13:B579)</f>
        <v>0</v>
      </c>
      <c r="Z579" s="5"/>
      <c r="AA579" s="5"/>
      <c r="AC579" s="7"/>
      <c r="AE579" s="54" t="e">
        <f t="shared" si="78"/>
        <v>#N/A</v>
      </c>
      <c r="AF579" s="4" t="e">
        <f t="shared" si="74"/>
        <v>#N/A</v>
      </c>
    </row>
    <row r="580" spans="2:32">
      <c r="B580" s="5">
        <f t="shared" si="79"/>
        <v>568</v>
      </c>
      <c r="C580" s="5"/>
      <c r="E580" s="13"/>
      <c r="F580" s="5"/>
      <c r="G580" s="11" t="str">
        <f>IF(ISERROR(AVERAGE(F$13:F580)),"n/a",AVERAGE(F$13:F580))</f>
        <v>n/a</v>
      </c>
      <c r="H580" s="11" t="str">
        <f t="shared" si="75"/>
        <v>n/a</v>
      </c>
      <c r="J580" s="5"/>
      <c r="K580" s="5"/>
      <c r="L580" s="5"/>
      <c r="M580" s="5"/>
      <c r="N580" s="5"/>
      <c r="O580" s="8" t="str">
        <f t="shared" si="73"/>
        <v>n/a</v>
      </c>
      <c r="Q580" s="5"/>
      <c r="R580" s="5"/>
      <c r="S580" s="5"/>
      <c r="U580" s="6"/>
      <c r="V580" s="9" t="str">
        <f t="shared" si="76"/>
        <v/>
      </c>
      <c r="W580" s="9" t="str">
        <f t="shared" si="77"/>
        <v/>
      </c>
      <c r="X580" s="10">
        <f>SUM(V$13:V580)/COUNTA(B$13:B580)</f>
        <v>0</v>
      </c>
      <c r="Z580" s="5"/>
      <c r="AA580" s="5"/>
      <c r="AC580" s="7"/>
      <c r="AE580" s="54" t="e">
        <f t="shared" si="78"/>
        <v>#N/A</v>
      </c>
      <c r="AF580" s="4" t="e">
        <f t="shared" si="74"/>
        <v>#N/A</v>
      </c>
    </row>
    <row r="581" spans="2:32">
      <c r="B581" s="5">
        <f t="shared" si="79"/>
        <v>569</v>
      </c>
      <c r="C581" s="5"/>
      <c r="E581" s="13"/>
      <c r="F581" s="5"/>
      <c r="G581" s="11" t="str">
        <f>IF(ISERROR(AVERAGE(F$13:F581)),"n/a",AVERAGE(F$13:F581))</f>
        <v>n/a</v>
      </c>
      <c r="H581" s="11" t="str">
        <f t="shared" si="75"/>
        <v>n/a</v>
      </c>
      <c r="J581" s="5"/>
      <c r="K581" s="5"/>
      <c r="L581" s="5"/>
      <c r="M581" s="5"/>
      <c r="N581" s="5"/>
      <c r="O581" s="8" t="str">
        <f t="shared" si="73"/>
        <v>n/a</v>
      </c>
      <c r="Q581" s="5"/>
      <c r="R581" s="5"/>
      <c r="S581" s="5"/>
      <c r="U581" s="6"/>
      <c r="V581" s="9" t="str">
        <f t="shared" si="76"/>
        <v/>
      </c>
      <c r="W581" s="9" t="str">
        <f t="shared" si="77"/>
        <v/>
      </c>
      <c r="X581" s="10">
        <f>SUM(V$13:V581)/COUNTA(B$13:B581)</f>
        <v>0</v>
      </c>
      <c r="Z581" s="5"/>
      <c r="AA581" s="5"/>
      <c r="AC581" s="7"/>
      <c r="AE581" s="54" t="e">
        <f t="shared" si="78"/>
        <v>#N/A</v>
      </c>
      <c r="AF581" s="4" t="e">
        <f t="shared" si="74"/>
        <v>#N/A</v>
      </c>
    </row>
    <row r="582" spans="2:32">
      <c r="B582" s="5">
        <f t="shared" si="79"/>
        <v>570</v>
      </c>
      <c r="C582" s="5"/>
      <c r="E582" s="13"/>
      <c r="F582" s="5"/>
      <c r="G582" s="11" t="str">
        <f>IF(ISERROR(AVERAGE(F$13:F582)),"n/a",AVERAGE(F$13:F582))</f>
        <v>n/a</v>
      </c>
      <c r="H582" s="11" t="str">
        <f t="shared" si="75"/>
        <v>n/a</v>
      </c>
      <c r="J582" s="5"/>
      <c r="K582" s="5"/>
      <c r="L582" s="5"/>
      <c r="M582" s="5"/>
      <c r="N582" s="5"/>
      <c r="O582" s="8" t="str">
        <f t="shared" si="73"/>
        <v>n/a</v>
      </c>
      <c r="Q582" s="5"/>
      <c r="R582" s="5"/>
      <c r="S582" s="5"/>
      <c r="U582" s="6"/>
      <c r="V582" s="9" t="str">
        <f t="shared" si="76"/>
        <v/>
      </c>
      <c r="W582" s="9" t="str">
        <f t="shared" si="77"/>
        <v/>
      </c>
      <c r="X582" s="10">
        <f>SUM(V$13:V582)/COUNTA(B$13:B582)</f>
        <v>0</v>
      </c>
      <c r="Z582" s="5"/>
      <c r="AA582" s="5"/>
      <c r="AC582" s="7"/>
      <c r="AE582" s="54" t="e">
        <f t="shared" si="78"/>
        <v>#N/A</v>
      </c>
      <c r="AF582" s="4" t="e">
        <f t="shared" si="74"/>
        <v>#N/A</v>
      </c>
    </row>
    <row r="583" spans="2:32">
      <c r="B583" s="5">
        <f t="shared" si="79"/>
        <v>571</v>
      </c>
      <c r="C583" s="5"/>
      <c r="E583" s="13"/>
      <c r="F583" s="5"/>
      <c r="G583" s="11" t="str">
        <f>IF(ISERROR(AVERAGE(F$13:F583)),"n/a",AVERAGE(F$13:F583))</f>
        <v>n/a</v>
      </c>
      <c r="H583" s="11" t="str">
        <f t="shared" si="75"/>
        <v>n/a</v>
      </c>
      <c r="J583" s="5"/>
      <c r="K583" s="5"/>
      <c r="L583" s="5"/>
      <c r="M583" s="5"/>
      <c r="N583" s="5"/>
      <c r="O583" s="8" t="str">
        <f t="shared" si="73"/>
        <v>n/a</v>
      </c>
      <c r="Q583" s="5"/>
      <c r="R583" s="5"/>
      <c r="S583" s="5"/>
      <c r="U583" s="6"/>
      <c r="V583" s="9" t="str">
        <f t="shared" si="76"/>
        <v/>
      </c>
      <c r="W583" s="9" t="str">
        <f t="shared" si="77"/>
        <v/>
      </c>
      <c r="X583" s="10">
        <f>SUM(V$13:V583)/COUNTA(B$13:B583)</f>
        <v>0</v>
      </c>
      <c r="Z583" s="5"/>
      <c r="AA583" s="5"/>
      <c r="AC583" s="7"/>
      <c r="AE583" s="54" t="e">
        <f t="shared" si="78"/>
        <v>#N/A</v>
      </c>
      <c r="AF583" s="4" t="e">
        <f t="shared" si="74"/>
        <v>#N/A</v>
      </c>
    </row>
    <row r="584" spans="2:32">
      <c r="B584" s="5">
        <f t="shared" si="79"/>
        <v>572</v>
      </c>
      <c r="C584" s="5"/>
      <c r="E584" s="13"/>
      <c r="F584" s="5"/>
      <c r="G584" s="11" t="str">
        <f>IF(ISERROR(AVERAGE(F$13:F584)),"n/a",AVERAGE(F$13:F584))</f>
        <v>n/a</v>
      </c>
      <c r="H584" s="11" t="str">
        <f t="shared" si="75"/>
        <v>n/a</v>
      </c>
      <c r="J584" s="5"/>
      <c r="K584" s="5"/>
      <c r="L584" s="5"/>
      <c r="M584" s="5"/>
      <c r="N584" s="5"/>
      <c r="O584" s="8" t="str">
        <f t="shared" si="73"/>
        <v>n/a</v>
      </c>
      <c r="Q584" s="5"/>
      <c r="R584" s="5"/>
      <c r="S584" s="5"/>
      <c r="U584" s="6"/>
      <c r="V584" s="9" t="str">
        <f t="shared" si="76"/>
        <v/>
      </c>
      <c r="W584" s="9" t="str">
        <f t="shared" si="77"/>
        <v/>
      </c>
      <c r="X584" s="10">
        <f>SUM(V$13:V584)/COUNTA(B$13:B584)</f>
        <v>0</v>
      </c>
      <c r="Z584" s="5"/>
      <c r="AA584" s="5"/>
      <c r="AC584" s="7"/>
      <c r="AE584" s="54" t="e">
        <f t="shared" si="78"/>
        <v>#N/A</v>
      </c>
      <c r="AF584" s="4" t="e">
        <f t="shared" si="74"/>
        <v>#N/A</v>
      </c>
    </row>
    <row r="585" spans="2:32">
      <c r="B585" s="5">
        <f t="shared" si="79"/>
        <v>573</v>
      </c>
      <c r="C585" s="5"/>
      <c r="E585" s="13"/>
      <c r="F585" s="5"/>
      <c r="G585" s="11" t="str">
        <f>IF(ISERROR(AVERAGE(F$13:F585)),"n/a",AVERAGE(F$13:F585))</f>
        <v>n/a</v>
      </c>
      <c r="H585" s="11" t="str">
        <f t="shared" si="75"/>
        <v>n/a</v>
      </c>
      <c r="J585" s="5"/>
      <c r="K585" s="5"/>
      <c r="L585" s="5"/>
      <c r="M585" s="5"/>
      <c r="N585" s="5"/>
      <c r="O585" s="8" t="str">
        <f t="shared" si="73"/>
        <v>n/a</v>
      </c>
      <c r="Q585" s="5"/>
      <c r="R585" s="5"/>
      <c r="S585" s="5"/>
      <c r="U585" s="6"/>
      <c r="V585" s="9" t="str">
        <f t="shared" si="76"/>
        <v/>
      </c>
      <c r="W585" s="9" t="str">
        <f t="shared" si="77"/>
        <v/>
      </c>
      <c r="X585" s="10">
        <f>SUM(V$13:V585)/COUNTA(B$13:B585)</f>
        <v>0</v>
      </c>
      <c r="Z585" s="5"/>
      <c r="AA585" s="5"/>
      <c r="AC585" s="7"/>
      <c r="AE585" s="54" t="e">
        <f t="shared" si="78"/>
        <v>#N/A</v>
      </c>
      <c r="AF585" s="4" t="e">
        <f t="shared" si="74"/>
        <v>#N/A</v>
      </c>
    </row>
    <row r="586" spans="2:32">
      <c r="B586" s="5">
        <f t="shared" si="79"/>
        <v>574</v>
      </c>
      <c r="C586" s="5"/>
      <c r="E586" s="13"/>
      <c r="F586" s="5"/>
      <c r="G586" s="11" t="str">
        <f>IF(ISERROR(AVERAGE(F$13:F586)),"n/a",AVERAGE(F$13:F586))</f>
        <v>n/a</v>
      </c>
      <c r="H586" s="11" t="str">
        <f t="shared" si="75"/>
        <v>n/a</v>
      </c>
      <c r="J586" s="5"/>
      <c r="K586" s="5"/>
      <c r="L586" s="5"/>
      <c r="M586" s="5"/>
      <c r="N586" s="5"/>
      <c r="O586" s="8" t="str">
        <f t="shared" si="73"/>
        <v>n/a</v>
      </c>
      <c r="Q586" s="5"/>
      <c r="R586" s="5"/>
      <c r="S586" s="5"/>
      <c r="U586" s="6"/>
      <c r="V586" s="9" t="str">
        <f t="shared" si="76"/>
        <v/>
      </c>
      <c r="W586" s="9" t="str">
        <f t="shared" si="77"/>
        <v/>
      </c>
      <c r="X586" s="10">
        <f>SUM(V$13:V586)/COUNTA(B$13:B586)</f>
        <v>0</v>
      </c>
      <c r="Z586" s="5"/>
      <c r="AA586" s="5"/>
      <c r="AC586" s="7"/>
      <c r="AE586" s="54" t="e">
        <f t="shared" si="78"/>
        <v>#N/A</v>
      </c>
      <c r="AF586" s="4" t="e">
        <f t="shared" si="74"/>
        <v>#N/A</v>
      </c>
    </row>
    <row r="587" spans="2:32">
      <c r="B587" s="5">
        <f t="shared" si="79"/>
        <v>575</v>
      </c>
      <c r="C587" s="5"/>
      <c r="E587" s="13"/>
      <c r="F587" s="5"/>
      <c r="G587" s="11" t="str">
        <f>IF(ISERROR(AVERAGE(F$13:F587)),"n/a",AVERAGE(F$13:F587))</f>
        <v>n/a</v>
      </c>
      <c r="H587" s="11" t="str">
        <f t="shared" si="75"/>
        <v>n/a</v>
      </c>
      <c r="J587" s="5"/>
      <c r="K587" s="5"/>
      <c r="L587" s="5"/>
      <c r="M587" s="5"/>
      <c r="N587" s="5"/>
      <c r="O587" s="8" t="str">
        <f t="shared" si="73"/>
        <v>n/a</v>
      </c>
      <c r="Q587" s="5"/>
      <c r="R587" s="5"/>
      <c r="S587" s="5"/>
      <c r="U587" s="6"/>
      <c r="V587" s="9" t="str">
        <f t="shared" si="76"/>
        <v/>
      </c>
      <c r="W587" s="9" t="str">
        <f t="shared" si="77"/>
        <v/>
      </c>
      <c r="X587" s="10">
        <f>SUM(V$13:V587)/COUNTA(B$13:B587)</f>
        <v>0</v>
      </c>
      <c r="Z587" s="5"/>
      <c r="AA587" s="5"/>
      <c r="AC587" s="7"/>
      <c r="AE587" s="54" t="e">
        <f t="shared" si="78"/>
        <v>#N/A</v>
      </c>
      <c r="AF587" s="4" t="e">
        <f t="shared" si="74"/>
        <v>#N/A</v>
      </c>
    </row>
    <row r="588" spans="2:32">
      <c r="B588" s="5">
        <f t="shared" si="79"/>
        <v>576</v>
      </c>
      <c r="C588" s="5"/>
      <c r="E588" s="13"/>
      <c r="F588" s="5"/>
      <c r="G588" s="11" t="str">
        <f>IF(ISERROR(AVERAGE(F$13:F588)),"n/a",AVERAGE(F$13:F588))</f>
        <v>n/a</v>
      </c>
      <c r="H588" s="11" t="str">
        <f t="shared" si="75"/>
        <v>n/a</v>
      </c>
      <c r="J588" s="5"/>
      <c r="K588" s="5"/>
      <c r="L588" s="5"/>
      <c r="M588" s="5"/>
      <c r="N588" s="5"/>
      <c r="O588" s="8" t="str">
        <f t="shared" si="73"/>
        <v>n/a</v>
      </c>
      <c r="Q588" s="5"/>
      <c r="R588" s="5"/>
      <c r="S588" s="5"/>
      <c r="U588" s="6"/>
      <c r="V588" s="9" t="str">
        <f t="shared" si="76"/>
        <v/>
      </c>
      <c r="W588" s="9" t="str">
        <f t="shared" si="77"/>
        <v/>
      </c>
      <c r="X588" s="10">
        <f>SUM(V$13:V588)/COUNTA(B$13:B588)</f>
        <v>0</v>
      </c>
      <c r="Z588" s="5"/>
      <c r="AA588" s="5"/>
      <c r="AC588" s="7"/>
      <c r="AE588" s="54" t="e">
        <f t="shared" si="78"/>
        <v>#N/A</v>
      </c>
      <c r="AF588" s="4" t="e">
        <f t="shared" si="74"/>
        <v>#N/A</v>
      </c>
    </row>
    <row r="589" spans="2:32">
      <c r="B589" s="5">
        <f t="shared" si="79"/>
        <v>577</v>
      </c>
      <c r="C589" s="5"/>
      <c r="E589" s="13"/>
      <c r="F589" s="5"/>
      <c r="G589" s="11" t="str">
        <f>IF(ISERROR(AVERAGE(F$13:F589)),"n/a",AVERAGE(F$13:F589))</f>
        <v>n/a</v>
      </c>
      <c r="H589" s="11" t="str">
        <f t="shared" si="75"/>
        <v>n/a</v>
      </c>
      <c r="J589" s="5"/>
      <c r="K589" s="5"/>
      <c r="L589" s="5"/>
      <c r="M589" s="5"/>
      <c r="N589" s="5"/>
      <c r="O589" s="8" t="str">
        <f t="shared" ref="O589:O652" si="80">IF(J589=1,"A",IF(K589=1,"B",IF(L589=1,"C",IF(M589=1,"D",IF(N589=1,"E","n/a")))))</f>
        <v>n/a</v>
      </c>
      <c r="Q589" s="5"/>
      <c r="R589" s="5"/>
      <c r="S589" s="5"/>
      <c r="U589" s="6"/>
      <c r="V589" s="9" t="str">
        <f t="shared" si="76"/>
        <v/>
      </c>
      <c r="W589" s="9" t="str">
        <f t="shared" si="77"/>
        <v/>
      </c>
      <c r="X589" s="10">
        <f>SUM(V$13:V589)/COUNTA(B$13:B589)</f>
        <v>0</v>
      </c>
      <c r="Z589" s="5"/>
      <c r="AA589" s="5"/>
      <c r="AC589" s="7"/>
      <c r="AE589" s="54" t="e">
        <f t="shared" si="78"/>
        <v>#N/A</v>
      </c>
      <c r="AF589" s="4" t="e">
        <f t="shared" ref="AF589:AF652" si="81">HLOOKUP(C589,$K$6:$O$7,2,FALSE)</f>
        <v>#N/A</v>
      </c>
    </row>
    <row r="590" spans="2:32">
      <c r="B590" s="5">
        <f t="shared" si="79"/>
        <v>578</v>
      </c>
      <c r="C590" s="5"/>
      <c r="E590" s="13"/>
      <c r="F590" s="5"/>
      <c r="G590" s="11" t="str">
        <f>IF(ISERROR(AVERAGE(F$13:F590)),"n/a",AVERAGE(F$13:F590))</f>
        <v>n/a</v>
      </c>
      <c r="H590" s="11" t="str">
        <f t="shared" ref="H590:H653" si="82">G590</f>
        <v>n/a</v>
      </c>
      <c r="J590" s="5"/>
      <c r="K590" s="5"/>
      <c r="L590" s="5"/>
      <c r="M590" s="5"/>
      <c r="N590" s="5"/>
      <c r="O590" s="8" t="str">
        <f t="shared" si="80"/>
        <v>n/a</v>
      </c>
      <c r="Q590" s="5"/>
      <c r="R590" s="5"/>
      <c r="S590" s="5"/>
      <c r="U590" s="6"/>
      <c r="V590" s="9" t="str">
        <f t="shared" ref="V590:V653" si="83">IF(O590="n/a","",IF(O590=U590,1,""))</f>
        <v/>
      </c>
      <c r="W590" s="9" t="str">
        <f t="shared" ref="W590:W653" si="84">IF(O590="n/a","",IF(O590&lt;&gt;U590,1,""))</f>
        <v/>
      </c>
      <c r="X590" s="10">
        <f>SUM(V$13:V590)/COUNTA(B$13:B590)</f>
        <v>0</v>
      </c>
      <c r="Z590" s="5"/>
      <c r="AA590" s="5"/>
      <c r="AC590" s="7"/>
      <c r="AE590" s="54" t="e">
        <f t="shared" ref="AE590:AE653" si="85">+IF($F$4=0,0,IF(W590=1,1,IF(OR(R590*$F$8=1,S590*$F$9=1,F590&gt;=AF590),2,0)))</f>
        <v>#N/A</v>
      </c>
      <c r="AF590" s="4" t="e">
        <f t="shared" si="81"/>
        <v>#N/A</v>
      </c>
    </row>
    <row r="591" spans="2:32">
      <c r="B591" s="5">
        <f t="shared" si="79"/>
        <v>579</v>
      </c>
      <c r="C591" s="5"/>
      <c r="E591" s="13"/>
      <c r="F591" s="5"/>
      <c r="G591" s="11" t="str">
        <f>IF(ISERROR(AVERAGE(F$13:F591)),"n/a",AVERAGE(F$13:F591))</f>
        <v>n/a</v>
      </c>
      <c r="H591" s="11" t="str">
        <f t="shared" si="82"/>
        <v>n/a</v>
      </c>
      <c r="J591" s="5"/>
      <c r="K591" s="5"/>
      <c r="L591" s="5"/>
      <c r="M591" s="5"/>
      <c r="N591" s="5"/>
      <c r="O591" s="8" t="str">
        <f t="shared" si="80"/>
        <v>n/a</v>
      </c>
      <c r="Q591" s="5"/>
      <c r="R591" s="5"/>
      <c r="S591" s="5"/>
      <c r="U591" s="6"/>
      <c r="V591" s="9" t="str">
        <f t="shared" si="83"/>
        <v/>
      </c>
      <c r="W591" s="9" t="str">
        <f t="shared" si="84"/>
        <v/>
      </c>
      <c r="X591" s="10">
        <f>SUM(V$13:V591)/COUNTA(B$13:B591)</f>
        <v>0</v>
      </c>
      <c r="Z591" s="5"/>
      <c r="AA591" s="5"/>
      <c r="AC591" s="7"/>
      <c r="AE591" s="54" t="e">
        <f t="shared" si="85"/>
        <v>#N/A</v>
      </c>
      <c r="AF591" s="4" t="e">
        <f t="shared" si="81"/>
        <v>#N/A</v>
      </c>
    </row>
    <row r="592" spans="2:32">
      <c r="B592" s="5">
        <f t="shared" si="79"/>
        <v>580</v>
      </c>
      <c r="C592" s="5"/>
      <c r="E592" s="13"/>
      <c r="F592" s="5"/>
      <c r="G592" s="11" t="str">
        <f>IF(ISERROR(AVERAGE(F$13:F592)),"n/a",AVERAGE(F$13:F592))</f>
        <v>n/a</v>
      </c>
      <c r="H592" s="11" t="str">
        <f t="shared" si="82"/>
        <v>n/a</v>
      </c>
      <c r="J592" s="5"/>
      <c r="K592" s="5"/>
      <c r="L592" s="5"/>
      <c r="M592" s="5"/>
      <c r="N592" s="5"/>
      <c r="O592" s="8" t="str">
        <f t="shared" si="80"/>
        <v>n/a</v>
      </c>
      <c r="Q592" s="5"/>
      <c r="R592" s="5"/>
      <c r="S592" s="5"/>
      <c r="U592" s="6"/>
      <c r="V592" s="9" t="str">
        <f t="shared" si="83"/>
        <v/>
      </c>
      <c r="W592" s="9" t="str">
        <f t="shared" si="84"/>
        <v/>
      </c>
      <c r="X592" s="10">
        <f>SUM(V$13:V592)/COUNTA(B$13:B592)</f>
        <v>0</v>
      </c>
      <c r="Z592" s="5"/>
      <c r="AA592" s="5"/>
      <c r="AC592" s="7"/>
      <c r="AE592" s="54" t="e">
        <f t="shared" si="85"/>
        <v>#N/A</v>
      </c>
      <c r="AF592" s="4" t="e">
        <f t="shared" si="81"/>
        <v>#N/A</v>
      </c>
    </row>
    <row r="593" spans="2:32">
      <c r="B593" s="5">
        <f t="shared" si="79"/>
        <v>581</v>
      </c>
      <c r="C593" s="5"/>
      <c r="E593" s="13"/>
      <c r="F593" s="5"/>
      <c r="G593" s="11" t="str">
        <f>IF(ISERROR(AVERAGE(F$13:F593)),"n/a",AVERAGE(F$13:F593))</f>
        <v>n/a</v>
      </c>
      <c r="H593" s="11" t="str">
        <f t="shared" si="82"/>
        <v>n/a</v>
      </c>
      <c r="J593" s="5"/>
      <c r="K593" s="5"/>
      <c r="L593" s="5"/>
      <c r="M593" s="5"/>
      <c r="N593" s="5"/>
      <c r="O593" s="8" t="str">
        <f t="shared" si="80"/>
        <v>n/a</v>
      </c>
      <c r="Q593" s="5"/>
      <c r="R593" s="5"/>
      <c r="S593" s="5"/>
      <c r="U593" s="6"/>
      <c r="V593" s="9" t="str">
        <f t="shared" si="83"/>
        <v/>
      </c>
      <c r="W593" s="9" t="str">
        <f t="shared" si="84"/>
        <v/>
      </c>
      <c r="X593" s="10">
        <f>SUM(V$13:V593)/COUNTA(B$13:B593)</f>
        <v>0</v>
      </c>
      <c r="Z593" s="5"/>
      <c r="AA593" s="5"/>
      <c r="AC593" s="7"/>
      <c r="AE593" s="54" t="e">
        <f t="shared" si="85"/>
        <v>#N/A</v>
      </c>
      <c r="AF593" s="4" t="e">
        <f t="shared" si="81"/>
        <v>#N/A</v>
      </c>
    </row>
    <row r="594" spans="2:32">
      <c r="B594" s="5">
        <f t="shared" si="79"/>
        <v>582</v>
      </c>
      <c r="C594" s="5"/>
      <c r="E594" s="13"/>
      <c r="F594" s="5"/>
      <c r="G594" s="11" t="str">
        <f>IF(ISERROR(AVERAGE(F$13:F594)),"n/a",AVERAGE(F$13:F594))</f>
        <v>n/a</v>
      </c>
      <c r="H594" s="11" t="str">
        <f t="shared" si="82"/>
        <v>n/a</v>
      </c>
      <c r="J594" s="5"/>
      <c r="K594" s="5"/>
      <c r="L594" s="5"/>
      <c r="M594" s="5"/>
      <c r="N594" s="5"/>
      <c r="O594" s="8" t="str">
        <f t="shared" si="80"/>
        <v>n/a</v>
      </c>
      <c r="Q594" s="5"/>
      <c r="R594" s="5"/>
      <c r="S594" s="5"/>
      <c r="U594" s="6"/>
      <c r="V594" s="9" t="str">
        <f t="shared" si="83"/>
        <v/>
      </c>
      <c r="W594" s="9" t="str">
        <f t="shared" si="84"/>
        <v/>
      </c>
      <c r="X594" s="10">
        <f>SUM(V$13:V594)/COUNTA(B$13:B594)</f>
        <v>0</v>
      </c>
      <c r="Z594" s="5"/>
      <c r="AA594" s="5"/>
      <c r="AC594" s="7"/>
      <c r="AE594" s="54" t="e">
        <f t="shared" si="85"/>
        <v>#N/A</v>
      </c>
      <c r="AF594" s="4" t="e">
        <f t="shared" si="81"/>
        <v>#N/A</v>
      </c>
    </row>
    <row r="595" spans="2:32">
      <c r="B595" s="5">
        <f t="shared" ref="B595:B658" si="86">+B594+1</f>
        <v>583</v>
      </c>
      <c r="C595" s="5"/>
      <c r="E595" s="13"/>
      <c r="F595" s="5"/>
      <c r="G595" s="11" t="str">
        <f>IF(ISERROR(AVERAGE(F$13:F595)),"n/a",AVERAGE(F$13:F595))</f>
        <v>n/a</v>
      </c>
      <c r="H595" s="11" t="str">
        <f t="shared" si="82"/>
        <v>n/a</v>
      </c>
      <c r="J595" s="5"/>
      <c r="K595" s="5"/>
      <c r="L595" s="5"/>
      <c r="M595" s="5"/>
      <c r="N595" s="5"/>
      <c r="O595" s="8" t="str">
        <f t="shared" si="80"/>
        <v>n/a</v>
      </c>
      <c r="Q595" s="5"/>
      <c r="R595" s="5"/>
      <c r="S595" s="5"/>
      <c r="U595" s="6"/>
      <c r="V595" s="9" t="str">
        <f t="shared" si="83"/>
        <v/>
      </c>
      <c r="W595" s="9" t="str">
        <f t="shared" si="84"/>
        <v/>
      </c>
      <c r="X595" s="10">
        <f>SUM(V$13:V595)/COUNTA(B$13:B595)</f>
        <v>0</v>
      </c>
      <c r="Z595" s="5"/>
      <c r="AA595" s="5"/>
      <c r="AC595" s="7"/>
      <c r="AE595" s="54" t="e">
        <f t="shared" si="85"/>
        <v>#N/A</v>
      </c>
      <c r="AF595" s="4" t="e">
        <f t="shared" si="81"/>
        <v>#N/A</v>
      </c>
    </row>
    <row r="596" spans="2:32">
      <c r="B596" s="5">
        <f t="shared" si="86"/>
        <v>584</v>
      </c>
      <c r="C596" s="5"/>
      <c r="E596" s="13"/>
      <c r="F596" s="5"/>
      <c r="G596" s="11" t="str">
        <f>IF(ISERROR(AVERAGE(F$13:F596)),"n/a",AVERAGE(F$13:F596))</f>
        <v>n/a</v>
      </c>
      <c r="H596" s="11" t="str">
        <f t="shared" si="82"/>
        <v>n/a</v>
      </c>
      <c r="J596" s="5"/>
      <c r="K596" s="5"/>
      <c r="L596" s="5"/>
      <c r="M596" s="5"/>
      <c r="N596" s="5"/>
      <c r="O596" s="8" t="str">
        <f t="shared" si="80"/>
        <v>n/a</v>
      </c>
      <c r="Q596" s="5"/>
      <c r="R596" s="5"/>
      <c r="S596" s="5"/>
      <c r="U596" s="6"/>
      <c r="V596" s="9" t="str">
        <f t="shared" si="83"/>
        <v/>
      </c>
      <c r="W596" s="9" t="str">
        <f t="shared" si="84"/>
        <v/>
      </c>
      <c r="X596" s="10">
        <f>SUM(V$13:V596)/COUNTA(B$13:B596)</f>
        <v>0</v>
      </c>
      <c r="Z596" s="5"/>
      <c r="AA596" s="5"/>
      <c r="AC596" s="7"/>
      <c r="AE596" s="54" t="e">
        <f t="shared" si="85"/>
        <v>#N/A</v>
      </c>
      <c r="AF596" s="4" t="e">
        <f t="shared" si="81"/>
        <v>#N/A</v>
      </c>
    </row>
    <row r="597" spans="2:32">
      <c r="B597" s="5">
        <f t="shared" si="86"/>
        <v>585</v>
      </c>
      <c r="C597" s="5"/>
      <c r="E597" s="13"/>
      <c r="F597" s="5"/>
      <c r="G597" s="11" t="str">
        <f>IF(ISERROR(AVERAGE(F$13:F597)),"n/a",AVERAGE(F$13:F597))</f>
        <v>n/a</v>
      </c>
      <c r="H597" s="11" t="str">
        <f t="shared" si="82"/>
        <v>n/a</v>
      </c>
      <c r="J597" s="5"/>
      <c r="K597" s="5"/>
      <c r="L597" s="5"/>
      <c r="M597" s="5"/>
      <c r="N597" s="5"/>
      <c r="O597" s="8" t="str">
        <f t="shared" si="80"/>
        <v>n/a</v>
      </c>
      <c r="Q597" s="5"/>
      <c r="R597" s="5"/>
      <c r="S597" s="5"/>
      <c r="U597" s="6"/>
      <c r="V597" s="9" t="str">
        <f t="shared" si="83"/>
        <v/>
      </c>
      <c r="W597" s="9" t="str">
        <f t="shared" si="84"/>
        <v/>
      </c>
      <c r="X597" s="10">
        <f>SUM(V$13:V597)/COUNTA(B$13:B597)</f>
        <v>0</v>
      </c>
      <c r="Z597" s="5"/>
      <c r="AA597" s="5"/>
      <c r="AC597" s="7"/>
      <c r="AE597" s="54" t="e">
        <f t="shared" si="85"/>
        <v>#N/A</v>
      </c>
      <c r="AF597" s="4" t="e">
        <f t="shared" si="81"/>
        <v>#N/A</v>
      </c>
    </row>
    <row r="598" spans="2:32">
      <c r="B598" s="5">
        <f t="shared" si="86"/>
        <v>586</v>
      </c>
      <c r="C598" s="5"/>
      <c r="E598" s="13"/>
      <c r="F598" s="5"/>
      <c r="G598" s="11" t="str">
        <f>IF(ISERROR(AVERAGE(F$13:F598)),"n/a",AVERAGE(F$13:F598))</f>
        <v>n/a</v>
      </c>
      <c r="H598" s="11" t="str">
        <f t="shared" si="82"/>
        <v>n/a</v>
      </c>
      <c r="J598" s="5"/>
      <c r="K598" s="5"/>
      <c r="L598" s="5"/>
      <c r="M598" s="5"/>
      <c r="N598" s="5"/>
      <c r="O598" s="8" t="str">
        <f t="shared" si="80"/>
        <v>n/a</v>
      </c>
      <c r="Q598" s="5"/>
      <c r="R598" s="5"/>
      <c r="S598" s="5"/>
      <c r="U598" s="6"/>
      <c r="V598" s="9" t="str">
        <f t="shared" si="83"/>
        <v/>
      </c>
      <c r="W598" s="9" t="str">
        <f t="shared" si="84"/>
        <v/>
      </c>
      <c r="X598" s="10">
        <f>SUM(V$13:V598)/COUNTA(B$13:B598)</f>
        <v>0</v>
      </c>
      <c r="Z598" s="5"/>
      <c r="AA598" s="5"/>
      <c r="AC598" s="7"/>
      <c r="AE598" s="54" t="e">
        <f t="shared" si="85"/>
        <v>#N/A</v>
      </c>
      <c r="AF598" s="4" t="e">
        <f t="shared" si="81"/>
        <v>#N/A</v>
      </c>
    </row>
    <row r="599" spans="2:32">
      <c r="B599" s="5">
        <f t="shared" si="86"/>
        <v>587</v>
      </c>
      <c r="C599" s="5"/>
      <c r="E599" s="13"/>
      <c r="F599" s="5"/>
      <c r="G599" s="11" t="str">
        <f>IF(ISERROR(AVERAGE(F$13:F599)),"n/a",AVERAGE(F$13:F599))</f>
        <v>n/a</v>
      </c>
      <c r="H599" s="11" t="str">
        <f t="shared" si="82"/>
        <v>n/a</v>
      </c>
      <c r="J599" s="5"/>
      <c r="K599" s="5"/>
      <c r="L599" s="5"/>
      <c r="M599" s="5"/>
      <c r="N599" s="5"/>
      <c r="O599" s="8" t="str">
        <f t="shared" si="80"/>
        <v>n/a</v>
      </c>
      <c r="Q599" s="5"/>
      <c r="R599" s="5"/>
      <c r="S599" s="5"/>
      <c r="U599" s="6"/>
      <c r="V599" s="9" t="str">
        <f t="shared" si="83"/>
        <v/>
      </c>
      <c r="W599" s="9" t="str">
        <f t="shared" si="84"/>
        <v/>
      </c>
      <c r="X599" s="10">
        <f>SUM(V$13:V599)/COUNTA(B$13:B599)</f>
        <v>0</v>
      </c>
      <c r="Z599" s="5"/>
      <c r="AA599" s="5"/>
      <c r="AC599" s="7"/>
      <c r="AE599" s="54" t="e">
        <f t="shared" si="85"/>
        <v>#N/A</v>
      </c>
      <c r="AF599" s="4" t="e">
        <f t="shared" si="81"/>
        <v>#N/A</v>
      </c>
    </row>
    <row r="600" spans="2:32">
      <c r="B600" s="5">
        <f t="shared" si="86"/>
        <v>588</v>
      </c>
      <c r="C600" s="5"/>
      <c r="E600" s="13"/>
      <c r="F600" s="5"/>
      <c r="G600" s="11" t="str">
        <f>IF(ISERROR(AVERAGE(F$13:F600)),"n/a",AVERAGE(F$13:F600))</f>
        <v>n/a</v>
      </c>
      <c r="H600" s="11" t="str">
        <f t="shared" si="82"/>
        <v>n/a</v>
      </c>
      <c r="J600" s="5"/>
      <c r="K600" s="5"/>
      <c r="L600" s="5"/>
      <c r="M600" s="5"/>
      <c r="N600" s="5"/>
      <c r="O600" s="8" t="str">
        <f t="shared" si="80"/>
        <v>n/a</v>
      </c>
      <c r="Q600" s="5"/>
      <c r="R600" s="5"/>
      <c r="S600" s="5"/>
      <c r="U600" s="6"/>
      <c r="V600" s="9" t="str">
        <f t="shared" si="83"/>
        <v/>
      </c>
      <c r="W600" s="9" t="str">
        <f t="shared" si="84"/>
        <v/>
      </c>
      <c r="X600" s="10">
        <f>SUM(V$13:V600)/COUNTA(B$13:B600)</f>
        <v>0</v>
      </c>
      <c r="Z600" s="5"/>
      <c r="AA600" s="5"/>
      <c r="AC600" s="7"/>
      <c r="AE600" s="54" t="e">
        <f t="shared" si="85"/>
        <v>#N/A</v>
      </c>
      <c r="AF600" s="4" t="e">
        <f t="shared" si="81"/>
        <v>#N/A</v>
      </c>
    </row>
    <row r="601" spans="2:32">
      <c r="B601" s="5">
        <f t="shared" si="86"/>
        <v>589</v>
      </c>
      <c r="C601" s="5"/>
      <c r="E601" s="13"/>
      <c r="F601" s="5"/>
      <c r="G601" s="11" t="str">
        <f>IF(ISERROR(AVERAGE(F$13:F601)),"n/a",AVERAGE(F$13:F601))</f>
        <v>n/a</v>
      </c>
      <c r="H601" s="11" t="str">
        <f t="shared" si="82"/>
        <v>n/a</v>
      </c>
      <c r="J601" s="5"/>
      <c r="K601" s="5"/>
      <c r="L601" s="5"/>
      <c r="M601" s="5"/>
      <c r="N601" s="5"/>
      <c r="O601" s="8" t="str">
        <f t="shared" si="80"/>
        <v>n/a</v>
      </c>
      <c r="Q601" s="5"/>
      <c r="R601" s="5"/>
      <c r="S601" s="5"/>
      <c r="U601" s="6"/>
      <c r="V601" s="9" t="str">
        <f t="shared" si="83"/>
        <v/>
      </c>
      <c r="W601" s="9" t="str">
        <f t="shared" si="84"/>
        <v/>
      </c>
      <c r="X601" s="10">
        <f>SUM(V$13:V601)/COUNTA(B$13:B601)</f>
        <v>0</v>
      </c>
      <c r="Z601" s="5"/>
      <c r="AA601" s="5"/>
      <c r="AC601" s="7"/>
      <c r="AE601" s="54" t="e">
        <f t="shared" si="85"/>
        <v>#N/A</v>
      </c>
      <c r="AF601" s="4" t="e">
        <f t="shared" si="81"/>
        <v>#N/A</v>
      </c>
    </row>
    <row r="602" spans="2:32">
      <c r="B602" s="5">
        <f t="shared" si="86"/>
        <v>590</v>
      </c>
      <c r="C602" s="5"/>
      <c r="E602" s="13"/>
      <c r="F602" s="5"/>
      <c r="G602" s="11" t="str">
        <f>IF(ISERROR(AVERAGE(F$13:F602)),"n/a",AVERAGE(F$13:F602))</f>
        <v>n/a</v>
      </c>
      <c r="H602" s="11" t="str">
        <f t="shared" si="82"/>
        <v>n/a</v>
      </c>
      <c r="J602" s="5"/>
      <c r="K602" s="5"/>
      <c r="L602" s="5"/>
      <c r="M602" s="5"/>
      <c r="N602" s="5"/>
      <c r="O602" s="8" t="str">
        <f t="shared" si="80"/>
        <v>n/a</v>
      </c>
      <c r="Q602" s="5"/>
      <c r="R602" s="5"/>
      <c r="S602" s="5"/>
      <c r="U602" s="6"/>
      <c r="V602" s="9" t="str">
        <f t="shared" si="83"/>
        <v/>
      </c>
      <c r="W602" s="9" t="str">
        <f t="shared" si="84"/>
        <v/>
      </c>
      <c r="X602" s="10">
        <f>SUM(V$13:V602)/COUNTA(B$13:B602)</f>
        <v>0</v>
      </c>
      <c r="Z602" s="5"/>
      <c r="AA602" s="5"/>
      <c r="AC602" s="7"/>
      <c r="AE602" s="54" t="e">
        <f t="shared" si="85"/>
        <v>#N/A</v>
      </c>
      <c r="AF602" s="4" t="e">
        <f t="shared" si="81"/>
        <v>#N/A</v>
      </c>
    </row>
    <row r="603" spans="2:32">
      <c r="B603" s="5">
        <f t="shared" si="86"/>
        <v>591</v>
      </c>
      <c r="C603" s="5"/>
      <c r="E603" s="13"/>
      <c r="F603" s="5"/>
      <c r="G603" s="11" t="str">
        <f>IF(ISERROR(AVERAGE(F$13:F603)),"n/a",AVERAGE(F$13:F603))</f>
        <v>n/a</v>
      </c>
      <c r="H603" s="11" t="str">
        <f t="shared" si="82"/>
        <v>n/a</v>
      </c>
      <c r="J603" s="5"/>
      <c r="K603" s="5"/>
      <c r="L603" s="5"/>
      <c r="M603" s="5"/>
      <c r="N603" s="5"/>
      <c r="O603" s="8" t="str">
        <f t="shared" si="80"/>
        <v>n/a</v>
      </c>
      <c r="Q603" s="5"/>
      <c r="R603" s="5"/>
      <c r="S603" s="5"/>
      <c r="U603" s="6"/>
      <c r="V603" s="9" t="str">
        <f t="shared" si="83"/>
        <v/>
      </c>
      <c r="W603" s="9" t="str">
        <f t="shared" si="84"/>
        <v/>
      </c>
      <c r="X603" s="10">
        <f>SUM(V$13:V603)/COUNTA(B$13:B603)</f>
        <v>0</v>
      </c>
      <c r="Z603" s="5"/>
      <c r="AA603" s="5"/>
      <c r="AC603" s="7"/>
      <c r="AE603" s="54" t="e">
        <f t="shared" si="85"/>
        <v>#N/A</v>
      </c>
      <c r="AF603" s="4" t="e">
        <f t="shared" si="81"/>
        <v>#N/A</v>
      </c>
    </row>
    <row r="604" spans="2:32">
      <c r="B604" s="5">
        <f t="shared" si="86"/>
        <v>592</v>
      </c>
      <c r="C604" s="5"/>
      <c r="E604" s="13"/>
      <c r="F604" s="5"/>
      <c r="G604" s="11" t="str">
        <f>IF(ISERROR(AVERAGE(F$13:F604)),"n/a",AVERAGE(F$13:F604))</f>
        <v>n/a</v>
      </c>
      <c r="H604" s="11" t="str">
        <f t="shared" si="82"/>
        <v>n/a</v>
      </c>
      <c r="J604" s="5"/>
      <c r="K604" s="5"/>
      <c r="L604" s="5"/>
      <c r="M604" s="5"/>
      <c r="N604" s="5"/>
      <c r="O604" s="8" t="str">
        <f t="shared" si="80"/>
        <v>n/a</v>
      </c>
      <c r="Q604" s="5"/>
      <c r="R604" s="5"/>
      <c r="S604" s="5"/>
      <c r="U604" s="6"/>
      <c r="V604" s="9" t="str">
        <f t="shared" si="83"/>
        <v/>
      </c>
      <c r="W604" s="9" t="str">
        <f t="shared" si="84"/>
        <v/>
      </c>
      <c r="X604" s="10">
        <f>SUM(V$13:V604)/COUNTA(B$13:B604)</f>
        <v>0</v>
      </c>
      <c r="Z604" s="5"/>
      <c r="AA604" s="5"/>
      <c r="AC604" s="7"/>
      <c r="AE604" s="54" t="e">
        <f t="shared" si="85"/>
        <v>#N/A</v>
      </c>
      <c r="AF604" s="4" t="e">
        <f t="shared" si="81"/>
        <v>#N/A</v>
      </c>
    </row>
    <row r="605" spans="2:32">
      <c r="B605" s="5">
        <f t="shared" si="86"/>
        <v>593</v>
      </c>
      <c r="C605" s="5"/>
      <c r="E605" s="13"/>
      <c r="F605" s="5"/>
      <c r="G605" s="11" t="str">
        <f>IF(ISERROR(AVERAGE(F$13:F605)),"n/a",AVERAGE(F$13:F605))</f>
        <v>n/a</v>
      </c>
      <c r="H605" s="11" t="str">
        <f t="shared" si="82"/>
        <v>n/a</v>
      </c>
      <c r="J605" s="5"/>
      <c r="K605" s="5"/>
      <c r="L605" s="5"/>
      <c r="M605" s="5"/>
      <c r="N605" s="5"/>
      <c r="O605" s="8" t="str">
        <f t="shared" si="80"/>
        <v>n/a</v>
      </c>
      <c r="Q605" s="5"/>
      <c r="R605" s="5"/>
      <c r="S605" s="5"/>
      <c r="U605" s="6"/>
      <c r="V605" s="9" t="str">
        <f t="shared" si="83"/>
        <v/>
      </c>
      <c r="W605" s="9" t="str">
        <f t="shared" si="84"/>
        <v/>
      </c>
      <c r="X605" s="10">
        <f>SUM(V$13:V605)/COUNTA(B$13:B605)</f>
        <v>0</v>
      </c>
      <c r="Z605" s="5"/>
      <c r="AA605" s="5"/>
      <c r="AC605" s="7"/>
      <c r="AE605" s="54" t="e">
        <f t="shared" si="85"/>
        <v>#N/A</v>
      </c>
      <c r="AF605" s="4" t="e">
        <f t="shared" si="81"/>
        <v>#N/A</v>
      </c>
    </row>
    <row r="606" spans="2:32">
      <c r="B606" s="5">
        <f t="shared" si="86"/>
        <v>594</v>
      </c>
      <c r="C606" s="5"/>
      <c r="E606" s="13"/>
      <c r="F606" s="5"/>
      <c r="G606" s="11" t="str">
        <f>IF(ISERROR(AVERAGE(F$13:F606)),"n/a",AVERAGE(F$13:F606))</f>
        <v>n/a</v>
      </c>
      <c r="H606" s="11" t="str">
        <f t="shared" si="82"/>
        <v>n/a</v>
      </c>
      <c r="J606" s="5"/>
      <c r="K606" s="5"/>
      <c r="L606" s="5"/>
      <c r="M606" s="5"/>
      <c r="N606" s="5"/>
      <c r="O606" s="8" t="str">
        <f t="shared" si="80"/>
        <v>n/a</v>
      </c>
      <c r="Q606" s="5"/>
      <c r="R606" s="5"/>
      <c r="S606" s="5"/>
      <c r="U606" s="6"/>
      <c r="V606" s="9" t="str">
        <f t="shared" si="83"/>
        <v/>
      </c>
      <c r="W606" s="9" t="str">
        <f t="shared" si="84"/>
        <v/>
      </c>
      <c r="X606" s="10">
        <f>SUM(V$13:V606)/COUNTA(B$13:B606)</f>
        <v>0</v>
      </c>
      <c r="Z606" s="5"/>
      <c r="AA606" s="5"/>
      <c r="AC606" s="7"/>
      <c r="AE606" s="54" t="e">
        <f t="shared" si="85"/>
        <v>#N/A</v>
      </c>
      <c r="AF606" s="4" t="e">
        <f t="shared" si="81"/>
        <v>#N/A</v>
      </c>
    </row>
    <row r="607" spans="2:32">
      <c r="B607" s="5">
        <f t="shared" si="86"/>
        <v>595</v>
      </c>
      <c r="C607" s="5"/>
      <c r="E607" s="13"/>
      <c r="F607" s="5"/>
      <c r="G607" s="11" t="str">
        <f>IF(ISERROR(AVERAGE(F$13:F607)),"n/a",AVERAGE(F$13:F607))</f>
        <v>n/a</v>
      </c>
      <c r="H607" s="11" t="str">
        <f t="shared" si="82"/>
        <v>n/a</v>
      </c>
      <c r="J607" s="5"/>
      <c r="K607" s="5"/>
      <c r="L607" s="5"/>
      <c r="M607" s="5"/>
      <c r="N607" s="5"/>
      <c r="O607" s="8" t="str">
        <f t="shared" si="80"/>
        <v>n/a</v>
      </c>
      <c r="Q607" s="5"/>
      <c r="R607" s="5"/>
      <c r="S607" s="5"/>
      <c r="U607" s="6"/>
      <c r="V607" s="9" t="str">
        <f t="shared" si="83"/>
        <v/>
      </c>
      <c r="W607" s="9" t="str">
        <f t="shared" si="84"/>
        <v/>
      </c>
      <c r="X607" s="10">
        <f>SUM(V$13:V607)/COUNTA(B$13:B607)</f>
        <v>0</v>
      </c>
      <c r="Z607" s="5"/>
      <c r="AA607" s="5"/>
      <c r="AC607" s="7"/>
      <c r="AE607" s="54" t="e">
        <f t="shared" si="85"/>
        <v>#N/A</v>
      </c>
      <c r="AF607" s="4" t="e">
        <f t="shared" si="81"/>
        <v>#N/A</v>
      </c>
    </row>
    <row r="608" spans="2:32">
      <c r="B608" s="5">
        <f t="shared" si="86"/>
        <v>596</v>
      </c>
      <c r="C608" s="5"/>
      <c r="E608" s="13"/>
      <c r="F608" s="5"/>
      <c r="G608" s="11" t="str">
        <f>IF(ISERROR(AVERAGE(F$13:F608)),"n/a",AVERAGE(F$13:F608))</f>
        <v>n/a</v>
      </c>
      <c r="H608" s="11" t="str">
        <f t="shared" si="82"/>
        <v>n/a</v>
      </c>
      <c r="J608" s="5"/>
      <c r="K608" s="5"/>
      <c r="L608" s="5"/>
      <c r="M608" s="5"/>
      <c r="N608" s="5"/>
      <c r="O608" s="8" t="str">
        <f t="shared" si="80"/>
        <v>n/a</v>
      </c>
      <c r="Q608" s="5"/>
      <c r="R608" s="5"/>
      <c r="S608" s="5"/>
      <c r="U608" s="6"/>
      <c r="V608" s="9" t="str">
        <f t="shared" si="83"/>
        <v/>
      </c>
      <c r="W608" s="9" t="str">
        <f t="shared" si="84"/>
        <v/>
      </c>
      <c r="X608" s="10">
        <f>SUM(V$13:V608)/COUNTA(B$13:B608)</f>
        <v>0</v>
      </c>
      <c r="Z608" s="5"/>
      <c r="AA608" s="5"/>
      <c r="AC608" s="7"/>
      <c r="AE608" s="54" t="e">
        <f t="shared" si="85"/>
        <v>#N/A</v>
      </c>
      <c r="AF608" s="4" t="e">
        <f t="shared" si="81"/>
        <v>#N/A</v>
      </c>
    </row>
    <row r="609" spans="2:32">
      <c r="B609" s="5">
        <f t="shared" si="86"/>
        <v>597</v>
      </c>
      <c r="C609" s="5"/>
      <c r="E609" s="13"/>
      <c r="F609" s="5"/>
      <c r="G609" s="11" t="str">
        <f>IF(ISERROR(AVERAGE(F$13:F609)),"n/a",AVERAGE(F$13:F609))</f>
        <v>n/a</v>
      </c>
      <c r="H609" s="11" t="str">
        <f t="shared" si="82"/>
        <v>n/a</v>
      </c>
      <c r="J609" s="5"/>
      <c r="K609" s="5"/>
      <c r="L609" s="5"/>
      <c r="M609" s="5"/>
      <c r="N609" s="5"/>
      <c r="O609" s="8" t="str">
        <f t="shared" si="80"/>
        <v>n/a</v>
      </c>
      <c r="Q609" s="5"/>
      <c r="R609" s="5"/>
      <c r="S609" s="5"/>
      <c r="U609" s="6"/>
      <c r="V609" s="9" t="str">
        <f t="shared" si="83"/>
        <v/>
      </c>
      <c r="W609" s="9" t="str">
        <f t="shared" si="84"/>
        <v/>
      </c>
      <c r="X609" s="10">
        <f>SUM(V$13:V609)/COUNTA(B$13:B609)</f>
        <v>0</v>
      </c>
      <c r="Z609" s="5"/>
      <c r="AA609" s="5"/>
      <c r="AC609" s="7"/>
      <c r="AE609" s="54" t="e">
        <f t="shared" si="85"/>
        <v>#N/A</v>
      </c>
      <c r="AF609" s="4" t="e">
        <f t="shared" si="81"/>
        <v>#N/A</v>
      </c>
    </row>
    <row r="610" spans="2:32">
      <c r="B610" s="5">
        <f t="shared" si="86"/>
        <v>598</v>
      </c>
      <c r="C610" s="5"/>
      <c r="E610" s="13"/>
      <c r="F610" s="5"/>
      <c r="G610" s="11" t="str">
        <f>IF(ISERROR(AVERAGE(F$13:F610)),"n/a",AVERAGE(F$13:F610))</f>
        <v>n/a</v>
      </c>
      <c r="H610" s="11" t="str">
        <f t="shared" si="82"/>
        <v>n/a</v>
      </c>
      <c r="J610" s="5"/>
      <c r="K610" s="5"/>
      <c r="L610" s="5"/>
      <c r="M610" s="5"/>
      <c r="N610" s="5"/>
      <c r="O610" s="8" t="str">
        <f t="shared" si="80"/>
        <v>n/a</v>
      </c>
      <c r="Q610" s="5"/>
      <c r="R610" s="5"/>
      <c r="S610" s="5"/>
      <c r="U610" s="6"/>
      <c r="V610" s="9" t="str">
        <f t="shared" si="83"/>
        <v/>
      </c>
      <c r="W610" s="9" t="str">
        <f t="shared" si="84"/>
        <v/>
      </c>
      <c r="X610" s="10">
        <f>SUM(V$13:V610)/COUNTA(B$13:B610)</f>
        <v>0</v>
      </c>
      <c r="Z610" s="5"/>
      <c r="AA610" s="5"/>
      <c r="AC610" s="7"/>
      <c r="AE610" s="54" t="e">
        <f t="shared" si="85"/>
        <v>#N/A</v>
      </c>
      <c r="AF610" s="4" t="e">
        <f t="shared" si="81"/>
        <v>#N/A</v>
      </c>
    </row>
    <row r="611" spans="2:32">
      <c r="B611" s="5">
        <f t="shared" si="86"/>
        <v>599</v>
      </c>
      <c r="C611" s="5"/>
      <c r="E611" s="13"/>
      <c r="F611" s="5"/>
      <c r="G611" s="11" t="str">
        <f>IF(ISERROR(AVERAGE(F$13:F611)),"n/a",AVERAGE(F$13:F611))</f>
        <v>n/a</v>
      </c>
      <c r="H611" s="11" t="str">
        <f t="shared" si="82"/>
        <v>n/a</v>
      </c>
      <c r="J611" s="5"/>
      <c r="K611" s="5"/>
      <c r="L611" s="5"/>
      <c r="M611" s="5"/>
      <c r="N611" s="5"/>
      <c r="O611" s="8" t="str">
        <f t="shared" si="80"/>
        <v>n/a</v>
      </c>
      <c r="Q611" s="5"/>
      <c r="R611" s="5"/>
      <c r="S611" s="5"/>
      <c r="U611" s="6"/>
      <c r="V611" s="9" t="str">
        <f t="shared" si="83"/>
        <v/>
      </c>
      <c r="W611" s="9" t="str">
        <f t="shared" si="84"/>
        <v/>
      </c>
      <c r="X611" s="10">
        <f>SUM(V$13:V611)/COUNTA(B$13:B611)</f>
        <v>0</v>
      </c>
      <c r="Z611" s="5"/>
      <c r="AA611" s="5"/>
      <c r="AC611" s="7"/>
      <c r="AE611" s="54" t="e">
        <f t="shared" si="85"/>
        <v>#N/A</v>
      </c>
      <c r="AF611" s="4" t="e">
        <f t="shared" si="81"/>
        <v>#N/A</v>
      </c>
    </row>
    <row r="612" spans="2:32">
      <c r="B612" s="5">
        <f t="shared" si="86"/>
        <v>600</v>
      </c>
      <c r="C612" s="5"/>
      <c r="E612" s="13"/>
      <c r="F612" s="5"/>
      <c r="G612" s="11" t="str">
        <f>IF(ISERROR(AVERAGE(F$13:F612)),"n/a",AVERAGE(F$13:F612))</f>
        <v>n/a</v>
      </c>
      <c r="H612" s="11" t="str">
        <f t="shared" si="82"/>
        <v>n/a</v>
      </c>
      <c r="J612" s="5"/>
      <c r="K612" s="5"/>
      <c r="L612" s="5"/>
      <c r="M612" s="5"/>
      <c r="N612" s="5"/>
      <c r="O612" s="8" t="str">
        <f t="shared" si="80"/>
        <v>n/a</v>
      </c>
      <c r="Q612" s="5"/>
      <c r="R612" s="5"/>
      <c r="S612" s="5"/>
      <c r="U612" s="6"/>
      <c r="V612" s="9" t="str">
        <f t="shared" si="83"/>
        <v/>
      </c>
      <c r="W612" s="9" t="str">
        <f t="shared" si="84"/>
        <v/>
      </c>
      <c r="X612" s="10">
        <f>SUM(V$13:V612)/COUNTA(B$13:B612)</f>
        <v>0</v>
      </c>
      <c r="Z612" s="5"/>
      <c r="AA612" s="5"/>
      <c r="AC612" s="7"/>
      <c r="AE612" s="54" t="e">
        <f t="shared" si="85"/>
        <v>#N/A</v>
      </c>
      <c r="AF612" s="4" t="e">
        <f t="shared" si="81"/>
        <v>#N/A</v>
      </c>
    </row>
    <row r="613" spans="2:32">
      <c r="B613" s="5">
        <f t="shared" si="86"/>
        <v>601</v>
      </c>
      <c r="C613" s="5"/>
      <c r="E613" s="13"/>
      <c r="F613" s="5"/>
      <c r="G613" s="11" t="str">
        <f>IF(ISERROR(AVERAGE(F$13:F613)),"n/a",AVERAGE(F$13:F613))</f>
        <v>n/a</v>
      </c>
      <c r="H613" s="11" t="str">
        <f t="shared" si="82"/>
        <v>n/a</v>
      </c>
      <c r="J613" s="5"/>
      <c r="K613" s="5"/>
      <c r="L613" s="5"/>
      <c r="M613" s="5"/>
      <c r="N613" s="5"/>
      <c r="O613" s="8" t="str">
        <f t="shared" si="80"/>
        <v>n/a</v>
      </c>
      <c r="Q613" s="5"/>
      <c r="R613" s="5"/>
      <c r="S613" s="5"/>
      <c r="U613" s="6"/>
      <c r="V613" s="9" t="str">
        <f t="shared" si="83"/>
        <v/>
      </c>
      <c r="W613" s="9" t="str">
        <f t="shared" si="84"/>
        <v/>
      </c>
      <c r="X613" s="10">
        <f>SUM(V$13:V613)/COUNTA(B$13:B613)</f>
        <v>0</v>
      </c>
      <c r="Z613" s="5"/>
      <c r="AA613" s="5"/>
      <c r="AC613" s="7"/>
      <c r="AE613" s="54" t="e">
        <f t="shared" si="85"/>
        <v>#N/A</v>
      </c>
      <c r="AF613" s="4" t="e">
        <f t="shared" si="81"/>
        <v>#N/A</v>
      </c>
    </row>
    <row r="614" spans="2:32">
      <c r="B614" s="5">
        <f t="shared" si="86"/>
        <v>602</v>
      </c>
      <c r="C614" s="5"/>
      <c r="E614" s="13"/>
      <c r="F614" s="5"/>
      <c r="G614" s="11" t="str">
        <f>IF(ISERROR(AVERAGE(F$13:F614)),"n/a",AVERAGE(F$13:F614))</f>
        <v>n/a</v>
      </c>
      <c r="H614" s="11" t="str">
        <f t="shared" si="82"/>
        <v>n/a</v>
      </c>
      <c r="J614" s="5"/>
      <c r="K614" s="5"/>
      <c r="L614" s="5"/>
      <c r="M614" s="5"/>
      <c r="N614" s="5"/>
      <c r="O614" s="8" t="str">
        <f t="shared" si="80"/>
        <v>n/a</v>
      </c>
      <c r="Q614" s="5"/>
      <c r="R614" s="5"/>
      <c r="S614" s="5"/>
      <c r="U614" s="6"/>
      <c r="V614" s="9" t="str">
        <f t="shared" si="83"/>
        <v/>
      </c>
      <c r="W614" s="9" t="str">
        <f t="shared" si="84"/>
        <v/>
      </c>
      <c r="X614" s="10">
        <f>SUM(V$13:V614)/COUNTA(B$13:B614)</f>
        <v>0</v>
      </c>
      <c r="Z614" s="5"/>
      <c r="AA614" s="5"/>
      <c r="AC614" s="7"/>
      <c r="AE614" s="54" t="e">
        <f t="shared" si="85"/>
        <v>#N/A</v>
      </c>
      <c r="AF614" s="4" t="e">
        <f t="shared" si="81"/>
        <v>#N/A</v>
      </c>
    </row>
    <row r="615" spans="2:32">
      <c r="B615" s="5">
        <f t="shared" si="86"/>
        <v>603</v>
      </c>
      <c r="C615" s="5"/>
      <c r="E615" s="13"/>
      <c r="F615" s="5"/>
      <c r="G615" s="11" t="str">
        <f>IF(ISERROR(AVERAGE(F$13:F615)),"n/a",AVERAGE(F$13:F615))</f>
        <v>n/a</v>
      </c>
      <c r="H615" s="11" t="str">
        <f t="shared" si="82"/>
        <v>n/a</v>
      </c>
      <c r="J615" s="5"/>
      <c r="K615" s="5"/>
      <c r="L615" s="5"/>
      <c r="M615" s="5"/>
      <c r="N615" s="5"/>
      <c r="O615" s="8" t="str">
        <f t="shared" si="80"/>
        <v>n/a</v>
      </c>
      <c r="Q615" s="5"/>
      <c r="R615" s="5"/>
      <c r="S615" s="5"/>
      <c r="U615" s="6"/>
      <c r="V615" s="9" t="str">
        <f t="shared" si="83"/>
        <v/>
      </c>
      <c r="W615" s="9" t="str">
        <f t="shared" si="84"/>
        <v/>
      </c>
      <c r="X615" s="10">
        <f>SUM(V$13:V615)/COUNTA(B$13:B615)</f>
        <v>0</v>
      </c>
      <c r="Z615" s="5"/>
      <c r="AA615" s="5"/>
      <c r="AC615" s="7"/>
      <c r="AE615" s="54" t="e">
        <f t="shared" si="85"/>
        <v>#N/A</v>
      </c>
      <c r="AF615" s="4" t="e">
        <f t="shared" si="81"/>
        <v>#N/A</v>
      </c>
    </row>
    <row r="616" spans="2:32">
      <c r="B616" s="5">
        <f t="shared" si="86"/>
        <v>604</v>
      </c>
      <c r="C616" s="5"/>
      <c r="E616" s="13"/>
      <c r="F616" s="5"/>
      <c r="G616" s="11" t="str">
        <f>IF(ISERROR(AVERAGE(F$13:F616)),"n/a",AVERAGE(F$13:F616))</f>
        <v>n/a</v>
      </c>
      <c r="H616" s="11" t="str">
        <f t="shared" si="82"/>
        <v>n/a</v>
      </c>
      <c r="J616" s="5"/>
      <c r="K616" s="5"/>
      <c r="L616" s="5"/>
      <c r="M616" s="5"/>
      <c r="N616" s="5"/>
      <c r="O616" s="8" t="str">
        <f t="shared" si="80"/>
        <v>n/a</v>
      </c>
      <c r="Q616" s="5"/>
      <c r="R616" s="5"/>
      <c r="S616" s="5"/>
      <c r="U616" s="6"/>
      <c r="V616" s="9" t="str">
        <f t="shared" si="83"/>
        <v/>
      </c>
      <c r="W616" s="9" t="str">
        <f t="shared" si="84"/>
        <v/>
      </c>
      <c r="X616" s="10">
        <f>SUM(V$13:V616)/COUNTA(B$13:B616)</f>
        <v>0</v>
      </c>
      <c r="Z616" s="5"/>
      <c r="AA616" s="5"/>
      <c r="AC616" s="7"/>
      <c r="AE616" s="54" t="e">
        <f t="shared" si="85"/>
        <v>#N/A</v>
      </c>
      <c r="AF616" s="4" t="e">
        <f t="shared" si="81"/>
        <v>#N/A</v>
      </c>
    </row>
    <row r="617" spans="2:32">
      <c r="B617" s="5">
        <f t="shared" si="86"/>
        <v>605</v>
      </c>
      <c r="C617" s="5"/>
      <c r="E617" s="13"/>
      <c r="F617" s="5"/>
      <c r="G617" s="11" t="str">
        <f>IF(ISERROR(AVERAGE(F$13:F617)),"n/a",AVERAGE(F$13:F617))</f>
        <v>n/a</v>
      </c>
      <c r="H617" s="11" t="str">
        <f t="shared" si="82"/>
        <v>n/a</v>
      </c>
      <c r="J617" s="5"/>
      <c r="K617" s="5"/>
      <c r="L617" s="5"/>
      <c r="M617" s="5"/>
      <c r="N617" s="5"/>
      <c r="O617" s="8" t="str">
        <f t="shared" si="80"/>
        <v>n/a</v>
      </c>
      <c r="Q617" s="5"/>
      <c r="R617" s="5"/>
      <c r="S617" s="5"/>
      <c r="U617" s="6"/>
      <c r="V617" s="9" t="str">
        <f t="shared" si="83"/>
        <v/>
      </c>
      <c r="W617" s="9" t="str">
        <f t="shared" si="84"/>
        <v/>
      </c>
      <c r="X617" s="10">
        <f>SUM(V$13:V617)/COUNTA(B$13:B617)</f>
        <v>0</v>
      </c>
      <c r="Z617" s="5"/>
      <c r="AA617" s="5"/>
      <c r="AC617" s="7"/>
      <c r="AE617" s="54" t="e">
        <f t="shared" si="85"/>
        <v>#N/A</v>
      </c>
      <c r="AF617" s="4" t="e">
        <f t="shared" si="81"/>
        <v>#N/A</v>
      </c>
    </row>
    <row r="618" spans="2:32">
      <c r="B618" s="5">
        <f t="shared" si="86"/>
        <v>606</v>
      </c>
      <c r="C618" s="5"/>
      <c r="E618" s="13"/>
      <c r="F618" s="5"/>
      <c r="G618" s="11" t="str">
        <f>IF(ISERROR(AVERAGE(F$13:F618)),"n/a",AVERAGE(F$13:F618))</f>
        <v>n/a</v>
      </c>
      <c r="H618" s="11" t="str">
        <f t="shared" si="82"/>
        <v>n/a</v>
      </c>
      <c r="J618" s="5"/>
      <c r="K618" s="5"/>
      <c r="L618" s="5"/>
      <c r="M618" s="5"/>
      <c r="N618" s="5"/>
      <c r="O618" s="8" t="str">
        <f t="shared" si="80"/>
        <v>n/a</v>
      </c>
      <c r="Q618" s="5"/>
      <c r="R618" s="5"/>
      <c r="S618" s="5"/>
      <c r="U618" s="6"/>
      <c r="V618" s="9" t="str">
        <f t="shared" si="83"/>
        <v/>
      </c>
      <c r="W618" s="9" t="str">
        <f t="shared" si="84"/>
        <v/>
      </c>
      <c r="X618" s="10">
        <f>SUM(V$13:V618)/COUNTA(B$13:B618)</f>
        <v>0</v>
      </c>
      <c r="Z618" s="5"/>
      <c r="AA618" s="5"/>
      <c r="AC618" s="7"/>
      <c r="AE618" s="54" t="e">
        <f t="shared" si="85"/>
        <v>#N/A</v>
      </c>
      <c r="AF618" s="4" t="e">
        <f t="shared" si="81"/>
        <v>#N/A</v>
      </c>
    </row>
    <row r="619" spans="2:32">
      <c r="B619" s="5">
        <f t="shared" si="86"/>
        <v>607</v>
      </c>
      <c r="C619" s="5"/>
      <c r="E619" s="13"/>
      <c r="F619" s="5"/>
      <c r="G619" s="11" t="str">
        <f>IF(ISERROR(AVERAGE(F$13:F619)),"n/a",AVERAGE(F$13:F619))</f>
        <v>n/a</v>
      </c>
      <c r="H619" s="11" t="str">
        <f t="shared" si="82"/>
        <v>n/a</v>
      </c>
      <c r="J619" s="5"/>
      <c r="K619" s="5"/>
      <c r="L619" s="5"/>
      <c r="M619" s="5"/>
      <c r="N619" s="5"/>
      <c r="O619" s="8" t="str">
        <f t="shared" si="80"/>
        <v>n/a</v>
      </c>
      <c r="Q619" s="5"/>
      <c r="R619" s="5"/>
      <c r="S619" s="5"/>
      <c r="U619" s="6"/>
      <c r="V619" s="9" t="str">
        <f t="shared" si="83"/>
        <v/>
      </c>
      <c r="W619" s="9" t="str">
        <f t="shared" si="84"/>
        <v/>
      </c>
      <c r="X619" s="10">
        <f>SUM(V$13:V619)/COUNTA(B$13:B619)</f>
        <v>0</v>
      </c>
      <c r="Z619" s="5"/>
      <c r="AA619" s="5"/>
      <c r="AC619" s="7"/>
      <c r="AE619" s="54" t="e">
        <f t="shared" si="85"/>
        <v>#N/A</v>
      </c>
      <c r="AF619" s="4" t="e">
        <f t="shared" si="81"/>
        <v>#N/A</v>
      </c>
    </row>
    <row r="620" spans="2:32">
      <c r="B620" s="5">
        <f t="shared" si="86"/>
        <v>608</v>
      </c>
      <c r="C620" s="5"/>
      <c r="E620" s="13"/>
      <c r="F620" s="5"/>
      <c r="G620" s="11" t="str">
        <f>IF(ISERROR(AVERAGE(F$13:F620)),"n/a",AVERAGE(F$13:F620))</f>
        <v>n/a</v>
      </c>
      <c r="H620" s="11" t="str">
        <f t="shared" si="82"/>
        <v>n/a</v>
      </c>
      <c r="J620" s="5"/>
      <c r="K620" s="5"/>
      <c r="L620" s="5"/>
      <c r="M620" s="5"/>
      <c r="N620" s="5"/>
      <c r="O620" s="8" t="str">
        <f t="shared" si="80"/>
        <v>n/a</v>
      </c>
      <c r="Q620" s="5"/>
      <c r="R620" s="5"/>
      <c r="S620" s="5"/>
      <c r="U620" s="6"/>
      <c r="V620" s="9" t="str">
        <f t="shared" si="83"/>
        <v/>
      </c>
      <c r="W620" s="9" t="str">
        <f t="shared" si="84"/>
        <v/>
      </c>
      <c r="X620" s="10">
        <f>SUM(V$13:V620)/COUNTA(B$13:B620)</f>
        <v>0</v>
      </c>
      <c r="Z620" s="5"/>
      <c r="AA620" s="5"/>
      <c r="AC620" s="7"/>
      <c r="AE620" s="54" t="e">
        <f t="shared" si="85"/>
        <v>#N/A</v>
      </c>
      <c r="AF620" s="4" t="e">
        <f t="shared" si="81"/>
        <v>#N/A</v>
      </c>
    </row>
    <row r="621" spans="2:32">
      <c r="B621" s="5">
        <f t="shared" si="86"/>
        <v>609</v>
      </c>
      <c r="C621" s="5"/>
      <c r="E621" s="13"/>
      <c r="F621" s="5"/>
      <c r="G621" s="11" t="str">
        <f>IF(ISERROR(AVERAGE(F$13:F621)),"n/a",AVERAGE(F$13:F621))</f>
        <v>n/a</v>
      </c>
      <c r="H621" s="11" t="str">
        <f t="shared" si="82"/>
        <v>n/a</v>
      </c>
      <c r="J621" s="5"/>
      <c r="K621" s="5"/>
      <c r="L621" s="5"/>
      <c r="M621" s="5"/>
      <c r="N621" s="5"/>
      <c r="O621" s="8" t="str">
        <f t="shared" si="80"/>
        <v>n/a</v>
      </c>
      <c r="Q621" s="5"/>
      <c r="R621" s="5"/>
      <c r="S621" s="5"/>
      <c r="U621" s="6"/>
      <c r="V621" s="9" t="str">
        <f t="shared" si="83"/>
        <v/>
      </c>
      <c r="W621" s="9" t="str">
        <f t="shared" si="84"/>
        <v/>
      </c>
      <c r="X621" s="10">
        <f>SUM(V$13:V621)/COUNTA(B$13:B621)</f>
        <v>0</v>
      </c>
      <c r="Z621" s="5"/>
      <c r="AA621" s="5"/>
      <c r="AC621" s="7"/>
      <c r="AE621" s="54" t="e">
        <f t="shared" si="85"/>
        <v>#N/A</v>
      </c>
      <c r="AF621" s="4" t="e">
        <f t="shared" si="81"/>
        <v>#N/A</v>
      </c>
    </row>
    <row r="622" spans="2:32">
      <c r="B622" s="5">
        <f t="shared" si="86"/>
        <v>610</v>
      </c>
      <c r="C622" s="5"/>
      <c r="E622" s="13"/>
      <c r="F622" s="5"/>
      <c r="G622" s="11" t="str">
        <f>IF(ISERROR(AVERAGE(F$13:F622)),"n/a",AVERAGE(F$13:F622))</f>
        <v>n/a</v>
      </c>
      <c r="H622" s="11" t="str">
        <f t="shared" si="82"/>
        <v>n/a</v>
      </c>
      <c r="J622" s="5"/>
      <c r="K622" s="5"/>
      <c r="L622" s="5"/>
      <c r="M622" s="5"/>
      <c r="N622" s="5"/>
      <c r="O622" s="8" t="str">
        <f t="shared" si="80"/>
        <v>n/a</v>
      </c>
      <c r="Q622" s="5"/>
      <c r="R622" s="5"/>
      <c r="S622" s="5"/>
      <c r="U622" s="6"/>
      <c r="V622" s="9" t="str">
        <f t="shared" si="83"/>
        <v/>
      </c>
      <c r="W622" s="9" t="str">
        <f t="shared" si="84"/>
        <v/>
      </c>
      <c r="X622" s="10">
        <f>SUM(V$13:V622)/COUNTA(B$13:B622)</f>
        <v>0</v>
      </c>
      <c r="Z622" s="5"/>
      <c r="AA622" s="5"/>
      <c r="AC622" s="7"/>
      <c r="AE622" s="54" t="e">
        <f t="shared" si="85"/>
        <v>#N/A</v>
      </c>
      <c r="AF622" s="4" t="e">
        <f t="shared" si="81"/>
        <v>#N/A</v>
      </c>
    </row>
    <row r="623" spans="2:32">
      <c r="B623" s="5">
        <f t="shared" si="86"/>
        <v>611</v>
      </c>
      <c r="C623" s="5"/>
      <c r="E623" s="13"/>
      <c r="F623" s="5"/>
      <c r="G623" s="11" t="str">
        <f>IF(ISERROR(AVERAGE(F$13:F623)),"n/a",AVERAGE(F$13:F623))</f>
        <v>n/a</v>
      </c>
      <c r="H623" s="11" t="str">
        <f t="shared" si="82"/>
        <v>n/a</v>
      </c>
      <c r="J623" s="5"/>
      <c r="K623" s="5"/>
      <c r="L623" s="5"/>
      <c r="M623" s="5"/>
      <c r="N623" s="5"/>
      <c r="O623" s="8" t="str">
        <f t="shared" si="80"/>
        <v>n/a</v>
      </c>
      <c r="Q623" s="5"/>
      <c r="R623" s="5"/>
      <c r="S623" s="5"/>
      <c r="U623" s="6"/>
      <c r="V623" s="9" t="str">
        <f t="shared" si="83"/>
        <v/>
      </c>
      <c r="W623" s="9" t="str">
        <f t="shared" si="84"/>
        <v/>
      </c>
      <c r="X623" s="10">
        <f>SUM(V$13:V623)/COUNTA(B$13:B623)</f>
        <v>0</v>
      </c>
      <c r="Z623" s="5"/>
      <c r="AA623" s="5"/>
      <c r="AC623" s="7"/>
      <c r="AE623" s="54" t="e">
        <f t="shared" si="85"/>
        <v>#N/A</v>
      </c>
      <c r="AF623" s="4" t="e">
        <f t="shared" si="81"/>
        <v>#N/A</v>
      </c>
    </row>
    <row r="624" spans="2:32">
      <c r="B624" s="5">
        <f t="shared" si="86"/>
        <v>612</v>
      </c>
      <c r="C624" s="5"/>
      <c r="E624" s="13"/>
      <c r="F624" s="5"/>
      <c r="G624" s="11" t="str">
        <f>IF(ISERROR(AVERAGE(F$13:F624)),"n/a",AVERAGE(F$13:F624))</f>
        <v>n/a</v>
      </c>
      <c r="H624" s="11" t="str">
        <f t="shared" si="82"/>
        <v>n/a</v>
      </c>
      <c r="J624" s="5"/>
      <c r="K624" s="5"/>
      <c r="L624" s="5"/>
      <c r="M624" s="5"/>
      <c r="N624" s="5"/>
      <c r="O624" s="8" t="str">
        <f t="shared" si="80"/>
        <v>n/a</v>
      </c>
      <c r="Q624" s="5"/>
      <c r="R624" s="5"/>
      <c r="S624" s="5"/>
      <c r="U624" s="6"/>
      <c r="V624" s="9" t="str">
        <f t="shared" si="83"/>
        <v/>
      </c>
      <c r="W624" s="9" t="str">
        <f t="shared" si="84"/>
        <v/>
      </c>
      <c r="X624" s="10">
        <f>SUM(V$13:V624)/COUNTA(B$13:B624)</f>
        <v>0</v>
      </c>
      <c r="Z624" s="5"/>
      <c r="AA624" s="5"/>
      <c r="AC624" s="7"/>
      <c r="AE624" s="54" t="e">
        <f t="shared" si="85"/>
        <v>#N/A</v>
      </c>
      <c r="AF624" s="4" t="e">
        <f t="shared" si="81"/>
        <v>#N/A</v>
      </c>
    </row>
    <row r="625" spans="2:32">
      <c r="B625" s="5">
        <f t="shared" si="86"/>
        <v>613</v>
      </c>
      <c r="C625" s="5"/>
      <c r="E625" s="13"/>
      <c r="F625" s="5"/>
      <c r="G625" s="11" t="str">
        <f>IF(ISERROR(AVERAGE(F$13:F625)),"n/a",AVERAGE(F$13:F625))</f>
        <v>n/a</v>
      </c>
      <c r="H625" s="11" t="str">
        <f t="shared" si="82"/>
        <v>n/a</v>
      </c>
      <c r="J625" s="5"/>
      <c r="K625" s="5"/>
      <c r="L625" s="5"/>
      <c r="M625" s="5"/>
      <c r="N625" s="5"/>
      <c r="O625" s="8" t="str">
        <f t="shared" si="80"/>
        <v>n/a</v>
      </c>
      <c r="Q625" s="5"/>
      <c r="R625" s="5"/>
      <c r="S625" s="5"/>
      <c r="U625" s="6"/>
      <c r="V625" s="9" t="str">
        <f t="shared" si="83"/>
        <v/>
      </c>
      <c r="W625" s="9" t="str">
        <f t="shared" si="84"/>
        <v/>
      </c>
      <c r="X625" s="10">
        <f>SUM(V$13:V625)/COUNTA(B$13:B625)</f>
        <v>0</v>
      </c>
      <c r="Z625" s="5"/>
      <c r="AA625" s="5"/>
      <c r="AC625" s="7"/>
      <c r="AE625" s="54" t="e">
        <f t="shared" si="85"/>
        <v>#N/A</v>
      </c>
      <c r="AF625" s="4" t="e">
        <f t="shared" si="81"/>
        <v>#N/A</v>
      </c>
    </row>
    <row r="626" spans="2:32">
      <c r="B626" s="5">
        <f t="shared" si="86"/>
        <v>614</v>
      </c>
      <c r="C626" s="5"/>
      <c r="E626" s="13"/>
      <c r="F626" s="5"/>
      <c r="G626" s="11" t="str">
        <f>IF(ISERROR(AVERAGE(F$13:F626)),"n/a",AVERAGE(F$13:F626))</f>
        <v>n/a</v>
      </c>
      <c r="H626" s="11" t="str">
        <f t="shared" si="82"/>
        <v>n/a</v>
      </c>
      <c r="J626" s="5"/>
      <c r="K626" s="5"/>
      <c r="L626" s="5"/>
      <c r="M626" s="5"/>
      <c r="N626" s="5"/>
      <c r="O626" s="8" t="str">
        <f t="shared" si="80"/>
        <v>n/a</v>
      </c>
      <c r="Q626" s="5"/>
      <c r="R626" s="5"/>
      <c r="S626" s="5"/>
      <c r="U626" s="6"/>
      <c r="V626" s="9" t="str">
        <f t="shared" si="83"/>
        <v/>
      </c>
      <c r="W626" s="9" t="str">
        <f t="shared" si="84"/>
        <v/>
      </c>
      <c r="X626" s="10">
        <f>SUM(V$13:V626)/COUNTA(B$13:B626)</f>
        <v>0</v>
      </c>
      <c r="Z626" s="5"/>
      <c r="AA626" s="5"/>
      <c r="AC626" s="7"/>
      <c r="AE626" s="54" t="e">
        <f t="shared" si="85"/>
        <v>#N/A</v>
      </c>
      <c r="AF626" s="4" t="e">
        <f t="shared" si="81"/>
        <v>#N/A</v>
      </c>
    </row>
    <row r="627" spans="2:32">
      <c r="B627" s="5">
        <f t="shared" si="86"/>
        <v>615</v>
      </c>
      <c r="C627" s="5"/>
      <c r="E627" s="13"/>
      <c r="F627" s="5"/>
      <c r="G627" s="11" t="str">
        <f>IF(ISERROR(AVERAGE(F$13:F627)),"n/a",AVERAGE(F$13:F627))</f>
        <v>n/a</v>
      </c>
      <c r="H627" s="11" t="str">
        <f t="shared" si="82"/>
        <v>n/a</v>
      </c>
      <c r="J627" s="5"/>
      <c r="K627" s="5"/>
      <c r="L627" s="5"/>
      <c r="M627" s="5"/>
      <c r="N627" s="5"/>
      <c r="O627" s="8" t="str">
        <f t="shared" si="80"/>
        <v>n/a</v>
      </c>
      <c r="Q627" s="5"/>
      <c r="R627" s="5"/>
      <c r="S627" s="5"/>
      <c r="U627" s="6"/>
      <c r="V627" s="9" t="str">
        <f t="shared" si="83"/>
        <v/>
      </c>
      <c r="W627" s="9" t="str">
        <f t="shared" si="84"/>
        <v/>
      </c>
      <c r="X627" s="10">
        <f>SUM(V$13:V627)/COUNTA(B$13:B627)</f>
        <v>0</v>
      </c>
      <c r="Z627" s="5"/>
      <c r="AA627" s="5"/>
      <c r="AC627" s="7"/>
      <c r="AE627" s="54" t="e">
        <f t="shared" si="85"/>
        <v>#N/A</v>
      </c>
      <c r="AF627" s="4" t="e">
        <f t="shared" si="81"/>
        <v>#N/A</v>
      </c>
    </row>
    <row r="628" spans="2:32">
      <c r="B628" s="5">
        <f t="shared" si="86"/>
        <v>616</v>
      </c>
      <c r="C628" s="5"/>
      <c r="E628" s="13"/>
      <c r="F628" s="5"/>
      <c r="G628" s="11" t="str">
        <f>IF(ISERROR(AVERAGE(F$13:F628)),"n/a",AVERAGE(F$13:F628))</f>
        <v>n/a</v>
      </c>
      <c r="H628" s="11" t="str">
        <f t="shared" si="82"/>
        <v>n/a</v>
      </c>
      <c r="J628" s="5"/>
      <c r="K628" s="5"/>
      <c r="L628" s="5"/>
      <c r="M628" s="5"/>
      <c r="N628" s="5"/>
      <c r="O628" s="8" t="str">
        <f t="shared" si="80"/>
        <v>n/a</v>
      </c>
      <c r="Q628" s="5"/>
      <c r="R628" s="5"/>
      <c r="S628" s="5"/>
      <c r="U628" s="6"/>
      <c r="V628" s="9" t="str">
        <f t="shared" si="83"/>
        <v/>
      </c>
      <c r="W628" s="9" t="str">
        <f t="shared" si="84"/>
        <v/>
      </c>
      <c r="X628" s="10">
        <f>SUM(V$13:V628)/COUNTA(B$13:B628)</f>
        <v>0</v>
      </c>
      <c r="Z628" s="5"/>
      <c r="AA628" s="5"/>
      <c r="AC628" s="7"/>
      <c r="AE628" s="54" t="e">
        <f t="shared" si="85"/>
        <v>#N/A</v>
      </c>
      <c r="AF628" s="4" t="e">
        <f t="shared" si="81"/>
        <v>#N/A</v>
      </c>
    </row>
    <row r="629" spans="2:32">
      <c r="B629" s="5">
        <f t="shared" si="86"/>
        <v>617</v>
      </c>
      <c r="C629" s="5"/>
      <c r="E629" s="13"/>
      <c r="F629" s="5"/>
      <c r="G629" s="11" t="str">
        <f>IF(ISERROR(AVERAGE(F$13:F629)),"n/a",AVERAGE(F$13:F629))</f>
        <v>n/a</v>
      </c>
      <c r="H629" s="11" t="str">
        <f t="shared" si="82"/>
        <v>n/a</v>
      </c>
      <c r="J629" s="5"/>
      <c r="K629" s="5"/>
      <c r="L629" s="5"/>
      <c r="M629" s="5"/>
      <c r="N629" s="5"/>
      <c r="O629" s="8" t="str">
        <f t="shared" si="80"/>
        <v>n/a</v>
      </c>
      <c r="Q629" s="5"/>
      <c r="R629" s="5"/>
      <c r="S629" s="5"/>
      <c r="U629" s="6"/>
      <c r="V629" s="9" t="str">
        <f t="shared" si="83"/>
        <v/>
      </c>
      <c r="W629" s="9" t="str">
        <f t="shared" si="84"/>
        <v/>
      </c>
      <c r="X629" s="10">
        <f>SUM(V$13:V629)/COUNTA(B$13:B629)</f>
        <v>0</v>
      </c>
      <c r="Z629" s="5"/>
      <c r="AA629" s="5"/>
      <c r="AC629" s="7"/>
      <c r="AE629" s="54" t="e">
        <f t="shared" si="85"/>
        <v>#N/A</v>
      </c>
      <c r="AF629" s="4" t="e">
        <f t="shared" si="81"/>
        <v>#N/A</v>
      </c>
    </row>
    <row r="630" spans="2:32">
      <c r="B630" s="5">
        <f t="shared" si="86"/>
        <v>618</v>
      </c>
      <c r="C630" s="5"/>
      <c r="E630" s="13"/>
      <c r="F630" s="5"/>
      <c r="G630" s="11" t="str">
        <f>IF(ISERROR(AVERAGE(F$13:F630)),"n/a",AVERAGE(F$13:F630))</f>
        <v>n/a</v>
      </c>
      <c r="H630" s="11" t="str">
        <f t="shared" si="82"/>
        <v>n/a</v>
      </c>
      <c r="J630" s="5"/>
      <c r="K630" s="5"/>
      <c r="L630" s="5"/>
      <c r="M630" s="5"/>
      <c r="N630" s="5"/>
      <c r="O630" s="8" t="str">
        <f t="shared" si="80"/>
        <v>n/a</v>
      </c>
      <c r="Q630" s="5"/>
      <c r="R630" s="5"/>
      <c r="S630" s="5"/>
      <c r="U630" s="6"/>
      <c r="V630" s="9" t="str">
        <f t="shared" si="83"/>
        <v/>
      </c>
      <c r="W630" s="9" t="str">
        <f t="shared" si="84"/>
        <v/>
      </c>
      <c r="X630" s="10">
        <f>SUM(V$13:V630)/COUNTA(B$13:B630)</f>
        <v>0</v>
      </c>
      <c r="Z630" s="5"/>
      <c r="AA630" s="5"/>
      <c r="AC630" s="7"/>
      <c r="AE630" s="54" t="e">
        <f t="shared" si="85"/>
        <v>#N/A</v>
      </c>
      <c r="AF630" s="4" t="e">
        <f t="shared" si="81"/>
        <v>#N/A</v>
      </c>
    </row>
    <row r="631" spans="2:32">
      <c r="B631" s="5">
        <f t="shared" si="86"/>
        <v>619</v>
      </c>
      <c r="C631" s="5"/>
      <c r="E631" s="13"/>
      <c r="F631" s="5"/>
      <c r="G631" s="11" t="str">
        <f>IF(ISERROR(AVERAGE(F$13:F631)),"n/a",AVERAGE(F$13:F631))</f>
        <v>n/a</v>
      </c>
      <c r="H631" s="11" t="str">
        <f t="shared" si="82"/>
        <v>n/a</v>
      </c>
      <c r="J631" s="5"/>
      <c r="K631" s="5"/>
      <c r="L631" s="5"/>
      <c r="M631" s="5"/>
      <c r="N631" s="5"/>
      <c r="O631" s="8" t="str">
        <f t="shared" si="80"/>
        <v>n/a</v>
      </c>
      <c r="Q631" s="5"/>
      <c r="R631" s="5"/>
      <c r="S631" s="5"/>
      <c r="U631" s="6"/>
      <c r="V631" s="9" t="str">
        <f t="shared" si="83"/>
        <v/>
      </c>
      <c r="W631" s="9" t="str">
        <f t="shared" si="84"/>
        <v/>
      </c>
      <c r="X631" s="10">
        <f>SUM(V$13:V631)/COUNTA(B$13:B631)</f>
        <v>0</v>
      </c>
      <c r="Z631" s="5"/>
      <c r="AA631" s="5"/>
      <c r="AC631" s="7"/>
      <c r="AE631" s="54" t="e">
        <f t="shared" si="85"/>
        <v>#N/A</v>
      </c>
      <c r="AF631" s="4" t="e">
        <f t="shared" si="81"/>
        <v>#N/A</v>
      </c>
    </row>
    <row r="632" spans="2:32">
      <c r="B632" s="5">
        <f t="shared" si="86"/>
        <v>620</v>
      </c>
      <c r="C632" s="5"/>
      <c r="E632" s="13"/>
      <c r="F632" s="5"/>
      <c r="G632" s="11" t="str">
        <f>IF(ISERROR(AVERAGE(F$13:F632)),"n/a",AVERAGE(F$13:F632))</f>
        <v>n/a</v>
      </c>
      <c r="H632" s="11" t="str">
        <f t="shared" si="82"/>
        <v>n/a</v>
      </c>
      <c r="J632" s="5"/>
      <c r="K632" s="5"/>
      <c r="L632" s="5"/>
      <c r="M632" s="5"/>
      <c r="N632" s="5"/>
      <c r="O632" s="8" t="str">
        <f t="shared" si="80"/>
        <v>n/a</v>
      </c>
      <c r="Q632" s="5"/>
      <c r="R632" s="5"/>
      <c r="S632" s="5"/>
      <c r="U632" s="6"/>
      <c r="V632" s="9" t="str">
        <f t="shared" si="83"/>
        <v/>
      </c>
      <c r="W632" s="9" t="str">
        <f t="shared" si="84"/>
        <v/>
      </c>
      <c r="X632" s="10">
        <f>SUM(V$13:V632)/COUNTA(B$13:B632)</f>
        <v>0</v>
      </c>
      <c r="Z632" s="5"/>
      <c r="AA632" s="5"/>
      <c r="AC632" s="7"/>
      <c r="AE632" s="54" t="e">
        <f t="shared" si="85"/>
        <v>#N/A</v>
      </c>
      <c r="AF632" s="4" t="e">
        <f t="shared" si="81"/>
        <v>#N/A</v>
      </c>
    </row>
    <row r="633" spans="2:32">
      <c r="B633" s="5">
        <f t="shared" si="86"/>
        <v>621</v>
      </c>
      <c r="C633" s="5"/>
      <c r="E633" s="13"/>
      <c r="F633" s="5"/>
      <c r="G633" s="11" t="str">
        <f>IF(ISERROR(AVERAGE(F$13:F633)),"n/a",AVERAGE(F$13:F633))</f>
        <v>n/a</v>
      </c>
      <c r="H633" s="11" t="str">
        <f t="shared" si="82"/>
        <v>n/a</v>
      </c>
      <c r="J633" s="5"/>
      <c r="K633" s="5"/>
      <c r="L633" s="5"/>
      <c r="M633" s="5"/>
      <c r="N633" s="5"/>
      <c r="O633" s="8" t="str">
        <f t="shared" si="80"/>
        <v>n/a</v>
      </c>
      <c r="Q633" s="5"/>
      <c r="R633" s="5"/>
      <c r="S633" s="5"/>
      <c r="U633" s="6"/>
      <c r="V633" s="9" t="str">
        <f t="shared" si="83"/>
        <v/>
      </c>
      <c r="W633" s="9" t="str">
        <f t="shared" si="84"/>
        <v/>
      </c>
      <c r="X633" s="10">
        <f>SUM(V$13:V633)/COUNTA(B$13:B633)</f>
        <v>0</v>
      </c>
      <c r="Z633" s="5"/>
      <c r="AA633" s="5"/>
      <c r="AC633" s="7"/>
      <c r="AE633" s="54" t="e">
        <f t="shared" si="85"/>
        <v>#N/A</v>
      </c>
      <c r="AF633" s="4" t="e">
        <f t="shared" si="81"/>
        <v>#N/A</v>
      </c>
    </row>
    <row r="634" spans="2:32">
      <c r="B634" s="5">
        <f t="shared" si="86"/>
        <v>622</v>
      </c>
      <c r="C634" s="5"/>
      <c r="E634" s="13"/>
      <c r="F634" s="5"/>
      <c r="G634" s="11" t="str">
        <f>IF(ISERROR(AVERAGE(F$13:F634)),"n/a",AVERAGE(F$13:F634))</f>
        <v>n/a</v>
      </c>
      <c r="H634" s="11" t="str">
        <f t="shared" si="82"/>
        <v>n/a</v>
      </c>
      <c r="J634" s="5"/>
      <c r="K634" s="5"/>
      <c r="L634" s="5"/>
      <c r="M634" s="5"/>
      <c r="N634" s="5"/>
      <c r="O634" s="8" t="str">
        <f t="shared" si="80"/>
        <v>n/a</v>
      </c>
      <c r="Q634" s="5"/>
      <c r="R634" s="5"/>
      <c r="S634" s="5"/>
      <c r="U634" s="6"/>
      <c r="V634" s="9" t="str">
        <f t="shared" si="83"/>
        <v/>
      </c>
      <c r="W634" s="9" t="str">
        <f t="shared" si="84"/>
        <v/>
      </c>
      <c r="X634" s="10">
        <f>SUM(V$13:V634)/COUNTA(B$13:B634)</f>
        <v>0</v>
      </c>
      <c r="Z634" s="5"/>
      <c r="AA634" s="5"/>
      <c r="AC634" s="7"/>
      <c r="AE634" s="54" t="e">
        <f t="shared" si="85"/>
        <v>#N/A</v>
      </c>
      <c r="AF634" s="4" t="e">
        <f t="shared" si="81"/>
        <v>#N/A</v>
      </c>
    </row>
    <row r="635" spans="2:32">
      <c r="B635" s="5">
        <f t="shared" si="86"/>
        <v>623</v>
      </c>
      <c r="C635" s="5"/>
      <c r="E635" s="13"/>
      <c r="F635" s="5"/>
      <c r="G635" s="11" t="str">
        <f>IF(ISERROR(AVERAGE(F$13:F635)),"n/a",AVERAGE(F$13:F635))</f>
        <v>n/a</v>
      </c>
      <c r="H635" s="11" t="str">
        <f t="shared" si="82"/>
        <v>n/a</v>
      </c>
      <c r="J635" s="5"/>
      <c r="K635" s="5"/>
      <c r="L635" s="5"/>
      <c r="M635" s="5"/>
      <c r="N635" s="5"/>
      <c r="O635" s="8" t="str">
        <f t="shared" si="80"/>
        <v>n/a</v>
      </c>
      <c r="Q635" s="5"/>
      <c r="R635" s="5"/>
      <c r="S635" s="5"/>
      <c r="U635" s="6"/>
      <c r="V635" s="9" t="str">
        <f t="shared" si="83"/>
        <v/>
      </c>
      <c r="W635" s="9" t="str">
        <f t="shared" si="84"/>
        <v/>
      </c>
      <c r="X635" s="10">
        <f>SUM(V$13:V635)/COUNTA(B$13:B635)</f>
        <v>0</v>
      </c>
      <c r="Z635" s="5"/>
      <c r="AA635" s="5"/>
      <c r="AC635" s="7"/>
      <c r="AE635" s="54" t="e">
        <f t="shared" si="85"/>
        <v>#N/A</v>
      </c>
      <c r="AF635" s="4" t="e">
        <f t="shared" si="81"/>
        <v>#N/A</v>
      </c>
    </row>
    <row r="636" spans="2:32">
      <c r="B636" s="5">
        <f t="shared" si="86"/>
        <v>624</v>
      </c>
      <c r="C636" s="5"/>
      <c r="E636" s="13"/>
      <c r="F636" s="5"/>
      <c r="G636" s="11" t="str">
        <f>IF(ISERROR(AVERAGE(F$13:F636)),"n/a",AVERAGE(F$13:F636))</f>
        <v>n/a</v>
      </c>
      <c r="H636" s="11" t="str">
        <f t="shared" si="82"/>
        <v>n/a</v>
      </c>
      <c r="J636" s="5"/>
      <c r="K636" s="5"/>
      <c r="L636" s="5"/>
      <c r="M636" s="5"/>
      <c r="N636" s="5"/>
      <c r="O636" s="8" t="str">
        <f t="shared" si="80"/>
        <v>n/a</v>
      </c>
      <c r="Q636" s="5"/>
      <c r="R636" s="5"/>
      <c r="S636" s="5"/>
      <c r="U636" s="6"/>
      <c r="V636" s="9" t="str">
        <f t="shared" si="83"/>
        <v/>
      </c>
      <c r="W636" s="9" t="str">
        <f t="shared" si="84"/>
        <v/>
      </c>
      <c r="X636" s="10">
        <f>SUM(V$13:V636)/COUNTA(B$13:B636)</f>
        <v>0</v>
      </c>
      <c r="Z636" s="5"/>
      <c r="AA636" s="5"/>
      <c r="AC636" s="7"/>
      <c r="AE636" s="54" t="e">
        <f t="shared" si="85"/>
        <v>#N/A</v>
      </c>
      <c r="AF636" s="4" t="e">
        <f t="shared" si="81"/>
        <v>#N/A</v>
      </c>
    </row>
    <row r="637" spans="2:32">
      <c r="B637" s="5">
        <f t="shared" si="86"/>
        <v>625</v>
      </c>
      <c r="C637" s="5"/>
      <c r="E637" s="13"/>
      <c r="F637" s="5"/>
      <c r="G637" s="11" t="str">
        <f>IF(ISERROR(AVERAGE(F$13:F637)),"n/a",AVERAGE(F$13:F637))</f>
        <v>n/a</v>
      </c>
      <c r="H637" s="11" t="str">
        <f t="shared" si="82"/>
        <v>n/a</v>
      </c>
      <c r="J637" s="5"/>
      <c r="K637" s="5"/>
      <c r="L637" s="5"/>
      <c r="M637" s="5"/>
      <c r="N637" s="5"/>
      <c r="O637" s="8" t="str">
        <f t="shared" si="80"/>
        <v>n/a</v>
      </c>
      <c r="Q637" s="5"/>
      <c r="R637" s="5"/>
      <c r="S637" s="5"/>
      <c r="U637" s="6"/>
      <c r="V637" s="9" t="str">
        <f t="shared" si="83"/>
        <v/>
      </c>
      <c r="W637" s="9" t="str">
        <f t="shared" si="84"/>
        <v/>
      </c>
      <c r="X637" s="10">
        <f>SUM(V$13:V637)/COUNTA(B$13:B637)</f>
        <v>0</v>
      </c>
      <c r="Z637" s="5"/>
      <c r="AA637" s="5"/>
      <c r="AC637" s="7"/>
      <c r="AE637" s="54" t="e">
        <f t="shared" si="85"/>
        <v>#N/A</v>
      </c>
      <c r="AF637" s="4" t="e">
        <f t="shared" si="81"/>
        <v>#N/A</v>
      </c>
    </row>
    <row r="638" spans="2:32">
      <c r="B638" s="5">
        <f t="shared" si="86"/>
        <v>626</v>
      </c>
      <c r="C638" s="5"/>
      <c r="E638" s="13"/>
      <c r="F638" s="5"/>
      <c r="G638" s="11" t="str">
        <f>IF(ISERROR(AVERAGE(F$13:F638)),"n/a",AVERAGE(F$13:F638))</f>
        <v>n/a</v>
      </c>
      <c r="H638" s="11" t="str">
        <f t="shared" si="82"/>
        <v>n/a</v>
      </c>
      <c r="J638" s="5"/>
      <c r="K638" s="5"/>
      <c r="L638" s="5"/>
      <c r="M638" s="5"/>
      <c r="N638" s="5"/>
      <c r="O638" s="8" t="str">
        <f t="shared" si="80"/>
        <v>n/a</v>
      </c>
      <c r="Q638" s="5"/>
      <c r="R638" s="5"/>
      <c r="S638" s="5"/>
      <c r="U638" s="6"/>
      <c r="V638" s="9" t="str">
        <f t="shared" si="83"/>
        <v/>
      </c>
      <c r="W638" s="9" t="str">
        <f t="shared" si="84"/>
        <v/>
      </c>
      <c r="X638" s="10">
        <f>SUM(V$13:V638)/COUNTA(B$13:B638)</f>
        <v>0</v>
      </c>
      <c r="Z638" s="5"/>
      <c r="AA638" s="5"/>
      <c r="AC638" s="7"/>
      <c r="AE638" s="54" t="e">
        <f t="shared" si="85"/>
        <v>#N/A</v>
      </c>
      <c r="AF638" s="4" t="e">
        <f t="shared" si="81"/>
        <v>#N/A</v>
      </c>
    </row>
    <row r="639" spans="2:32">
      <c r="B639" s="5">
        <f t="shared" si="86"/>
        <v>627</v>
      </c>
      <c r="C639" s="5"/>
      <c r="E639" s="13"/>
      <c r="F639" s="5"/>
      <c r="G639" s="11" t="str">
        <f>IF(ISERROR(AVERAGE(F$13:F639)),"n/a",AVERAGE(F$13:F639))</f>
        <v>n/a</v>
      </c>
      <c r="H639" s="11" t="str">
        <f t="shared" si="82"/>
        <v>n/a</v>
      </c>
      <c r="J639" s="5"/>
      <c r="K639" s="5"/>
      <c r="L639" s="5"/>
      <c r="M639" s="5"/>
      <c r="N639" s="5"/>
      <c r="O639" s="8" t="str">
        <f t="shared" si="80"/>
        <v>n/a</v>
      </c>
      <c r="Q639" s="5"/>
      <c r="R639" s="5"/>
      <c r="S639" s="5"/>
      <c r="U639" s="6"/>
      <c r="V639" s="9" t="str">
        <f t="shared" si="83"/>
        <v/>
      </c>
      <c r="W639" s="9" t="str">
        <f t="shared" si="84"/>
        <v/>
      </c>
      <c r="X639" s="10">
        <f>SUM(V$13:V639)/COUNTA(B$13:B639)</f>
        <v>0</v>
      </c>
      <c r="Z639" s="5"/>
      <c r="AA639" s="5"/>
      <c r="AC639" s="7"/>
      <c r="AE639" s="54" t="e">
        <f t="shared" si="85"/>
        <v>#N/A</v>
      </c>
      <c r="AF639" s="4" t="e">
        <f t="shared" si="81"/>
        <v>#N/A</v>
      </c>
    </row>
    <row r="640" spans="2:32">
      <c r="B640" s="5">
        <f t="shared" si="86"/>
        <v>628</v>
      </c>
      <c r="C640" s="5"/>
      <c r="E640" s="13"/>
      <c r="F640" s="5"/>
      <c r="G640" s="11" t="str">
        <f>IF(ISERROR(AVERAGE(F$13:F640)),"n/a",AVERAGE(F$13:F640))</f>
        <v>n/a</v>
      </c>
      <c r="H640" s="11" t="str">
        <f t="shared" si="82"/>
        <v>n/a</v>
      </c>
      <c r="J640" s="5"/>
      <c r="K640" s="5"/>
      <c r="L640" s="5"/>
      <c r="M640" s="5"/>
      <c r="N640" s="5"/>
      <c r="O640" s="8" t="str">
        <f t="shared" si="80"/>
        <v>n/a</v>
      </c>
      <c r="Q640" s="5"/>
      <c r="R640" s="5"/>
      <c r="S640" s="5"/>
      <c r="U640" s="6"/>
      <c r="V640" s="9" t="str">
        <f t="shared" si="83"/>
        <v/>
      </c>
      <c r="W640" s="9" t="str">
        <f t="shared" si="84"/>
        <v/>
      </c>
      <c r="X640" s="10">
        <f>SUM(V$13:V640)/COUNTA(B$13:B640)</f>
        <v>0</v>
      </c>
      <c r="Z640" s="5"/>
      <c r="AA640" s="5"/>
      <c r="AC640" s="7"/>
      <c r="AE640" s="54" t="e">
        <f t="shared" si="85"/>
        <v>#N/A</v>
      </c>
      <c r="AF640" s="4" t="e">
        <f t="shared" si="81"/>
        <v>#N/A</v>
      </c>
    </row>
    <row r="641" spans="2:32">
      <c r="B641" s="5">
        <f t="shared" si="86"/>
        <v>629</v>
      </c>
      <c r="C641" s="5"/>
      <c r="E641" s="13"/>
      <c r="F641" s="5"/>
      <c r="G641" s="11" t="str">
        <f>IF(ISERROR(AVERAGE(F$13:F641)),"n/a",AVERAGE(F$13:F641))</f>
        <v>n/a</v>
      </c>
      <c r="H641" s="11" t="str">
        <f t="shared" si="82"/>
        <v>n/a</v>
      </c>
      <c r="J641" s="5"/>
      <c r="K641" s="5"/>
      <c r="L641" s="5"/>
      <c r="M641" s="5"/>
      <c r="N641" s="5"/>
      <c r="O641" s="8" t="str">
        <f t="shared" si="80"/>
        <v>n/a</v>
      </c>
      <c r="Q641" s="5"/>
      <c r="R641" s="5"/>
      <c r="S641" s="5"/>
      <c r="U641" s="6"/>
      <c r="V641" s="9" t="str">
        <f t="shared" si="83"/>
        <v/>
      </c>
      <c r="W641" s="9" t="str">
        <f t="shared" si="84"/>
        <v/>
      </c>
      <c r="X641" s="10">
        <f>SUM(V$13:V641)/COUNTA(B$13:B641)</f>
        <v>0</v>
      </c>
      <c r="Z641" s="5"/>
      <c r="AA641" s="5"/>
      <c r="AC641" s="7"/>
      <c r="AE641" s="54" t="e">
        <f t="shared" si="85"/>
        <v>#N/A</v>
      </c>
      <c r="AF641" s="4" t="e">
        <f t="shared" si="81"/>
        <v>#N/A</v>
      </c>
    </row>
    <row r="642" spans="2:32">
      <c r="B642" s="5">
        <f t="shared" si="86"/>
        <v>630</v>
      </c>
      <c r="C642" s="5"/>
      <c r="E642" s="13"/>
      <c r="F642" s="5"/>
      <c r="G642" s="11" t="str">
        <f>IF(ISERROR(AVERAGE(F$13:F642)),"n/a",AVERAGE(F$13:F642))</f>
        <v>n/a</v>
      </c>
      <c r="H642" s="11" t="str">
        <f t="shared" si="82"/>
        <v>n/a</v>
      </c>
      <c r="J642" s="5"/>
      <c r="K642" s="5"/>
      <c r="L642" s="5"/>
      <c r="M642" s="5"/>
      <c r="N642" s="5"/>
      <c r="O642" s="8" t="str">
        <f t="shared" si="80"/>
        <v>n/a</v>
      </c>
      <c r="Q642" s="5"/>
      <c r="R642" s="5"/>
      <c r="S642" s="5"/>
      <c r="U642" s="6"/>
      <c r="V642" s="9" t="str">
        <f t="shared" si="83"/>
        <v/>
      </c>
      <c r="W642" s="9" t="str">
        <f t="shared" si="84"/>
        <v/>
      </c>
      <c r="X642" s="10">
        <f>SUM(V$13:V642)/COUNTA(B$13:B642)</f>
        <v>0</v>
      </c>
      <c r="Z642" s="5"/>
      <c r="AA642" s="5"/>
      <c r="AC642" s="7"/>
      <c r="AE642" s="54" t="e">
        <f t="shared" si="85"/>
        <v>#N/A</v>
      </c>
      <c r="AF642" s="4" t="e">
        <f t="shared" si="81"/>
        <v>#N/A</v>
      </c>
    </row>
    <row r="643" spans="2:32">
      <c r="B643" s="5">
        <f t="shared" si="86"/>
        <v>631</v>
      </c>
      <c r="C643" s="5"/>
      <c r="E643" s="13"/>
      <c r="F643" s="5"/>
      <c r="G643" s="11" t="str">
        <f>IF(ISERROR(AVERAGE(F$13:F643)),"n/a",AVERAGE(F$13:F643))</f>
        <v>n/a</v>
      </c>
      <c r="H643" s="11" t="str">
        <f t="shared" si="82"/>
        <v>n/a</v>
      </c>
      <c r="J643" s="5"/>
      <c r="K643" s="5"/>
      <c r="L643" s="5"/>
      <c r="M643" s="5"/>
      <c r="N643" s="5"/>
      <c r="O643" s="8" t="str">
        <f t="shared" si="80"/>
        <v>n/a</v>
      </c>
      <c r="Q643" s="5"/>
      <c r="R643" s="5"/>
      <c r="S643" s="5"/>
      <c r="U643" s="6"/>
      <c r="V643" s="9" t="str">
        <f t="shared" si="83"/>
        <v/>
      </c>
      <c r="W643" s="9" t="str">
        <f t="shared" si="84"/>
        <v/>
      </c>
      <c r="X643" s="10">
        <f>SUM(V$13:V643)/COUNTA(B$13:B643)</f>
        <v>0</v>
      </c>
      <c r="Z643" s="5"/>
      <c r="AA643" s="5"/>
      <c r="AC643" s="7"/>
      <c r="AE643" s="54" t="e">
        <f t="shared" si="85"/>
        <v>#N/A</v>
      </c>
      <c r="AF643" s="4" t="e">
        <f t="shared" si="81"/>
        <v>#N/A</v>
      </c>
    </row>
    <row r="644" spans="2:32">
      <c r="B644" s="5">
        <f t="shared" si="86"/>
        <v>632</v>
      </c>
      <c r="C644" s="5"/>
      <c r="E644" s="13"/>
      <c r="F644" s="5"/>
      <c r="G644" s="11" t="str">
        <f>IF(ISERROR(AVERAGE(F$13:F644)),"n/a",AVERAGE(F$13:F644))</f>
        <v>n/a</v>
      </c>
      <c r="H644" s="11" t="str">
        <f t="shared" si="82"/>
        <v>n/a</v>
      </c>
      <c r="J644" s="5"/>
      <c r="K644" s="5"/>
      <c r="L644" s="5"/>
      <c r="M644" s="5"/>
      <c r="N644" s="5"/>
      <c r="O644" s="8" t="str">
        <f t="shared" si="80"/>
        <v>n/a</v>
      </c>
      <c r="Q644" s="5"/>
      <c r="R644" s="5"/>
      <c r="S644" s="5"/>
      <c r="U644" s="6"/>
      <c r="V644" s="9" t="str">
        <f t="shared" si="83"/>
        <v/>
      </c>
      <c r="W644" s="9" t="str">
        <f t="shared" si="84"/>
        <v/>
      </c>
      <c r="X644" s="10">
        <f>SUM(V$13:V644)/COUNTA(B$13:B644)</f>
        <v>0</v>
      </c>
      <c r="Z644" s="5"/>
      <c r="AA644" s="5"/>
      <c r="AC644" s="7"/>
      <c r="AE644" s="54" t="e">
        <f t="shared" si="85"/>
        <v>#N/A</v>
      </c>
      <c r="AF644" s="4" t="e">
        <f t="shared" si="81"/>
        <v>#N/A</v>
      </c>
    </row>
    <row r="645" spans="2:32">
      <c r="B645" s="5">
        <f t="shared" si="86"/>
        <v>633</v>
      </c>
      <c r="C645" s="5"/>
      <c r="E645" s="13"/>
      <c r="F645" s="5"/>
      <c r="G645" s="11" t="str">
        <f>IF(ISERROR(AVERAGE(F$13:F645)),"n/a",AVERAGE(F$13:F645))</f>
        <v>n/a</v>
      </c>
      <c r="H645" s="11" t="str">
        <f t="shared" si="82"/>
        <v>n/a</v>
      </c>
      <c r="J645" s="5"/>
      <c r="K645" s="5"/>
      <c r="L645" s="5"/>
      <c r="M645" s="5"/>
      <c r="N645" s="5"/>
      <c r="O645" s="8" t="str">
        <f t="shared" si="80"/>
        <v>n/a</v>
      </c>
      <c r="Q645" s="5"/>
      <c r="R645" s="5"/>
      <c r="S645" s="5"/>
      <c r="U645" s="6"/>
      <c r="V645" s="9" t="str">
        <f t="shared" si="83"/>
        <v/>
      </c>
      <c r="W645" s="9" t="str">
        <f t="shared" si="84"/>
        <v/>
      </c>
      <c r="X645" s="10">
        <f>SUM(V$13:V645)/COUNTA(B$13:B645)</f>
        <v>0</v>
      </c>
      <c r="Z645" s="5"/>
      <c r="AA645" s="5"/>
      <c r="AC645" s="7"/>
      <c r="AE645" s="54" t="e">
        <f t="shared" si="85"/>
        <v>#N/A</v>
      </c>
      <c r="AF645" s="4" t="e">
        <f t="shared" si="81"/>
        <v>#N/A</v>
      </c>
    </row>
    <row r="646" spans="2:32">
      <c r="B646" s="5">
        <f t="shared" si="86"/>
        <v>634</v>
      </c>
      <c r="C646" s="5"/>
      <c r="E646" s="13"/>
      <c r="F646" s="5"/>
      <c r="G646" s="11" t="str">
        <f>IF(ISERROR(AVERAGE(F$13:F646)),"n/a",AVERAGE(F$13:F646))</f>
        <v>n/a</v>
      </c>
      <c r="H646" s="11" t="str">
        <f t="shared" si="82"/>
        <v>n/a</v>
      </c>
      <c r="J646" s="5"/>
      <c r="K646" s="5"/>
      <c r="L646" s="5"/>
      <c r="M646" s="5"/>
      <c r="N646" s="5"/>
      <c r="O646" s="8" t="str">
        <f t="shared" si="80"/>
        <v>n/a</v>
      </c>
      <c r="Q646" s="5"/>
      <c r="R646" s="5"/>
      <c r="S646" s="5"/>
      <c r="U646" s="6"/>
      <c r="V646" s="9" t="str">
        <f t="shared" si="83"/>
        <v/>
      </c>
      <c r="W646" s="9" t="str">
        <f t="shared" si="84"/>
        <v/>
      </c>
      <c r="X646" s="10">
        <f>SUM(V$13:V646)/COUNTA(B$13:B646)</f>
        <v>0</v>
      </c>
      <c r="Z646" s="5"/>
      <c r="AA646" s="5"/>
      <c r="AC646" s="7"/>
      <c r="AE646" s="54" t="e">
        <f t="shared" si="85"/>
        <v>#N/A</v>
      </c>
      <c r="AF646" s="4" t="e">
        <f t="shared" si="81"/>
        <v>#N/A</v>
      </c>
    </row>
    <row r="647" spans="2:32">
      <c r="B647" s="5">
        <f t="shared" si="86"/>
        <v>635</v>
      </c>
      <c r="C647" s="5"/>
      <c r="E647" s="13"/>
      <c r="F647" s="5"/>
      <c r="G647" s="11" t="str">
        <f>IF(ISERROR(AVERAGE(F$13:F647)),"n/a",AVERAGE(F$13:F647))</f>
        <v>n/a</v>
      </c>
      <c r="H647" s="11" t="str">
        <f t="shared" si="82"/>
        <v>n/a</v>
      </c>
      <c r="J647" s="5"/>
      <c r="K647" s="5"/>
      <c r="L647" s="5"/>
      <c r="M647" s="5"/>
      <c r="N647" s="5"/>
      <c r="O647" s="8" t="str">
        <f t="shared" si="80"/>
        <v>n/a</v>
      </c>
      <c r="Q647" s="5"/>
      <c r="R647" s="5"/>
      <c r="S647" s="5"/>
      <c r="U647" s="6"/>
      <c r="V647" s="9" t="str">
        <f t="shared" si="83"/>
        <v/>
      </c>
      <c r="W647" s="9" t="str">
        <f t="shared" si="84"/>
        <v/>
      </c>
      <c r="X647" s="10">
        <f>SUM(V$13:V647)/COUNTA(B$13:B647)</f>
        <v>0</v>
      </c>
      <c r="Z647" s="5"/>
      <c r="AA647" s="5"/>
      <c r="AC647" s="7"/>
      <c r="AE647" s="54" t="e">
        <f t="shared" si="85"/>
        <v>#N/A</v>
      </c>
      <c r="AF647" s="4" t="e">
        <f t="shared" si="81"/>
        <v>#N/A</v>
      </c>
    </row>
    <row r="648" spans="2:32">
      <c r="B648" s="5">
        <f t="shared" si="86"/>
        <v>636</v>
      </c>
      <c r="C648" s="5"/>
      <c r="E648" s="13"/>
      <c r="F648" s="5"/>
      <c r="G648" s="11" t="str">
        <f>IF(ISERROR(AVERAGE(F$13:F648)),"n/a",AVERAGE(F$13:F648))</f>
        <v>n/a</v>
      </c>
      <c r="H648" s="11" t="str">
        <f t="shared" si="82"/>
        <v>n/a</v>
      </c>
      <c r="J648" s="5"/>
      <c r="K648" s="5"/>
      <c r="L648" s="5"/>
      <c r="M648" s="5"/>
      <c r="N648" s="5"/>
      <c r="O648" s="8" t="str">
        <f t="shared" si="80"/>
        <v>n/a</v>
      </c>
      <c r="Q648" s="5"/>
      <c r="R648" s="5"/>
      <c r="S648" s="5"/>
      <c r="U648" s="6"/>
      <c r="V648" s="9" t="str">
        <f t="shared" si="83"/>
        <v/>
      </c>
      <c r="W648" s="9" t="str">
        <f t="shared" si="84"/>
        <v/>
      </c>
      <c r="X648" s="10">
        <f>SUM(V$13:V648)/COUNTA(B$13:B648)</f>
        <v>0</v>
      </c>
      <c r="Z648" s="5"/>
      <c r="AA648" s="5"/>
      <c r="AC648" s="7"/>
      <c r="AE648" s="54" t="e">
        <f t="shared" si="85"/>
        <v>#N/A</v>
      </c>
      <c r="AF648" s="4" t="e">
        <f t="shared" si="81"/>
        <v>#N/A</v>
      </c>
    </row>
    <row r="649" spans="2:32">
      <c r="B649" s="5">
        <f t="shared" si="86"/>
        <v>637</v>
      </c>
      <c r="C649" s="5"/>
      <c r="E649" s="13"/>
      <c r="F649" s="5"/>
      <c r="G649" s="11" t="str">
        <f>IF(ISERROR(AVERAGE(F$13:F649)),"n/a",AVERAGE(F$13:F649))</f>
        <v>n/a</v>
      </c>
      <c r="H649" s="11" t="str">
        <f t="shared" si="82"/>
        <v>n/a</v>
      </c>
      <c r="J649" s="5"/>
      <c r="K649" s="5"/>
      <c r="L649" s="5"/>
      <c r="M649" s="5"/>
      <c r="N649" s="5"/>
      <c r="O649" s="8" t="str">
        <f t="shared" si="80"/>
        <v>n/a</v>
      </c>
      <c r="Q649" s="5"/>
      <c r="R649" s="5"/>
      <c r="S649" s="5"/>
      <c r="U649" s="6"/>
      <c r="V649" s="9" t="str">
        <f t="shared" si="83"/>
        <v/>
      </c>
      <c r="W649" s="9" t="str">
        <f t="shared" si="84"/>
        <v/>
      </c>
      <c r="X649" s="10">
        <f>SUM(V$13:V649)/COUNTA(B$13:B649)</f>
        <v>0</v>
      </c>
      <c r="Z649" s="5"/>
      <c r="AA649" s="5"/>
      <c r="AC649" s="7"/>
      <c r="AE649" s="54" t="e">
        <f t="shared" si="85"/>
        <v>#N/A</v>
      </c>
      <c r="AF649" s="4" t="e">
        <f t="shared" si="81"/>
        <v>#N/A</v>
      </c>
    </row>
    <row r="650" spans="2:32">
      <c r="B650" s="5">
        <f t="shared" si="86"/>
        <v>638</v>
      </c>
      <c r="C650" s="5"/>
      <c r="E650" s="13"/>
      <c r="F650" s="5"/>
      <c r="G650" s="11" t="str">
        <f>IF(ISERROR(AVERAGE(F$13:F650)),"n/a",AVERAGE(F$13:F650))</f>
        <v>n/a</v>
      </c>
      <c r="H650" s="11" t="str">
        <f t="shared" si="82"/>
        <v>n/a</v>
      </c>
      <c r="J650" s="5"/>
      <c r="K650" s="5"/>
      <c r="L650" s="5"/>
      <c r="M650" s="5"/>
      <c r="N650" s="5"/>
      <c r="O650" s="8" t="str">
        <f t="shared" si="80"/>
        <v>n/a</v>
      </c>
      <c r="Q650" s="5"/>
      <c r="R650" s="5"/>
      <c r="S650" s="5"/>
      <c r="U650" s="6"/>
      <c r="V650" s="9" t="str">
        <f t="shared" si="83"/>
        <v/>
      </c>
      <c r="W650" s="9" t="str">
        <f t="shared" si="84"/>
        <v/>
      </c>
      <c r="X650" s="10">
        <f>SUM(V$13:V650)/COUNTA(B$13:B650)</f>
        <v>0</v>
      </c>
      <c r="Z650" s="5"/>
      <c r="AA650" s="5"/>
      <c r="AC650" s="7"/>
      <c r="AE650" s="54" t="e">
        <f t="shared" si="85"/>
        <v>#N/A</v>
      </c>
      <c r="AF650" s="4" t="e">
        <f t="shared" si="81"/>
        <v>#N/A</v>
      </c>
    </row>
    <row r="651" spans="2:32">
      <c r="B651" s="5">
        <f t="shared" si="86"/>
        <v>639</v>
      </c>
      <c r="C651" s="5"/>
      <c r="E651" s="13"/>
      <c r="F651" s="5"/>
      <c r="G651" s="11" t="str">
        <f>IF(ISERROR(AVERAGE(F$13:F651)),"n/a",AVERAGE(F$13:F651))</f>
        <v>n/a</v>
      </c>
      <c r="H651" s="11" t="str">
        <f t="shared" si="82"/>
        <v>n/a</v>
      </c>
      <c r="J651" s="5"/>
      <c r="K651" s="5"/>
      <c r="L651" s="5"/>
      <c r="M651" s="5"/>
      <c r="N651" s="5"/>
      <c r="O651" s="8" t="str">
        <f t="shared" si="80"/>
        <v>n/a</v>
      </c>
      <c r="Q651" s="5"/>
      <c r="R651" s="5"/>
      <c r="S651" s="5"/>
      <c r="U651" s="6"/>
      <c r="V651" s="9" t="str">
        <f t="shared" si="83"/>
        <v/>
      </c>
      <c r="W651" s="9" t="str">
        <f t="shared" si="84"/>
        <v/>
      </c>
      <c r="X651" s="10">
        <f>SUM(V$13:V651)/COUNTA(B$13:B651)</f>
        <v>0</v>
      </c>
      <c r="Z651" s="5"/>
      <c r="AA651" s="5"/>
      <c r="AC651" s="7"/>
      <c r="AE651" s="54" t="e">
        <f t="shared" si="85"/>
        <v>#N/A</v>
      </c>
      <c r="AF651" s="4" t="e">
        <f t="shared" si="81"/>
        <v>#N/A</v>
      </c>
    </row>
    <row r="652" spans="2:32">
      <c r="B652" s="5">
        <f t="shared" si="86"/>
        <v>640</v>
      </c>
      <c r="C652" s="5"/>
      <c r="E652" s="13"/>
      <c r="F652" s="5"/>
      <c r="G652" s="11" t="str">
        <f>IF(ISERROR(AVERAGE(F$13:F652)),"n/a",AVERAGE(F$13:F652))</f>
        <v>n/a</v>
      </c>
      <c r="H652" s="11" t="str">
        <f t="shared" si="82"/>
        <v>n/a</v>
      </c>
      <c r="J652" s="5"/>
      <c r="K652" s="5"/>
      <c r="L652" s="5"/>
      <c r="M652" s="5"/>
      <c r="N652" s="5"/>
      <c r="O652" s="8" t="str">
        <f t="shared" si="80"/>
        <v>n/a</v>
      </c>
      <c r="Q652" s="5"/>
      <c r="R652" s="5"/>
      <c r="S652" s="5"/>
      <c r="U652" s="6"/>
      <c r="V652" s="9" t="str">
        <f t="shared" si="83"/>
        <v/>
      </c>
      <c r="W652" s="9" t="str">
        <f t="shared" si="84"/>
        <v/>
      </c>
      <c r="X652" s="10">
        <f>SUM(V$13:V652)/COUNTA(B$13:B652)</f>
        <v>0</v>
      </c>
      <c r="Z652" s="5"/>
      <c r="AA652" s="5"/>
      <c r="AC652" s="7"/>
      <c r="AE652" s="54" t="e">
        <f t="shared" si="85"/>
        <v>#N/A</v>
      </c>
      <c r="AF652" s="4" t="e">
        <f t="shared" si="81"/>
        <v>#N/A</v>
      </c>
    </row>
    <row r="653" spans="2:32">
      <c r="B653" s="5">
        <f t="shared" si="86"/>
        <v>641</v>
      </c>
      <c r="C653" s="5"/>
      <c r="E653" s="13"/>
      <c r="F653" s="5"/>
      <c r="G653" s="11" t="str">
        <f>IF(ISERROR(AVERAGE(F$13:F653)),"n/a",AVERAGE(F$13:F653))</f>
        <v>n/a</v>
      </c>
      <c r="H653" s="11" t="str">
        <f t="shared" si="82"/>
        <v>n/a</v>
      </c>
      <c r="J653" s="5"/>
      <c r="K653" s="5"/>
      <c r="L653" s="5"/>
      <c r="M653" s="5"/>
      <c r="N653" s="5"/>
      <c r="O653" s="8" t="str">
        <f t="shared" ref="O653:O716" si="87">IF(J653=1,"A",IF(K653=1,"B",IF(L653=1,"C",IF(M653=1,"D",IF(N653=1,"E","n/a")))))</f>
        <v>n/a</v>
      </c>
      <c r="Q653" s="5"/>
      <c r="R653" s="5"/>
      <c r="S653" s="5"/>
      <c r="U653" s="6"/>
      <c r="V653" s="9" t="str">
        <f t="shared" si="83"/>
        <v/>
      </c>
      <c r="W653" s="9" t="str">
        <f t="shared" si="84"/>
        <v/>
      </c>
      <c r="X653" s="10">
        <f>SUM(V$13:V653)/COUNTA(B$13:B653)</f>
        <v>0</v>
      </c>
      <c r="Z653" s="5"/>
      <c r="AA653" s="5"/>
      <c r="AC653" s="7"/>
      <c r="AE653" s="54" t="e">
        <f t="shared" si="85"/>
        <v>#N/A</v>
      </c>
      <c r="AF653" s="4" t="e">
        <f t="shared" ref="AF653:AF716" si="88">HLOOKUP(C653,$K$6:$O$7,2,FALSE)</f>
        <v>#N/A</v>
      </c>
    </row>
    <row r="654" spans="2:32">
      <c r="B654" s="5">
        <f t="shared" si="86"/>
        <v>642</v>
      </c>
      <c r="C654" s="5"/>
      <c r="E654" s="13"/>
      <c r="F654" s="5"/>
      <c r="G654" s="11" t="str">
        <f>IF(ISERROR(AVERAGE(F$13:F654)),"n/a",AVERAGE(F$13:F654))</f>
        <v>n/a</v>
      </c>
      <c r="H654" s="11" t="str">
        <f t="shared" ref="H654:H717" si="89">G654</f>
        <v>n/a</v>
      </c>
      <c r="J654" s="5"/>
      <c r="K654" s="5"/>
      <c r="L654" s="5"/>
      <c r="M654" s="5"/>
      <c r="N654" s="5"/>
      <c r="O654" s="8" t="str">
        <f t="shared" si="87"/>
        <v>n/a</v>
      </c>
      <c r="Q654" s="5"/>
      <c r="R654" s="5"/>
      <c r="S654" s="5"/>
      <c r="U654" s="6"/>
      <c r="V654" s="9" t="str">
        <f t="shared" ref="V654:V717" si="90">IF(O654="n/a","",IF(O654=U654,1,""))</f>
        <v/>
      </c>
      <c r="W654" s="9" t="str">
        <f t="shared" ref="W654:W717" si="91">IF(O654="n/a","",IF(O654&lt;&gt;U654,1,""))</f>
        <v/>
      </c>
      <c r="X654" s="10">
        <f>SUM(V$13:V654)/COUNTA(B$13:B654)</f>
        <v>0</v>
      </c>
      <c r="Z654" s="5"/>
      <c r="AA654" s="5"/>
      <c r="AC654" s="7"/>
      <c r="AE654" s="54" t="e">
        <f t="shared" ref="AE654:AE717" si="92">+IF($F$4=0,0,IF(W654=1,1,IF(OR(R654*$F$8=1,S654*$F$9=1,F654&gt;=AF654),2,0)))</f>
        <v>#N/A</v>
      </c>
      <c r="AF654" s="4" t="e">
        <f t="shared" si="88"/>
        <v>#N/A</v>
      </c>
    </row>
    <row r="655" spans="2:32">
      <c r="B655" s="5">
        <f t="shared" si="86"/>
        <v>643</v>
      </c>
      <c r="C655" s="5"/>
      <c r="E655" s="13"/>
      <c r="F655" s="5"/>
      <c r="G655" s="11" t="str">
        <f>IF(ISERROR(AVERAGE(F$13:F655)),"n/a",AVERAGE(F$13:F655))</f>
        <v>n/a</v>
      </c>
      <c r="H655" s="11" t="str">
        <f t="shared" si="89"/>
        <v>n/a</v>
      </c>
      <c r="J655" s="5"/>
      <c r="K655" s="5"/>
      <c r="L655" s="5"/>
      <c r="M655" s="5"/>
      <c r="N655" s="5"/>
      <c r="O655" s="8" t="str">
        <f t="shared" si="87"/>
        <v>n/a</v>
      </c>
      <c r="Q655" s="5"/>
      <c r="R655" s="5"/>
      <c r="S655" s="5"/>
      <c r="U655" s="6"/>
      <c r="V655" s="9" t="str">
        <f t="shared" si="90"/>
        <v/>
      </c>
      <c r="W655" s="9" t="str">
        <f t="shared" si="91"/>
        <v/>
      </c>
      <c r="X655" s="10">
        <f>SUM(V$13:V655)/COUNTA(B$13:B655)</f>
        <v>0</v>
      </c>
      <c r="Z655" s="5"/>
      <c r="AA655" s="5"/>
      <c r="AC655" s="7"/>
      <c r="AE655" s="54" t="e">
        <f t="shared" si="92"/>
        <v>#N/A</v>
      </c>
      <c r="AF655" s="4" t="e">
        <f t="shared" si="88"/>
        <v>#N/A</v>
      </c>
    </row>
    <row r="656" spans="2:32">
      <c r="B656" s="5">
        <f t="shared" si="86"/>
        <v>644</v>
      </c>
      <c r="C656" s="5"/>
      <c r="E656" s="13"/>
      <c r="F656" s="5"/>
      <c r="G656" s="11" t="str">
        <f>IF(ISERROR(AVERAGE(F$13:F656)),"n/a",AVERAGE(F$13:F656))</f>
        <v>n/a</v>
      </c>
      <c r="H656" s="11" t="str">
        <f t="shared" si="89"/>
        <v>n/a</v>
      </c>
      <c r="J656" s="5"/>
      <c r="K656" s="5"/>
      <c r="L656" s="5"/>
      <c r="M656" s="5"/>
      <c r="N656" s="5"/>
      <c r="O656" s="8" t="str">
        <f t="shared" si="87"/>
        <v>n/a</v>
      </c>
      <c r="Q656" s="5"/>
      <c r="R656" s="5"/>
      <c r="S656" s="5"/>
      <c r="U656" s="6"/>
      <c r="V656" s="9" t="str">
        <f t="shared" si="90"/>
        <v/>
      </c>
      <c r="W656" s="9" t="str">
        <f t="shared" si="91"/>
        <v/>
      </c>
      <c r="X656" s="10">
        <f>SUM(V$13:V656)/COUNTA(B$13:B656)</f>
        <v>0</v>
      </c>
      <c r="Z656" s="5"/>
      <c r="AA656" s="5"/>
      <c r="AC656" s="7"/>
      <c r="AE656" s="54" t="e">
        <f t="shared" si="92"/>
        <v>#N/A</v>
      </c>
      <c r="AF656" s="4" t="e">
        <f t="shared" si="88"/>
        <v>#N/A</v>
      </c>
    </row>
    <row r="657" spans="2:32">
      <c r="B657" s="5">
        <f t="shared" si="86"/>
        <v>645</v>
      </c>
      <c r="C657" s="5"/>
      <c r="E657" s="13"/>
      <c r="F657" s="5"/>
      <c r="G657" s="11" t="str">
        <f>IF(ISERROR(AVERAGE(F$13:F657)),"n/a",AVERAGE(F$13:F657))</f>
        <v>n/a</v>
      </c>
      <c r="H657" s="11" t="str">
        <f t="shared" si="89"/>
        <v>n/a</v>
      </c>
      <c r="J657" s="5"/>
      <c r="K657" s="5"/>
      <c r="L657" s="5"/>
      <c r="M657" s="5"/>
      <c r="N657" s="5"/>
      <c r="O657" s="8" t="str">
        <f t="shared" si="87"/>
        <v>n/a</v>
      </c>
      <c r="Q657" s="5"/>
      <c r="R657" s="5"/>
      <c r="S657" s="5"/>
      <c r="U657" s="6"/>
      <c r="V657" s="9" t="str">
        <f t="shared" si="90"/>
        <v/>
      </c>
      <c r="W657" s="9" t="str">
        <f t="shared" si="91"/>
        <v/>
      </c>
      <c r="X657" s="10">
        <f>SUM(V$13:V657)/COUNTA(B$13:B657)</f>
        <v>0</v>
      </c>
      <c r="Z657" s="5"/>
      <c r="AA657" s="5"/>
      <c r="AC657" s="7"/>
      <c r="AE657" s="54" t="e">
        <f t="shared" si="92"/>
        <v>#N/A</v>
      </c>
      <c r="AF657" s="4" t="e">
        <f t="shared" si="88"/>
        <v>#N/A</v>
      </c>
    </row>
    <row r="658" spans="2:32">
      <c r="B658" s="5">
        <f t="shared" si="86"/>
        <v>646</v>
      </c>
      <c r="C658" s="5"/>
      <c r="E658" s="13"/>
      <c r="F658" s="5"/>
      <c r="G658" s="11" t="str">
        <f>IF(ISERROR(AVERAGE(F$13:F658)),"n/a",AVERAGE(F$13:F658))</f>
        <v>n/a</v>
      </c>
      <c r="H658" s="11" t="str">
        <f t="shared" si="89"/>
        <v>n/a</v>
      </c>
      <c r="J658" s="5"/>
      <c r="K658" s="5"/>
      <c r="L658" s="5"/>
      <c r="M658" s="5"/>
      <c r="N658" s="5"/>
      <c r="O658" s="8" t="str">
        <f t="shared" si="87"/>
        <v>n/a</v>
      </c>
      <c r="Q658" s="5"/>
      <c r="R658" s="5"/>
      <c r="S658" s="5"/>
      <c r="U658" s="6"/>
      <c r="V658" s="9" t="str">
        <f t="shared" si="90"/>
        <v/>
      </c>
      <c r="W658" s="9" t="str">
        <f t="shared" si="91"/>
        <v/>
      </c>
      <c r="X658" s="10">
        <f>SUM(V$13:V658)/COUNTA(B$13:B658)</f>
        <v>0</v>
      </c>
      <c r="Z658" s="5"/>
      <c r="AA658" s="5"/>
      <c r="AC658" s="7"/>
      <c r="AE658" s="54" t="e">
        <f t="shared" si="92"/>
        <v>#N/A</v>
      </c>
      <c r="AF658" s="4" t="e">
        <f t="shared" si="88"/>
        <v>#N/A</v>
      </c>
    </row>
    <row r="659" spans="2:32">
      <c r="B659" s="5">
        <f t="shared" ref="B659:B722" si="93">+B658+1</f>
        <v>647</v>
      </c>
      <c r="C659" s="5"/>
      <c r="E659" s="13"/>
      <c r="F659" s="5"/>
      <c r="G659" s="11" t="str">
        <f>IF(ISERROR(AVERAGE(F$13:F659)),"n/a",AVERAGE(F$13:F659))</f>
        <v>n/a</v>
      </c>
      <c r="H659" s="11" t="str">
        <f t="shared" si="89"/>
        <v>n/a</v>
      </c>
      <c r="J659" s="5"/>
      <c r="K659" s="5"/>
      <c r="L659" s="5"/>
      <c r="M659" s="5"/>
      <c r="N659" s="5"/>
      <c r="O659" s="8" t="str">
        <f t="shared" si="87"/>
        <v>n/a</v>
      </c>
      <c r="Q659" s="5"/>
      <c r="R659" s="5"/>
      <c r="S659" s="5"/>
      <c r="U659" s="6"/>
      <c r="V659" s="9" t="str">
        <f t="shared" si="90"/>
        <v/>
      </c>
      <c r="W659" s="9" t="str">
        <f t="shared" si="91"/>
        <v/>
      </c>
      <c r="X659" s="10">
        <f>SUM(V$13:V659)/COUNTA(B$13:B659)</f>
        <v>0</v>
      </c>
      <c r="Z659" s="5"/>
      <c r="AA659" s="5"/>
      <c r="AC659" s="7"/>
      <c r="AE659" s="54" t="e">
        <f t="shared" si="92"/>
        <v>#N/A</v>
      </c>
      <c r="AF659" s="4" t="e">
        <f t="shared" si="88"/>
        <v>#N/A</v>
      </c>
    </row>
    <row r="660" spans="2:32">
      <c r="B660" s="5">
        <f t="shared" si="93"/>
        <v>648</v>
      </c>
      <c r="C660" s="5"/>
      <c r="E660" s="13"/>
      <c r="F660" s="5"/>
      <c r="G660" s="11" t="str">
        <f>IF(ISERROR(AVERAGE(F$13:F660)),"n/a",AVERAGE(F$13:F660))</f>
        <v>n/a</v>
      </c>
      <c r="H660" s="11" t="str">
        <f t="shared" si="89"/>
        <v>n/a</v>
      </c>
      <c r="J660" s="5"/>
      <c r="K660" s="5"/>
      <c r="L660" s="5"/>
      <c r="M660" s="5"/>
      <c r="N660" s="5"/>
      <c r="O660" s="8" t="str">
        <f t="shared" si="87"/>
        <v>n/a</v>
      </c>
      <c r="Q660" s="5"/>
      <c r="R660" s="5"/>
      <c r="S660" s="5"/>
      <c r="U660" s="6"/>
      <c r="V660" s="9" t="str">
        <f t="shared" si="90"/>
        <v/>
      </c>
      <c r="W660" s="9" t="str">
        <f t="shared" si="91"/>
        <v/>
      </c>
      <c r="X660" s="10">
        <f>SUM(V$13:V660)/COUNTA(B$13:B660)</f>
        <v>0</v>
      </c>
      <c r="Z660" s="5"/>
      <c r="AA660" s="5"/>
      <c r="AC660" s="7"/>
      <c r="AE660" s="54" t="e">
        <f t="shared" si="92"/>
        <v>#N/A</v>
      </c>
      <c r="AF660" s="4" t="e">
        <f t="shared" si="88"/>
        <v>#N/A</v>
      </c>
    </row>
    <row r="661" spans="2:32">
      <c r="B661" s="5">
        <f t="shared" si="93"/>
        <v>649</v>
      </c>
      <c r="C661" s="5"/>
      <c r="E661" s="13"/>
      <c r="F661" s="5"/>
      <c r="G661" s="11" t="str">
        <f>IF(ISERROR(AVERAGE(F$13:F661)),"n/a",AVERAGE(F$13:F661))</f>
        <v>n/a</v>
      </c>
      <c r="H661" s="11" t="str">
        <f t="shared" si="89"/>
        <v>n/a</v>
      </c>
      <c r="J661" s="5"/>
      <c r="K661" s="5"/>
      <c r="L661" s="5"/>
      <c r="M661" s="5"/>
      <c r="N661" s="5"/>
      <c r="O661" s="8" t="str">
        <f t="shared" si="87"/>
        <v>n/a</v>
      </c>
      <c r="Q661" s="5"/>
      <c r="R661" s="5"/>
      <c r="S661" s="5"/>
      <c r="U661" s="6"/>
      <c r="V661" s="9" t="str">
        <f t="shared" si="90"/>
        <v/>
      </c>
      <c r="W661" s="9" t="str">
        <f t="shared" si="91"/>
        <v/>
      </c>
      <c r="X661" s="10">
        <f>SUM(V$13:V661)/COUNTA(B$13:B661)</f>
        <v>0</v>
      </c>
      <c r="Z661" s="5"/>
      <c r="AA661" s="5"/>
      <c r="AC661" s="7"/>
      <c r="AE661" s="54" t="e">
        <f t="shared" si="92"/>
        <v>#N/A</v>
      </c>
      <c r="AF661" s="4" t="e">
        <f t="shared" si="88"/>
        <v>#N/A</v>
      </c>
    </row>
    <row r="662" spans="2:32">
      <c r="B662" s="5">
        <f t="shared" si="93"/>
        <v>650</v>
      </c>
      <c r="C662" s="5"/>
      <c r="E662" s="13"/>
      <c r="F662" s="5"/>
      <c r="G662" s="11" t="str">
        <f>IF(ISERROR(AVERAGE(F$13:F662)),"n/a",AVERAGE(F$13:F662))</f>
        <v>n/a</v>
      </c>
      <c r="H662" s="11" t="str">
        <f t="shared" si="89"/>
        <v>n/a</v>
      </c>
      <c r="J662" s="5"/>
      <c r="K662" s="5"/>
      <c r="L662" s="5"/>
      <c r="M662" s="5"/>
      <c r="N662" s="5"/>
      <c r="O662" s="8" t="str">
        <f t="shared" si="87"/>
        <v>n/a</v>
      </c>
      <c r="Q662" s="5"/>
      <c r="R662" s="5"/>
      <c r="S662" s="5"/>
      <c r="U662" s="6"/>
      <c r="V662" s="9" t="str">
        <f t="shared" si="90"/>
        <v/>
      </c>
      <c r="W662" s="9" t="str">
        <f t="shared" si="91"/>
        <v/>
      </c>
      <c r="X662" s="10">
        <f>SUM(V$13:V662)/COUNTA(B$13:B662)</f>
        <v>0</v>
      </c>
      <c r="Z662" s="5"/>
      <c r="AA662" s="5"/>
      <c r="AC662" s="7"/>
      <c r="AE662" s="54" t="e">
        <f t="shared" si="92"/>
        <v>#N/A</v>
      </c>
      <c r="AF662" s="4" t="e">
        <f t="shared" si="88"/>
        <v>#N/A</v>
      </c>
    </row>
    <row r="663" spans="2:32">
      <c r="B663" s="5">
        <f t="shared" si="93"/>
        <v>651</v>
      </c>
      <c r="C663" s="5"/>
      <c r="E663" s="13"/>
      <c r="F663" s="5"/>
      <c r="G663" s="11" t="str">
        <f>IF(ISERROR(AVERAGE(F$13:F663)),"n/a",AVERAGE(F$13:F663))</f>
        <v>n/a</v>
      </c>
      <c r="H663" s="11" t="str">
        <f t="shared" si="89"/>
        <v>n/a</v>
      </c>
      <c r="J663" s="5"/>
      <c r="K663" s="5"/>
      <c r="L663" s="5"/>
      <c r="M663" s="5"/>
      <c r="N663" s="5"/>
      <c r="O663" s="8" t="str">
        <f t="shared" si="87"/>
        <v>n/a</v>
      </c>
      <c r="Q663" s="5"/>
      <c r="R663" s="5"/>
      <c r="S663" s="5"/>
      <c r="U663" s="6"/>
      <c r="V663" s="9" t="str">
        <f t="shared" si="90"/>
        <v/>
      </c>
      <c r="W663" s="9" t="str">
        <f t="shared" si="91"/>
        <v/>
      </c>
      <c r="X663" s="10">
        <f>SUM(V$13:V663)/COUNTA(B$13:B663)</f>
        <v>0</v>
      </c>
      <c r="Z663" s="5"/>
      <c r="AA663" s="5"/>
      <c r="AC663" s="7"/>
      <c r="AE663" s="54" t="e">
        <f t="shared" si="92"/>
        <v>#N/A</v>
      </c>
      <c r="AF663" s="4" t="e">
        <f t="shared" si="88"/>
        <v>#N/A</v>
      </c>
    </row>
    <row r="664" spans="2:32">
      <c r="B664" s="5">
        <f t="shared" si="93"/>
        <v>652</v>
      </c>
      <c r="C664" s="5"/>
      <c r="E664" s="13"/>
      <c r="F664" s="5"/>
      <c r="G664" s="11" t="str">
        <f>IF(ISERROR(AVERAGE(F$13:F664)),"n/a",AVERAGE(F$13:F664))</f>
        <v>n/a</v>
      </c>
      <c r="H664" s="11" t="str">
        <f t="shared" si="89"/>
        <v>n/a</v>
      </c>
      <c r="J664" s="5"/>
      <c r="K664" s="5"/>
      <c r="L664" s="5"/>
      <c r="M664" s="5"/>
      <c r="N664" s="5"/>
      <c r="O664" s="8" t="str">
        <f t="shared" si="87"/>
        <v>n/a</v>
      </c>
      <c r="Q664" s="5"/>
      <c r="R664" s="5"/>
      <c r="S664" s="5"/>
      <c r="U664" s="6"/>
      <c r="V664" s="9" t="str">
        <f t="shared" si="90"/>
        <v/>
      </c>
      <c r="W664" s="9" t="str">
        <f t="shared" si="91"/>
        <v/>
      </c>
      <c r="X664" s="10">
        <f>SUM(V$13:V664)/COUNTA(B$13:B664)</f>
        <v>0</v>
      </c>
      <c r="Z664" s="5"/>
      <c r="AA664" s="5"/>
      <c r="AC664" s="7"/>
      <c r="AE664" s="54" t="e">
        <f t="shared" si="92"/>
        <v>#N/A</v>
      </c>
      <c r="AF664" s="4" t="e">
        <f t="shared" si="88"/>
        <v>#N/A</v>
      </c>
    </row>
    <row r="665" spans="2:32">
      <c r="B665" s="5">
        <f t="shared" si="93"/>
        <v>653</v>
      </c>
      <c r="C665" s="5"/>
      <c r="E665" s="13"/>
      <c r="F665" s="5"/>
      <c r="G665" s="11" t="str">
        <f>IF(ISERROR(AVERAGE(F$13:F665)),"n/a",AVERAGE(F$13:F665))</f>
        <v>n/a</v>
      </c>
      <c r="H665" s="11" t="str">
        <f t="shared" si="89"/>
        <v>n/a</v>
      </c>
      <c r="J665" s="5"/>
      <c r="K665" s="5"/>
      <c r="L665" s="5"/>
      <c r="M665" s="5"/>
      <c r="N665" s="5"/>
      <c r="O665" s="8" t="str">
        <f t="shared" si="87"/>
        <v>n/a</v>
      </c>
      <c r="Q665" s="5"/>
      <c r="R665" s="5"/>
      <c r="S665" s="5"/>
      <c r="U665" s="6"/>
      <c r="V665" s="9" t="str">
        <f t="shared" si="90"/>
        <v/>
      </c>
      <c r="W665" s="9" t="str">
        <f t="shared" si="91"/>
        <v/>
      </c>
      <c r="X665" s="10">
        <f>SUM(V$13:V665)/COUNTA(B$13:B665)</f>
        <v>0</v>
      </c>
      <c r="Z665" s="5"/>
      <c r="AA665" s="5"/>
      <c r="AC665" s="7"/>
      <c r="AE665" s="54" t="e">
        <f t="shared" si="92"/>
        <v>#N/A</v>
      </c>
      <c r="AF665" s="4" t="e">
        <f t="shared" si="88"/>
        <v>#N/A</v>
      </c>
    </row>
    <row r="666" spans="2:32">
      <c r="B666" s="5">
        <f t="shared" si="93"/>
        <v>654</v>
      </c>
      <c r="C666" s="5"/>
      <c r="E666" s="13"/>
      <c r="F666" s="5"/>
      <c r="G666" s="11" t="str">
        <f>IF(ISERROR(AVERAGE(F$13:F666)),"n/a",AVERAGE(F$13:F666))</f>
        <v>n/a</v>
      </c>
      <c r="H666" s="11" t="str">
        <f t="shared" si="89"/>
        <v>n/a</v>
      </c>
      <c r="J666" s="5"/>
      <c r="K666" s="5"/>
      <c r="L666" s="5"/>
      <c r="M666" s="5"/>
      <c r="N666" s="5"/>
      <c r="O666" s="8" t="str">
        <f t="shared" si="87"/>
        <v>n/a</v>
      </c>
      <c r="Q666" s="5"/>
      <c r="R666" s="5"/>
      <c r="S666" s="5"/>
      <c r="U666" s="6"/>
      <c r="V666" s="9" t="str">
        <f t="shared" si="90"/>
        <v/>
      </c>
      <c r="W666" s="9" t="str">
        <f t="shared" si="91"/>
        <v/>
      </c>
      <c r="X666" s="10">
        <f>SUM(V$13:V666)/COUNTA(B$13:B666)</f>
        <v>0</v>
      </c>
      <c r="Z666" s="5"/>
      <c r="AA666" s="5"/>
      <c r="AC666" s="7"/>
      <c r="AE666" s="54" t="e">
        <f t="shared" si="92"/>
        <v>#N/A</v>
      </c>
      <c r="AF666" s="4" t="e">
        <f t="shared" si="88"/>
        <v>#N/A</v>
      </c>
    </row>
    <row r="667" spans="2:32">
      <c r="B667" s="5">
        <f t="shared" si="93"/>
        <v>655</v>
      </c>
      <c r="C667" s="5"/>
      <c r="E667" s="13"/>
      <c r="F667" s="5"/>
      <c r="G667" s="11" t="str">
        <f>IF(ISERROR(AVERAGE(F$13:F667)),"n/a",AVERAGE(F$13:F667))</f>
        <v>n/a</v>
      </c>
      <c r="H667" s="11" t="str">
        <f t="shared" si="89"/>
        <v>n/a</v>
      </c>
      <c r="J667" s="5"/>
      <c r="K667" s="5"/>
      <c r="L667" s="5"/>
      <c r="M667" s="5"/>
      <c r="N667" s="5"/>
      <c r="O667" s="8" t="str">
        <f t="shared" si="87"/>
        <v>n/a</v>
      </c>
      <c r="Q667" s="5"/>
      <c r="R667" s="5"/>
      <c r="S667" s="5"/>
      <c r="U667" s="6"/>
      <c r="V667" s="9" t="str">
        <f t="shared" si="90"/>
        <v/>
      </c>
      <c r="W667" s="9" t="str">
        <f t="shared" si="91"/>
        <v/>
      </c>
      <c r="X667" s="10">
        <f>SUM(V$13:V667)/COUNTA(B$13:B667)</f>
        <v>0</v>
      </c>
      <c r="Z667" s="5"/>
      <c r="AA667" s="5"/>
      <c r="AC667" s="7"/>
      <c r="AE667" s="54" t="e">
        <f t="shared" si="92"/>
        <v>#N/A</v>
      </c>
      <c r="AF667" s="4" t="e">
        <f t="shared" si="88"/>
        <v>#N/A</v>
      </c>
    </row>
    <row r="668" spans="2:32">
      <c r="B668" s="5">
        <f t="shared" si="93"/>
        <v>656</v>
      </c>
      <c r="C668" s="5"/>
      <c r="E668" s="13"/>
      <c r="F668" s="5"/>
      <c r="G668" s="11" t="str">
        <f>IF(ISERROR(AVERAGE(F$13:F668)),"n/a",AVERAGE(F$13:F668))</f>
        <v>n/a</v>
      </c>
      <c r="H668" s="11" t="str">
        <f t="shared" si="89"/>
        <v>n/a</v>
      </c>
      <c r="J668" s="5"/>
      <c r="K668" s="5"/>
      <c r="L668" s="5"/>
      <c r="M668" s="5"/>
      <c r="N668" s="5"/>
      <c r="O668" s="8" t="str">
        <f t="shared" si="87"/>
        <v>n/a</v>
      </c>
      <c r="Q668" s="5"/>
      <c r="R668" s="5"/>
      <c r="S668" s="5"/>
      <c r="U668" s="6"/>
      <c r="V668" s="9" t="str">
        <f t="shared" si="90"/>
        <v/>
      </c>
      <c r="W668" s="9" t="str">
        <f t="shared" si="91"/>
        <v/>
      </c>
      <c r="X668" s="10">
        <f>SUM(V$13:V668)/COUNTA(B$13:B668)</f>
        <v>0</v>
      </c>
      <c r="Z668" s="5"/>
      <c r="AA668" s="5"/>
      <c r="AC668" s="7"/>
      <c r="AE668" s="54" t="e">
        <f t="shared" si="92"/>
        <v>#N/A</v>
      </c>
      <c r="AF668" s="4" t="e">
        <f t="shared" si="88"/>
        <v>#N/A</v>
      </c>
    </row>
    <row r="669" spans="2:32">
      <c r="B669" s="5">
        <f t="shared" si="93"/>
        <v>657</v>
      </c>
      <c r="C669" s="5"/>
      <c r="E669" s="13"/>
      <c r="F669" s="5"/>
      <c r="G669" s="11" t="str">
        <f>IF(ISERROR(AVERAGE(F$13:F669)),"n/a",AVERAGE(F$13:F669))</f>
        <v>n/a</v>
      </c>
      <c r="H669" s="11" t="str">
        <f t="shared" si="89"/>
        <v>n/a</v>
      </c>
      <c r="J669" s="5"/>
      <c r="K669" s="5"/>
      <c r="L669" s="5"/>
      <c r="M669" s="5"/>
      <c r="N669" s="5"/>
      <c r="O669" s="8" t="str">
        <f t="shared" si="87"/>
        <v>n/a</v>
      </c>
      <c r="Q669" s="5"/>
      <c r="R669" s="5"/>
      <c r="S669" s="5"/>
      <c r="U669" s="6"/>
      <c r="V669" s="9" t="str">
        <f t="shared" si="90"/>
        <v/>
      </c>
      <c r="W669" s="9" t="str">
        <f t="shared" si="91"/>
        <v/>
      </c>
      <c r="X669" s="10">
        <f>SUM(V$13:V669)/COUNTA(B$13:B669)</f>
        <v>0</v>
      </c>
      <c r="Z669" s="5"/>
      <c r="AA669" s="5"/>
      <c r="AC669" s="7"/>
      <c r="AE669" s="54" t="e">
        <f t="shared" si="92"/>
        <v>#N/A</v>
      </c>
      <c r="AF669" s="4" t="e">
        <f t="shared" si="88"/>
        <v>#N/A</v>
      </c>
    </row>
    <row r="670" spans="2:32">
      <c r="B670" s="5">
        <f t="shared" si="93"/>
        <v>658</v>
      </c>
      <c r="C670" s="5"/>
      <c r="E670" s="13"/>
      <c r="F670" s="5"/>
      <c r="G670" s="11" t="str">
        <f>IF(ISERROR(AVERAGE(F$13:F670)),"n/a",AVERAGE(F$13:F670))</f>
        <v>n/a</v>
      </c>
      <c r="H670" s="11" t="str">
        <f t="shared" si="89"/>
        <v>n/a</v>
      </c>
      <c r="J670" s="5"/>
      <c r="K670" s="5"/>
      <c r="L670" s="5"/>
      <c r="M670" s="5"/>
      <c r="N670" s="5"/>
      <c r="O670" s="8" t="str">
        <f t="shared" si="87"/>
        <v>n/a</v>
      </c>
      <c r="Q670" s="5"/>
      <c r="R670" s="5"/>
      <c r="S670" s="5"/>
      <c r="U670" s="6"/>
      <c r="V670" s="9" t="str">
        <f t="shared" si="90"/>
        <v/>
      </c>
      <c r="W670" s="9" t="str">
        <f t="shared" si="91"/>
        <v/>
      </c>
      <c r="X670" s="10">
        <f>SUM(V$13:V670)/COUNTA(B$13:B670)</f>
        <v>0</v>
      </c>
      <c r="Z670" s="5"/>
      <c r="AA670" s="5"/>
      <c r="AC670" s="7"/>
      <c r="AE670" s="54" t="e">
        <f t="shared" si="92"/>
        <v>#N/A</v>
      </c>
      <c r="AF670" s="4" t="e">
        <f t="shared" si="88"/>
        <v>#N/A</v>
      </c>
    </row>
    <row r="671" spans="2:32">
      <c r="B671" s="5">
        <f t="shared" si="93"/>
        <v>659</v>
      </c>
      <c r="C671" s="5"/>
      <c r="E671" s="13"/>
      <c r="F671" s="5"/>
      <c r="G671" s="11" t="str">
        <f>IF(ISERROR(AVERAGE(F$13:F671)),"n/a",AVERAGE(F$13:F671))</f>
        <v>n/a</v>
      </c>
      <c r="H671" s="11" t="str">
        <f t="shared" si="89"/>
        <v>n/a</v>
      </c>
      <c r="J671" s="5"/>
      <c r="K671" s="5"/>
      <c r="L671" s="5"/>
      <c r="M671" s="5"/>
      <c r="N671" s="5"/>
      <c r="O671" s="8" t="str">
        <f t="shared" si="87"/>
        <v>n/a</v>
      </c>
      <c r="Q671" s="5"/>
      <c r="R671" s="5"/>
      <c r="S671" s="5"/>
      <c r="U671" s="6"/>
      <c r="V671" s="9" t="str">
        <f t="shared" si="90"/>
        <v/>
      </c>
      <c r="W671" s="9" t="str">
        <f t="shared" si="91"/>
        <v/>
      </c>
      <c r="X671" s="10">
        <f>SUM(V$13:V671)/COUNTA(B$13:B671)</f>
        <v>0</v>
      </c>
      <c r="Z671" s="5"/>
      <c r="AA671" s="5"/>
      <c r="AC671" s="7"/>
      <c r="AE671" s="54" t="e">
        <f t="shared" si="92"/>
        <v>#N/A</v>
      </c>
      <c r="AF671" s="4" t="e">
        <f t="shared" si="88"/>
        <v>#N/A</v>
      </c>
    </row>
    <row r="672" spans="2:32">
      <c r="B672" s="5">
        <f t="shared" si="93"/>
        <v>660</v>
      </c>
      <c r="C672" s="5"/>
      <c r="E672" s="13"/>
      <c r="F672" s="5"/>
      <c r="G672" s="11" t="str">
        <f>IF(ISERROR(AVERAGE(F$13:F672)),"n/a",AVERAGE(F$13:F672))</f>
        <v>n/a</v>
      </c>
      <c r="H672" s="11" t="str">
        <f t="shared" si="89"/>
        <v>n/a</v>
      </c>
      <c r="J672" s="5"/>
      <c r="K672" s="5"/>
      <c r="L672" s="5"/>
      <c r="M672" s="5"/>
      <c r="N672" s="5"/>
      <c r="O672" s="8" t="str">
        <f t="shared" si="87"/>
        <v>n/a</v>
      </c>
      <c r="Q672" s="5"/>
      <c r="R672" s="5"/>
      <c r="S672" s="5"/>
      <c r="U672" s="6"/>
      <c r="V672" s="9" t="str">
        <f t="shared" si="90"/>
        <v/>
      </c>
      <c r="W672" s="9" t="str">
        <f t="shared" si="91"/>
        <v/>
      </c>
      <c r="X672" s="10">
        <f>SUM(V$13:V672)/COUNTA(B$13:B672)</f>
        <v>0</v>
      </c>
      <c r="Z672" s="5"/>
      <c r="AA672" s="5"/>
      <c r="AC672" s="7"/>
      <c r="AE672" s="54" t="e">
        <f t="shared" si="92"/>
        <v>#N/A</v>
      </c>
      <c r="AF672" s="4" t="e">
        <f t="shared" si="88"/>
        <v>#N/A</v>
      </c>
    </row>
    <row r="673" spans="2:32">
      <c r="B673" s="5">
        <f t="shared" si="93"/>
        <v>661</v>
      </c>
      <c r="C673" s="5"/>
      <c r="E673" s="13"/>
      <c r="F673" s="5"/>
      <c r="G673" s="11" t="str">
        <f>IF(ISERROR(AVERAGE(F$13:F673)),"n/a",AVERAGE(F$13:F673))</f>
        <v>n/a</v>
      </c>
      <c r="H673" s="11" t="str">
        <f t="shared" si="89"/>
        <v>n/a</v>
      </c>
      <c r="J673" s="5"/>
      <c r="K673" s="5"/>
      <c r="L673" s="5"/>
      <c r="M673" s="5"/>
      <c r="N673" s="5"/>
      <c r="O673" s="8" t="str">
        <f t="shared" si="87"/>
        <v>n/a</v>
      </c>
      <c r="Q673" s="5"/>
      <c r="R673" s="5"/>
      <c r="S673" s="5"/>
      <c r="U673" s="6"/>
      <c r="V673" s="9" t="str">
        <f t="shared" si="90"/>
        <v/>
      </c>
      <c r="W673" s="9" t="str">
        <f t="shared" si="91"/>
        <v/>
      </c>
      <c r="X673" s="10">
        <f>SUM(V$13:V673)/COUNTA(B$13:B673)</f>
        <v>0</v>
      </c>
      <c r="Z673" s="5"/>
      <c r="AA673" s="5"/>
      <c r="AC673" s="7"/>
      <c r="AE673" s="54" t="e">
        <f t="shared" si="92"/>
        <v>#N/A</v>
      </c>
      <c r="AF673" s="4" t="e">
        <f t="shared" si="88"/>
        <v>#N/A</v>
      </c>
    </row>
    <row r="674" spans="2:32">
      <c r="B674" s="5">
        <f t="shared" si="93"/>
        <v>662</v>
      </c>
      <c r="C674" s="5"/>
      <c r="E674" s="13"/>
      <c r="F674" s="5"/>
      <c r="G674" s="11" t="str">
        <f>IF(ISERROR(AVERAGE(F$13:F674)),"n/a",AVERAGE(F$13:F674))</f>
        <v>n/a</v>
      </c>
      <c r="H674" s="11" t="str">
        <f t="shared" si="89"/>
        <v>n/a</v>
      </c>
      <c r="J674" s="5"/>
      <c r="K674" s="5"/>
      <c r="L674" s="5"/>
      <c r="M674" s="5"/>
      <c r="N674" s="5"/>
      <c r="O674" s="8" t="str">
        <f t="shared" si="87"/>
        <v>n/a</v>
      </c>
      <c r="Q674" s="5"/>
      <c r="R674" s="5"/>
      <c r="S674" s="5"/>
      <c r="U674" s="6"/>
      <c r="V674" s="9" t="str">
        <f t="shared" si="90"/>
        <v/>
      </c>
      <c r="W674" s="9" t="str">
        <f t="shared" si="91"/>
        <v/>
      </c>
      <c r="X674" s="10">
        <f>SUM(V$13:V674)/COUNTA(B$13:B674)</f>
        <v>0</v>
      </c>
      <c r="Z674" s="5"/>
      <c r="AA674" s="5"/>
      <c r="AC674" s="7"/>
      <c r="AE674" s="54" t="e">
        <f t="shared" si="92"/>
        <v>#N/A</v>
      </c>
      <c r="AF674" s="4" t="e">
        <f t="shared" si="88"/>
        <v>#N/A</v>
      </c>
    </row>
    <row r="675" spans="2:32">
      <c r="B675" s="5">
        <f t="shared" si="93"/>
        <v>663</v>
      </c>
      <c r="C675" s="5"/>
      <c r="E675" s="13"/>
      <c r="F675" s="5"/>
      <c r="G675" s="11" t="str">
        <f>IF(ISERROR(AVERAGE(F$13:F675)),"n/a",AVERAGE(F$13:F675))</f>
        <v>n/a</v>
      </c>
      <c r="H675" s="11" t="str">
        <f t="shared" si="89"/>
        <v>n/a</v>
      </c>
      <c r="J675" s="5"/>
      <c r="K675" s="5"/>
      <c r="L675" s="5"/>
      <c r="M675" s="5"/>
      <c r="N675" s="5"/>
      <c r="O675" s="8" t="str">
        <f t="shared" si="87"/>
        <v>n/a</v>
      </c>
      <c r="Q675" s="5"/>
      <c r="R675" s="5"/>
      <c r="S675" s="5"/>
      <c r="U675" s="6"/>
      <c r="V675" s="9" t="str">
        <f t="shared" si="90"/>
        <v/>
      </c>
      <c r="W675" s="9" t="str">
        <f t="shared" si="91"/>
        <v/>
      </c>
      <c r="X675" s="10">
        <f>SUM(V$13:V675)/COUNTA(B$13:B675)</f>
        <v>0</v>
      </c>
      <c r="Z675" s="5"/>
      <c r="AA675" s="5"/>
      <c r="AC675" s="7"/>
      <c r="AE675" s="54" t="e">
        <f t="shared" si="92"/>
        <v>#N/A</v>
      </c>
      <c r="AF675" s="4" t="e">
        <f t="shared" si="88"/>
        <v>#N/A</v>
      </c>
    </row>
    <row r="676" spans="2:32">
      <c r="B676" s="5">
        <f t="shared" si="93"/>
        <v>664</v>
      </c>
      <c r="C676" s="5"/>
      <c r="E676" s="13"/>
      <c r="F676" s="5"/>
      <c r="G676" s="11" t="str">
        <f>IF(ISERROR(AVERAGE(F$13:F676)),"n/a",AVERAGE(F$13:F676))</f>
        <v>n/a</v>
      </c>
      <c r="H676" s="11" t="str">
        <f t="shared" si="89"/>
        <v>n/a</v>
      </c>
      <c r="J676" s="5"/>
      <c r="K676" s="5"/>
      <c r="L676" s="5"/>
      <c r="M676" s="5"/>
      <c r="N676" s="5"/>
      <c r="O676" s="8" t="str">
        <f t="shared" si="87"/>
        <v>n/a</v>
      </c>
      <c r="Q676" s="5"/>
      <c r="R676" s="5"/>
      <c r="S676" s="5"/>
      <c r="U676" s="6"/>
      <c r="V676" s="9" t="str">
        <f t="shared" si="90"/>
        <v/>
      </c>
      <c r="W676" s="9" t="str">
        <f t="shared" si="91"/>
        <v/>
      </c>
      <c r="X676" s="10">
        <f>SUM(V$13:V676)/COUNTA(B$13:B676)</f>
        <v>0</v>
      </c>
      <c r="Z676" s="5"/>
      <c r="AA676" s="5"/>
      <c r="AC676" s="7"/>
      <c r="AE676" s="54" t="e">
        <f t="shared" si="92"/>
        <v>#N/A</v>
      </c>
      <c r="AF676" s="4" t="e">
        <f t="shared" si="88"/>
        <v>#N/A</v>
      </c>
    </row>
    <row r="677" spans="2:32">
      <c r="B677" s="5">
        <f t="shared" si="93"/>
        <v>665</v>
      </c>
      <c r="C677" s="5"/>
      <c r="E677" s="13"/>
      <c r="F677" s="5"/>
      <c r="G677" s="11" t="str">
        <f>IF(ISERROR(AVERAGE(F$13:F677)),"n/a",AVERAGE(F$13:F677))</f>
        <v>n/a</v>
      </c>
      <c r="H677" s="11" t="str">
        <f t="shared" si="89"/>
        <v>n/a</v>
      </c>
      <c r="J677" s="5"/>
      <c r="K677" s="5"/>
      <c r="L677" s="5"/>
      <c r="M677" s="5"/>
      <c r="N677" s="5"/>
      <c r="O677" s="8" t="str">
        <f t="shared" si="87"/>
        <v>n/a</v>
      </c>
      <c r="Q677" s="5"/>
      <c r="R677" s="5"/>
      <c r="S677" s="5"/>
      <c r="U677" s="6"/>
      <c r="V677" s="9" t="str">
        <f t="shared" si="90"/>
        <v/>
      </c>
      <c r="W677" s="9" t="str">
        <f t="shared" si="91"/>
        <v/>
      </c>
      <c r="X677" s="10">
        <f>SUM(V$13:V677)/COUNTA(B$13:B677)</f>
        <v>0</v>
      </c>
      <c r="Z677" s="5"/>
      <c r="AA677" s="5"/>
      <c r="AC677" s="7"/>
      <c r="AE677" s="54" t="e">
        <f t="shared" si="92"/>
        <v>#N/A</v>
      </c>
      <c r="AF677" s="4" t="e">
        <f t="shared" si="88"/>
        <v>#N/A</v>
      </c>
    </row>
    <row r="678" spans="2:32">
      <c r="B678" s="5">
        <f t="shared" si="93"/>
        <v>666</v>
      </c>
      <c r="C678" s="5"/>
      <c r="E678" s="13"/>
      <c r="F678" s="5"/>
      <c r="G678" s="11" t="str">
        <f>IF(ISERROR(AVERAGE(F$13:F678)),"n/a",AVERAGE(F$13:F678))</f>
        <v>n/a</v>
      </c>
      <c r="H678" s="11" t="str">
        <f t="shared" si="89"/>
        <v>n/a</v>
      </c>
      <c r="J678" s="5"/>
      <c r="K678" s="5"/>
      <c r="L678" s="5"/>
      <c r="M678" s="5"/>
      <c r="N678" s="5"/>
      <c r="O678" s="8" t="str">
        <f t="shared" si="87"/>
        <v>n/a</v>
      </c>
      <c r="Q678" s="5"/>
      <c r="R678" s="5"/>
      <c r="S678" s="5"/>
      <c r="U678" s="6"/>
      <c r="V678" s="9" t="str">
        <f t="shared" si="90"/>
        <v/>
      </c>
      <c r="W678" s="9" t="str">
        <f t="shared" si="91"/>
        <v/>
      </c>
      <c r="X678" s="10">
        <f>SUM(V$13:V678)/COUNTA(B$13:B678)</f>
        <v>0</v>
      </c>
      <c r="Z678" s="5"/>
      <c r="AA678" s="5"/>
      <c r="AC678" s="7"/>
      <c r="AE678" s="54" t="e">
        <f t="shared" si="92"/>
        <v>#N/A</v>
      </c>
      <c r="AF678" s="4" t="e">
        <f t="shared" si="88"/>
        <v>#N/A</v>
      </c>
    </row>
    <row r="679" spans="2:32">
      <c r="B679" s="5">
        <f t="shared" si="93"/>
        <v>667</v>
      </c>
      <c r="C679" s="5"/>
      <c r="E679" s="13"/>
      <c r="F679" s="5"/>
      <c r="G679" s="11" t="str">
        <f>IF(ISERROR(AVERAGE(F$13:F679)),"n/a",AVERAGE(F$13:F679))</f>
        <v>n/a</v>
      </c>
      <c r="H679" s="11" t="str">
        <f t="shared" si="89"/>
        <v>n/a</v>
      </c>
      <c r="J679" s="5"/>
      <c r="K679" s="5"/>
      <c r="L679" s="5"/>
      <c r="M679" s="5"/>
      <c r="N679" s="5"/>
      <c r="O679" s="8" t="str">
        <f t="shared" si="87"/>
        <v>n/a</v>
      </c>
      <c r="Q679" s="5"/>
      <c r="R679" s="5"/>
      <c r="S679" s="5"/>
      <c r="U679" s="6"/>
      <c r="V679" s="9" t="str">
        <f t="shared" si="90"/>
        <v/>
      </c>
      <c r="W679" s="9" t="str">
        <f t="shared" si="91"/>
        <v/>
      </c>
      <c r="X679" s="10">
        <f>SUM(V$13:V679)/COUNTA(B$13:B679)</f>
        <v>0</v>
      </c>
      <c r="Z679" s="5"/>
      <c r="AA679" s="5"/>
      <c r="AC679" s="7"/>
      <c r="AE679" s="54" t="e">
        <f t="shared" si="92"/>
        <v>#N/A</v>
      </c>
      <c r="AF679" s="4" t="e">
        <f t="shared" si="88"/>
        <v>#N/A</v>
      </c>
    </row>
    <row r="680" spans="2:32">
      <c r="B680" s="5">
        <f t="shared" si="93"/>
        <v>668</v>
      </c>
      <c r="C680" s="5"/>
      <c r="E680" s="13"/>
      <c r="F680" s="5"/>
      <c r="G680" s="11" t="str">
        <f>IF(ISERROR(AVERAGE(F$13:F680)),"n/a",AVERAGE(F$13:F680))</f>
        <v>n/a</v>
      </c>
      <c r="H680" s="11" t="str">
        <f t="shared" si="89"/>
        <v>n/a</v>
      </c>
      <c r="J680" s="5"/>
      <c r="K680" s="5"/>
      <c r="L680" s="5"/>
      <c r="M680" s="5"/>
      <c r="N680" s="5"/>
      <c r="O680" s="8" t="str">
        <f t="shared" si="87"/>
        <v>n/a</v>
      </c>
      <c r="Q680" s="5"/>
      <c r="R680" s="5"/>
      <c r="S680" s="5"/>
      <c r="U680" s="6"/>
      <c r="V680" s="9" t="str">
        <f t="shared" si="90"/>
        <v/>
      </c>
      <c r="W680" s="9" t="str">
        <f t="shared" si="91"/>
        <v/>
      </c>
      <c r="X680" s="10">
        <f>SUM(V$13:V680)/COUNTA(B$13:B680)</f>
        <v>0</v>
      </c>
      <c r="Z680" s="5"/>
      <c r="AA680" s="5"/>
      <c r="AC680" s="7"/>
      <c r="AE680" s="54" t="e">
        <f t="shared" si="92"/>
        <v>#N/A</v>
      </c>
      <c r="AF680" s="4" t="e">
        <f t="shared" si="88"/>
        <v>#N/A</v>
      </c>
    </row>
    <row r="681" spans="2:32">
      <c r="B681" s="5">
        <f t="shared" si="93"/>
        <v>669</v>
      </c>
      <c r="C681" s="5"/>
      <c r="E681" s="13"/>
      <c r="F681" s="5"/>
      <c r="G681" s="11" t="str">
        <f>IF(ISERROR(AVERAGE(F$13:F681)),"n/a",AVERAGE(F$13:F681))</f>
        <v>n/a</v>
      </c>
      <c r="H681" s="11" t="str">
        <f t="shared" si="89"/>
        <v>n/a</v>
      </c>
      <c r="J681" s="5"/>
      <c r="K681" s="5"/>
      <c r="L681" s="5"/>
      <c r="M681" s="5"/>
      <c r="N681" s="5"/>
      <c r="O681" s="8" t="str">
        <f t="shared" si="87"/>
        <v>n/a</v>
      </c>
      <c r="Q681" s="5"/>
      <c r="R681" s="5"/>
      <c r="S681" s="5"/>
      <c r="U681" s="6"/>
      <c r="V681" s="9" t="str">
        <f t="shared" si="90"/>
        <v/>
      </c>
      <c r="W681" s="9" t="str">
        <f t="shared" si="91"/>
        <v/>
      </c>
      <c r="X681" s="10">
        <f>SUM(V$13:V681)/COUNTA(B$13:B681)</f>
        <v>0</v>
      </c>
      <c r="Z681" s="5"/>
      <c r="AA681" s="5"/>
      <c r="AC681" s="7"/>
      <c r="AE681" s="54" t="e">
        <f t="shared" si="92"/>
        <v>#N/A</v>
      </c>
      <c r="AF681" s="4" t="e">
        <f t="shared" si="88"/>
        <v>#N/A</v>
      </c>
    </row>
    <row r="682" spans="2:32">
      <c r="B682" s="5">
        <f t="shared" si="93"/>
        <v>670</v>
      </c>
      <c r="C682" s="5"/>
      <c r="E682" s="13"/>
      <c r="F682" s="5"/>
      <c r="G682" s="11" t="str">
        <f>IF(ISERROR(AVERAGE(F$13:F682)),"n/a",AVERAGE(F$13:F682))</f>
        <v>n/a</v>
      </c>
      <c r="H682" s="11" t="str">
        <f t="shared" si="89"/>
        <v>n/a</v>
      </c>
      <c r="J682" s="5"/>
      <c r="K682" s="5"/>
      <c r="L682" s="5"/>
      <c r="M682" s="5"/>
      <c r="N682" s="5"/>
      <c r="O682" s="8" t="str">
        <f t="shared" si="87"/>
        <v>n/a</v>
      </c>
      <c r="Q682" s="5"/>
      <c r="R682" s="5"/>
      <c r="S682" s="5"/>
      <c r="U682" s="6"/>
      <c r="V682" s="9" t="str">
        <f t="shared" si="90"/>
        <v/>
      </c>
      <c r="W682" s="9" t="str">
        <f t="shared" si="91"/>
        <v/>
      </c>
      <c r="X682" s="10">
        <f>SUM(V$13:V682)/COUNTA(B$13:B682)</f>
        <v>0</v>
      </c>
      <c r="Z682" s="5"/>
      <c r="AA682" s="5"/>
      <c r="AC682" s="7"/>
      <c r="AE682" s="54" t="e">
        <f t="shared" si="92"/>
        <v>#N/A</v>
      </c>
      <c r="AF682" s="4" t="e">
        <f t="shared" si="88"/>
        <v>#N/A</v>
      </c>
    </row>
    <row r="683" spans="2:32">
      <c r="B683" s="5">
        <f t="shared" si="93"/>
        <v>671</v>
      </c>
      <c r="C683" s="5"/>
      <c r="E683" s="13"/>
      <c r="F683" s="5"/>
      <c r="G683" s="11" t="str">
        <f>IF(ISERROR(AVERAGE(F$13:F683)),"n/a",AVERAGE(F$13:F683))</f>
        <v>n/a</v>
      </c>
      <c r="H683" s="11" t="str">
        <f t="shared" si="89"/>
        <v>n/a</v>
      </c>
      <c r="J683" s="5"/>
      <c r="K683" s="5"/>
      <c r="L683" s="5"/>
      <c r="M683" s="5"/>
      <c r="N683" s="5"/>
      <c r="O683" s="8" t="str">
        <f t="shared" si="87"/>
        <v>n/a</v>
      </c>
      <c r="Q683" s="5"/>
      <c r="R683" s="5"/>
      <c r="S683" s="5"/>
      <c r="U683" s="6"/>
      <c r="V683" s="9" t="str">
        <f t="shared" si="90"/>
        <v/>
      </c>
      <c r="W683" s="9" t="str">
        <f t="shared" si="91"/>
        <v/>
      </c>
      <c r="X683" s="10">
        <f>SUM(V$13:V683)/COUNTA(B$13:B683)</f>
        <v>0</v>
      </c>
      <c r="Z683" s="5"/>
      <c r="AA683" s="5"/>
      <c r="AC683" s="7"/>
      <c r="AE683" s="54" t="e">
        <f t="shared" si="92"/>
        <v>#N/A</v>
      </c>
      <c r="AF683" s="4" t="e">
        <f t="shared" si="88"/>
        <v>#N/A</v>
      </c>
    </row>
    <row r="684" spans="2:32">
      <c r="B684" s="5">
        <f t="shared" si="93"/>
        <v>672</v>
      </c>
      <c r="C684" s="5"/>
      <c r="E684" s="13"/>
      <c r="F684" s="5"/>
      <c r="G684" s="11" t="str">
        <f>IF(ISERROR(AVERAGE(F$13:F684)),"n/a",AVERAGE(F$13:F684))</f>
        <v>n/a</v>
      </c>
      <c r="H684" s="11" t="str">
        <f t="shared" si="89"/>
        <v>n/a</v>
      </c>
      <c r="J684" s="5"/>
      <c r="K684" s="5"/>
      <c r="L684" s="5"/>
      <c r="M684" s="5"/>
      <c r="N684" s="5"/>
      <c r="O684" s="8" t="str">
        <f t="shared" si="87"/>
        <v>n/a</v>
      </c>
      <c r="Q684" s="5"/>
      <c r="R684" s="5"/>
      <c r="S684" s="5"/>
      <c r="U684" s="6"/>
      <c r="V684" s="9" t="str">
        <f t="shared" si="90"/>
        <v/>
      </c>
      <c r="W684" s="9" t="str">
        <f t="shared" si="91"/>
        <v/>
      </c>
      <c r="X684" s="10">
        <f>SUM(V$13:V684)/COUNTA(B$13:B684)</f>
        <v>0</v>
      </c>
      <c r="Z684" s="5"/>
      <c r="AA684" s="5"/>
      <c r="AC684" s="7"/>
      <c r="AE684" s="54" t="e">
        <f t="shared" si="92"/>
        <v>#N/A</v>
      </c>
      <c r="AF684" s="4" t="e">
        <f t="shared" si="88"/>
        <v>#N/A</v>
      </c>
    </row>
    <row r="685" spans="2:32">
      <c r="B685" s="5">
        <f t="shared" si="93"/>
        <v>673</v>
      </c>
      <c r="C685" s="5"/>
      <c r="E685" s="13"/>
      <c r="F685" s="5"/>
      <c r="G685" s="11" t="str">
        <f>IF(ISERROR(AVERAGE(F$13:F685)),"n/a",AVERAGE(F$13:F685))</f>
        <v>n/a</v>
      </c>
      <c r="H685" s="11" t="str">
        <f t="shared" si="89"/>
        <v>n/a</v>
      </c>
      <c r="J685" s="5"/>
      <c r="K685" s="5"/>
      <c r="L685" s="5"/>
      <c r="M685" s="5"/>
      <c r="N685" s="5"/>
      <c r="O685" s="8" t="str">
        <f t="shared" si="87"/>
        <v>n/a</v>
      </c>
      <c r="Q685" s="5"/>
      <c r="R685" s="5"/>
      <c r="S685" s="5"/>
      <c r="U685" s="6"/>
      <c r="V685" s="9" t="str">
        <f t="shared" si="90"/>
        <v/>
      </c>
      <c r="W685" s="9" t="str">
        <f t="shared" si="91"/>
        <v/>
      </c>
      <c r="X685" s="10">
        <f>SUM(V$13:V685)/COUNTA(B$13:B685)</f>
        <v>0</v>
      </c>
      <c r="Z685" s="5"/>
      <c r="AA685" s="5"/>
      <c r="AC685" s="7"/>
      <c r="AE685" s="54" t="e">
        <f t="shared" si="92"/>
        <v>#N/A</v>
      </c>
      <c r="AF685" s="4" t="e">
        <f t="shared" si="88"/>
        <v>#N/A</v>
      </c>
    </row>
    <row r="686" spans="2:32">
      <c r="B686" s="5">
        <f t="shared" si="93"/>
        <v>674</v>
      </c>
      <c r="C686" s="5"/>
      <c r="E686" s="13"/>
      <c r="F686" s="5"/>
      <c r="G686" s="11" t="str">
        <f>IF(ISERROR(AVERAGE(F$13:F686)),"n/a",AVERAGE(F$13:F686))</f>
        <v>n/a</v>
      </c>
      <c r="H686" s="11" t="str">
        <f t="shared" si="89"/>
        <v>n/a</v>
      </c>
      <c r="J686" s="5"/>
      <c r="K686" s="5"/>
      <c r="L686" s="5"/>
      <c r="M686" s="5"/>
      <c r="N686" s="5"/>
      <c r="O686" s="8" t="str">
        <f t="shared" si="87"/>
        <v>n/a</v>
      </c>
      <c r="Q686" s="5"/>
      <c r="R686" s="5"/>
      <c r="S686" s="5"/>
      <c r="U686" s="6"/>
      <c r="V686" s="9" t="str">
        <f t="shared" si="90"/>
        <v/>
      </c>
      <c r="W686" s="9" t="str">
        <f t="shared" si="91"/>
        <v/>
      </c>
      <c r="X686" s="10">
        <f>SUM(V$13:V686)/COUNTA(B$13:B686)</f>
        <v>0</v>
      </c>
      <c r="Z686" s="5"/>
      <c r="AA686" s="5"/>
      <c r="AC686" s="7"/>
      <c r="AE686" s="54" t="e">
        <f t="shared" si="92"/>
        <v>#N/A</v>
      </c>
      <c r="AF686" s="4" t="e">
        <f t="shared" si="88"/>
        <v>#N/A</v>
      </c>
    </row>
    <row r="687" spans="2:32">
      <c r="B687" s="5">
        <f t="shared" si="93"/>
        <v>675</v>
      </c>
      <c r="C687" s="5"/>
      <c r="E687" s="13"/>
      <c r="F687" s="5"/>
      <c r="G687" s="11" t="str">
        <f>IF(ISERROR(AVERAGE(F$13:F687)),"n/a",AVERAGE(F$13:F687))</f>
        <v>n/a</v>
      </c>
      <c r="H687" s="11" t="str">
        <f t="shared" si="89"/>
        <v>n/a</v>
      </c>
      <c r="J687" s="5"/>
      <c r="K687" s="5"/>
      <c r="L687" s="5"/>
      <c r="M687" s="5"/>
      <c r="N687" s="5"/>
      <c r="O687" s="8" t="str">
        <f t="shared" si="87"/>
        <v>n/a</v>
      </c>
      <c r="Q687" s="5"/>
      <c r="R687" s="5"/>
      <c r="S687" s="5"/>
      <c r="U687" s="6"/>
      <c r="V687" s="9" t="str">
        <f t="shared" si="90"/>
        <v/>
      </c>
      <c r="W687" s="9" t="str">
        <f t="shared" si="91"/>
        <v/>
      </c>
      <c r="X687" s="10">
        <f>SUM(V$13:V687)/COUNTA(B$13:B687)</f>
        <v>0</v>
      </c>
      <c r="Z687" s="5"/>
      <c r="AA687" s="5"/>
      <c r="AC687" s="7"/>
      <c r="AE687" s="54" t="e">
        <f t="shared" si="92"/>
        <v>#N/A</v>
      </c>
      <c r="AF687" s="4" t="e">
        <f t="shared" si="88"/>
        <v>#N/A</v>
      </c>
    </row>
    <row r="688" spans="2:32">
      <c r="B688" s="5">
        <f t="shared" si="93"/>
        <v>676</v>
      </c>
      <c r="C688" s="5"/>
      <c r="E688" s="13"/>
      <c r="F688" s="5"/>
      <c r="G688" s="11" t="str">
        <f>IF(ISERROR(AVERAGE(F$13:F688)),"n/a",AVERAGE(F$13:F688))</f>
        <v>n/a</v>
      </c>
      <c r="H688" s="11" t="str">
        <f t="shared" si="89"/>
        <v>n/a</v>
      </c>
      <c r="J688" s="5"/>
      <c r="K688" s="5"/>
      <c r="L688" s="5"/>
      <c r="M688" s="5"/>
      <c r="N688" s="5"/>
      <c r="O688" s="8" t="str">
        <f t="shared" si="87"/>
        <v>n/a</v>
      </c>
      <c r="Q688" s="5"/>
      <c r="R688" s="5"/>
      <c r="S688" s="5"/>
      <c r="U688" s="6"/>
      <c r="V688" s="9" t="str">
        <f t="shared" si="90"/>
        <v/>
      </c>
      <c r="W688" s="9" t="str">
        <f t="shared" si="91"/>
        <v/>
      </c>
      <c r="X688" s="10">
        <f>SUM(V$13:V688)/COUNTA(B$13:B688)</f>
        <v>0</v>
      </c>
      <c r="Z688" s="5"/>
      <c r="AA688" s="5"/>
      <c r="AC688" s="7"/>
      <c r="AE688" s="54" t="e">
        <f t="shared" si="92"/>
        <v>#N/A</v>
      </c>
      <c r="AF688" s="4" t="e">
        <f t="shared" si="88"/>
        <v>#N/A</v>
      </c>
    </row>
    <row r="689" spans="2:32">
      <c r="B689" s="5">
        <f t="shared" si="93"/>
        <v>677</v>
      </c>
      <c r="C689" s="5"/>
      <c r="E689" s="13"/>
      <c r="F689" s="5"/>
      <c r="G689" s="11" t="str">
        <f>IF(ISERROR(AVERAGE(F$13:F689)),"n/a",AVERAGE(F$13:F689))</f>
        <v>n/a</v>
      </c>
      <c r="H689" s="11" t="str">
        <f t="shared" si="89"/>
        <v>n/a</v>
      </c>
      <c r="J689" s="5"/>
      <c r="K689" s="5"/>
      <c r="L689" s="5"/>
      <c r="M689" s="5"/>
      <c r="N689" s="5"/>
      <c r="O689" s="8" t="str">
        <f t="shared" si="87"/>
        <v>n/a</v>
      </c>
      <c r="Q689" s="5"/>
      <c r="R689" s="5"/>
      <c r="S689" s="5"/>
      <c r="U689" s="6"/>
      <c r="V689" s="9" t="str">
        <f t="shared" si="90"/>
        <v/>
      </c>
      <c r="W689" s="9" t="str">
        <f t="shared" si="91"/>
        <v/>
      </c>
      <c r="X689" s="10">
        <f>SUM(V$13:V689)/COUNTA(B$13:B689)</f>
        <v>0</v>
      </c>
      <c r="Z689" s="5"/>
      <c r="AA689" s="5"/>
      <c r="AC689" s="7"/>
      <c r="AE689" s="54" t="e">
        <f t="shared" si="92"/>
        <v>#N/A</v>
      </c>
      <c r="AF689" s="4" t="e">
        <f t="shared" si="88"/>
        <v>#N/A</v>
      </c>
    </row>
    <row r="690" spans="2:32">
      <c r="B690" s="5">
        <f t="shared" si="93"/>
        <v>678</v>
      </c>
      <c r="C690" s="5"/>
      <c r="E690" s="13"/>
      <c r="F690" s="5"/>
      <c r="G690" s="11" t="str">
        <f>IF(ISERROR(AVERAGE(F$13:F690)),"n/a",AVERAGE(F$13:F690))</f>
        <v>n/a</v>
      </c>
      <c r="H690" s="11" t="str">
        <f t="shared" si="89"/>
        <v>n/a</v>
      </c>
      <c r="J690" s="5"/>
      <c r="K690" s="5"/>
      <c r="L690" s="5"/>
      <c r="M690" s="5"/>
      <c r="N690" s="5"/>
      <c r="O690" s="8" t="str">
        <f t="shared" si="87"/>
        <v>n/a</v>
      </c>
      <c r="Q690" s="5"/>
      <c r="R690" s="5"/>
      <c r="S690" s="5"/>
      <c r="U690" s="6"/>
      <c r="V690" s="9" t="str">
        <f t="shared" si="90"/>
        <v/>
      </c>
      <c r="W690" s="9" t="str">
        <f t="shared" si="91"/>
        <v/>
      </c>
      <c r="X690" s="10">
        <f>SUM(V$13:V690)/COUNTA(B$13:B690)</f>
        <v>0</v>
      </c>
      <c r="Z690" s="5"/>
      <c r="AA690" s="5"/>
      <c r="AC690" s="7"/>
      <c r="AE690" s="54" t="e">
        <f t="shared" si="92"/>
        <v>#N/A</v>
      </c>
      <c r="AF690" s="4" t="e">
        <f t="shared" si="88"/>
        <v>#N/A</v>
      </c>
    </row>
    <row r="691" spans="2:32">
      <c r="B691" s="5">
        <f t="shared" si="93"/>
        <v>679</v>
      </c>
      <c r="C691" s="5"/>
      <c r="E691" s="13"/>
      <c r="F691" s="5"/>
      <c r="G691" s="11" t="str">
        <f>IF(ISERROR(AVERAGE(F$13:F691)),"n/a",AVERAGE(F$13:F691))</f>
        <v>n/a</v>
      </c>
      <c r="H691" s="11" t="str">
        <f t="shared" si="89"/>
        <v>n/a</v>
      </c>
      <c r="J691" s="5"/>
      <c r="K691" s="5"/>
      <c r="L691" s="5"/>
      <c r="M691" s="5"/>
      <c r="N691" s="5"/>
      <c r="O691" s="8" t="str">
        <f t="shared" si="87"/>
        <v>n/a</v>
      </c>
      <c r="Q691" s="5"/>
      <c r="R691" s="5"/>
      <c r="S691" s="5"/>
      <c r="U691" s="6"/>
      <c r="V691" s="9" t="str">
        <f t="shared" si="90"/>
        <v/>
      </c>
      <c r="W691" s="9" t="str">
        <f t="shared" si="91"/>
        <v/>
      </c>
      <c r="X691" s="10">
        <f>SUM(V$13:V691)/COUNTA(B$13:B691)</f>
        <v>0</v>
      </c>
      <c r="Z691" s="5"/>
      <c r="AA691" s="5"/>
      <c r="AC691" s="7"/>
      <c r="AE691" s="54" t="e">
        <f t="shared" si="92"/>
        <v>#N/A</v>
      </c>
      <c r="AF691" s="4" t="e">
        <f t="shared" si="88"/>
        <v>#N/A</v>
      </c>
    </row>
    <row r="692" spans="2:32">
      <c r="B692" s="5">
        <f t="shared" si="93"/>
        <v>680</v>
      </c>
      <c r="C692" s="5"/>
      <c r="E692" s="13"/>
      <c r="F692" s="5"/>
      <c r="G692" s="11" t="str">
        <f>IF(ISERROR(AVERAGE(F$13:F692)),"n/a",AVERAGE(F$13:F692))</f>
        <v>n/a</v>
      </c>
      <c r="H692" s="11" t="str">
        <f t="shared" si="89"/>
        <v>n/a</v>
      </c>
      <c r="J692" s="5"/>
      <c r="K692" s="5"/>
      <c r="L692" s="5"/>
      <c r="M692" s="5"/>
      <c r="N692" s="5"/>
      <c r="O692" s="8" t="str">
        <f t="shared" si="87"/>
        <v>n/a</v>
      </c>
      <c r="Q692" s="5"/>
      <c r="R692" s="5"/>
      <c r="S692" s="5"/>
      <c r="U692" s="6"/>
      <c r="V692" s="9" t="str">
        <f t="shared" si="90"/>
        <v/>
      </c>
      <c r="W692" s="9" t="str">
        <f t="shared" si="91"/>
        <v/>
      </c>
      <c r="X692" s="10">
        <f>SUM(V$13:V692)/COUNTA(B$13:B692)</f>
        <v>0</v>
      </c>
      <c r="Z692" s="5"/>
      <c r="AA692" s="5"/>
      <c r="AC692" s="7"/>
      <c r="AE692" s="54" t="e">
        <f t="shared" si="92"/>
        <v>#N/A</v>
      </c>
      <c r="AF692" s="4" t="e">
        <f t="shared" si="88"/>
        <v>#N/A</v>
      </c>
    </row>
    <row r="693" spans="2:32">
      <c r="B693" s="5">
        <f t="shared" si="93"/>
        <v>681</v>
      </c>
      <c r="C693" s="5"/>
      <c r="E693" s="13"/>
      <c r="F693" s="5"/>
      <c r="G693" s="11" t="str">
        <f>IF(ISERROR(AVERAGE(F$13:F693)),"n/a",AVERAGE(F$13:F693))</f>
        <v>n/a</v>
      </c>
      <c r="H693" s="11" t="str">
        <f t="shared" si="89"/>
        <v>n/a</v>
      </c>
      <c r="J693" s="5"/>
      <c r="K693" s="5"/>
      <c r="L693" s="5"/>
      <c r="M693" s="5"/>
      <c r="N693" s="5"/>
      <c r="O693" s="8" t="str">
        <f t="shared" si="87"/>
        <v>n/a</v>
      </c>
      <c r="Q693" s="5"/>
      <c r="R693" s="5"/>
      <c r="S693" s="5"/>
      <c r="U693" s="6"/>
      <c r="V693" s="9" t="str">
        <f t="shared" si="90"/>
        <v/>
      </c>
      <c r="W693" s="9" t="str">
        <f t="shared" si="91"/>
        <v/>
      </c>
      <c r="X693" s="10">
        <f>SUM(V$13:V693)/COUNTA(B$13:B693)</f>
        <v>0</v>
      </c>
      <c r="Z693" s="5"/>
      <c r="AA693" s="5"/>
      <c r="AC693" s="7"/>
      <c r="AE693" s="54" t="e">
        <f t="shared" si="92"/>
        <v>#N/A</v>
      </c>
      <c r="AF693" s="4" t="e">
        <f t="shared" si="88"/>
        <v>#N/A</v>
      </c>
    </row>
    <row r="694" spans="2:32">
      <c r="B694" s="5">
        <f t="shared" si="93"/>
        <v>682</v>
      </c>
      <c r="C694" s="5"/>
      <c r="E694" s="13"/>
      <c r="F694" s="5"/>
      <c r="G694" s="11" t="str">
        <f>IF(ISERROR(AVERAGE(F$13:F694)),"n/a",AVERAGE(F$13:F694))</f>
        <v>n/a</v>
      </c>
      <c r="H694" s="11" t="str">
        <f t="shared" si="89"/>
        <v>n/a</v>
      </c>
      <c r="J694" s="5"/>
      <c r="K694" s="5"/>
      <c r="L694" s="5"/>
      <c r="M694" s="5"/>
      <c r="N694" s="5"/>
      <c r="O694" s="8" t="str">
        <f t="shared" si="87"/>
        <v>n/a</v>
      </c>
      <c r="Q694" s="5"/>
      <c r="R694" s="5"/>
      <c r="S694" s="5"/>
      <c r="U694" s="6"/>
      <c r="V694" s="9" t="str">
        <f t="shared" si="90"/>
        <v/>
      </c>
      <c r="W694" s="9" t="str">
        <f t="shared" si="91"/>
        <v/>
      </c>
      <c r="X694" s="10">
        <f>SUM(V$13:V694)/COUNTA(B$13:B694)</f>
        <v>0</v>
      </c>
      <c r="Z694" s="5"/>
      <c r="AA694" s="5"/>
      <c r="AC694" s="7"/>
      <c r="AE694" s="54" t="e">
        <f t="shared" si="92"/>
        <v>#N/A</v>
      </c>
      <c r="AF694" s="4" t="e">
        <f t="shared" si="88"/>
        <v>#N/A</v>
      </c>
    </row>
    <row r="695" spans="2:32">
      <c r="B695" s="5">
        <f t="shared" si="93"/>
        <v>683</v>
      </c>
      <c r="C695" s="5"/>
      <c r="E695" s="13"/>
      <c r="F695" s="5"/>
      <c r="G695" s="11" t="str">
        <f>IF(ISERROR(AVERAGE(F$13:F695)),"n/a",AVERAGE(F$13:F695))</f>
        <v>n/a</v>
      </c>
      <c r="H695" s="11" t="str">
        <f t="shared" si="89"/>
        <v>n/a</v>
      </c>
      <c r="J695" s="5"/>
      <c r="K695" s="5"/>
      <c r="L695" s="5"/>
      <c r="M695" s="5"/>
      <c r="N695" s="5"/>
      <c r="O695" s="8" t="str">
        <f t="shared" si="87"/>
        <v>n/a</v>
      </c>
      <c r="Q695" s="5"/>
      <c r="R695" s="5"/>
      <c r="S695" s="5"/>
      <c r="U695" s="6"/>
      <c r="V695" s="9" t="str">
        <f t="shared" si="90"/>
        <v/>
      </c>
      <c r="W695" s="9" t="str">
        <f t="shared" si="91"/>
        <v/>
      </c>
      <c r="X695" s="10">
        <f>SUM(V$13:V695)/COUNTA(B$13:B695)</f>
        <v>0</v>
      </c>
      <c r="Z695" s="5"/>
      <c r="AA695" s="5"/>
      <c r="AC695" s="7"/>
      <c r="AE695" s="54" t="e">
        <f t="shared" si="92"/>
        <v>#N/A</v>
      </c>
      <c r="AF695" s="4" t="e">
        <f t="shared" si="88"/>
        <v>#N/A</v>
      </c>
    </row>
    <row r="696" spans="2:32">
      <c r="B696" s="5">
        <f t="shared" si="93"/>
        <v>684</v>
      </c>
      <c r="C696" s="5"/>
      <c r="E696" s="13"/>
      <c r="F696" s="5"/>
      <c r="G696" s="11" t="str">
        <f>IF(ISERROR(AVERAGE(F$13:F696)),"n/a",AVERAGE(F$13:F696))</f>
        <v>n/a</v>
      </c>
      <c r="H696" s="11" t="str">
        <f t="shared" si="89"/>
        <v>n/a</v>
      </c>
      <c r="J696" s="5"/>
      <c r="K696" s="5"/>
      <c r="L696" s="5"/>
      <c r="M696" s="5"/>
      <c r="N696" s="5"/>
      <c r="O696" s="8" t="str">
        <f t="shared" si="87"/>
        <v>n/a</v>
      </c>
      <c r="Q696" s="5"/>
      <c r="R696" s="5"/>
      <c r="S696" s="5"/>
      <c r="U696" s="6"/>
      <c r="V696" s="9" t="str">
        <f t="shared" si="90"/>
        <v/>
      </c>
      <c r="W696" s="9" t="str">
        <f t="shared" si="91"/>
        <v/>
      </c>
      <c r="X696" s="10">
        <f>SUM(V$13:V696)/COUNTA(B$13:B696)</f>
        <v>0</v>
      </c>
      <c r="Z696" s="5"/>
      <c r="AA696" s="5"/>
      <c r="AC696" s="7"/>
      <c r="AE696" s="54" t="e">
        <f t="shared" si="92"/>
        <v>#N/A</v>
      </c>
      <c r="AF696" s="4" t="e">
        <f t="shared" si="88"/>
        <v>#N/A</v>
      </c>
    </row>
    <row r="697" spans="2:32">
      <c r="B697" s="5">
        <f t="shared" si="93"/>
        <v>685</v>
      </c>
      <c r="C697" s="5"/>
      <c r="E697" s="13"/>
      <c r="F697" s="5"/>
      <c r="G697" s="11" t="str">
        <f>IF(ISERROR(AVERAGE(F$13:F697)),"n/a",AVERAGE(F$13:F697))</f>
        <v>n/a</v>
      </c>
      <c r="H697" s="11" t="str">
        <f t="shared" si="89"/>
        <v>n/a</v>
      </c>
      <c r="J697" s="5"/>
      <c r="K697" s="5"/>
      <c r="L697" s="5"/>
      <c r="M697" s="5"/>
      <c r="N697" s="5"/>
      <c r="O697" s="8" t="str">
        <f t="shared" si="87"/>
        <v>n/a</v>
      </c>
      <c r="Q697" s="5"/>
      <c r="R697" s="5"/>
      <c r="S697" s="5"/>
      <c r="U697" s="6"/>
      <c r="V697" s="9" t="str">
        <f t="shared" si="90"/>
        <v/>
      </c>
      <c r="W697" s="9" t="str">
        <f t="shared" si="91"/>
        <v/>
      </c>
      <c r="X697" s="10">
        <f>SUM(V$13:V697)/COUNTA(B$13:B697)</f>
        <v>0</v>
      </c>
      <c r="Z697" s="5"/>
      <c r="AA697" s="5"/>
      <c r="AC697" s="7"/>
      <c r="AE697" s="54" t="e">
        <f t="shared" si="92"/>
        <v>#N/A</v>
      </c>
      <c r="AF697" s="4" t="e">
        <f t="shared" si="88"/>
        <v>#N/A</v>
      </c>
    </row>
    <row r="698" spans="2:32">
      <c r="B698" s="5">
        <f t="shared" si="93"/>
        <v>686</v>
      </c>
      <c r="C698" s="5"/>
      <c r="E698" s="13"/>
      <c r="F698" s="5"/>
      <c r="G698" s="11" t="str">
        <f>IF(ISERROR(AVERAGE(F$13:F698)),"n/a",AVERAGE(F$13:F698))</f>
        <v>n/a</v>
      </c>
      <c r="H698" s="11" t="str">
        <f t="shared" si="89"/>
        <v>n/a</v>
      </c>
      <c r="J698" s="5"/>
      <c r="K698" s="5"/>
      <c r="L698" s="5"/>
      <c r="M698" s="5"/>
      <c r="N698" s="5"/>
      <c r="O698" s="8" t="str">
        <f t="shared" si="87"/>
        <v>n/a</v>
      </c>
      <c r="Q698" s="5"/>
      <c r="R698" s="5"/>
      <c r="S698" s="5"/>
      <c r="U698" s="6"/>
      <c r="V698" s="9" t="str">
        <f t="shared" si="90"/>
        <v/>
      </c>
      <c r="W698" s="9" t="str">
        <f t="shared" si="91"/>
        <v/>
      </c>
      <c r="X698" s="10">
        <f>SUM(V$13:V698)/COUNTA(B$13:B698)</f>
        <v>0</v>
      </c>
      <c r="Z698" s="5"/>
      <c r="AA698" s="5"/>
      <c r="AC698" s="7"/>
      <c r="AE698" s="54" t="e">
        <f t="shared" si="92"/>
        <v>#N/A</v>
      </c>
      <c r="AF698" s="4" t="e">
        <f t="shared" si="88"/>
        <v>#N/A</v>
      </c>
    </row>
    <row r="699" spans="2:32">
      <c r="B699" s="5">
        <f t="shared" si="93"/>
        <v>687</v>
      </c>
      <c r="C699" s="5"/>
      <c r="E699" s="13"/>
      <c r="F699" s="5"/>
      <c r="G699" s="11" t="str">
        <f>IF(ISERROR(AVERAGE(F$13:F699)),"n/a",AVERAGE(F$13:F699))</f>
        <v>n/a</v>
      </c>
      <c r="H699" s="11" t="str">
        <f t="shared" si="89"/>
        <v>n/a</v>
      </c>
      <c r="J699" s="5"/>
      <c r="K699" s="5"/>
      <c r="L699" s="5"/>
      <c r="M699" s="5"/>
      <c r="N699" s="5"/>
      <c r="O699" s="8" t="str">
        <f t="shared" si="87"/>
        <v>n/a</v>
      </c>
      <c r="Q699" s="5"/>
      <c r="R699" s="5"/>
      <c r="S699" s="5"/>
      <c r="U699" s="6"/>
      <c r="V699" s="9" t="str">
        <f t="shared" si="90"/>
        <v/>
      </c>
      <c r="W699" s="9" t="str">
        <f t="shared" si="91"/>
        <v/>
      </c>
      <c r="X699" s="10">
        <f>SUM(V$13:V699)/COUNTA(B$13:B699)</f>
        <v>0</v>
      </c>
      <c r="Z699" s="5"/>
      <c r="AA699" s="5"/>
      <c r="AC699" s="7"/>
      <c r="AE699" s="54" t="e">
        <f t="shared" si="92"/>
        <v>#N/A</v>
      </c>
      <c r="AF699" s="4" t="e">
        <f t="shared" si="88"/>
        <v>#N/A</v>
      </c>
    </row>
    <row r="700" spans="2:32">
      <c r="B700" s="5">
        <f t="shared" si="93"/>
        <v>688</v>
      </c>
      <c r="C700" s="5"/>
      <c r="E700" s="13"/>
      <c r="F700" s="5"/>
      <c r="G700" s="11" t="str">
        <f>IF(ISERROR(AVERAGE(F$13:F700)),"n/a",AVERAGE(F$13:F700))</f>
        <v>n/a</v>
      </c>
      <c r="H700" s="11" t="str">
        <f t="shared" si="89"/>
        <v>n/a</v>
      </c>
      <c r="J700" s="5"/>
      <c r="K700" s="5"/>
      <c r="L700" s="5"/>
      <c r="M700" s="5"/>
      <c r="N700" s="5"/>
      <c r="O700" s="8" t="str">
        <f t="shared" si="87"/>
        <v>n/a</v>
      </c>
      <c r="Q700" s="5"/>
      <c r="R700" s="5"/>
      <c r="S700" s="5"/>
      <c r="U700" s="6"/>
      <c r="V700" s="9" t="str">
        <f t="shared" si="90"/>
        <v/>
      </c>
      <c r="W700" s="9" t="str">
        <f t="shared" si="91"/>
        <v/>
      </c>
      <c r="X700" s="10">
        <f>SUM(V$13:V700)/COUNTA(B$13:B700)</f>
        <v>0</v>
      </c>
      <c r="Z700" s="5"/>
      <c r="AA700" s="5"/>
      <c r="AC700" s="7"/>
      <c r="AE700" s="54" t="e">
        <f t="shared" si="92"/>
        <v>#N/A</v>
      </c>
      <c r="AF700" s="4" t="e">
        <f t="shared" si="88"/>
        <v>#N/A</v>
      </c>
    </row>
    <row r="701" spans="2:32">
      <c r="B701" s="5">
        <f t="shared" si="93"/>
        <v>689</v>
      </c>
      <c r="C701" s="5"/>
      <c r="E701" s="13"/>
      <c r="F701" s="5"/>
      <c r="G701" s="11" t="str">
        <f>IF(ISERROR(AVERAGE(F$13:F701)),"n/a",AVERAGE(F$13:F701))</f>
        <v>n/a</v>
      </c>
      <c r="H701" s="11" t="str">
        <f t="shared" si="89"/>
        <v>n/a</v>
      </c>
      <c r="J701" s="5"/>
      <c r="K701" s="5"/>
      <c r="L701" s="5"/>
      <c r="M701" s="5"/>
      <c r="N701" s="5"/>
      <c r="O701" s="8" t="str">
        <f t="shared" si="87"/>
        <v>n/a</v>
      </c>
      <c r="Q701" s="5"/>
      <c r="R701" s="5"/>
      <c r="S701" s="5"/>
      <c r="U701" s="6"/>
      <c r="V701" s="9" t="str">
        <f t="shared" si="90"/>
        <v/>
      </c>
      <c r="W701" s="9" t="str">
        <f t="shared" si="91"/>
        <v/>
      </c>
      <c r="X701" s="10">
        <f>SUM(V$13:V701)/COUNTA(B$13:B701)</f>
        <v>0</v>
      </c>
      <c r="Z701" s="5"/>
      <c r="AA701" s="5"/>
      <c r="AC701" s="7"/>
      <c r="AE701" s="54" t="e">
        <f t="shared" si="92"/>
        <v>#N/A</v>
      </c>
      <c r="AF701" s="4" t="e">
        <f t="shared" si="88"/>
        <v>#N/A</v>
      </c>
    </row>
    <row r="702" spans="2:32">
      <c r="B702" s="5">
        <f t="shared" si="93"/>
        <v>690</v>
      </c>
      <c r="C702" s="5"/>
      <c r="E702" s="13"/>
      <c r="F702" s="5"/>
      <c r="G702" s="11" t="str">
        <f>IF(ISERROR(AVERAGE(F$13:F702)),"n/a",AVERAGE(F$13:F702))</f>
        <v>n/a</v>
      </c>
      <c r="H702" s="11" t="str">
        <f t="shared" si="89"/>
        <v>n/a</v>
      </c>
      <c r="J702" s="5"/>
      <c r="K702" s="5"/>
      <c r="L702" s="5"/>
      <c r="M702" s="5"/>
      <c r="N702" s="5"/>
      <c r="O702" s="8" t="str">
        <f t="shared" si="87"/>
        <v>n/a</v>
      </c>
      <c r="Q702" s="5"/>
      <c r="R702" s="5"/>
      <c r="S702" s="5"/>
      <c r="U702" s="6"/>
      <c r="V702" s="9" t="str">
        <f t="shared" si="90"/>
        <v/>
      </c>
      <c r="W702" s="9" t="str">
        <f t="shared" si="91"/>
        <v/>
      </c>
      <c r="X702" s="10">
        <f>SUM(V$13:V702)/COUNTA(B$13:B702)</f>
        <v>0</v>
      </c>
      <c r="Z702" s="5"/>
      <c r="AA702" s="5"/>
      <c r="AC702" s="7"/>
      <c r="AE702" s="54" t="e">
        <f t="shared" si="92"/>
        <v>#N/A</v>
      </c>
      <c r="AF702" s="4" t="e">
        <f t="shared" si="88"/>
        <v>#N/A</v>
      </c>
    </row>
    <row r="703" spans="2:32">
      <c r="B703" s="5">
        <f t="shared" si="93"/>
        <v>691</v>
      </c>
      <c r="C703" s="5"/>
      <c r="E703" s="13"/>
      <c r="F703" s="5"/>
      <c r="G703" s="11" t="str">
        <f>IF(ISERROR(AVERAGE(F$13:F703)),"n/a",AVERAGE(F$13:F703))</f>
        <v>n/a</v>
      </c>
      <c r="H703" s="11" t="str">
        <f t="shared" si="89"/>
        <v>n/a</v>
      </c>
      <c r="J703" s="5"/>
      <c r="K703" s="5"/>
      <c r="L703" s="5"/>
      <c r="M703" s="5"/>
      <c r="N703" s="5"/>
      <c r="O703" s="8" t="str">
        <f t="shared" si="87"/>
        <v>n/a</v>
      </c>
      <c r="Q703" s="5"/>
      <c r="R703" s="5"/>
      <c r="S703" s="5"/>
      <c r="U703" s="6"/>
      <c r="V703" s="9" t="str">
        <f t="shared" si="90"/>
        <v/>
      </c>
      <c r="W703" s="9" t="str">
        <f t="shared" si="91"/>
        <v/>
      </c>
      <c r="X703" s="10">
        <f>SUM(V$13:V703)/COUNTA(B$13:B703)</f>
        <v>0</v>
      </c>
      <c r="Z703" s="5"/>
      <c r="AA703" s="5"/>
      <c r="AC703" s="7"/>
      <c r="AE703" s="54" t="e">
        <f t="shared" si="92"/>
        <v>#N/A</v>
      </c>
      <c r="AF703" s="4" t="e">
        <f t="shared" si="88"/>
        <v>#N/A</v>
      </c>
    </row>
    <row r="704" spans="2:32">
      <c r="B704" s="5">
        <f t="shared" si="93"/>
        <v>692</v>
      </c>
      <c r="C704" s="5"/>
      <c r="E704" s="13"/>
      <c r="F704" s="5"/>
      <c r="G704" s="11" t="str">
        <f>IF(ISERROR(AVERAGE(F$13:F704)),"n/a",AVERAGE(F$13:F704))</f>
        <v>n/a</v>
      </c>
      <c r="H704" s="11" t="str">
        <f t="shared" si="89"/>
        <v>n/a</v>
      </c>
      <c r="J704" s="5"/>
      <c r="K704" s="5"/>
      <c r="L704" s="5"/>
      <c r="M704" s="5"/>
      <c r="N704" s="5"/>
      <c r="O704" s="8" t="str">
        <f t="shared" si="87"/>
        <v>n/a</v>
      </c>
      <c r="Q704" s="5"/>
      <c r="R704" s="5"/>
      <c r="S704" s="5"/>
      <c r="U704" s="6"/>
      <c r="V704" s="9" t="str">
        <f t="shared" si="90"/>
        <v/>
      </c>
      <c r="W704" s="9" t="str">
        <f t="shared" si="91"/>
        <v/>
      </c>
      <c r="X704" s="10">
        <f>SUM(V$13:V704)/COUNTA(B$13:B704)</f>
        <v>0</v>
      </c>
      <c r="Z704" s="5"/>
      <c r="AA704" s="5"/>
      <c r="AC704" s="7"/>
      <c r="AE704" s="54" t="e">
        <f t="shared" si="92"/>
        <v>#N/A</v>
      </c>
      <c r="AF704" s="4" t="e">
        <f t="shared" si="88"/>
        <v>#N/A</v>
      </c>
    </row>
    <row r="705" spans="2:32">
      <c r="B705" s="5">
        <f t="shared" si="93"/>
        <v>693</v>
      </c>
      <c r="C705" s="5"/>
      <c r="E705" s="13"/>
      <c r="F705" s="5"/>
      <c r="G705" s="11" t="str">
        <f>IF(ISERROR(AVERAGE(F$13:F705)),"n/a",AVERAGE(F$13:F705))</f>
        <v>n/a</v>
      </c>
      <c r="H705" s="11" t="str">
        <f t="shared" si="89"/>
        <v>n/a</v>
      </c>
      <c r="J705" s="5"/>
      <c r="K705" s="5"/>
      <c r="L705" s="5"/>
      <c r="M705" s="5"/>
      <c r="N705" s="5"/>
      <c r="O705" s="8" t="str">
        <f t="shared" si="87"/>
        <v>n/a</v>
      </c>
      <c r="Q705" s="5"/>
      <c r="R705" s="5"/>
      <c r="S705" s="5"/>
      <c r="U705" s="6"/>
      <c r="V705" s="9" t="str">
        <f t="shared" si="90"/>
        <v/>
      </c>
      <c r="W705" s="9" t="str">
        <f t="shared" si="91"/>
        <v/>
      </c>
      <c r="X705" s="10">
        <f>SUM(V$13:V705)/COUNTA(B$13:B705)</f>
        <v>0</v>
      </c>
      <c r="Z705" s="5"/>
      <c r="AA705" s="5"/>
      <c r="AC705" s="7"/>
      <c r="AE705" s="54" t="e">
        <f t="shared" si="92"/>
        <v>#N/A</v>
      </c>
      <c r="AF705" s="4" t="e">
        <f t="shared" si="88"/>
        <v>#N/A</v>
      </c>
    </row>
    <row r="706" spans="2:32">
      <c r="B706" s="5">
        <f t="shared" si="93"/>
        <v>694</v>
      </c>
      <c r="C706" s="5"/>
      <c r="E706" s="13"/>
      <c r="F706" s="5"/>
      <c r="G706" s="11" t="str">
        <f>IF(ISERROR(AVERAGE(F$13:F706)),"n/a",AVERAGE(F$13:F706))</f>
        <v>n/a</v>
      </c>
      <c r="H706" s="11" t="str">
        <f t="shared" si="89"/>
        <v>n/a</v>
      </c>
      <c r="J706" s="5"/>
      <c r="K706" s="5"/>
      <c r="L706" s="5"/>
      <c r="M706" s="5"/>
      <c r="N706" s="5"/>
      <c r="O706" s="8" t="str">
        <f t="shared" si="87"/>
        <v>n/a</v>
      </c>
      <c r="Q706" s="5"/>
      <c r="R706" s="5"/>
      <c r="S706" s="5"/>
      <c r="U706" s="6"/>
      <c r="V706" s="9" t="str">
        <f t="shared" si="90"/>
        <v/>
      </c>
      <c r="W706" s="9" t="str">
        <f t="shared" si="91"/>
        <v/>
      </c>
      <c r="X706" s="10">
        <f>SUM(V$13:V706)/COUNTA(B$13:B706)</f>
        <v>0</v>
      </c>
      <c r="Z706" s="5"/>
      <c r="AA706" s="5"/>
      <c r="AC706" s="7"/>
      <c r="AE706" s="54" t="e">
        <f t="shared" si="92"/>
        <v>#N/A</v>
      </c>
      <c r="AF706" s="4" t="e">
        <f t="shared" si="88"/>
        <v>#N/A</v>
      </c>
    </row>
    <row r="707" spans="2:32">
      <c r="B707" s="5">
        <f t="shared" si="93"/>
        <v>695</v>
      </c>
      <c r="C707" s="5"/>
      <c r="E707" s="13"/>
      <c r="F707" s="5"/>
      <c r="G707" s="11" t="str">
        <f>IF(ISERROR(AVERAGE(F$13:F707)),"n/a",AVERAGE(F$13:F707))</f>
        <v>n/a</v>
      </c>
      <c r="H707" s="11" t="str">
        <f t="shared" si="89"/>
        <v>n/a</v>
      </c>
      <c r="J707" s="5"/>
      <c r="K707" s="5"/>
      <c r="L707" s="5"/>
      <c r="M707" s="5"/>
      <c r="N707" s="5"/>
      <c r="O707" s="8" t="str">
        <f t="shared" si="87"/>
        <v>n/a</v>
      </c>
      <c r="Q707" s="5"/>
      <c r="R707" s="5"/>
      <c r="S707" s="5"/>
      <c r="U707" s="6"/>
      <c r="V707" s="9" t="str">
        <f t="shared" si="90"/>
        <v/>
      </c>
      <c r="W707" s="9" t="str">
        <f t="shared" si="91"/>
        <v/>
      </c>
      <c r="X707" s="10">
        <f>SUM(V$13:V707)/COUNTA(B$13:B707)</f>
        <v>0</v>
      </c>
      <c r="Z707" s="5"/>
      <c r="AA707" s="5"/>
      <c r="AC707" s="7"/>
      <c r="AE707" s="54" t="e">
        <f t="shared" si="92"/>
        <v>#N/A</v>
      </c>
      <c r="AF707" s="4" t="e">
        <f t="shared" si="88"/>
        <v>#N/A</v>
      </c>
    </row>
    <row r="708" spans="2:32">
      <c r="B708" s="5">
        <f t="shared" si="93"/>
        <v>696</v>
      </c>
      <c r="C708" s="5"/>
      <c r="E708" s="13"/>
      <c r="F708" s="5"/>
      <c r="G708" s="11" t="str">
        <f>IF(ISERROR(AVERAGE(F$13:F708)),"n/a",AVERAGE(F$13:F708))</f>
        <v>n/a</v>
      </c>
      <c r="H708" s="11" t="str">
        <f t="shared" si="89"/>
        <v>n/a</v>
      </c>
      <c r="J708" s="5"/>
      <c r="K708" s="5"/>
      <c r="L708" s="5"/>
      <c r="M708" s="5"/>
      <c r="N708" s="5"/>
      <c r="O708" s="8" t="str">
        <f t="shared" si="87"/>
        <v>n/a</v>
      </c>
      <c r="Q708" s="5"/>
      <c r="R708" s="5"/>
      <c r="S708" s="5"/>
      <c r="U708" s="6"/>
      <c r="V708" s="9" t="str">
        <f t="shared" si="90"/>
        <v/>
      </c>
      <c r="W708" s="9" t="str">
        <f t="shared" si="91"/>
        <v/>
      </c>
      <c r="X708" s="10">
        <f>SUM(V$13:V708)/COUNTA(B$13:B708)</f>
        <v>0</v>
      </c>
      <c r="Z708" s="5"/>
      <c r="AA708" s="5"/>
      <c r="AC708" s="7"/>
      <c r="AE708" s="54" t="e">
        <f t="shared" si="92"/>
        <v>#N/A</v>
      </c>
      <c r="AF708" s="4" t="e">
        <f t="shared" si="88"/>
        <v>#N/A</v>
      </c>
    </row>
    <row r="709" spans="2:32">
      <c r="B709" s="5">
        <f t="shared" si="93"/>
        <v>697</v>
      </c>
      <c r="C709" s="5"/>
      <c r="E709" s="13"/>
      <c r="F709" s="5"/>
      <c r="G709" s="11" t="str">
        <f>IF(ISERROR(AVERAGE(F$13:F709)),"n/a",AVERAGE(F$13:F709))</f>
        <v>n/a</v>
      </c>
      <c r="H709" s="11" t="str">
        <f t="shared" si="89"/>
        <v>n/a</v>
      </c>
      <c r="J709" s="5"/>
      <c r="K709" s="5"/>
      <c r="L709" s="5"/>
      <c r="M709" s="5"/>
      <c r="N709" s="5"/>
      <c r="O709" s="8" t="str">
        <f t="shared" si="87"/>
        <v>n/a</v>
      </c>
      <c r="Q709" s="5"/>
      <c r="R709" s="5"/>
      <c r="S709" s="5"/>
      <c r="U709" s="6"/>
      <c r="V709" s="9" t="str">
        <f t="shared" si="90"/>
        <v/>
      </c>
      <c r="W709" s="9" t="str">
        <f t="shared" si="91"/>
        <v/>
      </c>
      <c r="X709" s="10">
        <f>SUM(V$13:V709)/COUNTA(B$13:B709)</f>
        <v>0</v>
      </c>
      <c r="Z709" s="5"/>
      <c r="AA709" s="5"/>
      <c r="AC709" s="7"/>
      <c r="AE709" s="54" t="e">
        <f t="shared" si="92"/>
        <v>#N/A</v>
      </c>
      <c r="AF709" s="4" t="e">
        <f t="shared" si="88"/>
        <v>#N/A</v>
      </c>
    </row>
    <row r="710" spans="2:32">
      <c r="B710" s="5">
        <f t="shared" si="93"/>
        <v>698</v>
      </c>
      <c r="C710" s="5"/>
      <c r="E710" s="13"/>
      <c r="F710" s="5"/>
      <c r="G710" s="11" t="str">
        <f>IF(ISERROR(AVERAGE(F$13:F710)),"n/a",AVERAGE(F$13:F710))</f>
        <v>n/a</v>
      </c>
      <c r="H710" s="11" t="str">
        <f t="shared" si="89"/>
        <v>n/a</v>
      </c>
      <c r="J710" s="5"/>
      <c r="K710" s="5"/>
      <c r="L710" s="5"/>
      <c r="M710" s="5"/>
      <c r="N710" s="5"/>
      <c r="O710" s="8" t="str">
        <f t="shared" si="87"/>
        <v>n/a</v>
      </c>
      <c r="Q710" s="5"/>
      <c r="R710" s="5"/>
      <c r="S710" s="5"/>
      <c r="U710" s="6"/>
      <c r="V710" s="9" t="str">
        <f t="shared" si="90"/>
        <v/>
      </c>
      <c r="W710" s="9" t="str">
        <f t="shared" si="91"/>
        <v/>
      </c>
      <c r="X710" s="10">
        <f>SUM(V$13:V710)/COUNTA(B$13:B710)</f>
        <v>0</v>
      </c>
      <c r="Z710" s="5"/>
      <c r="AA710" s="5"/>
      <c r="AC710" s="7"/>
      <c r="AE710" s="54" t="e">
        <f t="shared" si="92"/>
        <v>#N/A</v>
      </c>
      <c r="AF710" s="4" t="e">
        <f t="shared" si="88"/>
        <v>#N/A</v>
      </c>
    </row>
    <row r="711" spans="2:32">
      <c r="B711" s="5">
        <f t="shared" si="93"/>
        <v>699</v>
      </c>
      <c r="C711" s="5"/>
      <c r="E711" s="13"/>
      <c r="F711" s="5"/>
      <c r="G711" s="11" t="str">
        <f>IF(ISERROR(AVERAGE(F$13:F711)),"n/a",AVERAGE(F$13:F711))</f>
        <v>n/a</v>
      </c>
      <c r="H711" s="11" t="str">
        <f t="shared" si="89"/>
        <v>n/a</v>
      </c>
      <c r="J711" s="5"/>
      <c r="K711" s="5"/>
      <c r="L711" s="5"/>
      <c r="M711" s="5"/>
      <c r="N711" s="5"/>
      <c r="O711" s="8" t="str">
        <f t="shared" si="87"/>
        <v>n/a</v>
      </c>
      <c r="Q711" s="5"/>
      <c r="R711" s="5"/>
      <c r="S711" s="5"/>
      <c r="U711" s="6"/>
      <c r="V711" s="9" t="str">
        <f t="shared" si="90"/>
        <v/>
      </c>
      <c r="W711" s="9" t="str">
        <f t="shared" si="91"/>
        <v/>
      </c>
      <c r="X711" s="10">
        <f>SUM(V$13:V711)/COUNTA(B$13:B711)</f>
        <v>0</v>
      </c>
      <c r="Z711" s="5"/>
      <c r="AA711" s="5"/>
      <c r="AC711" s="7"/>
      <c r="AE711" s="54" t="e">
        <f t="shared" si="92"/>
        <v>#N/A</v>
      </c>
      <c r="AF711" s="4" t="e">
        <f t="shared" si="88"/>
        <v>#N/A</v>
      </c>
    </row>
    <row r="712" spans="2:32">
      <c r="B712" s="5">
        <f t="shared" si="93"/>
        <v>700</v>
      </c>
      <c r="C712" s="5"/>
      <c r="E712" s="13"/>
      <c r="F712" s="5"/>
      <c r="G712" s="11" t="str">
        <f>IF(ISERROR(AVERAGE(F$13:F712)),"n/a",AVERAGE(F$13:F712))</f>
        <v>n/a</v>
      </c>
      <c r="H712" s="11" t="str">
        <f t="shared" si="89"/>
        <v>n/a</v>
      </c>
      <c r="J712" s="5"/>
      <c r="K712" s="5"/>
      <c r="L712" s="5"/>
      <c r="M712" s="5"/>
      <c r="N712" s="5"/>
      <c r="O712" s="8" t="str">
        <f t="shared" si="87"/>
        <v>n/a</v>
      </c>
      <c r="Q712" s="5"/>
      <c r="R712" s="5"/>
      <c r="S712" s="5"/>
      <c r="U712" s="6"/>
      <c r="V712" s="9" t="str">
        <f t="shared" si="90"/>
        <v/>
      </c>
      <c r="W712" s="9" t="str">
        <f t="shared" si="91"/>
        <v/>
      </c>
      <c r="X712" s="10">
        <f>SUM(V$13:V712)/COUNTA(B$13:B712)</f>
        <v>0</v>
      </c>
      <c r="Z712" s="5"/>
      <c r="AA712" s="5"/>
      <c r="AC712" s="7"/>
      <c r="AE712" s="54" t="e">
        <f t="shared" si="92"/>
        <v>#N/A</v>
      </c>
      <c r="AF712" s="4" t="e">
        <f t="shared" si="88"/>
        <v>#N/A</v>
      </c>
    </row>
    <row r="713" spans="2:32">
      <c r="B713" s="5">
        <f t="shared" si="93"/>
        <v>701</v>
      </c>
      <c r="C713" s="5"/>
      <c r="E713" s="13"/>
      <c r="F713" s="5"/>
      <c r="G713" s="11" t="str">
        <f>IF(ISERROR(AVERAGE(F$13:F713)),"n/a",AVERAGE(F$13:F713))</f>
        <v>n/a</v>
      </c>
      <c r="H713" s="11" t="str">
        <f t="shared" si="89"/>
        <v>n/a</v>
      </c>
      <c r="J713" s="5"/>
      <c r="K713" s="5"/>
      <c r="L713" s="5"/>
      <c r="M713" s="5"/>
      <c r="N713" s="5"/>
      <c r="O713" s="8" t="str">
        <f t="shared" si="87"/>
        <v>n/a</v>
      </c>
      <c r="Q713" s="5"/>
      <c r="R713" s="5"/>
      <c r="S713" s="5"/>
      <c r="U713" s="6"/>
      <c r="V713" s="9" t="str">
        <f t="shared" si="90"/>
        <v/>
      </c>
      <c r="W713" s="9" t="str">
        <f t="shared" si="91"/>
        <v/>
      </c>
      <c r="X713" s="10">
        <f>SUM(V$13:V713)/COUNTA(B$13:B713)</f>
        <v>0</v>
      </c>
      <c r="Z713" s="5"/>
      <c r="AA713" s="5"/>
      <c r="AC713" s="7"/>
      <c r="AE713" s="54" t="e">
        <f t="shared" si="92"/>
        <v>#N/A</v>
      </c>
      <c r="AF713" s="4" t="e">
        <f t="shared" si="88"/>
        <v>#N/A</v>
      </c>
    </row>
    <row r="714" spans="2:32">
      <c r="B714" s="5">
        <f t="shared" si="93"/>
        <v>702</v>
      </c>
      <c r="C714" s="5"/>
      <c r="E714" s="13"/>
      <c r="F714" s="5"/>
      <c r="G714" s="11" t="str">
        <f>IF(ISERROR(AVERAGE(F$13:F714)),"n/a",AVERAGE(F$13:F714))</f>
        <v>n/a</v>
      </c>
      <c r="H714" s="11" t="str">
        <f t="shared" si="89"/>
        <v>n/a</v>
      </c>
      <c r="J714" s="5"/>
      <c r="K714" s="5"/>
      <c r="L714" s="5"/>
      <c r="M714" s="5"/>
      <c r="N714" s="5"/>
      <c r="O714" s="8" t="str">
        <f t="shared" si="87"/>
        <v>n/a</v>
      </c>
      <c r="Q714" s="5"/>
      <c r="R714" s="5"/>
      <c r="S714" s="5"/>
      <c r="U714" s="6"/>
      <c r="V714" s="9" t="str">
        <f t="shared" si="90"/>
        <v/>
      </c>
      <c r="W714" s="9" t="str">
        <f t="shared" si="91"/>
        <v/>
      </c>
      <c r="X714" s="10">
        <f>SUM(V$13:V714)/COUNTA(B$13:B714)</f>
        <v>0</v>
      </c>
      <c r="Z714" s="5"/>
      <c r="AA714" s="5"/>
      <c r="AC714" s="7"/>
      <c r="AE714" s="54" t="e">
        <f t="shared" si="92"/>
        <v>#N/A</v>
      </c>
      <c r="AF714" s="4" t="e">
        <f t="shared" si="88"/>
        <v>#N/A</v>
      </c>
    </row>
    <row r="715" spans="2:32">
      <c r="B715" s="5">
        <f t="shared" si="93"/>
        <v>703</v>
      </c>
      <c r="C715" s="5"/>
      <c r="E715" s="13"/>
      <c r="F715" s="5"/>
      <c r="G715" s="11" t="str">
        <f>IF(ISERROR(AVERAGE(F$13:F715)),"n/a",AVERAGE(F$13:F715))</f>
        <v>n/a</v>
      </c>
      <c r="H715" s="11" t="str">
        <f t="shared" si="89"/>
        <v>n/a</v>
      </c>
      <c r="J715" s="5"/>
      <c r="K715" s="5"/>
      <c r="L715" s="5"/>
      <c r="M715" s="5"/>
      <c r="N715" s="5"/>
      <c r="O715" s="8" t="str">
        <f t="shared" si="87"/>
        <v>n/a</v>
      </c>
      <c r="Q715" s="5"/>
      <c r="R715" s="5"/>
      <c r="S715" s="5"/>
      <c r="U715" s="6"/>
      <c r="V715" s="9" t="str">
        <f t="shared" si="90"/>
        <v/>
      </c>
      <c r="W715" s="9" t="str">
        <f t="shared" si="91"/>
        <v/>
      </c>
      <c r="X715" s="10">
        <f>SUM(V$13:V715)/COUNTA(B$13:B715)</f>
        <v>0</v>
      </c>
      <c r="Z715" s="5"/>
      <c r="AA715" s="5"/>
      <c r="AC715" s="7"/>
      <c r="AE715" s="54" t="e">
        <f t="shared" si="92"/>
        <v>#N/A</v>
      </c>
      <c r="AF715" s="4" t="e">
        <f t="shared" si="88"/>
        <v>#N/A</v>
      </c>
    </row>
    <row r="716" spans="2:32">
      <c r="B716" s="5">
        <f t="shared" si="93"/>
        <v>704</v>
      </c>
      <c r="C716" s="5"/>
      <c r="E716" s="13"/>
      <c r="F716" s="5"/>
      <c r="G716" s="11" t="str">
        <f>IF(ISERROR(AVERAGE(F$13:F716)),"n/a",AVERAGE(F$13:F716))</f>
        <v>n/a</v>
      </c>
      <c r="H716" s="11" t="str">
        <f t="shared" si="89"/>
        <v>n/a</v>
      </c>
      <c r="J716" s="5"/>
      <c r="K716" s="5"/>
      <c r="L716" s="5"/>
      <c r="M716" s="5"/>
      <c r="N716" s="5"/>
      <c r="O716" s="8" t="str">
        <f t="shared" si="87"/>
        <v>n/a</v>
      </c>
      <c r="Q716" s="5"/>
      <c r="R716" s="5"/>
      <c r="S716" s="5"/>
      <c r="U716" s="6"/>
      <c r="V716" s="9" t="str">
        <f t="shared" si="90"/>
        <v/>
      </c>
      <c r="W716" s="9" t="str">
        <f t="shared" si="91"/>
        <v/>
      </c>
      <c r="X716" s="10">
        <f>SUM(V$13:V716)/COUNTA(B$13:B716)</f>
        <v>0</v>
      </c>
      <c r="Z716" s="5"/>
      <c r="AA716" s="5"/>
      <c r="AC716" s="7"/>
      <c r="AE716" s="54" t="e">
        <f t="shared" si="92"/>
        <v>#N/A</v>
      </c>
      <c r="AF716" s="4" t="e">
        <f t="shared" si="88"/>
        <v>#N/A</v>
      </c>
    </row>
    <row r="717" spans="2:32">
      <c r="B717" s="5">
        <f t="shared" si="93"/>
        <v>705</v>
      </c>
      <c r="C717" s="5"/>
      <c r="E717" s="13"/>
      <c r="F717" s="5"/>
      <c r="G717" s="11" t="str">
        <f>IF(ISERROR(AVERAGE(F$13:F717)),"n/a",AVERAGE(F$13:F717))</f>
        <v>n/a</v>
      </c>
      <c r="H717" s="11" t="str">
        <f t="shared" si="89"/>
        <v>n/a</v>
      </c>
      <c r="J717" s="5"/>
      <c r="K717" s="5"/>
      <c r="L717" s="5"/>
      <c r="M717" s="5"/>
      <c r="N717" s="5"/>
      <c r="O717" s="8" t="str">
        <f t="shared" ref="O717:O780" si="94">IF(J717=1,"A",IF(K717=1,"B",IF(L717=1,"C",IF(M717=1,"D",IF(N717=1,"E","n/a")))))</f>
        <v>n/a</v>
      </c>
      <c r="Q717" s="5"/>
      <c r="R717" s="5"/>
      <c r="S717" s="5"/>
      <c r="U717" s="6"/>
      <c r="V717" s="9" t="str">
        <f t="shared" si="90"/>
        <v/>
      </c>
      <c r="W717" s="9" t="str">
        <f t="shared" si="91"/>
        <v/>
      </c>
      <c r="X717" s="10">
        <f>SUM(V$13:V717)/COUNTA(B$13:B717)</f>
        <v>0</v>
      </c>
      <c r="Z717" s="5"/>
      <c r="AA717" s="5"/>
      <c r="AC717" s="7"/>
      <c r="AE717" s="54" t="e">
        <f t="shared" si="92"/>
        <v>#N/A</v>
      </c>
      <c r="AF717" s="4" t="e">
        <f t="shared" ref="AF717:AF780" si="95">HLOOKUP(C717,$K$6:$O$7,2,FALSE)</f>
        <v>#N/A</v>
      </c>
    </row>
    <row r="718" spans="2:32">
      <c r="B718" s="5">
        <f t="shared" si="93"/>
        <v>706</v>
      </c>
      <c r="C718" s="5"/>
      <c r="E718" s="13"/>
      <c r="F718" s="5"/>
      <c r="G718" s="11" t="str">
        <f>IF(ISERROR(AVERAGE(F$13:F718)),"n/a",AVERAGE(F$13:F718))</f>
        <v>n/a</v>
      </c>
      <c r="H718" s="11" t="str">
        <f t="shared" ref="H718:H781" si="96">G718</f>
        <v>n/a</v>
      </c>
      <c r="J718" s="5"/>
      <c r="K718" s="5"/>
      <c r="L718" s="5"/>
      <c r="M718" s="5"/>
      <c r="N718" s="5"/>
      <c r="O718" s="8" t="str">
        <f t="shared" si="94"/>
        <v>n/a</v>
      </c>
      <c r="Q718" s="5"/>
      <c r="R718" s="5"/>
      <c r="S718" s="5"/>
      <c r="U718" s="6"/>
      <c r="V718" s="9" t="str">
        <f t="shared" ref="V718:V781" si="97">IF(O718="n/a","",IF(O718=U718,1,""))</f>
        <v/>
      </c>
      <c r="W718" s="9" t="str">
        <f t="shared" ref="W718:W781" si="98">IF(O718="n/a","",IF(O718&lt;&gt;U718,1,""))</f>
        <v/>
      </c>
      <c r="X718" s="10">
        <f>SUM(V$13:V718)/COUNTA(B$13:B718)</f>
        <v>0</v>
      </c>
      <c r="Z718" s="5"/>
      <c r="AA718" s="5"/>
      <c r="AC718" s="7"/>
      <c r="AE718" s="54" t="e">
        <f t="shared" ref="AE718:AE781" si="99">+IF($F$4=0,0,IF(W718=1,1,IF(OR(R718*$F$8=1,S718*$F$9=1,F718&gt;=AF718),2,0)))</f>
        <v>#N/A</v>
      </c>
      <c r="AF718" s="4" t="e">
        <f t="shared" si="95"/>
        <v>#N/A</v>
      </c>
    </row>
    <row r="719" spans="2:32">
      <c r="B719" s="5">
        <f t="shared" si="93"/>
        <v>707</v>
      </c>
      <c r="C719" s="5"/>
      <c r="E719" s="13"/>
      <c r="F719" s="5"/>
      <c r="G719" s="11" t="str">
        <f>IF(ISERROR(AVERAGE(F$13:F719)),"n/a",AVERAGE(F$13:F719))</f>
        <v>n/a</v>
      </c>
      <c r="H719" s="11" t="str">
        <f t="shared" si="96"/>
        <v>n/a</v>
      </c>
      <c r="J719" s="5"/>
      <c r="K719" s="5"/>
      <c r="L719" s="5"/>
      <c r="M719" s="5"/>
      <c r="N719" s="5"/>
      <c r="O719" s="8" t="str">
        <f t="shared" si="94"/>
        <v>n/a</v>
      </c>
      <c r="Q719" s="5"/>
      <c r="R719" s="5"/>
      <c r="S719" s="5"/>
      <c r="U719" s="6"/>
      <c r="V719" s="9" t="str">
        <f t="shared" si="97"/>
        <v/>
      </c>
      <c r="W719" s="9" t="str">
        <f t="shared" si="98"/>
        <v/>
      </c>
      <c r="X719" s="10">
        <f>SUM(V$13:V719)/COUNTA(B$13:B719)</f>
        <v>0</v>
      </c>
      <c r="Z719" s="5"/>
      <c r="AA719" s="5"/>
      <c r="AC719" s="7"/>
      <c r="AE719" s="54" t="e">
        <f t="shared" si="99"/>
        <v>#N/A</v>
      </c>
      <c r="AF719" s="4" t="e">
        <f t="shared" si="95"/>
        <v>#N/A</v>
      </c>
    </row>
    <row r="720" spans="2:32">
      <c r="B720" s="5">
        <f t="shared" si="93"/>
        <v>708</v>
      </c>
      <c r="C720" s="5"/>
      <c r="E720" s="13"/>
      <c r="F720" s="5"/>
      <c r="G720" s="11" t="str">
        <f>IF(ISERROR(AVERAGE(F$13:F720)),"n/a",AVERAGE(F$13:F720))</f>
        <v>n/a</v>
      </c>
      <c r="H720" s="11" t="str">
        <f t="shared" si="96"/>
        <v>n/a</v>
      </c>
      <c r="J720" s="5"/>
      <c r="K720" s="5"/>
      <c r="L720" s="5"/>
      <c r="M720" s="5"/>
      <c r="N720" s="5"/>
      <c r="O720" s="8" t="str">
        <f t="shared" si="94"/>
        <v>n/a</v>
      </c>
      <c r="Q720" s="5"/>
      <c r="R720" s="5"/>
      <c r="S720" s="5"/>
      <c r="U720" s="6"/>
      <c r="V720" s="9" t="str">
        <f t="shared" si="97"/>
        <v/>
      </c>
      <c r="W720" s="9" t="str">
        <f t="shared" si="98"/>
        <v/>
      </c>
      <c r="X720" s="10">
        <f>SUM(V$13:V720)/COUNTA(B$13:B720)</f>
        <v>0</v>
      </c>
      <c r="Z720" s="5"/>
      <c r="AA720" s="5"/>
      <c r="AC720" s="7"/>
      <c r="AE720" s="54" t="e">
        <f t="shared" si="99"/>
        <v>#N/A</v>
      </c>
      <c r="AF720" s="4" t="e">
        <f t="shared" si="95"/>
        <v>#N/A</v>
      </c>
    </row>
    <row r="721" spans="2:32">
      <c r="B721" s="5">
        <f t="shared" si="93"/>
        <v>709</v>
      </c>
      <c r="C721" s="5"/>
      <c r="E721" s="13"/>
      <c r="F721" s="5"/>
      <c r="G721" s="11" t="str">
        <f>IF(ISERROR(AVERAGE(F$13:F721)),"n/a",AVERAGE(F$13:F721))</f>
        <v>n/a</v>
      </c>
      <c r="H721" s="11" t="str">
        <f t="shared" si="96"/>
        <v>n/a</v>
      </c>
      <c r="J721" s="5"/>
      <c r="K721" s="5"/>
      <c r="L721" s="5"/>
      <c r="M721" s="5"/>
      <c r="N721" s="5"/>
      <c r="O721" s="8" t="str">
        <f t="shared" si="94"/>
        <v>n/a</v>
      </c>
      <c r="Q721" s="5"/>
      <c r="R721" s="5"/>
      <c r="S721" s="5"/>
      <c r="U721" s="6"/>
      <c r="V721" s="9" t="str">
        <f t="shared" si="97"/>
        <v/>
      </c>
      <c r="W721" s="9" t="str">
        <f t="shared" si="98"/>
        <v/>
      </c>
      <c r="X721" s="10">
        <f>SUM(V$13:V721)/COUNTA(B$13:B721)</f>
        <v>0</v>
      </c>
      <c r="Z721" s="5"/>
      <c r="AA721" s="5"/>
      <c r="AC721" s="7"/>
      <c r="AE721" s="54" t="e">
        <f t="shared" si="99"/>
        <v>#N/A</v>
      </c>
      <c r="AF721" s="4" t="e">
        <f t="shared" si="95"/>
        <v>#N/A</v>
      </c>
    </row>
    <row r="722" spans="2:32">
      <c r="B722" s="5">
        <f t="shared" si="93"/>
        <v>710</v>
      </c>
      <c r="C722" s="5"/>
      <c r="E722" s="13"/>
      <c r="F722" s="5"/>
      <c r="G722" s="11" t="str">
        <f>IF(ISERROR(AVERAGE(F$13:F722)),"n/a",AVERAGE(F$13:F722))</f>
        <v>n/a</v>
      </c>
      <c r="H722" s="11" t="str">
        <f t="shared" si="96"/>
        <v>n/a</v>
      </c>
      <c r="J722" s="5"/>
      <c r="K722" s="5"/>
      <c r="L722" s="5"/>
      <c r="M722" s="5"/>
      <c r="N722" s="5"/>
      <c r="O722" s="8" t="str">
        <f t="shared" si="94"/>
        <v>n/a</v>
      </c>
      <c r="Q722" s="5"/>
      <c r="R722" s="5"/>
      <c r="S722" s="5"/>
      <c r="U722" s="6"/>
      <c r="V722" s="9" t="str">
        <f t="shared" si="97"/>
        <v/>
      </c>
      <c r="W722" s="9" t="str">
        <f t="shared" si="98"/>
        <v/>
      </c>
      <c r="X722" s="10">
        <f>SUM(V$13:V722)/COUNTA(B$13:B722)</f>
        <v>0</v>
      </c>
      <c r="Z722" s="5"/>
      <c r="AA722" s="5"/>
      <c r="AC722" s="7"/>
      <c r="AE722" s="54" t="e">
        <f t="shared" si="99"/>
        <v>#N/A</v>
      </c>
      <c r="AF722" s="4" t="e">
        <f t="shared" si="95"/>
        <v>#N/A</v>
      </c>
    </row>
    <row r="723" spans="2:32">
      <c r="B723" s="5">
        <f t="shared" ref="B723:B786" si="100">+B722+1</f>
        <v>711</v>
      </c>
      <c r="C723" s="5"/>
      <c r="E723" s="13"/>
      <c r="F723" s="5"/>
      <c r="G723" s="11" t="str">
        <f>IF(ISERROR(AVERAGE(F$13:F723)),"n/a",AVERAGE(F$13:F723))</f>
        <v>n/a</v>
      </c>
      <c r="H723" s="11" t="str">
        <f t="shared" si="96"/>
        <v>n/a</v>
      </c>
      <c r="J723" s="5"/>
      <c r="K723" s="5"/>
      <c r="L723" s="5"/>
      <c r="M723" s="5"/>
      <c r="N723" s="5"/>
      <c r="O723" s="8" t="str">
        <f t="shared" si="94"/>
        <v>n/a</v>
      </c>
      <c r="Q723" s="5"/>
      <c r="R723" s="5"/>
      <c r="S723" s="5"/>
      <c r="U723" s="6"/>
      <c r="V723" s="9" t="str">
        <f t="shared" si="97"/>
        <v/>
      </c>
      <c r="W723" s="9" t="str">
        <f t="shared" si="98"/>
        <v/>
      </c>
      <c r="X723" s="10">
        <f>SUM(V$13:V723)/COUNTA(B$13:B723)</f>
        <v>0</v>
      </c>
      <c r="Z723" s="5"/>
      <c r="AA723" s="5"/>
      <c r="AC723" s="7"/>
      <c r="AE723" s="54" t="e">
        <f t="shared" si="99"/>
        <v>#N/A</v>
      </c>
      <c r="AF723" s="4" t="e">
        <f t="shared" si="95"/>
        <v>#N/A</v>
      </c>
    </row>
    <row r="724" spans="2:32">
      <c r="B724" s="5">
        <f t="shared" si="100"/>
        <v>712</v>
      </c>
      <c r="C724" s="5"/>
      <c r="E724" s="13"/>
      <c r="F724" s="5"/>
      <c r="G724" s="11" t="str">
        <f>IF(ISERROR(AVERAGE(F$13:F724)),"n/a",AVERAGE(F$13:F724))</f>
        <v>n/a</v>
      </c>
      <c r="H724" s="11" t="str">
        <f t="shared" si="96"/>
        <v>n/a</v>
      </c>
      <c r="J724" s="5"/>
      <c r="K724" s="5"/>
      <c r="L724" s="5"/>
      <c r="M724" s="5"/>
      <c r="N724" s="5"/>
      <c r="O724" s="8" t="str">
        <f t="shared" si="94"/>
        <v>n/a</v>
      </c>
      <c r="Q724" s="5"/>
      <c r="R724" s="5"/>
      <c r="S724" s="5"/>
      <c r="U724" s="6"/>
      <c r="V724" s="9" t="str">
        <f t="shared" si="97"/>
        <v/>
      </c>
      <c r="W724" s="9" t="str">
        <f t="shared" si="98"/>
        <v/>
      </c>
      <c r="X724" s="10">
        <f>SUM(V$13:V724)/COUNTA(B$13:B724)</f>
        <v>0</v>
      </c>
      <c r="Z724" s="5"/>
      <c r="AA724" s="5"/>
      <c r="AC724" s="7"/>
      <c r="AE724" s="54" t="e">
        <f t="shared" si="99"/>
        <v>#N/A</v>
      </c>
      <c r="AF724" s="4" t="e">
        <f t="shared" si="95"/>
        <v>#N/A</v>
      </c>
    </row>
    <row r="725" spans="2:32">
      <c r="B725" s="5">
        <f t="shared" si="100"/>
        <v>713</v>
      </c>
      <c r="C725" s="5"/>
      <c r="E725" s="13"/>
      <c r="F725" s="5"/>
      <c r="G725" s="11" t="str">
        <f>IF(ISERROR(AVERAGE(F$13:F725)),"n/a",AVERAGE(F$13:F725))</f>
        <v>n/a</v>
      </c>
      <c r="H725" s="11" t="str">
        <f t="shared" si="96"/>
        <v>n/a</v>
      </c>
      <c r="J725" s="5"/>
      <c r="K725" s="5"/>
      <c r="L725" s="5"/>
      <c r="M725" s="5"/>
      <c r="N725" s="5"/>
      <c r="O725" s="8" t="str">
        <f t="shared" si="94"/>
        <v>n/a</v>
      </c>
      <c r="Q725" s="5"/>
      <c r="R725" s="5"/>
      <c r="S725" s="5"/>
      <c r="U725" s="6"/>
      <c r="V725" s="9" t="str">
        <f t="shared" si="97"/>
        <v/>
      </c>
      <c r="W725" s="9" t="str">
        <f t="shared" si="98"/>
        <v/>
      </c>
      <c r="X725" s="10">
        <f>SUM(V$13:V725)/COUNTA(B$13:B725)</f>
        <v>0</v>
      </c>
      <c r="Z725" s="5"/>
      <c r="AA725" s="5"/>
      <c r="AC725" s="7"/>
      <c r="AE725" s="54" t="e">
        <f t="shared" si="99"/>
        <v>#N/A</v>
      </c>
      <c r="AF725" s="4" t="e">
        <f t="shared" si="95"/>
        <v>#N/A</v>
      </c>
    </row>
    <row r="726" spans="2:32">
      <c r="B726" s="5">
        <f t="shared" si="100"/>
        <v>714</v>
      </c>
      <c r="C726" s="5"/>
      <c r="E726" s="13"/>
      <c r="F726" s="5"/>
      <c r="G726" s="11" t="str">
        <f>IF(ISERROR(AVERAGE(F$13:F726)),"n/a",AVERAGE(F$13:F726))</f>
        <v>n/a</v>
      </c>
      <c r="H726" s="11" t="str">
        <f t="shared" si="96"/>
        <v>n/a</v>
      </c>
      <c r="J726" s="5"/>
      <c r="K726" s="5"/>
      <c r="L726" s="5"/>
      <c r="M726" s="5"/>
      <c r="N726" s="5"/>
      <c r="O726" s="8" t="str">
        <f t="shared" si="94"/>
        <v>n/a</v>
      </c>
      <c r="Q726" s="5"/>
      <c r="R726" s="5"/>
      <c r="S726" s="5"/>
      <c r="U726" s="6"/>
      <c r="V726" s="9" t="str">
        <f t="shared" si="97"/>
        <v/>
      </c>
      <c r="W726" s="9" t="str">
        <f t="shared" si="98"/>
        <v/>
      </c>
      <c r="X726" s="10">
        <f>SUM(V$13:V726)/COUNTA(B$13:B726)</f>
        <v>0</v>
      </c>
      <c r="Z726" s="5"/>
      <c r="AA726" s="5"/>
      <c r="AC726" s="7"/>
      <c r="AE726" s="54" t="e">
        <f t="shared" si="99"/>
        <v>#N/A</v>
      </c>
      <c r="AF726" s="4" t="e">
        <f t="shared" si="95"/>
        <v>#N/A</v>
      </c>
    </row>
    <row r="727" spans="2:32">
      <c r="B727" s="5">
        <f t="shared" si="100"/>
        <v>715</v>
      </c>
      <c r="C727" s="5"/>
      <c r="E727" s="13"/>
      <c r="F727" s="5"/>
      <c r="G727" s="11" t="str">
        <f>IF(ISERROR(AVERAGE(F$13:F727)),"n/a",AVERAGE(F$13:F727))</f>
        <v>n/a</v>
      </c>
      <c r="H727" s="11" t="str">
        <f t="shared" si="96"/>
        <v>n/a</v>
      </c>
      <c r="J727" s="5"/>
      <c r="K727" s="5"/>
      <c r="L727" s="5"/>
      <c r="M727" s="5"/>
      <c r="N727" s="5"/>
      <c r="O727" s="8" t="str">
        <f t="shared" si="94"/>
        <v>n/a</v>
      </c>
      <c r="Q727" s="5"/>
      <c r="R727" s="5"/>
      <c r="S727" s="5"/>
      <c r="U727" s="6"/>
      <c r="V727" s="9" t="str">
        <f t="shared" si="97"/>
        <v/>
      </c>
      <c r="W727" s="9" t="str">
        <f t="shared" si="98"/>
        <v/>
      </c>
      <c r="X727" s="10">
        <f>SUM(V$13:V727)/COUNTA(B$13:B727)</f>
        <v>0</v>
      </c>
      <c r="Z727" s="5"/>
      <c r="AA727" s="5"/>
      <c r="AC727" s="7"/>
      <c r="AE727" s="54" t="e">
        <f t="shared" si="99"/>
        <v>#N/A</v>
      </c>
      <c r="AF727" s="4" t="e">
        <f t="shared" si="95"/>
        <v>#N/A</v>
      </c>
    </row>
    <row r="728" spans="2:32">
      <c r="B728" s="5">
        <f t="shared" si="100"/>
        <v>716</v>
      </c>
      <c r="C728" s="5"/>
      <c r="E728" s="13"/>
      <c r="F728" s="5"/>
      <c r="G728" s="11" t="str">
        <f>IF(ISERROR(AVERAGE(F$13:F728)),"n/a",AVERAGE(F$13:F728))</f>
        <v>n/a</v>
      </c>
      <c r="H728" s="11" t="str">
        <f t="shared" si="96"/>
        <v>n/a</v>
      </c>
      <c r="J728" s="5"/>
      <c r="K728" s="5"/>
      <c r="L728" s="5"/>
      <c r="M728" s="5"/>
      <c r="N728" s="5"/>
      <c r="O728" s="8" t="str">
        <f t="shared" si="94"/>
        <v>n/a</v>
      </c>
      <c r="Q728" s="5"/>
      <c r="R728" s="5"/>
      <c r="S728" s="5"/>
      <c r="U728" s="6"/>
      <c r="V728" s="9" t="str">
        <f t="shared" si="97"/>
        <v/>
      </c>
      <c r="W728" s="9" t="str">
        <f t="shared" si="98"/>
        <v/>
      </c>
      <c r="X728" s="10">
        <f>SUM(V$13:V728)/COUNTA(B$13:B728)</f>
        <v>0</v>
      </c>
      <c r="Z728" s="5"/>
      <c r="AA728" s="5"/>
      <c r="AC728" s="7"/>
      <c r="AE728" s="54" t="e">
        <f t="shared" si="99"/>
        <v>#N/A</v>
      </c>
      <c r="AF728" s="4" t="e">
        <f t="shared" si="95"/>
        <v>#N/A</v>
      </c>
    </row>
    <row r="729" spans="2:32">
      <c r="B729" s="5">
        <f t="shared" si="100"/>
        <v>717</v>
      </c>
      <c r="C729" s="5"/>
      <c r="E729" s="13"/>
      <c r="F729" s="5"/>
      <c r="G729" s="11" t="str">
        <f>IF(ISERROR(AVERAGE(F$13:F729)),"n/a",AVERAGE(F$13:F729))</f>
        <v>n/a</v>
      </c>
      <c r="H729" s="11" t="str">
        <f t="shared" si="96"/>
        <v>n/a</v>
      </c>
      <c r="J729" s="5"/>
      <c r="K729" s="5"/>
      <c r="L729" s="5"/>
      <c r="M729" s="5"/>
      <c r="N729" s="5"/>
      <c r="O729" s="8" t="str">
        <f t="shared" si="94"/>
        <v>n/a</v>
      </c>
      <c r="Q729" s="5"/>
      <c r="R729" s="5"/>
      <c r="S729" s="5"/>
      <c r="U729" s="6"/>
      <c r="V729" s="9" t="str">
        <f t="shared" si="97"/>
        <v/>
      </c>
      <c r="W729" s="9" t="str">
        <f t="shared" si="98"/>
        <v/>
      </c>
      <c r="X729" s="10">
        <f>SUM(V$13:V729)/COUNTA(B$13:B729)</f>
        <v>0</v>
      </c>
      <c r="Z729" s="5"/>
      <c r="AA729" s="5"/>
      <c r="AC729" s="7"/>
      <c r="AE729" s="54" t="e">
        <f t="shared" si="99"/>
        <v>#N/A</v>
      </c>
      <c r="AF729" s="4" t="e">
        <f t="shared" si="95"/>
        <v>#N/A</v>
      </c>
    </row>
    <row r="730" spans="2:32">
      <c r="B730" s="5">
        <f t="shared" si="100"/>
        <v>718</v>
      </c>
      <c r="C730" s="5"/>
      <c r="E730" s="13"/>
      <c r="F730" s="5"/>
      <c r="G730" s="11" t="str">
        <f>IF(ISERROR(AVERAGE(F$13:F730)),"n/a",AVERAGE(F$13:F730))</f>
        <v>n/a</v>
      </c>
      <c r="H730" s="11" t="str">
        <f t="shared" si="96"/>
        <v>n/a</v>
      </c>
      <c r="J730" s="5"/>
      <c r="K730" s="5"/>
      <c r="L730" s="5"/>
      <c r="M730" s="5"/>
      <c r="N730" s="5"/>
      <c r="O730" s="8" t="str">
        <f t="shared" si="94"/>
        <v>n/a</v>
      </c>
      <c r="Q730" s="5"/>
      <c r="R730" s="5"/>
      <c r="S730" s="5"/>
      <c r="U730" s="6"/>
      <c r="V730" s="9" t="str">
        <f t="shared" si="97"/>
        <v/>
      </c>
      <c r="W730" s="9" t="str">
        <f t="shared" si="98"/>
        <v/>
      </c>
      <c r="X730" s="10">
        <f>SUM(V$13:V730)/COUNTA(B$13:B730)</f>
        <v>0</v>
      </c>
      <c r="Z730" s="5"/>
      <c r="AA730" s="5"/>
      <c r="AC730" s="7"/>
      <c r="AE730" s="54" t="e">
        <f t="shared" si="99"/>
        <v>#N/A</v>
      </c>
      <c r="AF730" s="4" t="e">
        <f t="shared" si="95"/>
        <v>#N/A</v>
      </c>
    </row>
    <row r="731" spans="2:32">
      <c r="B731" s="5">
        <f t="shared" si="100"/>
        <v>719</v>
      </c>
      <c r="C731" s="5"/>
      <c r="E731" s="13"/>
      <c r="F731" s="5"/>
      <c r="G731" s="11" t="str">
        <f>IF(ISERROR(AVERAGE(F$13:F731)),"n/a",AVERAGE(F$13:F731))</f>
        <v>n/a</v>
      </c>
      <c r="H731" s="11" t="str">
        <f t="shared" si="96"/>
        <v>n/a</v>
      </c>
      <c r="J731" s="5"/>
      <c r="K731" s="5"/>
      <c r="L731" s="5"/>
      <c r="M731" s="5"/>
      <c r="N731" s="5"/>
      <c r="O731" s="8" t="str">
        <f t="shared" si="94"/>
        <v>n/a</v>
      </c>
      <c r="Q731" s="5"/>
      <c r="R731" s="5"/>
      <c r="S731" s="5"/>
      <c r="U731" s="6"/>
      <c r="V731" s="9" t="str">
        <f t="shared" si="97"/>
        <v/>
      </c>
      <c r="W731" s="9" t="str">
        <f t="shared" si="98"/>
        <v/>
      </c>
      <c r="X731" s="10">
        <f>SUM(V$13:V731)/COUNTA(B$13:B731)</f>
        <v>0</v>
      </c>
      <c r="Z731" s="5"/>
      <c r="AA731" s="5"/>
      <c r="AC731" s="7"/>
      <c r="AE731" s="54" t="e">
        <f t="shared" si="99"/>
        <v>#N/A</v>
      </c>
      <c r="AF731" s="4" t="e">
        <f t="shared" si="95"/>
        <v>#N/A</v>
      </c>
    </row>
    <row r="732" spans="2:32">
      <c r="B732" s="5">
        <f t="shared" si="100"/>
        <v>720</v>
      </c>
      <c r="C732" s="5"/>
      <c r="E732" s="13"/>
      <c r="F732" s="5"/>
      <c r="G732" s="11" t="str">
        <f>IF(ISERROR(AVERAGE(F$13:F732)),"n/a",AVERAGE(F$13:F732))</f>
        <v>n/a</v>
      </c>
      <c r="H732" s="11" t="str">
        <f t="shared" si="96"/>
        <v>n/a</v>
      </c>
      <c r="J732" s="5"/>
      <c r="K732" s="5"/>
      <c r="L732" s="5"/>
      <c r="M732" s="5"/>
      <c r="N732" s="5"/>
      <c r="O732" s="8" t="str">
        <f t="shared" si="94"/>
        <v>n/a</v>
      </c>
      <c r="Q732" s="5"/>
      <c r="R732" s="5"/>
      <c r="S732" s="5"/>
      <c r="U732" s="6"/>
      <c r="V732" s="9" t="str">
        <f t="shared" si="97"/>
        <v/>
      </c>
      <c r="W732" s="9" t="str">
        <f t="shared" si="98"/>
        <v/>
      </c>
      <c r="X732" s="10">
        <f>SUM(V$13:V732)/COUNTA(B$13:B732)</f>
        <v>0</v>
      </c>
      <c r="Z732" s="5"/>
      <c r="AA732" s="5"/>
      <c r="AC732" s="7"/>
      <c r="AE732" s="54" t="e">
        <f t="shared" si="99"/>
        <v>#N/A</v>
      </c>
      <c r="AF732" s="4" t="e">
        <f t="shared" si="95"/>
        <v>#N/A</v>
      </c>
    </row>
    <row r="733" spans="2:32">
      <c r="B733" s="5">
        <f t="shared" si="100"/>
        <v>721</v>
      </c>
      <c r="C733" s="5"/>
      <c r="E733" s="13"/>
      <c r="F733" s="5"/>
      <c r="G733" s="11" t="str">
        <f>IF(ISERROR(AVERAGE(F$13:F733)),"n/a",AVERAGE(F$13:F733))</f>
        <v>n/a</v>
      </c>
      <c r="H733" s="11" t="str">
        <f t="shared" si="96"/>
        <v>n/a</v>
      </c>
      <c r="J733" s="5"/>
      <c r="K733" s="5"/>
      <c r="L733" s="5"/>
      <c r="M733" s="5"/>
      <c r="N733" s="5"/>
      <c r="O733" s="8" t="str">
        <f t="shared" si="94"/>
        <v>n/a</v>
      </c>
      <c r="Q733" s="5"/>
      <c r="R733" s="5"/>
      <c r="S733" s="5"/>
      <c r="U733" s="6"/>
      <c r="V733" s="9" t="str">
        <f t="shared" si="97"/>
        <v/>
      </c>
      <c r="W733" s="9" t="str">
        <f t="shared" si="98"/>
        <v/>
      </c>
      <c r="X733" s="10">
        <f>SUM(V$13:V733)/COUNTA(B$13:B733)</f>
        <v>0</v>
      </c>
      <c r="Z733" s="5"/>
      <c r="AA733" s="5"/>
      <c r="AC733" s="7"/>
      <c r="AE733" s="54" t="e">
        <f t="shared" si="99"/>
        <v>#N/A</v>
      </c>
      <c r="AF733" s="4" t="e">
        <f t="shared" si="95"/>
        <v>#N/A</v>
      </c>
    </row>
    <row r="734" spans="2:32">
      <c r="B734" s="5">
        <f t="shared" si="100"/>
        <v>722</v>
      </c>
      <c r="C734" s="5"/>
      <c r="E734" s="13"/>
      <c r="F734" s="5"/>
      <c r="G734" s="11" t="str">
        <f>IF(ISERROR(AVERAGE(F$13:F734)),"n/a",AVERAGE(F$13:F734))</f>
        <v>n/a</v>
      </c>
      <c r="H734" s="11" t="str">
        <f t="shared" si="96"/>
        <v>n/a</v>
      </c>
      <c r="J734" s="5"/>
      <c r="K734" s="5"/>
      <c r="L734" s="5"/>
      <c r="M734" s="5"/>
      <c r="N734" s="5"/>
      <c r="O734" s="8" t="str">
        <f t="shared" si="94"/>
        <v>n/a</v>
      </c>
      <c r="Q734" s="5"/>
      <c r="R734" s="5"/>
      <c r="S734" s="5"/>
      <c r="U734" s="6"/>
      <c r="V734" s="9" t="str">
        <f t="shared" si="97"/>
        <v/>
      </c>
      <c r="W734" s="9" t="str">
        <f t="shared" si="98"/>
        <v/>
      </c>
      <c r="X734" s="10">
        <f>SUM(V$13:V734)/COUNTA(B$13:B734)</f>
        <v>0</v>
      </c>
      <c r="Z734" s="5"/>
      <c r="AA734" s="5"/>
      <c r="AC734" s="7"/>
      <c r="AE734" s="54" t="e">
        <f t="shared" si="99"/>
        <v>#N/A</v>
      </c>
      <c r="AF734" s="4" t="e">
        <f t="shared" si="95"/>
        <v>#N/A</v>
      </c>
    </row>
    <row r="735" spans="2:32">
      <c r="B735" s="5">
        <f t="shared" si="100"/>
        <v>723</v>
      </c>
      <c r="C735" s="5"/>
      <c r="E735" s="13"/>
      <c r="F735" s="5"/>
      <c r="G735" s="11" t="str">
        <f>IF(ISERROR(AVERAGE(F$13:F735)),"n/a",AVERAGE(F$13:F735))</f>
        <v>n/a</v>
      </c>
      <c r="H735" s="11" t="str">
        <f t="shared" si="96"/>
        <v>n/a</v>
      </c>
      <c r="J735" s="5"/>
      <c r="K735" s="5"/>
      <c r="L735" s="5"/>
      <c r="M735" s="5"/>
      <c r="N735" s="5"/>
      <c r="O735" s="8" t="str">
        <f t="shared" si="94"/>
        <v>n/a</v>
      </c>
      <c r="Q735" s="5"/>
      <c r="R735" s="5"/>
      <c r="S735" s="5"/>
      <c r="U735" s="6"/>
      <c r="V735" s="9" t="str">
        <f t="shared" si="97"/>
        <v/>
      </c>
      <c r="W735" s="9" t="str">
        <f t="shared" si="98"/>
        <v/>
      </c>
      <c r="X735" s="10">
        <f>SUM(V$13:V735)/COUNTA(B$13:B735)</f>
        <v>0</v>
      </c>
      <c r="Z735" s="5"/>
      <c r="AA735" s="5"/>
      <c r="AC735" s="7"/>
      <c r="AE735" s="54" t="e">
        <f t="shared" si="99"/>
        <v>#N/A</v>
      </c>
      <c r="AF735" s="4" t="e">
        <f t="shared" si="95"/>
        <v>#N/A</v>
      </c>
    </row>
    <row r="736" spans="2:32">
      <c r="B736" s="5">
        <f t="shared" si="100"/>
        <v>724</v>
      </c>
      <c r="C736" s="5"/>
      <c r="E736" s="13"/>
      <c r="F736" s="5"/>
      <c r="G736" s="11" t="str">
        <f>IF(ISERROR(AVERAGE(F$13:F736)),"n/a",AVERAGE(F$13:F736))</f>
        <v>n/a</v>
      </c>
      <c r="H736" s="11" t="str">
        <f t="shared" si="96"/>
        <v>n/a</v>
      </c>
      <c r="J736" s="5"/>
      <c r="K736" s="5"/>
      <c r="L736" s="5"/>
      <c r="M736" s="5"/>
      <c r="N736" s="5"/>
      <c r="O736" s="8" t="str">
        <f t="shared" si="94"/>
        <v>n/a</v>
      </c>
      <c r="Q736" s="5"/>
      <c r="R736" s="5"/>
      <c r="S736" s="5"/>
      <c r="U736" s="6"/>
      <c r="V736" s="9" t="str">
        <f t="shared" si="97"/>
        <v/>
      </c>
      <c r="W736" s="9" t="str">
        <f t="shared" si="98"/>
        <v/>
      </c>
      <c r="X736" s="10">
        <f>SUM(V$13:V736)/COUNTA(B$13:B736)</f>
        <v>0</v>
      </c>
      <c r="Z736" s="5"/>
      <c r="AA736" s="5"/>
      <c r="AC736" s="7"/>
      <c r="AE736" s="54" t="e">
        <f t="shared" si="99"/>
        <v>#N/A</v>
      </c>
      <c r="AF736" s="4" t="e">
        <f t="shared" si="95"/>
        <v>#N/A</v>
      </c>
    </row>
    <row r="737" spans="2:32">
      <c r="B737" s="5">
        <f t="shared" si="100"/>
        <v>725</v>
      </c>
      <c r="C737" s="5"/>
      <c r="E737" s="13"/>
      <c r="F737" s="5"/>
      <c r="G737" s="11" t="str">
        <f>IF(ISERROR(AVERAGE(F$13:F737)),"n/a",AVERAGE(F$13:F737))</f>
        <v>n/a</v>
      </c>
      <c r="H737" s="11" t="str">
        <f t="shared" si="96"/>
        <v>n/a</v>
      </c>
      <c r="J737" s="5"/>
      <c r="K737" s="5"/>
      <c r="L737" s="5"/>
      <c r="M737" s="5"/>
      <c r="N737" s="5"/>
      <c r="O737" s="8" t="str">
        <f t="shared" si="94"/>
        <v>n/a</v>
      </c>
      <c r="Q737" s="5"/>
      <c r="R737" s="5"/>
      <c r="S737" s="5"/>
      <c r="U737" s="6"/>
      <c r="V737" s="9" t="str">
        <f t="shared" si="97"/>
        <v/>
      </c>
      <c r="W737" s="9" t="str">
        <f t="shared" si="98"/>
        <v/>
      </c>
      <c r="X737" s="10">
        <f>SUM(V$13:V737)/COUNTA(B$13:B737)</f>
        <v>0</v>
      </c>
      <c r="Z737" s="5"/>
      <c r="AA737" s="5"/>
      <c r="AC737" s="7"/>
      <c r="AE737" s="54" t="e">
        <f t="shared" si="99"/>
        <v>#N/A</v>
      </c>
      <c r="AF737" s="4" t="e">
        <f t="shared" si="95"/>
        <v>#N/A</v>
      </c>
    </row>
    <row r="738" spans="2:32">
      <c r="B738" s="5">
        <f t="shared" si="100"/>
        <v>726</v>
      </c>
      <c r="C738" s="5"/>
      <c r="E738" s="13"/>
      <c r="F738" s="5"/>
      <c r="G738" s="11" t="str">
        <f>IF(ISERROR(AVERAGE(F$13:F738)),"n/a",AVERAGE(F$13:F738))</f>
        <v>n/a</v>
      </c>
      <c r="H738" s="11" t="str">
        <f t="shared" si="96"/>
        <v>n/a</v>
      </c>
      <c r="J738" s="5"/>
      <c r="K738" s="5"/>
      <c r="L738" s="5"/>
      <c r="M738" s="5"/>
      <c r="N738" s="5"/>
      <c r="O738" s="8" t="str">
        <f t="shared" si="94"/>
        <v>n/a</v>
      </c>
      <c r="Q738" s="5"/>
      <c r="R738" s="5"/>
      <c r="S738" s="5"/>
      <c r="U738" s="6"/>
      <c r="V738" s="9" t="str">
        <f t="shared" si="97"/>
        <v/>
      </c>
      <c r="W738" s="9" t="str">
        <f t="shared" si="98"/>
        <v/>
      </c>
      <c r="X738" s="10">
        <f>SUM(V$13:V738)/COUNTA(B$13:B738)</f>
        <v>0</v>
      </c>
      <c r="Z738" s="5"/>
      <c r="AA738" s="5"/>
      <c r="AC738" s="7"/>
      <c r="AE738" s="54" t="e">
        <f t="shared" si="99"/>
        <v>#N/A</v>
      </c>
      <c r="AF738" s="4" t="e">
        <f t="shared" si="95"/>
        <v>#N/A</v>
      </c>
    </row>
    <row r="739" spans="2:32">
      <c r="B739" s="5">
        <f t="shared" si="100"/>
        <v>727</v>
      </c>
      <c r="C739" s="5"/>
      <c r="E739" s="13"/>
      <c r="F739" s="5"/>
      <c r="G739" s="11" t="str">
        <f>IF(ISERROR(AVERAGE(F$13:F739)),"n/a",AVERAGE(F$13:F739))</f>
        <v>n/a</v>
      </c>
      <c r="H739" s="11" t="str">
        <f t="shared" si="96"/>
        <v>n/a</v>
      </c>
      <c r="J739" s="5"/>
      <c r="K739" s="5"/>
      <c r="L739" s="5"/>
      <c r="M739" s="5"/>
      <c r="N739" s="5"/>
      <c r="O739" s="8" t="str">
        <f t="shared" si="94"/>
        <v>n/a</v>
      </c>
      <c r="Q739" s="5"/>
      <c r="R739" s="5"/>
      <c r="S739" s="5"/>
      <c r="U739" s="6"/>
      <c r="V739" s="9" t="str">
        <f t="shared" si="97"/>
        <v/>
      </c>
      <c r="W739" s="9" t="str">
        <f t="shared" si="98"/>
        <v/>
      </c>
      <c r="X739" s="10">
        <f>SUM(V$13:V739)/COUNTA(B$13:B739)</f>
        <v>0</v>
      </c>
      <c r="Z739" s="5"/>
      <c r="AA739" s="5"/>
      <c r="AC739" s="7"/>
      <c r="AE739" s="54" t="e">
        <f t="shared" si="99"/>
        <v>#N/A</v>
      </c>
      <c r="AF739" s="4" t="e">
        <f t="shared" si="95"/>
        <v>#N/A</v>
      </c>
    </row>
    <row r="740" spans="2:32">
      <c r="B740" s="5">
        <f t="shared" si="100"/>
        <v>728</v>
      </c>
      <c r="C740" s="5"/>
      <c r="E740" s="13"/>
      <c r="F740" s="5"/>
      <c r="G740" s="11" t="str">
        <f>IF(ISERROR(AVERAGE(F$13:F740)),"n/a",AVERAGE(F$13:F740))</f>
        <v>n/a</v>
      </c>
      <c r="H740" s="11" t="str">
        <f t="shared" si="96"/>
        <v>n/a</v>
      </c>
      <c r="J740" s="5"/>
      <c r="K740" s="5"/>
      <c r="L740" s="5"/>
      <c r="M740" s="5"/>
      <c r="N740" s="5"/>
      <c r="O740" s="8" t="str">
        <f t="shared" si="94"/>
        <v>n/a</v>
      </c>
      <c r="Q740" s="5"/>
      <c r="R740" s="5"/>
      <c r="S740" s="5"/>
      <c r="U740" s="6"/>
      <c r="V740" s="9" t="str">
        <f t="shared" si="97"/>
        <v/>
      </c>
      <c r="W740" s="9" t="str">
        <f t="shared" si="98"/>
        <v/>
      </c>
      <c r="X740" s="10">
        <f>SUM(V$13:V740)/COUNTA(B$13:B740)</f>
        <v>0</v>
      </c>
      <c r="Z740" s="5"/>
      <c r="AA740" s="5"/>
      <c r="AC740" s="7"/>
      <c r="AE740" s="54" t="e">
        <f t="shared" si="99"/>
        <v>#N/A</v>
      </c>
      <c r="AF740" s="4" t="e">
        <f t="shared" si="95"/>
        <v>#N/A</v>
      </c>
    </row>
    <row r="741" spans="2:32">
      <c r="B741" s="5">
        <f t="shared" si="100"/>
        <v>729</v>
      </c>
      <c r="C741" s="5"/>
      <c r="E741" s="13"/>
      <c r="F741" s="5"/>
      <c r="G741" s="11" t="str">
        <f>IF(ISERROR(AVERAGE(F$13:F741)),"n/a",AVERAGE(F$13:F741))</f>
        <v>n/a</v>
      </c>
      <c r="H741" s="11" t="str">
        <f t="shared" si="96"/>
        <v>n/a</v>
      </c>
      <c r="J741" s="5"/>
      <c r="K741" s="5"/>
      <c r="L741" s="5"/>
      <c r="M741" s="5"/>
      <c r="N741" s="5"/>
      <c r="O741" s="8" t="str">
        <f t="shared" si="94"/>
        <v>n/a</v>
      </c>
      <c r="Q741" s="5"/>
      <c r="R741" s="5"/>
      <c r="S741" s="5"/>
      <c r="U741" s="6"/>
      <c r="V741" s="9" t="str">
        <f t="shared" si="97"/>
        <v/>
      </c>
      <c r="W741" s="9" t="str">
        <f t="shared" si="98"/>
        <v/>
      </c>
      <c r="X741" s="10">
        <f>SUM(V$13:V741)/COUNTA(B$13:B741)</f>
        <v>0</v>
      </c>
      <c r="Z741" s="5"/>
      <c r="AA741" s="5"/>
      <c r="AC741" s="7"/>
      <c r="AE741" s="54" t="e">
        <f t="shared" si="99"/>
        <v>#N/A</v>
      </c>
      <c r="AF741" s="4" t="e">
        <f t="shared" si="95"/>
        <v>#N/A</v>
      </c>
    </row>
    <row r="742" spans="2:32">
      <c r="B742" s="5">
        <f t="shared" si="100"/>
        <v>730</v>
      </c>
      <c r="C742" s="5"/>
      <c r="E742" s="13"/>
      <c r="F742" s="5"/>
      <c r="G742" s="11" t="str">
        <f>IF(ISERROR(AVERAGE(F$13:F742)),"n/a",AVERAGE(F$13:F742))</f>
        <v>n/a</v>
      </c>
      <c r="H742" s="11" t="str">
        <f t="shared" si="96"/>
        <v>n/a</v>
      </c>
      <c r="J742" s="5"/>
      <c r="K742" s="5"/>
      <c r="L742" s="5"/>
      <c r="M742" s="5"/>
      <c r="N742" s="5"/>
      <c r="O742" s="8" t="str">
        <f t="shared" si="94"/>
        <v>n/a</v>
      </c>
      <c r="Q742" s="5"/>
      <c r="R742" s="5"/>
      <c r="S742" s="5"/>
      <c r="U742" s="6"/>
      <c r="V742" s="9" t="str">
        <f t="shared" si="97"/>
        <v/>
      </c>
      <c r="W742" s="9" t="str">
        <f t="shared" si="98"/>
        <v/>
      </c>
      <c r="X742" s="10">
        <f>SUM(V$13:V742)/COUNTA(B$13:B742)</f>
        <v>0</v>
      </c>
      <c r="Z742" s="5"/>
      <c r="AA742" s="5"/>
      <c r="AC742" s="7"/>
      <c r="AE742" s="54" t="e">
        <f t="shared" si="99"/>
        <v>#N/A</v>
      </c>
      <c r="AF742" s="4" t="e">
        <f t="shared" si="95"/>
        <v>#N/A</v>
      </c>
    </row>
    <row r="743" spans="2:32">
      <c r="B743" s="5">
        <f t="shared" si="100"/>
        <v>731</v>
      </c>
      <c r="C743" s="5"/>
      <c r="E743" s="13"/>
      <c r="F743" s="5"/>
      <c r="G743" s="11" t="str">
        <f>IF(ISERROR(AVERAGE(F$13:F743)),"n/a",AVERAGE(F$13:F743))</f>
        <v>n/a</v>
      </c>
      <c r="H743" s="11" t="str">
        <f t="shared" si="96"/>
        <v>n/a</v>
      </c>
      <c r="J743" s="5"/>
      <c r="K743" s="5"/>
      <c r="L743" s="5"/>
      <c r="M743" s="5"/>
      <c r="N743" s="5"/>
      <c r="O743" s="8" t="str">
        <f t="shared" si="94"/>
        <v>n/a</v>
      </c>
      <c r="Q743" s="5"/>
      <c r="R743" s="5"/>
      <c r="S743" s="5"/>
      <c r="U743" s="6"/>
      <c r="V743" s="9" t="str">
        <f t="shared" si="97"/>
        <v/>
      </c>
      <c r="W743" s="9" t="str">
        <f t="shared" si="98"/>
        <v/>
      </c>
      <c r="X743" s="10">
        <f>SUM(V$13:V743)/COUNTA(B$13:B743)</f>
        <v>0</v>
      </c>
      <c r="Z743" s="5"/>
      <c r="AA743" s="5"/>
      <c r="AC743" s="7"/>
      <c r="AE743" s="54" t="e">
        <f t="shared" si="99"/>
        <v>#N/A</v>
      </c>
      <c r="AF743" s="4" t="e">
        <f t="shared" si="95"/>
        <v>#N/A</v>
      </c>
    </row>
    <row r="744" spans="2:32">
      <c r="B744" s="5">
        <f t="shared" si="100"/>
        <v>732</v>
      </c>
      <c r="C744" s="5"/>
      <c r="E744" s="13"/>
      <c r="F744" s="5"/>
      <c r="G744" s="11" t="str">
        <f>IF(ISERROR(AVERAGE(F$13:F744)),"n/a",AVERAGE(F$13:F744))</f>
        <v>n/a</v>
      </c>
      <c r="H744" s="11" t="str">
        <f t="shared" si="96"/>
        <v>n/a</v>
      </c>
      <c r="J744" s="5"/>
      <c r="K744" s="5"/>
      <c r="L744" s="5"/>
      <c r="M744" s="5"/>
      <c r="N744" s="5"/>
      <c r="O744" s="8" t="str">
        <f t="shared" si="94"/>
        <v>n/a</v>
      </c>
      <c r="Q744" s="5"/>
      <c r="R744" s="5"/>
      <c r="S744" s="5"/>
      <c r="U744" s="6"/>
      <c r="V744" s="9" t="str">
        <f t="shared" si="97"/>
        <v/>
      </c>
      <c r="W744" s="9" t="str">
        <f t="shared" si="98"/>
        <v/>
      </c>
      <c r="X744" s="10">
        <f>SUM(V$13:V744)/COUNTA(B$13:B744)</f>
        <v>0</v>
      </c>
      <c r="Z744" s="5"/>
      <c r="AA744" s="5"/>
      <c r="AC744" s="7"/>
      <c r="AE744" s="54" t="e">
        <f t="shared" si="99"/>
        <v>#N/A</v>
      </c>
      <c r="AF744" s="4" t="e">
        <f t="shared" si="95"/>
        <v>#N/A</v>
      </c>
    </row>
    <row r="745" spans="2:32">
      <c r="B745" s="5">
        <f t="shared" si="100"/>
        <v>733</v>
      </c>
      <c r="C745" s="5"/>
      <c r="E745" s="13"/>
      <c r="F745" s="5"/>
      <c r="G745" s="11" t="str">
        <f>IF(ISERROR(AVERAGE(F$13:F745)),"n/a",AVERAGE(F$13:F745))</f>
        <v>n/a</v>
      </c>
      <c r="H745" s="11" t="str">
        <f t="shared" si="96"/>
        <v>n/a</v>
      </c>
      <c r="J745" s="5"/>
      <c r="K745" s="5"/>
      <c r="L745" s="5"/>
      <c r="M745" s="5"/>
      <c r="N745" s="5"/>
      <c r="O745" s="8" t="str">
        <f t="shared" si="94"/>
        <v>n/a</v>
      </c>
      <c r="Q745" s="5"/>
      <c r="R745" s="5"/>
      <c r="S745" s="5"/>
      <c r="U745" s="6"/>
      <c r="V745" s="9" t="str">
        <f t="shared" si="97"/>
        <v/>
      </c>
      <c r="W745" s="9" t="str">
        <f t="shared" si="98"/>
        <v/>
      </c>
      <c r="X745" s="10">
        <f>SUM(V$13:V745)/COUNTA(B$13:B745)</f>
        <v>0</v>
      </c>
      <c r="Z745" s="5"/>
      <c r="AA745" s="5"/>
      <c r="AC745" s="7"/>
      <c r="AE745" s="54" t="e">
        <f t="shared" si="99"/>
        <v>#N/A</v>
      </c>
      <c r="AF745" s="4" t="e">
        <f t="shared" si="95"/>
        <v>#N/A</v>
      </c>
    </row>
    <row r="746" spans="2:32">
      <c r="B746" s="5">
        <f t="shared" si="100"/>
        <v>734</v>
      </c>
      <c r="C746" s="5"/>
      <c r="E746" s="13"/>
      <c r="F746" s="5"/>
      <c r="G746" s="11" t="str">
        <f>IF(ISERROR(AVERAGE(F$13:F746)),"n/a",AVERAGE(F$13:F746))</f>
        <v>n/a</v>
      </c>
      <c r="H746" s="11" t="str">
        <f t="shared" si="96"/>
        <v>n/a</v>
      </c>
      <c r="J746" s="5"/>
      <c r="K746" s="5"/>
      <c r="L746" s="5"/>
      <c r="M746" s="5"/>
      <c r="N746" s="5"/>
      <c r="O746" s="8" t="str">
        <f t="shared" si="94"/>
        <v>n/a</v>
      </c>
      <c r="Q746" s="5"/>
      <c r="R746" s="5"/>
      <c r="S746" s="5"/>
      <c r="U746" s="6"/>
      <c r="V746" s="9" t="str">
        <f t="shared" si="97"/>
        <v/>
      </c>
      <c r="W746" s="9" t="str">
        <f t="shared" si="98"/>
        <v/>
      </c>
      <c r="X746" s="10">
        <f>SUM(V$13:V746)/COUNTA(B$13:B746)</f>
        <v>0</v>
      </c>
      <c r="Z746" s="5"/>
      <c r="AA746" s="5"/>
      <c r="AC746" s="7"/>
      <c r="AE746" s="54" t="e">
        <f t="shared" si="99"/>
        <v>#N/A</v>
      </c>
      <c r="AF746" s="4" t="e">
        <f t="shared" si="95"/>
        <v>#N/A</v>
      </c>
    </row>
    <row r="747" spans="2:32">
      <c r="B747" s="5">
        <f t="shared" si="100"/>
        <v>735</v>
      </c>
      <c r="C747" s="5"/>
      <c r="E747" s="13"/>
      <c r="F747" s="5"/>
      <c r="G747" s="11" t="str">
        <f>IF(ISERROR(AVERAGE(F$13:F747)),"n/a",AVERAGE(F$13:F747))</f>
        <v>n/a</v>
      </c>
      <c r="H747" s="11" t="str">
        <f t="shared" si="96"/>
        <v>n/a</v>
      </c>
      <c r="J747" s="5"/>
      <c r="K747" s="5"/>
      <c r="L747" s="5"/>
      <c r="M747" s="5"/>
      <c r="N747" s="5"/>
      <c r="O747" s="8" t="str">
        <f t="shared" si="94"/>
        <v>n/a</v>
      </c>
      <c r="Q747" s="5"/>
      <c r="R747" s="5"/>
      <c r="S747" s="5"/>
      <c r="U747" s="6"/>
      <c r="V747" s="9" t="str">
        <f t="shared" si="97"/>
        <v/>
      </c>
      <c r="W747" s="9" t="str">
        <f t="shared" si="98"/>
        <v/>
      </c>
      <c r="X747" s="10">
        <f>SUM(V$13:V747)/COUNTA(B$13:B747)</f>
        <v>0</v>
      </c>
      <c r="Z747" s="5"/>
      <c r="AA747" s="5"/>
      <c r="AC747" s="7"/>
      <c r="AE747" s="54" t="e">
        <f t="shared" si="99"/>
        <v>#N/A</v>
      </c>
      <c r="AF747" s="4" t="e">
        <f t="shared" si="95"/>
        <v>#N/A</v>
      </c>
    </row>
    <row r="748" spans="2:32">
      <c r="B748" s="5">
        <f t="shared" si="100"/>
        <v>736</v>
      </c>
      <c r="C748" s="5"/>
      <c r="E748" s="13"/>
      <c r="F748" s="5"/>
      <c r="G748" s="11" t="str">
        <f>IF(ISERROR(AVERAGE(F$13:F748)),"n/a",AVERAGE(F$13:F748))</f>
        <v>n/a</v>
      </c>
      <c r="H748" s="11" t="str">
        <f t="shared" si="96"/>
        <v>n/a</v>
      </c>
      <c r="J748" s="5"/>
      <c r="K748" s="5"/>
      <c r="L748" s="5"/>
      <c r="M748" s="5"/>
      <c r="N748" s="5"/>
      <c r="O748" s="8" t="str">
        <f t="shared" si="94"/>
        <v>n/a</v>
      </c>
      <c r="Q748" s="5"/>
      <c r="R748" s="5"/>
      <c r="S748" s="5"/>
      <c r="U748" s="6"/>
      <c r="V748" s="9" t="str">
        <f t="shared" si="97"/>
        <v/>
      </c>
      <c r="W748" s="9" t="str">
        <f t="shared" si="98"/>
        <v/>
      </c>
      <c r="X748" s="10">
        <f>SUM(V$13:V748)/COUNTA(B$13:B748)</f>
        <v>0</v>
      </c>
      <c r="Z748" s="5"/>
      <c r="AA748" s="5"/>
      <c r="AC748" s="7"/>
      <c r="AE748" s="54" t="e">
        <f t="shared" si="99"/>
        <v>#N/A</v>
      </c>
      <c r="AF748" s="4" t="e">
        <f t="shared" si="95"/>
        <v>#N/A</v>
      </c>
    </row>
    <row r="749" spans="2:32">
      <c r="B749" s="5">
        <f t="shared" si="100"/>
        <v>737</v>
      </c>
      <c r="C749" s="5"/>
      <c r="E749" s="13"/>
      <c r="F749" s="5"/>
      <c r="G749" s="11" t="str">
        <f>IF(ISERROR(AVERAGE(F$13:F749)),"n/a",AVERAGE(F$13:F749))</f>
        <v>n/a</v>
      </c>
      <c r="H749" s="11" t="str">
        <f t="shared" si="96"/>
        <v>n/a</v>
      </c>
      <c r="J749" s="5"/>
      <c r="K749" s="5"/>
      <c r="L749" s="5"/>
      <c r="M749" s="5"/>
      <c r="N749" s="5"/>
      <c r="O749" s="8" t="str">
        <f t="shared" si="94"/>
        <v>n/a</v>
      </c>
      <c r="Q749" s="5"/>
      <c r="R749" s="5"/>
      <c r="S749" s="5"/>
      <c r="U749" s="6"/>
      <c r="V749" s="9" t="str">
        <f t="shared" si="97"/>
        <v/>
      </c>
      <c r="W749" s="9" t="str">
        <f t="shared" si="98"/>
        <v/>
      </c>
      <c r="X749" s="10">
        <f>SUM(V$13:V749)/COUNTA(B$13:B749)</f>
        <v>0</v>
      </c>
      <c r="Z749" s="5"/>
      <c r="AA749" s="5"/>
      <c r="AC749" s="7"/>
      <c r="AE749" s="54" t="e">
        <f t="shared" si="99"/>
        <v>#N/A</v>
      </c>
      <c r="AF749" s="4" t="e">
        <f t="shared" si="95"/>
        <v>#N/A</v>
      </c>
    </row>
    <row r="750" spans="2:32">
      <c r="B750" s="5">
        <f t="shared" si="100"/>
        <v>738</v>
      </c>
      <c r="C750" s="5"/>
      <c r="E750" s="13"/>
      <c r="F750" s="5"/>
      <c r="G750" s="11" t="str">
        <f>IF(ISERROR(AVERAGE(F$13:F750)),"n/a",AVERAGE(F$13:F750))</f>
        <v>n/a</v>
      </c>
      <c r="H750" s="11" t="str">
        <f t="shared" si="96"/>
        <v>n/a</v>
      </c>
      <c r="J750" s="5"/>
      <c r="K750" s="5"/>
      <c r="L750" s="5"/>
      <c r="M750" s="5"/>
      <c r="N750" s="5"/>
      <c r="O750" s="8" t="str">
        <f t="shared" si="94"/>
        <v>n/a</v>
      </c>
      <c r="Q750" s="5"/>
      <c r="R750" s="5"/>
      <c r="S750" s="5"/>
      <c r="U750" s="6"/>
      <c r="V750" s="9" t="str">
        <f t="shared" si="97"/>
        <v/>
      </c>
      <c r="W750" s="9" t="str">
        <f t="shared" si="98"/>
        <v/>
      </c>
      <c r="X750" s="10">
        <f>SUM(V$13:V750)/COUNTA(B$13:B750)</f>
        <v>0</v>
      </c>
      <c r="Z750" s="5"/>
      <c r="AA750" s="5"/>
      <c r="AC750" s="7"/>
      <c r="AE750" s="54" t="e">
        <f t="shared" si="99"/>
        <v>#N/A</v>
      </c>
      <c r="AF750" s="4" t="e">
        <f t="shared" si="95"/>
        <v>#N/A</v>
      </c>
    </row>
    <row r="751" spans="2:32">
      <c r="B751" s="5">
        <f t="shared" si="100"/>
        <v>739</v>
      </c>
      <c r="C751" s="5"/>
      <c r="E751" s="13"/>
      <c r="F751" s="5"/>
      <c r="G751" s="11" t="str">
        <f>IF(ISERROR(AVERAGE(F$13:F751)),"n/a",AVERAGE(F$13:F751))</f>
        <v>n/a</v>
      </c>
      <c r="H751" s="11" t="str">
        <f t="shared" si="96"/>
        <v>n/a</v>
      </c>
      <c r="J751" s="5"/>
      <c r="K751" s="5"/>
      <c r="L751" s="5"/>
      <c r="M751" s="5"/>
      <c r="N751" s="5"/>
      <c r="O751" s="8" t="str">
        <f t="shared" si="94"/>
        <v>n/a</v>
      </c>
      <c r="Q751" s="5"/>
      <c r="R751" s="5"/>
      <c r="S751" s="5"/>
      <c r="U751" s="6"/>
      <c r="V751" s="9" t="str">
        <f t="shared" si="97"/>
        <v/>
      </c>
      <c r="W751" s="9" t="str">
        <f t="shared" si="98"/>
        <v/>
      </c>
      <c r="X751" s="10">
        <f>SUM(V$13:V751)/COUNTA(B$13:B751)</f>
        <v>0</v>
      </c>
      <c r="Z751" s="5"/>
      <c r="AA751" s="5"/>
      <c r="AC751" s="7"/>
      <c r="AE751" s="54" t="e">
        <f t="shared" si="99"/>
        <v>#N/A</v>
      </c>
      <c r="AF751" s="4" t="e">
        <f t="shared" si="95"/>
        <v>#N/A</v>
      </c>
    </row>
    <row r="752" spans="2:32">
      <c r="B752" s="5">
        <f t="shared" si="100"/>
        <v>740</v>
      </c>
      <c r="C752" s="5"/>
      <c r="E752" s="13"/>
      <c r="F752" s="5"/>
      <c r="G752" s="11" t="str">
        <f>IF(ISERROR(AVERAGE(F$13:F752)),"n/a",AVERAGE(F$13:F752))</f>
        <v>n/a</v>
      </c>
      <c r="H752" s="11" t="str">
        <f t="shared" si="96"/>
        <v>n/a</v>
      </c>
      <c r="J752" s="5"/>
      <c r="K752" s="5"/>
      <c r="L752" s="5"/>
      <c r="M752" s="5"/>
      <c r="N752" s="5"/>
      <c r="O752" s="8" t="str">
        <f t="shared" si="94"/>
        <v>n/a</v>
      </c>
      <c r="Q752" s="5"/>
      <c r="R752" s="5"/>
      <c r="S752" s="5"/>
      <c r="U752" s="6"/>
      <c r="V752" s="9" t="str">
        <f t="shared" si="97"/>
        <v/>
      </c>
      <c r="W752" s="9" t="str">
        <f t="shared" si="98"/>
        <v/>
      </c>
      <c r="X752" s="10">
        <f>SUM(V$13:V752)/COUNTA(B$13:B752)</f>
        <v>0</v>
      </c>
      <c r="Z752" s="5"/>
      <c r="AA752" s="5"/>
      <c r="AC752" s="7"/>
      <c r="AE752" s="54" t="e">
        <f t="shared" si="99"/>
        <v>#N/A</v>
      </c>
      <c r="AF752" s="4" t="e">
        <f t="shared" si="95"/>
        <v>#N/A</v>
      </c>
    </row>
    <row r="753" spans="2:32">
      <c r="B753" s="5">
        <f t="shared" si="100"/>
        <v>741</v>
      </c>
      <c r="C753" s="5"/>
      <c r="E753" s="13"/>
      <c r="F753" s="5"/>
      <c r="G753" s="11" t="str">
        <f>IF(ISERROR(AVERAGE(F$13:F753)),"n/a",AVERAGE(F$13:F753))</f>
        <v>n/a</v>
      </c>
      <c r="H753" s="11" t="str">
        <f t="shared" si="96"/>
        <v>n/a</v>
      </c>
      <c r="J753" s="5"/>
      <c r="K753" s="5"/>
      <c r="L753" s="5"/>
      <c r="M753" s="5"/>
      <c r="N753" s="5"/>
      <c r="O753" s="8" t="str">
        <f t="shared" si="94"/>
        <v>n/a</v>
      </c>
      <c r="Q753" s="5"/>
      <c r="R753" s="5"/>
      <c r="S753" s="5"/>
      <c r="U753" s="6"/>
      <c r="V753" s="9" t="str">
        <f t="shared" si="97"/>
        <v/>
      </c>
      <c r="W753" s="9" t="str">
        <f t="shared" si="98"/>
        <v/>
      </c>
      <c r="X753" s="10">
        <f>SUM(V$13:V753)/COUNTA(B$13:B753)</f>
        <v>0</v>
      </c>
      <c r="Z753" s="5"/>
      <c r="AA753" s="5"/>
      <c r="AC753" s="7"/>
      <c r="AE753" s="54" t="e">
        <f t="shared" si="99"/>
        <v>#N/A</v>
      </c>
      <c r="AF753" s="4" t="e">
        <f t="shared" si="95"/>
        <v>#N/A</v>
      </c>
    </row>
    <row r="754" spans="2:32">
      <c r="B754" s="5">
        <f t="shared" si="100"/>
        <v>742</v>
      </c>
      <c r="C754" s="5"/>
      <c r="E754" s="13"/>
      <c r="F754" s="5"/>
      <c r="G754" s="11" t="str">
        <f>IF(ISERROR(AVERAGE(F$13:F754)),"n/a",AVERAGE(F$13:F754))</f>
        <v>n/a</v>
      </c>
      <c r="H754" s="11" t="str">
        <f t="shared" si="96"/>
        <v>n/a</v>
      </c>
      <c r="J754" s="5"/>
      <c r="K754" s="5"/>
      <c r="L754" s="5"/>
      <c r="M754" s="5"/>
      <c r="N754" s="5"/>
      <c r="O754" s="8" t="str">
        <f t="shared" si="94"/>
        <v>n/a</v>
      </c>
      <c r="Q754" s="5"/>
      <c r="R754" s="5"/>
      <c r="S754" s="5"/>
      <c r="U754" s="6"/>
      <c r="V754" s="9" t="str">
        <f t="shared" si="97"/>
        <v/>
      </c>
      <c r="W754" s="9" t="str">
        <f t="shared" si="98"/>
        <v/>
      </c>
      <c r="X754" s="10">
        <f>SUM(V$13:V754)/COUNTA(B$13:B754)</f>
        <v>0</v>
      </c>
      <c r="Z754" s="5"/>
      <c r="AA754" s="5"/>
      <c r="AC754" s="7"/>
      <c r="AE754" s="54" t="e">
        <f t="shared" si="99"/>
        <v>#N/A</v>
      </c>
      <c r="AF754" s="4" t="e">
        <f t="shared" si="95"/>
        <v>#N/A</v>
      </c>
    </row>
    <row r="755" spans="2:32">
      <c r="B755" s="5">
        <f t="shared" si="100"/>
        <v>743</v>
      </c>
      <c r="C755" s="5"/>
      <c r="E755" s="13"/>
      <c r="F755" s="5"/>
      <c r="G755" s="11" t="str">
        <f>IF(ISERROR(AVERAGE(F$13:F755)),"n/a",AVERAGE(F$13:F755))</f>
        <v>n/a</v>
      </c>
      <c r="H755" s="11" t="str">
        <f t="shared" si="96"/>
        <v>n/a</v>
      </c>
      <c r="J755" s="5"/>
      <c r="K755" s="5"/>
      <c r="L755" s="5"/>
      <c r="M755" s="5"/>
      <c r="N755" s="5"/>
      <c r="O755" s="8" t="str">
        <f t="shared" si="94"/>
        <v>n/a</v>
      </c>
      <c r="Q755" s="5"/>
      <c r="R755" s="5"/>
      <c r="S755" s="5"/>
      <c r="U755" s="6"/>
      <c r="V755" s="9" t="str">
        <f t="shared" si="97"/>
        <v/>
      </c>
      <c r="W755" s="9" t="str">
        <f t="shared" si="98"/>
        <v/>
      </c>
      <c r="X755" s="10">
        <f>SUM(V$13:V755)/COUNTA(B$13:B755)</f>
        <v>0</v>
      </c>
      <c r="Z755" s="5"/>
      <c r="AA755" s="5"/>
      <c r="AC755" s="7"/>
      <c r="AE755" s="54" t="e">
        <f t="shared" si="99"/>
        <v>#N/A</v>
      </c>
      <c r="AF755" s="4" t="e">
        <f t="shared" si="95"/>
        <v>#N/A</v>
      </c>
    </row>
    <row r="756" spans="2:32">
      <c r="B756" s="5">
        <f t="shared" si="100"/>
        <v>744</v>
      </c>
      <c r="C756" s="5"/>
      <c r="E756" s="13"/>
      <c r="F756" s="5"/>
      <c r="G756" s="11" t="str">
        <f>IF(ISERROR(AVERAGE(F$13:F756)),"n/a",AVERAGE(F$13:F756))</f>
        <v>n/a</v>
      </c>
      <c r="H756" s="11" t="str">
        <f t="shared" si="96"/>
        <v>n/a</v>
      </c>
      <c r="J756" s="5"/>
      <c r="K756" s="5"/>
      <c r="L756" s="5"/>
      <c r="M756" s="5"/>
      <c r="N756" s="5"/>
      <c r="O756" s="8" t="str">
        <f t="shared" si="94"/>
        <v>n/a</v>
      </c>
      <c r="Q756" s="5"/>
      <c r="R756" s="5"/>
      <c r="S756" s="5"/>
      <c r="U756" s="6"/>
      <c r="V756" s="9" t="str">
        <f t="shared" si="97"/>
        <v/>
      </c>
      <c r="W756" s="9" t="str">
        <f t="shared" si="98"/>
        <v/>
      </c>
      <c r="X756" s="10">
        <f>SUM(V$13:V756)/COUNTA(B$13:B756)</f>
        <v>0</v>
      </c>
      <c r="Z756" s="5"/>
      <c r="AA756" s="5"/>
      <c r="AC756" s="7"/>
      <c r="AE756" s="54" t="e">
        <f t="shared" si="99"/>
        <v>#N/A</v>
      </c>
      <c r="AF756" s="4" t="e">
        <f t="shared" si="95"/>
        <v>#N/A</v>
      </c>
    </row>
    <row r="757" spans="2:32">
      <c r="B757" s="5">
        <f t="shared" si="100"/>
        <v>745</v>
      </c>
      <c r="C757" s="5"/>
      <c r="E757" s="13"/>
      <c r="F757" s="5"/>
      <c r="G757" s="11" t="str">
        <f>IF(ISERROR(AVERAGE(F$13:F757)),"n/a",AVERAGE(F$13:F757))</f>
        <v>n/a</v>
      </c>
      <c r="H757" s="11" t="str">
        <f t="shared" si="96"/>
        <v>n/a</v>
      </c>
      <c r="J757" s="5"/>
      <c r="K757" s="5"/>
      <c r="L757" s="5"/>
      <c r="M757" s="5"/>
      <c r="N757" s="5"/>
      <c r="O757" s="8" t="str">
        <f t="shared" si="94"/>
        <v>n/a</v>
      </c>
      <c r="Q757" s="5"/>
      <c r="R757" s="5"/>
      <c r="S757" s="5"/>
      <c r="U757" s="6"/>
      <c r="V757" s="9" t="str">
        <f t="shared" si="97"/>
        <v/>
      </c>
      <c r="W757" s="9" t="str">
        <f t="shared" si="98"/>
        <v/>
      </c>
      <c r="X757" s="10">
        <f>SUM(V$13:V757)/COUNTA(B$13:B757)</f>
        <v>0</v>
      </c>
      <c r="Z757" s="5"/>
      <c r="AA757" s="5"/>
      <c r="AC757" s="7"/>
      <c r="AE757" s="54" t="e">
        <f t="shared" si="99"/>
        <v>#N/A</v>
      </c>
      <c r="AF757" s="4" t="e">
        <f t="shared" si="95"/>
        <v>#N/A</v>
      </c>
    </row>
    <row r="758" spans="2:32">
      <c r="B758" s="5">
        <f t="shared" si="100"/>
        <v>746</v>
      </c>
      <c r="C758" s="5"/>
      <c r="E758" s="13"/>
      <c r="F758" s="5"/>
      <c r="G758" s="11" t="str">
        <f>IF(ISERROR(AVERAGE(F$13:F758)),"n/a",AVERAGE(F$13:F758))</f>
        <v>n/a</v>
      </c>
      <c r="H758" s="11" t="str">
        <f t="shared" si="96"/>
        <v>n/a</v>
      </c>
      <c r="J758" s="5"/>
      <c r="K758" s="5"/>
      <c r="L758" s="5"/>
      <c r="M758" s="5"/>
      <c r="N758" s="5"/>
      <c r="O758" s="8" t="str">
        <f t="shared" si="94"/>
        <v>n/a</v>
      </c>
      <c r="Q758" s="5"/>
      <c r="R758" s="5"/>
      <c r="S758" s="5"/>
      <c r="U758" s="6"/>
      <c r="V758" s="9" t="str">
        <f t="shared" si="97"/>
        <v/>
      </c>
      <c r="W758" s="9" t="str">
        <f t="shared" si="98"/>
        <v/>
      </c>
      <c r="X758" s="10">
        <f>SUM(V$13:V758)/COUNTA(B$13:B758)</f>
        <v>0</v>
      </c>
      <c r="Z758" s="5"/>
      <c r="AA758" s="5"/>
      <c r="AC758" s="7"/>
      <c r="AE758" s="54" t="e">
        <f t="shared" si="99"/>
        <v>#N/A</v>
      </c>
      <c r="AF758" s="4" t="e">
        <f t="shared" si="95"/>
        <v>#N/A</v>
      </c>
    </row>
    <row r="759" spans="2:32">
      <c r="B759" s="5">
        <f t="shared" si="100"/>
        <v>747</v>
      </c>
      <c r="C759" s="5"/>
      <c r="E759" s="13"/>
      <c r="F759" s="5"/>
      <c r="G759" s="11" t="str">
        <f>IF(ISERROR(AVERAGE(F$13:F759)),"n/a",AVERAGE(F$13:F759))</f>
        <v>n/a</v>
      </c>
      <c r="H759" s="11" t="str">
        <f t="shared" si="96"/>
        <v>n/a</v>
      </c>
      <c r="J759" s="5"/>
      <c r="K759" s="5"/>
      <c r="L759" s="5"/>
      <c r="M759" s="5"/>
      <c r="N759" s="5"/>
      <c r="O759" s="8" t="str">
        <f t="shared" si="94"/>
        <v>n/a</v>
      </c>
      <c r="Q759" s="5"/>
      <c r="R759" s="5"/>
      <c r="S759" s="5"/>
      <c r="U759" s="6"/>
      <c r="V759" s="9" t="str">
        <f t="shared" si="97"/>
        <v/>
      </c>
      <c r="W759" s="9" t="str">
        <f t="shared" si="98"/>
        <v/>
      </c>
      <c r="X759" s="10">
        <f>SUM(V$13:V759)/COUNTA(B$13:B759)</f>
        <v>0</v>
      </c>
      <c r="Z759" s="5"/>
      <c r="AA759" s="5"/>
      <c r="AC759" s="7"/>
      <c r="AE759" s="54" t="e">
        <f t="shared" si="99"/>
        <v>#N/A</v>
      </c>
      <c r="AF759" s="4" t="e">
        <f t="shared" si="95"/>
        <v>#N/A</v>
      </c>
    </row>
    <row r="760" spans="2:32">
      <c r="B760" s="5">
        <f t="shared" si="100"/>
        <v>748</v>
      </c>
      <c r="C760" s="5"/>
      <c r="E760" s="13"/>
      <c r="F760" s="5"/>
      <c r="G760" s="11" t="str">
        <f>IF(ISERROR(AVERAGE(F$13:F760)),"n/a",AVERAGE(F$13:F760))</f>
        <v>n/a</v>
      </c>
      <c r="H760" s="11" t="str">
        <f t="shared" si="96"/>
        <v>n/a</v>
      </c>
      <c r="J760" s="5"/>
      <c r="K760" s="5"/>
      <c r="L760" s="5"/>
      <c r="M760" s="5"/>
      <c r="N760" s="5"/>
      <c r="O760" s="8" t="str">
        <f t="shared" si="94"/>
        <v>n/a</v>
      </c>
      <c r="Q760" s="5"/>
      <c r="R760" s="5"/>
      <c r="S760" s="5"/>
      <c r="U760" s="6"/>
      <c r="V760" s="9" t="str">
        <f t="shared" si="97"/>
        <v/>
      </c>
      <c r="W760" s="9" t="str">
        <f t="shared" si="98"/>
        <v/>
      </c>
      <c r="X760" s="10">
        <f>SUM(V$13:V760)/COUNTA(B$13:B760)</f>
        <v>0</v>
      </c>
      <c r="Z760" s="5"/>
      <c r="AA760" s="5"/>
      <c r="AC760" s="7"/>
      <c r="AE760" s="54" t="e">
        <f t="shared" si="99"/>
        <v>#N/A</v>
      </c>
      <c r="AF760" s="4" t="e">
        <f t="shared" si="95"/>
        <v>#N/A</v>
      </c>
    </row>
    <row r="761" spans="2:32">
      <c r="B761" s="5">
        <f t="shared" si="100"/>
        <v>749</v>
      </c>
      <c r="C761" s="5"/>
      <c r="E761" s="13"/>
      <c r="F761" s="5"/>
      <c r="G761" s="11" t="str">
        <f>IF(ISERROR(AVERAGE(F$13:F761)),"n/a",AVERAGE(F$13:F761))</f>
        <v>n/a</v>
      </c>
      <c r="H761" s="11" t="str">
        <f t="shared" si="96"/>
        <v>n/a</v>
      </c>
      <c r="J761" s="5"/>
      <c r="K761" s="5"/>
      <c r="L761" s="5"/>
      <c r="M761" s="5"/>
      <c r="N761" s="5"/>
      <c r="O761" s="8" t="str">
        <f t="shared" si="94"/>
        <v>n/a</v>
      </c>
      <c r="Q761" s="5"/>
      <c r="R761" s="5"/>
      <c r="S761" s="5"/>
      <c r="U761" s="6"/>
      <c r="V761" s="9" t="str">
        <f t="shared" si="97"/>
        <v/>
      </c>
      <c r="W761" s="9" t="str">
        <f t="shared" si="98"/>
        <v/>
      </c>
      <c r="X761" s="10">
        <f>SUM(V$13:V761)/COUNTA(B$13:B761)</f>
        <v>0</v>
      </c>
      <c r="Z761" s="5"/>
      <c r="AA761" s="5"/>
      <c r="AC761" s="7"/>
      <c r="AE761" s="54" t="e">
        <f t="shared" si="99"/>
        <v>#N/A</v>
      </c>
      <c r="AF761" s="4" t="e">
        <f t="shared" si="95"/>
        <v>#N/A</v>
      </c>
    </row>
    <row r="762" spans="2:32">
      <c r="B762" s="5">
        <f t="shared" si="100"/>
        <v>750</v>
      </c>
      <c r="C762" s="5"/>
      <c r="E762" s="13"/>
      <c r="F762" s="5"/>
      <c r="G762" s="11" t="str">
        <f>IF(ISERROR(AVERAGE(F$13:F762)),"n/a",AVERAGE(F$13:F762))</f>
        <v>n/a</v>
      </c>
      <c r="H762" s="11" t="str">
        <f t="shared" si="96"/>
        <v>n/a</v>
      </c>
      <c r="J762" s="5"/>
      <c r="K762" s="5"/>
      <c r="L762" s="5"/>
      <c r="M762" s="5"/>
      <c r="N762" s="5"/>
      <c r="O762" s="8" t="str">
        <f t="shared" si="94"/>
        <v>n/a</v>
      </c>
      <c r="Q762" s="5"/>
      <c r="R762" s="5"/>
      <c r="S762" s="5"/>
      <c r="U762" s="6"/>
      <c r="V762" s="9" t="str">
        <f t="shared" si="97"/>
        <v/>
      </c>
      <c r="W762" s="9" t="str">
        <f t="shared" si="98"/>
        <v/>
      </c>
      <c r="X762" s="10">
        <f>SUM(V$13:V762)/COUNTA(B$13:B762)</f>
        <v>0</v>
      </c>
      <c r="Z762" s="5"/>
      <c r="AA762" s="5"/>
      <c r="AC762" s="7"/>
      <c r="AE762" s="54" t="e">
        <f t="shared" si="99"/>
        <v>#N/A</v>
      </c>
      <c r="AF762" s="4" t="e">
        <f t="shared" si="95"/>
        <v>#N/A</v>
      </c>
    </row>
    <row r="763" spans="2:32">
      <c r="B763" s="5">
        <f t="shared" si="100"/>
        <v>751</v>
      </c>
      <c r="C763" s="5"/>
      <c r="E763" s="13"/>
      <c r="F763" s="5"/>
      <c r="G763" s="11" t="str">
        <f>IF(ISERROR(AVERAGE(F$13:F763)),"n/a",AVERAGE(F$13:F763))</f>
        <v>n/a</v>
      </c>
      <c r="H763" s="11" t="str">
        <f t="shared" si="96"/>
        <v>n/a</v>
      </c>
      <c r="J763" s="5"/>
      <c r="K763" s="5"/>
      <c r="L763" s="5"/>
      <c r="M763" s="5"/>
      <c r="N763" s="5"/>
      <c r="O763" s="8" t="str">
        <f t="shared" si="94"/>
        <v>n/a</v>
      </c>
      <c r="Q763" s="5"/>
      <c r="R763" s="5"/>
      <c r="S763" s="5"/>
      <c r="U763" s="6"/>
      <c r="V763" s="9" t="str">
        <f t="shared" si="97"/>
        <v/>
      </c>
      <c r="W763" s="9" t="str">
        <f t="shared" si="98"/>
        <v/>
      </c>
      <c r="X763" s="10">
        <f>SUM(V$13:V763)/COUNTA(B$13:B763)</f>
        <v>0</v>
      </c>
      <c r="Z763" s="5"/>
      <c r="AA763" s="5"/>
      <c r="AC763" s="7"/>
      <c r="AE763" s="54" t="e">
        <f t="shared" si="99"/>
        <v>#N/A</v>
      </c>
      <c r="AF763" s="4" t="e">
        <f t="shared" si="95"/>
        <v>#N/A</v>
      </c>
    </row>
    <row r="764" spans="2:32">
      <c r="B764" s="5">
        <f t="shared" si="100"/>
        <v>752</v>
      </c>
      <c r="C764" s="5"/>
      <c r="E764" s="13"/>
      <c r="F764" s="5"/>
      <c r="G764" s="11" t="str">
        <f>IF(ISERROR(AVERAGE(F$13:F764)),"n/a",AVERAGE(F$13:F764))</f>
        <v>n/a</v>
      </c>
      <c r="H764" s="11" t="str">
        <f t="shared" si="96"/>
        <v>n/a</v>
      </c>
      <c r="J764" s="5"/>
      <c r="K764" s="5"/>
      <c r="L764" s="5"/>
      <c r="M764" s="5"/>
      <c r="N764" s="5"/>
      <c r="O764" s="8" t="str">
        <f t="shared" si="94"/>
        <v>n/a</v>
      </c>
      <c r="Q764" s="5"/>
      <c r="R764" s="5"/>
      <c r="S764" s="5"/>
      <c r="U764" s="6"/>
      <c r="V764" s="9" t="str">
        <f t="shared" si="97"/>
        <v/>
      </c>
      <c r="W764" s="9" t="str">
        <f t="shared" si="98"/>
        <v/>
      </c>
      <c r="X764" s="10">
        <f>SUM(V$13:V764)/COUNTA(B$13:B764)</f>
        <v>0</v>
      </c>
      <c r="Z764" s="5"/>
      <c r="AA764" s="5"/>
      <c r="AC764" s="7"/>
      <c r="AE764" s="54" t="e">
        <f t="shared" si="99"/>
        <v>#N/A</v>
      </c>
      <c r="AF764" s="4" t="e">
        <f t="shared" si="95"/>
        <v>#N/A</v>
      </c>
    </row>
    <row r="765" spans="2:32">
      <c r="B765" s="5">
        <f t="shared" si="100"/>
        <v>753</v>
      </c>
      <c r="C765" s="5"/>
      <c r="E765" s="13"/>
      <c r="F765" s="5"/>
      <c r="G765" s="11" t="str">
        <f>IF(ISERROR(AVERAGE(F$13:F765)),"n/a",AVERAGE(F$13:F765))</f>
        <v>n/a</v>
      </c>
      <c r="H765" s="11" t="str">
        <f t="shared" si="96"/>
        <v>n/a</v>
      </c>
      <c r="J765" s="5"/>
      <c r="K765" s="5"/>
      <c r="L765" s="5"/>
      <c r="M765" s="5"/>
      <c r="N765" s="5"/>
      <c r="O765" s="8" t="str">
        <f t="shared" si="94"/>
        <v>n/a</v>
      </c>
      <c r="Q765" s="5"/>
      <c r="R765" s="5"/>
      <c r="S765" s="5"/>
      <c r="U765" s="6"/>
      <c r="V765" s="9" t="str">
        <f t="shared" si="97"/>
        <v/>
      </c>
      <c r="W765" s="9" t="str">
        <f t="shared" si="98"/>
        <v/>
      </c>
      <c r="X765" s="10">
        <f>SUM(V$13:V765)/COUNTA(B$13:B765)</f>
        <v>0</v>
      </c>
      <c r="Z765" s="5"/>
      <c r="AA765" s="5"/>
      <c r="AC765" s="7"/>
      <c r="AE765" s="54" t="e">
        <f t="shared" si="99"/>
        <v>#N/A</v>
      </c>
      <c r="AF765" s="4" t="e">
        <f t="shared" si="95"/>
        <v>#N/A</v>
      </c>
    </row>
    <row r="766" spans="2:32">
      <c r="B766" s="5">
        <f t="shared" si="100"/>
        <v>754</v>
      </c>
      <c r="C766" s="5"/>
      <c r="E766" s="13"/>
      <c r="F766" s="5"/>
      <c r="G766" s="11" t="str">
        <f>IF(ISERROR(AVERAGE(F$13:F766)),"n/a",AVERAGE(F$13:F766))</f>
        <v>n/a</v>
      </c>
      <c r="H766" s="11" t="str">
        <f t="shared" si="96"/>
        <v>n/a</v>
      </c>
      <c r="J766" s="5"/>
      <c r="K766" s="5"/>
      <c r="L766" s="5"/>
      <c r="M766" s="5"/>
      <c r="N766" s="5"/>
      <c r="O766" s="8" t="str">
        <f t="shared" si="94"/>
        <v>n/a</v>
      </c>
      <c r="Q766" s="5"/>
      <c r="R766" s="5"/>
      <c r="S766" s="5"/>
      <c r="U766" s="6"/>
      <c r="V766" s="9" t="str">
        <f t="shared" si="97"/>
        <v/>
      </c>
      <c r="W766" s="9" t="str">
        <f t="shared" si="98"/>
        <v/>
      </c>
      <c r="X766" s="10">
        <f>SUM(V$13:V766)/COUNTA(B$13:B766)</f>
        <v>0</v>
      </c>
      <c r="Z766" s="5"/>
      <c r="AA766" s="5"/>
      <c r="AC766" s="7"/>
      <c r="AE766" s="54" t="e">
        <f t="shared" si="99"/>
        <v>#N/A</v>
      </c>
      <c r="AF766" s="4" t="e">
        <f t="shared" si="95"/>
        <v>#N/A</v>
      </c>
    </row>
    <row r="767" spans="2:32">
      <c r="B767" s="5">
        <f t="shared" si="100"/>
        <v>755</v>
      </c>
      <c r="C767" s="5"/>
      <c r="E767" s="13"/>
      <c r="F767" s="5"/>
      <c r="G767" s="11" t="str">
        <f>IF(ISERROR(AVERAGE(F$13:F767)),"n/a",AVERAGE(F$13:F767))</f>
        <v>n/a</v>
      </c>
      <c r="H767" s="11" t="str">
        <f t="shared" si="96"/>
        <v>n/a</v>
      </c>
      <c r="J767" s="5"/>
      <c r="K767" s="5"/>
      <c r="L767" s="5"/>
      <c r="M767" s="5"/>
      <c r="N767" s="5"/>
      <c r="O767" s="8" t="str">
        <f t="shared" si="94"/>
        <v>n/a</v>
      </c>
      <c r="Q767" s="5"/>
      <c r="R767" s="5"/>
      <c r="S767" s="5"/>
      <c r="U767" s="6"/>
      <c r="V767" s="9" t="str">
        <f t="shared" si="97"/>
        <v/>
      </c>
      <c r="W767" s="9" t="str">
        <f t="shared" si="98"/>
        <v/>
      </c>
      <c r="X767" s="10">
        <f>SUM(V$13:V767)/COUNTA(B$13:B767)</f>
        <v>0</v>
      </c>
      <c r="Z767" s="5"/>
      <c r="AA767" s="5"/>
      <c r="AC767" s="7"/>
      <c r="AE767" s="54" t="e">
        <f t="shared" si="99"/>
        <v>#N/A</v>
      </c>
      <c r="AF767" s="4" t="e">
        <f t="shared" si="95"/>
        <v>#N/A</v>
      </c>
    </row>
    <row r="768" spans="2:32">
      <c r="B768" s="5">
        <f t="shared" si="100"/>
        <v>756</v>
      </c>
      <c r="C768" s="5"/>
      <c r="E768" s="13"/>
      <c r="F768" s="5"/>
      <c r="G768" s="11" t="str">
        <f>IF(ISERROR(AVERAGE(F$13:F768)),"n/a",AVERAGE(F$13:F768))</f>
        <v>n/a</v>
      </c>
      <c r="H768" s="11" t="str">
        <f t="shared" si="96"/>
        <v>n/a</v>
      </c>
      <c r="J768" s="5"/>
      <c r="K768" s="5"/>
      <c r="L768" s="5"/>
      <c r="M768" s="5"/>
      <c r="N768" s="5"/>
      <c r="O768" s="8" t="str">
        <f t="shared" si="94"/>
        <v>n/a</v>
      </c>
      <c r="Q768" s="5"/>
      <c r="R768" s="5"/>
      <c r="S768" s="5"/>
      <c r="U768" s="6"/>
      <c r="V768" s="9" t="str">
        <f t="shared" si="97"/>
        <v/>
      </c>
      <c r="W768" s="9" t="str">
        <f t="shared" si="98"/>
        <v/>
      </c>
      <c r="X768" s="10">
        <f>SUM(V$13:V768)/COUNTA(B$13:B768)</f>
        <v>0</v>
      </c>
      <c r="Z768" s="5"/>
      <c r="AA768" s="5"/>
      <c r="AC768" s="7"/>
      <c r="AE768" s="54" t="e">
        <f t="shared" si="99"/>
        <v>#N/A</v>
      </c>
      <c r="AF768" s="4" t="e">
        <f t="shared" si="95"/>
        <v>#N/A</v>
      </c>
    </row>
    <row r="769" spans="2:32">
      <c r="B769" s="5">
        <f t="shared" si="100"/>
        <v>757</v>
      </c>
      <c r="C769" s="5"/>
      <c r="E769" s="13"/>
      <c r="F769" s="5"/>
      <c r="G769" s="11" t="str">
        <f>IF(ISERROR(AVERAGE(F$13:F769)),"n/a",AVERAGE(F$13:F769))</f>
        <v>n/a</v>
      </c>
      <c r="H769" s="11" t="str">
        <f t="shared" si="96"/>
        <v>n/a</v>
      </c>
      <c r="J769" s="5"/>
      <c r="K769" s="5"/>
      <c r="L769" s="5"/>
      <c r="M769" s="5"/>
      <c r="N769" s="5"/>
      <c r="O769" s="8" t="str">
        <f t="shared" si="94"/>
        <v>n/a</v>
      </c>
      <c r="Q769" s="5"/>
      <c r="R769" s="5"/>
      <c r="S769" s="5"/>
      <c r="U769" s="6"/>
      <c r="V769" s="9" t="str">
        <f t="shared" si="97"/>
        <v/>
      </c>
      <c r="W769" s="9" t="str">
        <f t="shared" si="98"/>
        <v/>
      </c>
      <c r="X769" s="10">
        <f>SUM(V$13:V769)/COUNTA(B$13:B769)</f>
        <v>0</v>
      </c>
      <c r="Z769" s="5"/>
      <c r="AA769" s="5"/>
      <c r="AC769" s="7"/>
      <c r="AE769" s="54" t="e">
        <f t="shared" si="99"/>
        <v>#N/A</v>
      </c>
      <c r="AF769" s="4" t="e">
        <f t="shared" si="95"/>
        <v>#N/A</v>
      </c>
    </row>
    <row r="770" spans="2:32">
      <c r="B770" s="5">
        <f t="shared" si="100"/>
        <v>758</v>
      </c>
      <c r="C770" s="5"/>
      <c r="E770" s="13"/>
      <c r="F770" s="5"/>
      <c r="G770" s="11" t="str">
        <f>IF(ISERROR(AVERAGE(F$13:F770)),"n/a",AVERAGE(F$13:F770))</f>
        <v>n/a</v>
      </c>
      <c r="H770" s="11" t="str">
        <f t="shared" si="96"/>
        <v>n/a</v>
      </c>
      <c r="J770" s="5"/>
      <c r="K770" s="5"/>
      <c r="L770" s="5"/>
      <c r="M770" s="5"/>
      <c r="N770" s="5"/>
      <c r="O770" s="8" t="str">
        <f t="shared" si="94"/>
        <v>n/a</v>
      </c>
      <c r="Q770" s="5"/>
      <c r="R770" s="5"/>
      <c r="S770" s="5"/>
      <c r="U770" s="6"/>
      <c r="V770" s="9" t="str">
        <f t="shared" si="97"/>
        <v/>
      </c>
      <c r="W770" s="9" t="str">
        <f t="shared" si="98"/>
        <v/>
      </c>
      <c r="X770" s="10">
        <f>SUM(V$13:V770)/COUNTA(B$13:B770)</f>
        <v>0</v>
      </c>
      <c r="Z770" s="5"/>
      <c r="AA770" s="5"/>
      <c r="AC770" s="7"/>
      <c r="AE770" s="54" t="e">
        <f t="shared" si="99"/>
        <v>#N/A</v>
      </c>
      <c r="AF770" s="4" t="e">
        <f t="shared" si="95"/>
        <v>#N/A</v>
      </c>
    </row>
    <row r="771" spans="2:32">
      <c r="B771" s="5">
        <f t="shared" si="100"/>
        <v>759</v>
      </c>
      <c r="C771" s="5"/>
      <c r="E771" s="13"/>
      <c r="F771" s="5"/>
      <c r="G771" s="11" t="str">
        <f>IF(ISERROR(AVERAGE(F$13:F771)),"n/a",AVERAGE(F$13:F771))</f>
        <v>n/a</v>
      </c>
      <c r="H771" s="11" t="str">
        <f t="shared" si="96"/>
        <v>n/a</v>
      </c>
      <c r="J771" s="5"/>
      <c r="K771" s="5"/>
      <c r="L771" s="5"/>
      <c r="M771" s="5"/>
      <c r="N771" s="5"/>
      <c r="O771" s="8" t="str">
        <f t="shared" si="94"/>
        <v>n/a</v>
      </c>
      <c r="Q771" s="5"/>
      <c r="R771" s="5"/>
      <c r="S771" s="5"/>
      <c r="U771" s="6"/>
      <c r="V771" s="9" t="str">
        <f t="shared" si="97"/>
        <v/>
      </c>
      <c r="W771" s="9" t="str">
        <f t="shared" si="98"/>
        <v/>
      </c>
      <c r="X771" s="10">
        <f>SUM(V$13:V771)/COUNTA(B$13:B771)</f>
        <v>0</v>
      </c>
      <c r="Z771" s="5"/>
      <c r="AA771" s="5"/>
      <c r="AC771" s="7"/>
      <c r="AE771" s="54" t="e">
        <f t="shared" si="99"/>
        <v>#N/A</v>
      </c>
      <c r="AF771" s="4" t="e">
        <f t="shared" si="95"/>
        <v>#N/A</v>
      </c>
    </row>
    <row r="772" spans="2:32">
      <c r="B772" s="5">
        <f t="shared" si="100"/>
        <v>760</v>
      </c>
      <c r="C772" s="5"/>
      <c r="E772" s="13"/>
      <c r="F772" s="5"/>
      <c r="G772" s="11" t="str">
        <f>IF(ISERROR(AVERAGE(F$13:F772)),"n/a",AVERAGE(F$13:F772))</f>
        <v>n/a</v>
      </c>
      <c r="H772" s="11" t="str">
        <f t="shared" si="96"/>
        <v>n/a</v>
      </c>
      <c r="J772" s="5"/>
      <c r="K772" s="5"/>
      <c r="L772" s="5"/>
      <c r="M772" s="5"/>
      <c r="N772" s="5"/>
      <c r="O772" s="8" t="str">
        <f t="shared" si="94"/>
        <v>n/a</v>
      </c>
      <c r="Q772" s="5"/>
      <c r="R772" s="5"/>
      <c r="S772" s="5"/>
      <c r="U772" s="6"/>
      <c r="V772" s="9" t="str">
        <f t="shared" si="97"/>
        <v/>
      </c>
      <c r="W772" s="9" t="str">
        <f t="shared" si="98"/>
        <v/>
      </c>
      <c r="X772" s="10">
        <f>SUM(V$13:V772)/COUNTA(B$13:B772)</f>
        <v>0</v>
      </c>
      <c r="Z772" s="5"/>
      <c r="AA772" s="5"/>
      <c r="AC772" s="7"/>
      <c r="AE772" s="54" t="e">
        <f t="shared" si="99"/>
        <v>#N/A</v>
      </c>
      <c r="AF772" s="4" t="e">
        <f t="shared" si="95"/>
        <v>#N/A</v>
      </c>
    </row>
    <row r="773" spans="2:32">
      <c r="B773" s="5">
        <f t="shared" si="100"/>
        <v>761</v>
      </c>
      <c r="C773" s="5"/>
      <c r="E773" s="13"/>
      <c r="F773" s="5"/>
      <c r="G773" s="11" t="str">
        <f>IF(ISERROR(AVERAGE(F$13:F773)),"n/a",AVERAGE(F$13:F773))</f>
        <v>n/a</v>
      </c>
      <c r="H773" s="11" t="str">
        <f t="shared" si="96"/>
        <v>n/a</v>
      </c>
      <c r="J773" s="5"/>
      <c r="K773" s="5"/>
      <c r="L773" s="5"/>
      <c r="M773" s="5"/>
      <c r="N773" s="5"/>
      <c r="O773" s="8" t="str">
        <f t="shared" si="94"/>
        <v>n/a</v>
      </c>
      <c r="Q773" s="5"/>
      <c r="R773" s="5"/>
      <c r="S773" s="5"/>
      <c r="U773" s="6"/>
      <c r="V773" s="9" t="str">
        <f t="shared" si="97"/>
        <v/>
      </c>
      <c r="W773" s="9" t="str">
        <f t="shared" si="98"/>
        <v/>
      </c>
      <c r="X773" s="10">
        <f>SUM(V$13:V773)/COUNTA(B$13:B773)</f>
        <v>0</v>
      </c>
      <c r="Z773" s="5"/>
      <c r="AA773" s="5"/>
      <c r="AC773" s="7"/>
      <c r="AE773" s="54" t="e">
        <f t="shared" si="99"/>
        <v>#N/A</v>
      </c>
      <c r="AF773" s="4" t="e">
        <f t="shared" si="95"/>
        <v>#N/A</v>
      </c>
    </row>
    <row r="774" spans="2:32">
      <c r="B774" s="5">
        <f t="shared" si="100"/>
        <v>762</v>
      </c>
      <c r="C774" s="5"/>
      <c r="E774" s="13"/>
      <c r="F774" s="5"/>
      <c r="G774" s="11" t="str">
        <f>IF(ISERROR(AVERAGE(F$13:F774)),"n/a",AVERAGE(F$13:F774))</f>
        <v>n/a</v>
      </c>
      <c r="H774" s="11" t="str">
        <f t="shared" si="96"/>
        <v>n/a</v>
      </c>
      <c r="J774" s="5"/>
      <c r="K774" s="5"/>
      <c r="L774" s="5"/>
      <c r="M774" s="5"/>
      <c r="N774" s="5"/>
      <c r="O774" s="8" t="str">
        <f t="shared" si="94"/>
        <v>n/a</v>
      </c>
      <c r="Q774" s="5"/>
      <c r="R774" s="5"/>
      <c r="S774" s="5"/>
      <c r="U774" s="6"/>
      <c r="V774" s="9" t="str">
        <f t="shared" si="97"/>
        <v/>
      </c>
      <c r="W774" s="9" t="str">
        <f t="shared" si="98"/>
        <v/>
      </c>
      <c r="X774" s="10">
        <f>SUM(V$13:V774)/COUNTA(B$13:B774)</f>
        <v>0</v>
      </c>
      <c r="Z774" s="5"/>
      <c r="AA774" s="5"/>
      <c r="AC774" s="7"/>
      <c r="AE774" s="54" t="e">
        <f t="shared" si="99"/>
        <v>#N/A</v>
      </c>
      <c r="AF774" s="4" t="e">
        <f t="shared" si="95"/>
        <v>#N/A</v>
      </c>
    </row>
    <row r="775" spans="2:32">
      <c r="B775" s="5">
        <f t="shared" si="100"/>
        <v>763</v>
      </c>
      <c r="C775" s="5"/>
      <c r="E775" s="13"/>
      <c r="F775" s="5"/>
      <c r="G775" s="11" t="str">
        <f>IF(ISERROR(AVERAGE(F$13:F775)),"n/a",AVERAGE(F$13:F775))</f>
        <v>n/a</v>
      </c>
      <c r="H775" s="11" t="str">
        <f t="shared" si="96"/>
        <v>n/a</v>
      </c>
      <c r="J775" s="5"/>
      <c r="K775" s="5"/>
      <c r="L775" s="5"/>
      <c r="M775" s="5"/>
      <c r="N775" s="5"/>
      <c r="O775" s="8" t="str">
        <f t="shared" si="94"/>
        <v>n/a</v>
      </c>
      <c r="Q775" s="5"/>
      <c r="R775" s="5"/>
      <c r="S775" s="5"/>
      <c r="U775" s="6"/>
      <c r="V775" s="9" t="str">
        <f t="shared" si="97"/>
        <v/>
      </c>
      <c r="W775" s="9" t="str">
        <f t="shared" si="98"/>
        <v/>
      </c>
      <c r="X775" s="10">
        <f>SUM(V$13:V775)/COUNTA(B$13:B775)</f>
        <v>0</v>
      </c>
      <c r="Z775" s="5"/>
      <c r="AA775" s="5"/>
      <c r="AC775" s="7"/>
      <c r="AE775" s="54" t="e">
        <f t="shared" si="99"/>
        <v>#N/A</v>
      </c>
      <c r="AF775" s="4" t="e">
        <f t="shared" si="95"/>
        <v>#N/A</v>
      </c>
    </row>
    <row r="776" spans="2:32">
      <c r="B776" s="5">
        <f t="shared" si="100"/>
        <v>764</v>
      </c>
      <c r="C776" s="5"/>
      <c r="E776" s="13"/>
      <c r="F776" s="5"/>
      <c r="G776" s="11" t="str">
        <f>IF(ISERROR(AVERAGE(F$13:F776)),"n/a",AVERAGE(F$13:F776))</f>
        <v>n/a</v>
      </c>
      <c r="H776" s="11" t="str">
        <f t="shared" si="96"/>
        <v>n/a</v>
      </c>
      <c r="J776" s="5"/>
      <c r="K776" s="5"/>
      <c r="L776" s="5"/>
      <c r="M776" s="5"/>
      <c r="N776" s="5"/>
      <c r="O776" s="8" t="str">
        <f t="shared" si="94"/>
        <v>n/a</v>
      </c>
      <c r="Q776" s="5"/>
      <c r="R776" s="5"/>
      <c r="S776" s="5"/>
      <c r="U776" s="6"/>
      <c r="V776" s="9" t="str">
        <f t="shared" si="97"/>
        <v/>
      </c>
      <c r="W776" s="9" t="str">
        <f t="shared" si="98"/>
        <v/>
      </c>
      <c r="X776" s="10">
        <f>SUM(V$13:V776)/COUNTA(B$13:B776)</f>
        <v>0</v>
      </c>
      <c r="Z776" s="5"/>
      <c r="AA776" s="5"/>
      <c r="AC776" s="7"/>
      <c r="AE776" s="54" t="e">
        <f t="shared" si="99"/>
        <v>#N/A</v>
      </c>
      <c r="AF776" s="4" t="e">
        <f t="shared" si="95"/>
        <v>#N/A</v>
      </c>
    </row>
    <row r="777" spans="2:32">
      <c r="B777" s="5">
        <f t="shared" si="100"/>
        <v>765</v>
      </c>
      <c r="C777" s="5"/>
      <c r="E777" s="13"/>
      <c r="F777" s="5"/>
      <c r="G777" s="11" t="str">
        <f>IF(ISERROR(AVERAGE(F$13:F777)),"n/a",AVERAGE(F$13:F777))</f>
        <v>n/a</v>
      </c>
      <c r="H777" s="11" t="str">
        <f t="shared" si="96"/>
        <v>n/a</v>
      </c>
      <c r="J777" s="5"/>
      <c r="K777" s="5"/>
      <c r="L777" s="5"/>
      <c r="M777" s="5"/>
      <c r="N777" s="5"/>
      <c r="O777" s="8" t="str">
        <f t="shared" si="94"/>
        <v>n/a</v>
      </c>
      <c r="Q777" s="5"/>
      <c r="R777" s="5"/>
      <c r="S777" s="5"/>
      <c r="U777" s="6"/>
      <c r="V777" s="9" t="str">
        <f t="shared" si="97"/>
        <v/>
      </c>
      <c r="W777" s="9" t="str">
        <f t="shared" si="98"/>
        <v/>
      </c>
      <c r="X777" s="10">
        <f>SUM(V$13:V777)/COUNTA(B$13:B777)</f>
        <v>0</v>
      </c>
      <c r="Z777" s="5"/>
      <c r="AA777" s="5"/>
      <c r="AC777" s="7"/>
      <c r="AE777" s="54" t="e">
        <f t="shared" si="99"/>
        <v>#N/A</v>
      </c>
      <c r="AF777" s="4" t="e">
        <f t="shared" si="95"/>
        <v>#N/A</v>
      </c>
    </row>
    <row r="778" spans="2:32">
      <c r="B778" s="5">
        <f t="shared" si="100"/>
        <v>766</v>
      </c>
      <c r="C778" s="5"/>
      <c r="E778" s="13"/>
      <c r="F778" s="5"/>
      <c r="G778" s="11" t="str">
        <f>IF(ISERROR(AVERAGE(F$13:F778)),"n/a",AVERAGE(F$13:F778))</f>
        <v>n/a</v>
      </c>
      <c r="H778" s="11" t="str">
        <f t="shared" si="96"/>
        <v>n/a</v>
      </c>
      <c r="J778" s="5"/>
      <c r="K778" s="5"/>
      <c r="L778" s="5"/>
      <c r="M778" s="5"/>
      <c r="N778" s="5"/>
      <c r="O778" s="8" t="str">
        <f t="shared" si="94"/>
        <v>n/a</v>
      </c>
      <c r="Q778" s="5"/>
      <c r="R778" s="5"/>
      <c r="S778" s="5"/>
      <c r="U778" s="6"/>
      <c r="V778" s="9" t="str">
        <f t="shared" si="97"/>
        <v/>
      </c>
      <c r="W778" s="9" t="str">
        <f t="shared" si="98"/>
        <v/>
      </c>
      <c r="X778" s="10">
        <f>SUM(V$13:V778)/COUNTA(B$13:B778)</f>
        <v>0</v>
      </c>
      <c r="Z778" s="5"/>
      <c r="AA778" s="5"/>
      <c r="AC778" s="7"/>
      <c r="AE778" s="54" t="e">
        <f t="shared" si="99"/>
        <v>#N/A</v>
      </c>
      <c r="AF778" s="4" t="e">
        <f t="shared" si="95"/>
        <v>#N/A</v>
      </c>
    </row>
    <row r="779" spans="2:32">
      <c r="B779" s="5">
        <f t="shared" si="100"/>
        <v>767</v>
      </c>
      <c r="C779" s="5"/>
      <c r="E779" s="13"/>
      <c r="F779" s="5"/>
      <c r="G779" s="11" t="str">
        <f>IF(ISERROR(AVERAGE(F$13:F779)),"n/a",AVERAGE(F$13:F779))</f>
        <v>n/a</v>
      </c>
      <c r="H779" s="11" t="str">
        <f t="shared" si="96"/>
        <v>n/a</v>
      </c>
      <c r="J779" s="5"/>
      <c r="K779" s="5"/>
      <c r="L779" s="5"/>
      <c r="M779" s="5"/>
      <c r="N779" s="5"/>
      <c r="O779" s="8" t="str">
        <f t="shared" si="94"/>
        <v>n/a</v>
      </c>
      <c r="Q779" s="5"/>
      <c r="R779" s="5"/>
      <c r="S779" s="5"/>
      <c r="U779" s="6"/>
      <c r="V779" s="9" t="str">
        <f t="shared" si="97"/>
        <v/>
      </c>
      <c r="W779" s="9" t="str">
        <f t="shared" si="98"/>
        <v/>
      </c>
      <c r="X779" s="10">
        <f>SUM(V$13:V779)/COUNTA(B$13:B779)</f>
        <v>0</v>
      </c>
      <c r="Z779" s="5"/>
      <c r="AA779" s="5"/>
      <c r="AC779" s="7"/>
      <c r="AE779" s="54" t="e">
        <f t="shared" si="99"/>
        <v>#N/A</v>
      </c>
      <c r="AF779" s="4" t="e">
        <f t="shared" si="95"/>
        <v>#N/A</v>
      </c>
    </row>
    <row r="780" spans="2:32">
      <c r="B780" s="5">
        <f t="shared" si="100"/>
        <v>768</v>
      </c>
      <c r="C780" s="5"/>
      <c r="E780" s="13"/>
      <c r="F780" s="5"/>
      <c r="G780" s="11" t="str">
        <f>IF(ISERROR(AVERAGE(F$13:F780)),"n/a",AVERAGE(F$13:F780))</f>
        <v>n/a</v>
      </c>
      <c r="H780" s="11" t="str">
        <f t="shared" si="96"/>
        <v>n/a</v>
      </c>
      <c r="J780" s="5"/>
      <c r="K780" s="5"/>
      <c r="L780" s="5"/>
      <c r="M780" s="5"/>
      <c r="N780" s="5"/>
      <c r="O780" s="8" t="str">
        <f t="shared" si="94"/>
        <v>n/a</v>
      </c>
      <c r="Q780" s="5"/>
      <c r="R780" s="5"/>
      <c r="S780" s="5"/>
      <c r="U780" s="6"/>
      <c r="V780" s="9" t="str">
        <f t="shared" si="97"/>
        <v/>
      </c>
      <c r="W780" s="9" t="str">
        <f t="shared" si="98"/>
        <v/>
      </c>
      <c r="X780" s="10">
        <f>SUM(V$13:V780)/COUNTA(B$13:B780)</f>
        <v>0</v>
      </c>
      <c r="Z780" s="5"/>
      <c r="AA780" s="5"/>
      <c r="AC780" s="7"/>
      <c r="AE780" s="54" t="e">
        <f t="shared" si="99"/>
        <v>#N/A</v>
      </c>
      <c r="AF780" s="4" t="e">
        <f t="shared" si="95"/>
        <v>#N/A</v>
      </c>
    </row>
    <row r="781" spans="2:32">
      <c r="B781" s="5">
        <f t="shared" si="100"/>
        <v>769</v>
      </c>
      <c r="C781" s="5"/>
      <c r="E781" s="13"/>
      <c r="F781" s="5"/>
      <c r="G781" s="11" t="str">
        <f>IF(ISERROR(AVERAGE(F$13:F781)),"n/a",AVERAGE(F$13:F781))</f>
        <v>n/a</v>
      </c>
      <c r="H781" s="11" t="str">
        <f t="shared" si="96"/>
        <v>n/a</v>
      </c>
      <c r="J781" s="5"/>
      <c r="K781" s="5"/>
      <c r="L781" s="5"/>
      <c r="M781" s="5"/>
      <c r="N781" s="5"/>
      <c r="O781" s="8" t="str">
        <f t="shared" ref="O781:O844" si="101">IF(J781=1,"A",IF(K781=1,"B",IF(L781=1,"C",IF(M781=1,"D",IF(N781=1,"E","n/a")))))</f>
        <v>n/a</v>
      </c>
      <c r="Q781" s="5"/>
      <c r="R781" s="5"/>
      <c r="S781" s="5"/>
      <c r="U781" s="6"/>
      <c r="V781" s="9" t="str">
        <f t="shared" si="97"/>
        <v/>
      </c>
      <c r="W781" s="9" t="str">
        <f t="shared" si="98"/>
        <v/>
      </c>
      <c r="X781" s="10">
        <f>SUM(V$13:V781)/COUNTA(B$13:B781)</f>
        <v>0</v>
      </c>
      <c r="Z781" s="5"/>
      <c r="AA781" s="5"/>
      <c r="AC781" s="7"/>
      <c r="AE781" s="54" t="e">
        <f t="shared" si="99"/>
        <v>#N/A</v>
      </c>
      <c r="AF781" s="4" t="e">
        <f t="shared" ref="AF781:AF844" si="102">HLOOKUP(C781,$K$6:$O$7,2,FALSE)</f>
        <v>#N/A</v>
      </c>
    </row>
    <row r="782" spans="2:32">
      <c r="B782" s="5">
        <f t="shared" si="100"/>
        <v>770</v>
      </c>
      <c r="C782" s="5"/>
      <c r="E782" s="13"/>
      <c r="F782" s="5"/>
      <c r="G782" s="11" t="str">
        <f>IF(ISERROR(AVERAGE(F$13:F782)),"n/a",AVERAGE(F$13:F782))</f>
        <v>n/a</v>
      </c>
      <c r="H782" s="11" t="str">
        <f t="shared" ref="H782:H845" si="103">G782</f>
        <v>n/a</v>
      </c>
      <c r="J782" s="5"/>
      <c r="K782" s="5"/>
      <c r="L782" s="5"/>
      <c r="M782" s="5"/>
      <c r="N782" s="5"/>
      <c r="O782" s="8" t="str">
        <f t="shared" si="101"/>
        <v>n/a</v>
      </c>
      <c r="Q782" s="5"/>
      <c r="R782" s="5"/>
      <c r="S782" s="5"/>
      <c r="U782" s="6"/>
      <c r="V782" s="9" t="str">
        <f t="shared" ref="V782:V845" si="104">IF(O782="n/a","",IF(O782=U782,1,""))</f>
        <v/>
      </c>
      <c r="W782" s="9" t="str">
        <f t="shared" ref="W782:W845" si="105">IF(O782="n/a","",IF(O782&lt;&gt;U782,1,""))</f>
        <v/>
      </c>
      <c r="X782" s="10">
        <f>SUM(V$13:V782)/COUNTA(B$13:B782)</f>
        <v>0</v>
      </c>
      <c r="Z782" s="5"/>
      <c r="AA782" s="5"/>
      <c r="AC782" s="7"/>
      <c r="AE782" s="54" t="e">
        <f t="shared" ref="AE782:AE845" si="106">+IF($F$4=0,0,IF(W782=1,1,IF(OR(R782*$F$8=1,S782*$F$9=1,F782&gt;=AF782),2,0)))</f>
        <v>#N/A</v>
      </c>
      <c r="AF782" s="4" t="e">
        <f t="shared" si="102"/>
        <v>#N/A</v>
      </c>
    </row>
    <row r="783" spans="2:32">
      <c r="B783" s="5">
        <f t="shared" si="100"/>
        <v>771</v>
      </c>
      <c r="C783" s="5"/>
      <c r="E783" s="13"/>
      <c r="F783" s="5"/>
      <c r="G783" s="11" t="str">
        <f>IF(ISERROR(AVERAGE(F$13:F783)),"n/a",AVERAGE(F$13:F783))</f>
        <v>n/a</v>
      </c>
      <c r="H783" s="11" t="str">
        <f t="shared" si="103"/>
        <v>n/a</v>
      </c>
      <c r="J783" s="5"/>
      <c r="K783" s="5"/>
      <c r="L783" s="5"/>
      <c r="M783" s="5"/>
      <c r="N783" s="5"/>
      <c r="O783" s="8" t="str">
        <f t="shared" si="101"/>
        <v>n/a</v>
      </c>
      <c r="Q783" s="5"/>
      <c r="R783" s="5"/>
      <c r="S783" s="5"/>
      <c r="U783" s="6"/>
      <c r="V783" s="9" t="str">
        <f t="shared" si="104"/>
        <v/>
      </c>
      <c r="W783" s="9" t="str">
        <f t="shared" si="105"/>
        <v/>
      </c>
      <c r="X783" s="10">
        <f>SUM(V$13:V783)/COUNTA(B$13:B783)</f>
        <v>0</v>
      </c>
      <c r="Z783" s="5"/>
      <c r="AA783" s="5"/>
      <c r="AC783" s="7"/>
      <c r="AE783" s="54" t="e">
        <f t="shared" si="106"/>
        <v>#N/A</v>
      </c>
      <c r="AF783" s="4" t="e">
        <f t="shared" si="102"/>
        <v>#N/A</v>
      </c>
    </row>
    <row r="784" spans="2:32">
      <c r="B784" s="5">
        <f t="shared" si="100"/>
        <v>772</v>
      </c>
      <c r="C784" s="5"/>
      <c r="E784" s="13"/>
      <c r="F784" s="5"/>
      <c r="G784" s="11" t="str">
        <f>IF(ISERROR(AVERAGE(F$13:F784)),"n/a",AVERAGE(F$13:F784))</f>
        <v>n/a</v>
      </c>
      <c r="H784" s="11" t="str">
        <f t="shared" si="103"/>
        <v>n/a</v>
      </c>
      <c r="J784" s="5"/>
      <c r="K784" s="5"/>
      <c r="L784" s="5"/>
      <c r="M784" s="5"/>
      <c r="N784" s="5"/>
      <c r="O784" s="8" t="str">
        <f t="shared" si="101"/>
        <v>n/a</v>
      </c>
      <c r="Q784" s="5"/>
      <c r="R784" s="5"/>
      <c r="S784" s="5"/>
      <c r="U784" s="6"/>
      <c r="V784" s="9" t="str">
        <f t="shared" si="104"/>
        <v/>
      </c>
      <c r="W784" s="9" t="str">
        <f t="shared" si="105"/>
        <v/>
      </c>
      <c r="X784" s="10">
        <f>SUM(V$13:V784)/COUNTA(B$13:B784)</f>
        <v>0</v>
      </c>
      <c r="Z784" s="5"/>
      <c r="AA784" s="5"/>
      <c r="AC784" s="7"/>
      <c r="AE784" s="54" t="e">
        <f t="shared" si="106"/>
        <v>#N/A</v>
      </c>
      <c r="AF784" s="4" t="e">
        <f t="shared" si="102"/>
        <v>#N/A</v>
      </c>
    </row>
    <row r="785" spans="2:32">
      <c r="B785" s="5">
        <f t="shared" si="100"/>
        <v>773</v>
      </c>
      <c r="C785" s="5"/>
      <c r="E785" s="13"/>
      <c r="F785" s="5"/>
      <c r="G785" s="11" t="str">
        <f>IF(ISERROR(AVERAGE(F$13:F785)),"n/a",AVERAGE(F$13:F785))</f>
        <v>n/a</v>
      </c>
      <c r="H785" s="11" t="str">
        <f t="shared" si="103"/>
        <v>n/a</v>
      </c>
      <c r="J785" s="5"/>
      <c r="K785" s="5"/>
      <c r="L785" s="5"/>
      <c r="M785" s="5"/>
      <c r="N785" s="5"/>
      <c r="O785" s="8" t="str">
        <f t="shared" si="101"/>
        <v>n/a</v>
      </c>
      <c r="Q785" s="5"/>
      <c r="R785" s="5"/>
      <c r="S785" s="5"/>
      <c r="U785" s="6"/>
      <c r="V785" s="9" t="str">
        <f t="shared" si="104"/>
        <v/>
      </c>
      <c r="W785" s="9" t="str">
        <f t="shared" si="105"/>
        <v/>
      </c>
      <c r="X785" s="10">
        <f>SUM(V$13:V785)/COUNTA(B$13:B785)</f>
        <v>0</v>
      </c>
      <c r="Z785" s="5"/>
      <c r="AA785" s="5"/>
      <c r="AC785" s="7"/>
      <c r="AE785" s="54" t="e">
        <f t="shared" si="106"/>
        <v>#N/A</v>
      </c>
      <c r="AF785" s="4" t="e">
        <f t="shared" si="102"/>
        <v>#N/A</v>
      </c>
    </row>
    <row r="786" spans="2:32">
      <c r="B786" s="5">
        <f t="shared" si="100"/>
        <v>774</v>
      </c>
      <c r="C786" s="5"/>
      <c r="E786" s="13"/>
      <c r="F786" s="5"/>
      <c r="G786" s="11" t="str">
        <f>IF(ISERROR(AVERAGE(F$13:F786)),"n/a",AVERAGE(F$13:F786))</f>
        <v>n/a</v>
      </c>
      <c r="H786" s="11" t="str">
        <f t="shared" si="103"/>
        <v>n/a</v>
      </c>
      <c r="J786" s="5"/>
      <c r="K786" s="5"/>
      <c r="L786" s="5"/>
      <c r="M786" s="5"/>
      <c r="N786" s="5"/>
      <c r="O786" s="8" t="str">
        <f t="shared" si="101"/>
        <v>n/a</v>
      </c>
      <c r="Q786" s="5"/>
      <c r="R786" s="5"/>
      <c r="S786" s="5"/>
      <c r="U786" s="6"/>
      <c r="V786" s="9" t="str">
        <f t="shared" si="104"/>
        <v/>
      </c>
      <c r="W786" s="9" t="str">
        <f t="shared" si="105"/>
        <v/>
      </c>
      <c r="X786" s="10">
        <f>SUM(V$13:V786)/COUNTA(B$13:B786)</f>
        <v>0</v>
      </c>
      <c r="Z786" s="5"/>
      <c r="AA786" s="5"/>
      <c r="AC786" s="7"/>
      <c r="AE786" s="54" t="e">
        <f t="shared" si="106"/>
        <v>#N/A</v>
      </c>
      <c r="AF786" s="4" t="e">
        <f t="shared" si="102"/>
        <v>#N/A</v>
      </c>
    </row>
    <row r="787" spans="2:32">
      <c r="B787" s="5">
        <f t="shared" ref="B787:B850" si="107">+B786+1</f>
        <v>775</v>
      </c>
      <c r="C787" s="5"/>
      <c r="E787" s="13"/>
      <c r="F787" s="5"/>
      <c r="G787" s="11" t="str">
        <f>IF(ISERROR(AVERAGE(F$13:F787)),"n/a",AVERAGE(F$13:F787))</f>
        <v>n/a</v>
      </c>
      <c r="H787" s="11" t="str">
        <f t="shared" si="103"/>
        <v>n/a</v>
      </c>
      <c r="J787" s="5"/>
      <c r="K787" s="5"/>
      <c r="L787" s="5"/>
      <c r="M787" s="5"/>
      <c r="N787" s="5"/>
      <c r="O787" s="8" t="str">
        <f t="shared" si="101"/>
        <v>n/a</v>
      </c>
      <c r="Q787" s="5"/>
      <c r="R787" s="5"/>
      <c r="S787" s="5"/>
      <c r="U787" s="6"/>
      <c r="V787" s="9" t="str">
        <f t="shared" si="104"/>
        <v/>
      </c>
      <c r="W787" s="9" t="str">
        <f t="shared" si="105"/>
        <v/>
      </c>
      <c r="X787" s="10">
        <f>SUM(V$13:V787)/COUNTA(B$13:B787)</f>
        <v>0</v>
      </c>
      <c r="Z787" s="5"/>
      <c r="AA787" s="5"/>
      <c r="AC787" s="7"/>
      <c r="AE787" s="54" t="e">
        <f t="shared" si="106"/>
        <v>#N/A</v>
      </c>
      <c r="AF787" s="4" t="e">
        <f t="shared" si="102"/>
        <v>#N/A</v>
      </c>
    </row>
    <row r="788" spans="2:32">
      <c r="B788" s="5">
        <f t="shared" si="107"/>
        <v>776</v>
      </c>
      <c r="C788" s="5"/>
      <c r="E788" s="13"/>
      <c r="F788" s="5"/>
      <c r="G788" s="11" t="str">
        <f>IF(ISERROR(AVERAGE(F$13:F788)),"n/a",AVERAGE(F$13:F788))</f>
        <v>n/a</v>
      </c>
      <c r="H788" s="11" t="str">
        <f t="shared" si="103"/>
        <v>n/a</v>
      </c>
      <c r="J788" s="5"/>
      <c r="K788" s="5"/>
      <c r="L788" s="5"/>
      <c r="M788" s="5"/>
      <c r="N788" s="5"/>
      <c r="O788" s="8" t="str">
        <f t="shared" si="101"/>
        <v>n/a</v>
      </c>
      <c r="Q788" s="5"/>
      <c r="R788" s="5"/>
      <c r="S788" s="5"/>
      <c r="U788" s="6"/>
      <c r="V788" s="9" t="str">
        <f t="shared" si="104"/>
        <v/>
      </c>
      <c r="W788" s="9" t="str">
        <f t="shared" si="105"/>
        <v/>
      </c>
      <c r="X788" s="10">
        <f>SUM(V$13:V788)/COUNTA(B$13:B788)</f>
        <v>0</v>
      </c>
      <c r="Z788" s="5"/>
      <c r="AA788" s="5"/>
      <c r="AC788" s="7"/>
      <c r="AE788" s="54" t="e">
        <f t="shared" si="106"/>
        <v>#N/A</v>
      </c>
      <c r="AF788" s="4" t="e">
        <f t="shared" si="102"/>
        <v>#N/A</v>
      </c>
    </row>
    <row r="789" spans="2:32">
      <c r="B789" s="5">
        <f t="shared" si="107"/>
        <v>777</v>
      </c>
      <c r="C789" s="5"/>
      <c r="E789" s="13"/>
      <c r="F789" s="5"/>
      <c r="G789" s="11" t="str">
        <f>IF(ISERROR(AVERAGE(F$13:F789)),"n/a",AVERAGE(F$13:F789))</f>
        <v>n/a</v>
      </c>
      <c r="H789" s="11" t="str">
        <f t="shared" si="103"/>
        <v>n/a</v>
      </c>
      <c r="J789" s="5"/>
      <c r="K789" s="5"/>
      <c r="L789" s="5"/>
      <c r="M789" s="5"/>
      <c r="N789" s="5"/>
      <c r="O789" s="8" t="str">
        <f t="shared" si="101"/>
        <v>n/a</v>
      </c>
      <c r="Q789" s="5"/>
      <c r="R789" s="5"/>
      <c r="S789" s="5"/>
      <c r="U789" s="6"/>
      <c r="V789" s="9" t="str">
        <f t="shared" si="104"/>
        <v/>
      </c>
      <c r="W789" s="9" t="str">
        <f t="shared" si="105"/>
        <v/>
      </c>
      <c r="X789" s="10">
        <f>SUM(V$13:V789)/COUNTA(B$13:B789)</f>
        <v>0</v>
      </c>
      <c r="Z789" s="5"/>
      <c r="AA789" s="5"/>
      <c r="AC789" s="7"/>
      <c r="AE789" s="54" t="e">
        <f t="shared" si="106"/>
        <v>#N/A</v>
      </c>
      <c r="AF789" s="4" t="e">
        <f t="shared" si="102"/>
        <v>#N/A</v>
      </c>
    </row>
    <row r="790" spans="2:32">
      <c r="B790" s="5">
        <f t="shared" si="107"/>
        <v>778</v>
      </c>
      <c r="C790" s="5"/>
      <c r="E790" s="13"/>
      <c r="F790" s="5"/>
      <c r="G790" s="11" t="str">
        <f>IF(ISERROR(AVERAGE(F$13:F790)),"n/a",AVERAGE(F$13:F790))</f>
        <v>n/a</v>
      </c>
      <c r="H790" s="11" t="str">
        <f t="shared" si="103"/>
        <v>n/a</v>
      </c>
      <c r="J790" s="5"/>
      <c r="K790" s="5"/>
      <c r="L790" s="5"/>
      <c r="M790" s="5"/>
      <c r="N790" s="5"/>
      <c r="O790" s="8" t="str">
        <f t="shared" si="101"/>
        <v>n/a</v>
      </c>
      <c r="Q790" s="5"/>
      <c r="R790" s="5"/>
      <c r="S790" s="5"/>
      <c r="U790" s="6"/>
      <c r="V790" s="9" t="str">
        <f t="shared" si="104"/>
        <v/>
      </c>
      <c r="W790" s="9" t="str">
        <f t="shared" si="105"/>
        <v/>
      </c>
      <c r="X790" s="10">
        <f>SUM(V$13:V790)/COUNTA(B$13:B790)</f>
        <v>0</v>
      </c>
      <c r="Z790" s="5"/>
      <c r="AA790" s="5"/>
      <c r="AC790" s="7"/>
      <c r="AE790" s="54" t="e">
        <f t="shared" si="106"/>
        <v>#N/A</v>
      </c>
      <c r="AF790" s="4" t="e">
        <f t="shared" si="102"/>
        <v>#N/A</v>
      </c>
    </row>
    <row r="791" spans="2:32">
      <c r="B791" s="5">
        <f t="shared" si="107"/>
        <v>779</v>
      </c>
      <c r="C791" s="5"/>
      <c r="E791" s="13"/>
      <c r="F791" s="5"/>
      <c r="G791" s="11" t="str">
        <f>IF(ISERROR(AVERAGE(F$13:F791)),"n/a",AVERAGE(F$13:F791))</f>
        <v>n/a</v>
      </c>
      <c r="H791" s="11" t="str">
        <f t="shared" si="103"/>
        <v>n/a</v>
      </c>
      <c r="J791" s="5"/>
      <c r="K791" s="5"/>
      <c r="L791" s="5"/>
      <c r="M791" s="5"/>
      <c r="N791" s="5"/>
      <c r="O791" s="8" t="str">
        <f t="shared" si="101"/>
        <v>n/a</v>
      </c>
      <c r="Q791" s="5"/>
      <c r="R791" s="5"/>
      <c r="S791" s="5"/>
      <c r="U791" s="6"/>
      <c r="V791" s="9" t="str">
        <f t="shared" si="104"/>
        <v/>
      </c>
      <c r="W791" s="9" t="str">
        <f t="shared" si="105"/>
        <v/>
      </c>
      <c r="X791" s="10">
        <f>SUM(V$13:V791)/COUNTA(B$13:B791)</f>
        <v>0</v>
      </c>
      <c r="Z791" s="5"/>
      <c r="AA791" s="5"/>
      <c r="AC791" s="7"/>
      <c r="AE791" s="54" t="e">
        <f t="shared" si="106"/>
        <v>#N/A</v>
      </c>
      <c r="AF791" s="4" t="e">
        <f t="shared" si="102"/>
        <v>#N/A</v>
      </c>
    </row>
    <row r="792" spans="2:32">
      <c r="B792" s="5">
        <f t="shared" si="107"/>
        <v>780</v>
      </c>
      <c r="C792" s="5"/>
      <c r="E792" s="13"/>
      <c r="F792" s="5"/>
      <c r="G792" s="11" t="str">
        <f>IF(ISERROR(AVERAGE(F$13:F792)),"n/a",AVERAGE(F$13:F792))</f>
        <v>n/a</v>
      </c>
      <c r="H792" s="11" t="str">
        <f t="shared" si="103"/>
        <v>n/a</v>
      </c>
      <c r="J792" s="5"/>
      <c r="K792" s="5"/>
      <c r="L792" s="5"/>
      <c r="M792" s="5"/>
      <c r="N792" s="5"/>
      <c r="O792" s="8" t="str">
        <f t="shared" si="101"/>
        <v>n/a</v>
      </c>
      <c r="Q792" s="5"/>
      <c r="R792" s="5"/>
      <c r="S792" s="5"/>
      <c r="U792" s="6"/>
      <c r="V792" s="9" t="str">
        <f t="shared" si="104"/>
        <v/>
      </c>
      <c r="W792" s="9" t="str">
        <f t="shared" si="105"/>
        <v/>
      </c>
      <c r="X792" s="10">
        <f>SUM(V$13:V792)/COUNTA(B$13:B792)</f>
        <v>0</v>
      </c>
      <c r="Z792" s="5"/>
      <c r="AA792" s="5"/>
      <c r="AC792" s="7"/>
      <c r="AE792" s="54" t="e">
        <f t="shared" si="106"/>
        <v>#N/A</v>
      </c>
      <c r="AF792" s="4" t="e">
        <f t="shared" si="102"/>
        <v>#N/A</v>
      </c>
    </row>
    <row r="793" spans="2:32">
      <c r="B793" s="5">
        <f t="shared" si="107"/>
        <v>781</v>
      </c>
      <c r="C793" s="5"/>
      <c r="E793" s="13"/>
      <c r="F793" s="5"/>
      <c r="G793" s="11" t="str">
        <f>IF(ISERROR(AVERAGE(F$13:F793)),"n/a",AVERAGE(F$13:F793))</f>
        <v>n/a</v>
      </c>
      <c r="H793" s="11" t="str">
        <f t="shared" si="103"/>
        <v>n/a</v>
      </c>
      <c r="J793" s="5"/>
      <c r="K793" s="5"/>
      <c r="L793" s="5"/>
      <c r="M793" s="5"/>
      <c r="N793" s="5"/>
      <c r="O793" s="8" t="str">
        <f t="shared" si="101"/>
        <v>n/a</v>
      </c>
      <c r="Q793" s="5"/>
      <c r="R793" s="5"/>
      <c r="S793" s="5"/>
      <c r="U793" s="6"/>
      <c r="V793" s="9" t="str">
        <f t="shared" si="104"/>
        <v/>
      </c>
      <c r="W793" s="9" t="str">
        <f t="shared" si="105"/>
        <v/>
      </c>
      <c r="X793" s="10">
        <f>SUM(V$13:V793)/COUNTA(B$13:B793)</f>
        <v>0</v>
      </c>
      <c r="Z793" s="5"/>
      <c r="AA793" s="5"/>
      <c r="AC793" s="7"/>
      <c r="AE793" s="54" t="e">
        <f t="shared" si="106"/>
        <v>#N/A</v>
      </c>
      <c r="AF793" s="4" t="e">
        <f t="shared" si="102"/>
        <v>#N/A</v>
      </c>
    </row>
    <row r="794" spans="2:32">
      <c r="B794" s="5">
        <f t="shared" si="107"/>
        <v>782</v>
      </c>
      <c r="C794" s="5"/>
      <c r="E794" s="13"/>
      <c r="F794" s="5"/>
      <c r="G794" s="11" t="str">
        <f>IF(ISERROR(AVERAGE(F$13:F794)),"n/a",AVERAGE(F$13:F794))</f>
        <v>n/a</v>
      </c>
      <c r="H794" s="11" t="str">
        <f t="shared" si="103"/>
        <v>n/a</v>
      </c>
      <c r="J794" s="5"/>
      <c r="K794" s="5"/>
      <c r="L794" s="5"/>
      <c r="M794" s="5"/>
      <c r="N794" s="5"/>
      <c r="O794" s="8" t="str">
        <f t="shared" si="101"/>
        <v>n/a</v>
      </c>
      <c r="Q794" s="5"/>
      <c r="R794" s="5"/>
      <c r="S794" s="5"/>
      <c r="U794" s="6"/>
      <c r="V794" s="9" t="str">
        <f t="shared" si="104"/>
        <v/>
      </c>
      <c r="W794" s="9" t="str">
        <f t="shared" si="105"/>
        <v/>
      </c>
      <c r="X794" s="10">
        <f>SUM(V$13:V794)/COUNTA(B$13:B794)</f>
        <v>0</v>
      </c>
      <c r="Z794" s="5"/>
      <c r="AA794" s="5"/>
      <c r="AC794" s="7"/>
      <c r="AE794" s="54" t="e">
        <f t="shared" si="106"/>
        <v>#N/A</v>
      </c>
      <c r="AF794" s="4" t="e">
        <f t="shared" si="102"/>
        <v>#N/A</v>
      </c>
    </row>
    <row r="795" spans="2:32">
      <c r="B795" s="5">
        <f t="shared" si="107"/>
        <v>783</v>
      </c>
      <c r="C795" s="5"/>
      <c r="E795" s="13"/>
      <c r="F795" s="5"/>
      <c r="G795" s="11" t="str">
        <f>IF(ISERROR(AVERAGE(F$13:F795)),"n/a",AVERAGE(F$13:F795))</f>
        <v>n/a</v>
      </c>
      <c r="H795" s="11" t="str">
        <f t="shared" si="103"/>
        <v>n/a</v>
      </c>
      <c r="J795" s="5"/>
      <c r="K795" s="5"/>
      <c r="L795" s="5"/>
      <c r="M795" s="5"/>
      <c r="N795" s="5"/>
      <c r="O795" s="8" t="str">
        <f t="shared" si="101"/>
        <v>n/a</v>
      </c>
      <c r="Q795" s="5"/>
      <c r="R795" s="5"/>
      <c r="S795" s="5"/>
      <c r="U795" s="6"/>
      <c r="V795" s="9" t="str">
        <f t="shared" si="104"/>
        <v/>
      </c>
      <c r="W795" s="9" t="str">
        <f t="shared" si="105"/>
        <v/>
      </c>
      <c r="X795" s="10">
        <f>SUM(V$13:V795)/COUNTA(B$13:B795)</f>
        <v>0</v>
      </c>
      <c r="Z795" s="5"/>
      <c r="AA795" s="5"/>
      <c r="AC795" s="7"/>
      <c r="AE795" s="54" t="e">
        <f t="shared" si="106"/>
        <v>#N/A</v>
      </c>
      <c r="AF795" s="4" t="e">
        <f t="shared" si="102"/>
        <v>#N/A</v>
      </c>
    </row>
    <row r="796" spans="2:32">
      <c r="B796" s="5">
        <f t="shared" si="107"/>
        <v>784</v>
      </c>
      <c r="C796" s="5"/>
      <c r="E796" s="13"/>
      <c r="F796" s="5"/>
      <c r="G796" s="11" t="str">
        <f>IF(ISERROR(AVERAGE(F$13:F796)),"n/a",AVERAGE(F$13:F796))</f>
        <v>n/a</v>
      </c>
      <c r="H796" s="11" t="str">
        <f t="shared" si="103"/>
        <v>n/a</v>
      </c>
      <c r="J796" s="5"/>
      <c r="K796" s="5"/>
      <c r="L796" s="5"/>
      <c r="M796" s="5"/>
      <c r="N796" s="5"/>
      <c r="O796" s="8" t="str">
        <f t="shared" si="101"/>
        <v>n/a</v>
      </c>
      <c r="Q796" s="5"/>
      <c r="R796" s="5"/>
      <c r="S796" s="5"/>
      <c r="U796" s="6"/>
      <c r="V796" s="9" t="str">
        <f t="shared" si="104"/>
        <v/>
      </c>
      <c r="W796" s="9" t="str">
        <f t="shared" si="105"/>
        <v/>
      </c>
      <c r="X796" s="10">
        <f>SUM(V$13:V796)/COUNTA(B$13:B796)</f>
        <v>0</v>
      </c>
      <c r="Z796" s="5"/>
      <c r="AA796" s="5"/>
      <c r="AC796" s="7"/>
      <c r="AE796" s="54" t="e">
        <f t="shared" si="106"/>
        <v>#N/A</v>
      </c>
      <c r="AF796" s="4" t="e">
        <f t="shared" si="102"/>
        <v>#N/A</v>
      </c>
    </row>
    <row r="797" spans="2:32">
      <c r="B797" s="5">
        <f t="shared" si="107"/>
        <v>785</v>
      </c>
      <c r="C797" s="5"/>
      <c r="E797" s="13"/>
      <c r="F797" s="5"/>
      <c r="G797" s="11" t="str">
        <f>IF(ISERROR(AVERAGE(F$13:F797)),"n/a",AVERAGE(F$13:F797))</f>
        <v>n/a</v>
      </c>
      <c r="H797" s="11" t="str">
        <f t="shared" si="103"/>
        <v>n/a</v>
      </c>
      <c r="J797" s="5"/>
      <c r="K797" s="5"/>
      <c r="L797" s="5"/>
      <c r="M797" s="5"/>
      <c r="N797" s="5"/>
      <c r="O797" s="8" t="str">
        <f t="shared" si="101"/>
        <v>n/a</v>
      </c>
      <c r="Q797" s="5"/>
      <c r="R797" s="5"/>
      <c r="S797" s="5"/>
      <c r="U797" s="6"/>
      <c r="V797" s="9" t="str">
        <f t="shared" si="104"/>
        <v/>
      </c>
      <c r="W797" s="9" t="str">
        <f t="shared" si="105"/>
        <v/>
      </c>
      <c r="X797" s="10">
        <f>SUM(V$13:V797)/COUNTA(B$13:B797)</f>
        <v>0</v>
      </c>
      <c r="Z797" s="5"/>
      <c r="AA797" s="5"/>
      <c r="AC797" s="7"/>
      <c r="AE797" s="54" t="e">
        <f t="shared" si="106"/>
        <v>#N/A</v>
      </c>
      <c r="AF797" s="4" t="e">
        <f t="shared" si="102"/>
        <v>#N/A</v>
      </c>
    </row>
    <row r="798" spans="2:32">
      <c r="B798" s="5">
        <f t="shared" si="107"/>
        <v>786</v>
      </c>
      <c r="C798" s="5"/>
      <c r="E798" s="13"/>
      <c r="F798" s="5"/>
      <c r="G798" s="11" t="str">
        <f>IF(ISERROR(AVERAGE(F$13:F798)),"n/a",AVERAGE(F$13:F798))</f>
        <v>n/a</v>
      </c>
      <c r="H798" s="11" t="str">
        <f t="shared" si="103"/>
        <v>n/a</v>
      </c>
      <c r="J798" s="5"/>
      <c r="K798" s="5"/>
      <c r="L798" s="5"/>
      <c r="M798" s="5"/>
      <c r="N798" s="5"/>
      <c r="O798" s="8" t="str">
        <f t="shared" si="101"/>
        <v>n/a</v>
      </c>
      <c r="Q798" s="5"/>
      <c r="R798" s="5"/>
      <c r="S798" s="5"/>
      <c r="U798" s="6"/>
      <c r="V798" s="9" t="str">
        <f t="shared" si="104"/>
        <v/>
      </c>
      <c r="W798" s="9" t="str">
        <f t="shared" si="105"/>
        <v/>
      </c>
      <c r="X798" s="10">
        <f>SUM(V$13:V798)/COUNTA(B$13:B798)</f>
        <v>0</v>
      </c>
      <c r="Z798" s="5"/>
      <c r="AA798" s="5"/>
      <c r="AC798" s="7"/>
      <c r="AE798" s="54" t="e">
        <f t="shared" si="106"/>
        <v>#N/A</v>
      </c>
      <c r="AF798" s="4" t="e">
        <f t="shared" si="102"/>
        <v>#N/A</v>
      </c>
    </row>
    <row r="799" spans="2:32">
      <c r="B799" s="5">
        <f t="shared" si="107"/>
        <v>787</v>
      </c>
      <c r="C799" s="5"/>
      <c r="E799" s="13"/>
      <c r="F799" s="5"/>
      <c r="G799" s="11" t="str">
        <f>IF(ISERROR(AVERAGE(F$13:F799)),"n/a",AVERAGE(F$13:F799))</f>
        <v>n/a</v>
      </c>
      <c r="H799" s="11" t="str">
        <f t="shared" si="103"/>
        <v>n/a</v>
      </c>
      <c r="J799" s="5"/>
      <c r="K799" s="5"/>
      <c r="L799" s="5"/>
      <c r="M799" s="5"/>
      <c r="N799" s="5"/>
      <c r="O799" s="8" t="str">
        <f t="shared" si="101"/>
        <v>n/a</v>
      </c>
      <c r="Q799" s="5"/>
      <c r="R799" s="5"/>
      <c r="S799" s="5"/>
      <c r="U799" s="6"/>
      <c r="V799" s="9" t="str">
        <f t="shared" si="104"/>
        <v/>
      </c>
      <c r="W799" s="9" t="str">
        <f t="shared" si="105"/>
        <v/>
      </c>
      <c r="X799" s="10">
        <f>SUM(V$13:V799)/COUNTA(B$13:B799)</f>
        <v>0</v>
      </c>
      <c r="Z799" s="5"/>
      <c r="AA799" s="5"/>
      <c r="AC799" s="7"/>
      <c r="AE799" s="54" t="e">
        <f t="shared" si="106"/>
        <v>#N/A</v>
      </c>
      <c r="AF799" s="4" t="e">
        <f t="shared" si="102"/>
        <v>#N/A</v>
      </c>
    </row>
    <row r="800" spans="2:32">
      <c r="B800" s="5">
        <f t="shared" si="107"/>
        <v>788</v>
      </c>
      <c r="C800" s="5"/>
      <c r="E800" s="13"/>
      <c r="F800" s="5"/>
      <c r="G800" s="11" t="str">
        <f>IF(ISERROR(AVERAGE(F$13:F800)),"n/a",AVERAGE(F$13:F800))</f>
        <v>n/a</v>
      </c>
      <c r="H800" s="11" t="str">
        <f t="shared" si="103"/>
        <v>n/a</v>
      </c>
      <c r="J800" s="5"/>
      <c r="K800" s="5"/>
      <c r="L800" s="5"/>
      <c r="M800" s="5"/>
      <c r="N800" s="5"/>
      <c r="O800" s="8" t="str">
        <f t="shared" si="101"/>
        <v>n/a</v>
      </c>
      <c r="Q800" s="5"/>
      <c r="R800" s="5"/>
      <c r="S800" s="5"/>
      <c r="U800" s="6"/>
      <c r="V800" s="9" t="str">
        <f t="shared" si="104"/>
        <v/>
      </c>
      <c r="W800" s="9" t="str">
        <f t="shared" si="105"/>
        <v/>
      </c>
      <c r="X800" s="10">
        <f>SUM(V$13:V800)/COUNTA(B$13:B800)</f>
        <v>0</v>
      </c>
      <c r="Z800" s="5"/>
      <c r="AA800" s="5"/>
      <c r="AC800" s="7"/>
      <c r="AE800" s="54" t="e">
        <f t="shared" si="106"/>
        <v>#N/A</v>
      </c>
      <c r="AF800" s="4" t="e">
        <f t="shared" si="102"/>
        <v>#N/A</v>
      </c>
    </row>
    <row r="801" spans="2:32">
      <c r="B801" s="5">
        <f t="shared" si="107"/>
        <v>789</v>
      </c>
      <c r="C801" s="5"/>
      <c r="E801" s="13"/>
      <c r="F801" s="5"/>
      <c r="G801" s="11" t="str">
        <f>IF(ISERROR(AVERAGE(F$13:F801)),"n/a",AVERAGE(F$13:F801))</f>
        <v>n/a</v>
      </c>
      <c r="H801" s="11" t="str">
        <f t="shared" si="103"/>
        <v>n/a</v>
      </c>
      <c r="J801" s="5"/>
      <c r="K801" s="5"/>
      <c r="L801" s="5"/>
      <c r="M801" s="5"/>
      <c r="N801" s="5"/>
      <c r="O801" s="8" t="str">
        <f t="shared" si="101"/>
        <v>n/a</v>
      </c>
      <c r="Q801" s="5"/>
      <c r="R801" s="5"/>
      <c r="S801" s="5"/>
      <c r="U801" s="6"/>
      <c r="V801" s="9" t="str">
        <f t="shared" si="104"/>
        <v/>
      </c>
      <c r="W801" s="9" t="str">
        <f t="shared" si="105"/>
        <v/>
      </c>
      <c r="X801" s="10">
        <f>SUM(V$13:V801)/COUNTA(B$13:B801)</f>
        <v>0</v>
      </c>
      <c r="Z801" s="5"/>
      <c r="AA801" s="5"/>
      <c r="AC801" s="7"/>
      <c r="AE801" s="54" t="e">
        <f t="shared" si="106"/>
        <v>#N/A</v>
      </c>
      <c r="AF801" s="4" t="e">
        <f t="shared" si="102"/>
        <v>#N/A</v>
      </c>
    </row>
    <row r="802" spans="2:32">
      <c r="B802" s="5">
        <f t="shared" si="107"/>
        <v>790</v>
      </c>
      <c r="C802" s="5"/>
      <c r="E802" s="13"/>
      <c r="F802" s="5"/>
      <c r="G802" s="11" t="str">
        <f>IF(ISERROR(AVERAGE(F$13:F802)),"n/a",AVERAGE(F$13:F802))</f>
        <v>n/a</v>
      </c>
      <c r="H802" s="11" t="str">
        <f t="shared" si="103"/>
        <v>n/a</v>
      </c>
      <c r="J802" s="5"/>
      <c r="K802" s="5"/>
      <c r="L802" s="5"/>
      <c r="M802" s="5"/>
      <c r="N802" s="5"/>
      <c r="O802" s="8" t="str">
        <f t="shared" si="101"/>
        <v>n/a</v>
      </c>
      <c r="Q802" s="5"/>
      <c r="R802" s="5"/>
      <c r="S802" s="5"/>
      <c r="U802" s="6"/>
      <c r="V802" s="9" t="str">
        <f t="shared" si="104"/>
        <v/>
      </c>
      <c r="W802" s="9" t="str">
        <f t="shared" si="105"/>
        <v/>
      </c>
      <c r="X802" s="10">
        <f>SUM(V$13:V802)/COUNTA(B$13:B802)</f>
        <v>0</v>
      </c>
      <c r="Z802" s="5"/>
      <c r="AA802" s="5"/>
      <c r="AC802" s="7"/>
      <c r="AE802" s="54" t="e">
        <f t="shared" si="106"/>
        <v>#N/A</v>
      </c>
      <c r="AF802" s="4" t="e">
        <f t="shared" si="102"/>
        <v>#N/A</v>
      </c>
    </row>
    <row r="803" spans="2:32">
      <c r="B803" s="5">
        <f t="shared" si="107"/>
        <v>791</v>
      </c>
      <c r="C803" s="5"/>
      <c r="E803" s="13"/>
      <c r="F803" s="5"/>
      <c r="G803" s="11" t="str">
        <f>IF(ISERROR(AVERAGE(F$13:F803)),"n/a",AVERAGE(F$13:F803))</f>
        <v>n/a</v>
      </c>
      <c r="H803" s="11" t="str">
        <f t="shared" si="103"/>
        <v>n/a</v>
      </c>
      <c r="J803" s="5"/>
      <c r="K803" s="5"/>
      <c r="L803" s="5"/>
      <c r="M803" s="5"/>
      <c r="N803" s="5"/>
      <c r="O803" s="8" t="str">
        <f t="shared" si="101"/>
        <v>n/a</v>
      </c>
      <c r="Q803" s="5"/>
      <c r="R803" s="5"/>
      <c r="S803" s="5"/>
      <c r="U803" s="6"/>
      <c r="V803" s="9" t="str">
        <f t="shared" si="104"/>
        <v/>
      </c>
      <c r="W803" s="9" t="str">
        <f t="shared" si="105"/>
        <v/>
      </c>
      <c r="X803" s="10">
        <f>SUM(V$13:V803)/COUNTA(B$13:B803)</f>
        <v>0</v>
      </c>
      <c r="Z803" s="5"/>
      <c r="AA803" s="5"/>
      <c r="AC803" s="7"/>
      <c r="AE803" s="54" t="e">
        <f t="shared" si="106"/>
        <v>#N/A</v>
      </c>
      <c r="AF803" s="4" t="e">
        <f t="shared" si="102"/>
        <v>#N/A</v>
      </c>
    </row>
    <row r="804" spans="2:32">
      <c r="B804" s="5">
        <f t="shared" si="107"/>
        <v>792</v>
      </c>
      <c r="C804" s="5"/>
      <c r="E804" s="13"/>
      <c r="F804" s="5"/>
      <c r="G804" s="11" t="str">
        <f>IF(ISERROR(AVERAGE(F$13:F804)),"n/a",AVERAGE(F$13:F804))</f>
        <v>n/a</v>
      </c>
      <c r="H804" s="11" t="str">
        <f t="shared" si="103"/>
        <v>n/a</v>
      </c>
      <c r="J804" s="5"/>
      <c r="K804" s="5"/>
      <c r="L804" s="5"/>
      <c r="M804" s="5"/>
      <c r="N804" s="5"/>
      <c r="O804" s="8" t="str">
        <f t="shared" si="101"/>
        <v>n/a</v>
      </c>
      <c r="Q804" s="5"/>
      <c r="R804" s="5"/>
      <c r="S804" s="5"/>
      <c r="U804" s="6"/>
      <c r="V804" s="9" t="str">
        <f t="shared" si="104"/>
        <v/>
      </c>
      <c r="W804" s="9" t="str">
        <f t="shared" si="105"/>
        <v/>
      </c>
      <c r="X804" s="10">
        <f>SUM(V$13:V804)/COUNTA(B$13:B804)</f>
        <v>0</v>
      </c>
      <c r="Z804" s="5"/>
      <c r="AA804" s="5"/>
      <c r="AC804" s="7"/>
      <c r="AE804" s="54" t="e">
        <f t="shared" si="106"/>
        <v>#N/A</v>
      </c>
      <c r="AF804" s="4" t="e">
        <f t="shared" si="102"/>
        <v>#N/A</v>
      </c>
    </row>
    <row r="805" spans="2:32">
      <c r="B805" s="5">
        <f t="shared" si="107"/>
        <v>793</v>
      </c>
      <c r="C805" s="5"/>
      <c r="E805" s="13"/>
      <c r="F805" s="5"/>
      <c r="G805" s="11" t="str">
        <f>IF(ISERROR(AVERAGE(F$13:F805)),"n/a",AVERAGE(F$13:F805))</f>
        <v>n/a</v>
      </c>
      <c r="H805" s="11" t="str">
        <f t="shared" si="103"/>
        <v>n/a</v>
      </c>
      <c r="J805" s="5"/>
      <c r="K805" s="5"/>
      <c r="L805" s="5"/>
      <c r="M805" s="5"/>
      <c r="N805" s="5"/>
      <c r="O805" s="8" t="str">
        <f t="shared" si="101"/>
        <v>n/a</v>
      </c>
      <c r="Q805" s="5"/>
      <c r="R805" s="5"/>
      <c r="S805" s="5"/>
      <c r="U805" s="6"/>
      <c r="V805" s="9" t="str">
        <f t="shared" si="104"/>
        <v/>
      </c>
      <c r="W805" s="9" t="str">
        <f t="shared" si="105"/>
        <v/>
      </c>
      <c r="X805" s="10">
        <f>SUM(V$13:V805)/COUNTA(B$13:B805)</f>
        <v>0</v>
      </c>
      <c r="Z805" s="5"/>
      <c r="AA805" s="5"/>
      <c r="AC805" s="7"/>
      <c r="AE805" s="54" t="e">
        <f t="shared" si="106"/>
        <v>#N/A</v>
      </c>
      <c r="AF805" s="4" t="e">
        <f t="shared" si="102"/>
        <v>#N/A</v>
      </c>
    </row>
    <row r="806" spans="2:32">
      <c r="B806" s="5">
        <f t="shared" si="107"/>
        <v>794</v>
      </c>
      <c r="C806" s="5"/>
      <c r="E806" s="13"/>
      <c r="F806" s="5"/>
      <c r="G806" s="11" t="str">
        <f>IF(ISERROR(AVERAGE(F$13:F806)),"n/a",AVERAGE(F$13:F806))</f>
        <v>n/a</v>
      </c>
      <c r="H806" s="11" t="str">
        <f t="shared" si="103"/>
        <v>n/a</v>
      </c>
      <c r="J806" s="5"/>
      <c r="K806" s="5"/>
      <c r="L806" s="5"/>
      <c r="M806" s="5"/>
      <c r="N806" s="5"/>
      <c r="O806" s="8" t="str">
        <f t="shared" si="101"/>
        <v>n/a</v>
      </c>
      <c r="Q806" s="5"/>
      <c r="R806" s="5"/>
      <c r="S806" s="5"/>
      <c r="U806" s="6"/>
      <c r="V806" s="9" t="str">
        <f t="shared" si="104"/>
        <v/>
      </c>
      <c r="W806" s="9" t="str">
        <f t="shared" si="105"/>
        <v/>
      </c>
      <c r="X806" s="10">
        <f>SUM(V$13:V806)/COUNTA(B$13:B806)</f>
        <v>0</v>
      </c>
      <c r="Z806" s="5"/>
      <c r="AA806" s="5"/>
      <c r="AC806" s="7"/>
      <c r="AE806" s="54" t="e">
        <f t="shared" si="106"/>
        <v>#N/A</v>
      </c>
      <c r="AF806" s="4" t="e">
        <f t="shared" si="102"/>
        <v>#N/A</v>
      </c>
    </row>
    <row r="807" spans="2:32">
      <c r="B807" s="5">
        <f t="shared" si="107"/>
        <v>795</v>
      </c>
      <c r="C807" s="5"/>
      <c r="E807" s="13"/>
      <c r="F807" s="5"/>
      <c r="G807" s="11" t="str">
        <f>IF(ISERROR(AVERAGE(F$13:F807)),"n/a",AVERAGE(F$13:F807))</f>
        <v>n/a</v>
      </c>
      <c r="H807" s="11" t="str">
        <f t="shared" si="103"/>
        <v>n/a</v>
      </c>
      <c r="J807" s="5"/>
      <c r="K807" s="5"/>
      <c r="L807" s="5"/>
      <c r="M807" s="5"/>
      <c r="N807" s="5"/>
      <c r="O807" s="8" t="str">
        <f t="shared" si="101"/>
        <v>n/a</v>
      </c>
      <c r="Q807" s="5"/>
      <c r="R807" s="5"/>
      <c r="S807" s="5"/>
      <c r="U807" s="6"/>
      <c r="V807" s="9" t="str">
        <f t="shared" si="104"/>
        <v/>
      </c>
      <c r="W807" s="9" t="str">
        <f t="shared" si="105"/>
        <v/>
      </c>
      <c r="X807" s="10">
        <f>SUM(V$13:V807)/COUNTA(B$13:B807)</f>
        <v>0</v>
      </c>
      <c r="Z807" s="5"/>
      <c r="AA807" s="5"/>
      <c r="AC807" s="7"/>
      <c r="AE807" s="54" t="e">
        <f t="shared" si="106"/>
        <v>#N/A</v>
      </c>
      <c r="AF807" s="4" t="e">
        <f t="shared" si="102"/>
        <v>#N/A</v>
      </c>
    </row>
    <row r="808" spans="2:32">
      <c r="B808" s="5">
        <f t="shared" si="107"/>
        <v>796</v>
      </c>
      <c r="C808" s="5"/>
      <c r="E808" s="13"/>
      <c r="F808" s="5"/>
      <c r="G808" s="11" t="str">
        <f>IF(ISERROR(AVERAGE(F$13:F808)),"n/a",AVERAGE(F$13:F808))</f>
        <v>n/a</v>
      </c>
      <c r="H808" s="11" t="str">
        <f t="shared" si="103"/>
        <v>n/a</v>
      </c>
      <c r="J808" s="5"/>
      <c r="K808" s="5"/>
      <c r="L808" s="5"/>
      <c r="M808" s="5"/>
      <c r="N808" s="5"/>
      <c r="O808" s="8" t="str">
        <f t="shared" si="101"/>
        <v>n/a</v>
      </c>
      <c r="Q808" s="5"/>
      <c r="R808" s="5"/>
      <c r="S808" s="5"/>
      <c r="U808" s="6"/>
      <c r="V808" s="9" t="str">
        <f t="shared" si="104"/>
        <v/>
      </c>
      <c r="W808" s="9" t="str">
        <f t="shared" si="105"/>
        <v/>
      </c>
      <c r="X808" s="10">
        <f>SUM(V$13:V808)/COUNTA(B$13:B808)</f>
        <v>0</v>
      </c>
      <c r="Z808" s="5"/>
      <c r="AA808" s="5"/>
      <c r="AC808" s="7"/>
      <c r="AE808" s="54" t="e">
        <f t="shared" si="106"/>
        <v>#N/A</v>
      </c>
      <c r="AF808" s="4" t="e">
        <f t="shared" si="102"/>
        <v>#N/A</v>
      </c>
    </row>
    <row r="809" spans="2:32">
      <c r="B809" s="5">
        <f t="shared" si="107"/>
        <v>797</v>
      </c>
      <c r="C809" s="5"/>
      <c r="E809" s="13"/>
      <c r="F809" s="5"/>
      <c r="G809" s="11" t="str">
        <f>IF(ISERROR(AVERAGE(F$13:F809)),"n/a",AVERAGE(F$13:F809))</f>
        <v>n/a</v>
      </c>
      <c r="H809" s="11" t="str">
        <f t="shared" si="103"/>
        <v>n/a</v>
      </c>
      <c r="J809" s="5"/>
      <c r="K809" s="5"/>
      <c r="L809" s="5"/>
      <c r="M809" s="5"/>
      <c r="N809" s="5"/>
      <c r="O809" s="8" t="str">
        <f t="shared" si="101"/>
        <v>n/a</v>
      </c>
      <c r="Q809" s="5"/>
      <c r="R809" s="5"/>
      <c r="S809" s="5"/>
      <c r="U809" s="6"/>
      <c r="V809" s="9" t="str">
        <f t="shared" si="104"/>
        <v/>
      </c>
      <c r="W809" s="9" t="str">
        <f t="shared" si="105"/>
        <v/>
      </c>
      <c r="X809" s="10">
        <f>SUM(V$13:V809)/COUNTA(B$13:B809)</f>
        <v>0</v>
      </c>
      <c r="Z809" s="5"/>
      <c r="AA809" s="5"/>
      <c r="AC809" s="7"/>
      <c r="AE809" s="54" t="e">
        <f t="shared" si="106"/>
        <v>#N/A</v>
      </c>
      <c r="AF809" s="4" t="e">
        <f t="shared" si="102"/>
        <v>#N/A</v>
      </c>
    </row>
    <row r="810" spans="2:32">
      <c r="B810" s="5">
        <f t="shared" si="107"/>
        <v>798</v>
      </c>
      <c r="C810" s="5"/>
      <c r="E810" s="13"/>
      <c r="F810" s="5"/>
      <c r="G810" s="11" t="str">
        <f>IF(ISERROR(AVERAGE(F$13:F810)),"n/a",AVERAGE(F$13:F810))</f>
        <v>n/a</v>
      </c>
      <c r="H810" s="11" t="str">
        <f t="shared" si="103"/>
        <v>n/a</v>
      </c>
      <c r="J810" s="5"/>
      <c r="K810" s="5"/>
      <c r="L810" s="5"/>
      <c r="M810" s="5"/>
      <c r="N810" s="5"/>
      <c r="O810" s="8" t="str">
        <f t="shared" si="101"/>
        <v>n/a</v>
      </c>
      <c r="Q810" s="5"/>
      <c r="R810" s="5"/>
      <c r="S810" s="5"/>
      <c r="U810" s="6"/>
      <c r="V810" s="9" t="str">
        <f t="shared" si="104"/>
        <v/>
      </c>
      <c r="W810" s="9" t="str">
        <f t="shared" si="105"/>
        <v/>
      </c>
      <c r="X810" s="10">
        <f>SUM(V$13:V810)/COUNTA(B$13:B810)</f>
        <v>0</v>
      </c>
      <c r="Z810" s="5"/>
      <c r="AA810" s="5"/>
      <c r="AC810" s="7"/>
      <c r="AE810" s="54" t="e">
        <f t="shared" si="106"/>
        <v>#N/A</v>
      </c>
      <c r="AF810" s="4" t="e">
        <f t="shared" si="102"/>
        <v>#N/A</v>
      </c>
    </row>
    <row r="811" spans="2:32">
      <c r="B811" s="5">
        <f t="shared" si="107"/>
        <v>799</v>
      </c>
      <c r="C811" s="5"/>
      <c r="E811" s="13"/>
      <c r="F811" s="5"/>
      <c r="G811" s="11" t="str">
        <f>IF(ISERROR(AVERAGE(F$13:F811)),"n/a",AVERAGE(F$13:F811))</f>
        <v>n/a</v>
      </c>
      <c r="H811" s="11" t="str">
        <f t="shared" si="103"/>
        <v>n/a</v>
      </c>
      <c r="J811" s="5"/>
      <c r="K811" s="5"/>
      <c r="L811" s="5"/>
      <c r="M811" s="5"/>
      <c r="N811" s="5"/>
      <c r="O811" s="8" t="str">
        <f t="shared" si="101"/>
        <v>n/a</v>
      </c>
      <c r="Q811" s="5"/>
      <c r="R811" s="5"/>
      <c r="S811" s="5"/>
      <c r="U811" s="6"/>
      <c r="V811" s="9" t="str">
        <f t="shared" si="104"/>
        <v/>
      </c>
      <c r="W811" s="9" t="str">
        <f t="shared" si="105"/>
        <v/>
      </c>
      <c r="X811" s="10">
        <f>SUM(V$13:V811)/COUNTA(B$13:B811)</f>
        <v>0</v>
      </c>
      <c r="Z811" s="5"/>
      <c r="AA811" s="5"/>
      <c r="AC811" s="7"/>
      <c r="AE811" s="54" t="e">
        <f t="shared" si="106"/>
        <v>#N/A</v>
      </c>
      <c r="AF811" s="4" t="e">
        <f t="shared" si="102"/>
        <v>#N/A</v>
      </c>
    </row>
    <row r="812" spans="2:32">
      <c r="B812" s="5">
        <f t="shared" si="107"/>
        <v>800</v>
      </c>
      <c r="C812" s="5"/>
      <c r="E812" s="13"/>
      <c r="F812" s="5"/>
      <c r="G812" s="11" t="str">
        <f>IF(ISERROR(AVERAGE(F$13:F812)),"n/a",AVERAGE(F$13:F812))</f>
        <v>n/a</v>
      </c>
      <c r="H812" s="11" t="str">
        <f t="shared" si="103"/>
        <v>n/a</v>
      </c>
      <c r="J812" s="5"/>
      <c r="K812" s="5"/>
      <c r="L812" s="5"/>
      <c r="M812" s="5"/>
      <c r="N812" s="5"/>
      <c r="O812" s="8" t="str">
        <f t="shared" si="101"/>
        <v>n/a</v>
      </c>
      <c r="Q812" s="5"/>
      <c r="R812" s="5"/>
      <c r="S812" s="5"/>
      <c r="U812" s="6"/>
      <c r="V812" s="9" t="str">
        <f t="shared" si="104"/>
        <v/>
      </c>
      <c r="W812" s="9" t="str">
        <f t="shared" si="105"/>
        <v/>
      </c>
      <c r="X812" s="10">
        <f>SUM(V$13:V812)/COUNTA(B$13:B812)</f>
        <v>0</v>
      </c>
      <c r="Z812" s="5"/>
      <c r="AA812" s="5"/>
      <c r="AC812" s="7"/>
      <c r="AE812" s="54" t="e">
        <f t="shared" si="106"/>
        <v>#N/A</v>
      </c>
      <c r="AF812" s="4" t="e">
        <f t="shared" si="102"/>
        <v>#N/A</v>
      </c>
    </row>
    <row r="813" spans="2:32">
      <c r="B813" s="5">
        <f t="shared" si="107"/>
        <v>801</v>
      </c>
      <c r="C813" s="5"/>
      <c r="E813" s="13"/>
      <c r="F813" s="5"/>
      <c r="G813" s="11" t="str">
        <f>IF(ISERROR(AVERAGE(F$13:F813)),"n/a",AVERAGE(F$13:F813))</f>
        <v>n/a</v>
      </c>
      <c r="H813" s="11" t="str">
        <f t="shared" si="103"/>
        <v>n/a</v>
      </c>
      <c r="J813" s="5"/>
      <c r="K813" s="5"/>
      <c r="L813" s="5"/>
      <c r="M813" s="5"/>
      <c r="N813" s="5"/>
      <c r="O813" s="8" t="str">
        <f t="shared" si="101"/>
        <v>n/a</v>
      </c>
      <c r="Q813" s="5"/>
      <c r="R813" s="5"/>
      <c r="S813" s="5"/>
      <c r="U813" s="6"/>
      <c r="V813" s="9" t="str">
        <f t="shared" si="104"/>
        <v/>
      </c>
      <c r="W813" s="9" t="str">
        <f t="shared" si="105"/>
        <v/>
      </c>
      <c r="X813" s="10">
        <f>SUM(V$13:V813)/COUNTA(B$13:B813)</f>
        <v>0</v>
      </c>
      <c r="Z813" s="5"/>
      <c r="AA813" s="5"/>
      <c r="AC813" s="7"/>
      <c r="AE813" s="54" t="e">
        <f t="shared" si="106"/>
        <v>#N/A</v>
      </c>
      <c r="AF813" s="4" t="e">
        <f t="shared" si="102"/>
        <v>#N/A</v>
      </c>
    </row>
    <row r="814" spans="2:32">
      <c r="B814" s="5">
        <f t="shared" si="107"/>
        <v>802</v>
      </c>
      <c r="C814" s="5"/>
      <c r="E814" s="13"/>
      <c r="F814" s="5"/>
      <c r="G814" s="11" t="str">
        <f>IF(ISERROR(AVERAGE(F$13:F814)),"n/a",AVERAGE(F$13:F814))</f>
        <v>n/a</v>
      </c>
      <c r="H814" s="11" t="str">
        <f t="shared" si="103"/>
        <v>n/a</v>
      </c>
      <c r="J814" s="5"/>
      <c r="K814" s="5"/>
      <c r="L814" s="5"/>
      <c r="M814" s="5"/>
      <c r="N814" s="5"/>
      <c r="O814" s="8" t="str">
        <f t="shared" si="101"/>
        <v>n/a</v>
      </c>
      <c r="Q814" s="5"/>
      <c r="R814" s="5"/>
      <c r="S814" s="5"/>
      <c r="U814" s="6"/>
      <c r="V814" s="9" t="str">
        <f t="shared" si="104"/>
        <v/>
      </c>
      <c r="W814" s="9" t="str">
        <f t="shared" si="105"/>
        <v/>
      </c>
      <c r="X814" s="10">
        <f>SUM(V$13:V814)/COUNTA(B$13:B814)</f>
        <v>0</v>
      </c>
      <c r="Z814" s="5"/>
      <c r="AA814" s="5"/>
      <c r="AC814" s="7"/>
      <c r="AE814" s="54" t="e">
        <f t="shared" si="106"/>
        <v>#N/A</v>
      </c>
      <c r="AF814" s="4" t="e">
        <f t="shared" si="102"/>
        <v>#N/A</v>
      </c>
    </row>
    <row r="815" spans="2:32">
      <c r="B815" s="5">
        <f t="shared" si="107"/>
        <v>803</v>
      </c>
      <c r="C815" s="5"/>
      <c r="E815" s="13"/>
      <c r="F815" s="5"/>
      <c r="G815" s="11" t="str">
        <f>IF(ISERROR(AVERAGE(F$13:F815)),"n/a",AVERAGE(F$13:F815))</f>
        <v>n/a</v>
      </c>
      <c r="H815" s="11" t="str">
        <f t="shared" si="103"/>
        <v>n/a</v>
      </c>
      <c r="J815" s="5"/>
      <c r="K815" s="5"/>
      <c r="L815" s="5"/>
      <c r="M815" s="5"/>
      <c r="N815" s="5"/>
      <c r="O815" s="8" t="str">
        <f t="shared" si="101"/>
        <v>n/a</v>
      </c>
      <c r="Q815" s="5"/>
      <c r="R815" s="5"/>
      <c r="S815" s="5"/>
      <c r="U815" s="6"/>
      <c r="V815" s="9" t="str">
        <f t="shared" si="104"/>
        <v/>
      </c>
      <c r="W815" s="9" t="str">
        <f t="shared" si="105"/>
        <v/>
      </c>
      <c r="X815" s="10">
        <f>SUM(V$13:V815)/COUNTA(B$13:B815)</f>
        <v>0</v>
      </c>
      <c r="Z815" s="5"/>
      <c r="AA815" s="5"/>
      <c r="AC815" s="7"/>
      <c r="AE815" s="54" t="e">
        <f t="shared" si="106"/>
        <v>#N/A</v>
      </c>
      <c r="AF815" s="4" t="e">
        <f t="shared" si="102"/>
        <v>#N/A</v>
      </c>
    </row>
    <row r="816" spans="2:32">
      <c r="B816" s="5">
        <f t="shared" si="107"/>
        <v>804</v>
      </c>
      <c r="C816" s="5"/>
      <c r="E816" s="13"/>
      <c r="F816" s="5"/>
      <c r="G816" s="11" t="str">
        <f>IF(ISERROR(AVERAGE(F$13:F816)),"n/a",AVERAGE(F$13:F816))</f>
        <v>n/a</v>
      </c>
      <c r="H816" s="11" t="str">
        <f t="shared" si="103"/>
        <v>n/a</v>
      </c>
      <c r="J816" s="5"/>
      <c r="K816" s="5"/>
      <c r="L816" s="5"/>
      <c r="M816" s="5"/>
      <c r="N816" s="5"/>
      <c r="O816" s="8" t="str">
        <f t="shared" si="101"/>
        <v>n/a</v>
      </c>
      <c r="Q816" s="5"/>
      <c r="R816" s="5"/>
      <c r="S816" s="5"/>
      <c r="U816" s="6"/>
      <c r="V816" s="9" t="str">
        <f t="shared" si="104"/>
        <v/>
      </c>
      <c r="W816" s="9" t="str">
        <f t="shared" si="105"/>
        <v/>
      </c>
      <c r="X816" s="10">
        <f>SUM(V$13:V816)/COUNTA(B$13:B816)</f>
        <v>0</v>
      </c>
      <c r="Z816" s="5"/>
      <c r="AA816" s="5"/>
      <c r="AC816" s="7"/>
      <c r="AE816" s="54" t="e">
        <f t="shared" si="106"/>
        <v>#N/A</v>
      </c>
      <c r="AF816" s="4" t="e">
        <f t="shared" si="102"/>
        <v>#N/A</v>
      </c>
    </row>
    <row r="817" spans="2:32">
      <c r="B817" s="5">
        <f t="shared" si="107"/>
        <v>805</v>
      </c>
      <c r="C817" s="5"/>
      <c r="E817" s="13"/>
      <c r="F817" s="5"/>
      <c r="G817" s="11" t="str">
        <f>IF(ISERROR(AVERAGE(F$13:F817)),"n/a",AVERAGE(F$13:F817))</f>
        <v>n/a</v>
      </c>
      <c r="H817" s="11" t="str">
        <f t="shared" si="103"/>
        <v>n/a</v>
      </c>
      <c r="J817" s="5"/>
      <c r="K817" s="5"/>
      <c r="L817" s="5"/>
      <c r="M817" s="5"/>
      <c r="N817" s="5"/>
      <c r="O817" s="8" t="str">
        <f t="shared" si="101"/>
        <v>n/a</v>
      </c>
      <c r="Q817" s="5"/>
      <c r="R817" s="5"/>
      <c r="S817" s="5"/>
      <c r="U817" s="6"/>
      <c r="V817" s="9" t="str">
        <f t="shared" si="104"/>
        <v/>
      </c>
      <c r="W817" s="9" t="str">
        <f t="shared" si="105"/>
        <v/>
      </c>
      <c r="X817" s="10">
        <f>SUM(V$13:V817)/COUNTA(B$13:B817)</f>
        <v>0</v>
      </c>
      <c r="Z817" s="5"/>
      <c r="AA817" s="5"/>
      <c r="AC817" s="7"/>
      <c r="AE817" s="54" t="e">
        <f t="shared" si="106"/>
        <v>#N/A</v>
      </c>
      <c r="AF817" s="4" t="e">
        <f t="shared" si="102"/>
        <v>#N/A</v>
      </c>
    </row>
    <row r="818" spans="2:32">
      <c r="B818" s="5">
        <f t="shared" si="107"/>
        <v>806</v>
      </c>
      <c r="C818" s="5"/>
      <c r="E818" s="13"/>
      <c r="F818" s="5"/>
      <c r="G818" s="11" t="str">
        <f>IF(ISERROR(AVERAGE(F$13:F818)),"n/a",AVERAGE(F$13:F818))</f>
        <v>n/a</v>
      </c>
      <c r="H818" s="11" t="str">
        <f t="shared" si="103"/>
        <v>n/a</v>
      </c>
      <c r="J818" s="5"/>
      <c r="K818" s="5"/>
      <c r="L818" s="5"/>
      <c r="M818" s="5"/>
      <c r="N818" s="5"/>
      <c r="O818" s="8" t="str">
        <f t="shared" si="101"/>
        <v>n/a</v>
      </c>
      <c r="Q818" s="5"/>
      <c r="R818" s="5"/>
      <c r="S818" s="5"/>
      <c r="U818" s="6"/>
      <c r="V818" s="9" t="str">
        <f t="shared" si="104"/>
        <v/>
      </c>
      <c r="W818" s="9" t="str">
        <f t="shared" si="105"/>
        <v/>
      </c>
      <c r="X818" s="10">
        <f>SUM(V$13:V818)/COUNTA(B$13:B818)</f>
        <v>0</v>
      </c>
      <c r="Z818" s="5"/>
      <c r="AA818" s="5"/>
      <c r="AC818" s="7"/>
      <c r="AE818" s="54" t="e">
        <f t="shared" si="106"/>
        <v>#N/A</v>
      </c>
      <c r="AF818" s="4" t="e">
        <f t="shared" si="102"/>
        <v>#N/A</v>
      </c>
    </row>
    <row r="819" spans="2:32">
      <c r="B819" s="5">
        <f t="shared" si="107"/>
        <v>807</v>
      </c>
      <c r="C819" s="5"/>
      <c r="E819" s="13"/>
      <c r="F819" s="5"/>
      <c r="G819" s="11" t="str">
        <f>IF(ISERROR(AVERAGE(F$13:F819)),"n/a",AVERAGE(F$13:F819))</f>
        <v>n/a</v>
      </c>
      <c r="H819" s="11" t="str">
        <f t="shared" si="103"/>
        <v>n/a</v>
      </c>
      <c r="J819" s="5"/>
      <c r="K819" s="5"/>
      <c r="L819" s="5"/>
      <c r="M819" s="5"/>
      <c r="N819" s="5"/>
      <c r="O819" s="8" t="str">
        <f t="shared" si="101"/>
        <v>n/a</v>
      </c>
      <c r="Q819" s="5"/>
      <c r="R819" s="5"/>
      <c r="S819" s="5"/>
      <c r="U819" s="6"/>
      <c r="V819" s="9" t="str">
        <f t="shared" si="104"/>
        <v/>
      </c>
      <c r="W819" s="9" t="str">
        <f t="shared" si="105"/>
        <v/>
      </c>
      <c r="X819" s="10">
        <f>SUM(V$13:V819)/COUNTA(B$13:B819)</f>
        <v>0</v>
      </c>
      <c r="Z819" s="5"/>
      <c r="AA819" s="5"/>
      <c r="AC819" s="7"/>
      <c r="AE819" s="54" t="e">
        <f t="shared" si="106"/>
        <v>#N/A</v>
      </c>
      <c r="AF819" s="4" t="e">
        <f t="shared" si="102"/>
        <v>#N/A</v>
      </c>
    </row>
    <row r="820" spans="2:32">
      <c r="B820" s="5">
        <f t="shared" si="107"/>
        <v>808</v>
      </c>
      <c r="C820" s="5"/>
      <c r="E820" s="13"/>
      <c r="F820" s="5"/>
      <c r="G820" s="11" t="str">
        <f>IF(ISERROR(AVERAGE(F$13:F820)),"n/a",AVERAGE(F$13:F820))</f>
        <v>n/a</v>
      </c>
      <c r="H820" s="11" t="str">
        <f t="shared" si="103"/>
        <v>n/a</v>
      </c>
      <c r="J820" s="5"/>
      <c r="K820" s="5"/>
      <c r="L820" s="5"/>
      <c r="M820" s="5"/>
      <c r="N820" s="5"/>
      <c r="O820" s="8" t="str">
        <f t="shared" si="101"/>
        <v>n/a</v>
      </c>
      <c r="Q820" s="5"/>
      <c r="R820" s="5"/>
      <c r="S820" s="5"/>
      <c r="U820" s="6"/>
      <c r="V820" s="9" t="str">
        <f t="shared" si="104"/>
        <v/>
      </c>
      <c r="W820" s="9" t="str">
        <f t="shared" si="105"/>
        <v/>
      </c>
      <c r="X820" s="10">
        <f>SUM(V$13:V820)/COUNTA(B$13:B820)</f>
        <v>0</v>
      </c>
      <c r="Z820" s="5"/>
      <c r="AA820" s="5"/>
      <c r="AC820" s="7"/>
      <c r="AE820" s="54" t="e">
        <f t="shared" si="106"/>
        <v>#N/A</v>
      </c>
      <c r="AF820" s="4" t="e">
        <f t="shared" si="102"/>
        <v>#N/A</v>
      </c>
    </row>
    <row r="821" spans="2:32">
      <c r="B821" s="5">
        <f t="shared" si="107"/>
        <v>809</v>
      </c>
      <c r="C821" s="5"/>
      <c r="E821" s="13"/>
      <c r="F821" s="5"/>
      <c r="G821" s="11" t="str">
        <f>IF(ISERROR(AVERAGE(F$13:F821)),"n/a",AVERAGE(F$13:F821))</f>
        <v>n/a</v>
      </c>
      <c r="H821" s="11" t="str">
        <f t="shared" si="103"/>
        <v>n/a</v>
      </c>
      <c r="J821" s="5"/>
      <c r="K821" s="5"/>
      <c r="L821" s="5"/>
      <c r="M821" s="5"/>
      <c r="N821" s="5"/>
      <c r="O821" s="8" t="str">
        <f t="shared" si="101"/>
        <v>n/a</v>
      </c>
      <c r="Q821" s="5"/>
      <c r="R821" s="5"/>
      <c r="S821" s="5"/>
      <c r="U821" s="6"/>
      <c r="V821" s="9" t="str">
        <f t="shared" si="104"/>
        <v/>
      </c>
      <c r="W821" s="9" t="str">
        <f t="shared" si="105"/>
        <v/>
      </c>
      <c r="X821" s="10">
        <f>SUM(V$13:V821)/COUNTA(B$13:B821)</f>
        <v>0</v>
      </c>
      <c r="Z821" s="5"/>
      <c r="AA821" s="5"/>
      <c r="AC821" s="7"/>
      <c r="AE821" s="54" t="e">
        <f t="shared" si="106"/>
        <v>#N/A</v>
      </c>
      <c r="AF821" s="4" t="e">
        <f t="shared" si="102"/>
        <v>#N/A</v>
      </c>
    </row>
    <row r="822" spans="2:32">
      <c r="B822" s="5">
        <f t="shared" si="107"/>
        <v>810</v>
      </c>
      <c r="C822" s="5"/>
      <c r="E822" s="13"/>
      <c r="F822" s="5"/>
      <c r="G822" s="11" t="str">
        <f>IF(ISERROR(AVERAGE(F$13:F822)),"n/a",AVERAGE(F$13:F822))</f>
        <v>n/a</v>
      </c>
      <c r="H822" s="11" t="str">
        <f t="shared" si="103"/>
        <v>n/a</v>
      </c>
      <c r="J822" s="5"/>
      <c r="K822" s="5"/>
      <c r="L822" s="5"/>
      <c r="M822" s="5"/>
      <c r="N822" s="5"/>
      <c r="O822" s="8" t="str">
        <f t="shared" si="101"/>
        <v>n/a</v>
      </c>
      <c r="Q822" s="5"/>
      <c r="R822" s="5"/>
      <c r="S822" s="5"/>
      <c r="U822" s="6"/>
      <c r="V822" s="9" t="str">
        <f t="shared" si="104"/>
        <v/>
      </c>
      <c r="W822" s="9" t="str">
        <f t="shared" si="105"/>
        <v/>
      </c>
      <c r="X822" s="10">
        <f>SUM(V$13:V822)/COUNTA(B$13:B822)</f>
        <v>0</v>
      </c>
      <c r="Z822" s="5"/>
      <c r="AA822" s="5"/>
      <c r="AC822" s="7"/>
      <c r="AE822" s="54" t="e">
        <f t="shared" si="106"/>
        <v>#N/A</v>
      </c>
      <c r="AF822" s="4" t="e">
        <f t="shared" si="102"/>
        <v>#N/A</v>
      </c>
    </row>
    <row r="823" spans="2:32">
      <c r="B823" s="5">
        <f t="shared" si="107"/>
        <v>811</v>
      </c>
      <c r="C823" s="5"/>
      <c r="E823" s="13"/>
      <c r="F823" s="5"/>
      <c r="G823" s="11" t="str">
        <f>IF(ISERROR(AVERAGE(F$13:F823)),"n/a",AVERAGE(F$13:F823))</f>
        <v>n/a</v>
      </c>
      <c r="H823" s="11" t="str">
        <f t="shared" si="103"/>
        <v>n/a</v>
      </c>
      <c r="J823" s="5"/>
      <c r="K823" s="5"/>
      <c r="L823" s="5"/>
      <c r="M823" s="5"/>
      <c r="N823" s="5"/>
      <c r="O823" s="8" t="str">
        <f t="shared" si="101"/>
        <v>n/a</v>
      </c>
      <c r="Q823" s="5"/>
      <c r="R823" s="5"/>
      <c r="S823" s="5"/>
      <c r="U823" s="6"/>
      <c r="V823" s="9" t="str">
        <f t="shared" si="104"/>
        <v/>
      </c>
      <c r="W823" s="9" t="str">
        <f t="shared" si="105"/>
        <v/>
      </c>
      <c r="X823" s="10">
        <f>SUM(V$13:V823)/COUNTA(B$13:B823)</f>
        <v>0</v>
      </c>
      <c r="Z823" s="5"/>
      <c r="AA823" s="5"/>
      <c r="AC823" s="7"/>
      <c r="AE823" s="54" t="e">
        <f t="shared" si="106"/>
        <v>#N/A</v>
      </c>
      <c r="AF823" s="4" t="e">
        <f t="shared" si="102"/>
        <v>#N/A</v>
      </c>
    </row>
    <row r="824" spans="2:32">
      <c r="B824" s="5">
        <f t="shared" si="107"/>
        <v>812</v>
      </c>
      <c r="C824" s="5"/>
      <c r="E824" s="13"/>
      <c r="F824" s="5"/>
      <c r="G824" s="11" t="str">
        <f>IF(ISERROR(AVERAGE(F$13:F824)),"n/a",AVERAGE(F$13:F824))</f>
        <v>n/a</v>
      </c>
      <c r="H824" s="11" t="str">
        <f t="shared" si="103"/>
        <v>n/a</v>
      </c>
      <c r="J824" s="5"/>
      <c r="K824" s="5"/>
      <c r="L824" s="5"/>
      <c r="M824" s="5"/>
      <c r="N824" s="5"/>
      <c r="O824" s="8" t="str">
        <f t="shared" si="101"/>
        <v>n/a</v>
      </c>
      <c r="Q824" s="5"/>
      <c r="R824" s="5"/>
      <c r="S824" s="5"/>
      <c r="U824" s="6"/>
      <c r="V824" s="9" t="str">
        <f t="shared" si="104"/>
        <v/>
      </c>
      <c r="W824" s="9" t="str">
        <f t="shared" si="105"/>
        <v/>
      </c>
      <c r="X824" s="10">
        <f>SUM(V$13:V824)/COUNTA(B$13:B824)</f>
        <v>0</v>
      </c>
      <c r="Z824" s="5"/>
      <c r="AA824" s="5"/>
      <c r="AC824" s="7"/>
      <c r="AE824" s="54" t="e">
        <f t="shared" si="106"/>
        <v>#N/A</v>
      </c>
      <c r="AF824" s="4" t="e">
        <f t="shared" si="102"/>
        <v>#N/A</v>
      </c>
    </row>
    <row r="825" spans="2:32">
      <c r="B825" s="5">
        <f t="shared" si="107"/>
        <v>813</v>
      </c>
      <c r="C825" s="5"/>
      <c r="E825" s="13"/>
      <c r="F825" s="5"/>
      <c r="G825" s="11" t="str">
        <f>IF(ISERROR(AVERAGE(F$13:F825)),"n/a",AVERAGE(F$13:F825))</f>
        <v>n/a</v>
      </c>
      <c r="H825" s="11" t="str">
        <f t="shared" si="103"/>
        <v>n/a</v>
      </c>
      <c r="J825" s="5"/>
      <c r="K825" s="5"/>
      <c r="L825" s="5"/>
      <c r="M825" s="5"/>
      <c r="N825" s="5"/>
      <c r="O825" s="8" t="str">
        <f t="shared" si="101"/>
        <v>n/a</v>
      </c>
      <c r="Q825" s="5"/>
      <c r="R825" s="5"/>
      <c r="S825" s="5"/>
      <c r="U825" s="6"/>
      <c r="V825" s="9" t="str">
        <f t="shared" si="104"/>
        <v/>
      </c>
      <c r="W825" s="9" t="str">
        <f t="shared" si="105"/>
        <v/>
      </c>
      <c r="X825" s="10">
        <f>SUM(V$13:V825)/COUNTA(B$13:B825)</f>
        <v>0</v>
      </c>
      <c r="Z825" s="5"/>
      <c r="AA825" s="5"/>
      <c r="AC825" s="7"/>
      <c r="AE825" s="54" t="e">
        <f t="shared" si="106"/>
        <v>#N/A</v>
      </c>
      <c r="AF825" s="4" t="e">
        <f t="shared" si="102"/>
        <v>#N/A</v>
      </c>
    </row>
    <row r="826" spans="2:32">
      <c r="B826" s="5">
        <f t="shared" si="107"/>
        <v>814</v>
      </c>
      <c r="C826" s="5"/>
      <c r="E826" s="13"/>
      <c r="F826" s="5"/>
      <c r="G826" s="11" t="str">
        <f>IF(ISERROR(AVERAGE(F$13:F826)),"n/a",AVERAGE(F$13:F826))</f>
        <v>n/a</v>
      </c>
      <c r="H826" s="11" t="str">
        <f t="shared" si="103"/>
        <v>n/a</v>
      </c>
      <c r="J826" s="5"/>
      <c r="K826" s="5"/>
      <c r="L826" s="5"/>
      <c r="M826" s="5"/>
      <c r="N826" s="5"/>
      <c r="O826" s="8" t="str">
        <f t="shared" si="101"/>
        <v>n/a</v>
      </c>
      <c r="Q826" s="5"/>
      <c r="R826" s="5"/>
      <c r="S826" s="5"/>
      <c r="U826" s="6"/>
      <c r="V826" s="9" t="str">
        <f t="shared" si="104"/>
        <v/>
      </c>
      <c r="W826" s="9" t="str">
        <f t="shared" si="105"/>
        <v/>
      </c>
      <c r="X826" s="10">
        <f>SUM(V$13:V826)/COUNTA(B$13:B826)</f>
        <v>0</v>
      </c>
      <c r="Z826" s="5"/>
      <c r="AA826" s="5"/>
      <c r="AC826" s="7"/>
      <c r="AE826" s="54" t="e">
        <f t="shared" si="106"/>
        <v>#N/A</v>
      </c>
      <c r="AF826" s="4" t="e">
        <f t="shared" si="102"/>
        <v>#N/A</v>
      </c>
    </row>
    <row r="827" spans="2:32">
      <c r="B827" s="5">
        <f t="shared" si="107"/>
        <v>815</v>
      </c>
      <c r="C827" s="5"/>
      <c r="E827" s="13"/>
      <c r="F827" s="5"/>
      <c r="G827" s="11" t="str">
        <f>IF(ISERROR(AVERAGE(F$13:F827)),"n/a",AVERAGE(F$13:F827))</f>
        <v>n/a</v>
      </c>
      <c r="H827" s="11" t="str">
        <f t="shared" si="103"/>
        <v>n/a</v>
      </c>
      <c r="J827" s="5"/>
      <c r="K827" s="5"/>
      <c r="L827" s="5"/>
      <c r="M827" s="5"/>
      <c r="N827" s="5"/>
      <c r="O827" s="8" t="str">
        <f t="shared" si="101"/>
        <v>n/a</v>
      </c>
      <c r="Q827" s="5"/>
      <c r="R827" s="5"/>
      <c r="S827" s="5"/>
      <c r="U827" s="6"/>
      <c r="V827" s="9" t="str">
        <f t="shared" si="104"/>
        <v/>
      </c>
      <c r="W827" s="9" t="str">
        <f t="shared" si="105"/>
        <v/>
      </c>
      <c r="X827" s="10">
        <f>SUM(V$13:V827)/COUNTA(B$13:B827)</f>
        <v>0</v>
      </c>
      <c r="Z827" s="5"/>
      <c r="AA827" s="5"/>
      <c r="AC827" s="7"/>
      <c r="AE827" s="54" t="e">
        <f t="shared" si="106"/>
        <v>#N/A</v>
      </c>
      <c r="AF827" s="4" t="e">
        <f t="shared" si="102"/>
        <v>#N/A</v>
      </c>
    </row>
    <row r="828" spans="2:32">
      <c r="B828" s="5">
        <f t="shared" si="107"/>
        <v>816</v>
      </c>
      <c r="C828" s="5"/>
      <c r="E828" s="13"/>
      <c r="F828" s="5"/>
      <c r="G828" s="11" t="str">
        <f>IF(ISERROR(AVERAGE(F$13:F828)),"n/a",AVERAGE(F$13:F828))</f>
        <v>n/a</v>
      </c>
      <c r="H828" s="11" t="str">
        <f t="shared" si="103"/>
        <v>n/a</v>
      </c>
      <c r="J828" s="5"/>
      <c r="K828" s="5"/>
      <c r="L828" s="5"/>
      <c r="M828" s="5"/>
      <c r="N828" s="5"/>
      <c r="O828" s="8" t="str">
        <f t="shared" si="101"/>
        <v>n/a</v>
      </c>
      <c r="Q828" s="5"/>
      <c r="R828" s="5"/>
      <c r="S828" s="5"/>
      <c r="U828" s="6"/>
      <c r="V828" s="9" t="str">
        <f t="shared" si="104"/>
        <v/>
      </c>
      <c r="W828" s="9" t="str">
        <f t="shared" si="105"/>
        <v/>
      </c>
      <c r="X828" s="10">
        <f>SUM(V$13:V828)/COUNTA(B$13:B828)</f>
        <v>0</v>
      </c>
      <c r="Z828" s="5"/>
      <c r="AA828" s="5"/>
      <c r="AC828" s="7"/>
      <c r="AE828" s="54" t="e">
        <f t="shared" si="106"/>
        <v>#N/A</v>
      </c>
      <c r="AF828" s="4" t="e">
        <f t="shared" si="102"/>
        <v>#N/A</v>
      </c>
    </row>
    <row r="829" spans="2:32">
      <c r="B829" s="5">
        <f t="shared" si="107"/>
        <v>817</v>
      </c>
      <c r="C829" s="5"/>
      <c r="E829" s="13"/>
      <c r="F829" s="5"/>
      <c r="G829" s="11" t="str">
        <f>IF(ISERROR(AVERAGE(F$13:F829)),"n/a",AVERAGE(F$13:F829))</f>
        <v>n/a</v>
      </c>
      <c r="H829" s="11" t="str">
        <f t="shared" si="103"/>
        <v>n/a</v>
      </c>
      <c r="J829" s="5"/>
      <c r="K829" s="5"/>
      <c r="L829" s="5"/>
      <c r="M829" s="5"/>
      <c r="N829" s="5"/>
      <c r="O829" s="8" t="str">
        <f t="shared" si="101"/>
        <v>n/a</v>
      </c>
      <c r="Q829" s="5"/>
      <c r="R829" s="5"/>
      <c r="S829" s="5"/>
      <c r="U829" s="6"/>
      <c r="V829" s="9" t="str">
        <f t="shared" si="104"/>
        <v/>
      </c>
      <c r="W829" s="9" t="str">
        <f t="shared" si="105"/>
        <v/>
      </c>
      <c r="X829" s="10">
        <f>SUM(V$13:V829)/COUNTA(B$13:B829)</f>
        <v>0</v>
      </c>
      <c r="Z829" s="5"/>
      <c r="AA829" s="5"/>
      <c r="AC829" s="7"/>
      <c r="AE829" s="54" t="e">
        <f t="shared" si="106"/>
        <v>#N/A</v>
      </c>
      <c r="AF829" s="4" t="e">
        <f t="shared" si="102"/>
        <v>#N/A</v>
      </c>
    </row>
    <row r="830" spans="2:32">
      <c r="B830" s="5">
        <f t="shared" si="107"/>
        <v>818</v>
      </c>
      <c r="C830" s="5"/>
      <c r="E830" s="13"/>
      <c r="F830" s="5"/>
      <c r="G830" s="11" t="str">
        <f>IF(ISERROR(AVERAGE(F$13:F830)),"n/a",AVERAGE(F$13:F830))</f>
        <v>n/a</v>
      </c>
      <c r="H830" s="11" t="str">
        <f t="shared" si="103"/>
        <v>n/a</v>
      </c>
      <c r="J830" s="5"/>
      <c r="K830" s="5"/>
      <c r="L830" s="5"/>
      <c r="M830" s="5"/>
      <c r="N830" s="5"/>
      <c r="O830" s="8" t="str">
        <f t="shared" si="101"/>
        <v>n/a</v>
      </c>
      <c r="Q830" s="5"/>
      <c r="R830" s="5"/>
      <c r="S830" s="5"/>
      <c r="U830" s="6"/>
      <c r="V830" s="9" t="str">
        <f t="shared" si="104"/>
        <v/>
      </c>
      <c r="W830" s="9" t="str">
        <f t="shared" si="105"/>
        <v/>
      </c>
      <c r="X830" s="10">
        <f>SUM(V$13:V830)/COUNTA(B$13:B830)</f>
        <v>0</v>
      </c>
      <c r="Z830" s="5"/>
      <c r="AA830" s="5"/>
      <c r="AC830" s="7"/>
      <c r="AE830" s="54" t="e">
        <f t="shared" si="106"/>
        <v>#N/A</v>
      </c>
      <c r="AF830" s="4" t="e">
        <f t="shared" si="102"/>
        <v>#N/A</v>
      </c>
    </row>
    <row r="831" spans="2:32">
      <c r="B831" s="5">
        <f t="shared" si="107"/>
        <v>819</v>
      </c>
      <c r="C831" s="5"/>
      <c r="E831" s="13"/>
      <c r="F831" s="5"/>
      <c r="G831" s="11" t="str">
        <f>IF(ISERROR(AVERAGE(F$13:F831)),"n/a",AVERAGE(F$13:F831))</f>
        <v>n/a</v>
      </c>
      <c r="H831" s="11" t="str">
        <f t="shared" si="103"/>
        <v>n/a</v>
      </c>
      <c r="J831" s="5"/>
      <c r="K831" s="5"/>
      <c r="L831" s="5"/>
      <c r="M831" s="5"/>
      <c r="N831" s="5"/>
      <c r="O831" s="8" t="str">
        <f t="shared" si="101"/>
        <v>n/a</v>
      </c>
      <c r="Q831" s="5"/>
      <c r="R831" s="5"/>
      <c r="S831" s="5"/>
      <c r="U831" s="6"/>
      <c r="V831" s="9" t="str">
        <f t="shared" si="104"/>
        <v/>
      </c>
      <c r="W831" s="9" t="str">
        <f t="shared" si="105"/>
        <v/>
      </c>
      <c r="X831" s="10">
        <f>SUM(V$13:V831)/COUNTA(B$13:B831)</f>
        <v>0</v>
      </c>
      <c r="Z831" s="5"/>
      <c r="AA831" s="5"/>
      <c r="AC831" s="7"/>
      <c r="AE831" s="54" t="e">
        <f t="shared" si="106"/>
        <v>#N/A</v>
      </c>
      <c r="AF831" s="4" t="e">
        <f t="shared" si="102"/>
        <v>#N/A</v>
      </c>
    </row>
    <row r="832" spans="2:32">
      <c r="B832" s="5">
        <f t="shared" si="107"/>
        <v>820</v>
      </c>
      <c r="C832" s="5"/>
      <c r="E832" s="13"/>
      <c r="F832" s="5"/>
      <c r="G832" s="11" t="str">
        <f>IF(ISERROR(AVERAGE(F$13:F832)),"n/a",AVERAGE(F$13:F832))</f>
        <v>n/a</v>
      </c>
      <c r="H832" s="11" t="str">
        <f t="shared" si="103"/>
        <v>n/a</v>
      </c>
      <c r="J832" s="5"/>
      <c r="K832" s="5"/>
      <c r="L832" s="5"/>
      <c r="M832" s="5"/>
      <c r="N832" s="5"/>
      <c r="O832" s="8" t="str">
        <f t="shared" si="101"/>
        <v>n/a</v>
      </c>
      <c r="Q832" s="5"/>
      <c r="R832" s="5"/>
      <c r="S832" s="5"/>
      <c r="U832" s="6"/>
      <c r="V832" s="9" t="str">
        <f t="shared" si="104"/>
        <v/>
      </c>
      <c r="W832" s="9" t="str">
        <f t="shared" si="105"/>
        <v/>
      </c>
      <c r="X832" s="10">
        <f>SUM(V$13:V832)/COUNTA(B$13:B832)</f>
        <v>0</v>
      </c>
      <c r="Z832" s="5"/>
      <c r="AA832" s="5"/>
      <c r="AC832" s="7"/>
      <c r="AE832" s="54" t="e">
        <f t="shared" si="106"/>
        <v>#N/A</v>
      </c>
      <c r="AF832" s="4" t="e">
        <f t="shared" si="102"/>
        <v>#N/A</v>
      </c>
    </row>
    <row r="833" spans="2:32">
      <c r="B833" s="5">
        <f t="shared" si="107"/>
        <v>821</v>
      </c>
      <c r="C833" s="5"/>
      <c r="E833" s="13"/>
      <c r="F833" s="5"/>
      <c r="G833" s="11" t="str">
        <f>IF(ISERROR(AVERAGE(F$13:F833)),"n/a",AVERAGE(F$13:F833))</f>
        <v>n/a</v>
      </c>
      <c r="H833" s="11" t="str">
        <f t="shared" si="103"/>
        <v>n/a</v>
      </c>
      <c r="J833" s="5"/>
      <c r="K833" s="5"/>
      <c r="L833" s="5"/>
      <c r="M833" s="5"/>
      <c r="N833" s="5"/>
      <c r="O833" s="8" t="str">
        <f t="shared" si="101"/>
        <v>n/a</v>
      </c>
      <c r="Q833" s="5"/>
      <c r="R833" s="5"/>
      <c r="S833" s="5"/>
      <c r="U833" s="6"/>
      <c r="V833" s="9" t="str">
        <f t="shared" si="104"/>
        <v/>
      </c>
      <c r="W833" s="9" t="str">
        <f t="shared" si="105"/>
        <v/>
      </c>
      <c r="X833" s="10">
        <f>SUM(V$13:V833)/COUNTA(B$13:B833)</f>
        <v>0</v>
      </c>
      <c r="Z833" s="5"/>
      <c r="AA833" s="5"/>
      <c r="AC833" s="7"/>
      <c r="AE833" s="54" t="e">
        <f t="shared" si="106"/>
        <v>#N/A</v>
      </c>
      <c r="AF833" s="4" t="e">
        <f t="shared" si="102"/>
        <v>#N/A</v>
      </c>
    </row>
    <row r="834" spans="2:32">
      <c r="B834" s="5">
        <f t="shared" si="107"/>
        <v>822</v>
      </c>
      <c r="C834" s="5"/>
      <c r="E834" s="13"/>
      <c r="F834" s="5"/>
      <c r="G834" s="11" t="str">
        <f>IF(ISERROR(AVERAGE(F$13:F834)),"n/a",AVERAGE(F$13:F834))</f>
        <v>n/a</v>
      </c>
      <c r="H834" s="11" t="str">
        <f t="shared" si="103"/>
        <v>n/a</v>
      </c>
      <c r="J834" s="5"/>
      <c r="K834" s="5"/>
      <c r="L834" s="5"/>
      <c r="M834" s="5"/>
      <c r="N834" s="5"/>
      <c r="O834" s="8" t="str">
        <f t="shared" si="101"/>
        <v>n/a</v>
      </c>
      <c r="Q834" s="5"/>
      <c r="R834" s="5"/>
      <c r="S834" s="5"/>
      <c r="U834" s="6"/>
      <c r="V834" s="9" t="str">
        <f t="shared" si="104"/>
        <v/>
      </c>
      <c r="W834" s="9" t="str">
        <f t="shared" si="105"/>
        <v/>
      </c>
      <c r="X834" s="10">
        <f>SUM(V$13:V834)/COUNTA(B$13:B834)</f>
        <v>0</v>
      </c>
      <c r="Z834" s="5"/>
      <c r="AA834" s="5"/>
      <c r="AC834" s="7"/>
      <c r="AE834" s="54" t="e">
        <f t="shared" si="106"/>
        <v>#N/A</v>
      </c>
      <c r="AF834" s="4" t="e">
        <f t="shared" si="102"/>
        <v>#N/A</v>
      </c>
    </row>
    <row r="835" spans="2:32">
      <c r="B835" s="5">
        <f t="shared" si="107"/>
        <v>823</v>
      </c>
      <c r="C835" s="5"/>
      <c r="E835" s="13"/>
      <c r="F835" s="5"/>
      <c r="G835" s="11" t="str">
        <f>IF(ISERROR(AVERAGE(F$13:F835)),"n/a",AVERAGE(F$13:F835))</f>
        <v>n/a</v>
      </c>
      <c r="H835" s="11" t="str">
        <f t="shared" si="103"/>
        <v>n/a</v>
      </c>
      <c r="J835" s="5"/>
      <c r="K835" s="5"/>
      <c r="L835" s="5"/>
      <c r="M835" s="5"/>
      <c r="N835" s="5"/>
      <c r="O835" s="8" t="str">
        <f t="shared" si="101"/>
        <v>n/a</v>
      </c>
      <c r="Q835" s="5"/>
      <c r="R835" s="5"/>
      <c r="S835" s="5"/>
      <c r="U835" s="6"/>
      <c r="V835" s="9" t="str">
        <f t="shared" si="104"/>
        <v/>
      </c>
      <c r="W835" s="9" t="str">
        <f t="shared" si="105"/>
        <v/>
      </c>
      <c r="X835" s="10">
        <f>SUM(V$13:V835)/COUNTA(B$13:B835)</f>
        <v>0</v>
      </c>
      <c r="Z835" s="5"/>
      <c r="AA835" s="5"/>
      <c r="AC835" s="7"/>
      <c r="AE835" s="54" t="e">
        <f t="shared" si="106"/>
        <v>#N/A</v>
      </c>
      <c r="AF835" s="4" t="e">
        <f t="shared" si="102"/>
        <v>#N/A</v>
      </c>
    </row>
    <row r="836" spans="2:32">
      <c r="B836" s="5">
        <f t="shared" si="107"/>
        <v>824</v>
      </c>
      <c r="C836" s="5"/>
      <c r="E836" s="13"/>
      <c r="F836" s="5"/>
      <c r="G836" s="11" t="str">
        <f>IF(ISERROR(AVERAGE(F$13:F836)),"n/a",AVERAGE(F$13:F836))</f>
        <v>n/a</v>
      </c>
      <c r="H836" s="11" t="str">
        <f t="shared" si="103"/>
        <v>n/a</v>
      </c>
      <c r="J836" s="5"/>
      <c r="K836" s="5"/>
      <c r="L836" s="5"/>
      <c r="M836" s="5"/>
      <c r="N836" s="5"/>
      <c r="O836" s="8" t="str">
        <f t="shared" si="101"/>
        <v>n/a</v>
      </c>
      <c r="Q836" s="5"/>
      <c r="R836" s="5"/>
      <c r="S836" s="5"/>
      <c r="U836" s="6"/>
      <c r="V836" s="9" t="str">
        <f t="shared" si="104"/>
        <v/>
      </c>
      <c r="W836" s="9" t="str">
        <f t="shared" si="105"/>
        <v/>
      </c>
      <c r="X836" s="10">
        <f>SUM(V$13:V836)/COUNTA(B$13:B836)</f>
        <v>0</v>
      </c>
      <c r="Z836" s="5"/>
      <c r="AA836" s="5"/>
      <c r="AC836" s="7"/>
      <c r="AE836" s="54" t="e">
        <f t="shared" si="106"/>
        <v>#N/A</v>
      </c>
      <c r="AF836" s="4" t="e">
        <f t="shared" si="102"/>
        <v>#N/A</v>
      </c>
    </row>
    <row r="837" spans="2:32">
      <c r="B837" s="5">
        <f t="shared" si="107"/>
        <v>825</v>
      </c>
      <c r="C837" s="5"/>
      <c r="E837" s="13"/>
      <c r="F837" s="5"/>
      <c r="G837" s="11" t="str">
        <f>IF(ISERROR(AVERAGE(F$13:F837)),"n/a",AVERAGE(F$13:F837))</f>
        <v>n/a</v>
      </c>
      <c r="H837" s="11" t="str">
        <f t="shared" si="103"/>
        <v>n/a</v>
      </c>
      <c r="J837" s="5"/>
      <c r="K837" s="5"/>
      <c r="L837" s="5"/>
      <c r="M837" s="5"/>
      <c r="N837" s="5"/>
      <c r="O837" s="8" t="str">
        <f t="shared" si="101"/>
        <v>n/a</v>
      </c>
      <c r="Q837" s="5"/>
      <c r="R837" s="5"/>
      <c r="S837" s="5"/>
      <c r="U837" s="6"/>
      <c r="V837" s="9" t="str">
        <f t="shared" si="104"/>
        <v/>
      </c>
      <c r="W837" s="9" t="str">
        <f t="shared" si="105"/>
        <v/>
      </c>
      <c r="X837" s="10">
        <f>SUM(V$13:V837)/COUNTA(B$13:B837)</f>
        <v>0</v>
      </c>
      <c r="Z837" s="5"/>
      <c r="AA837" s="5"/>
      <c r="AC837" s="7"/>
      <c r="AE837" s="54" t="e">
        <f t="shared" si="106"/>
        <v>#N/A</v>
      </c>
      <c r="AF837" s="4" t="e">
        <f t="shared" si="102"/>
        <v>#N/A</v>
      </c>
    </row>
    <row r="838" spans="2:32">
      <c r="B838" s="5">
        <f t="shared" si="107"/>
        <v>826</v>
      </c>
      <c r="C838" s="5"/>
      <c r="E838" s="13"/>
      <c r="F838" s="5"/>
      <c r="G838" s="11" t="str">
        <f>IF(ISERROR(AVERAGE(F$13:F838)),"n/a",AVERAGE(F$13:F838))</f>
        <v>n/a</v>
      </c>
      <c r="H838" s="11" t="str">
        <f t="shared" si="103"/>
        <v>n/a</v>
      </c>
      <c r="J838" s="5"/>
      <c r="K838" s="5"/>
      <c r="L838" s="5"/>
      <c r="M838" s="5"/>
      <c r="N838" s="5"/>
      <c r="O838" s="8" t="str">
        <f t="shared" si="101"/>
        <v>n/a</v>
      </c>
      <c r="Q838" s="5"/>
      <c r="R838" s="5"/>
      <c r="S838" s="5"/>
      <c r="U838" s="6"/>
      <c r="V838" s="9" t="str">
        <f t="shared" si="104"/>
        <v/>
      </c>
      <c r="W838" s="9" t="str">
        <f t="shared" si="105"/>
        <v/>
      </c>
      <c r="X838" s="10">
        <f>SUM(V$13:V838)/COUNTA(B$13:B838)</f>
        <v>0</v>
      </c>
      <c r="Z838" s="5"/>
      <c r="AA838" s="5"/>
      <c r="AC838" s="7"/>
      <c r="AE838" s="54" t="e">
        <f t="shared" si="106"/>
        <v>#N/A</v>
      </c>
      <c r="AF838" s="4" t="e">
        <f t="shared" si="102"/>
        <v>#N/A</v>
      </c>
    </row>
    <row r="839" spans="2:32">
      <c r="B839" s="5">
        <f t="shared" si="107"/>
        <v>827</v>
      </c>
      <c r="C839" s="5"/>
      <c r="E839" s="13"/>
      <c r="F839" s="5"/>
      <c r="G839" s="11" t="str">
        <f>IF(ISERROR(AVERAGE(F$13:F839)),"n/a",AVERAGE(F$13:F839))</f>
        <v>n/a</v>
      </c>
      <c r="H839" s="11" t="str">
        <f t="shared" si="103"/>
        <v>n/a</v>
      </c>
      <c r="J839" s="5"/>
      <c r="K839" s="5"/>
      <c r="L839" s="5"/>
      <c r="M839" s="5"/>
      <c r="N839" s="5"/>
      <c r="O839" s="8" t="str">
        <f t="shared" si="101"/>
        <v>n/a</v>
      </c>
      <c r="Q839" s="5"/>
      <c r="R839" s="5"/>
      <c r="S839" s="5"/>
      <c r="U839" s="6"/>
      <c r="V839" s="9" t="str">
        <f t="shared" si="104"/>
        <v/>
      </c>
      <c r="W839" s="9" t="str">
        <f t="shared" si="105"/>
        <v/>
      </c>
      <c r="X839" s="10">
        <f>SUM(V$13:V839)/COUNTA(B$13:B839)</f>
        <v>0</v>
      </c>
      <c r="Z839" s="5"/>
      <c r="AA839" s="5"/>
      <c r="AC839" s="7"/>
      <c r="AE839" s="54" t="e">
        <f t="shared" si="106"/>
        <v>#N/A</v>
      </c>
      <c r="AF839" s="4" t="e">
        <f t="shared" si="102"/>
        <v>#N/A</v>
      </c>
    </row>
    <row r="840" spans="2:32">
      <c r="B840" s="5">
        <f t="shared" si="107"/>
        <v>828</v>
      </c>
      <c r="C840" s="5"/>
      <c r="E840" s="13"/>
      <c r="F840" s="5"/>
      <c r="G840" s="11" t="str">
        <f>IF(ISERROR(AVERAGE(F$13:F840)),"n/a",AVERAGE(F$13:F840))</f>
        <v>n/a</v>
      </c>
      <c r="H840" s="11" t="str">
        <f t="shared" si="103"/>
        <v>n/a</v>
      </c>
      <c r="J840" s="5"/>
      <c r="K840" s="5"/>
      <c r="L840" s="5"/>
      <c r="M840" s="5"/>
      <c r="N840" s="5"/>
      <c r="O840" s="8" t="str">
        <f t="shared" si="101"/>
        <v>n/a</v>
      </c>
      <c r="Q840" s="5"/>
      <c r="R840" s="5"/>
      <c r="S840" s="5"/>
      <c r="U840" s="6"/>
      <c r="V840" s="9" t="str">
        <f t="shared" si="104"/>
        <v/>
      </c>
      <c r="W840" s="9" t="str">
        <f t="shared" si="105"/>
        <v/>
      </c>
      <c r="X840" s="10">
        <f>SUM(V$13:V840)/COUNTA(B$13:B840)</f>
        <v>0</v>
      </c>
      <c r="Z840" s="5"/>
      <c r="AA840" s="5"/>
      <c r="AC840" s="7"/>
      <c r="AE840" s="54" t="e">
        <f t="shared" si="106"/>
        <v>#N/A</v>
      </c>
      <c r="AF840" s="4" t="e">
        <f t="shared" si="102"/>
        <v>#N/A</v>
      </c>
    </row>
    <row r="841" spans="2:32">
      <c r="B841" s="5">
        <f t="shared" si="107"/>
        <v>829</v>
      </c>
      <c r="C841" s="5"/>
      <c r="E841" s="13"/>
      <c r="F841" s="5"/>
      <c r="G841" s="11" t="str">
        <f>IF(ISERROR(AVERAGE(F$13:F841)),"n/a",AVERAGE(F$13:F841))</f>
        <v>n/a</v>
      </c>
      <c r="H841" s="11" t="str">
        <f t="shared" si="103"/>
        <v>n/a</v>
      </c>
      <c r="J841" s="5"/>
      <c r="K841" s="5"/>
      <c r="L841" s="5"/>
      <c r="M841" s="5"/>
      <c r="N841" s="5"/>
      <c r="O841" s="8" t="str">
        <f t="shared" si="101"/>
        <v>n/a</v>
      </c>
      <c r="Q841" s="5"/>
      <c r="R841" s="5"/>
      <c r="S841" s="5"/>
      <c r="U841" s="6"/>
      <c r="V841" s="9" t="str">
        <f t="shared" si="104"/>
        <v/>
      </c>
      <c r="W841" s="9" t="str">
        <f t="shared" si="105"/>
        <v/>
      </c>
      <c r="X841" s="10">
        <f>SUM(V$13:V841)/COUNTA(B$13:B841)</f>
        <v>0</v>
      </c>
      <c r="Z841" s="5"/>
      <c r="AA841" s="5"/>
      <c r="AC841" s="7"/>
      <c r="AE841" s="54" t="e">
        <f t="shared" si="106"/>
        <v>#N/A</v>
      </c>
      <c r="AF841" s="4" t="e">
        <f t="shared" si="102"/>
        <v>#N/A</v>
      </c>
    </row>
    <row r="842" spans="2:32">
      <c r="B842" s="5">
        <f t="shared" si="107"/>
        <v>830</v>
      </c>
      <c r="C842" s="5"/>
      <c r="E842" s="13"/>
      <c r="F842" s="5"/>
      <c r="G842" s="11" t="str">
        <f>IF(ISERROR(AVERAGE(F$13:F842)),"n/a",AVERAGE(F$13:F842))</f>
        <v>n/a</v>
      </c>
      <c r="H842" s="11" t="str">
        <f t="shared" si="103"/>
        <v>n/a</v>
      </c>
      <c r="J842" s="5"/>
      <c r="K842" s="5"/>
      <c r="L842" s="5"/>
      <c r="M842" s="5"/>
      <c r="N842" s="5"/>
      <c r="O842" s="8" t="str">
        <f t="shared" si="101"/>
        <v>n/a</v>
      </c>
      <c r="Q842" s="5"/>
      <c r="R842" s="5"/>
      <c r="S842" s="5"/>
      <c r="U842" s="6"/>
      <c r="V842" s="9" t="str">
        <f t="shared" si="104"/>
        <v/>
      </c>
      <c r="W842" s="9" t="str">
        <f t="shared" si="105"/>
        <v/>
      </c>
      <c r="X842" s="10">
        <f>SUM(V$13:V842)/COUNTA(B$13:B842)</f>
        <v>0</v>
      </c>
      <c r="Z842" s="5"/>
      <c r="AA842" s="5"/>
      <c r="AC842" s="7"/>
      <c r="AE842" s="54" t="e">
        <f t="shared" si="106"/>
        <v>#N/A</v>
      </c>
      <c r="AF842" s="4" t="e">
        <f t="shared" si="102"/>
        <v>#N/A</v>
      </c>
    </row>
    <row r="843" spans="2:32">
      <c r="B843" s="5">
        <f t="shared" si="107"/>
        <v>831</v>
      </c>
      <c r="C843" s="5"/>
      <c r="E843" s="13"/>
      <c r="F843" s="5"/>
      <c r="G843" s="11" t="str">
        <f>IF(ISERROR(AVERAGE(F$13:F843)),"n/a",AVERAGE(F$13:F843))</f>
        <v>n/a</v>
      </c>
      <c r="H843" s="11" t="str">
        <f t="shared" si="103"/>
        <v>n/a</v>
      </c>
      <c r="J843" s="5"/>
      <c r="K843" s="5"/>
      <c r="L843" s="5"/>
      <c r="M843" s="5"/>
      <c r="N843" s="5"/>
      <c r="O843" s="8" t="str">
        <f t="shared" si="101"/>
        <v>n/a</v>
      </c>
      <c r="Q843" s="5"/>
      <c r="R843" s="5"/>
      <c r="S843" s="5"/>
      <c r="U843" s="6"/>
      <c r="V843" s="9" t="str">
        <f t="shared" si="104"/>
        <v/>
      </c>
      <c r="W843" s="9" t="str">
        <f t="shared" si="105"/>
        <v/>
      </c>
      <c r="X843" s="10">
        <f>SUM(V$13:V843)/COUNTA(B$13:B843)</f>
        <v>0</v>
      </c>
      <c r="Z843" s="5"/>
      <c r="AA843" s="5"/>
      <c r="AC843" s="7"/>
      <c r="AE843" s="54" t="e">
        <f t="shared" si="106"/>
        <v>#N/A</v>
      </c>
      <c r="AF843" s="4" t="e">
        <f t="shared" si="102"/>
        <v>#N/A</v>
      </c>
    </row>
    <row r="844" spans="2:32">
      <c r="B844" s="5">
        <f t="shared" si="107"/>
        <v>832</v>
      </c>
      <c r="C844" s="5"/>
      <c r="E844" s="13"/>
      <c r="F844" s="5"/>
      <c r="G844" s="11" t="str">
        <f>IF(ISERROR(AVERAGE(F$13:F844)),"n/a",AVERAGE(F$13:F844))</f>
        <v>n/a</v>
      </c>
      <c r="H844" s="11" t="str">
        <f t="shared" si="103"/>
        <v>n/a</v>
      </c>
      <c r="J844" s="5"/>
      <c r="K844" s="5"/>
      <c r="L844" s="5"/>
      <c r="M844" s="5"/>
      <c r="N844" s="5"/>
      <c r="O844" s="8" t="str">
        <f t="shared" si="101"/>
        <v>n/a</v>
      </c>
      <c r="Q844" s="5"/>
      <c r="R844" s="5"/>
      <c r="S844" s="5"/>
      <c r="U844" s="6"/>
      <c r="V844" s="9" t="str">
        <f t="shared" si="104"/>
        <v/>
      </c>
      <c r="W844" s="9" t="str">
        <f t="shared" si="105"/>
        <v/>
      </c>
      <c r="X844" s="10">
        <f>SUM(V$13:V844)/COUNTA(B$13:B844)</f>
        <v>0</v>
      </c>
      <c r="Z844" s="5"/>
      <c r="AA844" s="5"/>
      <c r="AC844" s="7"/>
      <c r="AE844" s="54" t="e">
        <f t="shared" si="106"/>
        <v>#N/A</v>
      </c>
      <c r="AF844" s="4" t="e">
        <f t="shared" si="102"/>
        <v>#N/A</v>
      </c>
    </row>
    <row r="845" spans="2:32">
      <c r="B845" s="5">
        <f t="shared" si="107"/>
        <v>833</v>
      </c>
      <c r="C845" s="5"/>
      <c r="E845" s="13"/>
      <c r="F845" s="5"/>
      <c r="G845" s="11" t="str">
        <f>IF(ISERROR(AVERAGE(F$13:F845)),"n/a",AVERAGE(F$13:F845))</f>
        <v>n/a</v>
      </c>
      <c r="H845" s="11" t="str">
        <f t="shared" si="103"/>
        <v>n/a</v>
      </c>
      <c r="J845" s="5"/>
      <c r="K845" s="5"/>
      <c r="L845" s="5"/>
      <c r="M845" s="5"/>
      <c r="N845" s="5"/>
      <c r="O845" s="8" t="str">
        <f t="shared" ref="O845:O908" si="108">IF(J845=1,"A",IF(K845=1,"B",IF(L845=1,"C",IF(M845=1,"D",IF(N845=1,"E","n/a")))))</f>
        <v>n/a</v>
      </c>
      <c r="Q845" s="5"/>
      <c r="R845" s="5"/>
      <c r="S845" s="5"/>
      <c r="U845" s="6"/>
      <c r="V845" s="9" t="str">
        <f t="shared" si="104"/>
        <v/>
      </c>
      <c r="W845" s="9" t="str">
        <f t="shared" si="105"/>
        <v/>
      </c>
      <c r="X845" s="10">
        <f>SUM(V$13:V845)/COUNTA(B$13:B845)</f>
        <v>0</v>
      </c>
      <c r="Z845" s="5"/>
      <c r="AA845" s="5"/>
      <c r="AC845" s="7"/>
      <c r="AE845" s="54" t="e">
        <f t="shared" si="106"/>
        <v>#N/A</v>
      </c>
      <c r="AF845" s="4" t="e">
        <f t="shared" ref="AF845:AF908" si="109">HLOOKUP(C845,$K$6:$O$7,2,FALSE)</f>
        <v>#N/A</v>
      </c>
    </row>
    <row r="846" spans="2:32">
      <c r="B846" s="5">
        <f t="shared" si="107"/>
        <v>834</v>
      </c>
      <c r="C846" s="5"/>
      <c r="E846" s="13"/>
      <c r="F846" s="5"/>
      <c r="G846" s="11" t="str">
        <f>IF(ISERROR(AVERAGE(F$13:F846)),"n/a",AVERAGE(F$13:F846))</f>
        <v>n/a</v>
      </c>
      <c r="H846" s="11" t="str">
        <f t="shared" ref="H846:H909" si="110">G846</f>
        <v>n/a</v>
      </c>
      <c r="J846" s="5"/>
      <c r="K846" s="5"/>
      <c r="L846" s="5"/>
      <c r="M846" s="5"/>
      <c r="N846" s="5"/>
      <c r="O846" s="8" t="str">
        <f t="shared" si="108"/>
        <v>n/a</v>
      </c>
      <c r="Q846" s="5"/>
      <c r="R846" s="5"/>
      <c r="S846" s="5"/>
      <c r="U846" s="6"/>
      <c r="V846" s="9" t="str">
        <f t="shared" ref="V846:V909" si="111">IF(O846="n/a","",IF(O846=U846,1,""))</f>
        <v/>
      </c>
      <c r="W846" s="9" t="str">
        <f t="shared" ref="W846:W909" si="112">IF(O846="n/a","",IF(O846&lt;&gt;U846,1,""))</f>
        <v/>
      </c>
      <c r="X846" s="10">
        <f>SUM(V$13:V846)/COUNTA(B$13:B846)</f>
        <v>0</v>
      </c>
      <c r="Z846" s="5"/>
      <c r="AA846" s="5"/>
      <c r="AC846" s="7"/>
      <c r="AE846" s="54" t="e">
        <f t="shared" ref="AE846:AE909" si="113">+IF($F$4=0,0,IF(W846=1,1,IF(OR(R846*$F$8=1,S846*$F$9=1,F846&gt;=AF846),2,0)))</f>
        <v>#N/A</v>
      </c>
      <c r="AF846" s="4" t="e">
        <f t="shared" si="109"/>
        <v>#N/A</v>
      </c>
    </row>
    <row r="847" spans="2:32">
      <c r="B847" s="5">
        <f t="shared" si="107"/>
        <v>835</v>
      </c>
      <c r="C847" s="5"/>
      <c r="E847" s="13"/>
      <c r="F847" s="5"/>
      <c r="G847" s="11" t="str">
        <f>IF(ISERROR(AVERAGE(F$13:F847)),"n/a",AVERAGE(F$13:F847))</f>
        <v>n/a</v>
      </c>
      <c r="H847" s="11" t="str">
        <f t="shared" si="110"/>
        <v>n/a</v>
      </c>
      <c r="J847" s="5"/>
      <c r="K847" s="5"/>
      <c r="L847" s="5"/>
      <c r="M847" s="5"/>
      <c r="N847" s="5"/>
      <c r="O847" s="8" t="str">
        <f t="shared" si="108"/>
        <v>n/a</v>
      </c>
      <c r="Q847" s="5"/>
      <c r="R847" s="5"/>
      <c r="S847" s="5"/>
      <c r="U847" s="6"/>
      <c r="V847" s="9" t="str">
        <f t="shared" si="111"/>
        <v/>
      </c>
      <c r="W847" s="9" t="str">
        <f t="shared" si="112"/>
        <v/>
      </c>
      <c r="X847" s="10">
        <f>SUM(V$13:V847)/COUNTA(B$13:B847)</f>
        <v>0</v>
      </c>
      <c r="Z847" s="5"/>
      <c r="AA847" s="5"/>
      <c r="AC847" s="7"/>
      <c r="AE847" s="54" t="e">
        <f t="shared" si="113"/>
        <v>#N/A</v>
      </c>
      <c r="AF847" s="4" t="e">
        <f t="shared" si="109"/>
        <v>#N/A</v>
      </c>
    </row>
    <row r="848" spans="2:32">
      <c r="B848" s="5">
        <f t="shared" si="107"/>
        <v>836</v>
      </c>
      <c r="C848" s="5"/>
      <c r="E848" s="13"/>
      <c r="F848" s="5"/>
      <c r="G848" s="11" t="str">
        <f>IF(ISERROR(AVERAGE(F$13:F848)),"n/a",AVERAGE(F$13:F848))</f>
        <v>n/a</v>
      </c>
      <c r="H848" s="11" t="str">
        <f t="shared" si="110"/>
        <v>n/a</v>
      </c>
      <c r="J848" s="5"/>
      <c r="K848" s="5"/>
      <c r="L848" s="5"/>
      <c r="M848" s="5"/>
      <c r="N848" s="5"/>
      <c r="O848" s="8" t="str">
        <f t="shared" si="108"/>
        <v>n/a</v>
      </c>
      <c r="Q848" s="5"/>
      <c r="R848" s="5"/>
      <c r="S848" s="5"/>
      <c r="U848" s="6"/>
      <c r="V848" s="9" t="str">
        <f t="shared" si="111"/>
        <v/>
      </c>
      <c r="W848" s="9" t="str">
        <f t="shared" si="112"/>
        <v/>
      </c>
      <c r="X848" s="10">
        <f>SUM(V$13:V848)/COUNTA(B$13:B848)</f>
        <v>0</v>
      </c>
      <c r="Z848" s="5"/>
      <c r="AA848" s="5"/>
      <c r="AC848" s="7"/>
      <c r="AE848" s="54" t="e">
        <f t="shared" si="113"/>
        <v>#N/A</v>
      </c>
      <c r="AF848" s="4" t="e">
        <f t="shared" si="109"/>
        <v>#N/A</v>
      </c>
    </row>
    <row r="849" spans="2:32">
      <c r="B849" s="5">
        <f t="shared" si="107"/>
        <v>837</v>
      </c>
      <c r="C849" s="5"/>
      <c r="E849" s="13"/>
      <c r="F849" s="5"/>
      <c r="G849" s="11" t="str">
        <f>IF(ISERROR(AVERAGE(F$13:F849)),"n/a",AVERAGE(F$13:F849))</f>
        <v>n/a</v>
      </c>
      <c r="H849" s="11" t="str">
        <f t="shared" si="110"/>
        <v>n/a</v>
      </c>
      <c r="J849" s="5"/>
      <c r="K849" s="5"/>
      <c r="L849" s="5"/>
      <c r="M849" s="5"/>
      <c r="N849" s="5"/>
      <c r="O849" s="8" t="str">
        <f t="shared" si="108"/>
        <v>n/a</v>
      </c>
      <c r="Q849" s="5"/>
      <c r="R849" s="5"/>
      <c r="S849" s="5"/>
      <c r="U849" s="6"/>
      <c r="V849" s="9" t="str">
        <f t="shared" si="111"/>
        <v/>
      </c>
      <c r="W849" s="9" t="str">
        <f t="shared" si="112"/>
        <v/>
      </c>
      <c r="X849" s="10">
        <f>SUM(V$13:V849)/COUNTA(B$13:B849)</f>
        <v>0</v>
      </c>
      <c r="Z849" s="5"/>
      <c r="AA849" s="5"/>
      <c r="AC849" s="7"/>
      <c r="AE849" s="54" t="e">
        <f t="shared" si="113"/>
        <v>#N/A</v>
      </c>
      <c r="AF849" s="4" t="e">
        <f t="shared" si="109"/>
        <v>#N/A</v>
      </c>
    </row>
    <row r="850" spans="2:32">
      <c r="B850" s="5">
        <f t="shared" si="107"/>
        <v>838</v>
      </c>
      <c r="C850" s="5"/>
      <c r="E850" s="13"/>
      <c r="F850" s="5"/>
      <c r="G850" s="11" t="str">
        <f>IF(ISERROR(AVERAGE(F$13:F850)),"n/a",AVERAGE(F$13:F850))</f>
        <v>n/a</v>
      </c>
      <c r="H850" s="11" t="str">
        <f t="shared" si="110"/>
        <v>n/a</v>
      </c>
      <c r="J850" s="5"/>
      <c r="K850" s="5"/>
      <c r="L850" s="5"/>
      <c r="M850" s="5"/>
      <c r="N850" s="5"/>
      <c r="O850" s="8" t="str">
        <f t="shared" si="108"/>
        <v>n/a</v>
      </c>
      <c r="Q850" s="5"/>
      <c r="R850" s="5"/>
      <c r="S850" s="5"/>
      <c r="U850" s="6"/>
      <c r="V850" s="9" t="str">
        <f t="shared" si="111"/>
        <v/>
      </c>
      <c r="W850" s="9" t="str">
        <f t="shared" si="112"/>
        <v/>
      </c>
      <c r="X850" s="10">
        <f>SUM(V$13:V850)/COUNTA(B$13:B850)</f>
        <v>0</v>
      </c>
      <c r="Z850" s="5"/>
      <c r="AA850" s="5"/>
      <c r="AC850" s="7"/>
      <c r="AE850" s="54" t="e">
        <f t="shared" si="113"/>
        <v>#N/A</v>
      </c>
      <c r="AF850" s="4" t="e">
        <f t="shared" si="109"/>
        <v>#N/A</v>
      </c>
    </row>
    <row r="851" spans="2:32">
      <c r="B851" s="5">
        <f t="shared" ref="B851:B914" si="114">+B850+1</f>
        <v>839</v>
      </c>
      <c r="C851" s="5"/>
      <c r="E851" s="13"/>
      <c r="F851" s="5"/>
      <c r="G851" s="11" t="str">
        <f>IF(ISERROR(AVERAGE(F$13:F851)),"n/a",AVERAGE(F$13:F851))</f>
        <v>n/a</v>
      </c>
      <c r="H851" s="11" t="str">
        <f t="shared" si="110"/>
        <v>n/a</v>
      </c>
      <c r="J851" s="5"/>
      <c r="K851" s="5"/>
      <c r="L851" s="5"/>
      <c r="M851" s="5"/>
      <c r="N851" s="5"/>
      <c r="O851" s="8" t="str">
        <f t="shared" si="108"/>
        <v>n/a</v>
      </c>
      <c r="Q851" s="5"/>
      <c r="R851" s="5"/>
      <c r="S851" s="5"/>
      <c r="U851" s="6"/>
      <c r="V851" s="9" t="str">
        <f t="shared" si="111"/>
        <v/>
      </c>
      <c r="W851" s="9" t="str">
        <f t="shared" si="112"/>
        <v/>
      </c>
      <c r="X851" s="10">
        <f>SUM(V$13:V851)/COUNTA(B$13:B851)</f>
        <v>0</v>
      </c>
      <c r="Z851" s="5"/>
      <c r="AA851" s="5"/>
      <c r="AC851" s="7"/>
      <c r="AE851" s="54" t="e">
        <f t="shared" si="113"/>
        <v>#N/A</v>
      </c>
      <c r="AF851" s="4" t="e">
        <f t="shared" si="109"/>
        <v>#N/A</v>
      </c>
    </row>
    <row r="852" spans="2:32">
      <c r="B852" s="5">
        <f t="shared" si="114"/>
        <v>840</v>
      </c>
      <c r="C852" s="5"/>
      <c r="E852" s="13"/>
      <c r="F852" s="5"/>
      <c r="G852" s="11" t="str">
        <f>IF(ISERROR(AVERAGE(F$13:F852)),"n/a",AVERAGE(F$13:F852))</f>
        <v>n/a</v>
      </c>
      <c r="H852" s="11" t="str">
        <f t="shared" si="110"/>
        <v>n/a</v>
      </c>
      <c r="J852" s="5"/>
      <c r="K852" s="5"/>
      <c r="L852" s="5"/>
      <c r="M852" s="5"/>
      <c r="N852" s="5"/>
      <c r="O852" s="8" t="str">
        <f t="shared" si="108"/>
        <v>n/a</v>
      </c>
      <c r="Q852" s="5"/>
      <c r="R852" s="5"/>
      <c r="S852" s="5"/>
      <c r="U852" s="6"/>
      <c r="V852" s="9" t="str">
        <f t="shared" si="111"/>
        <v/>
      </c>
      <c r="W852" s="9" t="str">
        <f t="shared" si="112"/>
        <v/>
      </c>
      <c r="X852" s="10">
        <f>SUM(V$13:V852)/COUNTA(B$13:B852)</f>
        <v>0</v>
      </c>
      <c r="Z852" s="5"/>
      <c r="AA852" s="5"/>
      <c r="AC852" s="7"/>
      <c r="AE852" s="54" t="e">
        <f t="shared" si="113"/>
        <v>#N/A</v>
      </c>
      <c r="AF852" s="4" t="e">
        <f t="shared" si="109"/>
        <v>#N/A</v>
      </c>
    </row>
    <row r="853" spans="2:32">
      <c r="B853" s="5">
        <f t="shared" si="114"/>
        <v>841</v>
      </c>
      <c r="C853" s="5"/>
      <c r="E853" s="13"/>
      <c r="F853" s="5"/>
      <c r="G853" s="11" t="str">
        <f>IF(ISERROR(AVERAGE(F$13:F853)),"n/a",AVERAGE(F$13:F853))</f>
        <v>n/a</v>
      </c>
      <c r="H853" s="11" t="str">
        <f t="shared" si="110"/>
        <v>n/a</v>
      </c>
      <c r="J853" s="5"/>
      <c r="K853" s="5"/>
      <c r="L853" s="5"/>
      <c r="M853" s="5"/>
      <c r="N853" s="5"/>
      <c r="O853" s="8" t="str">
        <f t="shared" si="108"/>
        <v>n/a</v>
      </c>
      <c r="Q853" s="5"/>
      <c r="R853" s="5"/>
      <c r="S853" s="5"/>
      <c r="U853" s="6"/>
      <c r="V853" s="9" t="str">
        <f t="shared" si="111"/>
        <v/>
      </c>
      <c r="W853" s="9" t="str">
        <f t="shared" si="112"/>
        <v/>
      </c>
      <c r="X853" s="10">
        <f>SUM(V$13:V853)/COUNTA(B$13:B853)</f>
        <v>0</v>
      </c>
      <c r="Z853" s="5"/>
      <c r="AA853" s="5"/>
      <c r="AC853" s="7"/>
      <c r="AE853" s="54" t="e">
        <f t="shared" si="113"/>
        <v>#N/A</v>
      </c>
      <c r="AF853" s="4" t="e">
        <f t="shared" si="109"/>
        <v>#N/A</v>
      </c>
    </row>
    <row r="854" spans="2:32">
      <c r="B854" s="5">
        <f t="shared" si="114"/>
        <v>842</v>
      </c>
      <c r="C854" s="5"/>
      <c r="E854" s="13"/>
      <c r="F854" s="5"/>
      <c r="G854" s="11" t="str">
        <f>IF(ISERROR(AVERAGE(F$13:F854)),"n/a",AVERAGE(F$13:F854))</f>
        <v>n/a</v>
      </c>
      <c r="H854" s="11" t="str">
        <f t="shared" si="110"/>
        <v>n/a</v>
      </c>
      <c r="J854" s="5"/>
      <c r="K854" s="5"/>
      <c r="L854" s="5"/>
      <c r="M854" s="5"/>
      <c r="N854" s="5"/>
      <c r="O854" s="8" t="str">
        <f t="shared" si="108"/>
        <v>n/a</v>
      </c>
      <c r="Q854" s="5"/>
      <c r="R854" s="5"/>
      <c r="S854" s="5"/>
      <c r="U854" s="6"/>
      <c r="V854" s="9" t="str">
        <f t="shared" si="111"/>
        <v/>
      </c>
      <c r="W854" s="9" t="str">
        <f t="shared" si="112"/>
        <v/>
      </c>
      <c r="X854" s="10">
        <f>SUM(V$13:V854)/COUNTA(B$13:B854)</f>
        <v>0</v>
      </c>
      <c r="Z854" s="5"/>
      <c r="AA854" s="5"/>
      <c r="AC854" s="7"/>
      <c r="AE854" s="54" t="e">
        <f t="shared" si="113"/>
        <v>#N/A</v>
      </c>
      <c r="AF854" s="4" t="e">
        <f t="shared" si="109"/>
        <v>#N/A</v>
      </c>
    </row>
    <row r="855" spans="2:32">
      <c r="B855" s="5">
        <f t="shared" si="114"/>
        <v>843</v>
      </c>
      <c r="C855" s="5"/>
      <c r="E855" s="13"/>
      <c r="F855" s="5"/>
      <c r="G855" s="11" t="str">
        <f>IF(ISERROR(AVERAGE(F$13:F855)),"n/a",AVERAGE(F$13:F855))</f>
        <v>n/a</v>
      </c>
      <c r="H855" s="11" t="str">
        <f t="shared" si="110"/>
        <v>n/a</v>
      </c>
      <c r="J855" s="5"/>
      <c r="K855" s="5"/>
      <c r="L855" s="5"/>
      <c r="M855" s="5"/>
      <c r="N855" s="5"/>
      <c r="O855" s="8" t="str">
        <f t="shared" si="108"/>
        <v>n/a</v>
      </c>
      <c r="Q855" s="5"/>
      <c r="R855" s="5"/>
      <c r="S855" s="5"/>
      <c r="U855" s="6"/>
      <c r="V855" s="9" t="str">
        <f t="shared" si="111"/>
        <v/>
      </c>
      <c r="W855" s="9" t="str">
        <f t="shared" si="112"/>
        <v/>
      </c>
      <c r="X855" s="10">
        <f>SUM(V$13:V855)/COUNTA(B$13:B855)</f>
        <v>0</v>
      </c>
      <c r="Z855" s="5"/>
      <c r="AA855" s="5"/>
      <c r="AC855" s="7"/>
      <c r="AE855" s="54" t="e">
        <f t="shared" si="113"/>
        <v>#N/A</v>
      </c>
      <c r="AF855" s="4" t="e">
        <f t="shared" si="109"/>
        <v>#N/A</v>
      </c>
    </row>
    <row r="856" spans="2:32">
      <c r="B856" s="5">
        <f t="shared" si="114"/>
        <v>844</v>
      </c>
      <c r="C856" s="5"/>
      <c r="E856" s="13"/>
      <c r="F856" s="5"/>
      <c r="G856" s="11" t="str">
        <f>IF(ISERROR(AVERAGE(F$13:F856)),"n/a",AVERAGE(F$13:F856))</f>
        <v>n/a</v>
      </c>
      <c r="H856" s="11" t="str">
        <f t="shared" si="110"/>
        <v>n/a</v>
      </c>
      <c r="J856" s="5"/>
      <c r="K856" s="5"/>
      <c r="L856" s="5"/>
      <c r="M856" s="5"/>
      <c r="N856" s="5"/>
      <c r="O856" s="8" t="str">
        <f t="shared" si="108"/>
        <v>n/a</v>
      </c>
      <c r="Q856" s="5"/>
      <c r="R856" s="5"/>
      <c r="S856" s="5"/>
      <c r="U856" s="6"/>
      <c r="V856" s="9" t="str">
        <f t="shared" si="111"/>
        <v/>
      </c>
      <c r="W856" s="9" t="str">
        <f t="shared" si="112"/>
        <v/>
      </c>
      <c r="X856" s="10">
        <f>SUM(V$13:V856)/COUNTA(B$13:B856)</f>
        <v>0</v>
      </c>
      <c r="Z856" s="5"/>
      <c r="AA856" s="5"/>
      <c r="AC856" s="7"/>
      <c r="AE856" s="54" t="e">
        <f t="shared" si="113"/>
        <v>#N/A</v>
      </c>
      <c r="AF856" s="4" t="e">
        <f t="shared" si="109"/>
        <v>#N/A</v>
      </c>
    </row>
    <row r="857" spans="2:32">
      <c r="B857" s="5">
        <f t="shared" si="114"/>
        <v>845</v>
      </c>
      <c r="C857" s="5"/>
      <c r="E857" s="13"/>
      <c r="F857" s="5"/>
      <c r="G857" s="11" t="str">
        <f>IF(ISERROR(AVERAGE(F$13:F857)),"n/a",AVERAGE(F$13:F857))</f>
        <v>n/a</v>
      </c>
      <c r="H857" s="11" t="str">
        <f t="shared" si="110"/>
        <v>n/a</v>
      </c>
      <c r="J857" s="5"/>
      <c r="K857" s="5"/>
      <c r="L857" s="5"/>
      <c r="M857" s="5"/>
      <c r="N857" s="5"/>
      <c r="O857" s="8" t="str">
        <f t="shared" si="108"/>
        <v>n/a</v>
      </c>
      <c r="Q857" s="5"/>
      <c r="R857" s="5"/>
      <c r="S857" s="5"/>
      <c r="U857" s="6"/>
      <c r="V857" s="9" t="str">
        <f t="shared" si="111"/>
        <v/>
      </c>
      <c r="W857" s="9" t="str">
        <f t="shared" si="112"/>
        <v/>
      </c>
      <c r="X857" s="10">
        <f>SUM(V$13:V857)/COUNTA(B$13:B857)</f>
        <v>0</v>
      </c>
      <c r="Z857" s="5"/>
      <c r="AA857" s="5"/>
      <c r="AC857" s="7"/>
      <c r="AE857" s="54" t="e">
        <f t="shared" si="113"/>
        <v>#N/A</v>
      </c>
      <c r="AF857" s="4" t="e">
        <f t="shared" si="109"/>
        <v>#N/A</v>
      </c>
    </row>
    <row r="858" spans="2:32">
      <c r="B858" s="5">
        <f t="shared" si="114"/>
        <v>846</v>
      </c>
      <c r="C858" s="5"/>
      <c r="E858" s="13"/>
      <c r="F858" s="5"/>
      <c r="G858" s="11" t="str">
        <f>IF(ISERROR(AVERAGE(F$13:F858)),"n/a",AVERAGE(F$13:F858))</f>
        <v>n/a</v>
      </c>
      <c r="H858" s="11" t="str">
        <f t="shared" si="110"/>
        <v>n/a</v>
      </c>
      <c r="J858" s="5"/>
      <c r="K858" s="5"/>
      <c r="L858" s="5"/>
      <c r="M858" s="5"/>
      <c r="N858" s="5"/>
      <c r="O858" s="8" t="str">
        <f t="shared" si="108"/>
        <v>n/a</v>
      </c>
      <c r="Q858" s="5"/>
      <c r="R858" s="5"/>
      <c r="S858" s="5"/>
      <c r="U858" s="6"/>
      <c r="V858" s="9" t="str">
        <f t="shared" si="111"/>
        <v/>
      </c>
      <c r="W858" s="9" t="str">
        <f t="shared" si="112"/>
        <v/>
      </c>
      <c r="X858" s="10">
        <f>SUM(V$13:V858)/COUNTA(B$13:B858)</f>
        <v>0</v>
      </c>
      <c r="Z858" s="5"/>
      <c r="AA858" s="5"/>
      <c r="AC858" s="7"/>
      <c r="AE858" s="54" t="e">
        <f t="shared" si="113"/>
        <v>#N/A</v>
      </c>
      <c r="AF858" s="4" t="e">
        <f t="shared" si="109"/>
        <v>#N/A</v>
      </c>
    </row>
    <row r="859" spans="2:32">
      <c r="B859" s="5">
        <f t="shared" si="114"/>
        <v>847</v>
      </c>
      <c r="C859" s="5"/>
      <c r="E859" s="13"/>
      <c r="F859" s="5"/>
      <c r="G859" s="11" t="str">
        <f>IF(ISERROR(AVERAGE(F$13:F859)),"n/a",AVERAGE(F$13:F859))</f>
        <v>n/a</v>
      </c>
      <c r="H859" s="11" t="str">
        <f t="shared" si="110"/>
        <v>n/a</v>
      </c>
      <c r="J859" s="5"/>
      <c r="K859" s="5"/>
      <c r="L859" s="5"/>
      <c r="M859" s="5"/>
      <c r="N859" s="5"/>
      <c r="O859" s="8" t="str">
        <f t="shared" si="108"/>
        <v>n/a</v>
      </c>
      <c r="Q859" s="5"/>
      <c r="R859" s="5"/>
      <c r="S859" s="5"/>
      <c r="U859" s="6"/>
      <c r="V859" s="9" t="str">
        <f t="shared" si="111"/>
        <v/>
      </c>
      <c r="W859" s="9" t="str">
        <f t="shared" si="112"/>
        <v/>
      </c>
      <c r="X859" s="10">
        <f>SUM(V$13:V859)/COUNTA(B$13:B859)</f>
        <v>0</v>
      </c>
      <c r="Z859" s="5"/>
      <c r="AA859" s="5"/>
      <c r="AC859" s="7"/>
      <c r="AE859" s="54" t="e">
        <f t="shared" si="113"/>
        <v>#N/A</v>
      </c>
      <c r="AF859" s="4" t="e">
        <f t="shared" si="109"/>
        <v>#N/A</v>
      </c>
    </row>
    <row r="860" spans="2:32">
      <c r="B860" s="5">
        <f t="shared" si="114"/>
        <v>848</v>
      </c>
      <c r="C860" s="5"/>
      <c r="E860" s="13"/>
      <c r="F860" s="5"/>
      <c r="G860" s="11" t="str">
        <f>IF(ISERROR(AVERAGE(F$13:F860)),"n/a",AVERAGE(F$13:F860))</f>
        <v>n/a</v>
      </c>
      <c r="H860" s="11" t="str">
        <f t="shared" si="110"/>
        <v>n/a</v>
      </c>
      <c r="J860" s="5"/>
      <c r="K860" s="5"/>
      <c r="L860" s="5"/>
      <c r="M860" s="5"/>
      <c r="N860" s="5"/>
      <c r="O860" s="8" t="str">
        <f t="shared" si="108"/>
        <v>n/a</v>
      </c>
      <c r="Q860" s="5"/>
      <c r="R860" s="5"/>
      <c r="S860" s="5"/>
      <c r="U860" s="6"/>
      <c r="V860" s="9" t="str">
        <f t="shared" si="111"/>
        <v/>
      </c>
      <c r="W860" s="9" t="str">
        <f t="shared" si="112"/>
        <v/>
      </c>
      <c r="X860" s="10">
        <f>SUM(V$13:V860)/COUNTA(B$13:B860)</f>
        <v>0</v>
      </c>
      <c r="Z860" s="5"/>
      <c r="AA860" s="5"/>
      <c r="AC860" s="7"/>
      <c r="AE860" s="54" t="e">
        <f t="shared" si="113"/>
        <v>#N/A</v>
      </c>
      <c r="AF860" s="4" t="e">
        <f t="shared" si="109"/>
        <v>#N/A</v>
      </c>
    </row>
    <row r="861" spans="2:32">
      <c r="B861" s="5">
        <f t="shared" si="114"/>
        <v>849</v>
      </c>
      <c r="C861" s="5"/>
      <c r="E861" s="13"/>
      <c r="F861" s="5"/>
      <c r="G861" s="11" t="str">
        <f>IF(ISERROR(AVERAGE(F$13:F861)),"n/a",AVERAGE(F$13:F861))</f>
        <v>n/a</v>
      </c>
      <c r="H861" s="11" t="str">
        <f t="shared" si="110"/>
        <v>n/a</v>
      </c>
      <c r="J861" s="5"/>
      <c r="K861" s="5"/>
      <c r="L861" s="5"/>
      <c r="M861" s="5"/>
      <c r="N861" s="5"/>
      <c r="O861" s="8" t="str">
        <f t="shared" si="108"/>
        <v>n/a</v>
      </c>
      <c r="Q861" s="5"/>
      <c r="R861" s="5"/>
      <c r="S861" s="5"/>
      <c r="U861" s="6"/>
      <c r="V861" s="9" t="str">
        <f t="shared" si="111"/>
        <v/>
      </c>
      <c r="W861" s="9" t="str">
        <f t="shared" si="112"/>
        <v/>
      </c>
      <c r="X861" s="10">
        <f>SUM(V$13:V861)/COUNTA(B$13:B861)</f>
        <v>0</v>
      </c>
      <c r="Z861" s="5"/>
      <c r="AA861" s="5"/>
      <c r="AC861" s="7"/>
      <c r="AE861" s="54" t="e">
        <f t="shared" si="113"/>
        <v>#N/A</v>
      </c>
      <c r="AF861" s="4" t="e">
        <f t="shared" si="109"/>
        <v>#N/A</v>
      </c>
    </row>
    <row r="862" spans="2:32">
      <c r="B862" s="5">
        <f t="shared" si="114"/>
        <v>850</v>
      </c>
      <c r="C862" s="5"/>
      <c r="E862" s="13"/>
      <c r="F862" s="5"/>
      <c r="G862" s="11" t="str">
        <f>IF(ISERROR(AVERAGE(F$13:F862)),"n/a",AVERAGE(F$13:F862))</f>
        <v>n/a</v>
      </c>
      <c r="H862" s="11" t="str">
        <f t="shared" si="110"/>
        <v>n/a</v>
      </c>
      <c r="J862" s="5"/>
      <c r="K862" s="5"/>
      <c r="L862" s="5"/>
      <c r="M862" s="5"/>
      <c r="N862" s="5"/>
      <c r="O862" s="8" t="str">
        <f t="shared" si="108"/>
        <v>n/a</v>
      </c>
      <c r="Q862" s="5"/>
      <c r="R862" s="5"/>
      <c r="S862" s="5"/>
      <c r="U862" s="6"/>
      <c r="V862" s="9" t="str">
        <f t="shared" si="111"/>
        <v/>
      </c>
      <c r="W862" s="9" t="str">
        <f t="shared" si="112"/>
        <v/>
      </c>
      <c r="X862" s="10">
        <f>SUM(V$13:V862)/COUNTA(B$13:B862)</f>
        <v>0</v>
      </c>
      <c r="Z862" s="5"/>
      <c r="AA862" s="5"/>
      <c r="AC862" s="7"/>
      <c r="AE862" s="54" t="e">
        <f t="shared" si="113"/>
        <v>#N/A</v>
      </c>
      <c r="AF862" s="4" t="e">
        <f t="shared" si="109"/>
        <v>#N/A</v>
      </c>
    </row>
    <row r="863" spans="2:32">
      <c r="B863" s="5">
        <f t="shared" si="114"/>
        <v>851</v>
      </c>
      <c r="C863" s="5"/>
      <c r="E863" s="13"/>
      <c r="F863" s="5"/>
      <c r="G863" s="11" t="str">
        <f>IF(ISERROR(AVERAGE(F$13:F863)),"n/a",AVERAGE(F$13:F863))</f>
        <v>n/a</v>
      </c>
      <c r="H863" s="11" t="str">
        <f t="shared" si="110"/>
        <v>n/a</v>
      </c>
      <c r="J863" s="5"/>
      <c r="K863" s="5"/>
      <c r="L863" s="5"/>
      <c r="M863" s="5"/>
      <c r="N863" s="5"/>
      <c r="O863" s="8" t="str">
        <f t="shared" si="108"/>
        <v>n/a</v>
      </c>
      <c r="Q863" s="5"/>
      <c r="R863" s="5"/>
      <c r="S863" s="5"/>
      <c r="U863" s="6"/>
      <c r="V863" s="9" t="str">
        <f t="shared" si="111"/>
        <v/>
      </c>
      <c r="W863" s="9" t="str">
        <f t="shared" si="112"/>
        <v/>
      </c>
      <c r="X863" s="10">
        <f>SUM(V$13:V863)/COUNTA(B$13:B863)</f>
        <v>0</v>
      </c>
      <c r="Z863" s="5"/>
      <c r="AA863" s="5"/>
      <c r="AC863" s="7"/>
      <c r="AE863" s="54" t="e">
        <f t="shared" si="113"/>
        <v>#N/A</v>
      </c>
      <c r="AF863" s="4" t="e">
        <f t="shared" si="109"/>
        <v>#N/A</v>
      </c>
    </row>
    <row r="864" spans="2:32">
      <c r="B864" s="5">
        <f t="shared" si="114"/>
        <v>852</v>
      </c>
      <c r="C864" s="5"/>
      <c r="E864" s="13"/>
      <c r="F864" s="5"/>
      <c r="G864" s="11" t="str">
        <f>IF(ISERROR(AVERAGE(F$13:F864)),"n/a",AVERAGE(F$13:F864))</f>
        <v>n/a</v>
      </c>
      <c r="H864" s="11" t="str">
        <f t="shared" si="110"/>
        <v>n/a</v>
      </c>
      <c r="J864" s="5"/>
      <c r="K864" s="5"/>
      <c r="L864" s="5"/>
      <c r="M864" s="5"/>
      <c r="N864" s="5"/>
      <c r="O864" s="8" t="str">
        <f t="shared" si="108"/>
        <v>n/a</v>
      </c>
      <c r="Q864" s="5"/>
      <c r="R864" s="5"/>
      <c r="S864" s="5"/>
      <c r="U864" s="6"/>
      <c r="V864" s="9" t="str">
        <f t="shared" si="111"/>
        <v/>
      </c>
      <c r="W864" s="9" t="str">
        <f t="shared" si="112"/>
        <v/>
      </c>
      <c r="X864" s="10">
        <f>SUM(V$13:V864)/COUNTA(B$13:B864)</f>
        <v>0</v>
      </c>
      <c r="Z864" s="5"/>
      <c r="AA864" s="5"/>
      <c r="AC864" s="7"/>
      <c r="AE864" s="54" t="e">
        <f t="shared" si="113"/>
        <v>#N/A</v>
      </c>
      <c r="AF864" s="4" t="e">
        <f t="shared" si="109"/>
        <v>#N/A</v>
      </c>
    </row>
    <row r="865" spans="2:32">
      <c r="B865" s="5">
        <f t="shared" si="114"/>
        <v>853</v>
      </c>
      <c r="C865" s="5"/>
      <c r="E865" s="13"/>
      <c r="F865" s="5"/>
      <c r="G865" s="11" t="str">
        <f>IF(ISERROR(AVERAGE(F$13:F865)),"n/a",AVERAGE(F$13:F865))</f>
        <v>n/a</v>
      </c>
      <c r="H865" s="11" t="str">
        <f t="shared" si="110"/>
        <v>n/a</v>
      </c>
      <c r="J865" s="5"/>
      <c r="K865" s="5"/>
      <c r="L865" s="5"/>
      <c r="M865" s="5"/>
      <c r="N865" s="5"/>
      <c r="O865" s="8" t="str">
        <f t="shared" si="108"/>
        <v>n/a</v>
      </c>
      <c r="Q865" s="5"/>
      <c r="R865" s="5"/>
      <c r="S865" s="5"/>
      <c r="U865" s="6"/>
      <c r="V865" s="9" t="str">
        <f t="shared" si="111"/>
        <v/>
      </c>
      <c r="W865" s="9" t="str">
        <f t="shared" si="112"/>
        <v/>
      </c>
      <c r="X865" s="10">
        <f>SUM(V$13:V865)/COUNTA(B$13:B865)</f>
        <v>0</v>
      </c>
      <c r="Z865" s="5"/>
      <c r="AA865" s="5"/>
      <c r="AC865" s="7"/>
      <c r="AE865" s="54" t="e">
        <f t="shared" si="113"/>
        <v>#N/A</v>
      </c>
      <c r="AF865" s="4" t="e">
        <f t="shared" si="109"/>
        <v>#N/A</v>
      </c>
    </row>
    <row r="866" spans="2:32">
      <c r="B866" s="5">
        <f t="shared" si="114"/>
        <v>854</v>
      </c>
      <c r="C866" s="5"/>
      <c r="E866" s="13"/>
      <c r="F866" s="5"/>
      <c r="G866" s="11" t="str">
        <f>IF(ISERROR(AVERAGE(F$13:F866)),"n/a",AVERAGE(F$13:F866))</f>
        <v>n/a</v>
      </c>
      <c r="H866" s="11" t="str">
        <f t="shared" si="110"/>
        <v>n/a</v>
      </c>
      <c r="J866" s="5"/>
      <c r="K866" s="5"/>
      <c r="L866" s="5"/>
      <c r="M866" s="5"/>
      <c r="N866" s="5"/>
      <c r="O866" s="8" t="str">
        <f t="shared" si="108"/>
        <v>n/a</v>
      </c>
      <c r="Q866" s="5"/>
      <c r="R866" s="5"/>
      <c r="S866" s="5"/>
      <c r="U866" s="6"/>
      <c r="V866" s="9" t="str">
        <f t="shared" si="111"/>
        <v/>
      </c>
      <c r="W866" s="9" t="str">
        <f t="shared" si="112"/>
        <v/>
      </c>
      <c r="X866" s="10">
        <f>SUM(V$13:V866)/COUNTA(B$13:B866)</f>
        <v>0</v>
      </c>
      <c r="Z866" s="5"/>
      <c r="AA866" s="5"/>
      <c r="AC866" s="7"/>
      <c r="AE866" s="54" t="e">
        <f t="shared" si="113"/>
        <v>#N/A</v>
      </c>
      <c r="AF866" s="4" t="e">
        <f t="shared" si="109"/>
        <v>#N/A</v>
      </c>
    </row>
    <row r="867" spans="2:32">
      <c r="B867" s="5">
        <f t="shared" si="114"/>
        <v>855</v>
      </c>
      <c r="C867" s="5"/>
      <c r="E867" s="13"/>
      <c r="F867" s="5"/>
      <c r="G867" s="11" t="str">
        <f>IF(ISERROR(AVERAGE(F$13:F867)),"n/a",AVERAGE(F$13:F867))</f>
        <v>n/a</v>
      </c>
      <c r="H867" s="11" t="str">
        <f t="shared" si="110"/>
        <v>n/a</v>
      </c>
      <c r="J867" s="5"/>
      <c r="K867" s="5"/>
      <c r="L867" s="5"/>
      <c r="M867" s="5"/>
      <c r="N867" s="5"/>
      <c r="O867" s="8" t="str">
        <f t="shared" si="108"/>
        <v>n/a</v>
      </c>
      <c r="Q867" s="5"/>
      <c r="R867" s="5"/>
      <c r="S867" s="5"/>
      <c r="U867" s="6"/>
      <c r="V867" s="9" t="str">
        <f t="shared" si="111"/>
        <v/>
      </c>
      <c r="W867" s="9" t="str">
        <f t="shared" si="112"/>
        <v/>
      </c>
      <c r="X867" s="10">
        <f>SUM(V$13:V867)/COUNTA(B$13:B867)</f>
        <v>0</v>
      </c>
      <c r="Z867" s="5"/>
      <c r="AA867" s="5"/>
      <c r="AC867" s="7"/>
      <c r="AE867" s="54" t="e">
        <f t="shared" si="113"/>
        <v>#N/A</v>
      </c>
      <c r="AF867" s="4" t="e">
        <f t="shared" si="109"/>
        <v>#N/A</v>
      </c>
    </row>
    <row r="868" spans="2:32">
      <c r="B868" s="5">
        <f t="shared" si="114"/>
        <v>856</v>
      </c>
      <c r="C868" s="5"/>
      <c r="E868" s="13"/>
      <c r="F868" s="5"/>
      <c r="G868" s="11" t="str">
        <f>IF(ISERROR(AVERAGE(F$13:F868)),"n/a",AVERAGE(F$13:F868))</f>
        <v>n/a</v>
      </c>
      <c r="H868" s="11" t="str">
        <f t="shared" si="110"/>
        <v>n/a</v>
      </c>
      <c r="J868" s="5"/>
      <c r="K868" s="5"/>
      <c r="L868" s="5"/>
      <c r="M868" s="5"/>
      <c r="N868" s="5"/>
      <c r="O868" s="8" t="str">
        <f t="shared" si="108"/>
        <v>n/a</v>
      </c>
      <c r="Q868" s="5"/>
      <c r="R868" s="5"/>
      <c r="S868" s="5"/>
      <c r="U868" s="6"/>
      <c r="V868" s="9" t="str">
        <f t="shared" si="111"/>
        <v/>
      </c>
      <c r="W868" s="9" t="str">
        <f t="shared" si="112"/>
        <v/>
      </c>
      <c r="X868" s="10">
        <f>SUM(V$13:V868)/COUNTA(B$13:B868)</f>
        <v>0</v>
      </c>
      <c r="Z868" s="5"/>
      <c r="AA868" s="5"/>
      <c r="AC868" s="7"/>
      <c r="AE868" s="54" t="e">
        <f t="shared" si="113"/>
        <v>#N/A</v>
      </c>
      <c r="AF868" s="4" t="e">
        <f t="shared" si="109"/>
        <v>#N/A</v>
      </c>
    </row>
    <row r="869" spans="2:32">
      <c r="B869" s="5">
        <f t="shared" si="114"/>
        <v>857</v>
      </c>
      <c r="C869" s="5"/>
      <c r="E869" s="13"/>
      <c r="F869" s="5"/>
      <c r="G869" s="11" t="str">
        <f>IF(ISERROR(AVERAGE(F$13:F869)),"n/a",AVERAGE(F$13:F869))</f>
        <v>n/a</v>
      </c>
      <c r="H869" s="11" t="str">
        <f t="shared" si="110"/>
        <v>n/a</v>
      </c>
      <c r="J869" s="5"/>
      <c r="K869" s="5"/>
      <c r="L869" s="5"/>
      <c r="M869" s="5"/>
      <c r="N869" s="5"/>
      <c r="O869" s="8" t="str">
        <f t="shared" si="108"/>
        <v>n/a</v>
      </c>
      <c r="Q869" s="5"/>
      <c r="R869" s="5"/>
      <c r="S869" s="5"/>
      <c r="U869" s="6"/>
      <c r="V869" s="9" t="str">
        <f t="shared" si="111"/>
        <v/>
      </c>
      <c r="W869" s="9" t="str">
        <f t="shared" si="112"/>
        <v/>
      </c>
      <c r="X869" s="10">
        <f>SUM(V$13:V869)/COUNTA(B$13:B869)</f>
        <v>0</v>
      </c>
      <c r="Z869" s="5"/>
      <c r="AA869" s="5"/>
      <c r="AC869" s="7"/>
      <c r="AE869" s="54" t="e">
        <f t="shared" si="113"/>
        <v>#N/A</v>
      </c>
      <c r="AF869" s="4" t="e">
        <f t="shared" si="109"/>
        <v>#N/A</v>
      </c>
    </row>
    <row r="870" spans="2:32">
      <c r="B870" s="5">
        <f t="shared" si="114"/>
        <v>858</v>
      </c>
      <c r="C870" s="5"/>
      <c r="E870" s="13"/>
      <c r="F870" s="5"/>
      <c r="G870" s="11" t="str">
        <f>IF(ISERROR(AVERAGE(F$13:F870)),"n/a",AVERAGE(F$13:F870))</f>
        <v>n/a</v>
      </c>
      <c r="H870" s="11" t="str">
        <f t="shared" si="110"/>
        <v>n/a</v>
      </c>
      <c r="J870" s="5"/>
      <c r="K870" s="5"/>
      <c r="L870" s="5"/>
      <c r="M870" s="5"/>
      <c r="N870" s="5"/>
      <c r="O870" s="8" t="str">
        <f t="shared" si="108"/>
        <v>n/a</v>
      </c>
      <c r="Q870" s="5"/>
      <c r="R870" s="5"/>
      <c r="S870" s="5"/>
      <c r="U870" s="6"/>
      <c r="V870" s="9" t="str">
        <f t="shared" si="111"/>
        <v/>
      </c>
      <c r="W870" s="9" t="str">
        <f t="shared" si="112"/>
        <v/>
      </c>
      <c r="X870" s="10">
        <f>SUM(V$13:V870)/COUNTA(B$13:B870)</f>
        <v>0</v>
      </c>
      <c r="Z870" s="5"/>
      <c r="AA870" s="5"/>
      <c r="AC870" s="7"/>
      <c r="AE870" s="54" t="e">
        <f t="shared" si="113"/>
        <v>#N/A</v>
      </c>
      <c r="AF870" s="4" t="e">
        <f t="shared" si="109"/>
        <v>#N/A</v>
      </c>
    </row>
    <row r="871" spans="2:32">
      <c r="B871" s="5">
        <f t="shared" si="114"/>
        <v>859</v>
      </c>
      <c r="C871" s="5"/>
      <c r="E871" s="13"/>
      <c r="F871" s="5"/>
      <c r="G871" s="11" t="str">
        <f>IF(ISERROR(AVERAGE(F$13:F871)),"n/a",AVERAGE(F$13:F871))</f>
        <v>n/a</v>
      </c>
      <c r="H871" s="11" t="str">
        <f t="shared" si="110"/>
        <v>n/a</v>
      </c>
      <c r="J871" s="5"/>
      <c r="K871" s="5"/>
      <c r="L871" s="5"/>
      <c r="M871" s="5"/>
      <c r="N871" s="5"/>
      <c r="O871" s="8" t="str">
        <f t="shared" si="108"/>
        <v>n/a</v>
      </c>
      <c r="Q871" s="5"/>
      <c r="R871" s="5"/>
      <c r="S871" s="5"/>
      <c r="U871" s="6"/>
      <c r="V871" s="9" t="str">
        <f t="shared" si="111"/>
        <v/>
      </c>
      <c r="W871" s="9" t="str">
        <f t="shared" si="112"/>
        <v/>
      </c>
      <c r="X871" s="10">
        <f>SUM(V$13:V871)/COUNTA(B$13:B871)</f>
        <v>0</v>
      </c>
      <c r="Z871" s="5"/>
      <c r="AA871" s="5"/>
      <c r="AC871" s="7"/>
      <c r="AE871" s="54" t="e">
        <f t="shared" si="113"/>
        <v>#N/A</v>
      </c>
      <c r="AF871" s="4" t="e">
        <f t="shared" si="109"/>
        <v>#N/A</v>
      </c>
    </row>
    <row r="872" spans="2:32">
      <c r="B872" s="5">
        <f t="shared" si="114"/>
        <v>860</v>
      </c>
      <c r="C872" s="5"/>
      <c r="E872" s="13"/>
      <c r="F872" s="5"/>
      <c r="G872" s="11" t="str">
        <f>IF(ISERROR(AVERAGE(F$13:F872)),"n/a",AVERAGE(F$13:F872))</f>
        <v>n/a</v>
      </c>
      <c r="H872" s="11" t="str">
        <f t="shared" si="110"/>
        <v>n/a</v>
      </c>
      <c r="J872" s="5"/>
      <c r="K872" s="5"/>
      <c r="L872" s="5"/>
      <c r="M872" s="5"/>
      <c r="N872" s="5"/>
      <c r="O872" s="8" t="str">
        <f t="shared" si="108"/>
        <v>n/a</v>
      </c>
      <c r="Q872" s="5"/>
      <c r="R872" s="5"/>
      <c r="S872" s="5"/>
      <c r="U872" s="6"/>
      <c r="V872" s="9" t="str">
        <f t="shared" si="111"/>
        <v/>
      </c>
      <c r="W872" s="9" t="str">
        <f t="shared" si="112"/>
        <v/>
      </c>
      <c r="X872" s="10">
        <f>SUM(V$13:V872)/COUNTA(B$13:B872)</f>
        <v>0</v>
      </c>
      <c r="Z872" s="5"/>
      <c r="AA872" s="5"/>
      <c r="AC872" s="7"/>
      <c r="AE872" s="54" t="e">
        <f t="shared" si="113"/>
        <v>#N/A</v>
      </c>
      <c r="AF872" s="4" t="e">
        <f t="shared" si="109"/>
        <v>#N/A</v>
      </c>
    </row>
    <row r="873" spans="2:32">
      <c r="B873" s="5">
        <f t="shared" si="114"/>
        <v>861</v>
      </c>
      <c r="C873" s="5"/>
      <c r="E873" s="13"/>
      <c r="F873" s="5"/>
      <c r="G873" s="11" t="str">
        <f>IF(ISERROR(AVERAGE(F$13:F873)),"n/a",AVERAGE(F$13:F873))</f>
        <v>n/a</v>
      </c>
      <c r="H873" s="11" t="str">
        <f t="shared" si="110"/>
        <v>n/a</v>
      </c>
      <c r="J873" s="5"/>
      <c r="K873" s="5"/>
      <c r="L873" s="5"/>
      <c r="M873" s="5"/>
      <c r="N873" s="5"/>
      <c r="O873" s="8" t="str">
        <f t="shared" si="108"/>
        <v>n/a</v>
      </c>
      <c r="Q873" s="5"/>
      <c r="R873" s="5"/>
      <c r="S873" s="5"/>
      <c r="U873" s="6"/>
      <c r="V873" s="9" t="str">
        <f t="shared" si="111"/>
        <v/>
      </c>
      <c r="W873" s="9" t="str">
        <f t="shared" si="112"/>
        <v/>
      </c>
      <c r="X873" s="10">
        <f>SUM(V$13:V873)/COUNTA(B$13:B873)</f>
        <v>0</v>
      </c>
      <c r="Z873" s="5"/>
      <c r="AA873" s="5"/>
      <c r="AC873" s="7"/>
      <c r="AE873" s="54" t="e">
        <f t="shared" si="113"/>
        <v>#N/A</v>
      </c>
      <c r="AF873" s="4" t="e">
        <f t="shared" si="109"/>
        <v>#N/A</v>
      </c>
    </row>
    <row r="874" spans="2:32">
      <c r="B874" s="5">
        <f t="shared" si="114"/>
        <v>862</v>
      </c>
      <c r="C874" s="5"/>
      <c r="E874" s="13"/>
      <c r="F874" s="5"/>
      <c r="G874" s="11" t="str">
        <f>IF(ISERROR(AVERAGE(F$13:F874)),"n/a",AVERAGE(F$13:F874))</f>
        <v>n/a</v>
      </c>
      <c r="H874" s="11" t="str">
        <f t="shared" si="110"/>
        <v>n/a</v>
      </c>
      <c r="J874" s="5"/>
      <c r="K874" s="5"/>
      <c r="L874" s="5"/>
      <c r="M874" s="5"/>
      <c r="N874" s="5"/>
      <c r="O874" s="8" t="str">
        <f t="shared" si="108"/>
        <v>n/a</v>
      </c>
      <c r="Q874" s="5"/>
      <c r="R874" s="5"/>
      <c r="S874" s="5"/>
      <c r="U874" s="6"/>
      <c r="V874" s="9" t="str">
        <f t="shared" si="111"/>
        <v/>
      </c>
      <c r="W874" s="9" t="str">
        <f t="shared" si="112"/>
        <v/>
      </c>
      <c r="X874" s="10">
        <f>SUM(V$13:V874)/COUNTA(B$13:B874)</f>
        <v>0</v>
      </c>
      <c r="Z874" s="5"/>
      <c r="AA874" s="5"/>
      <c r="AC874" s="7"/>
      <c r="AE874" s="54" t="e">
        <f t="shared" si="113"/>
        <v>#N/A</v>
      </c>
      <c r="AF874" s="4" t="e">
        <f t="shared" si="109"/>
        <v>#N/A</v>
      </c>
    </row>
    <row r="875" spans="2:32">
      <c r="B875" s="5">
        <f t="shared" si="114"/>
        <v>863</v>
      </c>
      <c r="C875" s="5"/>
      <c r="E875" s="13"/>
      <c r="F875" s="5"/>
      <c r="G875" s="11" t="str">
        <f>IF(ISERROR(AVERAGE(F$13:F875)),"n/a",AVERAGE(F$13:F875))</f>
        <v>n/a</v>
      </c>
      <c r="H875" s="11" t="str">
        <f t="shared" si="110"/>
        <v>n/a</v>
      </c>
      <c r="J875" s="5"/>
      <c r="K875" s="5"/>
      <c r="L875" s="5"/>
      <c r="M875" s="5"/>
      <c r="N875" s="5"/>
      <c r="O875" s="8" t="str">
        <f t="shared" si="108"/>
        <v>n/a</v>
      </c>
      <c r="Q875" s="5"/>
      <c r="R875" s="5"/>
      <c r="S875" s="5"/>
      <c r="U875" s="6"/>
      <c r="V875" s="9" t="str">
        <f t="shared" si="111"/>
        <v/>
      </c>
      <c r="W875" s="9" t="str">
        <f t="shared" si="112"/>
        <v/>
      </c>
      <c r="X875" s="10">
        <f>SUM(V$13:V875)/COUNTA(B$13:B875)</f>
        <v>0</v>
      </c>
      <c r="Z875" s="5"/>
      <c r="AA875" s="5"/>
      <c r="AC875" s="7"/>
      <c r="AE875" s="54" t="e">
        <f t="shared" si="113"/>
        <v>#N/A</v>
      </c>
      <c r="AF875" s="4" t="e">
        <f t="shared" si="109"/>
        <v>#N/A</v>
      </c>
    </row>
    <row r="876" spans="2:32">
      <c r="B876" s="5">
        <f t="shared" si="114"/>
        <v>864</v>
      </c>
      <c r="C876" s="5"/>
      <c r="E876" s="13"/>
      <c r="F876" s="5"/>
      <c r="G876" s="11" t="str">
        <f>IF(ISERROR(AVERAGE(F$13:F876)),"n/a",AVERAGE(F$13:F876))</f>
        <v>n/a</v>
      </c>
      <c r="H876" s="11" t="str">
        <f t="shared" si="110"/>
        <v>n/a</v>
      </c>
      <c r="J876" s="5"/>
      <c r="K876" s="5"/>
      <c r="L876" s="5"/>
      <c r="M876" s="5"/>
      <c r="N876" s="5"/>
      <c r="O876" s="8" t="str">
        <f t="shared" si="108"/>
        <v>n/a</v>
      </c>
      <c r="Q876" s="5"/>
      <c r="R876" s="5"/>
      <c r="S876" s="5"/>
      <c r="U876" s="6"/>
      <c r="V876" s="9" t="str">
        <f t="shared" si="111"/>
        <v/>
      </c>
      <c r="W876" s="9" t="str">
        <f t="shared" si="112"/>
        <v/>
      </c>
      <c r="X876" s="10">
        <f>SUM(V$13:V876)/COUNTA(B$13:B876)</f>
        <v>0</v>
      </c>
      <c r="Z876" s="5"/>
      <c r="AA876" s="5"/>
      <c r="AC876" s="7"/>
      <c r="AE876" s="54" t="e">
        <f t="shared" si="113"/>
        <v>#N/A</v>
      </c>
      <c r="AF876" s="4" t="e">
        <f t="shared" si="109"/>
        <v>#N/A</v>
      </c>
    </row>
    <row r="877" spans="2:32">
      <c r="B877" s="5">
        <f t="shared" si="114"/>
        <v>865</v>
      </c>
      <c r="C877" s="5"/>
      <c r="E877" s="13"/>
      <c r="F877" s="5"/>
      <c r="G877" s="11" t="str">
        <f>IF(ISERROR(AVERAGE(F$13:F877)),"n/a",AVERAGE(F$13:F877))</f>
        <v>n/a</v>
      </c>
      <c r="H877" s="11" t="str">
        <f t="shared" si="110"/>
        <v>n/a</v>
      </c>
      <c r="J877" s="5"/>
      <c r="K877" s="5"/>
      <c r="L877" s="5"/>
      <c r="M877" s="5"/>
      <c r="N877" s="5"/>
      <c r="O877" s="8" t="str">
        <f t="shared" si="108"/>
        <v>n/a</v>
      </c>
      <c r="Q877" s="5"/>
      <c r="R877" s="5"/>
      <c r="S877" s="5"/>
      <c r="U877" s="6"/>
      <c r="V877" s="9" t="str">
        <f t="shared" si="111"/>
        <v/>
      </c>
      <c r="W877" s="9" t="str">
        <f t="shared" si="112"/>
        <v/>
      </c>
      <c r="X877" s="10">
        <f>SUM(V$13:V877)/COUNTA(B$13:B877)</f>
        <v>0</v>
      </c>
      <c r="Z877" s="5"/>
      <c r="AA877" s="5"/>
      <c r="AC877" s="7"/>
      <c r="AE877" s="54" t="e">
        <f t="shared" si="113"/>
        <v>#N/A</v>
      </c>
      <c r="AF877" s="4" t="e">
        <f t="shared" si="109"/>
        <v>#N/A</v>
      </c>
    </row>
    <row r="878" spans="2:32">
      <c r="B878" s="5">
        <f t="shared" si="114"/>
        <v>866</v>
      </c>
      <c r="C878" s="5"/>
      <c r="E878" s="13"/>
      <c r="F878" s="5"/>
      <c r="G878" s="11" t="str">
        <f>IF(ISERROR(AVERAGE(F$13:F878)),"n/a",AVERAGE(F$13:F878))</f>
        <v>n/a</v>
      </c>
      <c r="H878" s="11" t="str">
        <f t="shared" si="110"/>
        <v>n/a</v>
      </c>
      <c r="J878" s="5"/>
      <c r="K878" s="5"/>
      <c r="L878" s="5"/>
      <c r="M878" s="5"/>
      <c r="N878" s="5"/>
      <c r="O878" s="8" t="str">
        <f t="shared" si="108"/>
        <v>n/a</v>
      </c>
      <c r="Q878" s="5"/>
      <c r="R878" s="5"/>
      <c r="S878" s="5"/>
      <c r="U878" s="6"/>
      <c r="V878" s="9" t="str">
        <f t="shared" si="111"/>
        <v/>
      </c>
      <c r="W878" s="9" t="str">
        <f t="shared" si="112"/>
        <v/>
      </c>
      <c r="X878" s="10">
        <f>SUM(V$13:V878)/COUNTA(B$13:B878)</f>
        <v>0</v>
      </c>
      <c r="Z878" s="5"/>
      <c r="AA878" s="5"/>
      <c r="AC878" s="7"/>
      <c r="AE878" s="54" t="e">
        <f t="shared" si="113"/>
        <v>#N/A</v>
      </c>
      <c r="AF878" s="4" t="e">
        <f t="shared" si="109"/>
        <v>#N/A</v>
      </c>
    </row>
    <row r="879" spans="2:32">
      <c r="B879" s="5">
        <f t="shared" si="114"/>
        <v>867</v>
      </c>
      <c r="C879" s="5"/>
      <c r="E879" s="13"/>
      <c r="F879" s="5"/>
      <c r="G879" s="11" t="str">
        <f>IF(ISERROR(AVERAGE(F$13:F879)),"n/a",AVERAGE(F$13:F879))</f>
        <v>n/a</v>
      </c>
      <c r="H879" s="11" t="str">
        <f t="shared" si="110"/>
        <v>n/a</v>
      </c>
      <c r="J879" s="5"/>
      <c r="K879" s="5"/>
      <c r="L879" s="5"/>
      <c r="M879" s="5"/>
      <c r="N879" s="5"/>
      <c r="O879" s="8" t="str">
        <f t="shared" si="108"/>
        <v>n/a</v>
      </c>
      <c r="Q879" s="5"/>
      <c r="R879" s="5"/>
      <c r="S879" s="5"/>
      <c r="U879" s="6"/>
      <c r="V879" s="9" t="str">
        <f t="shared" si="111"/>
        <v/>
      </c>
      <c r="W879" s="9" t="str">
        <f t="shared" si="112"/>
        <v/>
      </c>
      <c r="X879" s="10">
        <f>SUM(V$13:V879)/COUNTA(B$13:B879)</f>
        <v>0</v>
      </c>
      <c r="Z879" s="5"/>
      <c r="AA879" s="5"/>
      <c r="AC879" s="7"/>
      <c r="AE879" s="54" t="e">
        <f t="shared" si="113"/>
        <v>#N/A</v>
      </c>
      <c r="AF879" s="4" t="e">
        <f t="shared" si="109"/>
        <v>#N/A</v>
      </c>
    </row>
    <row r="880" spans="2:32">
      <c r="B880" s="5">
        <f t="shared" si="114"/>
        <v>868</v>
      </c>
      <c r="C880" s="5"/>
      <c r="E880" s="13"/>
      <c r="F880" s="5"/>
      <c r="G880" s="11" t="str">
        <f>IF(ISERROR(AVERAGE(F$13:F880)),"n/a",AVERAGE(F$13:F880))</f>
        <v>n/a</v>
      </c>
      <c r="H880" s="11" t="str">
        <f t="shared" si="110"/>
        <v>n/a</v>
      </c>
      <c r="J880" s="5"/>
      <c r="K880" s="5"/>
      <c r="L880" s="5"/>
      <c r="M880" s="5"/>
      <c r="N880" s="5"/>
      <c r="O880" s="8" t="str">
        <f t="shared" si="108"/>
        <v>n/a</v>
      </c>
      <c r="Q880" s="5"/>
      <c r="R880" s="5"/>
      <c r="S880" s="5"/>
      <c r="U880" s="6"/>
      <c r="V880" s="9" t="str">
        <f t="shared" si="111"/>
        <v/>
      </c>
      <c r="W880" s="9" t="str">
        <f t="shared" si="112"/>
        <v/>
      </c>
      <c r="X880" s="10">
        <f>SUM(V$13:V880)/COUNTA(B$13:B880)</f>
        <v>0</v>
      </c>
      <c r="Z880" s="5"/>
      <c r="AA880" s="5"/>
      <c r="AC880" s="7"/>
      <c r="AE880" s="54" t="e">
        <f t="shared" si="113"/>
        <v>#N/A</v>
      </c>
      <c r="AF880" s="4" t="e">
        <f t="shared" si="109"/>
        <v>#N/A</v>
      </c>
    </row>
    <row r="881" spans="2:32">
      <c r="B881" s="5">
        <f t="shared" si="114"/>
        <v>869</v>
      </c>
      <c r="C881" s="5"/>
      <c r="E881" s="13"/>
      <c r="F881" s="5"/>
      <c r="G881" s="11" t="str">
        <f>IF(ISERROR(AVERAGE(F$13:F881)),"n/a",AVERAGE(F$13:F881))</f>
        <v>n/a</v>
      </c>
      <c r="H881" s="11" t="str">
        <f t="shared" si="110"/>
        <v>n/a</v>
      </c>
      <c r="J881" s="5"/>
      <c r="K881" s="5"/>
      <c r="L881" s="5"/>
      <c r="M881" s="5"/>
      <c r="N881" s="5"/>
      <c r="O881" s="8" t="str">
        <f t="shared" si="108"/>
        <v>n/a</v>
      </c>
      <c r="Q881" s="5"/>
      <c r="R881" s="5"/>
      <c r="S881" s="5"/>
      <c r="U881" s="6"/>
      <c r="V881" s="9" t="str">
        <f t="shared" si="111"/>
        <v/>
      </c>
      <c r="W881" s="9" t="str">
        <f t="shared" si="112"/>
        <v/>
      </c>
      <c r="X881" s="10">
        <f>SUM(V$13:V881)/COUNTA(B$13:B881)</f>
        <v>0</v>
      </c>
      <c r="Z881" s="5"/>
      <c r="AA881" s="5"/>
      <c r="AC881" s="7"/>
      <c r="AE881" s="54" t="e">
        <f t="shared" si="113"/>
        <v>#N/A</v>
      </c>
      <c r="AF881" s="4" t="e">
        <f t="shared" si="109"/>
        <v>#N/A</v>
      </c>
    </row>
    <row r="882" spans="2:32">
      <c r="B882" s="5">
        <f t="shared" si="114"/>
        <v>870</v>
      </c>
      <c r="C882" s="5"/>
      <c r="E882" s="13"/>
      <c r="F882" s="5"/>
      <c r="G882" s="11" t="str">
        <f>IF(ISERROR(AVERAGE(F$13:F882)),"n/a",AVERAGE(F$13:F882))</f>
        <v>n/a</v>
      </c>
      <c r="H882" s="11" t="str">
        <f t="shared" si="110"/>
        <v>n/a</v>
      </c>
      <c r="J882" s="5"/>
      <c r="K882" s="5"/>
      <c r="L882" s="5"/>
      <c r="M882" s="5"/>
      <c r="N882" s="5"/>
      <c r="O882" s="8" t="str">
        <f t="shared" si="108"/>
        <v>n/a</v>
      </c>
      <c r="Q882" s="5"/>
      <c r="R882" s="5"/>
      <c r="S882" s="5"/>
      <c r="U882" s="6"/>
      <c r="V882" s="9" t="str">
        <f t="shared" si="111"/>
        <v/>
      </c>
      <c r="W882" s="9" t="str">
        <f t="shared" si="112"/>
        <v/>
      </c>
      <c r="X882" s="10">
        <f>SUM(V$13:V882)/COUNTA(B$13:B882)</f>
        <v>0</v>
      </c>
      <c r="Z882" s="5"/>
      <c r="AA882" s="5"/>
      <c r="AC882" s="7"/>
      <c r="AE882" s="54" t="e">
        <f t="shared" si="113"/>
        <v>#N/A</v>
      </c>
      <c r="AF882" s="4" t="e">
        <f t="shared" si="109"/>
        <v>#N/A</v>
      </c>
    </row>
    <row r="883" spans="2:32">
      <c r="B883" s="5">
        <f t="shared" si="114"/>
        <v>871</v>
      </c>
      <c r="C883" s="5"/>
      <c r="E883" s="13"/>
      <c r="F883" s="5"/>
      <c r="G883" s="11" t="str">
        <f>IF(ISERROR(AVERAGE(F$13:F883)),"n/a",AVERAGE(F$13:F883))</f>
        <v>n/a</v>
      </c>
      <c r="H883" s="11" t="str">
        <f t="shared" si="110"/>
        <v>n/a</v>
      </c>
      <c r="J883" s="5"/>
      <c r="K883" s="5"/>
      <c r="L883" s="5"/>
      <c r="M883" s="5"/>
      <c r="N883" s="5"/>
      <c r="O883" s="8" t="str">
        <f t="shared" si="108"/>
        <v>n/a</v>
      </c>
      <c r="Q883" s="5"/>
      <c r="R883" s="5"/>
      <c r="S883" s="5"/>
      <c r="U883" s="6"/>
      <c r="V883" s="9" t="str">
        <f t="shared" si="111"/>
        <v/>
      </c>
      <c r="W883" s="9" t="str">
        <f t="shared" si="112"/>
        <v/>
      </c>
      <c r="X883" s="10">
        <f>SUM(V$13:V883)/COUNTA(B$13:B883)</f>
        <v>0</v>
      </c>
      <c r="Z883" s="5"/>
      <c r="AA883" s="5"/>
      <c r="AC883" s="7"/>
      <c r="AE883" s="54" t="e">
        <f t="shared" si="113"/>
        <v>#N/A</v>
      </c>
      <c r="AF883" s="4" t="e">
        <f t="shared" si="109"/>
        <v>#N/A</v>
      </c>
    </row>
    <row r="884" spans="2:32">
      <c r="B884" s="5">
        <f t="shared" si="114"/>
        <v>872</v>
      </c>
      <c r="C884" s="5"/>
      <c r="E884" s="13"/>
      <c r="F884" s="5"/>
      <c r="G884" s="11" t="str">
        <f>IF(ISERROR(AVERAGE(F$13:F884)),"n/a",AVERAGE(F$13:F884))</f>
        <v>n/a</v>
      </c>
      <c r="H884" s="11" t="str">
        <f t="shared" si="110"/>
        <v>n/a</v>
      </c>
      <c r="J884" s="5"/>
      <c r="K884" s="5"/>
      <c r="L884" s="5"/>
      <c r="M884" s="5"/>
      <c r="N884" s="5"/>
      <c r="O884" s="8" t="str">
        <f t="shared" si="108"/>
        <v>n/a</v>
      </c>
      <c r="Q884" s="5"/>
      <c r="R884" s="5"/>
      <c r="S884" s="5"/>
      <c r="U884" s="6"/>
      <c r="V884" s="9" t="str">
        <f t="shared" si="111"/>
        <v/>
      </c>
      <c r="W884" s="9" t="str">
        <f t="shared" si="112"/>
        <v/>
      </c>
      <c r="X884" s="10">
        <f>SUM(V$13:V884)/COUNTA(B$13:B884)</f>
        <v>0</v>
      </c>
      <c r="Z884" s="5"/>
      <c r="AA884" s="5"/>
      <c r="AC884" s="7"/>
      <c r="AE884" s="54" t="e">
        <f t="shared" si="113"/>
        <v>#N/A</v>
      </c>
      <c r="AF884" s="4" t="e">
        <f t="shared" si="109"/>
        <v>#N/A</v>
      </c>
    </row>
    <row r="885" spans="2:32">
      <c r="B885" s="5">
        <f t="shared" si="114"/>
        <v>873</v>
      </c>
      <c r="C885" s="5"/>
      <c r="E885" s="13"/>
      <c r="F885" s="5"/>
      <c r="G885" s="11" t="str">
        <f>IF(ISERROR(AVERAGE(F$13:F885)),"n/a",AVERAGE(F$13:F885))</f>
        <v>n/a</v>
      </c>
      <c r="H885" s="11" t="str">
        <f t="shared" si="110"/>
        <v>n/a</v>
      </c>
      <c r="J885" s="5"/>
      <c r="K885" s="5"/>
      <c r="L885" s="5"/>
      <c r="M885" s="5"/>
      <c r="N885" s="5"/>
      <c r="O885" s="8" t="str">
        <f t="shared" si="108"/>
        <v>n/a</v>
      </c>
      <c r="Q885" s="5"/>
      <c r="R885" s="5"/>
      <c r="S885" s="5"/>
      <c r="U885" s="6"/>
      <c r="V885" s="9" t="str">
        <f t="shared" si="111"/>
        <v/>
      </c>
      <c r="W885" s="9" t="str">
        <f t="shared" si="112"/>
        <v/>
      </c>
      <c r="X885" s="10">
        <f>SUM(V$13:V885)/COUNTA(B$13:B885)</f>
        <v>0</v>
      </c>
      <c r="Z885" s="5"/>
      <c r="AA885" s="5"/>
      <c r="AC885" s="7"/>
      <c r="AE885" s="54" t="e">
        <f t="shared" si="113"/>
        <v>#N/A</v>
      </c>
      <c r="AF885" s="4" t="e">
        <f t="shared" si="109"/>
        <v>#N/A</v>
      </c>
    </row>
    <row r="886" spans="2:32">
      <c r="B886" s="5">
        <f t="shared" si="114"/>
        <v>874</v>
      </c>
      <c r="C886" s="5"/>
      <c r="E886" s="13"/>
      <c r="F886" s="5"/>
      <c r="G886" s="11" t="str">
        <f>IF(ISERROR(AVERAGE(F$13:F886)),"n/a",AVERAGE(F$13:F886))</f>
        <v>n/a</v>
      </c>
      <c r="H886" s="11" t="str">
        <f t="shared" si="110"/>
        <v>n/a</v>
      </c>
      <c r="J886" s="5"/>
      <c r="K886" s="5"/>
      <c r="L886" s="5"/>
      <c r="M886" s="5"/>
      <c r="N886" s="5"/>
      <c r="O886" s="8" t="str">
        <f t="shared" si="108"/>
        <v>n/a</v>
      </c>
      <c r="Q886" s="5"/>
      <c r="R886" s="5"/>
      <c r="S886" s="5"/>
      <c r="U886" s="6"/>
      <c r="V886" s="9" t="str">
        <f t="shared" si="111"/>
        <v/>
      </c>
      <c r="W886" s="9" t="str">
        <f t="shared" si="112"/>
        <v/>
      </c>
      <c r="X886" s="10">
        <f>SUM(V$13:V886)/COUNTA(B$13:B886)</f>
        <v>0</v>
      </c>
      <c r="Z886" s="5"/>
      <c r="AA886" s="5"/>
      <c r="AC886" s="7"/>
      <c r="AE886" s="54" t="e">
        <f t="shared" si="113"/>
        <v>#N/A</v>
      </c>
      <c r="AF886" s="4" t="e">
        <f t="shared" si="109"/>
        <v>#N/A</v>
      </c>
    </row>
    <row r="887" spans="2:32">
      <c r="B887" s="5">
        <f t="shared" si="114"/>
        <v>875</v>
      </c>
      <c r="C887" s="5"/>
      <c r="E887" s="13"/>
      <c r="F887" s="5"/>
      <c r="G887" s="11" t="str">
        <f>IF(ISERROR(AVERAGE(F$13:F887)),"n/a",AVERAGE(F$13:F887))</f>
        <v>n/a</v>
      </c>
      <c r="H887" s="11" t="str">
        <f t="shared" si="110"/>
        <v>n/a</v>
      </c>
      <c r="J887" s="5"/>
      <c r="K887" s="5"/>
      <c r="L887" s="5"/>
      <c r="M887" s="5"/>
      <c r="N887" s="5"/>
      <c r="O887" s="8" t="str">
        <f t="shared" si="108"/>
        <v>n/a</v>
      </c>
      <c r="Q887" s="5"/>
      <c r="R887" s="5"/>
      <c r="S887" s="5"/>
      <c r="U887" s="6"/>
      <c r="V887" s="9" t="str">
        <f t="shared" si="111"/>
        <v/>
      </c>
      <c r="W887" s="9" t="str">
        <f t="shared" si="112"/>
        <v/>
      </c>
      <c r="X887" s="10">
        <f>SUM(V$13:V887)/COUNTA(B$13:B887)</f>
        <v>0</v>
      </c>
      <c r="Z887" s="5"/>
      <c r="AA887" s="5"/>
      <c r="AC887" s="7"/>
      <c r="AE887" s="54" t="e">
        <f t="shared" si="113"/>
        <v>#N/A</v>
      </c>
      <c r="AF887" s="4" t="e">
        <f t="shared" si="109"/>
        <v>#N/A</v>
      </c>
    </row>
    <row r="888" spans="2:32">
      <c r="B888" s="5">
        <f t="shared" si="114"/>
        <v>876</v>
      </c>
      <c r="C888" s="5"/>
      <c r="E888" s="13"/>
      <c r="F888" s="5"/>
      <c r="G888" s="11" t="str">
        <f>IF(ISERROR(AVERAGE(F$13:F888)),"n/a",AVERAGE(F$13:F888))</f>
        <v>n/a</v>
      </c>
      <c r="H888" s="11" t="str">
        <f t="shared" si="110"/>
        <v>n/a</v>
      </c>
      <c r="J888" s="5"/>
      <c r="K888" s="5"/>
      <c r="L888" s="5"/>
      <c r="M888" s="5"/>
      <c r="N888" s="5"/>
      <c r="O888" s="8" t="str">
        <f t="shared" si="108"/>
        <v>n/a</v>
      </c>
      <c r="Q888" s="5"/>
      <c r="R888" s="5"/>
      <c r="S888" s="5"/>
      <c r="U888" s="6"/>
      <c r="V888" s="9" t="str">
        <f t="shared" si="111"/>
        <v/>
      </c>
      <c r="W888" s="9" t="str">
        <f t="shared" si="112"/>
        <v/>
      </c>
      <c r="X888" s="10">
        <f>SUM(V$13:V888)/COUNTA(B$13:B888)</f>
        <v>0</v>
      </c>
      <c r="Z888" s="5"/>
      <c r="AA888" s="5"/>
      <c r="AC888" s="7"/>
      <c r="AE888" s="54" t="e">
        <f t="shared" si="113"/>
        <v>#N/A</v>
      </c>
      <c r="AF888" s="4" t="e">
        <f t="shared" si="109"/>
        <v>#N/A</v>
      </c>
    </row>
    <row r="889" spans="2:32">
      <c r="B889" s="5">
        <f t="shared" si="114"/>
        <v>877</v>
      </c>
      <c r="C889" s="5"/>
      <c r="E889" s="13"/>
      <c r="F889" s="5"/>
      <c r="G889" s="11" t="str">
        <f>IF(ISERROR(AVERAGE(F$13:F889)),"n/a",AVERAGE(F$13:F889))</f>
        <v>n/a</v>
      </c>
      <c r="H889" s="11" t="str">
        <f t="shared" si="110"/>
        <v>n/a</v>
      </c>
      <c r="J889" s="5"/>
      <c r="K889" s="5"/>
      <c r="L889" s="5"/>
      <c r="M889" s="5"/>
      <c r="N889" s="5"/>
      <c r="O889" s="8" t="str">
        <f t="shared" si="108"/>
        <v>n/a</v>
      </c>
      <c r="Q889" s="5"/>
      <c r="R889" s="5"/>
      <c r="S889" s="5"/>
      <c r="U889" s="6"/>
      <c r="V889" s="9" t="str">
        <f t="shared" si="111"/>
        <v/>
      </c>
      <c r="W889" s="9" t="str">
        <f t="shared" si="112"/>
        <v/>
      </c>
      <c r="X889" s="10">
        <f>SUM(V$13:V889)/COUNTA(B$13:B889)</f>
        <v>0</v>
      </c>
      <c r="Z889" s="5"/>
      <c r="AA889" s="5"/>
      <c r="AC889" s="7"/>
      <c r="AE889" s="54" t="e">
        <f t="shared" si="113"/>
        <v>#N/A</v>
      </c>
      <c r="AF889" s="4" t="e">
        <f t="shared" si="109"/>
        <v>#N/A</v>
      </c>
    </row>
    <row r="890" spans="2:32">
      <c r="B890" s="5">
        <f t="shared" si="114"/>
        <v>878</v>
      </c>
      <c r="C890" s="5"/>
      <c r="E890" s="13"/>
      <c r="F890" s="5"/>
      <c r="G890" s="11" t="str">
        <f>IF(ISERROR(AVERAGE(F$13:F890)),"n/a",AVERAGE(F$13:F890))</f>
        <v>n/a</v>
      </c>
      <c r="H890" s="11" t="str">
        <f t="shared" si="110"/>
        <v>n/a</v>
      </c>
      <c r="J890" s="5"/>
      <c r="K890" s="5"/>
      <c r="L890" s="5"/>
      <c r="M890" s="5"/>
      <c r="N890" s="5"/>
      <c r="O890" s="8" t="str">
        <f t="shared" si="108"/>
        <v>n/a</v>
      </c>
      <c r="Q890" s="5"/>
      <c r="R890" s="5"/>
      <c r="S890" s="5"/>
      <c r="U890" s="6"/>
      <c r="V890" s="9" t="str">
        <f t="shared" si="111"/>
        <v/>
      </c>
      <c r="W890" s="9" t="str">
        <f t="shared" si="112"/>
        <v/>
      </c>
      <c r="X890" s="10">
        <f>SUM(V$13:V890)/COUNTA(B$13:B890)</f>
        <v>0</v>
      </c>
      <c r="Z890" s="5"/>
      <c r="AA890" s="5"/>
      <c r="AC890" s="7"/>
      <c r="AE890" s="54" t="e">
        <f t="shared" si="113"/>
        <v>#N/A</v>
      </c>
      <c r="AF890" s="4" t="e">
        <f t="shared" si="109"/>
        <v>#N/A</v>
      </c>
    </row>
    <row r="891" spans="2:32">
      <c r="B891" s="5">
        <f t="shared" si="114"/>
        <v>879</v>
      </c>
      <c r="C891" s="5"/>
      <c r="E891" s="13"/>
      <c r="F891" s="5"/>
      <c r="G891" s="11" t="str">
        <f>IF(ISERROR(AVERAGE(F$13:F891)),"n/a",AVERAGE(F$13:F891))</f>
        <v>n/a</v>
      </c>
      <c r="H891" s="11" t="str">
        <f t="shared" si="110"/>
        <v>n/a</v>
      </c>
      <c r="J891" s="5"/>
      <c r="K891" s="5"/>
      <c r="L891" s="5"/>
      <c r="M891" s="5"/>
      <c r="N891" s="5"/>
      <c r="O891" s="8" t="str">
        <f t="shared" si="108"/>
        <v>n/a</v>
      </c>
      <c r="Q891" s="5"/>
      <c r="R891" s="5"/>
      <c r="S891" s="5"/>
      <c r="U891" s="6"/>
      <c r="V891" s="9" t="str">
        <f t="shared" si="111"/>
        <v/>
      </c>
      <c r="W891" s="9" t="str">
        <f t="shared" si="112"/>
        <v/>
      </c>
      <c r="X891" s="10">
        <f>SUM(V$13:V891)/COUNTA(B$13:B891)</f>
        <v>0</v>
      </c>
      <c r="Z891" s="5"/>
      <c r="AA891" s="5"/>
      <c r="AC891" s="7"/>
      <c r="AE891" s="54" t="e">
        <f t="shared" si="113"/>
        <v>#N/A</v>
      </c>
      <c r="AF891" s="4" t="e">
        <f t="shared" si="109"/>
        <v>#N/A</v>
      </c>
    </row>
    <row r="892" spans="2:32">
      <c r="B892" s="5">
        <f t="shared" si="114"/>
        <v>880</v>
      </c>
      <c r="C892" s="5"/>
      <c r="E892" s="13"/>
      <c r="F892" s="5"/>
      <c r="G892" s="11" t="str">
        <f>IF(ISERROR(AVERAGE(F$13:F892)),"n/a",AVERAGE(F$13:F892))</f>
        <v>n/a</v>
      </c>
      <c r="H892" s="11" t="str">
        <f t="shared" si="110"/>
        <v>n/a</v>
      </c>
      <c r="J892" s="5"/>
      <c r="K892" s="5"/>
      <c r="L892" s="5"/>
      <c r="M892" s="5"/>
      <c r="N892" s="5"/>
      <c r="O892" s="8" t="str">
        <f t="shared" si="108"/>
        <v>n/a</v>
      </c>
      <c r="Q892" s="5"/>
      <c r="R892" s="5"/>
      <c r="S892" s="5"/>
      <c r="U892" s="6"/>
      <c r="V892" s="9" t="str">
        <f t="shared" si="111"/>
        <v/>
      </c>
      <c r="W892" s="9" t="str">
        <f t="shared" si="112"/>
        <v/>
      </c>
      <c r="X892" s="10">
        <f>SUM(V$13:V892)/COUNTA(B$13:B892)</f>
        <v>0</v>
      </c>
      <c r="Z892" s="5"/>
      <c r="AA892" s="5"/>
      <c r="AC892" s="7"/>
      <c r="AE892" s="54" t="e">
        <f t="shared" si="113"/>
        <v>#N/A</v>
      </c>
      <c r="AF892" s="4" t="e">
        <f t="shared" si="109"/>
        <v>#N/A</v>
      </c>
    </row>
    <row r="893" spans="2:32">
      <c r="B893" s="5">
        <f t="shared" si="114"/>
        <v>881</v>
      </c>
      <c r="C893" s="5"/>
      <c r="E893" s="13"/>
      <c r="F893" s="5"/>
      <c r="G893" s="11" t="str">
        <f>IF(ISERROR(AVERAGE(F$13:F893)),"n/a",AVERAGE(F$13:F893))</f>
        <v>n/a</v>
      </c>
      <c r="H893" s="11" t="str">
        <f t="shared" si="110"/>
        <v>n/a</v>
      </c>
      <c r="J893" s="5"/>
      <c r="K893" s="5"/>
      <c r="L893" s="5"/>
      <c r="M893" s="5"/>
      <c r="N893" s="5"/>
      <c r="O893" s="8" t="str">
        <f t="shared" si="108"/>
        <v>n/a</v>
      </c>
      <c r="Q893" s="5"/>
      <c r="R893" s="5"/>
      <c r="S893" s="5"/>
      <c r="U893" s="6"/>
      <c r="V893" s="9" t="str">
        <f t="shared" si="111"/>
        <v/>
      </c>
      <c r="W893" s="9" t="str">
        <f t="shared" si="112"/>
        <v/>
      </c>
      <c r="X893" s="10">
        <f>SUM(V$13:V893)/COUNTA(B$13:B893)</f>
        <v>0</v>
      </c>
      <c r="Z893" s="5"/>
      <c r="AA893" s="5"/>
      <c r="AC893" s="7"/>
      <c r="AE893" s="54" t="e">
        <f t="shared" si="113"/>
        <v>#N/A</v>
      </c>
      <c r="AF893" s="4" t="e">
        <f t="shared" si="109"/>
        <v>#N/A</v>
      </c>
    </row>
    <row r="894" spans="2:32">
      <c r="B894" s="5">
        <f t="shared" si="114"/>
        <v>882</v>
      </c>
      <c r="C894" s="5"/>
      <c r="E894" s="13"/>
      <c r="F894" s="5"/>
      <c r="G894" s="11" t="str">
        <f>IF(ISERROR(AVERAGE(F$13:F894)),"n/a",AVERAGE(F$13:F894))</f>
        <v>n/a</v>
      </c>
      <c r="H894" s="11" t="str">
        <f t="shared" si="110"/>
        <v>n/a</v>
      </c>
      <c r="J894" s="5"/>
      <c r="K894" s="5"/>
      <c r="L894" s="5"/>
      <c r="M894" s="5"/>
      <c r="N894" s="5"/>
      <c r="O894" s="8" t="str">
        <f t="shared" si="108"/>
        <v>n/a</v>
      </c>
      <c r="Q894" s="5"/>
      <c r="R894" s="5"/>
      <c r="S894" s="5"/>
      <c r="U894" s="6"/>
      <c r="V894" s="9" t="str">
        <f t="shared" si="111"/>
        <v/>
      </c>
      <c r="W894" s="9" t="str">
        <f t="shared" si="112"/>
        <v/>
      </c>
      <c r="X894" s="10">
        <f>SUM(V$13:V894)/COUNTA(B$13:B894)</f>
        <v>0</v>
      </c>
      <c r="Z894" s="5"/>
      <c r="AA894" s="5"/>
      <c r="AC894" s="7"/>
      <c r="AE894" s="54" t="e">
        <f t="shared" si="113"/>
        <v>#N/A</v>
      </c>
      <c r="AF894" s="4" t="e">
        <f t="shared" si="109"/>
        <v>#N/A</v>
      </c>
    </row>
    <row r="895" spans="2:32">
      <c r="B895" s="5">
        <f t="shared" si="114"/>
        <v>883</v>
      </c>
      <c r="C895" s="5"/>
      <c r="E895" s="13"/>
      <c r="F895" s="5"/>
      <c r="G895" s="11" t="str">
        <f>IF(ISERROR(AVERAGE(F$13:F895)),"n/a",AVERAGE(F$13:F895))</f>
        <v>n/a</v>
      </c>
      <c r="H895" s="11" t="str">
        <f t="shared" si="110"/>
        <v>n/a</v>
      </c>
      <c r="J895" s="5"/>
      <c r="K895" s="5"/>
      <c r="L895" s="5"/>
      <c r="M895" s="5"/>
      <c r="N895" s="5"/>
      <c r="O895" s="8" t="str">
        <f t="shared" si="108"/>
        <v>n/a</v>
      </c>
      <c r="Q895" s="5"/>
      <c r="R895" s="5"/>
      <c r="S895" s="5"/>
      <c r="U895" s="6"/>
      <c r="V895" s="9" t="str">
        <f t="shared" si="111"/>
        <v/>
      </c>
      <c r="W895" s="9" t="str">
        <f t="shared" si="112"/>
        <v/>
      </c>
      <c r="X895" s="10">
        <f>SUM(V$13:V895)/COUNTA(B$13:B895)</f>
        <v>0</v>
      </c>
      <c r="Z895" s="5"/>
      <c r="AA895" s="5"/>
      <c r="AC895" s="7"/>
      <c r="AE895" s="54" t="e">
        <f t="shared" si="113"/>
        <v>#N/A</v>
      </c>
      <c r="AF895" s="4" t="e">
        <f t="shared" si="109"/>
        <v>#N/A</v>
      </c>
    </row>
    <row r="896" spans="2:32">
      <c r="B896" s="5">
        <f t="shared" si="114"/>
        <v>884</v>
      </c>
      <c r="C896" s="5"/>
      <c r="E896" s="13"/>
      <c r="F896" s="5"/>
      <c r="G896" s="11" t="str">
        <f>IF(ISERROR(AVERAGE(F$13:F896)),"n/a",AVERAGE(F$13:F896))</f>
        <v>n/a</v>
      </c>
      <c r="H896" s="11" t="str">
        <f t="shared" si="110"/>
        <v>n/a</v>
      </c>
      <c r="J896" s="5"/>
      <c r="K896" s="5"/>
      <c r="L896" s="5"/>
      <c r="M896" s="5"/>
      <c r="N896" s="5"/>
      <c r="O896" s="8" t="str">
        <f t="shared" si="108"/>
        <v>n/a</v>
      </c>
      <c r="Q896" s="5"/>
      <c r="R896" s="5"/>
      <c r="S896" s="5"/>
      <c r="U896" s="6"/>
      <c r="V896" s="9" t="str">
        <f t="shared" si="111"/>
        <v/>
      </c>
      <c r="W896" s="9" t="str">
        <f t="shared" si="112"/>
        <v/>
      </c>
      <c r="X896" s="10">
        <f>SUM(V$13:V896)/COUNTA(B$13:B896)</f>
        <v>0</v>
      </c>
      <c r="Z896" s="5"/>
      <c r="AA896" s="5"/>
      <c r="AC896" s="7"/>
      <c r="AE896" s="54" t="e">
        <f t="shared" si="113"/>
        <v>#N/A</v>
      </c>
      <c r="AF896" s="4" t="e">
        <f t="shared" si="109"/>
        <v>#N/A</v>
      </c>
    </row>
    <row r="897" spans="2:32">
      <c r="B897" s="5">
        <f t="shared" si="114"/>
        <v>885</v>
      </c>
      <c r="C897" s="5"/>
      <c r="E897" s="13"/>
      <c r="F897" s="5"/>
      <c r="G897" s="11" t="str">
        <f>IF(ISERROR(AVERAGE(F$13:F897)),"n/a",AVERAGE(F$13:F897))</f>
        <v>n/a</v>
      </c>
      <c r="H897" s="11" t="str">
        <f t="shared" si="110"/>
        <v>n/a</v>
      </c>
      <c r="J897" s="5"/>
      <c r="K897" s="5"/>
      <c r="L897" s="5"/>
      <c r="M897" s="5"/>
      <c r="N897" s="5"/>
      <c r="O897" s="8" t="str">
        <f t="shared" si="108"/>
        <v>n/a</v>
      </c>
      <c r="Q897" s="5"/>
      <c r="R897" s="5"/>
      <c r="S897" s="5"/>
      <c r="U897" s="6"/>
      <c r="V897" s="9" t="str">
        <f t="shared" si="111"/>
        <v/>
      </c>
      <c r="W897" s="9" t="str">
        <f t="shared" si="112"/>
        <v/>
      </c>
      <c r="X897" s="10">
        <f>SUM(V$13:V897)/COUNTA(B$13:B897)</f>
        <v>0</v>
      </c>
      <c r="Z897" s="5"/>
      <c r="AA897" s="5"/>
      <c r="AC897" s="7"/>
      <c r="AE897" s="54" t="e">
        <f t="shared" si="113"/>
        <v>#N/A</v>
      </c>
      <c r="AF897" s="4" t="e">
        <f t="shared" si="109"/>
        <v>#N/A</v>
      </c>
    </row>
    <row r="898" spans="2:32">
      <c r="B898" s="5">
        <f t="shared" si="114"/>
        <v>886</v>
      </c>
      <c r="C898" s="5"/>
      <c r="E898" s="13"/>
      <c r="F898" s="5"/>
      <c r="G898" s="11" t="str">
        <f>IF(ISERROR(AVERAGE(F$13:F898)),"n/a",AVERAGE(F$13:F898))</f>
        <v>n/a</v>
      </c>
      <c r="H898" s="11" t="str">
        <f t="shared" si="110"/>
        <v>n/a</v>
      </c>
      <c r="J898" s="5"/>
      <c r="K898" s="5"/>
      <c r="L898" s="5"/>
      <c r="M898" s="5"/>
      <c r="N898" s="5"/>
      <c r="O898" s="8" t="str">
        <f t="shared" si="108"/>
        <v>n/a</v>
      </c>
      <c r="Q898" s="5"/>
      <c r="R898" s="5"/>
      <c r="S898" s="5"/>
      <c r="U898" s="6"/>
      <c r="V898" s="9" t="str">
        <f t="shared" si="111"/>
        <v/>
      </c>
      <c r="W898" s="9" t="str">
        <f t="shared" si="112"/>
        <v/>
      </c>
      <c r="X898" s="10">
        <f>SUM(V$13:V898)/COUNTA(B$13:B898)</f>
        <v>0</v>
      </c>
      <c r="Z898" s="5"/>
      <c r="AA898" s="5"/>
      <c r="AC898" s="7"/>
      <c r="AE898" s="54" t="e">
        <f t="shared" si="113"/>
        <v>#N/A</v>
      </c>
      <c r="AF898" s="4" t="e">
        <f t="shared" si="109"/>
        <v>#N/A</v>
      </c>
    </row>
    <row r="899" spans="2:32">
      <c r="B899" s="5">
        <f t="shared" si="114"/>
        <v>887</v>
      </c>
      <c r="C899" s="5"/>
      <c r="E899" s="13"/>
      <c r="F899" s="5"/>
      <c r="G899" s="11" t="str">
        <f>IF(ISERROR(AVERAGE(F$13:F899)),"n/a",AVERAGE(F$13:F899))</f>
        <v>n/a</v>
      </c>
      <c r="H899" s="11" t="str">
        <f t="shared" si="110"/>
        <v>n/a</v>
      </c>
      <c r="J899" s="5"/>
      <c r="K899" s="5"/>
      <c r="L899" s="5"/>
      <c r="M899" s="5"/>
      <c r="N899" s="5"/>
      <c r="O899" s="8" t="str">
        <f t="shared" si="108"/>
        <v>n/a</v>
      </c>
      <c r="Q899" s="5"/>
      <c r="R899" s="5"/>
      <c r="S899" s="5"/>
      <c r="U899" s="6"/>
      <c r="V899" s="9" t="str">
        <f t="shared" si="111"/>
        <v/>
      </c>
      <c r="W899" s="9" t="str">
        <f t="shared" si="112"/>
        <v/>
      </c>
      <c r="X899" s="10">
        <f>SUM(V$13:V899)/COUNTA(B$13:B899)</f>
        <v>0</v>
      </c>
      <c r="Z899" s="5"/>
      <c r="AA899" s="5"/>
      <c r="AC899" s="7"/>
      <c r="AE899" s="54" t="e">
        <f t="shared" si="113"/>
        <v>#N/A</v>
      </c>
      <c r="AF899" s="4" t="e">
        <f t="shared" si="109"/>
        <v>#N/A</v>
      </c>
    </row>
    <row r="900" spans="2:32">
      <c r="B900" s="5">
        <f t="shared" si="114"/>
        <v>888</v>
      </c>
      <c r="C900" s="5"/>
      <c r="E900" s="13"/>
      <c r="F900" s="5"/>
      <c r="G900" s="11" t="str">
        <f>IF(ISERROR(AVERAGE(F$13:F900)),"n/a",AVERAGE(F$13:F900))</f>
        <v>n/a</v>
      </c>
      <c r="H900" s="11" t="str">
        <f t="shared" si="110"/>
        <v>n/a</v>
      </c>
      <c r="J900" s="5"/>
      <c r="K900" s="5"/>
      <c r="L900" s="5"/>
      <c r="M900" s="5"/>
      <c r="N900" s="5"/>
      <c r="O900" s="8" t="str">
        <f t="shared" si="108"/>
        <v>n/a</v>
      </c>
      <c r="Q900" s="5"/>
      <c r="R900" s="5"/>
      <c r="S900" s="5"/>
      <c r="U900" s="6"/>
      <c r="V900" s="9" t="str">
        <f t="shared" si="111"/>
        <v/>
      </c>
      <c r="W900" s="9" t="str">
        <f t="shared" si="112"/>
        <v/>
      </c>
      <c r="X900" s="10">
        <f>SUM(V$13:V900)/COUNTA(B$13:B900)</f>
        <v>0</v>
      </c>
      <c r="Z900" s="5"/>
      <c r="AA900" s="5"/>
      <c r="AC900" s="7"/>
      <c r="AE900" s="54" t="e">
        <f t="shared" si="113"/>
        <v>#N/A</v>
      </c>
      <c r="AF900" s="4" t="e">
        <f t="shared" si="109"/>
        <v>#N/A</v>
      </c>
    </row>
    <row r="901" spans="2:32">
      <c r="B901" s="5">
        <f t="shared" si="114"/>
        <v>889</v>
      </c>
      <c r="C901" s="5"/>
      <c r="E901" s="13"/>
      <c r="F901" s="5"/>
      <c r="G901" s="11" t="str">
        <f>IF(ISERROR(AVERAGE(F$13:F901)),"n/a",AVERAGE(F$13:F901))</f>
        <v>n/a</v>
      </c>
      <c r="H901" s="11" t="str">
        <f t="shared" si="110"/>
        <v>n/a</v>
      </c>
      <c r="J901" s="5"/>
      <c r="K901" s="5"/>
      <c r="L901" s="5"/>
      <c r="M901" s="5"/>
      <c r="N901" s="5"/>
      <c r="O901" s="8" t="str">
        <f t="shared" si="108"/>
        <v>n/a</v>
      </c>
      <c r="Q901" s="5"/>
      <c r="R901" s="5"/>
      <c r="S901" s="5"/>
      <c r="U901" s="6"/>
      <c r="V901" s="9" t="str">
        <f t="shared" si="111"/>
        <v/>
      </c>
      <c r="W901" s="9" t="str">
        <f t="shared" si="112"/>
        <v/>
      </c>
      <c r="X901" s="10">
        <f>SUM(V$13:V901)/COUNTA(B$13:B901)</f>
        <v>0</v>
      </c>
      <c r="Z901" s="5"/>
      <c r="AA901" s="5"/>
      <c r="AC901" s="7"/>
      <c r="AE901" s="54" t="e">
        <f t="shared" si="113"/>
        <v>#N/A</v>
      </c>
      <c r="AF901" s="4" t="e">
        <f t="shared" si="109"/>
        <v>#N/A</v>
      </c>
    </row>
    <row r="902" spans="2:32">
      <c r="B902" s="5">
        <f t="shared" si="114"/>
        <v>890</v>
      </c>
      <c r="C902" s="5"/>
      <c r="E902" s="13"/>
      <c r="F902" s="5"/>
      <c r="G902" s="11" t="str">
        <f>IF(ISERROR(AVERAGE(F$13:F902)),"n/a",AVERAGE(F$13:F902))</f>
        <v>n/a</v>
      </c>
      <c r="H902" s="11" t="str">
        <f t="shared" si="110"/>
        <v>n/a</v>
      </c>
      <c r="J902" s="5"/>
      <c r="K902" s="5"/>
      <c r="L902" s="5"/>
      <c r="M902" s="5"/>
      <c r="N902" s="5"/>
      <c r="O902" s="8" t="str">
        <f t="shared" si="108"/>
        <v>n/a</v>
      </c>
      <c r="Q902" s="5"/>
      <c r="R902" s="5"/>
      <c r="S902" s="5"/>
      <c r="U902" s="6"/>
      <c r="V902" s="9" t="str">
        <f t="shared" si="111"/>
        <v/>
      </c>
      <c r="W902" s="9" t="str">
        <f t="shared" si="112"/>
        <v/>
      </c>
      <c r="X902" s="10">
        <f>SUM(V$13:V902)/COUNTA(B$13:B902)</f>
        <v>0</v>
      </c>
      <c r="Z902" s="5"/>
      <c r="AA902" s="5"/>
      <c r="AC902" s="7"/>
      <c r="AE902" s="54" t="e">
        <f t="shared" si="113"/>
        <v>#N/A</v>
      </c>
      <c r="AF902" s="4" t="e">
        <f t="shared" si="109"/>
        <v>#N/A</v>
      </c>
    </row>
    <row r="903" spans="2:32">
      <c r="B903" s="5">
        <f t="shared" si="114"/>
        <v>891</v>
      </c>
      <c r="C903" s="5"/>
      <c r="E903" s="13"/>
      <c r="F903" s="5"/>
      <c r="G903" s="11" t="str">
        <f>IF(ISERROR(AVERAGE(F$13:F903)),"n/a",AVERAGE(F$13:F903))</f>
        <v>n/a</v>
      </c>
      <c r="H903" s="11" t="str">
        <f t="shared" si="110"/>
        <v>n/a</v>
      </c>
      <c r="J903" s="5"/>
      <c r="K903" s="5"/>
      <c r="L903" s="5"/>
      <c r="M903" s="5"/>
      <c r="N903" s="5"/>
      <c r="O903" s="8" t="str">
        <f t="shared" si="108"/>
        <v>n/a</v>
      </c>
      <c r="Q903" s="5"/>
      <c r="R903" s="5"/>
      <c r="S903" s="5"/>
      <c r="U903" s="6"/>
      <c r="V903" s="9" t="str">
        <f t="shared" si="111"/>
        <v/>
      </c>
      <c r="W903" s="9" t="str">
        <f t="shared" si="112"/>
        <v/>
      </c>
      <c r="X903" s="10">
        <f>SUM(V$13:V903)/COUNTA(B$13:B903)</f>
        <v>0</v>
      </c>
      <c r="Z903" s="5"/>
      <c r="AA903" s="5"/>
      <c r="AC903" s="7"/>
      <c r="AE903" s="54" t="e">
        <f t="shared" si="113"/>
        <v>#N/A</v>
      </c>
      <c r="AF903" s="4" t="e">
        <f t="shared" si="109"/>
        <v>#N/A</v>
      </c>
    </row>
    <row r="904" spans="2:32">
      <c r="B904" s="5">
        <f t="shared" si="114"/>
        <v>892</v>
      </c>
      <c r="C904" s="5"/>
      <c r="E904" s="13"/>
      <c r="F904" s="5"/>
      <c r="G904" s="11" t="str">
        <f>IF(ISERROR(AVERAGE(F$13:F904)),"n/a",AVERAGE(F$13:F904))</f>
        <v>n/a</v>
      </c>
      <c r="H904" s="11" t="str">
        <f t="shared" si="110"/>
        <v>n/a</v>
      </c>
      <c r="J904" s="5"/>
      <c r="K904" s="5"/>
      <c r="L904" s="5"/>
      <c r="M904" s="5"/>
      <c r="N904" s="5"/>
      <c r="O904" s="8" t="str">
        <f t="shared" si="108"/>
        <v>n/a</v>
      </c>
      <c r="Q904" s="5"/>
      <c r="R904" s="5"/>
      <c r="S904" s="5"/>
      <c r="U904" s="6"/>
      <c r="V904" s="9" t="str">
        <f t="shared" si="111"/>
        <v/>
      </c>
      <c r="W904" s="9" t="str">
        <f t="shared" si="112"/>
        <v/>
      </c>
      <c r="X904" s="10">
        <f>SUM(V$13:V904)/COUNTA(B$13:B904)</f>
        <v>0</v>
      </c>
      <c r="Z904" s="5"/>
      <c r="AA904" s="5"/>
      <c r="AC904" s="7"/>
      <c r="AE904" s="54" t="e">
        <f t="shared" si="113"/>
        <v>#N/A</v>
      </c>
      <c r="AF904" s="4" t="e">
        <f t="shared" si="109"/>
        <v>#N/A</v>
      </c>
    </row>
    <row r="905" spans="2:32">
      <c r="B905" s="5">
        <f t="shared" si="114"/>
        <v>893</v>
      </c>
      <c r="C905" s="5"/>
      <c r="E905" s="13"/>
      <c r="F905" s="5"/>
      <c r="G905" s="11" t="str">
        <f>IF(ISERROR(AVERAGE(F$13:F905)),"n/a",AVERAGE(F$13:F905))</f>
        <v>n/a</v>
      </c>
      <c r="H905" s="11" t="str">
        <f t="shared" si="110"/>
        <v>n/a</v>
      </c>
      <c r="J905" s="5"/>
      <c r="K905" s="5"/>
      <c r="L905" s="5"/>
      <c r="M905" s="5"/>
      <c r="N905" s="5"/>
      <c r="O905" s="8" t="str">
        <f t="shared" si="108"/>
        <v>n/a</v>
      </c>
      <c r="Q905" s="5"/>
      <c r="R905" s="5"/>
      <c r="S905" s="5"/>
      <c r="U905" s="6"/>
      <c r="V905" s="9" t="str">
        <f t="shared" si="111"/>
        <v/>
      </c>
      <c r="W905" s="9" t="str">
        <f t="shared" si="112"/>
        <v/>
      </c>
      <c r="X905" s="10">
        <f>SUM(V$13:V905)/COUNTA(B$13:B905)</f>
        <v>0</v>
      </c>
      <c r="Z905" s="5"/>
      <c r="AA905" s="5"/>
      <c r="AC905" s="7"/>
      <c r="AE905" s="54" t="e">
        <f t="shared" si="113"/>
        <v>#N/A</v>
      </c>
      <c r="AF905" s="4" t="e">
        <f t="shared" si="109"/>
        <v>#N/A</v>
      </c>
    </row>
    <row r="906" spans="2:32">
      <c r="B906" s="5">
        <f t="shared" si="114"/>
        <v>894</v>
      </c>
      <c r="C906" s="5"/>
      <c r="E906" s="13"/>
      <c r="F906" s="5"/>
      <c r="G906" s="11" t="str">
        <f>IF(ISERROR(AVERAGE(F$13:F906)),"n/a",AVERAGE(F$13:F906))</f>
        <v>n/a</v>
      </c>
      <c r="H906" s="11" t="str">
        <f t="shared" si="110"/>
        <v>n/a</v>
      </c>
      <c r="J906" s="5"/>
      <c r="K906" s="5"/>
      <c r="L906" s="5"/>
      <c r="M906" s="5"/>
      <c r="N906" s="5"/>
      <c r="O906" s="8" t="str">
        <f t="shared" si="108"/>
        <v>n/a</v>
      </c>
      <c r="Q906" s="5"/>
      <c r="R906" s="5"/>
      <c r="S906" s="5"/>
      <c r="U906" s="6"/>
      <c r="V906" s="9" t="str">
        <f t="shared" si="111"/>
        <v/>
      </c>
      <c r="W906" s="9" t="str">
        <f t="shared" si="112"/>
        <v/>
      </c>
      <c r="X906" s="10">
        <f>SUM(V$13:V906)/COUNTA(B$13:B906)</f>
        <v>0</v>
      </c>
      <c r="Z906" s="5"/>
      <c r="AA906" s="5"/>
      <c r="AC906" s="7"/>
      <c r="AE906" s="54" t="e">
        <f t="shared" si="113"/>
        <v>#N/A</v>
      </c>
      <c r="AF906" s="4" t="e">
        <f t="shared" si="109"/>
        <v>#N/A</v>
      </c>
    </row>
    <row r="907" spans="2:32">
      <c r="B907" s="5">
        <f t="shared" si="114"/>
        <v>895</v>
      </c>
      <c r="C907" s="5"/>
      <c r="E907" s="13"/>
      <c r="F907" s="5"/>
      <c r="G907" s="11" t="str">
        <f>IF(ISERROR(AVERAGE(F$13:F907)),"n/a",AVERAGE(F$13:F907))</f>
        <v>n/a</v>
      </c>
      <c r="H907" s="11" t="str">
        <f t="shared" si="110"/>
        <v>n/a</v>
      </c>
      <c r="J907" s="5"/>
      <c r="K907" s="5"/>
      <c r="L907" s="5"/>
      <c r="M907" s="5"/>
      <c r="N907" s="5"/>
      <c r="O907" s="8" t="str">
        <f t="shared" si="108"/>
        <v>n/a</v>
      </c>
      <c r="Q907" s="5"/>
      <c r="R907" s="5"/>
      <c r="S907" s="5"/>
      <c r="U907" s="6"/>
      <c r="V907" s="9" t="str">
        <f t="shared" si="111"/>
        <v/>
      </c>
      <c r="W907" s="9" t="str">
        <f t="shared" si="112"/>
        <v/>
      </c>
      <c r="X907" s="10">
        <f>SUM(V$13:V907)/COUNTA(B$13:B907)</f>
        <v>0</v>
      </c>
      <c r="Z907" s="5"/>
      <c r="AA907" s="5"/>
      <c r="AC907" s="7"/>
      <c r="AE907" s="54" t="e">
        <f t="shared" si="113"/>
        <v>#N/A</v>
      </c>
      <c r="AF907" s="4" t="e">
        <f t="shared" si="109"/>
        <v>#N/A</v>
      </c>
    </row>
    <row r="908" spans="2:32">
      <c r="B908" s="5">
        <f t="shared" si="114"/>
        <v>896</v>
      </c>
      <c r="C908" s="5"/>
      <c r="E908" s="13"/>
      <c r="F908" s="5"/>
      <c r="G908" s="11" t="str">
        <f>IF(ISERROR(AVERAGE(F$13:F908)),"n/a",AVERAGE(F$13:F908))</f>
        <v>n/a</v>
      </c>
      <c r="H908" s="11" t="str">
        <f t="shared" si="110"/>
        <v>n/a</v>
      </c>
      <c r="J908" s="5"/>
      <c r="K908" s="5"/>
      <c r="L908" s="5"/>
      <c r="M908" s="5"/>
      <c r="N908" s="5"/>
      <c r="O908" s="8" t="str">
        <f t="shared" si="108"/>
        <v>n/a</v>
      </c>
      <c r="Q908" s="5"/>
      <c r="R908" s="5"/>
      <c r="S908" s="5"/>
      <c r="U908" s="6"/>
      <c r="V908" s="9" t="str">
        <f t="shared" si="111"/>
        <v/>
      </c>
      <c r="W908" s="9" t="str">
        <f t="shared" si="112"/>
        <v/>
      </c>
      <c r="X908" s="10">
        <f>SUM(V$13:V908)/COUNTA(B$13:B908)</f>
        <v>0</v>
      </c>
      <c r="Z908" s="5"/>
      <c r="AA908" s="5"/>
      <c r="AC908" s="7"/>
      <c r="AE908" s="54" t="e">
        <f t="shared" si="113"/>
        <v>#N/A</v>
      </c>
      <c r="AF908" s="4" t="e">
        <f t="shared" si="109"/>
        <v>#N/A</v>
      </c>
    </row>
    <row r="909" spans="2:32">
      <c r="B909" s="5">
        <f t="shared" si="114"/>
        <v>897</v>
      </c>
      <c r="C909" s="5"/>
      <c r="E909" s="13"/>
      <c r="F909" s="5"/>
      <c r="G909" s="11" t="str">
        <f>IF(ISERROR(AVERAGE(F$13:F909)),"n/a",AVERAGE(F$13:F909))</f>
        <v>n/a</v>
      </c>
      <c r="H909" s="11" t="str">
        <f t="shared" si="110"/>
        <v>n/a</v>
      </c>
      <c r="J909" s="5"/>
      <c r="K909" s="5"/>
      <c r="L909" s="5"/>
      <c r="M909" s="5"/>
      <c r="N909" s="5"/>
      <c r="O909" s="8" t="str">
        <f t="shared" ref="O909:O972" si="115">IF(J909=1,"A",IF(K909=1,"B",IF(L909=1,"C",IF(M909=1,"D",IF(N909=1,"E","n/a")))))</f>
        <v>n/a</v>
      </c>
      <c r="Q909" s="5"/>
      <c r="R909" s="5"/>
      <c r="S909" s="5"/>
      <c r="U909" s="6"/>
      <c r="V909" s="9" t="str">
        <f t="shared" si="111"/>
        <v/>
      </c>
      <c r="W909" s="9" t="str">
        <f t="shared" si="112"/>
        <v/>
      </c>
      <c r="X909" s="10">
        <f>SUM(V$13:V909)/COUNTA(B$13:B909)</f>
        <v>0</v>
      </c>
      <c r="Z909" s="5"/>
      <c r="AA909" s="5"/>
      <c r="AC909" s="7"/>
      <c r="AE909" s="54" t="e">
        <f t="shared" si="113"/>
        <v>#N/A</v>
      </c>
      <c r="AF909" s="4" t="e">
        <f t="shared" ref="AF909:AF972" si="116">HLOOKUP(C909,$K$6:$O$7,2,FALSE)</f>
        <v>#N/A</v>
      </c>
    </row>
    <row r="910" spans="2:32">
      <c r="B910" s="5">
        <f t="shared" si="114"/>
        <v>898</v>
      </c>
      <c r="C910" s="5"/>
      <c r="E910" s="13"/>
      <c r="F910" s="5"/>
      <c r="G910" s="11" t="str">
        <f>IF(ISERROR(AVERAGE(F$13:F910)),"n/a",AVERAGE(F$13:F910))</f>
        <v>n/a</v>
      </c>
      <c r="H910" s="11" t="str">
        <f t="shared" ref="H910:H973" si="117">G910</f>
        <v>n/a</v>
      </c>
      <c r="J910" s="5"/>
      <c r="K910" s="5"/>
      <c r="L910" s="5"/>
      <c r="M910" s="5"/>
      <c r="N910" s="5"/>
      <c r="O910" s="8" t="str">
        <f t="shared" si="115"/>
        <v>n/a</v>
      </c>
      <c r="Q910" s="5"/>
      <c r="R910" s="5"/>
      <c r="S910" s="5"/>
      <c r="U910" s="6"/>
      <c r="V910" s="9" t="str">
        <f t="shared" ref="V910:V973" si="118">IF(O910="n/a","",IF(O910=U910,1,""))</f>
        <v/>
      </c>
      <c r="W910" s="9" t="str">
        <f t="shared" ref="W910:W973" si="119">IF(O910="n/a","",IF(O910&lt;&gt;U910,1,""))</f>
        <v/>
      </c>
      <c r="X910" s="10">
        <f>SUM(V$13:V910)/COUNTA(B$13:B910)</f>
        <v>0</v>
      </c>
      <c r="Z910" s="5"/>
      <c r="AA910" s="5"/>
      <c r="AC910" s="7"/>
      <c r="AE910" s="54" t="e">
        <f t="shared" ref="AE910:AE973" si="120">+IF($F$4=0,0,IF(W910=1,1,IF(OR(R910*$F$8=1,S910*$F$9=1,F910&gt;=AF910),2,0)))</f>
        <v>#N/A</v>
      </c>
      <c r="AF910" s="4" t="e">
        <f t="shared" si="116"/>
        <v>#N/A</v>
      </c>
    </row>
    <row r="911" spans="2:32">
      <c r="B911" s="5">
        <f t="shared" si="114"/>
        <v>899</v>
      </c>
      <c r="C911" s="5"/>
      <c r="E911" s="13"/>
      <c r="F911" s="5"/>
      <c r="G911" s="11" t="str">
        <f>IF(ISERROR(AVERAGE(F$13:F911)),"n/a",AVERAGE(F$13:F911))</f>
        <v>n/a</v>
      </c>
      <c r="H911" s="11" t="str">
        <f t="shared" si="117"/>
        <v>n/a</v>
      </c>
      <c r="J911" s="5"/>
      <c r="K911" s="5"/>
      <c r="L911" s="5"/>
      <c r="M911" s="5"/>
      <c r="N911" s="5"/>
      <c r="O911" s="8" t="str">
        <f t="shared" si="115"/>
        <v>n/a</v>
      </c>
      <c r="Q911" s="5"/>
      <c r="R911" s="5"/>
      <c r="S911" s="5"/>
      <c r="U911" s="6"/>
      <c r="V911" s="9" t="str">
        <f t="shared" si="118"/>
        <v/>
      </c>
      <c r="W911" s="9" t="str">
        <f t="shared" si="119"/>
        <v/>
      </c>
      <c r="X911" s="10">
        <f>SUM(V$13:V911)/COUNTA(B$13:B911)</f>
        <v>0</v>
      </c>
      <c r="Z911" s="5"/>
      <c r="AA911" s="5"/>
      <c r="AC911" s="7"/>
      <c r="AE911" s="54" t="e">
        <f t="shared" si="120"/>
        <v>#N/A</v>
      </c>
      <c r="AF911" s="4" t="e">
        <f t="shared" si="116"/>
        <v>#N/A</v>
      </c>
    </row>
    <row r="912" spans="2:32">
      <c r="B912" s="5">
        <f t="shared" si="114"/>
        <v>900</v>
      </c>
      <c r="C912" s="5"/>
      <c r="E912" s="13"/>
      <c r="F912" s="5"/>
      <c r="G912" s="11" t="str">
        <f>IF(ISERROR(AVERAGE(F$13:F912)),"n/a",AVERAGE(F$13:F912))</f>
        <v>n/a</v>
      </c>
      <c r="H912" s="11" t="str">
        <f t="shared" si="117"/>
        <v>n/a</v>
      </c>
      <c r="J912" s="5"/>
      <c r="K912" s="5"/>
      <c r="L912" s="5"/>
      <c r="M912" s="5"/>
      <c r="N912" s="5"/>
      <c r="O912" s="8" t="str">
        <f t="shared" si="115"/>
        <v>n/a</v>
      </c>
      <c r="Q912" s="5"/>
      <c r="R912" s="5"/>
      <c r="S912" s="5"/>
      <c r="U912" s="6"/>
      <c r="V912" s="9" t="str">
        <f t="shared" si="118"/>
        <v/>
      </c>
      <c r="W912" s="9" t="str">
        <f t="shared" si="119"/>
        <v/>
      </c>
      <c r="X912" s="10">
        <f>SUM(V$13:V912)/COUNTA(B$13:B912)</f>
        <v>0</v>
      </c>
      <c r="Z912" s="5"/>
      <c r="AA912" s="5"/>
      <c r="AC912" s="7"/>
      <c r="AE912" s="54" t="e">
        <f t="shared" si="120"/>
        <v>#N/A</v>
      </c>
      <c r="AF912" s="4" t="e">
        <f t="shared" si="116"/>
        <v>#N/A</v>
      </c>
    </row>
    <row r="913" spans="2:32">
      <c r="B913" s="5">
        <f t="shared" si="114"/>
        <v>901</v>
      </c>
      <c r="C913" s="5"/>
      <c r="E913" s="13"/>
      <c r="F913" s="5"/>
      <c r="G913" s="11" t="str">
        <f>IF(ISERROR(AVERAGE(F$13:F913)),"n/a",AVERAGE(F$13:F913))</f>
        <v>n/a</v>
      </c>
      <c r="H913" s="11" t="str">
        <f t="shared" si="117"/>
        <v>n/a</v>
      </c>
      <c r="J913" s="5"/>
      <c r="K913" s="5"/>
      <c r="L913" s="5"/>
      <c r="M913" s="5"/>
      <c r="N913" s="5"/>
      <c r="O913" s="8" t="str">
        <f t="shared" si="115"/>
        <v>n/a</v>
      </c>
      <c r="Q913" s="5"/>
      <c r="R913" s="5"/>
      <c r="S913" s="5"/>
      <c r="U913" s="6"/>
      <c r="V913" s="9" t="str">
        <f t="shared" si="118"/>
        <v/>
      </c>
      <c r="W913" s="9" t="str">
        <f t="shared" si="119"/>
        <v/>
      </c>
      <c r="X913" s="10">
        <f>SUM(V$13:V913)/COUNTA(B$13:B913)</f>
        <v>0</v>
      </c>
      <c r="Z913" s="5"/>
      <c r="AA913" s="5"/>
      <c r="AC913" s="7"/>
      <c r="AE913" s="54" t="e">
        <f t="shared" si="120"/>
        <v>#N/A</v>
      </c>
      <c r="AF913" s="4" t="e">
        <f t="shared" si="116"/>
        <v>#N/A</v>
      </c>
    </row>
    <row r="914" spans="2:32">
      <c r="B914" s="5">
        <f t="shared" si="114"/>
        <v>902</v>
      </c>
      <c r="C914" s="5"/>
      <c r="E914" s="13"/>
      <c r="F914" s="5"/>
      <c r="G914" s="11" t="str">
        <f>IF(ISERROR(AVERAGE(F$13:F914)),"n/a",AVERAGE(F$13:F914))</f>
        <v>n/a</v>
      </c>
      <c r="H914" s="11" t="str">
        <f t="shared" si="117"/>
        <v>n/a</v>
      </c>
      <c r="J914" s="5"/>
      <c r="K914" s="5"/>
      <c r="L914" s="5"/>
      <c r="M914" s="5"/>
      <c r="N914" s="5"/>
      <c r="O914" s="8" t="str">
        <f t="shared" si="115"/>
        <v>n/a</v>
      </c>
      <c r="Q914" s="5"/>
      <c r="R914" s="5"/>
      <c r="S914" s="5"/>
      <c r="U914" s="6"/>
      <c r="V914" s="9" t="str">
        <f t="shared" si="118"/>
        <v/>
      </c>
      <c r="W914" s="9" t="str">
        <f t="shared" si="119"/>
        <v/>
      </c>
      <c r="X914" s="10">
        <f>SUM(V$13:V914)/COUNTA(B$13:B914)</f>
        <v>0</v>
      </c>
      <c r="Z914" s="5"/>
      <c r="AA914" s="5"/>
      <c r="AC914" s="7"/>
      <c r="AE914" s="54" t="e">
        <f t="shared" si="120"/>
        <v>#N/A</v>
      </c>
      <c r="AF914" s="4" t="e">
        <f t="shared" si="116"/>
        <v>#N/A</v>
      </c>
    </row>
    <row r="915" spans="2:32">
      <c r="B915" s="5">
        <f t="shared" ref="B915:B978" si="121">+B914+1</f>
        <v>903</v>
      </c>
      <c r="C915" s="5"/>
      <c r="E915" s="13"/>
      <c r="F915" s="5"/>
      <c r="G915" s="11" t="str">
        <f>IF(ISERROR(AVERAGE(F$13:F915)),"n/a",AVERAGE(F$13:F915))</f>
        <v>n/a</v>
      </c>
      <c r="H915" s="11" t="str">
        <f t="shared" si="117"/>
        <v>n/a</v>
      </c>
      <c r="J915" s="5"/>
      <c r="K915" s="5"/>
      <c r="L915" s="5"/>
      <c r="M915" s="5"/>
      <c r="N915" s="5"/>
      <c r="O915" s="8" t="str">
        <f t="shared" si="115"/>
        <v>n/a</v>
      </c>
      <c r="Q915" s="5"/>
      <c r="R915" s="5"/>
      <c r="S915" s="5"/>
      <c r="U915" s="6"/>
      <c r="V915" s="9" t="str">
        <f t="shared" si="118"/>
        <v/>
      </c>
      <c r="W915" s="9" t="str">
        <f t="shared" si="119"/>
        <v/>
      </c>
      <c r="X915" s="10">
        <f>SUM(V$13:V915)/COUNTA(B$13:B915)</f>
        <v>0</v>
      </c>
      <c r="Z915" s="5"/>
      <c r="AA915" s="5"/>
      <c r="AC915" s="7"/>
      <c r="AE915" s="54" t="e">
        <f t="shared" si="120"/>
        <v>#N/A</v>
      </c>
      <c r="AF915" s="4" t="e">
        <f t="shared" si="116"/>
        <v>#N/A</v>
      </c>
    </row>
    <row r="916" spans="2:32">
      <c r="B916" s="5">
        <f t="shared" si="121"/>
        <v>904</v>
      </c>
      <c r="C916" s="5"/>
      <c r="E916" s="13"/>
      <c r="F916" s="5"/>
      <c r="G916" s="11" t="str">
        <f>IF(ISERROR(AVERAGE(F$13:F916)),"n/a",AVERAGE(F$13:F916))</f>
        <v>n/a</v>
      </c>
      <c r="H916" s="11" t="str">
        <f t="shared" si="117"/>
        <v>n/a</v>
      </c>
      <c r="J916" s="5"/>
      <c r="K916" s="5"/>
      <c r="L916" s="5"/>
      <c r="M916" s="5"/>
      <c r="N916" s="5"/>
      <c r="O916" s="8" t="str">
        <f t="shared" si="115"/>
        <v>n/a</v>
      </c>
      <c r="Q916" s="5"/>
      <c r="R916" s="5"/>
      <c r="S916" s="5"/>
      <c r="U916" s="6"/>
      <c r="V916" s="9" t="str">
        <f t="shared" si="118"/>
        <v/>
      </c>
      <c r="W916" s="9" t="str">
        <f t="shared" si="119"/>
        <v/>
      </c>
      <c r="X916" s="10">
        <f>SUM(V$13:V916)/COUNTA(B$13:B916)</f>
        <v>0</v>
      </c>
      <c r="Z916" s="5"/>
      <c r="AA916" s="5"/>
      <c r="AC916" s="7"/>
      <c r="AE916" s="54" t="e">
        <f t="shared" si="120"/>
        <v>#N/A</v>
      </c>
      <c r="AF916" s="4" t="e">
        <f t="shared" si="116"/>
        <v>#N/A</v>
      </c>
    </row>
    <row r="917" spans="2:32">
      <c r="B917" s="5">
        <f t="shared" si="121"/>
        <v>905</v>
      </c>
      <c r="C917" s="5"/>
      <c r="E917" s="13"/>
      <c r="F917" s="5"/>
      <c r="G917" s="11" t="str">
        <f>IF(ISERROR(AVERAGE(F$13:F917)),"n/a",AVERAGE(F$13:F917))</f>
        <v>n/a</v>
      </c>
      <c r="H917" s="11" t="str">
        <f t="shared" si="117"/>
        <v>n/a</v>
      </c>
      <c r="J917" s="5"/>
      <c r="K917" s="5"/>
      <c r="L917" s="5"/>
      <c r="M917" s="5"/>
      <c r="N917" s="5"/>
      <c r="O917" s="8" t="str">
        <f t="shared" si="115"/>
        <v>n/a</v>
      </c>
      <c r="Q917" s="5"/>
      <c r="R917" s="5"/>
      <c r="S917" s="5"/>
      <c r="U917" s="6"/>
      <c r="V917" s="9" t="str">
        <f t="shared" si="118"/>
        <v/>
      </c>
      <c r="W917" s="9" t="str">
        <f t="shared" si="119"/>
        <v/>
      </c>
      <c r="X917" s="10">
        <f>SUM(V$13:V917)/COUNTA(B$13:B917)</f>
        <v>0</v>
      </c>
      <c r="Z917" s="5"/>
      <c r="AA917" s="5"/>
      <c r="AC917" s="7"/>
      <c r="AE917" s="54" t="e">
        <f t="shared" si="120"/>
        <v>#N/A</v>
      </c>
      <c r="AF917" s="4" t="e">
        <f t="shared" si="116"/>
        <v>#N/A</v>
      </c>
    </row>
    <row r="918" spans="2:32">
      <c r="B918" s="5">
        <f t="shared" si="121"/>
        <v>906</v>
      </c>
      <c r="C918" s="5"/>
      <c r="E918" s="13"/>
      <c r="F918" s="5"/>
      <c r="G918" s="11" t="str">
        <f>IF(ISERROR(AVERAGE(F$13:F918)),"n/a",AVERAGE(F$13:F918))</f>
        <v>n/a</v>
      </c>
      <c r="H918" s="11" t="str">
        <f t="shared" si="117"/>
        <v>n/a</v>
      </c>
      <c r="J918" s="5"/>
      <c r="K918" s="5"/>
      <c r="L918" s="5"/>
      <c r="M918" s="5"/>
      <c r="N918" s="5"/>
      <c r="O918" s="8" t="str">
        <f t="shared" si="115"/>
        <v>n/a</v>
      </c>
      <c r="Q918" s="5"/>
      <c r="R918" s="5"/>
      <c r="S918" s="5"/>
      <c r="U918" s="6"/>
      <c r="V918" s="9" t="str">
        <f t="shared" si="118"/>
        <v/>
      </c>
      <c r="W918" s="9" t="str">
        <f t="shared" si="119"/>
        <v/>
      </c>
      <c r="X918" s="10">
        <f>SUM(V$13:V918)/COUNTA(B$13:B918)</f>
        <v>0</v>
      </c>
      <c r="Z918" s="5"/>
      <c r="AA918" s="5"/>
      <c r="AC918" s="7"/>
      <c r="AE918" s="54" t="e">
        <f t="shared" si="120"/>
        <v>#N/A</v>
      </c>
      <c r="AF918" s="4" t="e">
        <f t="shared" si="116"/>
        <v>#N/A</v>
      </c>
    </row>
    <row r="919" spans="2:32">
      <c r="B919" s="5">
        <f t="shared" si="121"/>
        <v>907</v>
      </c>
      <c r="C919" s="5"/>
      <c r="E919" s="13"/>
      <c r="F919" s="5"/>
      <c r="G919" s="11" t="str">
        <f>IF(ISERROR(AVERAGE(F$13:F919)),"n/a",AVERAGE(F$13:F919))</f>
        <v>n/a</v>
      </c>
      <c r="H919" s="11" t="str">
        <f t="shared" si="117"/>
        <v>n/a</v>
      </c>
      <c r="J919" s="5"/>
      <c r="K919" s="5"/>
      <c r="L919" s="5"/>
      <c r="M919" s="5"/>
      <c r="N919" s="5"/>
      <c r="O919" s="8" t="str">
        <f t="shared" si="115"/>
        <v>n/a</v>
      </c>
      <c r="Q919" s="5"/>
      <c r="R919" s="5"/>
      <c r="S919" s="5"/>
      <c r="U919" s="6"/>
      <c r="V919" s="9" t="str">
        <f t="shared" si="118"/>
        <v/>
      </c>
      <c r="W919" s="9" t="str">
        <f t="shared" si="119"/>
        <v/>
      </c>
      <c r="X919" s="10">
        <f>SUM(V$13:V919)/COUNTA(B$13:B919)</f>
        <v>0</v>
      </c>
      <c r="Z919" s="5"/>
      <c r="AA919" s="5"/>
      <c r="AC919" s="7"/>
      <c r="AE919" s="54" t="e">
        <f t="shared" si="120"/>
        <v>#N/A</v>
      </c>
      <c r="AF919" s="4" t="e">
        <f t="shared" si="116"/>
        <v>#N/A</v>
      </c>
    </row>
    <row r="920" spans="2:32">
      <c r="B920" s="5">
        <f t="shared" si="121"/>
        <v>908</v>
      </c>
      <c r="C920" s="5"/>
      <c r="E920" s="13"/>
      <c r="F920" s="5"/>
      <c r="G920" s="11" t="str">
        <f>IF(ISERROR(AVERAGE(F$13:F920)),"n/a",AVERAGE(F$13:F920))</f>
        <v>n/a</v>
      </c>
      <c r="H920" s="11" t="str">
        <f t="shared" si="117"/>
        <v>n/a</v>
      </c>
      <c r="J920" s="5"/>
      <c r="K920" s="5"/>
      <c r="L920" s="5"/>
      <c r="M920" s="5"/>
      <c r="N920" s="5"/>
      <c r="O920" s="8" t="str">
        <f t="shared" si="115"/>
        <v>n/a</v>
      </c>
      <c r="Q920" s="5"/>
      <c r="R920" s="5"/>
      <c r="S920" s="5"/>
      <c r="U920" s="6"/>
      <c r="V920" s="9" t="str">
        <f t="shared" si="118"/>
        <v/>
      </c>
      <c r="W920" s="9" t="str">
        <f t="shared" si="119"/>
        <v/>
      </c>
      <c r="X920" s="10">
        <f>SUM(V$13:V920)/COUNTA(B$13:B920)</f>
        <v>0</v>
      </c>
      <c r="Z920" s="5"/>
      <c r="AA920" s="5"/>
      <c r="AC920" s="7"/>
      <c r="AE920" s="54" t="e">
        <f t="shared" si="120"/>
        <v>#N/A</v>
      </c>
      <c r="AF920" s="4" t="e">
        <f t="shared" si="116"/>
        <v>#N/A</v>
      </c>
    </row>
    <row r="921" spans="2:32">
      <c r="B921" s="5">
        <f t="shared" si="121"/>
        <v>909</v>
      </c>
      <c r="C921" s="5"/>
      <c r="E921" s="13"/>
      <c r="F921" s="5"/>
      <c r="G921" s="11" t="str">
        <f>IF(ISERROR(AVERAGE(F$13:F921)),"n/a",AVERAGE(F$13:F921))</f>
        <v>n/a</v>
      </c>
      <c r="H921" s="11" t="str">
        <f t="shared" si="117"/>
        <v>n/a</v>
      </c>
      <c r="J921" s="5"/>
      <c r="K921" s="5"/>
      <c r="L921" s="5"/>
      <c r="M921" s="5"/>
      <c r="N921" s="5"/>
      <c r="O921" s="8" t="str">
        <f t="shared" si="115"/>
        <v>n/a</v>
      </c>
      <c r="Q921" s="5"/>
      <c r="R921" s="5"/>
      <c r="S921" s="5"/>
      <c r="U921" s="6"/>
      <c r="V921" s="9" t="str">
        <f t="shared" si="118"/>
        <v/>
      </c>
      <c r="W921" s="9" t="str">
        <f t="shared" si="119"/>
        <v/>
      </c>
      <c r="X921" s="10">
        <f>SUM(V$13:V921)/COUNTA(B$13:B921)</f>
        <v>0</v>
      </c>
      <c r="Z921" s="5"/>
      <c r="AA921" s="5"/>
      <c r="AC921" s="7"/>
      <c r="AE921" s="54" t="e">
        <f t="shared" si="120"/>
        <v>#N/A</v>
      </c>
      <c r="AF921" s="4" t="e">
        <f t="shared" si="116"/>
        <v>#N/A</v>
      </c>
    </row>
    <row r="922" spans="2:32">
      <c r="B922" s="5">
        <f t="shared" si="121"/>
        <v>910</v>
      </c>
      <c r="C922" s="5"/>
      <c r="E922" s="13"/>
      <c r="F922" s="5"/>
      <c r="G922" s="11" t="str">
        <f>IF(ISERROR(AVERAGE(F$13:F922)),"n/a",AVERAGE(F$13:F922))</f>
        <v>n/a</v>
      </c>
      <c r="H922" s="11" t="str">
        <f t="shared" si="117"/>
        <v>n/a</v>
      </c>
      <c r="J922" s="5"/>
      <c r="K922" s="5"/>
      <c r="L922" s="5"/>
      <c r="M922" s="5"/>
      <c r="N922" s="5"/>
      <c r="O922" s="8" t="str">
        <f t="shared" si="115"/>
        <v>n/a</v>
      </c>
      <c r="Q922" s="5"/>
      <c r="R922" s="5"/>
      <c r="S922" s="5"/>
      <c r="U922" s="6"/>
      <c r="V922" s="9" t="str">
        <f t="shared" si="118"/>
        <v/>
      </c>
      <c r="W922" s="9" t="str">
        <f t="shared" si="119"/>
        <v/>
      </c>
      <c r="X922" s="10">
        <f>SUM(V$13:V922)/COUNTA(B$13:B922)</f>
        <v>0</v>
      </c>
      <c r="Z922" s="5"/>
      <c r="AA922" s="5"/>
      <c r="AC922" s="7"/>
      <c r="AE922" s="54" t="e">
        <f t="shared" si="120"/>
        <v>#N/A</v>
      </c>
      <c r="AF922" s="4" t="e">
        <f t="shared" si="116"/>
        <v>#N/A</v>
      </c>
    </row>
    <row r="923" spans="2:32">
      <c r="B923" s="5">
        <f t="shared" si="121"/>
        <v>911</v>
      </c>
      <c r="C923" s="5"/>
      <c r="E923" s="13"/>
      <c r="F923" s="5"/>
      <c r="G923" s="11" t="str">
        <f>IF(ISERROR(AVERAGE(F$13:F923)),"n/a",AVERAGE(F$13:F923))</f>
        <v>n/a</v>
      </c>
      <c r="H923" s="11" t="str">
        <f t="shared" si="117"/>
        <v>n/a</v>
      </c>
      <c r="J923" s="5"/>
      <c r="K923" s="5"/>
      <c r="L923" s="5"/>
      <c r="M923" s="5"/>
      <c r="N923" s="5"/>
      <c r="O923" s="8" t="str">
        <f t="shared" si="115"/>
        <v>n/a</v>
      </c>
      <c r="Q923" s="5"/>
      <c r="R923" s="5"/>
      <c r="S923" s="5"/>
      <c r="U923" s="6"/>
      <c r="V923" s="9" t="str">
        <f t="shared" si="118"/>
        <v/>
      </c>
      <c r="W923" s="9" t="str">
        <f t="shared" si="119"/>
        <v/>
      </c>
      <c r="X923" s="10">
        <f>SUM(V$13:V923)/COUNTA(B$13:B923)</f>
        <v>0</v>
      </c>
      <c r="Z923" s="5"/>
      <c r="AA923" s="5"/>
      <c r="AC923" s="7"/>
      <c r="AE923" s="54" t="e">
        <f t="shared" si="120"/>
        <v>#N/A</v>
      </c>
      <c r="AF923" s="4" t="e">
        <f t="shared" si="116"/>
        <v>#N/A</v>
      </c>
    </row>
    <row r="924" spans="2:32">
      <c r="B924" s="5">
        <f t="shared" si="121"/>
        <v>912</v>
      </c>
      <c r="C924" s="5"/>
      <c r="E924" s="13"/>
      <c r="F924" s="5"/>
      <c r="G924" s="11" t="str">
        <f>IF(ISERROR(AVERAGE(F$13:F924)),"n/a",AVERAGE(F$13:F924))</f>
        <v>n/a</v>
      </c>
      <c r="H924" s="11" t="str">
        <f t="shared" si="117"/>
        <v>n/a</v>
      </c>
      <c r="J924" s="5"/>
      <c r="K924" s="5"/>
      <c r="L924" s="5"/>
      <c r="M924" s="5"/>
      <c r="N924" s="5"/>
      <c r="O924" s="8" t="str">
        <f t="shared" si="115"/>
        <v>n/a</v>
      </c>
      <c r="Q924" s="5"/>
      <c r="R924" s="5"/>
      <c r="S924" s="5"/>
      <c r="U924" s="6"/>
      <c r="V924" s="9" t="str">
        <f t="shared" si="118"/>
        <v/>
      </c>
      <c r="W924" s="9" t="str">
        <f t="shared" si="119"/>
        <v/>
      </c>
      <c r="X924" s="10">
        <f>SUM(V$13:V924)/COUNTA(B$13:B924)</f>
        <v>0</v>
      </c>
      <c r="Z924" s="5"/>
      <c r="AA924" s="5"/>
      <c r="AC924" s="7"/>
      <c r="AE924" s="54" t="e">
        <f t="shared" si="120"/>
        <v>#N/A</v>
      </c>
      <c r="AF924" s="4" t="e">
        <f t="shared" si="116"/>
        <v>#N/A</v>
      </c>
    </row>
    <row r="925" spans="2:32">
      <c r="B925" s="5">
        <f t="shared" si="121"/>
        <v>913</v>
      </c>
      <c r="C925" s="5"/>
      <c r="E925" s="13"/>
      <c r="F925" s="5"/>
      <c r="G925" s="11" t="str">
        <f>IF(ISERROR(AVERAGE(F$13:F925)),"n/a",AVERAGE(F$13:F925))</f>
        <v>n/a</v>
      </c>
      <c r="H925" s="11" t="str">
        <f t="shared" si="117"/>
        <v>n/a</v>
      </c>
      <c r="J925" s="5"/>
      <c r="K925" s="5"/>
      <c r="L925" s="5"/>
      <c r="M925" s="5"/>
      <c r="N925" s="5"/>
      <c r="O925" s="8" t="str">
        <f t="shared" si="115"/>
        <v>n/a</v>
      </c>
      <c r="Q925" s="5"/>
      <c r="R925" s="5"/>
      <c r="S925" s="5"/>
      <c r="U925" s="6"/>
      <c r="V925" s="9" t="str">
        <f t="shared" si="118"/>
        <v/>
      </c>
      <c r="W925" s="9" t="str">
        <f t="shared" si="119"/>
        <v/>
      </c>
      <c r="X925" s="10">
        <f>SUM(V$13:V925)/COUNTA(B$13:B925)</f>
        <v>0</v>
      </c>
      <c r="Z925" s="5"/>
      <c r="AA925" s="5"/>
      <c r="AC925" s="7"/>
      <c r="AE925" s="54" t="e">
        <f t="shared" si="120"/>
        <v>#N/A</v>
      </c>
      <c r="AF925" s="4" t="e">
        <f t="shared" si="116"/>
        <v>#N/A</v>
      </c>
    </row>
    <row r="926" spans="2:32">
      <c r="B926" s="5">
        <f t="shared" si="121"/>
        <v>914</v>
      </c>
      <c r="C926" s="5"/>
      <c r="E926" s="13"/>
      <c r="F926" s="5"/>
      <c r="G926" s="11" t="str">
        <f>IF(ISERROR(AVERAGE(F$13:F926)),"n/a",AVERAGE(F$13:F926))</f>
        <v>n/a</v>
      </c>
      <c r="H926" s="11" t="str">
        <f t="shared" si="117"/>
        <v>n/a</v>
      </c>
      <c r="J926" s="5"/>
      <c r="K926" s="5"/>
      <c r="L926" s="5"/>
      <c r="M926" s="5"/>
      <c r="N926" s="5"/>
      <c r="O926" s="8" t="str">
        <f t="shared" si="115"/>
        <v>n/a</v>
      </c>
      <c r="Q926" s="5"/>
      <c r="R926" s="5"/>
      <c r="S926" s="5"/>
      <c r="U926" s="6"/>
      <c r="V926" s="9" t="str">
        <f t="shared" si="118"/>
        <v/>
      </c>
      <c r="W926" s="9" t="str">
        <f t="shared" si="119"/>
        <v/>
      </c>
      <c r="X926" s="10">
        <f>SUM(V$13:V926)/COUNTA(B$13:B926)</f>
        <v>0</v>
      </c>
      <c r="Z926" s="5"/>
      <c r="AA926" s="5"/>
      <c r="AC926" s="7"/>
      <c r="AE926" s="54" t="e">
        <f t="shared" si="120"/>
        <v>#N/A</v>
      </c>
      <c r="AF926" s="4" t="e">
        <f t="shared" si="116"/>
        <v>#N/A</v>
      </c>
    </row>
    <row r="927" spans="2:32">
      <c r="B927" s="5">
        <f t="shared" si="121"/>
        <v>915</v>
      </c>
      <c r="C927" s="5"/>
      <c r="E927" s="13"/>
      <c r="F927" s="5"/>
      <c r="G927" s="11" t="str">
        <f>IF(ISERROR(AVERAGE(F$13:F927)),"n/a",AVERAGE(F$13:F927))</f>
        <v>n/a</v>
      </c>
      <c r="H927" s="11" t="str">
        <f t="shared" si="117"/>
        <v>n/a</v>
      </c>
      <c r="J927" s="5"/>
      <c r="K927" s="5"/>
      <c r="L927" s="5"/>
      <c r="M927" s="5"/>
      <c r="N927" s="5"/>
      <c r="O927" s="8" t="str">
        <f t="shared" si="115"/>
        <v>n/a</v>
      </c>
      <c r="Q927" s="5"/>
      <c r="R927" s="5"/>
      <c r="S927" s="5"/>
      <c r="U927" s="6"/>
      <c r="V927" s="9" t="str">
        <f t="shared" si="118"/>
        <v/>
      </c>
      <c r="W927" s="9" t="str">
        <f t="shared" si="119"/>
        <v/>
      </c>
      <c r="X927" s="10">
        <f>SUM(V$13:V927)/COUNTA(B$13:B927)</f>
        <v>0</v>
      </c>
      <c r="Z927" s="5"/>
      <c r="AA927" s="5"/>
      <c r="AC927" s="7"/>
      <c r="AE927" s="54" t="e">
        <f t="shared" si="120"/>
        <v>#N/A</v>
      </c>
      <c r="AF927" s="4" t="e">
        <f t="shared" si="116"/>
        <v>#N/A</v>
      </c>
    </row>
    <row r="928" spans="2:32">
      <c r="B928" s="5">
        <f t="shared" si="121"/>
        <v>916</v>
      </c>
      <c r="C928" s="5"/>
      <c r="E928" s="13"/>
      <c r="F928" s="5"/>
      <c r="G928" s="11" t="str">
        <f>IF(ISERROR(AVERAGE(F$13:F928)),"n/a",AVERAGE(F$13:F928))</f>
        <v>n/a</v>
      </c>
      <c r="H928" s="11" t="str">
        <f t="shared" si="117"/>
        <v>n/a</v>
      </c>
      <c r="J928" s="5"/>
      <c r="K928" s="5"/>
      <c r="L928" s="5"/>
      <c r="M928" s="5"/>
      <c r="N928" s="5"/>
      <c r="O928" s="8" t="str">
        <f t="shared" si="115"/>
        <v>n/a</v>
      </c>
      <c r="Q928" s="5"/>
      <c r="R928" s="5"/>
      <c r="S928" s="5"/>
      <c r="U928" s="6"/>
      <c r="V928" s="9" t="str">
        <f t="shared" si="118"/>
        <v/>
      </c>
      <c r="W928" s="9" t="str">
        <f t="shared" si="119"/>
        <v/>
      </c>
      <c r="X928" s="10">
        <f>SUM(V$13:V928)/COUNTA(B$13:B928)</f>
        <v>0</v>
      </c>
      <c r="Z928" s="5"/>
      <c r="AA928" s="5"/>
      <c r="AC928" s="7"/>
      <c r="AE928" s="54" t="e">
        <f t="shared" si="120"/>
        <v>#N/A</v>
      </c>
      <c r="AF928" s="4" t="e">
        <f t="shared" si="116"/>
        <v>#N/A</v>
      </c>
    </row>
    <row r="929" spans="2:32">
      <c r="B929" s="5">
        <f t="shared" si="121"/>
        <v>917</v>
      </c>
      <c r="C929" s="5"/>
      <c r="E929" s="13"/>
      <c r="F929" s="5"/>
      <c r="G929" s="11" t="str">
        <f>IF(ISERROR(AVERAGE(F$13:F929)),"n/a",AVERAGE(F$13:F929))</f>
        <v>n/a</v>
      </c>
      <c r="H929" s="11" t="str">
        <f t="shared" si="117"/>
        <v>n/a</v>
      </c>
      <c r="J929" s="5"/>
      <c r="K929" s="5"/>
      <c r="L929" s="5"/>
      <c r="M929" s="5"/>
      <c r="N929" s="5"/>
      <c r="O929" s="8" t="str">
        <f t="shared" si="115"/>
        <v>n/a</v>
      </c>
      <c r="Q929" s="5"/>
      <c r="R929" s="5"/>
      <c r="S929" s="5"/>
      <c r="U929" s="6"/>
      <c r="V929" s="9" t="str">
        <f t="shared" si="118"/>
        <v/>
      </c>
      <c r="W929" s="9" t="str">
        <f t="shared" si="119"/>
        <v/>
      </c>
      <c r="X929" s="10">
        <f>SUM(V$13:V929)/COUNTA(B$13:B929)</f>
        <v>0</v>
      </c>
      <c r="Z929" s="5"/>
      <c r="AA929" s="5"/>
      <c r="AC929" s="7"/>
      <c r="AE929" s="54" t="e">
        <f t="shared" si="120"/>
        <v>#N/A</v>
      </c>
      <c r="AF929" s="4" t="e">
        <f t="shared" si="116"/>
        <v>#N/A</v>
      </c>
    </row>
    <row r="930" spans="2:32">
      <c r="B930" s="5">
        <f t="shared" si="121"/>
        <v>918</v>
      </c>
      <c r="C930" s="5"/>
      <c r="E930" s="13"/>
      <c r="F930" s="5"/>
      <c r="G930" s="11" t="str">
        <f>IF(ISERROR(AVERAGE(F$13:F930)),"n/a",AVERAGE(F$13:F930))</f>
        <v>n/a</v>
      </c>
      <c r="H930" s="11" t="str">
        <f t="shared" si="117"/>
        <v>n/a</v>
      </c>
      <c r="J930" s="5"/>
      <c r="K930" s="5"/>
      <c r="L930" s="5"/>
      <c r="M930" s="5"/>
      <c r="N930" s="5"/>
      <c r="O930" s="8" t="str">
        <f t="shared" si="115"/>
        <v>n/a</v>
      </c>
      <c r="Q930" s="5"/>
      <c r="R930" s="5"/>
      <c r="S930" s="5"/>
      <c r="U930" s="6"/>
      <c r="V930" s="9" t="str">
        <f t="shared" si="118"/>
        <v/>
      </c>
      <c r="W930" s="9" t="str">
        <f t="shared" si="119"/>
        <v/>
      </c>
      <c r="X930" s="10">
        <f>SUM(V$13:V930)/COUNTA(B$13:B930)</f>
        <v>0</v>
      </c>
      <c r="Z930" s="5"/>
      <c r="AA930" s="5"/>
      <c r="AC930" s="7"/>
      <c r="AE930" s="54" t="e">
        <f t="shared" si="120"/>
        <v>#N/A</v>
      </c>
      <c r="AF930" s="4" t="e">
        <f t="shared" si="116"/>
        <v>#N/A</v>
      </c>
    </row>
    <row r="931" spans="2:32">
      <c r="B931" s="5">
        <f t="shared" si="121"/>
        <v>919</v>
      </c>
      <c r="C931" s="5"/>
      <c r="E931" s="13"/>
      <c r="F931" s="5"/>
      <c r="G931" s="11" t="str">
        <f>IF(ISERROR(AVERAGE(F$13:F931)),"n/a",AVERAGE(F$13:F931))</f>
        <v>n/a</v>
      </c>
      <c r="H931" s="11" t="str">
        <f t="shared" si="117"/>
        <v>n/a</v>
      </c>
      <c r="J931" s="5"/>
      <c r="K931" s="5"/>
      <c r="L931" s="5"/>
      <c r="M931" s="5"/>
      <c r="N931" s="5"/>
      <c r="O931" s="8" t="str">
        <f t="shared" si="115"/>
        <v>n/a</v>
      </c>
      <c r="Q931" s="5"/>
      <c r="R931" s="5"/>
      <c r="S931" s="5"/>
      <c r="U931" s="6"/>
      <c r="V931" s="9" t="str">
        <f t="shared" si="118"/>
        <v/>
      </c>
      <c r="W931" s="9" t="str">
        <f t="shared" si="119"/>
        <v/>
      </c>
      <c r="X931" s="10">
        <f>SUM(V$13:V931)/COUNTA(B$13:B931)</f>
        <v>0</v>
      </c>
      <c r="Z931" s="5"/>
      <c r="AA931" s="5"/>
      <c r="AC931" s="7"/>
      <c r="AE931" s="54" t="e">
        <f t="shared" si="120"/>
        <v>#N/A</v>
      </c>
      <c r="AF931" s="4" t="e">
        <f t="shared" si="116"/>
        <v>#N/A</v>
      </c>
    </row>
    <row r="932" spans="2:32">
      <c r="B932" s="5">
        <f t="shared" si="121"/>
        <v>920</v>
      </c>
      <c r="C932" s="5"/>
      <c r="E932" s="13"/>
      <c r="F932" s="5"/>
      <c r="G932" s="11" t="str">
        <f>IF(ISERROR(AVERAGE(F$13:F932)),"n/a",AVERAGE(F$13:F932))</f>
        <v>n/a</v>
      </c>
      <c r="H932" s="11" t="str">
        <f t="shared" si="117"/>
        <v>n/a</v>
      </c>
      <c r="J932" s="5"/>
      <c r="K932" s="5"/>
      <c r="L932" s="5"/>
      <c r="M932" s="5"/>
      <c r="N932" s="5"/>
      <c r="O932" s="8" t="str">
        <f t="shared" si="115"/>
        <v>n/a</v>
      </c>
      <c r="Q932" s="5"/>
      <c r="R932" s="5"/>
      <c r="S932" s="5"/>
      <c r="U932" s="6"/>
      <c r="V932" s="9" t="str">
        <f t="shared" si="118"/>
        <v/>
      </c>
      <c r="W932" s="9" t="str">
        <f t="shared" si="119"/>
        <v/>
      </c>
      <c r="X932" s="10">
        <f>SUM(V$13:V932)/COUNTA(B$13:B932)</f>
        <v>0</v>
      </c>
      <c r="Z932" s="5"/>
      <c r="AA932" s="5"/>
      <c r="AC932" s="7"/>
      <c r="AE932" s="54" t="e">
        <f t="shared" si="120"/>
        <v>#N/A</v>
      </c>
      <c r="AF932" s="4" t="e">
        <f t="shared" si="116"/>
        <v>#N/A</v>
      </c>
    </row>
    <row r="933" spans="2:32">
      <c r="B933" s="5">
        <f t="shared" si="121"/>
        <v>921</v>
      </c>
      <c r="C933" s="5"/>
      <c r="E933" s="13"/>
      <c r="F933" s="5"/>
      <c r="G933" s="11" t="str">
        <f>IF(ISERROR(AVERAGE(F$13:F933)),"n/a",AVERAGE(F$13:F933))</f>
        <v>n/a</v>
      </c>
      <c r="H933" s="11" t="str">
        <f t="shared" si="117"/>
        <v>n/a</v>
      </c>
      <c r="J933" s="5"/>
      <c r="K933" s="5"/>
      <c r="L933" s="5"/>
      <c r="M933" s="5"/>
      <c r="N933" s="5"/>
      <c r="O933" s="8" t="str">
        <f t="shared" si="115"/>
        <v>n/a</v>
      </c>
      <c r="Q933" s="5"/>
      <c r="R933" s="5"/>
      <c r="S933" s="5"/>
      <c r="U933" s="6"/>
      <c r="V933" s="9" t="str">
        <f t="shared" si="118"/>
        <v/>
      </c>
      <c r="W933" s="9" t="str">
        <f t="shared" si="119"/>
        <v/>
      </c>
      <c r="X933" s="10">
        <f>SUM(V$13:V933)/COUNTA(B$13:B933)</f>
        <v>0</v>
      </c>
      <c r="Z933" s="5"/>
      <c r="AA933" s="5"/>
      <c r="AC933" s="7"/>
      <c r="AE933" s="54" t="e">
        <f t="shared" si="120"/>
        <v>#N/A</v>
      </c>
      <c r="AF933" s="4" t="e">
        <f t="shared" si="116"/>
        <v>#N/A</v>
      </c>
    </row>
    <row r="934" spans="2:32">
      <c r="B934" s="5">
        <f t="shared" si="121"/>
        <v>922</v>
      </c>
      <c r="C934" s="5"/>
      <c r="E934" s="13"/>
      <c r="F934" s="5"/>
      <c r="G934" s="11" t="str">
        <f>IF(ISERROR(AVERAGE(F$13:F934)),"n/a",AVERAGE(F$13:F934))</f>
        <v>n/a</v>
      </c>
      <c r="H934" s="11" t="str">
        <f t="shared" si="117"/>
        <v>n/a</v>
      </c>
      <c r="J934" s="5"/>
      <c r="K934" s="5"/>
      <c r="L934" s="5"/>
      <c r="M934" s="5"/>
      <c r="N934" s="5"/>
      <c r="O934" s="8" t="str">
        <f t="shared" si="115"/>
        <v>n/a</v>
      </c>
      <c r="Q934" s="5"/>
      <c r="R934" s="5"/>
      <c r="S934" s="5"/>
      <c r="U934" s="6"/>
      <c r="V934" s="9" t="str">
        <f t="shared" si="118"/>
        <v/>
      </c>
      <c r="W934" s="9" t="str">
        <f t="shared" si="119"/>
        <v/>
      </c>
      <c r="X934" s="10">
        <f>SUM(V$13:V934)/COUNTA(B$13:B934)</f>
        <v>0</v>
      </c>
      <c r="Z934" s="5"/>
      <c r="AA934" s="5"/>
      <c r="AC934" s="7"/>
      <c r="AE934" s="54" t="e">
        <f t="shared" si="120"/>
        <v>#N/A</v>
      </c>
      <c r="AF934" s="4" t="e">
        <f t="shared" si="116"/>
        <v>#N/A</v>
      </c>
    </row>
    <row r="935" spans="2:32">
      <c r="B935" s="5">
        <f t="shared" si="121"/>
        <v>923</v>
      </c>
      <c r="C935" s="5"/>
      <c r="E935" s="13"/>
      <c r="F935" s="5"/>
      <c r="G935" s="11" t="str">
        <f>IF(ISERROR(AVERAGE(F$13:F935)),"n/a",AVERAGE(F$13:F935))</f>
        <v>n/a</v>
      </c>
      <c r="H935" s="11" t="str">
        <f t="shared" si="117"/>
        <v>n/a</v>
      </c>
      <c r="J935" s="5"/>
      <c r="K935" s="5"/>
      <c r="L935" s="5"/>
      <c r="M935" s="5"/>
      <c r="N935" s="5"/>
      <c r="O935" s="8" t="str">
        <f t="shared" si="115"/>
        <v>n/a</v>
      </c>
      <c r="Q935" s="5"/>
      <c r="R935" s="5"/>
      <c r="S935" s="5"/>
      <c r="U935" s="6"/>
      <c r="V935" s="9" t="str">
        <f t="shared" si="118"/>
        <v/>
      </c>
      <c r="W935" s="9" t="str">
        <f t="shared" si="119"/>
        <v/>
      </c>
      <c r="X935" s="10">
        <f>SUM(V$13:V935)/COUNTA(B$13:B935)</f>
        <v>0</v>
      </c>
      <c r="Z935" s="5"/>
      <c r="AA935" s="5"/>
      <c r="AC935" s="7"/>
      <c r="AE935" s="54" t="e">
        <f t="shared" si="120"/>
        <v>#N/A</v>
      </c>
      <c r="AF935" s="4" t="e">
        <f t="shared" si="116"/>
        <v>#N/A</v>
      </c>
    </row>
    <row r="936" spans="2:32">
      <c r="B936" s="5">
        <f t="shared" si="121"/>
        <v>924</v>
      </c>
      <c r="C936" s="5"/>
      <c r="E936" s="13"/>
      <c r="F936" s="5"/>
      <c r="G936" s="11" t="str">
        <f>IF(ISERROR(AVERAGE(F$13:F936)),"n/a",AVERAGE(F$13:F936))</f>
        <v>n/a</v>
      </c>
      <c r="H936" s="11" t="str">
        <f t="shared" si="117"/>
        <v>n/a</v>
      </c>
      <c r="J936" s="5"/>
      <c r="K936" s="5"/>
      <c r="L936" s="5"/>
      <c r="M936" s="5"/>
      <c r="N936" s="5"/>
      <c r="O936" s="8" t="str">
        <f t="shared" si="115"/>
        <v>n/a</v>
      </c>
      <c r="Q936" s="5"/>
      <c r="R936" s="5"/>
      <c r="S936" s="5"/>
      <c r="U936" s="6"/>
      <c r="V936" s="9" t="str">
        <f t="shared" si="118"/>
        <v/>
      </c>
      <c r="W936" s="9" t="str">
        <f t="shared" si="119"/>
        <v/>
      </c>
      <c r="X936" s="10">
        <f>SUM(V$13:V936)/COUNTA(B$13:B936)</f>
        <v>0</v>
      </c>
      <c r="Z936" s="5"/>
      <c r="AA936" s="5"/>
      <c r="AC936" s="7"/>
      <c r="AE936" s="54" t="e">
        <f t="shared" si="120"/>
        <v>#N/A</v>
      </c>
      <c r="AF936" s="4" t="e">
        <f t="shared" si="116"/>
        <v>#N/A</v>
      </c>
    </row>
    <row r="937" spans="2:32">
      <c r="B937" s="5">
        <f t="shared" si="121"/>
        <v>925</v>
      </c>
      <c r="C937" s="5"/>
      <c r="E937" s="13"/>
      <c r="F937" s="5"/>
      <c r="G937" s="11" t="str">
        <f>IF(ISERROR(AVERAGE(F$13:F937)),"n/a",AVERAGE(F$13:F937))</f>
        <v>n/a</v>
      </c>
      <c r="H937" s="11" t="str">
        <f t="shared" si="117"/>
        <v>n/a</v>
      </c>
      <c r="J937" s="5"/>
      <c r="K937" s="5"/>
      <c r="L937" s="5"/>
      <c r="M937" s="5"/>
      <c r="N937" s="5"/>
      <c r="O937" s="8" t="str">
        <f t="shared" si="115"/>
        <v>n/a</v>
      </c>
      <c r="Q937" s="5"/>
      <c r="R937" s="5"/>
      <c r="S937" s="5"/>
      <c r="U937" s="6"/>
      <c r="V937" s="9" t="str">
        <f t="shared" si="118"/>
        <v/>
      </c>
      <c r="W937" s="9" t="str">
        <f t="shared" si="119"/>
        <v/>
      </c>
      <c r="X937" s="10">
        <f>SUM(V$13:V937)/COUNTA(B$13:B937)</f>
        <v>0</v>
      </c>
      <c r="Z937" s="5"/>
      <c r="AA937" s="5"/>
      <c r="AC937" s="7"/>
      <c r="AE937" s="54" t="e">
        <f t="shared" si="120"/>
        <v>#N/A</v>
      </c>
      <c r="AF937" s="4" t="e">
        <f t="shared" si="116"/>
        <v>#N/A</v>
      </c>
    </row>
    <row r="938" spans="2:32">
      <c r="B938" s="5">
        <f t="shared" si="121"/>
        <v>926</v>
      </c>
      <c r="C938" s="5"/>
      <c r="E938" s="13"/>
      <c r="F938" s="5"/>
      <c r="G938" s="11" t="str">
        <f>IF(ISERROR(AVERAGE(F$13:F938)),"n/a",AVERAGE(F$13:F938))</f>
        <v>n/a</v>
      </c>
      <c r="H938" s="11" t="str">
        <f t="shared" si="117"/>
        <v>n/a</v>
      </c>
      <c r="J938" s="5"/>
      <c r="K938" s="5"/>
      <c r="L938" s="5"/>
      <c r="M938" s="5"/>
      <c r="N938" s="5"/>
      <c r="O938" s="8" t="str">
        <f t="shared" si="115"/>
        <v>n/a</v>
      </c>
      <c r="Q938" s="5"/>
      <c r="R938" s="5"/>
      <c r="S938" s="5"/>
      <c r="U938" s="6"/>
      <c r="V938" s="9" t="str">
        <f t="shared" si="118"/>
        <v/>
      </c>
      <c r="W938" s="9" t="str">
        <f t="shared" si="119"/>
        <v/>
      </c>
      <c r="X938" s="10">
        <f>SUM(V$13:V938)/COUNTA(B$13:B938)</f>
        <v>0</v>
      </c>
      <c r="Z938" s="5"/>
      <c r="AA938" s="5"/>
      <c r="AC938" s="7"/>
      <c r="AE938" s="54" t="e">
        <f t="shared" si="120"/>
        <v>#N/A</v>
      </c>
      <c r="AF938" s="4" t="e">
        <f t="shared" si="116"/>
        <v>#N/A</v>
      </c>
    </row>
    <row r="939" spans="2:32">
      <c r="B939" s="5">
        <f t="shared" si="121"/>
        <v>927</v>
      </c>
      <c r="C939" s="5"/>
      <c r="E939" s="13"/>
      <c r="F939" s="5"/>
      <c r="G939" s="11" t="str">
        <f>IF(ISERROR(AVERAGE(F$13:F939)),"n/a",AVERAGE(F$13:F939))</f>
        <v>n/a</v>
      </c>
      <c r="H939" s="11" t="str">
        <f t="shared" si="117"/>
        <v>n/a</v>
      </c>
      <c r="J939" s="5"/>
      <c r="K939" s="5"/>
      <c r="L939" s="5"/>
      <c r="M939" s="5"/>
      <c r="N939" s="5"/>
      <c r="O939" s="8" t="str">
        <f t="shared" si="115"/>
        <v>n/a</v>
      </c>
      <c r="Q939" s="5"/>
      <c r="R939" s="5"/>
      <c r="S939" s="5"/>
      <c r="U939" s="6"/>
      <c r="V939" s="9" t="str">
        <f t="shared" si="118"/>
        <v/>
      </c>
      <c r="W939" s="9" t="str">
        <f t="shared" si="119"/>
        <v/>
      </c>
      <c r="X939" s="10">
        <f>SUM(V$13:V939)/COUNTA(B$13:B939)</f>
        <v>0</v>
      </c>
      <c r="Z939" s="5"/>
      <c r="AA939" s="5"/>
      <c r="AC939" s="7"/>
      <c r="AE939" s="54" t="e">
        <f t="shared" si="120"/>
        <v>#N/A</v>
      </c>
      <c r="AF939" s="4" t="e">
        <f t="shared" si="116"/>
        <v>#N/A</v>
      </c>
    </row>
    <row r="940" spans="2:32">
      <c r="B940" s="5">
        <f t="shared" si="121"/>
        <v>928</v>
      </c>
      <c r="C940" s="5"/>
      <c r="E940" s="13"/>
      <c r="F940" s="5"/>
      <c r="G940" s="11" t="str">
        <f>IF(ISERROR(AVERAGE(F$13:F940)),"n/a",AVERAGE(F$13:F940))</f>
        <v>n/a</v>
      </c>
      <c r="H940" s="11" t="str">
        <f t="shared" si="117"/>
        <v>n/a</v>
      </c>
      <c r="J940" s="5"/>
      <c r="K940" s="5"/>
      <c r="L940" s="5"/>
      <c r="M940" s="5"/>
      <c r="N940" s="5"/>
      <c r="O940" s="8" t="str">
        <f t="shared" si="115"/>
        <v>n/a</v>
      </c>
      <c r="Q940" s="5"/>
      <c r="R940" s="5"/>
      <c r="S940" s="5"/>
      <c r="U940" s="6"/>
      <c r="V940" s="9" t="str">
        <f t="shared" si="118"/>
        <v/>
      </c>
      <c r="W940" s="9" t="str">
        <f t="shared" si="119"/>
        <v/>
      </c>
      <c r="X940" s="10">
        <f>SUM(V$13:V940)/COUNTA(B$13:B940)</f>
        <v>0</v>
      </c>
      <c r="Z940" s="5"/>
      <c r="AA940" s="5"/>
      <c r="AC940" s="7"/>
      <c r="AE940" s="54" t="e">
        <f t="shared" si="120"/>
        <v>#N/A</v>
      </c>
      <c r="AF940" s="4" t="e">
        <f t="shared" si="116"/>
        <v>#N/A</v>
      </c>
    </row>
    <row r="941" spans="2:32">
      <c r="B941" s="5">
        <f t="shared" si="121"/>
        <v>929</v>
      </c>
      <c r="C941" s="5"/>
      <c r="E941" s="13"/>
      <c r="F941" s="5"/>
      <c r="G941" s="11" t="str">
        <f>IF(ISERROR(AVERAGE(F$13:F941)),"n/a",AVERAGE(F$13:F941))</f>
        <v>n/a</v>
      </c>
      <c r="H941" s="11" t="str">
        <f t="shared" si="117"/>
        <v>n/a</v>
      </c>
      <c r="J941" s="5"/>
      <c r="K941" s="5"/>
      <c r="L941" s="5"/>
      <c r="M941" s="5"/>
      <c r="N941" s="5"/>
      <c r="O941" s="8" t="str">
        <f t="shared" si="115"/>
        <v>n/a</v>
      </c>
      <c r="Q941" s="5"/>
      <c r="R941" s="5"/>
      <c r="S941" s="5"/>
      <c r="U941" s="6"/>
      <c r="V941" s="9" t="str">
        <f t="shared" si="118"/>
        <v/>
      </c>
      <c r="W941" s="9" t="str">
        <f t="shared" si="119"/>
        <v/>
      </c>
      <c r="X941" s="10">
        <f>SUM(V$13:V941)/COUNTA(B$13:B941)</f>
        <v>0</v>
      </c>
      <c r="Z941" s="5"/>
      <c r="AA941" s="5"/>
      <c r="AC941" s="7"/>
      <c r="AE941" s="54" t="e">
        <f t="shared" si="120"/>
        <v>#N/A</v>
      </c>
      <c r="AF941" s="4" t="e">
        <f t="shared" si="116"/>
        <v>#N/A</v>
      </c>
    </row>
    <row r="942" spans="2:32">
      <c r="B942" s="5">
        <f t="shared" si="121"/>
        <v>930</v>
      </c>
      <c r="C942" s="5"/>
      <c r="E942" s="13"/>
      <c r="F942" s="5"/>
      <c r="G942" s="11" t="str">
        <f>IF(ISERROR(AVERAGE(F$13:F942)),"n/a",AVERAGE(F$13:F942))</f>
        <v>n/a</v>
      </c>
      <c r="H942" s="11" t="str">
        <f t="shared" si="117"/>
        <v>n/a</v>
      </c>
      <c r="J942" s="5"/>
      <c r="K942" s="5"/>
      <c r="L942" s="5"/>
      <c r="M942" s="5"/>
      <c r="N942" s="5"/>
      <c r="O942" s="8" t="str">
        <f t="shared" si="115"/>
        <v>n/a</v>
      </c>
      <c r="Q942" s="5"/>
      <c r="R942" s="5"/>
      <c r="S942" s="5"/>
      <c r="U942" s="6"/>
      <c r="V942" s="9" t="str">
        <f t="shared" si="118"/>
        <v/>
      </c>
      <c r="W942" s="9" t="str">
        <f t="shared" si="119"/>
        <v/>
      </c>
      <c r="X942" s="10">
        <f>SUM(V$13:V942)/COUNTA(B$13:B942)</f>
        <v>0</v>
      </c>
      <c r="Z942" s="5"/>
      <c r="AA942" s="5"/>
      <c r="AC942" s="7"/>
      <c r="AE942" s="54" t="e">
        <f t="shared" si="120"/>
        <v>#N/A</v>
      </c>
      <c r="AF942" s="4" t="e">
        <f t="shared" si="116"/>
        <v>#N/A</v>
      </c>
    </row>
    <row r="943" spans="2:32">
      <c r="B943" s="5">
        <f t="shared" si="121"/>
        <v>931</v>
      </c>
      <c r="C943" s="5"/>
      <c r="E943" s="13"/>
      <c r="F943" s="5"/>
      <c r="G943" s="11" t="str">
        <f>IF(ISERROR(AVERAGE(F$13:F943)),"n/a",AVERAGE(F$13:F943))</f>
        <v>n/a</v>
      </c>
      <c r="H943" s="11" t="str">
        <f t="shared" si="117"/>
        <v>n/a</v>
      </c>
      <c r="J943" s="5"/>
      <c r="K943" s="5"/>
      <c r="L943" s="5"/>
      <c r="M943" s="5"/>
      <c r="N943" s="5"/>
      <c r="O943" s="8" t="str">
        <f t="shared" si="115"/>
        <v>n/a</v>
      </c>
      <c r="Q943" s="5"/>
      <c r="R943" s="5"/>
      <c r="S943" s="5"/>
      <c r="U943" s="6"/>
      <c r="V943" s="9" t="str">
        <f t="shared" si="118"/>
        <v/>
      </c>
      <c r="W943" s="9" t="str">
        <f t="shared" si="119"/>
        <v/>
      </c>
      <c r="X943" s="10">
        <f>SUM(V$13:V943)/COUNTA(B$13:B943)</f>
        <v>0</v>
      </c>
      <c r="Z943" s="5"/>
      <c r="AA943" s="5"/>
      <c r="AC943" s="7"/>
      <c r="AE943" s="54" t="e">
        <f t="shared" si="120"/>
        <v>#N/A</v>
      </c>
      <c r="AF943" s="4" t="e">
        <f t="shared" si="116"/>
        <v>#N/A</v>
      </c>
    </row>
    <row r="944" spans="2:32">
      <c r="B944" s="5">
        <f t="shared" si="121"/>
        <v>932</v>
      </c>
      <c r="C944" s="5"/>
      <c r="E944" s="13"/>
      <c r="F944" s="5"/>
      <c r="G944" s="11" t="str">
        <f>IF(ISERROR(AVERAGE(F$13:F944)),"n/a",AVERAGE(F$13:F944))</f>
        <v>n/a</v>
      </c>
      <c r="H944" s="11" t="str">
        <f t="shared" si="117"/>
        <v>n/a</v>
      </c>
      <c r="J944" s="5"/>
      <c r="K944" s="5"/>
      <c r="L944" s="5"/>
      <c r="M944" s="5"/>
      <c r="N944" s="5"/>
      <c r="O944" s="8" t="str">
        <f t="shared" si="115"/>
        <v>n/a</v>
      </c>
      <c r="Q944" s="5"/>
      <c r="R944" s="5"/>
      <c r="S944" s="5"/>
      <c r="U944" s="6"/>
      <c r="V944" s="9" t="str">
        <f t="shared" si="118"/>
        <v/>
      </c>
      <c r="W944" s="9" t="str">
        <f t="shared" si="119"/>
        <v/>
      </c>
      <c r="X944" s="10">
        <f>SUM(V$13:V944)/COUNTA(B$13:B944)</f>
        <v>0</v>
      </c>
      <c r="Z944" s="5"/>
      <c r="AA944" s="5"/>
      <c r="AC944" s="7"/>
      <c r="AE944" s="54" t="e">
        <f t="shared" si="120"/>
        <v>#N/A</v>
      </c>
      <c r="AF944" s="4" t="e">
        <f t="shared" si="116"/>
        <v>#N/A</v>
      </c>
    </row>
    <row r="945" spans="2:32">
      <c r="B945" s="5">
        <f t="shared" si="121"/>
        <v>933</v>
      </c>
      <c r="C945" s="5"/>
      <c r="E945" s="13"/>
      <c r="F945" s="5"/>
      <c r="G945" s="11" t="str">
        <f>IF(ISERROR(AVERAGE(F$13:F945)),"n/a",AVERAGE(F$13:F945))</f>
        <v>n/a</v>
      </c>
      <c r="H945" s="11" t="str">
        <f t="shared" si="117"/>
        <v>n/a</v>
      </c>
      <c r="J945" s="5"/>
      <c r="K945" s="5"/>
      <c r="L945" s="5"/>
      <c r="M945" s="5"/>
      <c r="N945" s="5"/>
      <c r="O945" s="8" t="str">
        <f t="shared" si="115"/>
        <v>n/a</v>
      </c>
      <c r="Q945" s="5"/>
      <c r="R945" s="5"/>
      <c r="S945" s="5"/>
      <c r="U945" s="6"/>
      <c r="V945" s="9" t="str">
        <f t="shared" si="118"/>
        <v/>
      </c>
      <c r="W945" s="9" t="str">
        <f t="shared" si="119"/>
        <v/>
      </c>
      <c r="X945" s="10">
        <f>SUM(V$13:V945)/COUNTA(B$13:B945)</f>
        <v>0</v>
      </c>
      <c r="Z945" s="5"/>
      <c r="AA945" s="5"/>
      <c r="AC945" s="7"/>
      <c r="AE945" s="54" t="e">
        <f t="shared" si="120"/>
        <v>#N/A</v>
      </c>
      <c r="AF945" s="4" t="e">
        <f t="shared" si="116"/>
        <v>#N/A</v>
      </c>
    </row>
    <row r="946" spans="2:32">
      <c r="B946" s="5">
        <f t="shared" si="121"/>
        <v>934</v>
      </c>
      <c r="C946" s="5"/>
      <c r="E946" s="13"/>
      <c r="F946" s="5"/>
      <c r="G946" s="11" t="str">
        <f>IF(ISERROR(AVERAGE(F$13:F946)),"n/a",AVERAGE(F$13:F946))</f>
        <v>n/a</v>
      </c>
      <c r="H946" s="11" t="str">
        <f t="shared" si="117"/>
        <v>n/a</v>
      </c>
      <c r="J946" s="5"/>
      <c r="K946" s="5"/>
      <c r="L946" s="5"/>
      <c r="M946" s="5"/>
      <c r="N946" s="5"/>
      <c r="O946" s="8" t="str">
        <f t="shared" si="115"/>
        <v>n/a</v>
      </c>
      <c r="Q946" s="5"/>
      <c r="R946" s="5"/>
      <c r="S946" s="5"/>
      <c r="U946" s="6"/>
      <c r="V946" s="9" t="str">
        <f t="shared" si="118"/>
        <v/>
      </c>
      <c r="W946" s="9" t="str">
        <f t="shared" si="119"/>
        <v/>
      </c>
      <c r="X946" s="10">
        <f>SUM(V$13:V946)/COUNTA(B$13:B946)</f>
        <v>0</v>
      </c>
      <c r="Z946" s="5"/>
      <c r="AA946" s="5"/>
      <c r="AC946" s="7"/>
      <c r="AE946" s="54" t="e">
        <f t="shared" si="120"/>
        <v>#N/A</v>
      </c>
      <c r="AF946" s="4" t="e">
        <f t="shared" si="116"/>
        <v>#N/A</v>
      </c>
    </row>
    <row r="947" spans="2:32">
      <c r="B947" s="5">
        <f t="shared" si="121"/>
        <v>935</v>
      </c>
      <c r="C947" s="5"/>
      <c r="E947" s="13"/>
      <c r="F947" s="5"/>
      <c r="G947" s="11" t="str">
        <f>IF(ISERROR(AVERAGE(F$13:F947)),"n/a",AVERAGE(F$13:F947))</f>
        <v>n/a</v>
      </c>
      <c r="H947" s="11" t="str">
        <f t="shared" si="117"/>
        <v>n/a</v>
      </c>
      <c r="J947" s="5"/>
      <c r="K947" s="5"/>
      <c r="L947" s="5"/>
      <c r="M947" s="5"/>
      <c r="N947" s="5"/>
      <c r="O947" s="8" t="str">
        <f t="shared" si="115"/>
        <v>n/a</v>
      </c>
      <c r="Q947" s="5"/>
      <c r="R947" s="5"/>
      <c r="S947" s="5"/>
      <c r="U947" s="6"/>
      <c r="V947" s="9" t="str">
        <f t="shared" si="118"/>
        <v/>
      </c>
      <c r="W947" s="9" t="str">
        <f t="shared" si="119"/>
        <v/>
      </c>
      <c r="X947" s="10">
        <f>SUM(V$13:V947)/COUNTA(B$13:B947)</f>
        <v>0</v>
      </c>
      <c r="Z947" s="5"/>
      <c r="AA947" s="5"/>
      <c r="AC947" s="7"/>
      <c r="AE947" s="54" t="e">
        <f t="shared" si="120"/>
        <v>#N/A</v>
      </c>
      <c r="AF947" s="4" t="e">
        <f t="shared" si="116"/>
        <v>#N/A</v>
      </c>
    </row>
    <row r="948" spans="2:32">
      <c r="B948" s="5">
        <f t="shared" si="121"/>
        <v>936</v>
      </c>
      <c r="C948" s="5"/>
      <c r="E948" s="13"/>
      <c r="F948" s="5"/>
      <c r="G948" s="11" t="str">
        <f>IF(ISERROR(AVERAGE(F$13:F948)),"n/a",AVERAGE(F$13:F948))</f>
        <v>n/a</v>
      </c>
      <c r="H948" s="11" t="str">
        <f t="shared" si="117"/>
        <v>n/a</v>
      </c>
      <c r="J948" s="5"/>
      <c r="K948" s="5"/>
      <c r="L948" s="5"/>
      <c r="M948" s="5"/>
      <c r="N948" s="5"/>
      <c r="O948" s="8" t="str">
        <f t="shared" si="115"/>
        <v>n/a</v>
      </c>
      <c r="Q948" s="5"/>
      <c r="R948" s="5"/>
      <c r="S948" s="5"/>
      <c r="U948" s="6"/>
      <c r="V948" s="9" t="str">
        <f t="shared" si="118"/>
        <v/>
      </c>
      <c r="W948" s="9" t="str">
        <f t="shared" si="119"/>
        <v/>
      </c>
      <c r="X948" s="10">
        <f>SUM(V$13:V948)/COUNTA(B$13:B948)</f>
        <v>0</v>
      </c>
      <c r="Z948" s="5"/>
      <c r="AA948" s="5"/>
      <c r="AC948" s="7"/>
      <c r="AE948" s="54" t="e">
        <f t="shared" si="120"/>
        <v>#N/A</v>
      </c>
      <c r="AF948" s="4" t="e">
        <f t="shared" si="116"/>
        <v>#N/A</v>
      </c>
    </row>
    <row r="949" spans="2:32">
      <c r="B949" s="5">
        <f t="shared" si="121"/>
        <v>937</v>
      </c>
      <c r="C949" s="5"/>
      <c r="E949" s="13"/>
      <c r="F949" s="5"/>
      <c r="G949" s="11" t="str">
        <f>IF(ISERROR(AVERAGE(F$13:F949)),"n/a",AVERAGE(F$13:F949))</f>
        <v>n/a</v>
      </c>
      <c r="H949" s="11" t="str">
        <f t="shared" si="117"/>
        <v>n/a</v>
      </c>
      <c r="J949" s="5"/>
      <c r="K949" s="5"/>
      <c r="L949" s="5"/>
      <c r="M949" s="5"/>
      <c r="N949" s="5"/>
      <c r="O949" s="8" t="str">
        <f t="shared" si="115"/>
        <v>n/a</v>
      </c>
      <c r="Q949" s="5"/>
      <c r="R949" s="5"/>
      <c r="S949" s="5"/>
      <c r="U949" s="6"/>
      <c r="V949" s="9" t="str">
        <f t="shared" si="118"/>
        <v/>
      </c>
      <c r="W949" s="9" t="str">
        <f t="shared" si="119"/>
        <v/>
      </c>
      <c r="X949" s="10">
        <f>SUM(V$13:V949)/COUNTA(B$13:B949)</f>
        <v>0</v>
      </c>
      <c r="Z949" s="5"/>
      <c r="AA949" s="5"/>
      <c r="AC949" s="7"/>
      <c r="AE949" s="54" t="e">
        <f t="shared" si="120"/>
        <v>#N/A</v>
      </c>
      <c r="AF949" s="4" t="e">
        <f t="shared" si="116"/>
        <v>#N/A</v>
      </c>
    </row>
    <row r="950" spans="2:32">
      <c r="B950" s="5">
        <f t="shared" si="121"/>
        <v>938</v>
      </c>
      <c r="C950" s="5"/>
      <c r="E950" s="13"/>
      <c r="F950" s="5"/>
      <c r="G950" s="11" t="str">
        <f>IF(ISERROR(AVERAGE(F$13:F950)),"n/a",AVERAGE(F$13:F950))</f>
        <v>n/a</v>
      </c>
      <c r="H950" s="11" t="str">
        <f t="shared" si="117"/>
        <v>n/a</v>
      </c>
      <c r="J950" s="5"/>
      <c r="K950" s="5"/>
      <c r="L950" s="5"/>
      <c r="M950" s="5"/>
      <c r="N950" s="5"/>
      <c r="O950" s="8" t="str">
        <f t="shared" si="115"/>
        <v>n/a</v>
      </c>
      <c r="Q950" s="5"/>
      <c r="R950" s="5"/>
      <c r="S950" s="5"/>
      <c r="U950" s="6"/>
      <c r="V950" s="9" t="str">
        <f t="shared" si="118"/>
        <v/>
      </c>
      <c r="W950" s="9" t="str">
        <f t="shared" si="119"/>
        <v/>
      </c>
      <c r="X950" s="10">
        <f>SUM(V$13:V950)/COUNTA(B$13:B950)</f>
        <v>0</v>
      </c>
      <c r="Z950" s="5"/>
      <c r="AA950" s="5"/>
      <c r="AC950" s="7"/>
      <c r="AE950" s="54" t="e">
        <f t="shared" si="120"/>
        <v>#N/A</v>
      </c>
      <c r="AF950" s="4" t="e">
        <f t="shared" si="116"/>
        <v>#N/A</v>
      </c>
    </row>
    <row r="951" spans="2:32">
      <c r="B951" s="5">
        <f t="shared" si="121"/>
        <v>939</v>
      </c>
      <c r="C951" s="5"/>
      <c r="E951" s="13"/>
      <c r="F951" s="5"/>
      <c r="G951" s="11" t="str">
        <f>IF(ISERROR(AVERAGE(F$13:F951)),"n/a",AVERAGE(F$13:F951))</f>
        <v>n/a</v>
      </c>
      <c r="H951" s="11" t="str">
        <f t="shared" si="117"/>
        <v>n/a</v>
      </c>
      <c r="J951" s="5"/>
      <c r="K951" s="5"/>
      <c r="L951" s="5"/>
      <c r="M951" s="5"/>
      <c r="N951" s="5"/>
      <c r="O951" s="8" t="str">
        <f t="shared" si="115"/>
        <v>n/a</v>
      </c>
      <c r="Q951" s="5"/>
      <c r="R951" s="5"/>
      <c r="S951" s="5"/>
      <c r="U951" s="6"/>
      <c r="V951" s="9" t="str">
        <f t="shared" si="118"/>
        <v/>
      </c>
      <c r="W951" s="9" t="str">
        <f t="shared" si="119"/>
        <v/>
      </c>
      <c r="X951" s="10">
        <f>SUM(V$13:V951)/COUNTA(B$13:B951)</f>
        <v>0</v>
      </c>
      <c r="Z951" s="5"/>
      <c r="AA951" s="5"/>
      <c r="AC951" s="7"/>
      <c r="AE951" s="54" t="e">
        <f t="shared" si="120"/>
        <v>#N/A</v>
      </c>
      <c r="AF951" s="4" t="e">
        <f t="shared" si="116"/>
        <v>#N/A</v>
      </c>
    </row>
    <row r="952" spans="2:32">
      <c r="B952" s="5">
        <f t="shared" si="121"/>
        <v>940</v>
      </c>
      <c r="C952" s="5"/>
      <c r="E952" s="13"/>
      <c r="F952" s="5"/>
      <c r="G952" s="11" t="str">
        <f>IF(ISERROR(AVERAGE(F$13:F952)),"n/a",AVERAGE(F$13:F952))</f>
        <v>n/a</v>
      </c>
      <c r="H952" s="11" t="str">
        <f t="shared" si="117"/>
        <v>n/a</v>
      </c>
      <c r="J952" s="5"/>
      <c r="K952" s="5"/>
      <c r="L952" s="5"/>
      <c r="M952" s="5"/>
      <c r="N952" s="5"/>
      <c r="O952" s="8" t="str">
        <f t="shared" si="115"/>
        <v>n/a</v>
      </c>
      <c r="Q952" s="5"/>
      <c r="R952" s="5"/>
      <c r="S952" s="5"/>
      <c r="U952" s="6"/>
      <c r="V952" s="9" t="str">
        <f t="shared" si="118"/>
        <v/>
      </c>
      <c r="W952" s="9" t="str">
        <f t="shared" si="119"/>
        <v/>
      </c>
      <c r="X952" s="10">
        <f>SUM(V$13:V952)/COUNTA(B$13:B952)</f>
        <v>0</v>
      </c>
      <c r="Z952" s="5"/>
      <c r="AA952" s="5"/>
      <c r="AC952" s="7"/>
      <c r="AE952" s="54" t="e">
        <f t="shared" si="120"/>
        <v>#N/A</v>
      </c>
      <c r="AF952" s="4" t="e">
        <f t="shared" si="116"/>
        <v>#N/A</v>
      </c>
    </row>
    <row r="953" spans="2:32">
      <c r="B953" s="5">
        <f t="shared" si="121"/>
        <v>941</v>
      </c>
      <c r="C953" s="5"/>
      <c r="E953" s="13"/>
      <c r="F953" s="5"/>
      <c r="G953" s="11" t="str">
        <f>IF(ISERROR(AVERAGE(F$13:F953)),"n/a",AVERAGE(F$13:F953))</f>
        <v>n/a</v>
      </c>
      <c r="H953" s="11" t="str">
        <f t="shared" si="117"/>
        <v>n/a</v>
      </c>
      <c r="J953" s="5"/>
      <c r="K953" s="5"/>
      <c r="L953" s="5"/>
      <c r="M953" s="5"/>
      <c r="N953" s="5"/>
      <c r="O953" s="8" t="str">
        <f t="shared" si="115"/>
        <v>n/a</v>
      </c>
      <c r="Q953" s="5"/>
      <c r="R953" s="5"/>
      <c r="S953" s="5"/>
      <c r="U953" s="6"/>
      <c r="V953" s="9" t="str">
        <f t="shared" si="118"/>
        <v/>
      </c>
      <c r="W953" s="9" t="str">
        <f t="shared" si="119"/>
        <v/>
      </c>
      <c r="X953" s="10">
        <f>SUM(V$13:V953)/COUNTA(B$13:B953)</f>
        <v>0</v>
      </c>
      <c r="Z953" s="5"/>
      <c r="AA953" s="5"/>
      <c r="AC953" s="7"/>
      <c r="AE953" s="54" t="e">
        <f t="shared" si="120"/>
        <v>#N/A</v>
      </c>
      <c r="AF953" s="4" t="e">
        <f t="shared" si="116"/>
        <v>#N/A</v>
      </c>
    </row>
    <row r="954" spans="2:32">
      <c r="B954" s="5">
        <f t="shared" si="121"/>
        <v>942</v>
      </c>
      <c r="C954" s="5"/>
      <c r="E954" s="13"/>
      <c r="F954" s="5"/>
      <c r="G954" s="11" t="str">
        <f>IF(ISERROR(AVERAGE(F$13:F954)),"n/a",AVERAGE(F$13:F954))</f>
        <v>n/a</v>
      </c>
      <c r="H954" s="11" t="str">
        <f t="shared" si="117"/>
        <v>n/a</v>
      </c>
      <c r="J954" s="5"/>
      <c r="K954" s="5"/>
      <c r="L954" s="5"/>
      <c r="M954" s="5"/>
      <c r="N954" s="5"/>
      <c r="O954" s="8" t="str">
        <f t="shared" si="115"/>
        <v>n/a</v>
      </c>
      <c r="Q954" s="5"/>
      <c r="R954" s="5"/>
      <c r="S954" s="5"/>
      <c r="U954" s="6"/>
      <c r="V954" s="9" t="str">
        <f t="shared" si="118"/>
        <v/>
      </c>
      <c r="W954" s="9" t="str">
        <f t="shared" si="119"/>
        <v/>
      </c>
      <c r="X954" s="10">
        <f>SUM(V$13:V954)/COUNTA(B$13:B954)</f>
        <v>0</v>
      </c>
      <c r="Z954" s="5"/>
      <c r="AA954" s="5"/>
      <c r="AC954" s="7"/>
      <c r="AE954" s="54" t="e">
        <f t="shared" si="120"/>
        <v>#N/A</v>
      </c>
      <c r="AF954" s="4" t="e">
        <f t="shared" si="116"/>
        <v>#N/A</v>
      </c>
    </row>
    <row r="955" spans="2:32">
      <c r="B955" s="5">
        <f t="shared" si="121"/>
        <v>943</v>
      </c>
      <c r="C955" s="5"/>
      <c r="E955" s="13"/>
      <c r="F955" s="5"/>
      <c r="G955" s="11" t="str">
        <f>IF(ISERROR(AVERAGE(F$13:F955)),"n/a",AVERAGE(F$13:F955))</f>
        <v>n/a</v>
      </c>
      <c r="H955" s="11" t="str">
        <f t="shared" si="117"/>
        <v>n/a</v>
      </c>
      <c r="J955" s="5"/>
      <c r="K955" s="5"/>
      <c r="L955" s="5"/>
      <c r="M955" s="5"/>
      <c r="N955" s="5"/>
      <c r="O955" s="8" t="str">
        <f t="shared" si="115"/>
        <v>n/a</v>
      </c>
      <c r="Q955" s="5"/>
      <c r="R955" s="5"/>
      <c r="S955" s="5"/>
      <c r="U955" s="6"/>
      <c r="V955" s="9" t="str">
        <f t="shared" si="118"/>
        <v/>
      </c>
      <c r="W955" s="9" t="str">
        <f t="shared" si="119"/>
        <v/>
      </c>
      <c r="X955" s="10">
        <f>SUM(V$13:V955)/COUNTA(B$13:B955)</f>
        <v>0</v>
      </c>
      <c r="Z955" s="5"/>
      <c r="AA955" s="5"/>
      <c r="AC955" s="7"/>
      <c r="AE955" s="54" t="e">
        <f t="shared" si="120"/>
        <v>#N/A</v>
      </c>
      <c r="AF955" s="4" t="e">
        <f t="shared" si="116"/>
        <v>#N/A</v>
      </c>
    </row>
    <row r="956" spans="2:32">
      <c r="B956" s="5">
        <f t="shared" si="121"/>
        <v>944</v>
      </c>
      <c r="C956" s="5"/>
      <c r="E956" s="13"/>
      <c r="F956" s="5"/>
      <c r="G956" s="11" t="str">
        <f>IF(ISERROR(AVERAGE(F$13:F956)),"n/a",AVERAGE(F$13:F956))</f>
        <v>n/a</v>
      </c>
      <c r="H956" s="11" t="str">
        <f t="shared" si="117"/>
        <v>n/a</v>
      </c>
      <c r="J956" s="5"/>
      <c r="K956" s="5"/>
      <c r="L956" s="5"/>
      <c r="M956" s="5"/>
      <c r="N956" s="5"/>
      <c r="O956" s="8" t="str">
        <f t="shared" si="115"/>
        <v>n/a</v>
      </c>
      <c r="Q956" s="5"/>
      <c r="R956" s="5"/>
      <c r="S956" s="5"/>
      <c r="U956" s="6"/>
      <c r="V956" s="9" t="str">
        <f t="shared" si="118"/>
        <v/>
      </c>
      <c r="W956" s="9" t="str">
        <f t="shared" si="119"/>
        <v/>
      </c>
      <c r="X956" s="10">
        <f>SUM(V$13:V956)/COUNTA(B$13:B956)</f>
        <v>0</v>
      </c>
      <c r="Z956" s="5"/>
      <c r="AA956" s="5"/>
      <c r="AC956" s="7"/>
      <c r="AE956" s="54" t="e">
        <f t="shared" si="120"/>
        <v>#N/A</v>
      </c>
      <c r="AF956" s="4" t="e">
        <f t="shared" si="116"/>
        <v>#N/A</v>
      </c>
    </row>
    <row r="957" spans="2:32">
      <c r="B957" s="5">
        <f t="shared" si="121"/>
        <v>945</v>
      </c>
      <c r="C957" s="5"/>
      <c r="E957" s="13"/>
      <c r="F957" s="5"/>
      <c r="G957" s="11" t="str">
        <f>IF(ISERROR(AVERAGE(F$13:F957)),"n/a",AVERAGE(F$13:F957))</f>
        <v>n/a</v>
      </c>
      <c r="H957" s="11" t="str">
        <f t="shared" si="117"/>
        <v>n/a</v>
      </c>
      <c r="J957" s="5"/>
      <c r="K957" s="5"/>
      <c r="L957" s="5"/>
      <c r="M957" s="5"/>
      <c r="N957" s="5"/>
      <c r="O957" s="8" t="str">
        <f t="shared" si="115"/>
        <v>n/a</v>
      </c>
      <c r="Q957" s="5"/>
      <c r="R957" s="5"/>
      <c r="S957" s="5"/>
      <c r="U957" s="6"/>
      <c r="V957" s="9" t="str">
        <f t="shared" si="118"/>
        <v/>
      </c>
      <c r="W957" s="9" t="str">
        <f t="shared" si="119"/>
        <v/>
      </c>
      <c r="X957" s="10">
        <f>SUM(V$13:V957)/COUNTA(B$13:B957)</f>
        <v>0</v>
      </c>
      <c r="Z957" s="5"/>
      <c r="AA957" s="5"/>
      <c r="AC957" s="7"/>
      <c r="AE957" s="54" t="e">
        <f t="shared" si="120"/>
        <v>#N/A</v>
      </c>
      <c r="AF957" s="4" t="e">
        <f t="shared" si="116"/>
        <v>#N/A</v>
      </c>
    </row>
    <row r="958" spans="2:32">
      <c r="B958" s="5">
        <f t="shared" si="121"/>
        <v>946</v>
      </c>
      <c r="C958" s="5"/>
      <c r="E958" s="13"/>
      <c r="F958" s="5"/>
      <c r="G958" s="11" t="str">
        <f>IF(ISERROR(AVERAGE(F$13:F958)),"n/a",AVERAGE(F$13:F958))</f>
        <v>n/a</v>
      </c>
      <c r="H958" s="11" t="str">
        <f t="shared" si="117"/>
        <v>n/a</v>
      </c>
      <c r="J958" s="5"/>
      <c r="K958" s="5"/>
      <c r="L958" s="5"/>
      <c r="M958" s="5"/>
      <c r="N958" s="5"/>
      <c r="O958" s="8" t="str">
        <f t="shared" si="115"/>
        <v>n/a</v>
      </c>
      <c r="Q958" s="5"/>
      <c r="R958" s="5"/>
      <c r="S958" s="5"/>
      <c r="U958" s="6"/>
      <c r="V958" s="9" t="str">
        <f t="shared" si="118"/>
        <v/>
      </c>
      <c r="W958" s="9" t="str">
        <f t="shared" si="119"/>
        <v/>
      </c>
      <c r="X958" s="10">
        <f>SUM(V$13:V958)/COUNTA(B$13:B958)</f>
        <v>0</v>
      </c>
      <c r="Z958" s="5"/>
      <c r="AA958" s="5"/>
      <c r="AC958" s="7"/>
      <c r="AE958" s="54" t="e">
        <f t="shared" si="120"/>
        <v>#N/A</v>
      </c>
      <c r="AF958" s="4" t="e">
        <f t="shared" si="116"/>
        <v>#N/A</v>
      </c>
    </row>
    <row r="959" spans="2:32">
      <c r="B959" s="5">
        <f t="shared" si="121"/>
        <v>947</v>
      </c>
      <c r="C959" s="5"/>
      <c r="E959" s="13"/>
      <c r="F959" s="5"/>
      <c r="G959" s="11" t="str">
        <f>IF(ISERROR(AVERAGE(F$13:F959)),"n/a",AVERAGE(F$13:F959))</f>
        <v>n/a</v>
      </c>
      <c r="H959" s="11" t="str">
        <f t="shared" si="117"/>
        <v>n/a</v>
      </c>
      <c r="J959" s="5"/>
      <c r="K959" s="5"/>
      <c r="L959" s="5"/>
      <c r="M959" s="5"/>
      <c r="N959" s="5"/>
      <c r="O959" s="8" t="str">
        <f t="shared" si="115"/>
        <v>n/a</v>
      </c>
      <c r="Q959" s="5"/>
      <c r="R959" s="5"/>
      <c r="S959" s="5"/>
      <c r="U959" s="6"/>
      <c r="V959" s="9" t="str">
        <f t="shared" si="118"/>
        <v/>
      </c>
      <c r="W959" s="9" t="str">
        <f t="shared" si="119"/>
        <v/>
      </c>
      <c r="X959" s="10">
        <f>SUM(V$13:V959)/COUNTA(B$13:B959)</f>
        <v>0</v>
      </c>
      <c r="Z959" s="5"/>
      <c r="AA959" s="5"/>
      <c r="AC959" s="7"/>
      <c r="AE959" s="54" t="e">
        <f t="shared" si="120"/>
        <v>#N/A</v>
      </c>
      <c r="AF959" s="4" t="e">
        <f t="shared" si="116"/>
        <v>#N/A</v>
      </c>
    </row>
    <row r="960" spans="2:32">
      <c r="B960" s="5">
        <f t="shared" si="121"/>
        <v>948</v>
      </c>
      <c r="C960" s="5"/>
      <c r="E960" s="13"/>
      <c r="F960" s="5"/>
      <c r="G960" s="11" t="str">
        <f>IF(ISERROR(AVERAGE(F$13:F960)),"n/a",AVERAGE(F$13:F960))</f>
        <v>n/a</v>
      </c>
      <c r="H960" s="11" t="str">
        <f t="shared" si="117"/>
        <v>n/a</v>
      </c>
      <c r="J960" s="5"/>
      <c r="K960" s="5"/>
      <c r="L960" s="5"/>
      <c r="M960" s="5"/>
      <c r="N960" s="5"/>
      <c r="O960" s="8" t="str">
        <f t="shared" si="115"/>
        <v>n/a</v>
      </c>
      <c r="Q960" s="5"/>
      <c r="R960" s="5"/>
      <c r="S960" s="5"/>
      <c r="U960" s="6"/>
      <c r="V960" s="9" t="str">
        <f t="shared" si="118"/>
        <v/>
      </c>
      <c r="W960" s="9" t="str">
        <f t="shared" si="119"/>
        <v/>
      </c>
      <c r="X960" s="10">
        <f>SUM(V$13:V960)/COUNTA(B$13:B960)</f>
        <v>0</v>
      </c>
      <c r="Z960" s="5"/>
      <c r="AA960" s="5"/>
      <c r="AC960" s="7"/>
      <c r="AE960" s="54" t="e">
        <f t="shared" si="120"/>
        <v>#N/A</v>
      </c>
      <c r="AF960" s="4" t="e">
        <f t="shared" si="116"/>
        <v>#N/A</v>
      </c>
    </row>
    <row r="961" spans="2:32">
      <c r="B961" s="5">
        <f t="shared" si="121"/>
        <v>949</v>
      </c>
      <c r="C961" s="5"/>
      <c r="E961" s="13"/>
      <c r="F961" s="5"/>
      <c r="G961" s="11" t="str">
        <f>IF(ISERROR(AVERAGE(F$13:F961)),"n/a",AVERAGE(F$13:F961))</f>
        <v>n/a</v>
      </c>
      <c r="H961" s="11" t="str">
        <f t="shared" si="117"/>
        <v>n/a</v>
      </c>
      <c r="J961" s="5"/>
      <c r="K961" s="5"/>
      <c r="L961" s="5"/>
      <c r="M961" s="5"/>
      <c r="N961" s="5"/>
      <c r="O961" s="8" t="str">
        <f t="shared" si="115"/>
        <v>n/a</v>
      </c>
      <c r="Q961" s="5"/>
      <c r="R961" s="5"/>
      <c r="S961" s="5"/>
      <c r="U961" s="6"/>
      <c r="V961" s="9" t="str">
        <f t="shared" si="118"/>
        <v/>
      </c>
      <c r="W961" s="9" t="str">
        <f t="shared" si="119"/>
        <v/>
      </c>
      <c r="X961" s="10">
        <f>SUM(V$13:V961)/COUNTA(B$13:B961)</f>
        <v>0</v>
      </c>
      <c r="Z961" s="5"/>
      <c r="AA961" s="5"/>
      <c r="AC961" s="7"/>
      <c r="AE961" s="54" t="e">
        <f t="shared" si="120"/>
        <v>#N/A</v>
      </c>
      <c r="AF961" s="4" t="e">
        <f t="shared" si="116"/>
        <v>#N/A</v>
      </c>
    </row>
    <row r="962" spans="2:32">
      <c r="B962" s="5">
        <f t="shared" si="121"/>
        <v>950</v>
      </c>
      <c r="C962" s="5"/>
      <c r="E962" s="13"/>
      <c r="F962" s="5"/>
      <c r="G962" s="11" t="str">
        <f>IF(ISERROR(AVERAGE(F$13:F962)),"n/a",AVERAGE(F$13:F962))</f>
        <v>n/a</v>
      </c>
      <c r="H962" s="11" t="str">
        <f t="shared" si="117"/>
        <v>n/a</v>
      </c>
      <c r="J962" s="5"/>
      <c r="K962" s="5"/>
      <c r="L962" s="5"/>
      <c r="M962" s="5"/>
      <c r="N962" s="5"/>
      <c r="O962" s="8" t="str">
        <f t="shared" si="115"/>
        <v>n/a</v>
      </c>
      <c r="Q962" s="5"/>
      <c r="R962" s="5"/>
      <c r="S962" s="5"/>
      <c r="U962" s="6"/>
      <c r="V962" s="9" t="str">
        <f t="shared" si="118"/>
        <v/>
      </c>
      <c r="W962" s="9" t="str">
        <f t="shared" si="119"/>
        <v/>
      </c>
      <c r="X962" s="10">
        <f>SUM(V$13:V962)/COUNTA(B$13:B962)</f>
        <v>0</v>
      </c>
      <c r="Z962" s="5"/>
      <c r="AA962" s="5"/>
      <c r="AC962" s="7"/>
      <c r="AE962" s="54" t="e">
        <f t="shared" si="120"/>
        <v>#N/A</v>
      </c>
      <c r="AF962" s="4" t="e">
        <f t="shared" si="116"/>
        <v>#N/A</v>
      </c>
    </row>
    <row r="963" spans="2:32">
      <c r="B963" s="5">
        <f t="shared" si="121"/>
        <v>951</v>
      </c>
      <c r="C963" s="5"/>
      <c r="E963" s="13"/>
      <c r="F963" s="5"/>
      <c r="G963" s="11" t="str">
        <f>IF(ISERROR(AVERAGE(F$13:F963)),"n/a",AVERAGE(F$13:F963))</f>
        <v>n/a</v>
      </c>
      <c r="H963" s="11" t="str">
        <f t="shared" si="117"/>
        <v>n/a</v>
      </c>
      <c r="J963" s="5"/>
      <c r="K963" s="5"/>
      <c r="L963" s="5"/>
      <c r="M963" s="5"/>
      <c r="N963" s="5"/>
      <c r="O963" s="8" t="str">
        <f t="shared" si="115"/>
        <v>n/a</v>
      </c>
      <c r="Q963" s="5"/>
      <c r="R963" s="5"/>
      <c r="S963" s="5"/>
      <c r="U963" s="6"/>
      <c r="V963" s="9" t="str">
        <f t="shared" si="118"/>
        <v/>
      </c>
      <c r="W963" s="9" t="str">
        <f t="shared" si="119"/>
        <v/>
      </c>
      <c r="X963" s="10">
        <f>SUM(V$13:V963)/COUNTA(B$13:B963)</f>
        <v>0</v>
      </c>
      <c r="Z963" s="5"/>
      <c r="AA963" s="5"/>
      <c r="AC963" s="7"/>
      <c r="AE963" s="54" t="e">
        <f t="shared" si="120"/>
        <v>#N/A</v>
      </c>
      <c r="AF963" s="4" t="e">
        <f t="shared" si="116"/>
        <v>#N/A</v>
      </c>
    </row>
    <row r="964" spans="2:32">
      <c r="B964" s="5">
        <f t="shared" si="121"/>
        <v>952</v>
      </c>
      <c r="C964" s="5"/>
      <c r="E964" s="13"/>
      <c r="F964" s="5"/>
      <c r="G964" s="11" t="str">
        <f>IF(ISERROR(AVERAGE(F$13:F964)),"n/a",AVERAGE(F$13:F964))</f>
        <v>n/a</v>
      </c>
      <c r="H964" s="11" t="str">
        <f t="shared" si="117"/>
        <v>n/a</v>
      </c>
      <c r="J964" s="5"/>
      <c r="K964" s="5"/>
      <c r="L964" s="5"/>
      <c r="M964" s="5"/>
      <c r="N964" s="5"/>
      <c r="O964" s="8" t="str">
        <f t="shared" si="115"/>
        <v>n/a</v>
      </c>
      <c r="Q964" s="5"/>
      <c r="R964" s="5"/>
      <c r="S964" s="5"/>
      <c r="U964" s="6"/>
      <c r="V964" s="9" t="str">
        <f t="shared" si="118"/>
        <v/>
      </c>
      <c r="W964" s="9" t="str">
        <f t="shared" si="119"/>
        <v/>
      </c>
      <c r="X964" s="10">
        <f>SUM(V$13:V964)/COUNTA(B$13:B964)</f>
        <v>0</v>
      </c>
      <c r="Z964" s="5"/>
      <c r="AA964" s="5"/>
      <c r="AC964" s="7"/>
      <c r="AE964" s="54" t="e">
        <f t="shared" si="120"/>
        <v>#N/A</v>
      </c>
      <c r="AF964" s="4" t="e">
        <f t="shared" si="116"/>
        <v>#N/A</v>
      </c>
    </row>
    <row r="965" spans="2:32">
      <c r="B965" s="5">
        <f t="shared" si="121"/>
        <v>953</v>
      </c>
      <c r="C965" s="5"/>
      <c r="E965" s="13"/>
      <c r="F965" s="5"/>
      <c r="G965" s="11" t="str">
        <f>IF(ISERROR(AVERAGE(F$13:F965)),"n/a",AVERAGE(F$13:F965))</f>
        <v>n/a</v>
      </c>
      <c r="H965" s="11" t="str">
        <f t="shared" si="117"/>
        <v>n/a</v>
      </c>
      <c r="J965" s="5"/>
      <c r="K965" s="5"/>
      <c r="L965" s="5"/>
      <c r="M965" s="5"/>
      <c r="N965" s="5"/>
      <c r="O965" s="8" t="str">
        <f t="shared" si="115"/>
        <v>n/a</v>
      </c>
      <c r="Q965" s="5"/>
      <c r="R965" s="5"/>
      <c r="S965" s="5"/>
      <c r="U965" s="6"/>
      <c r="V965" s="9" t="str">
        <f t="shared" si="118"/>
        <v/>
      </c>
      <c r="W965" s="9" t="str">
        <f t="shared" si="119"/>
        <v/>
      </c>
      <c r="X965" s="10">
        <f>SUM(V$13:V965)/COUNTA(B$13:B965)</f>
        <v>0</v>
      </c>
      <c r="Z965" s="5"/>
      <c r="AA965" s="5"/>
      <c r="AC965" s="7"/>
      <c r="AE965" s="54" t="e">
        <f t="shared" si="120"/>
        <v>#N/A</v>
      </c>
      <c r="AF965" s="4" t="e">
        <f t="shared" si="116"/>
        <v>#N/A</v>
      </c>
    </row>
    <row r="966" spans="2:32">
      <c r="B966" s="5">
        <f t="shared" si="121"/>
        <v>954</v>
      </c>
      <c r="C966" s="5"/>
      <c r="E966" s="13"/>
      <c r="F966" s="5"/>
      <c r="G966" s="11" t="str">
        <f>IF(ISERROR(AVERAGE(F$13:F966)),"n/a",AVERAGE(F$13:F966))</f>
        <v>n/a</v>
      </c>
      <c r="H966" s="11" t="str">
        <f t="shared" si="117"/>
        <v>n/a</v>
      </c>
      <c r="J966" s="5"/>
      <c r="K966" s="5"/>
      <c r="L966" s="5"/>
      <c r="M966" s="5"/>
      <c r="N966" s="5"/>
      <c r="O966" s="8" t="str">
        <f t="shared" si="115"/>
        <v>n/a</v>
      </c>
      <c r="Q966" s="5"/>
      <c r="R966" s="5"/>
      <c r="S966" s="5"/>
      <c r="U966" s="6"/>
      <c r="V966" s="9" t="str">
        <f t="shared" si="118"/>
        <v/>
      </c>
      <c r="W966" s="9" t="str">
        <f t="shared" si="119"/>
        <v/>
      </c>
      <c r="X966" s="10">
        <f>SUM(V$13:V966)/COUNTA(B$13:B966)</f>
        <v>0</v>
      </c>
      <c r="Z966" s="5"/>
      <c r="AA966" s="5"/>
      <c r="AC966" s="7"/>
      <c r="AE966" s="54" t="e">
        <f t="shared" si="120"/>
        <v>#N/A</v>
      </c>
      <c r="AF966" s="4" t="e">
        <f t="shared" si="116"/>
        <v>#N/A</v>
      </c>
    </row>
    <row r="967" spans="2:32">
      <c r="B967" s="5">
        <f t="shared" si="121"/>
        <v>955</v>
      </c>
      <c r="C967" s="5"/>
      <c r="E967" s="13"/>
      <c r="F967" s="5"/>
      <c r="G967" s="11" t="str">
        <f>IF(ISERROR(AVERAGE(F$13:F967)),"n/a",AVERAGE(F$13:F967))</f>
        <v>n/a</v>
      </c>
      <c r="H967" s="11" t="str">
        <f t="shared" si="117"/>
        <v>n/a</v>
      </c>
      <c r="J967" s="5"/>
      <c r="K967" s="5"/>
      <c r="L967" s="5"/>
      <c r="M967" s="5"/>
      <c r="N967" s="5"/>
      <c r="O967" s="8" t="str">
        <f t="shared" si="115"/>
        <v>n/a</v>
      </c>
      <c r="Q967" s="5"/>
      <c r="R967" s="5"/>
      <c r="S967" s="5"/>
      <c r="U967" s="6"/>
      <c r="V967" s="9" t="str">
        <f t="shared" si="118"/>
        <v/>
      </c>
      <c r="W967" s="9" t="str">
        <f t="shared" si="119"/>
        <v/>
      </c>
      <c r="X967" s="10">
        <f>SUM(V$13:V967)/COUNTA(B$13:B967)</f>
        <v>0</v>
      </c>
      <c r="Z967" s="5"/>
      <c r="AA967" s="5"/>
      <c r="AC967" s="7"/>
      <c r="AE967" s="54" t="e">
        <f t="shared" si="120"/>
        <v>#N/A</v>
      </c>
      <c r="AF967" s="4" t="e">
        <f t="shared" si="116"/>
        <v>#N/A</v>
      </c>
    </row>
    <row r="968" spans="2:32">
      <c r="B968" s="5">
        <f t="shared" si="121"/>
        <v>956</v>
      </c>
      <c r="C968" s="5"/>
      <c r="E968" s="13"/>
      <c r="F968" s="5"/>
      <c r="G968" s="11" t="str">
        <f>IF(ISERROR(AVERAGE(F$13:F968)),"n/a",AVERAGE(F$13:F968))</f>
        <v>n/a</v>
      </c>
      <c r="H968" s="11" t="str">
        <f t="shared" si="117"/>
        <v>n/a</v>
      </c>
      <c r="J968" s="5"/>
      <c r="K968" s="5"/>
      <c r="L968" s="5"/>
      <c r="M968" s="5"/>
      <c r="N968" s="5"/>
      <c r="O968" s="8" t="str">
        <f t="shared" si="115"/>
        <v>n/a</v>
      </c>
      <c r="Q968" s="5"/>
      <c r="R968" s="5"/>
      <c r="S968" s="5"/>
      <c r="U968" s="6"/>
      <c r="V968" s="9" t="str">
        <f t="shared" si="118"/>
        <v/>
      </c>
      <c r="W968" s="9" t="str">
        <f t="shared" si="119"/>
        <v/>
      </c>
      <c r="X968" s="10">
        <f>SUM(V$13:V968)/COUNTA(B$13:B968)</f>
        <v>0</v>
      </c>
      <c r="Z968" s="5"/>
      <c r="AA968" s="5"/>
      <c r="AC968" s="7"/>
      <c r="AE968" s="54" t="e">
        <f t="shared" si="120"/>
        <v>#N/A</v>
      </c>
      <c r="AF968" s="4" t="e">
        <f t="shared" si="116"/>
        <v>#N/A</v>
      </c>
    </row>
    <row r="969" spans="2:32">
      <c r="B969" s="5">
        <f t="shared" si="121"/>
        <v>957</v>
      </c>
      <c r="C969" s="5"/>
      <c r="E969" s="13"/>
      <c r="F969" s="5"/>
      <c r="G969" s="11" t="str">
        <f>IF(ISERROR(AVERAGE(F$13:F969)),"n/a",AVERAGE(F$13:F969))</f>
        <v>n/a</v>
      </c>
      <c r="H969" s="11" t="str">
        <f t="shared" si="117"/>
        <v>n/a</v>
      </c>
      <c r="J969" s="5"/>
      <c r="K969" s="5"/>
      <c r="L969" s="5"/>
      <c r="M969" s="5"/>
      <c r="N969" s="5"/>
      <c r="O969" s="8" t="str">
        <f t="shared" si="115"/>
        <v>n/a</v>
      </c>
      <c r="Q969" s="5"/>
      <c r="R969" s="5"/>
      <c r="S969" s="5"/>
      <c r="U969" s="6"/>
      <c r="V969" s="9" t="str">
        <f t="shared" si="118"/>
        <v/>
      </c>
      <c r="W969" s="9" t="str">
        <f t="shared" si="119"/>
        <v/>
      </c>
      <c r="X969" s="10">
        <f>SUM(V$13:V969)/COUNTA(B$13:B969)</f>
        <v>0</v>
      </c>
      <c r="Z969" s="5"/>
      <c r="AA969" s="5"/>
      <c r="AC969" s="7"/>
      <c r="AE969" s="54" t="e">
        <f t="shared" si="120"/>
        <v>#N/A</v>
      </c>
      <c r="AF969" s="4" t="e">
        <f t="shared" si="116"/>
        <v>#N/A</v>
      </c>
    </row>
    <row r="970" spans="2:32">
      <c r="B970" s="5">
        <f t="shared" si="121"/>
        <v>958</v>
      </c>
      <c r="C970" s="5"/>
      <c r="E970" s="13"/>
      <c r="F970" s="5"/>
      <c r="G970" s="11" t="str">
        <f>IF(ISERROR(AVERAGE(F$13:F970)),"n/a",AVERAGE(F$13:F970))</f>
        <v>n/a</v>
      </c>
      <c r="H970" s="11" t="str">
        <f t="shared" si="117"/>
        <v>n/a</v>
      </c>
      <c r="J970" s="5"/>
      <c r="K970" s="5"/>
      <c r="L970" s="5"/>
      <c r="M970" s="5"/>
      <c r="N970" s="5"/>
      <c r="O970" s="8" t="str">
        <f t="shared" si="115"/>
        <v>n/a</v>
      </c>
      <c r="Q970" s="5"/>
      <c r="R970" s="5"/>
      <c r="S970" s="5"/>
      <c r="U970" s="6"/>
      <c r="V970" s="9" t="str">
        <f t="shared" si="118"/>
        <v/>
      </c>
      <c r="W970" s="9" t="str">
        <f t="shared" si="119"/>
        <v/>
      </c>
      <c r="X970" s="10">
        <f>SUM(V$13:V970)/COUNTA(B$13:B970)</f>
        <v>0</v>
      </c>
      <c r="Z970" s="5"/>
      <c r="AA970" s="5"/>
      <c r="AC970" s="7"/>
      <c r="AE970" s="54" t="e">
        <f t="shared" si="120"/>
        <v>#N/A</v>
      </c>
      <c r="AF970" s="4" t="e">
        <f t="shared" si="116"/>
        <v>#N/A</v>
      </c>
    </row>
    <row r="971" spans="2:32">
      <c r="B971" s="5">
        <f t="shared" si="121"/>
        <v>959</v>
      </c>
      <c r="C971" s="5"/>
      <c r="E971" s="13"/>
      <c r="F971" s="5"/>
      <c r="G971" s="11" t="str">
        <f>IF(ISERROR(AVERAGE(F$13:F971)),"n/a",AVERAGE(F$13:F971))</f>
        <v>n/a</v>
      </c>
      <c r="H971" s="11" t="str">
        <f t="shared" si="117"/>
        <v>n/a</v>
      </c>
      <c r="J971" s="5"/>
      <c r="K971" s="5"/>
      <c r="L971" s="5"/>
      <c r="M971" s="5"/>
      <c r="N971" s="5"/>
      <c r="O971" s="8" t="str">
        <f t="shared" si="115"/>
        <v>n/a</v>
      </c>
      <c r="Q971" s="5"/>
      <c r="R971" s="5"/>
      <c r="S971" s="5"/>
      <c r="U971" s="6"/>
      <c r="V971" s="9" t="str">
        <f t="shared" si="118"/>
        <v/>
      </c>
      <c r="W971" s="9" t="str">
        <f t="shared" si="119"/>
        <v/>
      </c>
      <c r="X971" s="10">
        <f>SUM(V$13:V971)/COUNTA(B$13:B971)</f>
        <v>0</v>
      </c>
      <c r="Z971" s="5"/>
      <c r="AA971" s="5"/>
      <c r="AC971" s="7"/>
      <c r="AE971" s="54" t="e">
        <f t="shared" si="120"/>
        <v>#N/A</v>
      </c>
      <c r="AF971" s="4" t="e">
        <f t="shared" si="116"/>
        <v>#N/A</v>
      </c>
    </row>
    <row r="972" spans="2:32">
      <c r="B972" s="5">
        <f t="shared" si="121"/>
        <v>960</v>
      </c>
      <c r="C972" s="5"/>
      <c r="E972" s="13"/>
      <c r="F972" s="5"/>
      <c r="G972" s="11" t="str">
        <f>IF(ISERROR(AVERAGE(F$13:F972)),"n/a",AVERAGE(F$13:F972))</f>
        <v>n/a</v>
      </c>
      <c r="H972" s="11" t="str">
        <f t="shared" si="117"/>
        <v>n/a</v>
      </c>
      <c r="J972" s="5"/>
      <c r="K972" s="5"/>
      <c r="L972" s="5"/>
      <c r="M972" s="5"/>
      <c r="N972" s="5"/>
      <c r="O972" s="8" t="str">
        <f t="shared" si="115"/>
        <v>n/a</v>
      </c>
      <c r="Q972" s="5"/>
      <c r="R972" s="5"/>
      <c r="S972" s="5"/>
      <c r="U972" s="6"/>
      <c r="V972" s="9" t="str">
        <f t="shared" si="118"/>
        <v/>
      </c>
      <c r="W972" s="9" t="str">
        <f t="shared" si="119"/>
        <v/>
      </c>
      <c r="X972" s="10">
        <f>SUM(V$13:V972)/COUNTA(B$13:B972)</f>
        <v>0</v>
      </c>
      <c r="Z972" s="5"/>
      <c r="AA972" s="5"/>
      <c r="AC972" s="7"/>
      <c r="AE972" s="54" t="e">
        <f t="shared" si="120"/>
        <v>#N/A</v>
      </c>
      <c r="AF972" s="4" t="e">
        <f t="shared" si="116"/>
        <v>#N/A</v>
      </c>
    </row>
    <row r="973" spans="2:32">
      <c r="B973" s="5">
        <f t="shared" si="121"/>
        <v>961</v>
      </c>
      <c r="C973" s="5"/>
      <c r="E973" s="13"/>
      <c r="F973" s="5"/>
      <c r="G973" s="11" t="str">
        <f>IF(ISERROR(AVERAGE(F$13:F973)),"n/a",AVERAGE(F$13:F973))</f>
        <v>n/a</v>
      </c>
      <c r="H973" s="11" t="str">
        <f t="shared" si="117"/>
        <v>n/a</v>
      </c>
      <c r="J973" s="5"/>
      <c r="K973" s="5"/>
      <c r="L973" s="5"/>
      <c r="M973" s="5"/>
      <c r="N973" s="5"/>
      <c r="O973" s="8" t="str">
        <f t="shared" ref="O973:O1008" si="122">IF(J973=1,"A",IF(K973=1,"B",IF(L973=1,"C",IF(M973=1,"D",IF(N973=1,"E","n/a")))))</f>
        <v>n/a</v>
      </c>
      <c r="Q973" s="5"/>
      <c r="R973" s="5"/>
      <c r="S973" s="5"/>
      <c r="U973" s="6"/>
      <c r="V973" s="9" t="str">
        <f t="shared" si="118"/>
        <v/>
      </c>
      <c r="W973" s="9" t="str">
        <f t="shared" si="119"/>
        <v/>
      </c>
      <c r="X973" s="10">
        <f>SUM(V$13:V973)/COUNTA(B$13:B973)</f>
        <v>0</v>
      </c>
      <c r="Z973" s="5"/>
      <c r="AA973" s="5"/>
      <c r="AC973" s="7"/>
      <c r="AE973" s="54" t="e">
        <f t="shared" si="120"/>
        <v>#N/A</v>
      </c>
      <c r="AF973" s="4" t="e">
        <f t="shared" ref="AF973:AF1012" si="123">HLOOKUP(C973,$K$6:$O$7,2,FALSE)</f>
        <v>#N/A</v>
      </c>
    </row>
    <row r="974" spans="2:32">
      <c r="B974" s="5">
        <f t="shared" si="121"/>
        <v>962</v>
      </c>
      <c r="C974" s="5"/>
      <c r="E974" s="13"/>
      <c r="F974" s="5"/>
      <c r="G974" s="11" t="str">
        <f>IF(ISERROR(AVERAGE(F$13:F974)),"n/a",AVERAGE(F$13:F974))</f>
        <v>n/a</v>
      </c>
      <c r="H974" s="11" t="str">
        <f t="shared" ref="H974:H1012" si="124">G974</f>
        <v>n/a</v>
      </c>
      <c r="J974" s="5"/>
      <c r="K974" s="5"/>
      <c r="L974" s="5"/>
      <c r="M974" s="5"/>
      <c r="N974" s="5"/>
      <c r="O974" s="8" t="str">
        <f t="shared" si="122"/>
        <v>n/a</v>
      </c>
      <c r="Q974" s="5"/>
      <c r="R974" s="5"/>
      <c r="S974" s="5"/>
      <c r="U974" s="6"/>
      <c r="V974" s="9" t="str">
        <f t="shared" ref="V974:V1012" si="125">IF(O974="n/a","",IF(O974=U974,1,""))</f>
        <v/>
      </c>
      <c r="W974" s="9" t="str">
        <f t="shared" ref="W974:W1012" si="126">IF(O974="n/a","",IF(O974&lt;&gt;U974,1,""))</f>
        <v/>
      </c>
      <c r="X974" s="10">
        <f>SUM(V$13:V974)/COUNTA(B$13:B974)</f>
        <v>0</v>
      </c>
      <c r="Z974" s="5"/>
      <c r="AA974" s="5"/>
      <c r="AC974" s="7"/>
      <c r="AE974" s="54" t="e">
        <f t="shared" ref="AE974:AE1012" si="127">+IF($F$4=0,0,IF(W974=1,1,IF(OR(R974*$F$8=1,S974*$F$9=1,F974&gt;=AF974),2,0)))</f>
        <v>#N/A</v>
      </c>
      <c r="AF974" s="4" t="e">
        <f t="shared" si="123"/>
        <v>#N/A</v>
      </c>
    </row>
    <row r="975" spans="2:32">
      <c r="B975" s="5">
        <f t="shared" si="121"/>
        <v>963</v>
      </c>
      <c r="C975" s="5"/>
      <c r="E975" s="13"/>
      <c r="F975" s="5"/>
      <c r="G975" s="11" t="str">
        <f>IF(ISERROR(AVERAGE(F$13:F975)),"n/a",AVERAGE(F$13:F975))</f>
        <v>n/a</v>
      </c>
      <c r="H975" s="11" t="str">
        <f t="shared" si="124"/>
        <v>n/a</v>
      </c>
      <c r="J975" s="5"/>
      <c r="K975" s="5"/>
      <c r="L975" s="5"/>
      <c r="M975" s="5"/>
      <c r="N975" s="5"/>
      <c r="O975" s="8" t="str">
        <f t="shared" si="122"/>
        <v>n/a</v>
      </c>
      <c r="Q975" s="5"/>
      <c r="R975" s="5"/>
      <c r="S975" s="5"/>
      <c r="U975" s="6"/>
      <c r="V975" s="9" t="str">
        <f t="shared" si="125"/>
        <v/>
      </c>
      <c r="W975" s="9" t="str">
        <f t="shared" si="126"/>
        <v/>
      </c>
      <c r="X975" s="10">
        <f>SUM(V$13:V975)/COUNTA(B$13:B975)</f>
        <v>0</v>
      </c>
      <c r="Z975" s="5"/>
      <c r="AA975" s="5"/>
      <c r="AC975" s="7"/>
      <c r="AE975" s="54" t="e">
        <f t="shared" si="127"/>
        <v>#N/A</v>
      </c>
      <c r="AF975" s="4" t="e">
        <f t="shared" si="123"/>
        <v>#N/A</v>
      </c>
    </row>
    <row r="976" spans="2:32">
      <c r="B976" s="5">
        <f t="shared" si="121"/>
        <v>964</v>
      </c>
      <c r="C976" s="5"/>
      <c r="E976" s="13"/>
      <c r="F976" s="5"/>
      <c r="G976" s="11" t="str">
        <f>IF(ISERROR(AVERAGE(F$13:F976)),"n/a",AVERAGE(F$13:F976))</f>
        <v>n/a</v>
      </c>
      <c r="H976" s="11" t="str">
        <f t="shared" si="124"/>
        <v>n/a</v>
      </c>
      <c r="J976" s="5"/>
      <c r="K976" s="5"/>
      <c r="L976" s="5"/>
      <c r="M976" s="5"/>
      <c r="N976" s="5"/>
      <c r="O976" s="8" t="str">
        <f t="shared" si="122"/>
        <v>n/a</v>
      </c>
      <c r="Q976" s="5"/>
      <c r="R976" s="5"/>
      <c r="S976" s="5"/>
      <c r="U976" s="6"/>
      <c r="V976" s="9" t="str">
        <f t="shared" si="125"/>
        <v/>
      </c>
      <c r="W976" s="9" t="str">
        <f t="shared" si="126"/>
        <v/>
      </c>
      <c r="X976" s="10">
        <f>SUM(V$13:V976)/COUNTA(B$13:B976)</f>
        <v>0</v>
      </c>
      <c r="Z976" s="5"/>
      <c r="AA976" s="5"/>
      <c r="AC976" s="7"/>
      <c r="AE976" s="54" t="e">
        <f t="shared" si="127"/>
        <v>#N/A</v>
      </c>
      <c r="AF976" s="4" t="e">
        <f t="shared" si="123"/>
        <v>#N/A</v>
      </c>
    </row>
    <row r="977" spans="2:32">
      <c r="B977" s="5">
        <f t="shared" si="121"/>
        <v>965</v>
      </c>
      <c r="C977" s="5"/>
      <c r="E977" s="13"/>
      <c r="F977" s="5"/>
      <c r="G977" s="11" t="str">
        <f>IF(ISERROR(AVERAGE(F$13:F977)),"n/a",AVERAGE(F$13:F977))</f>
        <v>n/a</v>
      </c>
      <c r="H977" s="11" t="str">
        <f t="shared" si="124"/>
        <v>n/a</v>
      </c>
      <c r="J977" s="5"/>
      <c r="K977" s="5"/>
      <c r="L977" s="5"/>
      <c r="M977" s="5"/>
      <c r="N977" s="5"/>
      <c r="O977" s="8" t="str">
        <f t="shared" si="122"/>
        <v>n/a</v>
      </c>
      <c r="Q977" s="5"/>
      <c r="R977" s="5"/>
      <c r="S977" s="5"/>
      <c r="U977" s="6"/>
      <c r="V977" s="9" t="str">
        <f t="shared" si="125"/>
        <v/>
      </c>
      <c r="W977" s="9" t="str">
        <f t="shared" si="126"/>
        <v/>
      </c>
      <c r="X977" s="10">
        <f>SUM(V$13:V977)/COUNTA(B$13:B977)</f>
        <v>0</v>
      </c>
      <c r="Z977" s="5"/>
      <c r="AA977" s="5"/>
      <c r="AC977" s="7"/>
      <c r="AE977" s="54" t="e">
        <f t="shared" si="127"/>
        <v>#N/A</v>
      </c>
      <c r="AF977" s="4" t="e">
        <f t="shared" si="123"/>
        <v>#N/A</v>
      </c>
    </row>
    <row r="978" spans="2:32">
      <c r="B978" s="5">
        <f t="shared" si="121"/>
        <v>966</v>
      </c>
      <c r="C978" s="5"/>
      <c r="E978" s="13"/>
      <c r="F978" s="5"/>
      <c r="G978" s="11" t="str">
        <f>IF(ISERROR(AVERAGE(F$13:F978)),"n/a",AVERAGE(F$13:F978))</f>
        <v>n/a</v>
      </c>
      <c r="H978" s="11" t="str">
        <f t="shared" si="124"/>
        <v>n/a</v>
      </c>
      <c r="J978" s="5"/>
      <c r="K978" s="5"/>
      <c r="L978" s="5"/>
      <c r="M978" s="5"/>
      <c r="N978" s="5"/>
      <c r="O978" s="8" t="str">
        <f t="shared" si="122"/>
        <v>n/a</v>
      </c>
      <c r="Q978" s="5"/>
      <c r="R978" s="5"/>
      <c r="S978" s="5"/>
      <c r="U978" s="6"/>
      <c r="V978" s="9" t="str">
        <f t="shared" si="125"/>
        <v/>
      </c>
      <c r="W978" s="9" t="str">
        <f t="shared" si="126"/>
        <v/>
      </c>
      <c r="X978" s="10">
        <f>SUM(V$13:V978)/COUNTA(B$13:B978)</f>
        <v>0</v>
      </c>
      <c r="Z978" s="5"/>
      <c r="AA978" s="5"/>
      <c r="AC978" s="7"/>
      <c r="AE978" s="54" t="e">
        <f t="shared" si="127"/>
        <v>#N/A</v>
      </c>
      <c r="AF978" s="4" t="e">
        <f t="shared" si="123"/>
        <v>#N/A</v>
      </c>
    </row>
    <row r="979" spans="2:32">
      <c r="B979" s="5">
        <f t="shared" ref="B979:B1012" si="128">+B978+1</f>
        <v>967</v>
      </c>
      <c r="C979" s="5"/>
      <c r="E979" s="13"/>
      <c r="F979" s="5"/>
      <c r="G979" s="11" t="str">
        <f>IF(ISERROR(AVERAGE(F$13:F979)),"n/a",AVERAGE(F$13:F979))</f>
        <v>n/a</v>
      </c>
      <c r="H979" s="11" t="str">
        <f t="shared" si="124"/>
        <v>n/a</v>
      </c>
      <c r="J979" s="5"/>
      <c r="K979" s="5"/>
      <c r="L979" s="5"/>
      <c r="M979" s="5"/>
      <c r="N979" s="5"/>
      <c r="O979" s="8" t="str">
        <f t="shared" si="122"/>
        <v>n/a</v>
      </c>
      <c r="Q979" s="5"/>
      <c r="R979" s="5"/>
      <c r="S979" s="5"/>
      <c r="U979" s="6"/>
      <c r="V979" s="9" t="str">
        <f t="shared" si="125"/>
        <v/>
      </c>
      <c r="W979" s="9" t="str">
        <f t="shared" si="126"/>
        <v/>
      </c>
      <c r="X979" s="10">
        <f>SUM(V$13:V979)/COUNTA(B$13:B979)</f>
        <v>0</v>
      </c>
      <c r="Z979" s="5"/>
      <c r="AA979" s="5"/>
      <c r="AC979" s="7"/>
      <c r="AE979" s="54" t="e">
        <f t="shared" si="127"/>
        <v>#N/A</v>
      </c>
      <c r="AF979" s="4" t="e">
        <f t="shared" si="123"/>
        <v>#N/A</v>
      </c>
    </row>
    <row r="980" spans="2:32">
      <c r="B980" s="5">
        <f t="shared" si="128"/>
        <v>968</v>
      </c>
      <c r="C980" s="5"/>
      <c r="E980" s="13"/>
      <c r="F980" s="5"/>
      <c r="G980" s="11" t="str">
        <f>IF(ISERROR(AVERAGE(F$13:F980)),"n/a",AVERAGE(F$13:F980))</f>
        <v>n/a</v>
      </c>
      <c r="H980" s="11" t="str">
        <f t="shared" si="124"/>
        <v>n/a</v>
      </c>
      <c r="J980" s="5"/>
      <c r="K980" s="5"/>
      <c r="L980" s="5"/>
      <c r="M980" s="5"/>
      <c r="N980" s="5"/>
      <c r="O980" s="8" t="str">
        <f t="shared" si="122"/>
        <v>n/a</v>
      </c>
      <c r="Q980" s="5"/>
      <c r="R980" s="5"/>
      <c r="S980" s="5"/>
      <c r="U980" s="6"/>
      <c r="V980" s="9" t="str">
        <f t="shared" si="125"/>
        <v/>
      </c>
      <c r="W980" s="9" t="str">
        <f t="shared" si="126"/>
        <v/>
      </c>
      <c r="X980" s="10">
        <f>SUM(V$13:V980)/COUNTA(B$13:B980)</f>
        <v>0</v>
      </c>
      <c r="Z980" s="5"/>
      <c r="AA980" s="5"/>
      <c r="AC980" s="7"/>
      <c r="AE980" s="54" t="e">
        <f t="shared" si="127"/>
        <v>#N/A</v>
      </c>
      <c r="AF980" s="4" t="e">
        <f t="shared" si="123"/>
        <v>#N/A</v>
      </c>
    </row>
    <row r="981" spans="2:32">
      <c r="B981" s="5">
        <f t="shared" si="128"/>
        <v>969</v>
      </c>
      <c r="C981" s="5"/>
      <c r="E981" s="13"/>
      <c r="F981" s="5"/>
      <c r="G981" s="11" t="str">
        <f>IF(ISERROR(AVERAGE(F$13:F981)),"n/a",AVERAGE(F$13:F981))</f>
        <v>n/a</v>
      </c>
      <c r="H981" s="11" t="str">
        <f t="shared" si="124"/>
        <v>n/a</v>
      </c>
      <c r="J981" s="5"/>
      <c r="K981" s="5"/>
      <c r="L981" s="5"/>
      <c r="M981" s="5"/>
      <c r="N981" s="5"/>
      <c r="O981" s="8" t="str">
        <f t="shared" si="122"/>
        <v>n/a</v>
      </c>
      <c r="Q981" s="5"/>
      <c r="R981" s="5"/>
      <c r="S981" s="5"/>
      <c r="U981" s="6"/>
      <c r="V981" s="9" t="str">
        <f t="shared" si="125"/>
        <v/>
      </c>
      <c r="W981" s="9" t="str">
        <f t="shared" si="126"/>
        <v/>
      </c>
      <c r="X981" s="10">
        <f>SUM(V$13:V981)/COUNTA(B$13:B981)</f>
        <v>0</v>
      </c>
      <c r="Z981" s="5"/>
      <c r="AA981" s="5"/>
      <c r="AC981" s="7"/>
      <c r="AE981" s="54" t="e">
        <f t="shared" si="127"/>
        <v>#N/A</v>
      </c>
      <c r="AF981" s="4" t="e">
        <f t="shared" si="123"/>
        <v>#N/A</v>
      </c>
    </row>
    <row r="982" spans="2:32">
      <c r="B982" s="5">
        <f t="shared" si="128"/>
        <v>970</v>
      </c>
      <c r="C982" s="5"/>
      <c r="E982" s="13"/>
      <c r="F982" s="5"/>
      <c r="G982" s="11" t="str">
        <f>IF(ISERROR(AVERAGE(F$13:F982)),"n/a",AVERAGE(F$13:F982))</f>
        <v>n/a</v>
      </c>
      <c r="H982" s="11" t="str">
        <f t="shared" si="124"/>
        <v>n/a</v>
      </c>
      <c r="J982" s="5"/>
      <c r="K982" s="5"/>
      <c r="L982" s="5"/>
      <c r="M982" s="5"/>
      <c r="N982" s="5"/>
      <c r="O982" s="8" t="str">
        <f t="shared" si="122"/>
        <v>n/a</v>
      </c>
      <c r="Q982" s="5"/>
      <c r="R982" s="5"/>
      <c r="S982" s="5"/>
      <c r="U982" s="6"/>
      <c r="V982" s="9" t="str">
        <f t="shared" si="125"/>
        <v/>
      </c>
      <c r="W982" s="9" t="str">
        <f t="shared" si="126"/>
        <v/>
      </c>
      <c r="X982" s="10">
        <f>SUM(V$13:V982)/COUNTA(B$13:B982)</f>
        <v>0</v>
      </c>
      <c r="Z982" s="5"/>
      <c r="AA982" s="5"/>
      <c r="AC982" s="7"/>
      <c r="AE982" s="54" t="e">
        <f t="shared" si="127"/>
        <v>#N/A</v>
      </c>
      <c r="AF982" s="4" t="e">
        <f t="shared" si="123"/>
        <v>#N/A</v>
      </c>
    </row>
    <row r="983" spans="2:32">
      <c r="B983" s="5">
        <f t="shared" si="128"/>
        <v>971</v>
      </c>
      <c r="C983" s="5"/>
      <c r="E983" s="13"/>
      <c r="F983" s="5"/>
      <c r="G983" s="11" t="str">
        <f>IF(ISERROR(AVERAGE(F$13:F983)),"n/a",AVERAGE(F$13:F983))</f>
        <v>n/a</v>
      </c>
      <c r="H983" s="11" t="str">
        <f t="shared" si="124"/>
        <v>n/a</v>
      </c>
      <c r="J983" s="5"/>
      <c r="K983" s="5"/>
      <c r="L983" s="5"/>
      <c r="M983" s="5"/>
      <c r="N983" s="5"/>
      <c r="O983" s="8" t="str">
        <f t="shared" si="122"/>
        <v>n/a</v>
      </c>
      <c r="Q983" s="5"/>
      <c r="R983" s="5"/>
      <c r="S983" s="5"/>
      <c r="U983" s="6"/>
      <c r="V983" s="9" t="str">
        <f t="shared" si="125"/>
        <v/>
      </c>
      <c r="W983" s="9" t="str">
        <f t="shared" si="126"/>
        <v/>
      </c>
      <c r="X983" s="10">
        <f>SUM(V$13:V983)/COUNTA(B$13:B983)</f>
        <v>0</v>
      </c>
      <c r="Z983" s="5"/>
      <c r="AA983" s="5"/>
      <c r="AC983" s="7"/>
      <c r="AE983" s="54" t="e">
        <f t="shared" si="127"/>
        <v>#N/A</v>
      </c>
      <c r="AF983" s="4" t="e">
        <f t="shared" si="123"/>
        <v>#N/A</v>
      </c>
    </row>
    <row r="984" spans="2:32">
      <c r="B984" s="5">
        <f t="shared" si="128"/>
        <v>972</v>
      </c>
      <c r="C984" s="5"/>
      <c r="E984" s="13"/>
      <c r="F984" s="5"/>
      <c r="G984" s="11" t="str">
        <f>IF(ISERROR(AVERAGE(F$13:F984)),"n/a",AVERAGE(F$13:F984))</f>
        <v>n/a</v>
      </c>
      <c r="H984" s="11" t="str">
        <f t="shared" si="124"/>
        <v>n/a</v>
      </c>
      <c r="J984" s="5"/>
      <c r="K984" s="5"/>
      <c r="L984" s="5"/>
      <c r="M984" s="5"/>
      <c r="N984" s="5"/>
      <c r="O984" s="8" t="str">
        <f t="shared" si="122"/>
        <v>n/a</v>
      </c>
      <c r="Q984" s="5"/>
      <c r="R984" s="5"/>
      <c r="S984" s="5"/>
      <c r="U984" s="6"/>
      <c r="V984" s="9" t="str">
        <f t="shared" si="125"/>
        <v/>
      </c>
      <c r="W984" s="9" t="str">
        <f t="shared" si="126"/>
        <v/>
      </c>
      <c r="X984" s="10">
        <f>SUM(V$13:V984)/COUNTA(B$13:B984)</f>
        <v>0</v>
      </c>
      <c r="Z984" s="5"/>
      <c r="AA984" s="5"/>
      <c r="AC984" s="7"/>
      <c r="AE984" s="54" t="e">
        <f t="shared" si="127"/>
        <v>#N/A</v>
      </c>
      <c r="AF984" s="4" t="e">
        <f t="shared" si="123"/>
        <v>#N/A</v>
      </c>
    </row>
    <row r="985" spans="2:32">
      <c r="B985" s="5">
        <f t="shared" si="128"/>
        <v>973</v>
      </c>
      <c r="C985" s="5"/>
      <c r="E985" s="13"/>
      <c r="F985" s="5"/>
      <c r="G985" s="11" t="str">
        <f>IF(ISERROR(AVERAGE(F$13:F985)),"n/a",AVERAGE(F$13:F985))</f>
        <v>n/a</v>
      </c>
      <c r="H985" s="11" t="str">
        <f t="shared" si="124"/>
        <v>n/a</v>
      </c>
      <c r="J985" s="5"/>
      <c r="K985" s="5"/>
      <c r="L985" s="5"/>
      <c r="M985" s="5"/>
      <c r="N985" s="5"/>
      <c r="O985" s="8" t="str">
        <f t="shared" si="122"/>
        <v>n/a</v>
      </c>
      <c r="Q985" s="5"/>
      <c r="R985" s="5"/>
      <c r="S985" s="5"/>
      <c r="U985" s="6"/>
      <c r="V985" s="9" t="str">
        <f t="shared" si="125"/>
        <v/>
      </c>
      <c r="W985" s="9" t="str">
        <f t="shared" si="126"/>
        <v/>
      </c>
      <c r="X985" s="10">
        <f>SUM(V$13:V985)/COUNTA(B$13:B985)</f>
        <v>0</v>
      </c>
      <c r="Z985" s="5"/>
      <c r="AA985" s="5"/>
      <c r="AC985" s="7"/>
      <c r="AE985" s="54" t="e">
        <f t="shared" si="127"/>
        <v>#N/A</v>
      </c>
      <c r="AF985" s="4" t="e">
        <f t="shared" si="123"/>
        <v>#N/A</v>
      </c>
    </row>
    <row r="986" spans="2:32">
      <c r="B986" s="5">
        <f t="shared" si="128"/>
        <v>974</v>
      </c>
      <c r="C986" s="5"/>
      <c r="E986" s="13"/>
      <c r="F986" s="5"/>
      <c r="G986" s="11" t="str">
        <f>IF(ISERROR(AVERAGE(F$13:F986)),"n/a",AVERAGE(F$13:F986))</f>
        <v>n/a</v>
      </c>
      <c r="H986" s="11" t="str">
        <f t="shared" si="124"/>
        <v>n/a</v>
      </c>
      <c r="J986" s="5"/>
      <c r="K986" s="5"/>
      <c r="L986" s="5"/>
      <c r="M986" s="5"/>
      <c r="N986" s="5"/>
      <c r="O986" s="8" t="str">
        <f t="shared" si="122"/>
        <v>n/a</v>
      </c>
      <c r="Q986" s="5"/>
      <c r="R986" s="5"/>
      <c r="S986" s="5"/>
      <c r="U986" s="6"/>
      <c r="V986" s="9" t="str">
        <f t="shared" si="125"/>
        <v/>
      </c>
      <c r="W986" s="9" t="str">
        <f t="shared" si="126"/>
        <v/>
      </c>
      <c r="X986" s="10">
        <f>SUM(V$13:V986)/COUNTA(B$13:B986)</f>
        <v>0</v>
      </c>
      <c r="Z986" s="5"/>
      <c r="AA986" s="5"/>
      <c r="AC986" s="7"/>
      <c r="AE986" s="54" t="e">
        <f t="shared" si="127"/>
        <v>#N/A</v>
      </c>
      <c r="AF986" s="4" t="e">
        <f t="shared" si="123"/>
        <v>#N/A</v>
      </c>
    </row>
    <row r="987" spans="2:32">
      <c r="B987" s="5">
        <f t="shared" si="128"/>
        <v>975</v>
      </c>
      <c r="C987" s="5"/>
      <c r="E987" s="13"/>
      <c r="F987" s="5"/>
      <c r="G987" s="11" t="str">
        <f>IF(ISERROR(AVERAGE(F$13:F987)),"n/a",AVERAGE(F$13:F987))</f>
        <v>n/a</v>
      </c>
      <c r="H987" s="11" t="str">
        <f t="shared" si="124"/>
        <v>n/a</v>
      </c>
      <c r="J987" s="5"/>
      <c r="K987" s="5"/>
      <c r="L987" s="5"/>
      <c r="M987" s="5"/>
      <c r="N987" s="5"/>
      <c r="O987" s="8" t="str">
        <f t="shared" si="122"/>
        <v>n/a</v>
      </c>
      <c r="Q987" s="5"/>
      <c r="R987" s="5"/>
      <c r="S987" s="5"/>
      <c r="U987" s="6"/>
      <c r="V987" s="9" t="str">
        <f t="shared" si="125"/>
        <v/>
      </c>
      <c r="W987" s="9" t="str">
        <f t="shared" si="126"/>
        <v/>
      </c>
      <c r="X987" s="10">
        <f>SUM(V$13:V987)/COUNTA(B$13:B987)</f>
        <v>0</v>
      </c>
      <c r="Z987" s="5"/>
      <c r="AA987" s="5"/>
      <c r="AC987" s="7"/>
      <c r="AE987" s="54" t="e">
        <f t="shared" si="127"/>
        <v>#N/A</v>
      </c>
      <c r="AF987" s="4" t="e">
        <f t="shared" si="123"/>
        <v>#N/A</v>
      </c>
    </row>
    <row r="988" spans="2:32">
      <c r="B988" s="5">
        <f t="shared" si="128"/>
        <v>976</v>
      </c>
      <c r="C988" s="5"/>
      <c r="E988" s="13"/>
      <c r="F988" s="5"/>
      <c r="G988" s="11" t="str">
        <f>IF(ISERROR(AVERAGE(F$13:F988)),"n/a",AVERAGE(F$13:F988))</f>
        <v>n/a</v>
      </c>
      <c r="H988" s="11" t="str">
        <f t="shared" si="124"/>
        <v>n/a</v>
      </c>
      <c r="J988" s="5"/>
      <c r="K988" s="5"/>
      <c r="L988" s="5"/>
      <c r="M988" s="5"/>
      <c r="N988" s="5"/>
      <c r="O988" s="8" t="str">
        <f t="shared" si="122"/>
        <v>n/a</v>
      </c>
      <c r="Q988" s="5"/>
      <c r="R988" s="5"/>
      <c r="S988" s="5"/>
      <c r="U988" s="6"/>
      <c r="V988" s="9" t="str">
        <f t="shared" si="125"/>
        <v/>
      </c>
      <c r="W988" s="9" t="str">
        <f t="shared" si="126"/>
        <v/>
      </c>
      <c r="X988" s="10">
        <f>SUM(V$13:V988)/COUNTA(B$13:B988)</f>
        <v>0</v>
      </c>
      <c r="Z988" s="5"/>
      <c r="AA988" s="5"/>
      <c r="AC988" s="7"/>
      <c r="AE988" s="54" t="e">
        <f t="shared" si="127"/>
        <v>#N/A</v>
      </c>
      <c r="AF988" s="4" t="e">
        <f t="shared" si="123"/>
        <v>#N/A</v>
      </c>
    </row>
    <row r="989" spans="2:32">
      <c r="B989" s="5">
        <f t="shared" si="128"/>
        <v>977</v>
      </c>
      <c r="C989" s="5"/>
      <c r="E989" s="13"/>
      <c r="F989" s="5"/>
      <c r="G989" s="11" t="str">
        <f>IF(ISERROR(AVERAGE(F$13:F989)),"n/a",AVERAGE(F$13:F989))</f>
        <v>n/a</v>
      </c>
      <c r="H989" s="11" t="str">
        <f t="shared" si="124"/>
        <v>n/a</v>
      </c>
      <c r="J989" s="5"/>
      <c r="K989" s="5"/>
      <c r="L989" s="5"/>
      <c r="M989" s="5"/>
      <c r="N989" s="5"/>
      <c r="O989" s="8" t="str">
        <f t="shared" si="122"/>
        <v>n/a</v>
      </c>
      <c r="Q989" s="5"/>
      <c r="R989" s="5"/>
      <c r="S989" s="5"/>
      <c r="U989" s="6"/>
      <c r="V989" s="9" t="str">
        <f t="shared" si="125"/>
        <v/>
      </c>
      <c r="W989" s="9" t="str">
        <f t="shared" si="126"/>
        <v/>
      </c>
      <c r="X989" s="10">
        <f>SUM(V$13:V989)/COUNTA(B$13:B989)</f>
        <v>0</v>
      </c>
      <c r="Z989" s="5"/>
      <c r="AA989" s="5"/>
      <c r="AC989" s="7"/>
      <c r="AE989" s="54" t="e">
        <f t="shared" si="127"/>
        <v>#N/A</v>
      </c>
      <c r="AF989" s="4" t="e">
        <f t="shared" si="123"/>
        <v>#N/A</v>
      </c>
    </row>
    <row r="990" spans="2:32">
      <c r="B990" s="5">
        <f t="shared" si="128"/>
        <v>978</v>
      </c>
      <c r="C990" s="5"/>
      <c r="E990" s="13"/>
      <c r="F990" s="5"/>
      <c r="G990" s="11" t="str">
        <f>IF(ISERROR(AVERAGE(F$13:F990)),"n/a",AVERAGE(F$13:F990))</f>
        <v>n/a</v>
      </c>
      <c r="H990" s="11" t="str">
        <f t="shared" si="124"/>
        <v>n/a</v>
      </c>
      <c r="J990" s="5"/>
      <c r="K990" s="5"/>
      <c r="L990" s="5"/>
      <c r="M990" s="5"/>
      <c r="N990" s="5"/>
      <c r="O990" s="8" t="str">
        <f t="shared" si="122"/>
        <v>n/a</v>
      </c>
      <c r="Q990" s="5"/>
      <c r="R990" s="5"/>
      <c r="S990" s="5"/>
      <c r="U990" s="6"/>
      <c r="V990" s="9" t="str">
        <f t="shared" si="125"/>
        <v/>
      </c>
      <c r="W990" s="9" t="str">
        <f t="shared" si="126"/>
        <v/>
      </c>
      <c r="X990" s="10">
        <f>SUM(V$13:V990)/COUNTA(B$13:B990)</f>
        <v>0</v>
      </c>
      <c r="Z990" s="5"/>
      <c r="AA990" s="5"/>
      <c r="AC990" s="7"/>
      <c r="AE990" s="54" t="e">
        <f t="shared" si="127"/>
        <v>#N/A</v>
      </c>
      <c r="AF990" s="4" t="e">
        <f t="shared" si="123"/>
        <v>#N/A</v>
      </c>
    </row>
    <row r="991" spans="2:32">
      <c r="B991" s="5">
        <f t="shared" si="128"/>
        <v>979</v>
      </c>
      <c r="C991" s="5"/>
      <c r="E991" s="13"/>
      <c r="F991" s="5"/>
      <c r="G991" s="11" t="str">
        <f>IF(ISERROR(AVERAGE(F$13:F991)),"n/a",AVERAGE(F$13:F991))</f>
        <v>n/a</v>
      </c>
      <c r="H991" s="11" t="str">
        <f t="shared" si="124"/>
        <v>n/a</v>
      </c>
      <c r="J991" s="5"/>
      <c r="K991" s="5"/>
      <c r="L991" s="5"/>
      <c r="M991" s="5"/>
      <c r="N991" s="5"/>
      <c r="O991" s="8" t="str">
        <f t="shared" si="122"/>
        <v>n/a</v>
      </c>
      <c r="Q991" s="5"/>
      <c r="R991" s="5"/>
      <c r="S991" s="5"/>
      <c r="U991" s="6"/>
      <c r="V991" s="9" t="str">
        <f t="shared" si="125"/>
        <v/>
      </c>
      <c r="W991" s="9" t="str">
        <f t="shared" si="126"/>
        <v/>
      </c>
      <c r="X991" s="10">
        <f>SUM(V$13:V991)/COUNTA(B$13:B991)</f>
        <v>0</v>
      </c>
      <c r="Z991" s="5"/>
      <c r="AA991" s="5"/>
      <c r="AC991" s="7"/>
      <c r="AE991" s="54" t="e">
        <f t="shared" si="127"/>
        <v>#N/A</v>
      </c>
      <c r="AF991" s="4" t="e">
        <f t="shared" si="123"/>
        <v>#N/A</v>
      </c>
    </row>
    <row r="992" spans="2:32">
      <c r="B992" s="5">
        <f t="shared" si="128"/>
        <v>980</v>
      </c>
      <c r="C992" s="5"/>
      <c r="E992" s="13"/>
      <c r="F992" s="5"/>
      <c r="G992" s="11" t="str">
        <f>IF(ISERROR(AVERAGE(F$13:F992)),"n/a",AVERAGE(F$13:F992))</f>
        <v>n/a</v>
      </c>
      <c r="H992" s="11" t="str">
        <f t="shared" si="124"/>
        <v>n/a</v>
      </c>
      <c r="J992" s="5"/>
      <c r="K992" s="5"/>
      <c r="L992" s="5"/>
      <c r="M992" s="5"/>
      <c r="N992" s="5"/>
      <c r="O992" s="8" t="str">
        <f t="shared" si="122"/>
        <v>n/a</v>
      </c>
      <c r="Q992" s="5"/>
      <c r="R992" s="5"/>
      <c r="S992" s="5"/>
      <c r="U992" s="6"/>
      <c r="V992" s="9" t="str">
        <f t="shared" si="125"/>
        <v/>
      </c>
      <c r="W992" s="9" t="str">
        <f t="shared" si="126"/>
        <v/>
      </c>
      <c r="X992" s="10">
        <f>SUM(V$13:V992)/COUNTA(B$13:B992)</f>
        <v>0</v>
      </c>
      <c r="Z992" s="5"/>
      <c r="AA992" s="5"/>
      <c r="AC992" s="7"/>
      <c r="AE992" s="54" t="e">
        <f t="shared" si="127"/>
        <v>#N/A</v>
      </c>
      <c r="AF992" s="4" t="e">
        <f t="shared" si="123"/>
        <v>#N/A</v>
      </c>
    </row>
    <row r="993" spans="2:32">
      <c r="B993" s="5">
        <f t="shared" si="128"/>
        <v>981</v>
      </c>
      <c r="C993" s="5"/>
      <c r="E993" s="13"/>
      <c r="F993" s="5"/>
      <c r="G993" s="11" t="str">
        <f>IF(ISERROR(AVERAGE(F$13:F993)),"n/a",AVERAGE(F$13:F993))</f>
        <v>n/a</v>
      </c>
      <c r="H993" s="11" t="str">
        <f t="shared" si="124"/>
        <v>n/a</v>
      </c>
      <c r="J993" s="5"/>
      <c r="K993" s="5"/>
      <c r="L993" s="5"/>
      <c r="M993" s="5"/>
      <c r="N993" s="5"/>
      <c r="O993" s="8" t="str">
        <f t="shared" si="122"/>
        <v>n/a</v>
      </c>
      <c r="Q993" s="5"/>
      <c r="R993" s="5"/>
      <c r="S993" s="5"/>
      <c r="U993" s="6"/>
      <c r="V993" s="9" t="str">
        <f t="shared" si="125"/>
        <v/>
      </c>
      <c r="W993" s="9" t="str">
        <f t="shared" si="126"/>
        <v/>
      </c>
      <c r="X993" s="10">
        <f>SUM(V$13:V993)/COUNTA(B$13:B993)</f>
        <v>0</v>
      </c>
      <c r="Z993" s="5"/>
      <c r="AA993" s="5"/>
      <c r="AC993" s="7"/>
      <c r="AE993" s="54" t="e">
        <f t="shared" si="127"/>
        <v>#N/A</v>
      </c>
      <c r="AF993" s="4" t="e">
        <f t="shared" si="123"/>
        <v>#N/A</v>
      </c>
    </row>
    <row r="994" spans="2:32">
      <c r="B994" s="5">
        <f t="shared" si="128"/>
        <v>982</v>
      </c>
      <c r="C994" s="5"/>
      <c r="E994" s="13"/>
      <c r="F994" s="5"/>
      <c r="G994" s="11" t="str">
        <f>IF(ISERROR(AVERAGE(F$13:F994)),"n/a",AVERAGE(F$13:F994))</f>
        <v>n/a</v>
      </c>
      <c r="H994" s="11" t="str">
        <f t="shared" si="124"/>
        <v>n/a</v>
      </c>
      <c r="J994" s="5"/>
      <c r="K994" s="5"/>
      <c r="L994" s="5"/>
      <c r="M994" s="5"/>
      <c r="N994" s="5"/>
      <c r="O994" s="8" t="str">
        <f t="shared" si="122"/>
        <v>n/a</v>
      </c>
      <c r="Q994" s="5"/>
      <c r="R994" s="5"/>
      <c r="S994" s="5"/>
      <c r="U994" s="6"/>
      <c r="V994" s="9" t="str">
        <f t="shared" si="125"/>
        <v/>
      </c>
      <c r="W994" s="9" t="str">
        <f t="shared" si="126"/>
        <v/>
      </c>
      <c r="X994" s="10">
        <f>SUM(V$13:V994)/COUNTA(B$13:B994)</f>
        <v>0</v>
      </c>
      <c r="Z994" s="5"/>
      <c r="AA994" s="5"/>
      <c r="AC994" s="7"/>
      <c r="AE994" s="54" t="e">
        <f t="shared" si="127"/>
        <v>#N/A</v>
      </c>
      <c r="AF994" s="4" t="e">
        <f t="shared" si="123"/>
        <v>#N/A</v>
      </c>
    </row>
    <row r="995" spans="2:32">
      <c r="B995" s="5">
        <f t="shared" si="128"/>
        <v>983</v>
      </c>
      <c r="C995" s="5"/>
      <c r="E995" s="13"/>
      <c r="F995" s="5"/>
      <c r="G995" s="11" t="str">
        <f>IF(ISERROR(AVERAGE(F$13:F995)),"n/a",AVERAGE(F$13:F995))</f>
        <v>n/a</v>
      </c>
      <c r="H995" s="11" t="str">
        <f t="shared" si="124"/>
        <v>n/a</v>
      </c>
      <c r="J995" s="5"/>
      <c r="K995" s="5"/>
      <c r="L995" s="5"/>
      <c r="M995" s="5"/>
      <c r="N995" s="5"/>
      <c r="O995" s="8" t="str">
        <f t="shared" si="122"/>
        <v>n/a</v>
      </c>
      <c r="Q995" s="5"/>
      <c r="R995" s="5"/>
      <c r="S995" s="5"/>
      <c r="U995" s="6"/>
      <c r="V995" s="9" t="str">
        <f t="shared" si="125"/>
        <v/>
      </c>
      <c r="W995" s="9" t="str">
        <f t="shared" si="126"/>
        <v/>
      </c>
      <c r="X995" s="10">
        <f>SUM(V$13:V995)/COUNTA(B$13:B995)</f>
        <v>0</v>
      </c>
      <c r="Z995" s="5"/>
      <c r="AA995" s="5"/>
      <c r="AC995" s="7"/>
      <c r="AE995" s="54" t="e">
        <f t="shared" si="127"/>
        <v>#N/A</v>
      </c>
      <c r="AF995" s="4" t="e">
        <f t="shared" si="123"/>
        <v>#N/A</v>
      </c>
    </row>
    <row r="996" spans="2:32">
      <c r="B996" s="5">
        <f t="shared" si="128"/>
        <v>984</v>
      </c>
      <c r="C996" s="5"/>
      <c r="E996" s="13"/>
      <c r="F996" s="5"/>
      <c r="G996" s="11" t="str">
        <f>IF(ISERROR(AVERAGE(F$13:F996)),"n/a",AVERAGE(F$13:F996))</f>
        <v>n/a</v>
      </c>
      <c r="H996" s="11" t="str">
        <f t="shared" si="124"/>
        <v>n/a</v>
      </c>
      <c r="J996" s="5"/>
      <c r="K996" s="5"/>
      <c r="L996" s="5"/>
      <c r="M996" s="5"/>
      <c r="N996" s="5"/>
      <c r="O996" s="8" t="str">
        <f t="shared" si="122"/>
        <v>n/a</v>
      </c>
      <c r="Q996" s="5"/>
      <c r="R996" s="5"/>
      <c r="S996" s="5"/>
      <c r="U996" s="6"/>
      <c r="V996" s="9" t="str">
        <f t="shared" si="125"/>
        <v/>
      </c>
      <c r="W996" s="9" t="str">
        <f t="shared" si="126"/>
        <v/>
      </c>
      <c r="X996" s="10">
        <f>SUM(V$13:V996)/COUNTA(B$13:B996)</f>
        <v>0</v>
      </c>
      <c r="Z996" s="5"/>
      <c r="AA996" s="5"/>
      <c r="AC996" s="7"/>
      <c r="AE996" s="54" t="e">
        <f t="shared" si="127"/>
        <v>#N/A</v>
      </c>
      <c r="AF996" s="4" t="e">
        <f t="shared" si="123"/>
        <v>#N/A</v>
      </c>
    </row>
    <row r="997" spans="2:32">
      <c r="B997" s="5">
        <f t="shared" si="128"/>
        <v>985</v>
      </c>
      <c r="C997" s="5"/>
      <c r="E997" s="13"/>
      <c r="F997" s="5"/>
      <c r="G997" s="11" t="str">
        <f>IF(ISERROR(AVERAGE(F$13:F997)),"n/a",AVERAGE(F$13:F997))</f>
        <v>n/a</v>
      </c>
      <c r="H997" s="11" t="str">
        <f t="shared" si="124"/>
        <v>n/a</v>
      </c>
      <c r="J997" s="5"/>
      <c r="K997" s="5"/>
      <c r="L997" s="5"/>
      <c r="M997" s="5"/>
      <c r="N997" s="5"/>
      <c r="O997" s="8" t="str">
        <f t="shared" si="122"/>
        <v>n/a</v>
      </c>
      <c r="Q997" s="5"/>
      <c r="R997" s="5"/>
      <c r="S997" s="5"/>
      <c r="U997" s="6"/>
      <c r="V997" s="9" t="str">
        <f t="shared" si="125"/>
        <v/>
      </c>
      <c r="W997" s="9" t="str">
        <f t="shared" si="126"/>
        <v/>
      </c>
      <c r="X997" s="10">
        <f>SUM(V$13:V997)/COUNTA(B$13:B997)</f>
        <v>0</v>
      </c>
      <c r="Z997" s="5"/>
      <c r="AA997" s="5"/>
      <c r="AC997" s="7"/>
      <c r="AE997" s="54" t="e">
        <f t="shared" si="127"/>
        <v>#N/A</v>
      </c>
      <c r="AF997" s="4" t="e">
        <f t="shared" si="123"/>
        <v>#N/A</v>
      </c>
    </row>
    <row r="998" spans="2:32">
      <c r="B998" s="5">
        <f t="shared" si="128"/>
        <v>986</v>
      </c>
      <c r="C998" s="5"/>
      <c r="E998" s="13"/>
      <c r="F998" s="5"/>
      <c r="G998" s="11" t="str">
        <f>IF(ISERROR(AVERAGE(F$13:F998)),"n/a",AVERAGE(F$13:F998))</f>
        <v>n/a</v>
      </c>
      <c r="H998" s="11" t="str">
        <f t="shared" si="124"/>
        <v>n/a</v>
      </c>
      <c r="J998" s="5"/>
      <c r="K998" s="5"/>
      <c r="L998" s="5"/>
      <c r="M998" s="5"/>
      <c r="N998" s="5"/>
      <c r="O998" s="8" t="str">
        <f t="shared" si="122"/>
        <v>n/a</v>
      </c>
      <c r="Q998" s="5"/>
      <c r="R998" s="5"/>
      <c r="S998" s="5"/>
      <c r="U998" s="6"/>
      <c r="V998" s="9" t="str">
        <f t="shared" si="125"/>
        <v/>
      </c>
      <c r="W998" s="9" t="str">
        <f t="shared" si="126"/>
        <v/>
      </c>
      <c r="X998" s="10">
        <f>SUM(V$13:V998)/COUNTA(B$13:B998)</f>
        <v>0</v>
      </c>
      <c r="Z998" s="5"/>
      <c r="AA998" s="5"/>
      <c r="AC998" s="7"/>
      <c r="AE998" s="54" t="e">
        <f t="shared" si="127"/>
        <v>#N/A</v>
      </c>
      <c r="AF998" s="4" t="e">
        <f t="shared" si="123"/>
        <v>#N/A</v>
      </c>
    </row>
    <row r="999" spans="2:32">
      <c r="B999" s="5">
        <f t="shared" si="128"/>
        <v>987</v>
      </c>
      <c r="C999" s="5"/>
      <c r="E999" s="13"/>
      <c r="F999" s="5"/>
      <c r="G999" s="11" t="str">
        <f>IF(ISERROR(AVERAGE(F$13:F999)),"n/a",AVERAGE(F$13:F999))</f>
        <v>n/a</v>
      </c>
      <c r="H999" s="11" t="str">
        <f t="shared" si="124"/>
        <v>n/a</v>
      </c>
      <c r="J999" s="5"/>
      <c r="K999" s="5"/>
      <c r="L999" s="5"/>
      <c r="M999" s="5"/>
      <c r="N999" s="5"/>
      <c r="O999" s="8" t="str">
        <f t="shared" si="122"/>
        <v>n/a</v>
      </c>
      <c r="Q999" s="5"/>
      <c r="R999" s="5"/>
      <c r="S999" s="5"/>
      <c r="U999" s="6"/>
      <c r="V999" s="9" t="str">
        <f t="shared" si="125"/>
        <v/>
      </c>
      <c r="W999" s="9" t="str">
        <f t="shared" si="126"/>
        <v/>
      </c>
      <c r="X999" s="10">
        <f>SUM(V$13:V999)/COUNTA(B$13:B999)</f>
        <v>0</v>
      </c>
      <c r="Z999" s="5"/>
      <c r="AA999" s="5"/>
      <c r="AC999" s="7"/>
      <c r="AE999" s="54" t="e">
        <f t="shared" si="127"/>
        <v>#N/A</v>
      </c>
      <c r="AF999" s="4" t="e">
        <f t="shared" si="123"/>
        <v>#N/A</v>
      </c>
    </row>
    <row r="1000" spans="2:32">
      <c r="B1000" s="5">
        <f t="shared" si="128"/>
        <v>988</v>
      </c>
      <c r="C1000" s="5"/>
      <c r="E1000" s="13"/>
      <c r="F1000" s="5"/>
      <c r="G1000" s="11" t="str">
        <f>IF(ISERROR(AVERAGE(F$13:F1000)),"n/a",AVERAGE(F$13:F1000))</f>
        <v>n/a</v>
      </c>
      <c r="H1000" s="11" t="str">
        <f t="shared" si="124"/>
        <v>n/a</v>
      </c>
      <c r="J1000" s="5"/>
      <c r="K1000" s="5"/>
      <c r="L1000" s="5"/>
      <c r="M1000" s="5"/>
      <c r="N1000" s="5"/>
      <c r="O1000" s="8" t="str">
        <f t="shared" si="122"/>
        <v>n/a</v>
      </c>
      <c r="Q1000" s="5"/>
      <c r="R1000" s="5"/>
      <c r="S1000" s="5"/>
      <c r="U1000" s="6"/>
      <c r="V1000" s="9" t="str">
        <f t="shared" si="125"/>
        <v/>
      </c>
      <c r="W1000" s="9" t="str">
        <f t="shared" si="126"/>
        <v/>
      </c>
      <c r="X1000" s="10">
        <f>SUM(V$13:V1000)/COUNTA(B$13:B1000)</f>
        <v>0</v>
      </c>
      <c r="Z1000" s="5"/>
      <c r="AA1000" s="5"/>
      <c r="AC1000" s="7"/>
      <c r="AE1000" s="54" t="e">
        <f t="shared" si="127"/>
        <v>#N/A</v>
      </c>
      <c r="AF1000" s="4" t="e">
        <f t="shared" si="123"/>
        <v>#N/A</v>
      </c>
    </row>
    <row r="1001" spans="2:32">
      <c r="B1001" s="5">
        <f t="shared" si="128"/>
        <v>989</v>
      </c>
      <c r="C1001" s="5"/>
      <c r="E1001" s="13"/>
      <c r="F1001" s="5"/>
      <c r="G1001" s="11" t="str">
        <f>IF(ISERROR(AVERAGE(F$13:F1001)),"n/a",AVERAGE(F$13:F1001))</f>
        <v>n/a</v>
      </c>
      <c r="H1001" s="11" t="str">
        <f t="shared" si="124"/>
        <v>n/a</v>
      </c>
      <c r="J1001" s="5"/>
      <c r="K1001" s="5"/>
      <c r="L1001" s="5"/>
      <c r="M1001" s="5"/>
      <c r="N1001" s="5"/>
      <c r="O1001" s="8" t="str">
        <f t="shared" si="122"/>
        <v>n/a</v>
      </c>
      <c r="Q1001" s="5"/>
      <c r="R1001" s="5"/>
      <c r="S1001" s="5"/>
      <c r="U1001" s="6"/>
      <c r="V1001" s="9" t="str">
        <f t="shared" si="125"/>
        <v/>
      </c>
      <c r="W1001" s="9" t="str">
        <f t="shared" si="126"/>
        <v/>
      </c>
      <c r="X1001" s="10">
        <f>SUM(V$13:V1001)/COUNTA(B$13:B1001)</f>
        <v>0</v>
      </c>
      <c r="Z1001" s="5"/>
      <c r="AA1001" s="5"/>
      <c r="AC1001" s="7"/>
      <c r="AE1001" s="54" t="e">
        <f t="shared" si="127"/>
        <v>#N/A</v>
      </c>
      <c r="AF1001" s="4" t="e">
        <f t="shared" si="123"/>
        <v>#N/A</v>
      </c>
    </row>
    <row r="1002" spans="2:32">
      <c r="B1002" s="5">
        <f t="shared" si="128"/>
        <v>990</v>
      </c>
      <c r="C1002" s="5"/>
      <c r="E1002" s="13"/>
      <c r="F1002" s="5"/>
      <c r="G1002" s="11" t="str">
        <f>IF(ISERROR(AVERAGE(F$13:F1002)),"n/a",AVERAGE(F$13:F1002))</f>
        <v>n/a</v>
      </c>
      <c r="H1002" s="11" t="str">
        <f t="shared" si="124"/>
        <v>n/a</v>
      </c>
      <c r="J1002" s="5"/>
      <c r="K1002" s="5"/>
      <c r="L1002" s="5"/>
      <c r="M1002" s="5"/>
      <c r="N1002" s="5"/>
      <c r="O1002" s="8" t="str">
        <f t="shared" si="122"/>
        <v>n/a</v>
      </c>
      <c r="Q1002" s="5"/>
      <c r="R1002" s="5"/>
      <c r="S1002" s="5"/>
      <c r="U1002" s="6"/>
      <c r="V1002" s="9" t="str">
        <f t="shared" si="125"/>
        <v/>
      </c>
      <c r="W1002" s="9" t="str">
        <f t="shared" si="126"/>
        <v/>
      </c>
      <c r="X1002" s="10">
        <f>SUM(V$13:V1002)/COUNTA(B$13:B1002)</f>
        <v>0</v>
      </c>
      <c r="Z1002" s="5"/>
      <c r="AA1002" s="5"/>
      <c r="AC1002" s="7"/>
      <c r="AE1002" s="54" t="e">
        <f t="shared" si="127"/>
        <v>#N/A</v>
      </c>
      <c r="AF1002" s="4" t="e">
        <f t="shared" si="123"/>
        <v>#N/A</v>
      </c>
    </row>
    <row r="1003" spans="2:32">
      <c r="B1003" s="5">
        <f t="shared" si="128"/>
        <v>991</v>
      </c>
      <c r="C1003" s="5"/>
      <c r="E1003" s="13"/>
      <c r="F1003" s="5"/>
      <c r="G1003" s="11" t="str">
        <f>IF(ISERROR(AVERAGE(F$13:F1003)),"n/a",AVERAGE(F$13:F1003))</f>
        <v>n/a</v>
      </c>
      <c r="H1003" s="11" t="str">
        <f t="shared" si="124"/>
        <v>n/a</v>
      </c>
      <c r="J1003" s="5"/>
      <c r="K1003" s="5"/>
      <c r="L1003" s="5"/>
      <c r="M1003" s="5"/>
      <c r="N1003" s="5"/>
      <c r="O1003" s="8" t="str">
        <f t="shared" si="122"/>
        <v>n/a</v>
      </c>
      <c r="Q1003" s="5"/>
      <c r="R1003" s="5"/>
      <c r="S1003" s="5"/>
      <c r="U1003" s="6"/>
      <c r="V1003" s="9" t="str">
        <f t="shared" si="125"/>
        <v/>
      </c>
      <c r="W1003" s="9" t="str">
        <f t="shared" si="126"/>
        <v/>
      </c>
      <c r="X1003" s="10">
        <f>SUM(V$13:V1003)/COUNTA(B$13:B1003)</f>
        <v>0</v>
      </c>
      <c r="Z1003" s="5"/>
      <c r="AA1003" s="5"/>
      <c r="AC1003" s="7"/>
      <c r="AE1003" s="54" t="e">
        <f t="shared" si="127"/>
        <v>#N/A</v>
      </c>
      <c r="AF1003" s="4" t="e">
        <f t="shared" si="123"/>
        <v>#N/A</v>
      </c>
    </row>
    <row r="1004" spans="2:32">
      <c r="B1004" s="5">
        <f t="shared" si="128"/>
        <v>992</v>
      </c>
      <c r="C1004" s="5"/>
      <c r="E1004" s="13"/>
      <c r="F1004" s="5"/>
      <c r="G1004" s="11" t="str">
        <f>IF(ISERROR(AVERAGE(F$13:F1004)),"n/a",AVERAGE(F$13:F1004))</f>
        <v>n/a</v>
      </c>
      <c r="H1004" s="11" t="str">
        <f t="shared" si="124"/>
        <v>n/a</v>
      </c>
      <c r="J1004" s="5"/>
      <c r="K1004" s="5"/>
      <c r="L1004" s="5"/>
      <c r="M1004" s="5"/>
      <c r="N1004" s="5"/>
      <c r="O1004" s="8" t="str">
        <f t="shared" si="122"/>
        <v>n/a</v>
      </c>
      <c r="Q1004" s="5"/>
      <c r="R1004" s="5"/>
      <c r="S1004" s="5"/>
      <c r="U1004" s="6"/>
      <c r="V1004" s="9" t="str">
        <f t="shared" si="125"/>
        <v/>
      </c>
      <c r="W1004" s="9" t="str">
        <f t="shared" si="126"/>
        <v/>
      </c>
      <c r="X1004" s="10">
        <f>SUM(V$13:V1004)/COUNTA(B$13:B1004)</f>
        <v>0</v>
      </c>
      <c r="Z1004" s="5"/>
      <c r="AA1004" s="5"/>
      <c r="AC1004" s="7"/>
      <c r="AE1004" s="54" t="e">
        <f t="shared" si="127"/>
        <v>#N/A</v>
      </c>
      <c r="AF1004" s="4" t="e">
        <f t="shared" si="123"/>
        <v>#N/A</v>
      </c>
    </row>
    <row r="1005" spans="2:32">
      <c r="B1005" s="5">
        <f t="shared" si="128"/>
        <v>993</v>
      </c>
      <c r="C1005" s="5"/>
      <c r="E1005" s="13"/>
      <c r="F1005" s="5"/>
      <c r="G1005" s="11" t="str">
        <f>IF(ISERROR(AVERAGE(F$13:F1005)),"n/a",AVERAGE(F$13:F1005))</f>
        <v>n/a</v>
      </c>
      <c r="H1005" s="11" t="str">
        <f t="shared" si="124"/>
        <v>n/a</v>
      </c>
      <c r="J1005" s="5"/>
      <c r="K1005" s="5"/>
      <c r="L1005" s="5"/>
      <c r="M1005" s="5"/>
      <c r="N1005" s="5"/>
      <c r="O1005" s="8" t="str">
        <f t="shared" si="122"/>
        <v>n/a</v>
      </c>
      <c r="Q1005" s="5"/>
      <c r="R1005" s="5"/>
      <c r="S1005" s="5"/>
      <c r="U1005" s="6"/>
      <c r="V1005" s="9" t="str">
        <f t="shared" si="125"/>
        <v/>
      </c>
      <c r="W1005" s="9" t="str">
        <f t="shared" si="126"/>
        <v/>
      </c>
      <c r="X1005" s="10">
        <f>SUM(V$13:V1005)/COUNTA(B$13:B1005)</f>
        <v>0</v>
      </c>
      <c r="Z1005" s="5"/>
      <c r="AA1005" s="5"/>
      <c r="AC1005" s="7"/>
      <c r="AE1005" s="54" t="e">
        <f t="shared" si="127"/>
        <v>#N/A</v>
      </c>
      <c r="AF1005" s="4" t="e">
        <f t="shared" si="123"/>
        <v>#N/A</v>
      </c>
    </row>
    <row r="1006" spans="2:32">
      <c r="B1006" s="5">
        <f t="shared" si="128"/>
        <v>994</v>
      </c>
      <c r="C1006" s="5"/>
      <c r="E1006" s="13"/>
      <c r="F1006" s="5"/>
      <c r="G1006" s="11" t="str">
        <f>IF(ISERROR(AVERAGE(F$13:F1006)),"n/a",AVERAGE(F$13:F1006))</f>
        <v>n/a</v>
      </c>
      <c r="H1006" s="11" t="str">
        <f t="shared" si="124"/>
        <v>n/a</v>
      </c>
      <c r="J1006" s="5"/>
      <c r="K1006" s="5"/>
      <c r="L1006" s="5"/>
      <c r="M1006" s="5"/>
      <c r="N1006" s="5"/>
      <c r="O1006" s="8" t="str">
        <f t="shared" si="122"/>
        <v>n/a</v>
      </c>
      <c r="Q1006" s="5"/>
      <c r="R1006" s="5"/>
      <c r="S1006" s="5"/>
      <c r="U1006" s="6"/>
      <c r="V1006" s="9" t="str">
        <f t="shared" si="125"/>
        <v/>
      </c>
      <c r="W1006" s="9" t="str">
        <f t="shared" si="126"/>
        <v/>
      </c>
      <c r="X1006" s="10">
        <f>SUM(V$13:V1006)/COUNTA(B$13:B1006)</f>
        <v>0</v>
      </c>
      <c r="Z1006" s="5"/>
      <c r="AA1006" s="5"/>
      <c r="AC1006" s="7"/>
      <c r="AE1006" s="54" t="e">
        <f t="shared" si="127"/>
        <v>#N/A</v>
      </c>
      <c r="AF1006" s="4" t="e">
        <f t="shared" si="123"/>
        <v>#N/A</v>
      </c>
    </row>
    <row r="1007" spans="2:32">
      <c r="B1007" s="5">
        <f t="shared" si="128"/>
        <v>995</v>
      </c>
      <c r="C1007" s="5"/>
      <c r="E1007" s="13"/>
      <c r="F1007" s="5"/>
      <c r="G1007" s="11" t="str">
        <f>IF(ISERROR(AVERAGE(F$13:F1007)),"n/a",AVERAGE(F$13:F1007))</f>
        <v>n/a</v>
      </c>
      <c r="H1007" s="11" t="str">
        <f t="shared" si="124"/>
        <v>n/a</v>
      </c>
      <c r="J1007" s="5"/>
      <c r="K1007" s="5"/>
      <c r="L1007" s="5"/>
      <c r="M1007" s="5"/>
      <c r="N1007" s="5"/>
      <c r="O1007" s="8" t="str">
        <f t="shared" si="122"/>
        <v>n/a</v>
      </c>
      <c r="Q1007" s="5"/>
      <c r="R1007" s="5"/>
      <c r="S1007" s="5"/>
      <c r="U1007" s="6"/>
      <c r="V1007" s="9" t="str">
        <f t="shared" si="125"/>
        <v/>
      </c>
      <c r="W1007" s="9" t="str">
        <f t="shared" si="126"/>
        <v/>
      </c>
      <c r="X1007" s="10">
        <f>SUM(V$13:V1007)/COUNTA(B$13:B1007)</f>
        <v>0</v>
      </c>
      <c r="Z1007" s="5"/>
      <c r="AA1007" s="5"/>
      <c r="AC1007" s="7"/>
      <c r="AE1007" s="54" t="e">
        <f t="shared" si="127"/>
        <v>#N/A</v>
      </c>
      <c r="AF1007" s="4" t="e">
        <f t="shared" si="123"/>
        <v>#N/A</v>
      </c>
    </row>
    <row r="1008" spans="2:32">
      <c r="B1008" s="5">
        <f t="shared" si="128"/>
        <v>996</v>
      </c>
      <c r="C1008" s="5"/>
      <c r="E1008" s="13"/>
      <c r="F1008" s="5"/>
      <c r="G1008" s="11" t="str">
        <f>IF(ISERROR(AVERAGE(F$13:F1008)),"n/a",AVERAGE(F$13:F1008))</f>
        <v>n/a</v>
      </c>
      <c r="H1008" s="11" t="str">
        <f t="shared" si="124"/>
        <v>n/a</v>
      </c>
      <c r="J1008" s="5"/>
      <c r="K1008" s="5"/>
      <c r="L1008" s="5"/>
      <c r="M1008" s="5"/>
      <c r="N1008" s="5"/>
      <c r="O1008" s="8" t="str">
        <f t="shared" si="122"/>
        <v>n/a</v>
      </c>
      <c r="Q1008" s="5"/>
      <c r="R1008" s="5"/>
      <c r="S1008" s="5"/>
      <c r="U1008" s="6"/>
      <c r="V1008" s="9" t="str">
        <f t="shared" si="125"/>
        <v/>
      </c>
      <c r="W1008" s="9" t="str">
        <f t="shared" si="126"/>
        <v/>
      </c>
      <c r="X1008" s="10">
        <f>SUM(V$13:V1008)/COUNTA(B$13:B1008)</f>
        <v>0</v>
      </c>
      <c r="Z1008" s="5"/>
      <c r="AA1008" s="5"/>
      <c r="AC1008" s="7"/>
      <c r="AE1008" s="54" t="e">
        <f t="shared" si="127"/>
        <v>#N/A</v>
      </c>
      <c r="AF1008" s="4" t="e">
        <f t="shared" si="123"/>
        <v>#N/A</v>
      </c>
    </row>
    <row r="1009" spans="2:32">
      <c r="B1009" s="5">
        <f t="shared" si="128"/>
        <v>997</v>
      </c>
      <c r="C1009" s="5"/>
      <c r="E1009" s="13"/>
      <c r="F1009" s="5"/>
      <c r="G1009" s="11" t="str">
        <f>IF(ISERROR(AVERAGE(F$13:F1009)),"n/a",AVERAGE(F$13:F1009))</f>
        <v>n/a</v>
      </c>
      <c r="H1009" s="11" t="str">
        <f t="shared" si="124"/>
        <v>n/a</v>
      </c>
      <c r="J1009" s="5"/>
      <c r="K1009" s="5"/>
      <c r="L1009" s="5"/>
      <c r="M1009" s="5"/>
      <c r="N1009" s="5"/>
      <c r="O1009" s="8" t="str">
        <f>IF(J1009=1,"A",IF(K1009=1,"B",IF(L1009=1,"C",IF(M1009=1,"D",IF(N1009=1,"E","n/a")))))</f>
        <v>n/a</v>
      </c>
      <c r="Q1009" s="5"/>
      <c r="R1009" s="5"/>
      <c r="S1009" s="5"/>
      <c r="U1009" s="6"/>
      <c r="V1009" s="9" t="str">
        <f t="shared" si="125"/>
        <v/>
      </c>
      <c r="W1009" s="9" t="str">
        <f t="shared" si="126"/>
        <v/>
      </c>
      <c r="X1009" s="10">
        <f>SUM(V$13:V1009)/COUNTA(B$13:B1009)</f>
        <v>0</v>
      </c>
      <c r="Z1009" s="5"/>
      <c r="AA1009" s="5"/>
      <c r="AC1009" s="7"/>
      <c r="AE1009" s="54" t="e">
        <f t="shared" si="127"/>
        <v>#N/A</v>
      </c>
      <c r="AF1009" s="4" t="e">
        <f t="shared" si="123"/>
        <v>#N/A</v>
      </c>
    </row>
    <row r="1010" spans="2:32">
      <c r="B1010" s="5">
        <f t="shared" si="128"/>
        <v>998</v>
      </c>
      <c r="C1010" s="5"/>
      <c r="E1010" s="13"/>
      <c r="F1010" s="5"/>
      <c r="G1010" s="11" t="str">
        <f>IF(ISERROR(AVERAGE(F$13:F1010)),"n/a",AVERAGE(F$13:F1010))</f>
        <v>n/a</v>
      </c>
      <c r="H1010" s="11" t="str">
        <f t="shared" si="124"/>
        <v>n/a</v>
      </c>
      <c r="J1010" s="5"/>
      <c r="K1010" s="5"/>
      <c r="L1010" s="5"/>
      <c r="M1010" s="5"/>
      <c r="N1010" s="5"/>
      <c r="O1010" s="8" t="str">
        <f>IF(J1010=1,"A",IF(K1010=1,"B",IF(L1010=1,"C",IF(M1010=1,"D",IF(N1010=1,"E","n/a")))))</f>
        <v>n/a</v>
      </c>
      <c r="Q1010" s="5"/>
      <c r="R1010" s="5"/>
      <c r="S1010" s="5"/>
      <c r="U1010" s="6"/>
      <c r="V1010" s="9" t="str">
        <f t="shared" si="125"/>
        <v/>
      </c>
      <c r="W1010" s="9" t="str">
        <f t="shared" si="126"/>
        <v/>
      </c>
      <c r="X1010" s="10">
        <f>SUM(V$13:V1010)/COUNTA(B$13:B1010)</f>
        <v>0</v>
      </c>
      <c r="Z1010" s="5"/>
      <c r="AA1010" s="5"/>
      <c r="AC1010" s="7"/>
      <c r="AE1010" s="54" t="e">
        <f t="shared" si="127"/>
        <v>#N/A</v>
      </c>
      <c r="AF1010" s="4" t="e">
        <f t="shared" si="123"/>
        <v>#N/A</v>
      </c>
    </row>
    <row r="1011" spans="2:32">
      <c r="B1011" s="5">
        <f t="shared" si="128"/>
        <v>999</v>
      </c>
      <c r="C1011" s="5"/>
      <c r="E1011" s="13"/>
      <c r="F1011" s="5"/>
      <c r="G1011" s="11" t="str">
        <f>IF(ISERROR(AVERAGE(F$13:F1011)),"n/a",AVERAGE(F$13:F1011))</f>
        <v>n/a</v>
      </c>
      <c r="H1011" s="11" t="str">
        <f t="shared" si="124"/>
        <v>n/a</v>
      </c>
      <c r="J1011" s="5"/>
      <c r="K1011" s="5"/>
      <c r="L1011" s="5"/>
      <c r="M1011" s="5"/>
      <c r="N1011" s="5"/>
      <c r="O1011" s="8" t="str">
        <f>IF(J1011=1,"A",IF(K1011=1,"B",IF(L1011=1,"C",IF(M1011=1,"D",IF(N1011=1,"E","n/a")))))</f>
        <v>n/a</v>
      </c>
      <c r="Q1011" s="5"/>
      <c r="R1011" s="5"/>
      <c r="S1011" s="5"/>
      <c r="U1011" s="6"/>
      <c r="V1011" s="9" t="str">
        <f t="shared" si="125"/>
        <v/>
      </c>
      <c r="W1011" s="9" t="str">
        <f t="shared" si="126"/>
        <v/>
      </c>
      <c r="X1011" s="10">
        <f>SUM(V$13:V1011)/COUNTA(B$13:B1011)</f>
        <v>0</v>
      </c>
      <c r="Z1011" s="5"/>
      <c r="AA1011" s="5"/>
      <c r="AC1011" s="7"/>
      <c r="AE1011" s="54" t="e">
        <f t="shared" si="127"/>
        <v>#N/A</v>
      </c>
      <c r="AF1011" s="4" t="e">
        <f t="shared" si="123"/>
        <v>#N/A</v>
      </c>
    </row>
    <row r="1012" spans="2:32">
      <c r="B1012" s="5">
        <f t="shared" si="128"/>
        <v>1000</v>
      </c>
      <c r="C1012" s="5"/>
      <c r="E1012" s="13"/>
      <c r="F1012" s="5"/>
      <c r="G1012" s="11" t="str">
        <f>IF(ISERROR(AVERAGE(F$13:F1012)),"n/a",AVERAGE(F$13:F1012))</f>
        <v>n/a</v>
      </c>
      <c r="H1012" s="11" t="str">
        <f t="shared" si="124"/>
        <v>n/a</v>
      </c>
      <c r="J1012" s="5"/>
      <c r="K1012" s="5"/>
      <c r="L1012" s="5"/>
      <c r="M1012" s="5"/>
      <c r="N1012" s="5"/>
      <c r="O1012" s="8" t="str">
        <f>IF(J1012=1,"A",IF(K1012=1,"B",IF(L1012=1,"C",IF(M1012=1,"D",IF(N1012=1,"E","n/a")))))</f>
        <v>n/a</v>
      </c>
      <c r="Q1012" s="5"/>
      <c r="R1012" s="5"/>
      <c r="S1012" s="5"/>
      <c r="U1012" s="6"/>
      <c r="V1012" s="9" t="str">
        <f t="shared" si="125"/>
        <v/>
      </c>
      <c r="W1012" s="9" t="str">
        <f t="shared" si="126"/>
        <v/>
      </c>
      <c r="X1012" s="10">
        <f>SUM(V$13:V1012)/COUNTA(B$13:B1012)</f>
        <v>0</v>
      </c>
      <c r="Z1012" s="5"/>
      <c r="AA1012" s="5"/>
      <c r="AC1012" s="7"/>
      <c r="AE1012" s="54" t="e">
        <f t="shared" si="127"/>
        <v>#N/A</v>
      </c>
      <c r="AF1012" s="4" t="e">
        <f t="shared" si="123"/>
        <v>#N/A</v>
      </c>
    </row>
    <row r="1013" spans="2:32">
      <c r="E1013"/>
    </row>
    <row r="1014" spans="2:32" outlineLevel="1">
      <c r="B1014" s="1" t="s">
        <v>41</v>
      </c>
    </row>
    <row r="1015" spans="2:32" outlineLevel="1">
      <c r="B1015" s="2" t="s">
        <v>33</v>
      </c>
      <c r="C1015" s="4">
        <f>COUNTA(C13:$C$1012)</f>
        <v>0</v>
      </c>
      <c r="E1015" s="49" t="e">
        <f>F1015/60</f>
        <v>#VALUE!</v>
      </c>
      <c r="F1015" s="49" t="str">
        <f>IF(ISERROR(AVERAGE($F$13:$F$1012)),"n/a",AVERAGE($F$13:$F$1012))</f>
        <v>n/a</v>
      </c>
      <c r="Q1015" s="4">
        <f>SUM(Q13:Q1012)</f>
        <v>0</v>
      </c>
      <c r="R1015" s="4">
        <f>SUM(R13:R1012)</f>
        <v>0</v>
      </c>
      <c r="S1015" s="4">
        <f>SUM(S13:S1012)</f>
        <v>0</v>
      </c>
      <c r="V1015" s="4">
        <f>SUM(V13:V1012)</f>
        <v>0</v>
      </c>
      <c r="W1015" s="4">
        <f>SUM(W13:W1012)</f>
        <v>0</v>
      </c>
      <c r="Z1015" s="4">
        <f>SUM(Z13:Z1012)</f>
        <v>0</v>
      </c>
      <c r="AA1015" s="4">
        <f>SUM(AA13:AA1012)</f>
        <v>0</v>
      </c>
    </row>
    <row r="1016" spans="2:32" outlineLevel="1">
      <c r="F1016" s="50"/>
    </row>
    <row r="1017" spans="2:32" outlineLevel="1">
      <c r="B1017" s="2" t="s">
        <v>42</v>
      </c>
      <c r="C1017" s="4">
        <f>COUNTIF($C$13:$C$1012,$B1017)</f>
        <v>0</v>
      </c>
      <c r="E1017" s="49" t="e">
        <f>IF(F1017/60=0,"n/a",F1017/60)</f>
        <v>#VALUE!</v>
      </c>
      <c r="F1017" s="49" t="str">
        <f>IF(ISERROR(SUMIF($C$13:$C$1012,$B1017,$F$13:$F$1012)/C1017),"n/a",SUMIF($C$13:$C$1012,$B1017,$F$13:$F$1012)/C1017)</f>
        <v>n/a</v>
      </c>
      <c r="J1017" s="26" t="e">
        <f>C1017/$C$1015</f>
        <v>#DIV/0!</v>
      </c>
      <c r="K1017" s="26" t="e">
        <f>C1018/$C$1015</f>
        <v>#DIV/0!</v>
      </c>
      <c r="L1017" s="26" t="e">
        <f>C1019/$C$1015</f>
        <v>#DIV/0!</v>
      </c>
      <c r="M1017" s="26" t="e">
        <f>C1020/$C$1015</f>
        <v>#DIV/0!</v>
      </c>
      <c r="N1017" s="26" t="e">
        <f>C1021/$C$1015</f>
        <v>#DIV/0!</v>
      </c>
      <c r="Q1017" s="4">
        <f t="shared" ref="Q1017:S1021" si="129">SUMIF($C$13:$C$1012,$B1017,Q$13:Q$1012)</f>
        <v>0</v>
      </c>
      <c r="R1017" s="4">
        <f t="shared" si="129"/>
        <v>0</v>
      </c>
      <c r="S1017" s="4">
        <f t="shared" si="129"/>
        <v>0</v>
      </c>
      <c r="V1017" s="4">
        <f t="shared" ref="V1017:W1021" si="130">SUMIF($C$13:$C$1012,$B1017,V$13:V$1012)</f>
        <v>0</v>
      </c>
      <c r="W1017" s="4">
        <f t="shared" si="130"/>
        <v>0</v>
      </c>
      <c r="Z1017" s="4">
        <f t="shared" ref="Z1017:AA1021" si="131">SUMIF($C$13:$C$1012,$B1017,Z$13:Z$1012)</f>
        <v>0</v>
      </c>
      <c r="AA1017" s="4">
        <f t="shared" si="131"/>
        <v>0</v>
      </c>
    </row>
    <row r="1018" spans="2:32" outlineLevel="1">
      <c r="B1018" s="2" t="s">
        <v>43</v>
      </c>
      <c r="C1018" s="4">
        <f>COUNTIF($C$13:$C$1012,$B1018)</f>
        <v>0</v>
      </c>
      <c r="E1018" s="49" t="e">
        <f>IF(F1018/60=0,"n/a",F1018/60)</f>
        <v>#VALUE!</v>
      </c>
      <c r="F1018" s="49" t="str">
        <f>IF(ISERROR(SUMIF($C$13:$C$1012,$B1018,$F$13:$F$1012)/C1018),"n/a",SUMIF($C$13:$C$1012,$B1018,$F$13:$F$1012)/C1018)</f>
        <v>n/a</v>
      </c>
      <c r="Q1018" s="4">
        <f t="shared" si="129"/>
        <v>0</v>
      </c>
      <c r="R1018" s="4">
        <f t="shared" si="129"/>
        <v>0</v>
      </c>
      <c r="S1018" s="4">
        <f t="shared" si="129"/>
        <v>0</v>
      </c>
      <c r="V1018" s="4">
        <f t="shared" si="130"/>
        <v>0</v>
      </c>
      <c r="W1018" s="4">
        <f t="shared" si="130"/>
        <v>0</v>
      </c>
      <c r="Z1018" s="4">
        <f t="shared" si="131"/>
        <v>0</v>
      </c>
      <c r="AA1018" s="4">
        <f t="shared" si="131"/>
        <v>0</v>
      </c>
    </row>
    <row r="1019" spans="2:32" outlineLevel="1">
      <c r="B1019" s="2" t="s">
        <v>46</v>
      </c>
      <c r="C1019" s="4">
        <f>COUNTIF($C$13:$C$1012,$B1019)</f>
        <v>0</v>
      </c>
      <c r="E1019" s="49" t="e">
        <f>IF(F1019/60=0,"n/a",F1019/60)</f>
        <v>#VALUE!</v>
      </c>
      <c r="F1019" s="49" t="str">
        <f>IF(ISERROR(SUMIF($C$13:$C$1012,$B1019,$F$13:$F$1012)/C1019),"n/a",SUMIF($C$13:$C$1012,$B1019,$F$13:$F$1012)/C1019)</f>
        <v>n/a</v>
      </c>
      <c r="Q1019" s="4">
        <f t="shared" si="129"/>
        <v>0</v>
      </c>
      <c r="R1019" s="4">
        <f t="shared" si="129"/>
        <v>0</v>
      </c>
      <c r="S1019" s="4">
        <f t="shared" si="129"/>
        <v>0</v>
      </c>
      <c r="V1019" s="4">
        <f t="shared" si="130"/>
        <v>0</v>
      </c>
      <c r="W1019" s="4">
        <f t="shared" si="130"/>
        <v>0</v>
      </c>
      <c r="Z1019" s="4">
        <f t="shared" si="131"/>
        <v>0</v>
      </c>
      <c r="AA1019" s="4">
        <f t="shared" si="131"/>
        <v>0</v>
      </c>
    </row>
    <row r="1020" spans="2:32" outlineLevel="1">
      <c r="B1020" s="2" t="s">
        <v>44</v>
      </c>
      <c r="C1020" s="4">
        <f>COUNTIF($C$13:$C$1012,$B1020)</f>
        <v>0</v>
      </c>
      <c r="E1020" s="49" t="e">
        <f>IF(F1020/60=0,"n/a",F1020/60)</f>
        <v>#VALUE!</v>
      </c>
      <c r="F1020" s="49" t="str">
        <f>IF(ISERROR(SUMIF($C$13:$C$1012,$B1020,$F$13:$F$1012)/C1020),"n/a",SUMIF($C$13:$C$1012,$B1020,$F$13:$F$1012)/C1020)</f>
        <v>n/a</v>
      </c>
      <c r="Q1020" s="4">
        <f t="shared" si="129"/>
        <v>0</v>
      </c>
      <c r="R1020" s="4">
        <f t="shared" si="129"/>
        <v>0</v>
      </c>
      <c r="S1020" s="4">
        <f t="shared" si="129"/>
        <v>0</v>
      </c>
      <c r="V1020" s="4">
        <f t="shared" si="130"/>
        <v>0</v>
      </c>
      <c r="W1020" s="4">
        <f t="shared" si="130"/>
        <v>0</v>
      </c>
      <c r="Z1020" s="4">
        <f t="shared" si="131"/>
        <v>0</v>
      </c>
      <c r="AA1020" s="4">
        <f t="shared" si="131"/>
        <v>0</v>
      </c>
    </row>
    <row r="1021" spans="2:32" outlineLevel="1">
      <c r="B1021" s="2" t="s">
        <v>45</v>
      </c>
      <c r="C1021" s="4">
        <f>COUNTIF($C$13:$C$1012,$B1021)</f>
        <v>0</v>
      </c>
      <c r="E1021" s="49" t="e">
        <f>IF(F1021/60=0,"n/a",F1021/60)</f>
        <v>#VALUE!</v>
      </c>
      <c r="F1021" s="49" t="str">
        <f>IF(ISERROR(SUMIF($C$13:$C$1012,$B1021,$F$13:$F$1012)/C1021),"n/a",SUMIF($C$13:$C$1012,$B1021,$F$13:$F$1012)/C1021)</f>
        <v>n/a</v>
      </c>
      <c r="Q1021" s="4">
        <f t="shared" si="129"/>
        <v>0</v>
      </c>
      <c r="R1021" s="4">
        <f t="shared" si="129"/>
        <v>0</v>
      </c>
      <c r="S1021" s="4">
        <f t="shared" si="129"/>
        <v>0</v>
      </c>
      <c r="V1021" s="4">
        <f t="shared" si="130"/>
        <v>0</v>
      </c>
      <c r="W1021" s="4">
        <f t="shared" si="130"/>
        <v>0</v>
      </c>
      <c r="Z1021" s="4">
        <f t="shared" si="131"/>
        <v>0</v>
      </c>
      <c r="AA1021" s="4">
        <f t="shared" si="131"/>
        <v>0</v>
      </c>
    </row>
    <row r="1022" spans="2:32" outlineLevel="1">
      <c r="E1022" s="3" t="s">
        <v>49</v>
      </c>
      <c r="F1022" s="3" t="s">
        <v>50</v>
      </c>
    </row>
    <row r="1023" spans="2:32" outlineLevel="1">
      <c r="B1023" s="2" t="s">
        <v>33</v>
      </c>
      <c r="E1023" s="4" t="e">
        <f>LEFT(E1015,1)</f>
        <v>#VALUE!</v>
      </c>
      <c r="F1023" s="49" t="e">
        <f>(E1015-E1023)*60</f>
        <v>#VALUE!</v>
      </c>
    </row>
    <row r="1024" spans="2:32" outlineLevel="1">
      <c r="E1024" s="4"/>
      <c r="F1024" s="49"/>
    </row>
    <row r="1025" spans="2:6" outlineLevel="1">
      <c r="B1025" s="2" t="s">
        <v>42</v>
      </c>
      <c r="E1025" s="4" t="e">
        <f>LEFT(E1017,1)</f>
        <v>#VALUE!</v>
      </c>
      <c r="F1025" s="49" t="e">
        <f>(E1017-E1025)*60</f>
        <v>#VALUE!</v>
      </c>
    </row>
    <row r="1026" spans="2:6" outlineLevel="1">
      <c r="B1026" s="2" t="s">
        <v>43</v>
      </c>
      <c r="E1026" s="4" t="e">
        <f>LEFT(E1018,1)</f>
        <v>#VALUE!</v>
      </c>
      <c r="F1026" s="49" t="e">
        <f>(E1018-E1026)*60</f>
        <v>#VALUE!</v>
      </c>
    </row>
    <row r="1027" spans="2:6" outlineLevel="1">
      <c r="B1027" s="2" t="s">
        <v>46</v>
      </c>
      <c r="E1027" s="4" t="e">
        <f>LEFT(E1019,1)</f>
        <v>#VALUE!</v>
      </c>
      <c r="F1027" s="49" t="e">
        <f>(E1019-E1027)*60</f>
        <v>#VALUE!</v>
      </c>
    </row>
    <row r="1028" spans="2:6" outlineLevel="1">
      <c r="B1028" s="2" t="s">
        <v>44</v>
      </c>
      <c r="E1028" s="4" t="e">
        <f>LEFT(E1020,1)</f>
        <v>#VALUE!</v>
      </c>
      <c r="F1028" s="49" t="e">
        <f>(E1020-E1028)*60</f>
        <v>#VALUE!</v>
      </c>
    </row>
    <row r="1029" spans="2:6" outlineLevel="1">
      <c r="B1029" s="2" t="s">
        <v>45</v>
      </c>
      <c r="E1029" s="4" t="e">
        <f>LEFT(E1021,1)</f>
        <v>#VALUE!</v>
      </c>
      <c r="F1029" s="49" t="e">
        <f>(E1021-E1029)*60</f>
        <v>#VALUE!</v>
      </c>
    </row>
    <row r="1030" spans="2:6" outlineLevel="1"/>
    <row r="1031" spans="2:6" outlineLevel="1">
      <c r="B1031" s="58" t="s">
        <v>59</v>
      </c>
    </row>
    <row r="1032" spans="2:6" outlineLevel="1">
      <c r="B1032" s="51" t="s">
        <v>33</v>
      </c>
      <c r="E1032" s="59" t="e">
        <f>IF(F1032/60=0,"n/a",F1032/60)</f>
        <v>#VALUE!</v>
      </c>
      <c r="F1032" s="59" t="e">
        <f>IF(F1015=0,"n/a",F1015-$J$7)</f>
        <v>#VALUE!</v>
      </c>
    </row>
    <row r="1033" spans="2:6" outlineLevel="1">
      <c r="B1033" s="51"/>
    </row>
    <row r="1034" spans="2:6" outlineLevel="1">
      <c r="B1034" s="2" t="s">
        <v>42</v>
      </c>
      <c r="E1034" s="49" t="e">
        <f>IF(F1034/60=0,"n/a",F1034/60)</f>
        <v>#VALUE!</v>
      </c>
      <c r="F1034" s="49" t="e">
        <f>IF(F1017=0,"n/a",F1017-$K$7)</f>
        <v>#VALUE!</v>
      </c>
    </row>
    <row r="1035" spans="2:6" outlineLevel="1">
      <c r="B1035" s="2" t="s">
        <v>43</v>
      </c>
      <c r="E1035" s="49" t="e">
        <f>IF(F1035/60=0,"n/a",F1035/60)</f>
        <v>#VALUE!</v>
      </c>
      <c r="F1035" s="49" t="e">
        <f>IF(F1018=0,"n/a",F1018-$L$7)</f>
        <v>#VALUE!</v>
      </c>
    </row>
    <row r="1036" spans="2:6" outlineLevel="1">
      <c r="B1036" s="2" t="s">
        <v>46</v>
      </c>
      <c r="E1036" s="49" t="e">
        <f>IF(F1036/60=0,"n/a",F1036/60)</f>
        <v>#VALUE!</v>
      </c>
      <c r="F1036" s="49" t="e">
        <f>IF(F1019=0,"n/a",F1019-$M$7)</f>
        <v>#VALUE!</v>
      </c>
    </row>
    <row r="1037" spans="2:6" outlineLevel="1">
      <c r="B1037" s="2" t="s">
        <v>44</v>
      </c>
      <c r="E1037" s="49" t="e">
        <f>IF(F1037/60=0,"n/a",F1037/60)</f>
        <v>#VALUE!</v>
      </c>
      <c r="F1037" s="49" t="e">
        <f>IF(F1020=0,"n/a",F1020-$N$7)</f>
        <v>#VALUE!</v>
      </c>
    </row>
    <row r="1038" spans="2:6" outlineLevel="1">
      <c r="B1038" s="2" t="s">
        <v>45</v>
      </c>
      <c r="E1038" s="49" t="e">
        <f>IF(F1038/60=0,"n/a",F1038/60)</f>
        <v>#VALUE!</v>
      </c>
      <c r="F1038" s="49" t="e">
        <f>IF(F1021=0,"n/a",F1021-$O$7)</f>
        <v>#VALUE!</v>
      </c>
    </row>
    <row r="1039" spans="2:6" outlineLevel="1">
      <c r="E1039" s="3" t="s">
        <v>49</v>
      </c>
      <c r="F1039" s="3" t="s">
        <v>50</v>
      </c>
    </row>
    <row r="1040" spans="2:6" outlineLevel="1">
      <c r="B1040" s="51" t="s">
        <v>33</v>
      </c>
      <c r="E1040" s="4" t="e">
        <f>LEFT(ABS(E1032),1)</f>
        <v>#VALUE!</v>
      </c>
      <c r="F1040" s="49" t="e">
        <f>(ABS(E1032)-E1040)*60</f>
        <v>#VALUE!</v>
      </c>
    </row>
    <row r="1041" spans="2:6" outlineLevel="1">
      <c r="B1041" s="51"/>
      <c r="E1041" s="4"/>
      <c r="F1041" s="49"/>
    </row>
    <row r="1042" spans="2:6" outlineLevel="1">
      <c r="B1042" s="2" t="s">
        <v>42</v>
      </c>
      <c r="E1042" s="4" t="e">
        <f>LEFT(ABS(E1034),1)</f>
        <v>#VALUE!</v>
      </c>
      <c r="F1042" s="49" t="e">
        <f>(ABS(E1034)-E1042)*60</f>
        <v>#VALUE!</v>
      </c>
    </row>
    <row r="1043" spans="2:6" outlineLevel="1">
      <c r="B1043" s="2" t="s">
        <v>43</v>
      </c>
      <c r="E1043" s="4" t="e">
        <f>LEFT(ABS(E1035),1)</f>
        <v>#VALUE!</v>
      </c>
      <c r="F1043" s="49" t="e">
        <f>(ABS(E1035)-E1043)*60</f>
        <v>#VALUE!</v>
      </c>
    </row>
    <row r="1044" spans="2:6" outlineLevel="1">
      <c r="B1044" s="2" t="s">
        <v>46</v>
      </c>
      <c r="E1044" s="4" t="e">
        <f>LEFT(ABS(E1036),1)</f>
        <v>#VALUE!</v>
      </c>
      <c r="F1044" s="49" t="e">
        <f>(ABS(E1036)-E1044)*60</f>
        <v>#VALUE!</v>
      </c>
    </row>
    <row r="1045" spans="2:6" outlineLevel="1">
      <c r="B1045" s="2" t="s">
        <v>44</v>
      </c>
      <c r="E1045" s="4" t="e">
        <f>LEFT(ABS(E1037),1)</f>
        <v>#VALUE!</v>
      </c>
      <c r="F1045" s="49" t="e">
        <f>(ABS(E1037)-E1045)*60</f>
        <v>#VALUE!</v>
      </c>
    </row>
    <row r="1046" spans="2:6" outlineLevel="1">
      <c r="B1046" s="2" t="s">
        <v>45</v>
      </c>
      <c r="E1046" s="4" t="e">
        <f>LEFT(ABS(E1038),1)</f>
        <v>#VALUE!</v>
      </c>
      <c r="F1046" s="49" t="e">
        <f>(ABS(E1038)-E1046)*60</f>
        <v>#VALUE!</v>
      </c>
    </row>
  </sheetData>
  <conditionalFormatting sqref="E13:H1012 C13:C1012 J13:O1012 Q13:S1012 Z13:AA1012 AC13:AC1012 U13:X1012">
    <cfRule type="expression" dxfId="19" priority="4" stopIfTrue="1">
      <formula>$AE13=1</formula>
    </cfRule>
    <cfRule type="expression" dxfId="18" priority="5" stopIfTrue="1">
      <formula>$AE13=2</formula>
    </cfRule>
  </conditionalFormatting>
  <conditionalFormatting sqref="B13:B1012">
    <cfRule type="expression" dxfId="17" priority="2" stopIfTrue="1">
      <formula>$AE13=1</formula>
    </cfRule>
    <cfRule type="expression" dxfId="16" priority="3" stopIfTrue="1">
      <formula>$AE13=2</formula>
    </cfRule>
  </conditionalFormatting>
  <conditionalFormatting sqref="BC18:BD18 BC22:BD22 BC25:BD25 BC28:BD28 BC31:BD31 BC34:BD35">
    <cfRule type="expression" dxfId="15" priority="1" stopIfTrue="1">
      <formula>$BF18="+"</formula>
    </cfRule>
  </conditionalFormatting>
  <dataValidations count="4">
    <dataValidation type="whole" allowBlank="1" showInputMessage="1" showErrorMessage="1" sqref="F8:F9 F4">
      <formula1>0</formula1>
      <formula2>1</formula2>
    </dataValidation>
    <dataValidation type="list" allowBlank="1" showInputMessage="1" showErrorMessage="1" sqref="C13:C1012">
      <formula1>"PS, DS, RC, CR, SC"</formula1>
    </dataValidation>
    <dataValidation type="list" allowBlank="1" showInputMessage="1" showErrorMessage="1" sqref="U13:U1012">
      <formula1>"A,B,C,D,E"</formula1>
    </dataValidation>
    <dataValidation type="whole" allowBlank="1" showInputMessage="1" showErrorMessage="1" sqref="Z13:AA1012 Q13:S1012 J13:N1012">
      <formula1>1</formula1>
      <formula2>1</formula2>
    </dataValidation>
  </dataValidations>
  <pageMargins left="0.5" right="0.5" top="0.5" bottom="0.5" header="0.5" footer="0.5"/>
  <pageSetup scale="72" orientation="landscape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G1047"/>
  <sheetViews>
    <sheetView showGridLines="0" zoomScaleNormal="100" zoomScaleSheetLayoutView="115" workbookViewId="0">
      <pane xSplit="3" ySplit="12" topLeftCell="D13" activePane="bottomRight" state="frozen"/>
      <selection pane="topRight" activeCell="E1" sqref="E1"/>
      <selection pane="bottomLeft" activeCell="A12" sqref="A12"/>
      <selection pane="bottomRight" activeCell="D13" sqref="D13"/>
    </sheetView>
  </sheetViews>
  <sheetFormatPr defaultRowHeight="12.75" outlineLevelRow="1" outlineLevelCol="1"/>
  <cols>
    <col min="1" max="1" width="2.7109375" style="2" customWidth="1"/>
    <col min="2" max="2" width="10.7109375" style="2" customWidth="1"/>
    <col min="3" max="3" width="12.7109375" style="2" customWidth="1"/>
    <col min="4" max="4" width="1.7109375" customWidth="1"/>
    <col min="5" max="6" width="10.7109375" style="2" customWidth="1"/>
    <col min="7" max="8" width="10.7109375" style="2" hidden="1" customWidth="1" outlineLevel="1"/>
    <col min="9" max="9" width="1.7109375" customWidth="1" collapsed="1"/>
    <col min="10" max="15" width="4.7109375" style="2" customWidth="1"/>
    <col min="16" max="16" width="1.7109375" customWidth="1"/>
    <col min="17" max="19" width="10.7109375" style="2" customWidth="1"/>
    <col min="20" max="20" width="1.7109375" hidden="1" customWidth="1" outlineLevel="1"/>
    <col min="21" max="24" width="10.7109375" style="2" hidden="1" customWidth="1" outlineLevel="1"/>
    <col min="25" max="25" width="1.7109375" hidden="1" customWidth="1" outlineLevel="1"/>
    <col min="26" max="27" width="10.7109375" style="2" hidden="1" customWidth="1" outlineLevel="1"/>
    <col min="28" max="28" width="1.7109375" hidden="1" customWidth="1" outlineLevel="1"/>
    <col min="29" max="29" width="100.7109375" style="2" hidden="1" customWidth="1" outlineLevel="1"/>
    <col min="30" max="30" width="2.7109375" customWidth="1" collapsed="1"/>
    <col min="31" max="32" width="15.7109375" style="2" hidden="1" customWidth="1"/>
    <col min="33" max="42" width="10.7109375" style="2" customWidth="1"/>
    <col min="43" max="43" width="2.7109375" style="2" customWidth="1"/>
    <col min="44" max="45" width="10.7109375" style="2" customWidth="1"/>
    <col min="46" max="46" width="5.7109375" style="2" customWidth="1"/>
    <col min="47" max="56" width="9.7109375" style="2" customWidth="1"/>
    <col min="57" max="57" width="1.7109375" style="2" customWidth="1"/>
    <col min="58" max="59" width="9.140625" style="101"/>
    <col min="60" max="16384" width="9.140625" style="2"/>
  </cols>
  <sheetData>
    <row r="1" spans="2:59">
      <c r="E1"/>
    </row>
    <row r="2" spans="2:59" ht="25.5">
      <c r="B2" s="73" t="str">
        <f>"GMAT Error Log"&amp;" - "&amp;F5</f>
        <v>GMAT Error Log - Source 3</v>
      </c>
      <c r="C2" s="74"/>
      <c r="D2" s="74"/>
      <c r="E2" s="75"/>
      <c r="F2" s="76"/>
      <c r="G2" s="76"/>
      <c r="H2" s="76"/>
      <c r="I2" s="74"/>
      <c r="J2" s="76"/>
      <c r="K2" s="76"/>
      <c r="L2" s="76"/>
      <c r="M2" s="76"/>
      <c r="N2" s="76"/>
      <c r="O2" s="76"/>
      <c r="P2" s="74"/>
      <c r="Q2" s="76"/>
      <c r="R2" s="76"/>
      <c r="S2" s="76"/>
      <c r="T2" s="74"/>
      <c r="U2" s="76"/>
      <c r="V2" s="76"/>
      <c r="W2" s="76"/>
      <c r="X2" s="76"/>
      <c r="Y2" s="74"/>
      <c r="Z2" s="76"/>
      <c r="AA2" s="76"/>
      <c r="AB2" s="74"/>
      <c r="AC2" s="76"/>
      <c r="AS2" s="25"/>
      <c r="AT2" s="25"/>
      <c r="AU2" s="25"/>
      <c r="AV2" s="25"/>
      <c r="AW2" s="25"/>
      <c r="AX2" s="25"/>
      <c r="AY2" s="25"/>
      <c r="AZ2" s="25"/>
      <c r="BA2" s="25"/>
      <c r="BB2" s="25"/>
    </row>
    <row r="3" spans="2:59" ht="12.75" customHeight="1">
      <c r="B3" s="77"/>
      <c r="C3" s="78"/>
      <c r="D3" s="78"/>
      <c r="E3" s="79"/>
      <c r="F3" s="80"/>
      <c r="G3" s="79"/>
      <c r="H3" s="79"/>
      <c r="I3" s="78"/>
      <c r="J3" s="79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</row>
    <row r="4" spans="2:59" ht="12.75" customHeight="1">
      <c r="B4" s="55" t="s">
        <v>48</v>
      </c>
      <c r="C4" s="47"/>
      <c r="D4" s="47"/>
      <c r="E4" s="56"/>
      <c r="F4" s="57">
        <v>1</v>
      </c>
      <c r="G4" s="56"/>
      <c r="H4" s="56"/>
      <c r="I4" s="47"/>
      <c r="J4" s="5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31"/>
    </row>
    <row r="5" spans="2:59" ht="12.75" hidden="1" customHeight="1" outlineLevel="1">
      <c r="B5" s="16" t="s">
        <v>40</v>
      </c>
      <c r="C5" s="18"/>
      <c r="D5" s="18"/>
      <c r="E5" s="17"/>
      <c r="F5" s="27" t="s">
        <v>102</v>
      </c>
      <c r="G5" s="17"/>
      <c r="H5" s="17"/>
      <c r="I5" s="18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31"/>
    </row>
    <row r="6" spans="2:59" ht="12.75" hidden="1" customHeight="1" outlineLevel="1">
      <c r="B6" s="16" t="s">
        <v>25</v>
      </c>
      <c r="C6" s="18"/>
      <c r="D6" s="18"/>
      <c r="E6" s="17"/>
      <c r="F6" s="19"/>
      <c r="G6" s="17"/>
      <c r="H6" s="17"/>
      <c r="I6" s="18"/>
      <c r="J6" s="35" t="s">
        <v>58</v>
      </c>
      <c r="K6" s="35" t="s">
        <v>42</v>
      </c>
      <c r="L6" s="35" t="s">
        <v>43</v>
      </c>
      <c r="M6" s="35" t="s">
        <v>46</v>
      </c>
      <c r="N6" s="35" t="s">
        <v>44</v>
      </c>
      <c r="O6" s="35" t="s">
        <v>45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32"/>
    </row>
    <row r="7" spans="2:59" ht="12.75" hidden="1" customHeight="1" outlineLevel="1">
      <c r="B7" s="20" t="s">
        <v>26</v>
      </c>
      <c r="C7" s="15"/>
      <c r="D7" s="15"/>
      <c r="E7" s="14"/>
      <c r="F7" s="28"/>
      <c r="G7" s="14"/>
      <c r="H7" s="14"/>
      <c r="I7" s="15"/>
      <c r="J7" s="39" t="str">
        <f>IF(ISERROR(SUMPRODUCT(K7:O7,J1017:N1017)),"n/a",SUMPRODUCT(K7:O7,J1017:N1017))</f>
        <v>n/a</v>
      </c>
      <c r="K7" s="36">
        <f>'Source_Input (1)'!K7</f>
        <v>120</v>
      </c>
      <c r="L7" s="36">
        <f>'Source_Input (1)'!L7</f>
        <v>120</v>
      </c>
      <c r="M7" s="36">
        <f>'Source_Input (1)'!M7</f>
        <v>120</v>
      </c>
      <c r="N7" s="36">
        <f>'Source_Input (1)'!N7</f>
        <v>120</v>
      </c>
      <c r="O7" s="36">
        <f>'Source_Input (1)'!O7</f>
        <v>120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33"/>
    </row>
    <row r="8" spans="2:59" ht="12.75" hidden="1" customHeight="1" outlineLevel="1">
      <c r="B8" s="20" t="s">
        <v>27</v>
      </c>
      <c r="C8" s="15"/>
      <c r="D8" s="15"/>
      <c r="E8" s="14"/>
      <c r="F8" s="29">
        <f>'Source_Input (1)'!F8</f>
        <v>1</v>
      </c>
      <c r="G8" s="14"/>
      <c r="H8" s="14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33"/>
    </row>
    <row r="9" spans="2:59" ht="12.75" hidden="1" customHeight="1" outlineLevel="1">
      <c r="B9" s="21" t="s">
        <v>28</v>
      </c>
      <c r="C9" s="23"/>
      <c r="D9" s="23"/>
      <c r="E9" s="22"/>
      <c r="F9" s="30">
        <f>'Source_Input (1)'!F9</f>
        <v>1</v>
      </c>
      <c r="G9" s="22"/>
      <c r="H9" s="22"/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34"/>
    </row>
    <row r="10" spans="2:59" ht="12.75" customHeight="1" collapsed="1">
      <c r="B10" s="1"/>
      <c r="C10" s="12"/>
      <c r="E10"/>
      <c r="AE10" s="52" t="s">
        <v>55</v>
      </c>
      <c r="AF10" s="53"/>
      <c r="AS10" s="1"/>
      <c r="AT10" s="1"/>
      <c r="AV10" s="24"/>
      <c r="AW10" s="24"/>
      <c r="AX10" s="24"/>
    </row>
    <row r="11" spans="2:59" ht="26.45" customHeight="1">
      <c r="B11" s="60" t="s">
        <v>21</v>
      </c>
      <c r="C11" s="61" t="s">
        <v>21</v>
      </c>
      <c r="E11" s="64"/>
      <c r="F11" s="65"/>
      <c r="G11" s="81" t="s">
        <v>24</v>
      </c>
      <c r="H11" s="81" t="s">
        <v>19</v>
      </c>
      <c r="J11" s="66" t="s">
        <v>14</v>
      </c>
      <c r="K11" s="67"/>
      <c r="L11" s="67"/>
      <c r="M11" s="68"/>
      <c r="N11" s="67"/>
      <c r="O11" s="69"/>
      <c r="Q11" s="66" t="s">
        <v>23</v>
      </c>
      <c r="R11" s="67"/>
      <c r="S11" s="69"/>
      <c r="U11" s="66" t="s">
        <v>8</v>
      </c>
      <c r="V11" s="67"/>
      <c r="W11" s="67"/>
      <c r="X11" s="69"/>
      <c r="Z11" s="66" t="s">
        <v>15</v>
      </c>
      <c r="AA11" s="69"/>
      <c r="AC11" s="82"/>
      <c r="AE11" s="3" t="s">
        <v>53</v>
      </c>
      <c r="AF11" s="3" t="s">
        <v>51</v>
      </c>
      <c r="AR11" s="73" t="str">
        <f>F5&amp;" Performance Report"</f>
        <v>Source 3 Performance Report</v>
      </c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9" s="1" customFormat="1">
      <c r="B12" s="62" t="s">
        <v>20</v>
      </c>
      <c r="C12" s="63" t="s">
        <v>22</v>
      </c>
      <c r="D12"/>
      <c r="E12" s="62" t="s">
        <v>18</v>
      </c>
      <c r="F12" s="63" t="s">
        <v>7</v>
      </c>
      <c r="G12" s="81" t="s">
        <v>7</v>
      </c>
      <c r="H12" s="81" t="s">
        <v>7</v>
      </c>
      <c r="I12"/>
      <c r="J12" s="70" t="s">
        <v>9</v>
      </c>
      <c r="K12" s="71" t="s">
        <v>10</v>
      </c>
      <c r="L12" s="71" t="s">
        <v>11</v>
      </c>
      <c r="M12" s="71" t="s">
        <v>12</v>
      </c>
      <c r="N12" s="71" t="s">
        <v>13</v>
      </c>
      <c r="O12" s="72"/>
      <c r="P12"/>
      <c r="Q12" s="70" t="s">
        <v>0</v>
      </c>
      <c r="R12" s="71" t="s">
        <v>2</v>
      </c>
      <c r="S12" s="72" t="s">
        <v>1</v>
      </c>
      <c r="T12"/>
      <c r="U12" s="70" t="s">
        <v>16</v>
      </c>
      <c r="V12" s="71" t="s">
        <v>3</v>
      </c>
      <c r="W12" s="71" t="s">
        <v>4</v>
      </c>
      <c r="X12" s="72" t="s">
        <v>17</v>
      </c>
      <c r="Y12"/>
      <c r="Z12" s="70" t="s">
        <v>5</v>
      </c>
      <c r="AA12" s="72" t="s">
        <v>6</v>
      </c>
      <c r="AB12"/>
      <c r="AC12" s="83" t="s">
        <v>29</v>
      </c>
      <c r="AD12"/>
      <c r="AE12" s="3" t="s">
        <v>54</v>
      </c>
      <c r="AF12" s="3" t="s">
        <v>52</v>
      </c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F12" s="112"/>
      <c r="BG12" s="112"/>
    </row>
    <row r="13" spans="2:59">
      <c r="B13" s="5">
        <v>1</v>
      </c>
      <c r="C13" s="5"/>
      <c r="E13" s="13"/>
      <c r="F13" s="5"/>
      <c r="G13" s="11" t="str">
        <f>IF(ISERROR(AVERAGE(F$13:F13)),"n/a",AVERAGE(F$13:F13))</f>
        <v>n/a</v>
      </c>
      <c r="H13" s="11" t="str">
        <f>G13</f>
        <v>n/a</v>
      </c>
      <c r="I13" s="111" t="s">
        <v>101</v>
      </c>
      <c r="J13" s="5"/>
      <c r="K13" s="5"/>
      <c r="L13" s="5"/>
      <c r="M13" s="5"/>
      <c r="N13" s="5"/>
      <c r="O13" s="8" t="str">
        <f t="shared" ref="O13:O76" si="0">IF(J13=1,"A",IF(K13=1,"B",IF(L13=1,"C",IF(M13=1,"D",IF(N13=1,"E","n/a")))))</f>
        <v>n/a</v>
      </c>
      <c r="Q13" s="5"/>
      <c r="R13" s="5"/>
      <c r="S13" s="5"/>
      <c r="U13" s="6"/>
      <c r="V13" s="9" t="str">
        <f>IF(O13="n/a","",IF(O13=U13,1,""))</f>
        <v/>
      </c>
      <c r="W13" s="9" t="str">
        <f>IF(O13="n/a","",IF(O13&lt;&gt;U13,1,""))</f>
        <v/>
      </c>
      <c r="X13" s="10">
        <f>SUM(V$13:V13)/COUNTA(B$13:B13)</f>
        <v>0</v>
      </c>
      <c r="Z13" s="5"/>
      <c r="AA13" s="5"/>
      <c r="AC13" s="7"/>
      <c r="AE13" s="54" t="e">
        <f>+IF($F$4=0,0,IF(W13=1,1,IF(OR(R13*$F$8=1,S13*$F$9=1,F13&gt;=AF13),2,0)))</f>
        <v>#N/A</v>
      </c>
      <c r="AF13" s="4" t="e">
        <f t="shared" ref="AF13:AF76" si="1">HLOOKUP(C13,$K$6:$O$7,2,FALSE)</f>
        <v>#N/A</v>
      </c>
    </row>
    <row r="14" spans="2:59">
      <c r="B14" s="5">
        <f>+B13+1</f>
        <v>2</v>
      </c>
      <c r="C14" s="5"/>
      <c r="E14" s="13"/>
      <c r="F14" s="5"/>
      <c r="G14" s="11" t="str">
        <f>IF(ISERROR(AVERAGE(F$13:F14)),"n/a",AVERAGE(F$13:F14))</f>
        <v>n/a</v>
      </c>
      <c r="H14" s="11" t="str">
        <f t="shared" ref="H14:H77" si="2">G14</f>
        <v>n/a</v>
      </c>
      <c r="J14" s="5"/>
      <c r="K14" s="5"/>
      <c r="L14" s="5"/>
      <c r="M14" s="5"/>
      <c r="N14" s="5"/>
      <c r="O14" s="8" t="str">
        <f t="shared" si="0"/>
        <v>n/a</v>
      </c>
      <c r="Q14" s="5"/>
      <c r="R14" s="5"/>
      <c r="S14" s="5"/>
      <c r="U14" s="6"/>
      <c r="V14" s="9" t="str">
        <f t="shared" ref="V14:V77" si="3">IF(O14="n/a","",IF(O14=U14,1,""))</f>
        <v/>
      </c>
      <c r="W14" s="9" t="str">
        <f t="shared" ref="W14:W77" si="4">IF(O14="n/a","",IF(O14&lt;&gt;U14,1,""))</f>
        <v/>
      </c>
      <c r="X14" s="10">
        <f>SUM(V$13:V14)/COUNTA(B$13:B14)</f>
        <v>0</v>
      </c>
      <c r="Z14" s="5"/>
      <c r="AA14" s="5"/>
      <c r="AC14" s="7"/>
      <c r="AE14" s="54" t="e">
        <f t="shared" ref="AE14:AE77" si="5">+IF($F$4=0,0,IF(W14=1,1,IF(OR(R14*$F$8=1,S14*$F$9=1,F14&gt;=AF14),2,0)))</f>
        <v>#N/A</v>
      </c>
      <c r="AF14" s="4" t="e">
        <f t="shared" si="1"/>
        <v>#N/A</v>
      </c>
      <c r="AR14" s="2" t="s">
        <v>30</v>
      </c>
      <c r="AS14" s="1"/>
      <c r="AT14" s="1"/>
      <c r="AU14" s="24">
        <f ca="1">NOW()</f>
        <v>40134.633314467595</v>
      </c>
    </row>
    <row r="15" spans="2:59">
      <c r="B15" s="5">
        <f>+B14+1</f>
        <v>3</v>
      </c>
      <c r="C15" s="5"/>
      <c r="E15" s="13"/>
      <c r="F15" s="5"/>
      <c r="G15" s="11" t="str">
        <f>IF(ISERROR(AVERAGE(F$13:F15)),"n/a",AVERAGE(F$13:F15))</f>
        <v>n/a</v>
      </c>
      <c r="H15" s="11" t="str">
        <f t="shared" si="2"/>
        <v>n/a</v>
      </c>
      <c r="J15" s="5"/>
      <c r="K15" s="5"/>
      <c r="L15" s="5"/>
      <c r="M15" s="5"/>
      <c r="N15" s="5"/>
      <c r="O15" s="8" t="str">
        <f t="shared" si="0"/>
        <v>n/a</v>
      </c>
      <c r="Q15" s="5"/>
      <c r="R15" s="5"/>
      <c r="S15" s="5"/>
      <c r="U15" s="6"/>
      <c r="V15" s="9" t="str">
        <f t="shared" si="3"/>
        <v/>
      </c>
      <c r="W15" s="9" t="str">
        <f t="shared" si="4"/>
        <v/>
      </c>
      <c r="X15" s="10">
        <f>SUM(V$13:V15)/COUNTA(B$13:B15)</f>
        <v>0</v>
      </c>
      <c r="Z15" s="5"/>
      <c r="AA15" s="5"/>
      <c r="AC15" s="7"/>
      <c r="AE15" s="54" t="e">
        <f t="shared" si="5"/>
        <v>#N/A</v>
      </c>
      <c r="AF15" s="4" t="e">
        <f t="shared" si="1"/>
        <v>#N/A</v>
      </c>
    </row>
    <row r="16" spans="2:59">
      <c r="B16" s="5">
        <f>+B15+1</f>
        <v>4</v>
      </c>
      <c r="C16" s="5"/>
      <c r="E16" s="13"/>
      <c r="F16" s="5"/>
      <c r="G16" s="11" t="str">
        <f>IF(ISERROR(AVERAGE(F$13:F16)),"n/a",AVERAGE(F$13:F16))</f>
        <v>n/a</v>
      </c>
      <c r="H16" s="11" t="str">
        <f t="shared" si="2"/>
        <v>n/a</v>
      </c>
      <c r="J16" s="5"/>
      <c r="K16" s="5"/>
      <c r="L16" s="5"/>
      <c r="M16" s="5"/>
      <c r="N16" s="5"/>
      <c r="O16" s="8" t="str">
        <f t="shared" si="0"/>
        <v>n/a</v>
      </c>
      <c r="Q16" s="5"/>
      <c r="R16" s="5"/>
      <c r="S16" s="5"/>
      <c r="U16" s="6"/>
      <c r="V16" s="9" t="str">
        <f t="shared" si="3"/>
        <v/>
      </c>
      <c r="W16" s="9" t="str">
        <f t="shared" si="4"/>
        <v/>
      </c>
      <c r="X16" s="10">
        <f>SUM(V$13:V16)/COUNTA(B$13:B16)</f>
        <v>0</v>
      </c>
      <c r="Z16" s="5"/>
      <c r="AA16" s="5"/>
      <c r="AC16" s="7"/>
      <c r="AE16" s="54" t="e">
        <f t="shared" si="5"/>
        <v>#N/A</v>
      </c>
      <c r="AF16" s="4" t="e">
        <f t="shared" si="1"/>
        <v>#N/A</v>
      </c>
    </row>
    <row r="17" spans="2:58">
      <c r="B17" s="5">
        <f>+B16+1</f>
        <v>5</v>
      </c>
      <c r="C17" s="5"/>
      <c r="E17" s="13"/>
      <c r="F17" s="5"/>
      <c r="G17" s="11" t="str">
        <f>IF(ISERROR(AVERAGE(F$13:F17)),"n/a",AVERAGE(F$13:F17))</f>
        <v>n/a</v>
      </c>
      <c r="H17" s="11" t="str">
        <f t="shared" si="2"/>
        <v>n/a</v>
      </c>
      <c r="J17" s="5"/>
      <c r="K17" s="5"/>
      <c r="L17" s="5"/>
      <c r="M17" s="5"/>
      <c r="N17" s="5"/>
      <c r="O17" s="8" t="str">
        <f t="shared" si="0"/>
        <v>n/a</v>
      </c>
      <c r="Q17" s="5"/>
      <c r="R17" s="5"/>
      <c r="S17" s="5"/>
      <c r="U17" s="6"/>
      <c r="V17" s="9" t="str">
        <f t="shared" si="3"/>
        <v/>
      </c>
      <c r="W17" s="9" t="str">
        <f t="shared" si="4"/>
        <v/>
      </c>
      <c r="X17" s="10">
        <f>SUM(V$13:V17)/COUNTA(B$13:B17)</f>
        <v>0</v>
      </c>
      <c r="Z17" s="5"/>
      <c r="AA17" s="5"/>
      <c r="AC17" s="7"/>
      <c r="AE17" s="54" t="e">
        <f t="shared" si="5"/>
        <v>#N/A</v>
      </c>
      <c r="AF17" s="4" t="e">
        <f t="shared" si="1"/>
        <v>#N/A</v>
      </c>
      <c r="AR17" s="40"/>
      <c r="AS17" s="41"/>
      <c r="AT17" s="42"/>
      <c r="AU17" s="88" t="s">
        <v>3</v>
      </c>
      <c r="AV17" s="89" t="s">
        <v>0</v>
      </c>
      <c r="AW17" s="90" t="s">
        <v>2</v>
      </c>
      <c r="AX17" s="91" t="s">
        <v>1</v>
      </c>
      <c r="AY17" s="88" t="s">
        <v>4</v>
      </c>
      <c r="AZ17" s="89" t="s">
        <v>5</v>
      </c>
      <c r="BA17" s="91" t="s">
        <v>47</v>
      </c>
      <c r="BB17" s="88" t="s">
        <v>31</v>
      </c>
      <c r="BC17" s="88" t="s">
        <v>32</v>
      </c>
      <c r="BD17" s="88" t="s">
        <v>56</v>
      </c>
    </row>
    <row r="18" spans="2:58">
      <c r="B18" s="5">
        <f>+B17+1</f>
        <v>6</v>
      </c>
      <c r="C18" s="5"/>
      <c r="E18" s="13"/>
      <c r="F18" s="5"/>
      <c r="G18" s="11" t="str">
        <f>IF(ISERROR(AVERAGE(F$13:F18)),"n/a",AVERAGE(F$13:F18))</f>
        <v>n/a</v>
      </c>
      <c r="H18" s="11" t="str">
        <f t="shared" si="2"/>
        <v>n/a</v>
      </c>
      <c r="J18" s="5"/>
      <c r="K18" s="5"/>
      <c r="L18" s="5"/>
      <c r="M18" s="5"/>
      <c r="N18" s="5"/>
      <c r="O18" s="8" t="str">
        <f t="shared" si="0"/>
        <v>n/a</v>
      </c>
      <c r="Q18" s="5"/>
      <c r="R18" s="5"/>
      <c r="S18" s="5"/>
      <c r="U18" s="6"/>
      <c r="V18" s="9" t="str">
        <f t="shared" si="3"/>
        <v/>
      </c>
      <c r="W18" s="9" t="str">
        <f t="shared" si="4"/>
        <v/>
      </c>
      <c r="X18" s="10">
        <f>SUM(V$13:V18)/COUNTA(B$13:B18)</f>
        <v>0</v>
      </c>
      <c r="Z18" s="5"/>
      <c r="AA18" s="5"/>
      <c r="AC18" s="7"/>
      <c r="AE18" s="54" t="e">
        <f t="shared" si="5"/>
        <v>#N/A</v>
      </c>
      <c r="AF18" s="4" t="e">
        <f t="shared" si="1"/>
        <v>#N/A</v>
      </c>
      <c r="AR18" s="43" t="s">
        <v>39</v>
      </c>
      <c r="AS18" s="37"/>
      <c r="AT18" s="44"/>
      <c r="AU18" s="92">
        <f>V1015</f>
        <v>0</v>
      </c>
      <c r="AV18" s="38">
        <f>Q1015</f>
        <v>0</v>
      </c>
      <c r="AW18" s="38">
        <f>R1015</f>
        <v>0</v>
      </c>
      <c r="AX18" s="38">
        <f>S1015</f>
        <v>0</v>
      </c>
      <c r="AY18" s="92">
        <f>W1015</f>
        <v>0</v>
      </c>
      <c r="AZ18" s="38">
        <f>Z1015</f>
        <v>0</v>
      </c>
      <c r="BA18" s="38">
        <f>AA1015</f>
        <v>0</v>
      </c>
      <c r="BB18" s="95" t="str">
        <f>IF(ISERROR(AU18/(AU18+AY18)),"n/a",AU18/(AU18+AY18))</f>
        <v>n/a</v>
      </c>
      <c r="BC18" s="96" t="str">
        <f>IF(ISERROR(TEXT($E$1023,"00")&amp;":"&amp;TEXT($F$1023,"00")),"n/a",TEXT($E$1023,"00")&amp;":"&amp;TEXT($F$1023,"00"))</f>
        <v>n/a</v>
      </c>
      <c r="BD18" s="96" t="str">
        <f>IF(ISERROR(BF18&amp;TEXT($E$1040,"00")&amp;":"&amp;TEXT($F$1040,"00")),"n/a",BF18&amp;TEXT($E$1040,"00")&amp;":"&amp;TEXT($F$1040,"00"))</f>
        <v>n/a</v>
      </c>
      <c r="BF18" s="113" t="e">
        <f>IF(F1032&lt;0,"-","+")</f>
        <v>#VALUE!</v>
      </c>
    </row>
    <row r="19" spans="2:58">
      <c r="B19" s="5">
        <f t="shared" ref="B19:B82" si="6">+B18+1</f>
        <v>7</v>
      </c>
      <c r="C19" s="5"/>
      <c r="E19" s="13"/>
      <c r="F19" s="5"/>
      <c r="G19" s="11" t="str">
        <f>IF(ISERROR(AVERAGE(F$13:F19)),"n/a",AVERAGE(F$13:F19))</f>
        <v>n/a</v>
      </c>
      <c r="H19" s="11" t="str">
        <f t="shared" si="2"/>
        <v>n/a</v>
      </c>
      <c r="J19" s="5"/>
      <c r="K19" s="5"/>
      <c r="L19" s="5"/>
      <c r="M19" s="5"/>
      <c r="N19" s="5"/>
      <c r="O19" s="8" t="str">
        <f t="shared" si="0"/>
        <v>n/a</v>
      </c>
      <c r="Q19" s="5"/>
      <c r="R19" s="5"/>
      <c r="S19" s="5"/>
      <c r="U19" s="6"/>
      <c r="V19" s="9" t="str">
        <f t="shared" si="3"/>
        <v/>
      </c>
      <c r="W19" s="9" t="str">
        <f t="shared" si="4"/>
        <v/>
      </c>
      <c r="X19" s="10">
        <f>SUM(V$13:V19)/COUNTA(B$13:B19)</f>
        <v>0</v>
      </c>
      <c r="Z19" s="5"/>
      <c r="AA19" s="5"/>
      <c r="AC19" s="7"/>
      <c r="AE19" s="54" t="e">
        <f t="shared" si="5"/>
        <v>#N/A</v>
      </c>
      <c r="AF19" s="4" t="e">
        <f t="shared" si="1"/>
        <v>#N/A</v>
      </c>
      <c r="AR19" s="43"/>
      <c r="AS19" s="37"/>
      <c r="AT19" s="44"/>
      <c r="AU19" s="93"/>
      <c r="AV19" s="102" t="str">
        <f>+IF(ISERROR(AV18/SUM($AU$18,$AY$18)),"n/a",AV18/SUM($AU$18,$AY$18))</f>
        <v>n/a</v>
      </c>
      <c r="AW19" s="102" t="str">
        <f t="shared" ref="AW19:AX19" si="7">+IF(ISERROR(AW18/SUM($AU$18,$AY$18)),"n/a",AW18/SUM($AU$18,$AY$18))</f>
        <v>n/a</v>
      </c>
      <c r="AX19" s="102" t="str">
        <f t="shared" si="7"/>
        <v>n/a</v>
      </c>
      <c r="AY19" s="93"/>
      <c r="AZ19" s="102" t="str">
        <f>+IF(ISERROR(AZ18/$AY$18),"n/a",AZ18/$AY$18)</f>
        <v>n/a</v>
      </c>
      <c r="BA19" s="102" t="str">
        <f t="shared" ref="BA19" si="8">+IF(ISERROR(BA18/$AY$18),"n/a",BA18/$AY$18)</f>
        <v>n/a</v>
      </c>
      <c r="BB19" s="93"/>
      <c r="BC19" s="97"/>
      <c r="BD19" s="97"/>
      <c r="BF19" s="113"/>
    </row>
    <row r="20" spans="2:58">
      <c r="B20" s="5">
        <f t="shared" si="6"/>
        <v>8</v>
      </c>
      <c r="C20" s="5"/>
      <c r="E20" s="13"/>
      <c r="F20" s="5"/>
      <c r="G20" s="11" t="str">
        <f>IF(ISERROR(AVERAGE(F$13:F20)),"n/a",AVERAGE(F$13:F20))</f>
        <v>n/a</v>
      </c>
      <c r="H20" s="11" t="str">
        <f>G20</f>
        <v>n/a</v>
      </c>
      <c r="J20" s="5"/>
      <c r="K20" s="5"/>
      <c r="L20" s="5"/>
      <c r="M20" s="5"/>
      <c r="N20" s="5"/>
      <c r="O20" s="8" t="str">
        <f t="shared" si="0"/>
        <v>n/a</v>
      </c>
      <c r="Q20" s="5"/>
      <c r="R20" s="5"/>
      <c r="S20" s="5"/>
      <c r="U20" s="6"/>
      <c r="V20" s="9" t="str">
        <f>IF(O20="n/a","",IF(O20=U20,1,""))</f>
        <v/>
      </c>
      <c r="W20" s="9" t="str">
        <f>IF(O20="n/a","",IF(O20&lt;&gt;U20,1,""))</f>
        <v/>
      </c>
      <c r="X20" s="10">
        <f>SUM(V$13:V20)/COUNTA(B$13:B20)</f>
        <v>0</v>
      </c>
      <c r="Z20" s="5"/>
      <c r="AA20" s="5"/>
      <c r="AC20" s="7"/>
      <c r="AE20" s="54" t="e">
        <f t="shared" si="5"/>
        <v>#N/A</v>
      </c>
      <c r="AF20" s="4" t="e">
        <f t="shared" si="1"/>
        <v>#N/A</v>
      </c>
      <c r="AR20" s="45" t="s">
        <v>57</v>
      </c>
      <c r="AS20" s="37"/>
      <c r="AT20" s="44"/>
      <c r="AU20" s="93"/>
      <c r="AV20" s="37"/>
      <c r="AW20" s="37"/>
      <c r="AX20" s="37"/>
      <c r="AY20" s="93"/>
      <c r="AZ20" s="37"/>
      <c r="BA20" s="37"/>
      <c r="BB20" s="93"/>
      <c r="BC20" s="97"/>
      <c r="BD20" s="97"/>
      <c r="BF20" s="113"/>
    </row>
    <row r="21" spans="2:58">
      <c r="B21" s="5">
        <f t="shared" si="6"/>
        <v>9</v>
      </c>
      <c r="C21" s="5"/>
      <c r="E21" s="13"/>
      <c r="F21" s="5"/>
      <c r="G21" s="11" t="str">
        <f>IF(ISERROR(AVERAGE(F$13:F21)),"n/a",AVERAGE(F$13:F21))</f>
        <v>n/a</v>
      </c>
      <c r="H21" s="11" t="str">
        <f t="shared" si="2"/>
        <v>n/a</v>
      </c>
      <c r="J21" s="5"/>
      <c r="K21" s="5"/>
      <c r="L21" s="5"/>
      <c r="M21" s="5"/>
      <c r="N21" s="5"/>
      <c r="O21" s="8" t="str">
        <f t="shared" si="0"/>
        <v>n/a</v>
      </c>
      <c r="Q21" s="5"/>
      <c r="R21" s="5"/>
      <c r="S21" s="5"/>
      <c r="U21" s="6"/>
      <c r="V21" s="9" t="str">
        <f t="shared" ref="V21:V26" si="9">IF(O21="n/a","",IF(O21=U21,1,""))</f>
        <v/>
      </c>
      <c r="W21" s="9" t="str">
        <f t="shared" ref="W21:W26" si="10">IF(O21="n/a","",IF(O21&lt;&gt;U21,1,""))</f>
        <v/>
      </c>
      <c r="X21" s="10">
        <f>SUM(V$13:V21)/COUNTA(B$13:B21)</f>
        <v>0</v>
      </c>
      <c r="Z21" s="5"/>
      <c r="AA21" s="5"/>
      <c r="AC21" s="7"/>
      <c r="AE21" s="54" t="e">
        <f t="shared" si="5"/>
        <v>#N/A</v>
      </c>
      <c r="AF21" s="4" t="e">
        <f t="shared" si="1"/>
        <v>#N/A</v>
      </c>
      <c r="AR21" s="43"/>
      <c r="AS21" s="37"/>
      <c r="AT21" s="44"/>
      <c r="AU21" s="93"/>
      <c r="AV21" s="37"/>
      <c r="AW21" s="37"/>
      <c r="AX21" s="37"/>
      <c r="AY21" s="93"/>
      <c r="AZ21" s="37"/>
      <c r="BA21" s="37"/>
      <c r="BB21" s="93"/>
      <c r="BC21" s="97"/>
      <c r="BD21" s="97"/>
      <c r="BF21" s="113"/>
    </row>
    <row r="22" spans="2:58">
      <c r="B22" s="5">
        <f t="shared" si="6"/>
        <v>10</v>
      </c>
      <c r="C22" s="5"/>
      <c r="E22" s="13"/>
      <c r="F22" s="5"/>
      <c r="G22" s="11" t="str">
        <f>IF(ISERROR(AVERAGE(F$13:F22)),"n/a",AVERAGE(F$13:F22))</f>
        <v>n/a</v>
      </c>
      <c r="H22" s="11" t="str">
        <f t="shared" si="2"/>
        <v>n/a</v>
      </c>
      <c r="J22" s="5"/>
      <c r="K22" s="5"/>
      <c r="L22" s="5"/>
      <c r="M22" s="5"/>
      <c r="N22" s="5"/>
      <c r="O22" s="8" t="str">
        <f t="shared" si="0"/>
        <v>n/a</v>
      </c>
      <c r="Q22" s="5"/>
      <c r="R22" s="5"/>
      <c r="S22" s="5"/>
      <c r="U22" s="6"/>
      <c r="V22" s="9" t="str">
        <f t="shared" si="9"/>
        <v/>
      </c>
      <c r="W22" s="9" t="str">
        <f t="shared" si="10"/>
        <v/>
      </c>
      <c r="X22" s="10">
        <f>SUM(V$13:V22)/COUNTA(B$13:B22)</f>
        <v>0</v>
      </c>
      <c r="Z22" s="5"/>
      <c r="AA22" s="5"/>
      <c r="AC22" s="7"/>
      <c r="AE22" s="54" t="e">
        <f t="shared" si="5"/>
        <v>#N/A</v>
      </c>
      <c r="AF22" s="4" t="e">
        <f t="shared" si="1"/>
        <v>#N/A</v>
      </c>
      <c r="AR22" s="46" t="s">
        <v>34</v>
      </c>
      <c r="AS22" s="37"/>
      <c r="AT22" s="44"/>
      <c r="AU22" s="92">
        <f>V1017</f>
        <v>0</v>
      </c>
      <c r="AV22" s="38">
        <f>Q1017</f>
        <v>0</v>
      </c>
      <c r="AW22" s="38">
        <f>R1017</f>
        <v>0</v>
      </c>
      <c r="AX22" s="38">
        <f>S1017</f>
        <v>0</v>
      </c>
      <c r="AY22" s="92">
        <f>$W$1017</f>
        <v>0</v>
      </c>
      <c r="AZ22" s="38">
        <f>Z1017</f>
        <v>0</v>
      </c>
      <c r="BA22" s="38">
        <f>AA1017</f>
        <v>0</v>
      </c>
      <c r="BB22" s="95" t="str">
        <f>IF(ISERROR(AU22/(AU22+AY22)),"n/a",AU22/(AU22+AY22))</f>
        <v>n/a</v>
      </c>
      <c r="BC22" s="96" t="str">
        <f>IF(ISERROR(TEXT($E$1025,"00")&amp;":"&amp;TEXT($F$1025,"00")),"n/a",TEXT($E$1025,"00")&amp;":"&amp;TEXT($F$1025,"00"))</f>
        <v>n/a</v>
      </c>
      <c r="BD22" s="96" t="str">
        <f>IF(ISERROR(BF22&amp;TEXT($E$1042,"00")&amp;":"&amp;TEXT($F$1042,"00")),"n/a",BF22&amp;TEXT($E$1042,"00")&amp;":"&amp;TEXT($F$1042,"00"))</f>
        <v>n/a</v>
      </c>
      <c r="BF22" s="113" t="e">
        <f>IF(F1034&lt;0,"-","+")</f>
        <v>#VALUE!</v>
      </c>
    </row>
    <row r="23" spans="2:58">
      <c r="B23" s="5">
        <f t="shared" si="6"/>
        <v>11</v>
      </c>
      <c r="C23" s="5"/>
      <c r="E23" s="13"/>
      <c r="F23" s="5"/>
      <c r="G23" s="11" t="str">
        <f>IF(ISERROR(AVERAGE(F$13:F23)),"n/a",AVERAGE(F$13:F23))</f>
        <v>n/a</v>
      </c>
      <c r="H23" s="11" t="str">
        <f t="shared" si="2"/>
        <v>n/a</v>
      </c>
      <c r="J23" s="5"/>
      <c r="K23" s="5"/>
      <c r="L23" s="5"/>
      <c r="M23" s="5"/>
      <c r="N23" s="5"/>
      <c r="O23" s="8" t="str">
        <f t="shared" si="0"/>
        <v>n/a</v>
      </c>
      <c r="Q23" s="5"/>
      <c r="R23" s="5"/>
      <c r="S23" s="5"/>
      <c r="U23" s="6"/>
      <c r="V23" s="9" t="str">
        <f t="shared" si="9"/>
        <v/>
      </c>
      <c r="W23" s="9" t="str">
        <f t="shared" si="10"/>
        <v/>
      </c>
      <c r="X23" s="10">
        <f>SUM(V$13:V23)/COUNTA(B$13:B23)</f>
        <v>0</v>
      </c>
      <c r="Z23" s="5"/>
      <c r="AA23" s="5"/>
      <c r="AC23" s="7"/>
      <c r="AE23" s="54" t="e">
        <f t="shared" si="5"/>
        <v>#N/A</v>
      </c>
      <c r="AF23" s="4" t="e">
        <f t="shared" si="1"/>
        <v>#N/A</v>
      </c>
      <c r="AR23" s="46"/>
      <c r="AS23" s="37"/>
      <c r="AT23" s="44"/>
      <c r="AU23" s="93"/>
      <c r="AV23" s="102" t="str">
        <f>+IF(ISERROR(AV22/SUM($AU$22,$AY$22)),"n/a",AV22/SUM($AU$22,$AY$22))</f>
        <v>n/a</v>
      </c>
      <c r="AW23" s="102" t="str">
        <f t="shared" ref="AW23:AX23" si="11">+IF(ISERROR(AW22/SUM($AU$22,$AY$22)),"n/a",AW22/SUM($AU$22,$AY$22))</f>
        <v>n/a</v>
      </c>
      <c r="AX23" s="102" t="str">
        <f t="shared" si="11"/>
        <v>n/a</v>
      </c>
      <c r="AY23" s="93"/>
      <c r="AZ23" s="102" t="str">
        <f>+IF(ISERROR(AZ22/$AY$22),"n/a",AZ22/$AY$22)</f>
        <v>n/a</v>
      </c>
      <c r="BA23" s="102" t="str">
        <f>+IF(ISERROR(BA22/$AY$22),"n/a",BA22/$AY$22)</f>
        <v>n/a</v>
      </c>
      <c r="BB23" s="93"/>
      <c r="BC23" s="97"/>
      <c r="BD23" s="97"/>
      <c r="BF23" s="113"/>
    </row>
    <row r="24" spans="2:58">
      <c r="B24" s="5">
        <f t="shared" si="6"/>
        <v>12</v>
      </c>
      <c r="C24" s="5"/>
      <c r="E24" s="13"/>
      <c r="F24" s="5"/>
      <c r="G24" s="11" t="str">
        <f>IF(ISERROR(AVERAGE(F$13:F24)),"n/a",AVERAGE(F$13:F24))</f>
        <v>n/a</v>
      </c>
      <c r="H24" s="11" t="str">
        <f t="shared" si="2"/>
        <v>n/a</v>
      </c>
      <c r="J24" s="5"/>
      <c r="K24" s="5"/>
      <c r="L24" s="5"/>
      <c r="M24" s="5"/>
      <c r="N24" s="5"/>
      <c r="O24" s="8" t="str">
        <f t="shared" si="0"/>
        <v>n/a</v>
      </c>
      <c r="Q24" s="5"/>
      <c r="R24" s="5"/>
      <c r="S24" s="5"/>
      <c r="U24" s="6"/>
      <c r="V24" s="9" t="str">
        <f t="shared" si="9"/>
        <v/>
      </c>
      <c r="W24" s="9" t="str">
        <f t="shared" si="10"/>
        <v/>
      </c>
      <c r="X24" s="10">
        <f>SUM(V$13:V24)/COUNTA(B$13:B24)</f>
        <v>0</v>
      </c>
      <c r="Z24" s="5"/>
      <c r="AA24" s="5"/>
      <c r="AC24" s="7"/>
      <c r="AE24" s="54" t="e">
        <f t="shared" si="5"/>
        <v>#N/A</v>
      </c>
      <c r="AF24" s="4" t="e">
        <f t="shared" si="1"/>
        <v>#N/A</v>
      </c>
      <c r="AR24" s="46"/>
      <c r="AS24" s="37"/>
      <c r="AT24" s="44"/>
      <c r="AU24" s="93"/>
      <c r="AV24" s="37"/>
      <c r="AW24" s="37"/>
      <c r="AX24" s="37"/>
      <c r="AY24" s="93"/>
      <c r="AZ24" s="37"/>
      <c r="BA24" s="37"/>
      <c r="BB24" s="93"/>
      <c r="BC24" s="97"/>
      <c r="BD24" s="97"/>
      <c r="BF24" s="113"/>
    </row>
    <row r="25" spans="2:58">
      <c r="B25" s="5">
        <f t="shared" si="6"/>
        <v>13</v>
      </c>
      <c r="C25" s="5"/>
      <c r="E25" s="13"/>
      <c r="F25" s="5"/>
      <c r="G25" s="11" t="str">
        <f>IF(ISERROR(AVERAGE(F$13:F25)),"n/a",AVERAGE(F$13:F25))</f>
        <v>n/a</v>
      </c>
      <c r="H25" s="11" t="str">
        <f t="shared" si="2"/>
        <v>n/a</v>
      </c>
      <c r="J25" s="5"/>
      <c r="K25" s="5"/>
      <c r="L25" s="5"/>
      <c r="M25" s="5"/>
      <c r="N25" s="5"/>
      <c r="O25" s="8" t="str">
        <f t="shared" si="0"/>
        <v>n/a</v>
      </c>
      <c r="Q25" s="5"/>
      <c r="R25" s="5"/>
      <c r="S25" s="5"/>
      <c r="U25" s="6"/>
      <c r="V25" s="9" t="str">
        <f t="shared" si="9"/>
        <v/>
      </c>
      <c r="W25" s="9" t="str">
        <f t="shared" si="10"/>
        <v/>
      </c>
      <c r="X25" s="10">
        <f>SUM(V$13:V25)/COUNTA(B$13:B25)</f>
        <v>0</v>
      </c>
      <c r="Z25" s="5"/>
      <c r="AA25" s="5"/>
      <c r="AC25" s="7"/>
      <c r="AE25" s="54" t="e">
        <f t="shared" si="5"/>
        <v>#N/A</v>
      </c>
      <c r="AF25" s="4" t="e">
        <f t="shared" si="1"/>
        <v>#N/A</v>
      </c>
      <c r="AR25" s="46" t="s">
        <v>35</v>
      </c>
      <c r="AS25" s="37"/>
      <c r="AT25" s="44"/>
      <c r="AU25" s="92">
        <f>$V$1018</f>
        <v>0</v>
      </c>
      <c r="AV25" s="38">
        <f>Q1018</f>
        <v>0</v>
      </c>
      <c r="AW25" s="38">
        <f>R1018</f>
        <v>0</v>
      </c>
      <c r="AX25" s="38">
        <f>S1018</f>
        <v>0</v>
      </c>
      <c r="AY25" s="92">
        <f>$W$1018</f>
        <v>0</v>
      </c>
      <c r="AZ25" s="38">
        <f>Z1018</f>
        <v>0</v>
      </c>
      <c r="BA25" s="38">
        <f>AA1018</f>
        <v>0</v>
      </c>
      <c r="BB25" s="95" t="str">
        <f>IF(ISERROR(AU25/(AU25+AY25)),"n/a",AU25/(AU25+AY25))</f>
        <v>n/a</v>
      </c>
      <c r="BC25" s="96" t="str">
        <f>IF(ISERROR(TEXT($E$1026,"00")&amp;":"&amp;TEXT($F$1026,"00")),"n/a",TEXT($E$1026,"00")&amp;":"&amp;TEXT($F$1026,"00"))</f>
        <v>n/a</v>
      </c>
      <c r="BD25" s="96" t="str">
        <f>IF(ISERROR(BF25&amp;TEXT($E$1043,"00")&amp;":"&amp;TEXT($F$1043,"00")),"n/a",BF25&amp;TEXT($E$1043,"00")&amp;":"&amp;TEXT($F$1043,"00"))</f>
        <v>n/a</v>
      </c>
      <c r="BF25" s="113" t="e">
        <f>IF(F1035&lt;0,"-","+")</f>
        <v>#VALUE!</v>
      </c>
    </row>
    <row r="26" spans="2:58">
      <c r="B26" s="5">
        <f t="shared" si="6"/>
        <v>14</v>
      </c>
      <c r="C26" s="5"/>
      <c r="E26" s="13"/>
      <c r="F26" s="5"/>
      <c r="G26" s="11" t="str">
        <f>IF(ISERROR(AVERAGE(F$13:F26)),"n/a",AVERAGE(F$13:F26))</f>
        <v>n/a</v>
      </c>
      <c r="H26" s="11" t="str">
        <f t="shared" si="2"/>
        <v>n/a</v>
      </c>
      <c r="J26" s="5"/>
      <c r="K26" s="5"/>
      <c r="L26" s="5"/>
      <c r="M26" s="5"/>
      <c r="N26" s="5"/>
      <c r="O26" s="8" t="str">
        <f t="shared" si="0"/>
        <v>n/a</v>
      </c>
      <c r="Q26" s="5"/>
      <c r="R26" s="5"/>
      <c r="S26" s="5"/>
      <c r="U26" s="6"/>
      <c r="V26" s="9" t="str">
        <f t="shared" si="9"/>
        <v/>
      </c>
      <c r="W26" s="9" t="str">
        <f t="shared" si="10"/>
        <v/>
      </c>
      <c r="X26" s="10">
        <f>SUM(V$13:V26)/COUNTA(B$13:B26)</f>
        <v>0</v>
      </c>
      <c r="Z26" s="5"/>
      <c r="AA26" s="5"/>
      <c r="AC26" s="7"/>
      <c r="AE26" s="54" t="e">
        <f t="shared" si="5"/>
        <v>#N/A</v>
      </c>
      <c r="AF26" s="4" t="e">
        <f t="shared" si="1"/>
        <v>#N/A</v>
      </c>
      <c r="AR26" s="46"/>
      <c r="AS26" s="37"/>
      <c r="AT26" s="44"/>
      <c r="AU26" s="93"/>
      <c r="AV26" s="102" t="str">
        <f>+IF(ISERROR(AV25/SUM($AU$25,$AY$25)),"n/a",AV25/SUM($AU$25,$AY$25))</f>
        <v>n/a</v>
      </c>
      <c r="AW26" s="102" t="str">
        <f t="shared" ref="AW26:AX26" si="12">+IF(ISERROR(AW25/SUM($AU$25,$AY$25)),"n/a",AW25/SUM($AU$25,$AY$25))</f>
        <v>n/a</v>
      </c>
      <c r="AX26" s="102" t="str">
        <f t="shared" si="12"/>
        <v>n/a</v>
      </c>
      <c r="AY26" s="93"/>
      <c r="AZ26" s="102" t="str">
        <f>+IF(ISERROR(AZ25/$AY$25),"n/a",AZ25/$AY$25)</f>
        <v>n/a</v>
      </c>
      <c r="BA26" s="102" t="str">
        <f>+IF(ISERROR(BA25/$AY$25),"n/a",BA25/$AY$25)</f>
        <v>n/a</v>
      </c>
      <c r="BB26" s="93"/>
      <c r="BC26" s="97"/>
      <c r="BD26" s="97"/>
      <c r="BF26" s="113"/>
    </row>
    <row r="27" spans="2:58">
      <c r="B27" s="5">
        <f t="shared" si="6"/>
        <v>15</v>
      </c>
      <c r="C27" s="5"/>
      <c r="E27" s="13"/>
      <c r="F27" s="5"/>
      <c r="G27" s="11" t="str">
        <f>IF(ISERROR(AVERAGE(F$13:F27)),"n/a",AVERAGE(F$13:F27))</f>
        <v>n/a</v>
      </c>
      <c r="H27" s="11" t="str">
        <f>G27</f>
        <v>n/a</v>
      </c>
      <c r="J27" s="5"/>
      <c r="K27" s="5"/>
      <c r="L27" s="5"/>
      <c r="M27" s="5"/>
      <c r="N27" s="5"/>
      <c r="O27" s="8" t="str">
        <f t="shared" si="0"/>
        <v>n/a</v>
      </c>
      <c r="Q27" s="5"/>
      <c r="R27" s="5"/>
      <c r="S27" s="5"/>
      <c r="U27" s="6"/>
      <c r="V27" s="9" t="str">
        <f>IF(O27="n/a","",IF(O27=U27,1,""))</f>
        <v/>
      </c>
      <c r="W27" s="9" t="str">
        <f>IF(O27="n/a","",IF(O27&lt;&gt;U27,1,""))</f>
        <v/>
      </c>
      <c r="X27" s="10">
        <f>SUM(V$13:V27)/COUNTA(B$13:B27)</f>
        <v>0</v>
      </c>
      <c r="Z27" s="5"/>
      <c r="AA27" s="5"/>
      <c r="AC27" s="7"/>
      <c r="AE27" s="54" t="e">
        <f t="shared" si="5"/>
        <v>#N/A</v>
      </c>
      <c r="AF27" s="4" t="e">
        <f t="shared" si="1"/>
        <v>#N/A</v>
      </c>
      <c r="AR27" s="46"/>
      <c r="AS27" s="37"/>
      <c r="AT27" s="44"/>
      <c r="AU27" s="93"/>
      <c r="AV27" s="37"/>
      <c r="AW27" s="37"/>
      <c r="AX27" s="37"/>
      <c r="AY27" s="93"/>
      <c r="AZ27" s="37"/>
      <c r="BA27" s="37"/>
      <c r="BB27" s="93"/>
      <c r="BC27" s="97"/>
      <c r="BD27" s="97"/>
      <c r="BF27" s="113"/>
    </row>
    <row r="28" spans="2:58">
      <c r="B28" s="5">
        <f t="shared" si="6"/>
        <v>16</v>
      </c>
      <c r="C28" s="5"/>
      <c r="E28" s="13"/>
      <c r="F28" s="5"/>
      <c r="G28" s="11" t="str">
        <f>IF(ISERROR(AVERAGE(F$13:F28)),"n/a",AVERAGE(F$13:F28))</f>
        <v>n/a</v>
      </c>
      <c r="H28" s="11" t="str">
        <f t="shared" si="2"/>
        <v>n/a</v>
      </c>
      <c r="J28" s="5"/>
      <c r="K28" s="5"/>
      <c r="L28" s="5"/>
      <c r="M28" s="5"/>
      <c r="N28" s="5"/>
      <c r="O28" s="8" t="str">
        <f t="shared" si="0"/>
        <v>n/a</v>
      </c>
      <c r="Q28" s="5"/>
      <c r="R28" s="5"/>
      <c r="S28" s="5"/>
      <c r="U28" s="6"/>
      <c r="V28" s="9" t="str">
        <f t="shared" ref="V28:V33" si="13">IF(O28="n/a","",IF(O28=U28,1,""))</f>
        <v/>
      </c>
      <c r="W28" s="9" t="str">
        <f t="shared" ref="W28:W33" si="14">IF(O28="n/a","",IF(O28&lt;&gt;U28,1,""))</f>
        <v/>
      </c>
      <c r="X28" s="10">
        <f>SUM(V$13:V28)/COUNTA(B$13:B28)</f>
        <v>0</v>
      </c>
      <c r="Z28" s="5"/>
      <c r="AA28" s="5"/>
      <c r="AC28" s="7"/>
      <c r="AE28" s="54" t="e">
        <f t="shared" si="5"/>
        <v>#N/A</v>
      </c>
      <c r="AF28" s="4" t="e">
        <f t="shared" si="1"/>
        <v>#N/A</v>
      </c>
      <c r="AR28" s="46" t="s">
        <v>36</v>
      </c>
      <c r="AS28" s="37"/>
      <c r="AT28" s="44"/>
      <c r="AU28" s="92">
        <f>$V$1019</f>
        <v>0</v>
      </c>
      <c r="AV28" s="38">
        <f>Q1019</f>
        <v>0</v>
      </c>
      <c r="AW28" s="38">
        <f>R1019</f>
        <v>0</v>
      </c>
      <c r="AX28" s="38">
        <f>S1019</f>
        <v>0</v>
      </c>
      <c r="AY28" s="92">
        <f>$W$1019</f>
        <v>0</v>
      </c>
      <c r="AZ28" s="38">
        <f>Z1019</f>
        <v>0</v>
      </c>
      <c r="BA28" s="38">
        <f>AA1019</f>
        <v>0</v>
      </c>
      <c r="BB28" s="95" t="str">
        <f>IF(ISERROR(AU28/(AU28+AY28)),"n/a",AU28/(AU28+AY28))</f>
        <v>n/a</v>
      </c>
      <c r="BC28" s="96" t="str">
        <f>IF(ISERROR(TEXT($E$1027,"00")&amp;":"&amp;TEXT($F$1027,"00")),"n/a",TEXT($E$1027,"00")&amp;":"&amp;TEXT($F$1027,"00"))</f>
        <v>n/a</v>
      </c>
      <c r="BD28" s="96" t="str">
        <f>IF(ISERROR(BF28&amp;TEXT($E$1044,"00")&amp;":"&amp;TEXT($F$1044,"00")),"n/a",BF28&amp;TEXT($E$1044,"00")&amp;":"&amp;TEXT($F$1044,"00"))</f>
        <v>n/a</v>
      </c>
      <c r="BF28" s="113" t="e">
        <f>IF(F1036&lt;0,"-","+")</f>
        <v>#VALUE!</v>
      </c>
    </row>
    <row r="29" spans="2:58">
      <c r="B29" s="5">
        <f t="shared" si="6"/>
        <v>17</v>
      </c>
      <c r="C29" s="5"/>
      <c r="E29" s="13"/>
      <c r="F29" s="5"/>
      <c r="G29" s="11" t="str">
        <f>IF(ISERROR(AVERAGE(F$13:F29)),"n/a",AVERAGE(F$13:F29))</f>
        <v>n/a</v>
      </c>
      <c r="H29" s="11" t="str">
        <f t="shared" si="2"/>
        <v>n/a</v>
      </c>
      <c r="J29" s="5"/>
      <c r="K29" s="5"/>
      <c r="L29" s="5"/>
      <c r="M29" s="5"/>
      <c r="N29" s="5"/>
      <c r="O29" s="8" t="str">
        <f t="shared" si="0"/>
        <v>n/a</v>
      </c>
      <c r="Q29" s="5"/>
      <c r="R29" s="5"/>
      <c r="S29" s="5"/>
      <c r="U29" s="6"/>
      <c r="V29" s="9" t="str">
        <f t="shared" si="13"/>
        <v/>
      </c>
      <c r="W29" s="9" t="str">
        <f t="shared" si="14"/>
        <v/>
      </c>
      <c r="X29" s="10">
        <f>SUM(V$13:V29)/COUNTA(B$13:B29)</f>
        <v>0</v>
      </c>
      <c r="Z29" s="5"/>
      <c r="AA29" s="5"/>
      <c r="AC29" s="7"/>
      <c r="AE29" s="54" t="e">
        <f t="shared" si="5"/>
        <v>#N/A</v>
      </c>
      <c r="AF29" s="4" t="e">
        <f t="shared" si="1"/>
        <v>#N/A</v>
      </c>
      <c r="AR29" s="46"/>
      <c r="AS29" s="37"/>
      <c r="AT29" s="44"/>
      <c r="AU29" s="93"/>
      <c r="AV29" s="102" t="str">
        <f>+IF(ISERROR(AV28/SUM($AU$28,$AY$28)),"n/a",AV28/SUM($AU$28,$AY$28))</f>
        <v>n/a</v>
      </c>
      <c r="AW29" s="102" t="str">
        <f t="shared" ref="AW29:AX29" si="15">+IF(ISERROR(AW28/SUM($AU$28,$AY$28)),"n/a",AW28/SUM($AU$28,$AY$28))</f>
        <v>n/a</v>
      </c>
      <c r="AX29" s="102" t="str">
        <f t="shared" si="15"/>
        <v>n/a</v>
      </c>
      <c r="AY29" s="93"/>
      <c r="AZ29" s="102" t="str">
        <f>+IF(ISERROR(AZ28/$AY$28),"n/a",AZ28/$AY$28)</f>
        <v>n/a</v>
      </c>
      <c r="BA29" s="102" t="str">
        <f>+IF(ISERROR(BA28/$AY$28),"n/a",BA28/$AY$28)</f>
        <v>n/a</v>
      </c>
      <c r="BB29" s="93"/>
      <c r="BC29" s="97"/>
      <c r="BD29" s="97"/>
      <c r="BF29" s="113"/>
    </row>
    <row r="30" spans="2:58">
      <c r="B30" s="5">
        <f t="shared" si="6"/>
        <v>18</v>
      </c>
      <c r="C30" s="5"/>
      <c r="E30" s="13"/>
      <c r="F30" s="5"/>
      <c r="G30" s="11" t="str">
        <f>IF(ISERROR(AVERAGE(F$13:F30)),"n/a",AVERAGE(F$13:F30))</f>
        <v>n/a</v>
      </c>
      <c r="H30" s="11" t="str">
        <f t="shared" si="2"/>
        <v>n/a</v>
      </c>
      <c r="J30" s="5"/>
      <c r="K30" s="5"/>
      <c r="L30" s="5"/>
      <c r="M30" s="5"/>
      <c r="N30" s="5"/>
      <c r="O30" s="8" t="str">
        <f t="shared" si="0"/>
        <v>n/a</v>
      </c>
      <c r="Q30" s="5"/>
      <c r="R30" s="5"/>
      <c r="S30" s="5"/>
      <c r="U30" s="6"/>
      <c r="V30" s="9" t="str">
        <f t="shared" si="13"/>
        <v/>
      </c>
      <c r="W30" s="9" t="str">
        <f t="shared" si="14"/>
        <v/>
      </c>
      <c r="X30" s="10">
        <f>SUM(V$13:V30)/COUNTA(B$13:B30)</f>
        <v>0</v>
      </c>
      <c r="Z30" s="5"/>
      <c r="AA30" s="5"/>
      <c r="AC30" s="7"/>
      <c r="AE30" s="54" t="e">
        <f t="shared" si="5"/>
        <v>#N/A</v>
      </c>
      <c r="AF30" s="4" t="e">
        <f t="shared" si="1"/>
        <v>#N/A</v>
      </c>
      <c r="AR30" s="46"/>
      <c r="AS30" s="37"/>
      <c r="AT30" s="44"/>
      <c r="AU30" s="93"/>
      <c r="AV30" s="37"/>
      <c r="AW30" s="37"/>
      <c r="AX30" s="37"/>
      <c r="AY30" s="93"/>
      <c r="AZ30" s="37"/>
      <c r="BA30" s="37"/>
      <c r="BB30" s="93"/>
      <c r="BC30" s="97"/>
      <c r="BD30" s="97"/>
      <c r="BF30" s="113"/>
    </row>
    <row r="31" spans="2:58">
      <c r="B31" s="5">
        <f t="shared" si="6"/>
        <v>19</v>
      </c>
      <c r="C31" s="5"/>
      <c r="E31" s="13"/>
      <c r="F31" s="5"/>
      <c r="G31" s="11" t="str">
        <f>IF(ISERROR(AVERAGE(F$13:F31)),"n/a",AVERAGE(F$13:F31))</f>
        <v>n/a</v>
      </c>
      <c r="H31" s="11" t="str">
        <f t="shared" si="2"/>
        <v>n/a</v>
      </c>
      <c r="J31" s="5"/>
      <c r="K31" s="5"/>
      <c r="L31" s="5"/>
      <c r="M31" s="5"/>
      <c r="N31" s="5"/>
      <c r="O31" s="8" t="str">
        <f t="shared" si="0"/>
        <v>n/a</v>
      </c>
      <c r="Q31" s="5"/>
      <c r="R31" s="5"/>
      <c r="S31" s="5"/>
      <c r="U31" s="6"/>
      <c r="V31" s="9" t="str">
        <f t="shared" si="13"/>
        <v/>
      </c>
      <c r="W31" s="9" t="str">
        <f t="shared" si="14"/>
        <v/>
      </c>
      <c r="X31" s="10">
        <f>SUM(V$13:V31)/COUNTA(B$13:B31)</f>
        <v>0</v>
      </c>
      <c r="Z31" s="5"/>
      <c r="AA31" s="5"/>
      <c r="AC31" s="7"/>
      <c r="AE31" s="54" t="e">
        <f t="shared" si="5"/>
        <v>#N/A</v>
      </c>
      <c r="AF31" s="4" t="e">
        <f t="shared" si="1"/>
        <v>#N/A</v>
      </c>
      <c r="AR31" s="46" t="s">
        <v>37</v>
      </c>
      <c r="AS31" s="37"/>
      <c r="AT31" s="44"/>
      <c r="AU31" s="92">
        <f>$V$1020</f>
        <v>0</v>
      </c>
      <c r="AV31" s="38">
        <f>Q1020</f>
        <v>0</v>
      </c>
      <c r="AW31" s="38">
        <f>R1020</f>
        <v>0</v>
      </c>
      <c r="AX31" s="38">
        <f>S1020</f>
        <v>0</v>
      </c>
      <c r="AY31" s="92">
        <f>$W$1020</f>
        <v>0</v>
      </c>
      <c r="AZ31" s="38">
        <f>Z1020</f>
        <v>0</v>
      </c>
      <c r="BA31" s="38">
        <f>AA1020</f>
        <v>0</v>
      </c>
      <c r="BB31" s="95" t="str">
        <f>IF(ISERROR(AU31/(AU31+AY31)),"n/a",AU31/(AU31+AY31))</f>
        <v>n/a</v>
      </c>
      <c r="BC31" s="96" t="str">
        <f>IF(ISERROR(TEXT($E$1028,"00")&amp;":"&amp;TEXT($F$1028,"00")),"n/a",TEXT($E$1028,"00")&amp;":"&amp;TEXT($F$1028,"00"))</f>
        <v>n/a</v>
      </c>
      <c r="BD31" s="96" t="str">
        <f>IF(ISERROR(BF31&amp;TEXT($E$1045,"00")&amp;":"&amp;TEXT($F$1045,"00")),"n/a",BF31&amp;TEXT($E$1045,"00")&amp;":"&amp;TEXT($F$1045,"00"))</f>
        <v>n/a</v>
      </c>
      <c r="BF31" s="113" t="e">
        <f>IF(F1037&lt;0,"-","+")</f>
        <v>#VALUE!</v>
      </c>
    </row>
    <row r="32" spans="2:58">
      <c r="B32" s="5">
        <f t="shared" si="6"/>
        <v>20</v>
      </c>
      <c r="C32" s="5"/>
      <c r="E32" s="13"/>
      <c r="F32" s="5"/>
      <c r="G32" s="11" t="str">
        <f>IF(ISERROR(AVERAGE(F$13:F32)),"n/a",AVERAGE(F$13:F32))</f>
        <v>n/a</v>
      </c>
      <c r="H32" s="11" t="str">
        <f t="shared" si="2"/>
        <v>n/a</v>
      </c>
      <c r="J32" s="5"/>
      <c r="K32" s="5"/>
      <c r="L32" s="5"/>
      <c r="M32" s="5"/>
      <c r="N32" s="5"/>
      <c r="O32" s="8" t="str">
        <f t="shared" si="0"/>
        <v>n/a</v>
      </c>
      <c r="Q32" s="5"/>
      <c r="R32" s="5"/>
      <c r="S32" s="5"/>
      <c r="U32" s="6"/>
      <c r="V32" s="9" t="str">
        <f t="shared" si="13"/>
        <v/>
      </c>
      <c r="W32" s="9" t="str">
        <f t="shared" si="14"/>
        <v/>
      </c>
      <c r="X32" s="10">
        <f>SUM(V$13:V32)/COUNTA(B$13:B32)</f>
        <v>0</v>
      </c>
      <c r="Z32" s="5"/>
      <c r="AA32" s="5"/>
      <c r="AC32" s="7"/>
      <c r="AE32" s="54" t="e">
        <f t="shared" si="5"/>
        <v>#N/A</v>
      </c>
      <c r="AF32" s="4" t="e">
        <f t="shared" si="1"/>
        <v>#N/A</v>
      </c>
      <c r="AR32" s="46"/>
      <c r="AS32" s="37"/>
      <c r="AT32" s="44"/>
      <c r="AU32" s="93"/>
      <c r="AV32" s="102" t="str">
        <f>+IF(ISERROR(AV31/SUM($AU$31,$AY$31)),"n/a",AV31/SUM($AU$31,$AY$31))</f>
        <v>n/a</v>
      </c>
      <c r="AW32" s="102" t="str">
        <f t="shared" ref="AW32:AX32" si="16">+IF(ISERROR(AW31/SUM($AU$31,$AY$31)),"n/a",AW31/SUM($AU$31,$AY$31))</f>
        <v>n/a</v>
      </c>
      <c r="AX32" s="102" t="str">
        <f t="shared" si="16"/>
        <v>n/a</v>
      </c>
      <c r="AY32" s="93"/>
      <c r="AZ32" s="102" t="str">
        <f>+IF(ISERROR(AZ31/$AY$31),"n/a",AZ31/$AY$31)</f>
        <v>n/a</v>
      </c>
      <c r="BA32" s="102" t="str">
        <f>+IF(ISERROR(BA31/$AY$31),"n/a",BA31/$AY$31)</f>
        <v>n/a</v>
      </c>
      <c r="BB32" s="93"/>
      <c r="BC32" s="97"/>
      <c r="BD32" s="97"/>
      <c r="BF32" s="113"/>
    </row>
    <row r="33" spans="2:59">
      <c r="B33" s="5">
        <f t="shared" si="6"/>
        <v>21</v>
      </c>
      <c r="C33" s="5"/>
      <c r="E33" s="13"/>
      <c r="F33" s="5"/>
      <c r="G33" s="11" t="str">
        <f>IF(ISERROR(AVERAGE(F$13:F33)),"n/a",AVERAGE(F$13:F33))</f>
        <v>n/a</v>
      </c>
      <c r="H33" s="11" t="str">
        <f t="shared" si="2"/>
        <v>n/a</v>
      </c>
      <c r="J33" s="5"/>
      <c r="K33" s="5"/>
      <c r="L33" s="5"/>
      <c r="M33" s="5"/>
      <c r="N33" s="5"/>
      <c r="O33" s="8" t="str">
        <f t="shared" si="0"/>
        <v>n/a</v>
      </c>
      <c r="Q33" s="5"/>
      <c r="R33" s="5"/>
      <c r="S33" s="5"/>
      <c r="U33" s="6"/>
      <c r="V33" s="9" t="str">
        <f t="shared" si="13"/>
        <v/>
      </c>
      <c r="W33" s="9" t="str">
        <f t="shared" si="14"/>
        <v/>
      </c>
      <c r="X33" s="10">
        <f>SUM(V$13:V33)/COUNTA(B$13:B33)</f>
        <v>0</v>
      </c>
      <c r="Z33" s="5"/>
      <c r="AA33" s="5"/>
      <c r="AC33" s="7"/>
      <c r="AE33" s="54" t="e">
        <f t="shared" si="5"/>
        <v>#N/A</v>
      </c>
      <c r="AF33" s="4" t="e">
        <f t="shared" si="1"/>
        <v>#N/A</v>
      </c>
      <c r="AR33" s="46"/>
      <c r="AS33" s="37"/>
      <c r="AT33" s="44"/>
      <c r="AU33" s="93"/>
      <c r="AV33" s="37"/>
      <c r="AW33" s="37"/>
      <c r="AX33" s="37"/>
      <c r="AY33" s="93"/>
      <c r="AZ33" s="37"/>
      <c r="BA33" s="37"/>
      <c r="BB33" s="93"/>
      <c r="BC33" s="97"/>
      <c r="BD33" s="97"/>
      <c r="BF33" s="113"/>
    </row>
    <row r="34" spans="2:59">
      <c r="B34" s="5">
        <f t="shared" si="6"/>
        <v>22</v>
      </c>
      <c r="C34" s="5"/>
      <c r="E34" s="13"/>
      <c r="F34" s="5"/>
      <c r="G34" s="11" t="str">
        <f>IF(ISERROR(AVERAGE(F$13:F34)),"n/a",AVERAGE(F$13:F34))</f>
        <v>n/a</v>
      </c>
      <c r="H34" s="11" t="str">
        <f>G34</f>
        <v>n/a</v>
      </c>
      <c r="J34" s="5"/>
      <c r="K34" s="5"/>
      <c r="L34" s="5"/>
      <c r="M34" s="5"/>
      <c r="N34" s="5"/>
      <c r="O34" s="8" t="str">
        <f t="shared" si="0"/>
        <v>n/a</v>
      </c>
      <c r="Q34" s="5"/>
      <c r="R34" s="5"/>
      <c r="S34" s="5"/>
      <c r="U34" s="6"/>
      <c r="V34" s="9" t="str">
        <f>IF(O34="n/a","",IF(O34=U34,1,""))</f>
        <v/>
      </c>
      <c r="W34" s="9" t="str">
        <f>IF(O34="n/a","",IF(O34&lt;&gt;U34,1,""))</f>
        <v/>
      </c>
      <c r="X34" s="10">
        <f>SUM(V$13:V34)/COUNTA(B$13:B34)</f>
        <v>0</v>
      </c>
      <c r="Z34" s="5"/>
      <c r="AA34" s="5"/>
      <c r="AC34" s="7"/>
      <c r="AE34" s="54" t="e">
        <f t="shared" si="5"/>
        <v>#N/A</v>
      </c>
      <c r="AF34" s="4" t="e">
        <f t="shared" si="1"/>
        <v>#N/A</v>
      </c>
      <c r="AR34" s="46" t="s">
        <v>38</v>
      </c>
      <c r="AS34" s="37"/>
      <c r="AT34" s="44"/>
      <c r="AU34" s="92">
        <f>$V$1021</f>
        <v>0</v>
      </c>
      <c r="AV34" s="38">
        <f>Q1021</f>
        <v>0</v>
      </c>
      <c r="AW34" s="38">
        <f>R1021</f>
        <v>0</v>
      </c>
      <c r="AX34" s="38">
        <f>S1021</f>
        <v>0</v>
      </c>
      <c r="AY34" s="92">
        <f>$W$1021</f>
        <v>0</v>
      </c>
      <c r="AZ34" s="38">
        <f>Z1021</f>
        <v>0</v>
      </c>
      <c r="BA34" s="38">
        <f>AA1021</f>
        <v>0</v>
      </c>
      <c r="BB34" s="95" t="str">
        <f>IF(ISERROR(AU34/(AU34+AY34)),"n/a",AU34/(AU34+AY34))</f>
        <v>n/a</v>
      </c>
      <c r="BC34" s="96" t="str">
        <f>IF(ISERROR(TEXT($E$1029,"00")&amp;":"&amp;TEXT($F$1029,"00")),"n/a",TEXT($E$1029,"00")&amp;":"&amp;TEXT($F$1029,"00"))</f>
        <v>n/a</v>
      </c>
      <c r="BD34" s="96" t="str">
        <f>IF(ISERROR(BF34&amp;TEXT($E$1046,"00")&amp;":"&amp;TEXT($F$1046,"00")),"n/a",BF34&amp;TEXT($E$1046,"00")&amp;":"&amp;TEXT($F$1046,"00"))</f>
        <v>n/a</v>
      </c>
      <c r="BF34" s="113" t="e">
        <f>IF(F1038&lt;0,"-","+")</f>
        <v>#VALUE!</v>
      </c>
    </row>
    <row r="35" spans="2:59">
      <c r="B35" s="5">
        <f t="shared" si="6"/>
        <v>23</v>
      </c>
      <c r="C35" s="5"/>
      <c r="E35" s="13"/>
      <c r="F35" s="5"/>
      <c r="G35" s="11" t="str">
        <f>IF(ISERROR(AVERAGE(F$13:F35)),"n/a",AVERAGE(F$13:F35))</f>
        <v>n/a</v>
      </c>
      <c r="H35" s="11" t="str">
        <f t="shared" si="2"/>
        <v>n/a</v>
      </c>
      <c r="J35" s="5"/>
      <c r="K35" s="5"/>
      <c r="L35" s="5"/>
      <c r="M35" s="5"/>
      <c r="N35" s="5"/>
      <c r="O35" s="8" t="str">
        <f t="shared" si="0"/>
        <v>n/a</v>
      </c>
      <c r="Q35" s="5"/>
      <c r="R35" s="5"/>
      <c r="S35" s="5"/>
      <c r="U35" s="6"/>
      <c r="V35" s="9" t="str">
        <f t="shared" ref="V35:V40" si="17">IF(O35="n/a","",IF(O35=U35,1,""))</f>
        <v/>
      </c>
      <c r="W35" s="9" t="str">
        <f t="shared" ref="W35:W40" si="18">IF(O35="n/a","",IF(O35&lt;&gt;U35,1,""))</f>
        <v/>
      </c>
      <c r="X35" s="10">
        <f>SUM(V$13:V35)/COUNTA(B$13:B35)</f>
        <v>0</v>
      </c>
      <c r="Z35" s="5"/>
      <c r="AA35" s="5"/>
      <c r="AC35" s="7"/>
      <c r="AE35" s="54" t="e">
        <f t="shared" si="5"/>
        <v>#N/A</v>
      </c>
      <c r="AF35" s="4" t="e">
        <f t="shared" si="1"/>
        <v>#N/A</v>
      </c>
      <c r="AR35" s="105"/>
      <c r="AS35" s="48"/>
      <c r="AT35" s="48"/>
      <c r="AU35" s="94"/>
      <c r="AV35" s="104" t="str">
        <f>+IF(ISERROR(AV34/SUM($AU$34,$AY$34)),"n/a",AV34/SUM($AU$34,$AY$34))</f>
        <v>n/a</v>
      </c>
      <c r="AW35" s="104" t="str">
        <f t="shared" ref="AW35:AX35" si="19">+IF(ISERROR(AW34/SUM($AU$34,$AY$34)),"n/a",AW34/SUM($AU$34,$AY$34))</f>
        <v>n/a</v>
      </c>
      <c r="AX35" s="104" t="str">
        <f t="shared" si="19"/>
        <v>n/a</v>
      </c>
      <c r="AY35" s="94"/>
      <c r="AZ35" s="106" t="str">
        <f>+IF(ISERROR(AZ34/$AY$34),"n/a",AZ34/$AY$34)</f>
        <v>n/a</v>
      </c>
      <c r="BA35" s="107" t="str">
        <f>+IF(ISERROR(BA34/$AY$34),"n/a",BA34/$AY$34)</f>
        <v>n/a</v>
      </c>
      <c r="BB35" s="98"/>
      <c r="BC35" s="99"/>
      <c r="BD35" s="99"/>
    </row>
    <row r="36" spans="2:59">
      <c r="B36" s="5">
        <f t="shared" si="6"/>
        <v>24</v>
      </c>
      <c r="C36" s="5"/>
      <c r="E36" s="13"/>
      <c r="F36" s="5"/>
      <c r="G36" s="11" t="str">
        <f>IF(ISERROR(AVERAGE(F$13:F36)),"n/a",AVERAGE(F$13:F36))</f>
        <v>n/a</v>
      </c>
      <c r="H36" s="11" t="str">
        <f t="shared" si="2"/>
        <v>n/a</v>
      </c>
      <c r="J36" s="5"/>
      <c r="K36" s="5"/>
      <c r="L36" s="5"/>
      <c r="M36" s="5"/>
      <c r="N36" s="5"/>
      <c r="O36" s="8" t="str">
        <f t="shared" si="0"/>
        <v>n/a</v>
      </c>
      <c r="Q36" s="5"/>
      <c r="R36" s="5"/>
      <c r="S36" s="5"/>
      <c r="U36" s="6"/>
      <c r="V36" s="9" t="str">
        <f t="shared" si="17"/>
        <v/>
      </c>
      <c r="W36" s="9" t="str">
        <f t="shared" si="18"/>
        <v/>
      </c>
      <c r="X36" s="10">
        <f>SUM(V$13:V36)/COUNTA(B$13:B36)</f>
        <v>0</v>
      </c>
      <c r="Z36" s="5"/>
      <c r="AA36" s="5"/>
      <c r="AC36" s="7"/>
      <c r="AE36" s="54" t="e">
        <f t="shared" si="5"/>
        <v>#N/A</v>
      </c>
      <c r="AF36" s="4" t="e">
        <f t="shared" si="1"/>
        <v>#N/A</v>
      </c>
      <c r="BF36" s="100" t="str">
        <f>BB18</f>
        <v>n/a</v>
      </c>
      <c r="BG36" s="101" t="s">
        <v>33</v>
      </c>
    </row>
    <row r="37" spans="2:59">
      <c r="B37" s="5">
        <f t="shared" si="6"/>
        <v>25</v>
      </c>
      <c r="C37" s="5"/>
      <c r="E37" s="13"/>
      <c r="F37" s="5"/>
      <c r="G37" s="11" t="str">
        <f>IF(ISERROR(AVERAGE(F$13:F37)),"n/a",AVERAGE(F$13:F37))</f>
        <v>n/a</v>
      </c>
      <c r="H37" s="11" t="str">
        <f t="shared" si="2"/>
        <v>n/a</v>
      </c>
      <c r="J37" s="5"/>
      <c r="K37" s="5"/>
      <c r="L37" s="5"/>
      <c r="M37" s="5"/>
      <c r="N37" s="5"/>
      <c r="O37" s="8" t="str">
        <f t="shared" si="0"/>
        <v>n/a</v>
      </c>
      <c r="Q37" s="5"/>
      <c r="R37" s="5"/>
      <c r="S37" s="5"/>
      <c r="U37" s="6"/>
      <c r="V37" s="9" t="str">
        <f t="shared" si="17"/>
        <v/>
      </c>
      <c r="W37" s="9" t="str">
        <f t="shared" si="18"/>
        <v/>
      </c>
      <c r="X37" s="10">
        <f>SUM(V$13:V37)/COUNTA(B$13:B37)</f>
        <v>0</v>
      </c>
      <c r="Z37" s="5"/>
      <c r="AA37" s="5"/>
      <c r="AC37" s="7"/>
      <c r="AE37" s="54" t="e">
        <f t="shared" si="5"/>
        <v>#N/A</v>
      </c>
      <c r="AF37" s="4" t="e">
        <f t="shared" si="1"/>
        <v>#N/A</v>
      </c>
      <c r="BF37" s="100" t="str">
        <f>BB22</f>
        <v>n/a</v>
      </c>
      <c r="BG37" s="101" t="s">
        <v>42</v>
      </c>
    </row>
    <row r="38" spans="2:59">
      <c r="B38" s="5">
        <f t="shared" si="6"/>
        <v>26</v>
      </c>
      <c r="C38" s="5"/>
      <c r="E38" s="13"/>
      <c r="F38" s="5"/>
      <c r="G38" s="11" t="str">
        <f>IF(ISERROR(AVERAGE(F$13:F38)),"n/a",AVERAGE(F$13:F38))</f>
        <v>n/a</v>
      </c>
      <c r="H38" s="11" t="str">
        <f t="shared" si="2"/>
        <v>n/a</v>
      </c>
      <c r="J38" s="5"/>
      <c r="K38" s="5"/>
      <c r="L38" s="5"/>
      <c r="M38" s="5"/>
      <c r="N38" s="5"/>
      <c r="O38" s="8" t="str">
        <f t="shared" si="0"/>
        <v>n/a</v>
      </c>
      <c r="Q38" s="5"/>
      <c r="R38" s="5"/>
      <c r="S38" s="5"/>
      <c r="U38" s="6"/>
      <c r="V38" s="9" t="str">
        <f t="shared" si="17"/>
        <v/>
      </c>
      <c r="W38" s="9" t="str">
        <f t="shared" si="18"/>
        <v/>
      </c>
      <c r="X38" s="10">
        <f>SUM(V$13:V38)/COUNTA(B$13:B38)</f>
        <v>0</v>
      </c>
      <c r="Z38" s="5"/>
      <c r="AA38" s="5"/>
      <c r="AC38" s="7"/>
      <c r="AE38" s="54" t="e">
        <f t="shared" si="5"/>
        <v>#N/A</v>
      </c>
      <c r="AF38" s="4" t="e">
        <f t="shared" si="1"/>
        <v>#N/A</v>
      </c>
      <c r="BF38" s="100" t="str">
        <f>BB25</f>
        <v>n/a</v>
      </c>
      <c r="BG38" s="101" t="s">
        <v>43</v>
      </c>
    </row>
    <row r="39" spans="2:59">
      <c r="B39" s="5">
        <f t="shared" si="6"/>
        <v>27</v>
      </c>
      <c r="C39" s="5"/>
      <c r="E39" s="13"/>
      <c r="F39" s="5"/>
      <c r="G39" s="11" t="str">
        <f>IF(ISERROR(AVERAGE(F$13:F39)),"n/a",AVERAGE(F$13:F39))</f>
        <v>n/a</v>
      </c>
      <c r="H39" s="11" t="str">
        <f t="shared" si="2"/>
        <v>n/a</v>
      </c>
      <c r="J39" s="5"/>
      <c r="K39" s="5"/>
      <c r="L39" s="5"/>
      <c r="M39" s="5"/>
      <c r="N39" s="5"/>
      <c r="O39" s="8" t="str">
        <f t="shared" si="0"/>
        <v>n/a</v>
      </c>
      <c r="Q39" s="5"/>
      <c r="R39" s="5"/>
      <c r="S39" s="5"/>
      <c r="U39" s="6"/>
      <c r="V39" s="9" t="str">
        <f t="shared" si="17"/>
        <v/>
      </c>
      <c r="W39" s="9" t="str">
        <f t="shared" si="18"/>
        <v/>
      </c>
      <c r="X39" s="10">
        <f>SUM(V$13:V39)/COUNTA(B$13:B39)</f>
        <v>0</v>
      </c>
      <c r="Z39" s="5"/>
      <c r="AA39" s="5"/>
      <c r="AC39" s="7"/>
      <c r="AE39" s="54" t="e">
        <f t="shared" si="5"/>
        <v>#N/A</v>
      </c>
      <c r="AF39" s="4" t="e">
        <f t="shared" si="1"/>
        <v>#N/A</v>
      </c>
      <c r="BF39" s="100" t="str">
        <f>BB28</f>
        <v>n/a</v>
      </c>
      <c r="BG39" s="101" t="s">
        <v>46</v>
      </c>
    </row>
    <row r="40" spans="2:59">
      <c r="B40" s="5">
        <f t="shared" si="6"/>
        <v>28</v>
      </c>
      <c r="C40" s="5"/>
      <c r="E40" s="13"/>
      <c r="F40" s="5"/>
      <c r="G40" s="11" t="str">
        <f>IF(ISERROR(AVERAGE(F$13:F40)),"n/a",AVERAGE(F$13:F40))</f>
        <v>n/a</v>
      </c>
      <c r="H40" s="11" t="str">
        <f t="shared" si="2"/>
        <v>n/a</v>
      </c>
      <c r="J40" s="5"/>
      <c r="K40" s="5"/>
      <c r="L40" s="5"/>
      <c r="M40" s="5"/>
      <c r="N40" s="5"/>
      <c r="O40" s="8" t="str">
        <f t="shared" si="0"/>
        <v>n/a</v>
      </c>
      <c r="Q40" s="5"/>
      <c r="R40" s="5"/>
      <c r="S40" s="5"/>
      <c r="U40" s="6"/>
      <c r="V40" s="9" t="str">
        <f t="shared" si="17"/>
        <v/>
      </c>
      <c r="W40" s="9" t="str">
        <f t="shared" si="18"/>
        <v/>
      </c>
      <c r="X40" s="10">
        <f>SUM(V$13:V40)/COUNTA(B$13:B40)</f>
        <v>0</v>
      </c>
      <c r="Z40" s="5"/>
      <c r="AA40" s="5"/>
      <c r="AC40" s="7"/>
      <c r="AE40" s="54" t="e">
        <f t="shared" si="5"/>
        <v>#N/A</v>
      </c>
      <c r="AF40" s="4" t="e">
        <f t="shared" si="1"/>
        <v>#N/A</v>
      </c>
      <c r="BF40" s="100" t="str">
        <f>BB31</f>
        <v>n/a</v>
      </c>
      <c r="BG40" s="101" t="s">
        <v>44</v>
      </c>
    </row>
    <row r="41" spans="2:59">
      <c r="B41" s="5">
        <f t="shared" si="6"/>
        <v>29</v>
      </c>
      <c r="C41" s="5"/>
      <c r="E41" s="13"/>
      <c r="F41" s="5"/>
      <c r="G41" s="11" t="str">
        <f>IF(ISERROR(AVERAGE(F$13:F41)),"n/a",AVERAGE(F$13:F41))</f>
        <v>n/a</v>
      </c>
      <c r="H41" s="11" t="str">
        <f>G41</f>
        <v>n/a</v>
      </c>
      <c r="J41" s="5"/>
      <c r="K41" s="5"/>
      <c r="L41" s="5"/>
      <c r="M41" s="5"/>
      <c r="N41" s="5"/>
      <c r="O41" s="8" t="str">
        <f t="shared" si="0"/>
        <v>n/a</v>
      </c>
      <c r="Q41" s="5"/>
      <c r="R41" s="5"/>
      <c r="S41" s="5"/>
      <c r="U41" s="6"/>
      <c r="V41" s="9" t="str">
        <f>IF(O41="n/a","",IF(O41=U41,1,""))</f>
        <v/>
      </c>
      <c r="W41" s="9" t="str">
        <f>IF(O41="n/a","",IF(O41&lt;&gt;U41,1,""))</f>
        <v/>
      </c>
      <c r="X41" s="10">
        <f>SUM(V$13:V41)/COUNTA(B$13:B41)</f>
        <v>0</v>
      </c>
      <c r="Z41" s="5"/>
      <c r="AA41" s="5"/>
      <c r="AC41" s="7"/>
      <c r="AE41" s="54" t="e">
        <f t="shared" si="5"/>
        <v>#N/A</v>
      </c>
      <c r="AF41" s="4" t="e">
        <f t="shared" si="1"/>
        <v>#N/A</v>
      </c>
      <c r="BF41" s="100" t="str">
        <f>BB34</f>
        <v>n/a</v>
      </c>
      <c r="BG41" s="101" t="s">
        <v>45</v>
      </c>
    </row>
    <row r="42" spans="2:59">
      <c r="B42" s="5">
        <f t="shared" si="6"/>
        <v>30</v>
      </c>
      <c r="C42" s="5"/>
      <c r="E42" s="13"/>
      <c r="F42" s="5"/>
      <c r="G42" s="11" t="str">
        <f>IF(ISERROR(AVERAGE(F$13:F42)),"n/a",AVERAGE(F$13:F42))</f>
        <v>n/a</v>
      </c>
      <c r="H42" s="11" t="str">
        <f t="shared" si="2"/>
        <v>n/a</v>
      </c>
      <c r="J42" s="5"/>
      <c r="K42" s="5"/>
      <c r="L42" s="5"/>
      <c r="M42" s="5"/>
      <c r="N42" s="5"/>
      <c r="O42" s="8" t="str">
        <f t="shared" si="0"/>
        <v>n/a</v>
      </c>
      <c r="Q42" s="5"/>
      <c r="R42" s="5"/>
      <c r="S42" s="5"/>
      <c r="U42" s="6"/>
      <c r="V42" s="9" t="str">
        <f t="shared" ref="V42:V47" si="20">IF(O42="n/a","",IF(O42=U42,1,""))</f>
        <v/>
      </c>
      <c r="W42" s="9" t="str">
        <f t="shared" ref="W42:W47" si="21">IF(O42="n/a","",IF(O42&lt;&gt;U42,1,""))</f>
        <v/>
      </c>
      <c r="X42" s="10">
        <f>SUM(V$13:V42)/COUNTA(B$13:B42)</f>
        <v>0</v>
      </c>
      <c r="Z42" s="5"/>
      <c r="AA42" s="5"/>
      <c r="AC42" s="7"/>
      <c r="AE42" s="54" t="e">
        <f t="shared" si="5"/>
        <v>#N/A</v>
      </c>
      <c r="AF42" s="4" t="e">
        <f t="shared" si="1"/>
        <v>#N/A</v>
      </c>
    </row>
    <row r="43" spans="2:59">
      <c r="B43" s="5">
        <f t="shared" si="6"/>
        <v>31</v>
      </c>
      <c r="C43" s="5"/>
      <c r="E43" s="13"/>
      <c r="F43" s="5"/>
      <c r="G43" s="11" t="str">
        <f>IF(ISERROR(AVERAGE(F$13:F43)),"n/a",AVERAGE(F$13:F43))</f>
        <v>n/a</v>
      </c>
      <c r="H43" s="11" t="str">
        <f t="shared" si="2"/>
        <v>n/a</v>
      </c>
      <c r="J43" s="5"/>
      <c r="K43" s="5"/>
      <c r="L43" s="5"/>
      <c r="M43" s="5"/>
      <c r="N43" s="5"/>
      <c r="O43" s="8" t="str">
        <f t="shared" si="0"/>
        <v>n/a</v>
      </c>
      <c r="Q43" s="5"/>
      <c r="R43" s="5"/>
      <c r="S43" s="5"/>
      <c r="U43" s="6"/>
      <c r="V43" s="9" t="str">
        <f t="shared" si="20"/>
        <v/>
      </c>
      <c r="W43" s="9" t="str">
        <f t="shared" si="21"/>
        <v/>
      </c>
      <c r="X43" s="10">
        <f>SUM(V$13:V43)/COUNTA(B$13:B43)</f>
        <v>0</v>
      </c>
      <c r="Z43" s="5"/>
      <c r="AA43" s="5"/>
      <c r="AC43" s="7"/>
      <c r="AE43" s="54" t="e">
        <f t="shared" si="5"/>
        <v>#N/A</v>
      </c>
      <c r="AF43" s="4" t="e">
        <f t="shared" si="1"/>
        <v>#N/A</v>
      </c>
      <c r="BF43" s="114" t="str">
        <f t="shared" ref="BF43" si="22">F1015</f>
        <v>n/a</v>
      </c>
      <c r="BG43" s="101" t="str">
        <f t="shared" ref="BG43:BG48" si="23">BG36</f>
        <v>Total</v>
      </c>
    </row>
    <row r="44" spans="2:59">
      <c r="B44" s="5">
        <f t="shared" si="6"/>
        <v>32</v>
      </c>
      <c r="C44" s="5"/>
      <c r="E44" s="13"/>
      <c r="F44" s="5"/>
      <c r="G44" s="11" t="str">
        <f>IF(ISERROR(AVERAGE(F$13:F44)),"n/a",AVERAGE(F$13:F44))</f>
        <v>n/a</v>
      </c>
      <c r="H44" s="11" t="str">
        <f t="shared" si="2"/>
        <v>n/a</v>
      </c>
      <c r="J44" s="5"/>
      <c r="K44" s="5"/>
      <c r="L44" s="5"/>
      <c r="M44" s="5"/>
      <c r="N44" s="5"/>
      <c r="O44" s="8" t="str">
        <f t="shared" si="0"/>
        <v>n/a</v>
      </c>
      <c r="Q44" s="5"/>
      <c r="R44" s="5"/>
      <c r="S44" s="5"/>
      <c r="U44" s="6"/>
      <c r="V44" s="9" t="str">
        <f t="shared" si="20"/>
        <v/>
      </c>
      <c r="W44" s="9" t="str">
        <f t="shared" si="21"/>
        <v/>
      </c>
      <c r="X44" s="10">
        <f>SUM(V$13:V44)/COUNTA(B$13:B44)</f>
        <v>0</v>
      </c>
      <c r="Z44" s="5"/>
      <c r="AA44" s="5"/>
      <c r="AC44" s="7"/>
      <c r="AE44" s="54" t="e">
        <f t="shared" si="5"/>
        <v>#N/A</v>
      </c>
      <c r="AF44" s="4" t="e">
        <f t="shared" si="1"/>
        <v>#N/A</v>
      </c>
      <c r="BF44" s="114" t="str">
        <f>F1017</f>
        <v>n/a</v>
      </c>
      <c r="BG44" s="101" t="str">
        <f t="shared" si="23"/>
        <v>PS</v>
      </c>
    </row>
    <row r="45" spans="2:59">
      <c r="B45" s="5">
        <f t="shared" si="6"/>
        <v>33</v>
      </c>
      <c r="C45" s="5"/>
      <c r="E45" s="13"/>
      <c r="F45" s="5"/>
      <c r="G45" s="11" t="str">
        <f>IF(ISERROR(AVERAGE(F$13:F45)),"n/a",AVERAGE(F$13:F45))</f>
        <v>n/a</v>
      </c>
      <c r="H45" s="11" t="str">
        <f t="shared" si="2"/>
        <v>n/a</v>
      </c>
      <c r="J45" s="5"/>
      <c r="K45" s="5"/>
      <c r="L45" s="5"/>
      <c r="M45" s="5"/>
      <c r="N45" s="5"/>
      <c r="O45" s="8" t="str">
        <f t="shared" si="0"/>
        <v>n/a</v>
      </c>
      <c r="Q45" s="5"/>
      <c r="R45" s="5"/>
      <c r="S45" s="5"/>
      <c r="U45" s="6"/>
      <c r="V45" s="9" t="str">
        <f t="shared" si="20"/>
        <v/>
      </c>
      <c r="W45" s="9" t="str">
        <f t="shared" si="21"/>
        <v/>
      </c>
      <c r="X45" s="10">
        <f>SUM(V$13:V45)/COUNTA(B$13:B45)</f>
        <v>0</v>
      </c>
      <c r="Z45" s="5"/>
      <c r="AA45" s="5"/>
      <c r="AC45" s="7"/>
      <c r="AE45" s="54" t="e">
        <f t="shared" si="5"/>
        <v>#N/A</v>
      </c>
      <c r="AF45" s="4" t="e">
        <f t="shared" si="1"/>
        <v>#N/A</v>
      </c>
      <c r="BF45" s="114" t="str">
        <f>F1018</f>
        <v>n/a</v>
      </c>
      <c r="BG45" s="101" t="str">
        <f t="shared" si="23"/>
        <v>DS</v>
      </c>
    </row>
    <row r="46" spans="2:59">
      <c r="B46" s="5">
        <f t="shared" si="6"/>
        <v>34</v>
      </c>
      <c r="C46" s="5"/>
      <c r="E46" s="13"/>
      <c r="F46" s="5"/>
      <c r="G46" s="11" t="str">
        <f>IF(ISERROR(AVERAGE(F$13:F46)),"n/a",AVERAGE(F$13:F46))</f>
        <v>n/a</v>
      </c>
      <c r="H46" s="11" t="str">
        <f t="shared" si="2"/>
        <v>n/a</v>
      </c>
      <c r="J46" s="5"/>
      <c r="K46" s="5"/>
      <c r="L46" s="5"/>
      <c r="M46" s="5"/>
      <c r="N46" s="5"/>
      <c r="O46" s="8" t="str">
        <f t="shared" si="0"/>
        <v>n/a</v>
      </c>
      <c r="Q46" s="5"/>
      <c r="R46" s="5"/>
      <c r="S46" s="5"/>
      <c r="U46" s="6"/>
      <c r="V46" s="9" t="str">
        <f t="shared" si="20"/>
        <v/>
      </c>
      <c r="W46" s="9" t="str">
        <f t="shared" si="21"/>
        <v/>
      </c>
      <c r="X46" s="10">
        <f>SUM(V$13:V46)/COUNTA(B$13:B46)</f>
        <v>0</v>
      </c>
      <c r="Z46" s="5"/>
      <c r="AA46" s="5"/>
      <c r="AC46" s="7"/>
      <c r="AE46" s="54" t="e">
        <f t="shared" si="5"/>
        <v>#N/A</v>
      </c>
      <c r="AF46" s="4" t="e">
        <f t="shared" si="1"/>
        <v>#N/A</v>
      </c>
      <c r="BF46" s="114" t="str">
        <f>F1019</f>
        <v>n/a</v>
      </c>
      <c r="BG46" s="101" t="str">
        <f t="shared" si="23"/>
        <v>RC</v>
      </c>
    </row>
    <row r="47" spans="2:59">
      <c r="B47" s="5">
        <f t="shared" si="6"/>
        <v>35</v>
      </c>
      <c r="C47" s="5"/>
      <c r="E47" s="13"/>
      <c r="F47" s="5"/>
      <c r="G47" s="11" t="str">
        <f>IF(ISERROR(AVERAGE(F$13:F47)),"n/a",AVERAGE(F$13:F47))</f>
        <v>n/a</v>
      </c>
      <c r="H47" s="11" t="str">
        <f t="shared" si="2"/>
        <v>n/a</v>
      </c>
      <c r="J47" s="5"/>
      <c r="K47" s="5"/>
      <c r="L47" s="5"/>
      <c r="M47" s="5"/>
      <c r="N47" s="5"/>
      <c r="O47" s="8" t="str">
        <f t="shared" si="0"/>
        <v>n/a</v>
      </c>
      <c r="Q47" s="5"/>
      <c r="R47" s="5"/>
      <c r="S47" s="5"/>
      <c r="U47" s="6"/>
      <c r="V47" s="9" t="str">
        <f t="shared" si="20"/>
        <v/>
      </c>
      <c r="W47" s="9" t="str">
        <f t="shared" si="21"/>
        <v/>
      </c>
      <c r="X47" s="10">
        <f>SUM(V$13:V47)/COUNTA(B$13:B47)</f>
        <v>0</v>
      </c>
      <c r="Z47" s="5"/>
      <c r="AA47" s="5"/>
      <c r="AC47" s="7"/>
      <c r="AE47" s="54" t="e">
        <f t="shared" si="5"/>
        <v>#N/A</v>
      </c>
      <c r="AF47" s="4" t="e">
        <f t="shared" si="1"/>
        <v>#N/A</v>
      </c>
      <c r="BF47" s="114" t="str">
        <f>F1020</f>
        <v>n/a</v>
      </c>
      <c r="BG47" s="101" t="str">
        <f t="shared" si="23"/>
        <v>CR</v>
      </c>
    </row>
    <row r="48" spans="2:59">
      <c r="B48" s="5">
        <f t="shared" si="6"/>
        <v>36</v>
      </c>
      <c r="C48" s="5"/>
      <c r="E48" s="13"/>
      <c r="F48" s="5"/>
      <c r="G48" s="11" t="str">
        <f>IF(ISERROR(AVERAGE(F$13:F48)),"n/a",AVERAGE(F$13:F48))</f>
        <v>n/a</v>
      </c>
      <c r="H48" s="11" t="str">
        <f t="shared" si="2"/>
        <v>n/a</v>
      </c>
      <c r="J48" s="5"/>
      <c r="K48" s="5"/>
      <c r="L48" s="5"/>
      <c r="M48" s="5"/>
      <c r="N48" s="5"/>
      <c r="O48" s="8" t="str">
        <f t="shared" si="0"/>
        <v>n/a</v>
      </c>
      <c r="Q48" s="5"/>
      <c r="R48" s="5"/>
      <c r="S48" s="5"/>
      <c r="U48" s="6"/>
      <c r="V48" s="9" t="str">
        <f t="shared" si="3"/>
        <v/>
      </c>
      <c r="W48" s="9" t="str">
        <f t="shared" si="4"/>
        <v/>
      </c>
      <c r="X48" s="10">
        <f>SUM(V$13:V48)/COUNTA(B$13:B48)</f>
        <v>0</v>
      </c>
      <c r="Z48" s="5"/>
      <c r="AA48" s="5"/>
      <c r="AC48" s="7"/>
      <c r="AE48" s="54" t="e">
        <f t="shared" si="5"/>
        <v>#N/A</v>
      </c>
      <c r="AF48" s="4" t="e">
        <f t="shared" si="1"/>
        <v>#N/A</v>
      </c>
      <c r="BF48" s="114" t="str">
        <f>F1021</f>
        <v>n/a</v>
      </c>
      <c r="BG48" s="101" t="str">
        <f t="shared" si="23"/>
        <v>SC</v>
      </c>
    </row>
    <row r="49" spans="2:32">
      <c r="B49" s="5">
        <f t="shared" si="6"/>
        <v>37</v>
      </c>
      <c r="C49" s="5"/>
      <c r="E49" s="13"/>
      <c r="F49" s="5"/>
      <c r="G49" s="11" t="str">
        <f>IF(ISERROR(AVERAGE(F$13:F49)),"n/a",AVERAGE(F$13:F49))</f>
        <v>n/a</v>
      </c>
      <c r="H49" s="11" t="str">
        <f t="shared" si="2"/>
        <v>n/a</v>
      </c>
      <c r="J49" s="5"/>
      <c r="K49" s="5"/>
      <c r="L49" s="5"/>
      <c r="M49" s="5"/>
      <c r="N49" s="5"/>
      <c r="O49" s="8" t="str">
        <f t="shared" si="0"/>
        <v>n/a</v>
      </c>
      <c r="Q49" s="5"/>
      <c r="R49" s="5"/>
      <c r="S49" s="5"/>
      <c r="U49" s="6"/>
      <c r="V49" s="9" t="str">
        <f t="shared" si="3"/>
        <v/>
      </c>
      <c r="W49" s="9" t="str">
        <f t="shared" si="4"/>
        <v/>
      </c>
      <c r="X49" s="10">
        <f>SUM(V$13:V49)/COUNTA(B$13:B49)</f>
        <v>0</v>
      </c>
      <c r="Z49" s="5"/>
      <c r="AA49" s="5"/>
      <c r="AC49" s="7"/>
      <c r="AE49" s="54" t="e">
        <f t="shared" si="5"/>
        <v>#N/A</v>
      </c>
      <c r="AF49" s="4" t="e">
        <f t="shared" si="1"/>
        <v>#N/A</v>
      </c>
    </row>
    <row r="50" spans="2:32">
      <c r="B50" s="5">
        <f t="shared" si="6"/>
        <v>38</v>
      </c>
      <c r="C50" s="5"/>
      <c r="E50" s="13"/>
      <c r="F50" s="5"/>
      <c r="G50" s="11" t="str">
        <f>IF(ISERROR(AVERAGE(F$13:F50)),"n/a",AVERAGE(F$13:F50))</f>
        <v>n/a</v>
      </c>
      <c r="H50" s="11" t="str">
        <f t="shared" si="2"/>
        <v>n/a</v>
      </c>
      <c r="J50" s="5"/>
      <c r="K50" s="5"/>
      <c r="L50" s="5"/>
      <c r="M50" s="5"/>
      <c r="N50" s="5"/>
      <c r="O50" s="8" t="str">
        <f t="shared" si="0"/>
        <v>n/a</v>
      </c>
      <c r="Q50" s="5"/>
      <c r="R50" s="5"/>
      <c r="S50" s="5"/>
      <c r="U50" s="6"/>
      <c r="V50" s="9" t="str">
        <f t="shared" si="3"/>
        <v/>
      </c>
      <c r="W50" s="9" t="str">
        <f t="shared" si="4"/>
        <v/>
      </c>
      <c r="X50" s="10">
        <f>SUM(V$13:V50)/COUNTA(B$13:B50)</f>
        <v>0</v>
      </c>
      <c r="Z50" s="5"/>
      <c r="AA50" s="5"/>
      <c r="AC50" s="7"/>
      <c r="AE50" s="54" t="e">
        <f t="shared" si="5"/>
        <v>#N/A</v>
      </c>
      <c r="AF50" s="4" t="e">
        <f t="shared" si="1"/>
        <v>#N/A</v>
      </c>
    </row>
    <row r="51" spans="2:32">
      <c r="B51" s="5">
        <f t="shared" si="6"/>
        <v>39</v>
      </c>
      <c r="C51" s="5"/>
      <c r="E51" s="13"/>
      <c r="F51" s="5"/>
      <c r="G51" s="11" t="str">
        <f>IF(ISERROR(AVERAGE(F$13:F51)),"n/a",AVERAGE(F$13:F51))</f>
        <v>n/a</v>
      </c>
      <c r="H51" s="11" t="str">
        <f t="shared" si="2"/>
        <v>n/a</v>
      </c>
      <c r="J51" s="5"/>
      <c r="K51" s="5"/>
      <c r="L51" s="5"/>
      <c r="M51" s="5"/>
      <c r="N51" s="5"/>
      <c r="O51" s="8" t="str">
        <f t="shared" si="0"/>
        <v>n/a</v>
      </c>
      <c r="Q51" s="5"/>
      <c r="R51" s="5"/>
      <c r="S51" s="5"/>
      <c r="U51" s="6"/>
      <c r="V51" s="9" t="str">
        <f t="shared" si="3"/>
        <v/>
      </c>
      <c r="W51" s="9" t="str">
        <f t="shared" si="4"/>
        <v/>
      </c>
      <c r="X51" s="10">
        <f>SUM(V$13:V51)/COUNTA(B$13:B51)</f>
        <v>0</v>
      </c>
      <c r="Z51" s="5"/>
      <c r="AA51" s="5"/>
      <c r="AC51" s="7"/>
      <c r="AE51" s="54" t="e">
        <f t="shared" si="5"/>
        <v>#N/A</v>
      </c>
      <c r="AF51" s="4" t="e">
        <f t="shared" si="1"/>
        <v>#N/A</v>
      </c>
    </row>
    <row r="52" spans="2:32">
      <c r="B52" s="5">
        <f t="shared" si="6"/>
        <v>40</v>
      </c>
      <c r="C52" s="5"/>
      <c r="E52" s="13"/>
      <c r="F52" s="5"/>
      <c r="G52" s="11" t="str">
        <f>IF(ISERROR(AVERAGE(F$13:F52)),"n/a",AVERAGE(F$13:F52))</f>
        <v>n/a</v>
      </c>
      <c r="H52" s="11" t="str">
        <f t="shared" si="2"/>
        <v>n/a</v>
      </c>
      <c r="J52" s="5"/>
      <c r="K52" s="5"/>
      <c r="L52" s="5"/>
      <c r="M52" s="5"/>
      <c r="N52" s="5"/>
      <c r="O52" s="8" t="str">
        <f t="shared" si="0"/>
        <v>n/a</v>
      </c>
      <c r="Q52" s="5"/>
      <c r="R52" s="5"/>
      <c r="S52" s="5"/>
      <c r="U52" s="6"/>
      <c r="V52" s="9" t="str">
        <f t="shared" si="3"/>
        <v/>
      </c>
      <c r="W52" s="9" t="str">
        <f t="shared" si="4"/>
        <v/>
      </c>
      <c r="X52" s="10">
        <f>SUM(V$13:V52)/COUNTA(B$13:B52)</f>
        <v>0</v>
      </c>
      <c r="Z52" s="5"/>
      <c r="AA52" s="5"/>
      <c r="AC52" s="7"/>
      <c r="AE52" s="54" t="e">
        <f t="shared" si="5"/>
        <v>#N/A</v>
      </c>
      <c r="AF52" s="4" t="e">
        <f t="shared" si="1"/>
        <v>#N/A</v>
      </c>
    </row>
    <row r="53" spans="2:32">
      <c r="B53" s="5">
        <f t="shared" si="6"/>
        <v>41</v>
      </c>
      <c r="C53" s="5"/>
      <c r="E53" s="13"/>
      <c r="F53" s="5"/>
      <c r="G53" s="11" t="str">
        <f>IF(ISERROR(AVERAGE(F$13:F53)),"n/a",AVERAGE(F$13:F53))</f>
        <v>n/a</v>
      </c>
      <c r="H53" s="11" t="str">
        <f t="shared" si="2"/>
        <v>n/a</v>
      </c>
      <c r="J53" s="5"/>
      <c r="K53" s="5"/>
      <c r="L53" s="5"/>
      <c r="M53" s="5"/>
      <c r="N53" s="5"/>
      <c r="O53" s="8" t="str">
        <f t="shared" si="0"/>
        <v>n/a</v>
      </c>
      <c r="Q53" s="5"/>
      <c r="R53" s="5"/>
      <c r="S53" s="5"/>
      <c r="U53" s="6"/>
      <c r="V53" s="9" t="str">
        <f t="shared" si="3"/>
        <v/>
      </c>
      <c r="W53" s="9" t="str">
        <f t="shared" si="4"/>
        <v/>
      </c>
      <c r="X53" s="10">
        <f>SUM(V$13:V53)/COUNTA(B$13:B53)</f>
        <v>0</v>
      </c>
      <c r="Z53" s="5"/>
      <c r="AA53" s="5"/>
      <c r="AC53" s="7"/>
      <c r="AE53" s="54" t="e">
        <f t="shared" si="5"/>
        <v>#N/A</v>
      </c>
      <c r="AF53" s="4" t="e">
        <f t="shared" si="1"/>
        <v>#N/A</v>
      </c>
    </row>
    <row r="54" spans="2:32">
      <c r="B54" s="5">
        <f t="shared" si="6"/>
        <v>42</v>
      </c>
      <c r="C54" s="5"/>
      <c r="E54" s="13"/>
      <c r="F54" s="5"/>
      <c r="G54" s="11" t="str">
        <f>IF(ISERROR(AVERAGE(F$13:F54)),"n/a",AVERAGE(F$13:F54))</f>
        <v>n/a</v>
      </c>
      <c r="H54" s="11" t="str">
        <f t="shared" si="2"/>
        <v>n/a</v>
      </c>
      <c r="J54" s="5"/>
      <c r="K54" s="5"/>
      <c r="L54" s="5"/>
      <c r="M54" s="5"/>
      <c r="N54" s="5"/>
      <c r="O54" s="8" t="str">
        <f t="shared" si="0"/>
        <v>n/a</v>
      </c>
      <c r="Q54" s="5"/>
      <c r="R54" s="5"/>
      <c r="S54" s="5"/>
      <c r="U54" s="6"/>
      <c r="V54" s="9" t="str">
        <f t="shared" si="3"/>
        <v/>
      </c>
      <c r="W54" s="9" t="str">
        <f t="shared" si="4"/>
        <v/>
      </c>
      <c r="X54" s="10">
        <f>SUM(V$13:V54)/COUNTA(B$13:B54)</f>
        <v>0</v>
      </c>
      <c r="Z54" s="5"/>
      <c r="AA54" s="5"/>
      <c r="AC54" s="7"/>
      <c r="AE54" s="54" t="e">
        <f t="shared" si="5"/>
        <v>#N/A</v>
      </c>
      <c r="AF54" s="4" t="e">
        <f t="shared" si="1"/>
        <v>#N/A</v>
      </c>
    </row>
    <row r="55" spans="2:32">
      <c r="B55" s="5">
        <f t="shared" si="6"/>
        <v>43</v>
      </c>
      <c r="C55" s="5"/>
      <c r="E55" s="13"/>
      <c r="F55" s="5"/>
      <c r="G55" s="11" t="str">
        <f>IF(ISERROR(AVERAGE(F$13:F55)),"n/a",AVERAGE(F$13:F55))</f>
        <v>n/a</v>
      </c>
      <c r="H55" s="11" t="str">
        <f t="shared" si="2"/>
        <v>n/a</v>
      </c>
      <c r="J55" s="5"/>
      <c r="K55" s="5"/>
      <c r="L55" s="5"/>
      <c r="M55" s="5"/>
      <c r="N55" s="5"/>
      <c r="O55" s="8" t="str">
        <f t="shared" si="0"/>
        <v>n/a</v>
      </c>
      <c r="Q55" s="5"/>
      <c r="R55" s="5"/>
      <c r="S55" s="5"/>
      <c r="U55" s="6"/>
      <c r="V55" s="9" t="str">
        <f t="shared" si="3"/>
        <v/>
      </c>
      <c r="W55" s="9" t="str">
        <f t="shared" si="4"/>
        <v/>
      </c>
      <c r="X55" s="10">
        <f>SUM(V$13:V55)/COUNTA(B$13:B55)</f>
        <v>0</v>
      </c>
      <c r="Z55" s="5"/>
      <c r="AA55" s="5"/>
      <c r="AC55" s="7"/>
      <c r="AE55" s="54" t="e">
        <f t="shared" si="5"/>
        <v>#N/A</v>
      </c>
      <c r="AF55" s="4" t="e">
        <f t="shared" si="1"/>
        <v>#N/A</v>
      </c>
    </row>
    <row r="56" spans="2:32">
      <c r="B56" s="5">
        <f t="shared" si="6"/>
        <v>44</v>
      </c>
      <c r="C56" s="5"/>
      <c r="E56" s="13"/>
      <c r="F56" s="5"/>
      <c r="G56" s="11" t="str">
        <f>IF(ISERROR(AVERAGE(F$13:F56)),"n/a",AVERAGE(F$13:F56))</f>
        <v>n/a</v>
      </c>
      <c r="H56" s="11" t="str">
        <f t="shared" si="2"/>
        <v>n/a</v>
      </c>
      <c r="J56" s="5"/>
      <c r="K56" s="5"/>
      <c r="L56" s="5"/>
      <c r="M56" s="5"/>
      <c r="N56" s="5"/>
      <c r="O56" s="8" t="str">
        <f t="shared" si="0"/>
        <v>n/a</v>
      </c>
      <c r="Q56" s="5"/>
      <c r="R56" s="5"/>
      <c r="S56" s="5"/>
      <c r="U56" s="6"/>
      <c r="V56" s="9" t="str">
        <f t="shared" si="3"/>
        <v/>
      </c>
      <c r="W56" s="9" t="str">
        <f t="shared" si="4"/>
        <v/>
      </c>
      <c r="X56" s="10">
        <f>SUM(V$13:V56)/COUNTA(B$13:B56)</f>
        <v>0</v>
      </c>
      <c r="Z56" s="5"/>
      <c r="AA56" s="5"/>
      <c r="AC56" s="7"/>
      <c r="AE56" s="54" t="e">
        <f t="shared" si="5"/>
        <v>#N/A</v>
      </c>
      <c r="AF56" s="4" t="e">
        <f t="shared" si="1"/>
        <v>#N/A</v>
      </c>
    </row>
    <row r="57" spans="2:32">
      <c r="B57" s="5">
        <f t="shared" si="6"/>
        <v>45</v>
      </c>
      <c r="C57" s="5"/>
      <c r="E57" s="13"/>
      <c r="F57" s="5"/>
      <c r="G57" s="11" t="str">
        <f>IF(ISERROR(AVERAGE(F$13:F57)),"n/a",AVERAGE(F$13:F57))</f>
        <v>n/a</v>
      </c>
      <c r="H57" s="11" t="str">
        <f t="shared" si="2"/>
        <v>n/a</v>
      </c>
      <c r="J57" s="5"/>
      <c r="K57" s="5"/>
      <c r="L57" s="5"/>
      <c r="M57" s="5"/>
      <c r="N57" s="5"/>
      <c r="O57" s="8" t="str">
        <f t="shared" si="0"/>
        <v>n/a</v>
      </c>
      <c r="Q57" s="5"/>
      <c r="R57" s="5"/>
      <c r="S57" s="5"/>
      <c r="U57" s="6"/>
      <c r="V57" s="9" t="str">
        <f t="shared" si="3"/>
        <v/>
      </c>
      <c r="W57" s="9" t="str">
        <f t="shared" si="4"/>
        <v/>
      </c>
      <c r="X57" s="10">
        <f>SUM(V$13:V57)/COUNTA(B$13:B57)</f>
        <v>0</v>
      </c>
      <c r="Z57" s="5"/>
      <c r="AA57" s="5"/>
      <c r="AC57" s="7"/>
      <c r="AE57" s="54" t="e">
        <f t="shared" si="5"/>
        <v>#N/A</v>
      </c>
      <c r="AF57" s="4" t="e">
        <f t="shared" si="1"/>
        <v>#N/A</v>
      </c>
    </row>
    <row r="58" spans="2:32">
      <c r="B58" s="5">
        <f t="shared" si="6"/>
        <v>46</v>
      </c>
      <c r="C58" s="5"/>
      <c r="E58" s="13"/>
      <c r="F58" s="5"/>
      <c r="G58" s="11" t="str">
        <f>IF(ISERROR(AVERAGE(F$13:F58)),"n/a",AVERAGE(F$13:F58))</f>
        <v>n/a</v>
      </c>
      <c r="H58" s="11" t="str">
        <f t="shared" si="2"/>
        <v>n/a</v>
      </c>
      <c r="J58" s="5"/>
      <c r="K58" s="5"/>
      <c r="L58" s="5"/>
      <c r="M58" s="5"/>
      <c r="N58" s="5"/>
      <c r="O58" s="8" t="str">
        <f t="shared" si="0"/>
        <v>n/a</v>
      </c>
      <c r="Q58" s="5"/>
      <c r="R58" s="5"/>
      <c r="S58" s="5"/>
      <c r="U58" s="6"/>
      <c r="V58" s="9" t="str">
        <f t="shared" si="3"/>
        <v/>
      </c>
      <c r="W58" s="9" t="str">
        <f t="shared" si="4"/>
        <v/>
      </c>
      <c r="X58" s="10">
        <f>SUM(V$13:V58)/COUNTA(B$13:B58)</f>
        <v>0</v>
      </c>
      <c r="Z58" s="5"/>
      <c r="AA58" s="5"/>
      <c r="AC58" s="7"/>
      <c r="AE58" s="54" t="e">
        <f t="shared" si="5"/>
        <v>#N/A</v>
      </c>
      <c r="AF58" s="4" t="e">
        <f t="shared" si="1"/>
        <v>#N/A</v>
      </c>
    </row>
    <row r="59" spans="2:32">
      <c r="B59" s="5">
        <f t="shared" si="6"/>
        <v>47</v>
      </c>
      <c r="C59" s="5"/>
      <c r="E59" s="13"/>
      <c r="F59" s="5"/>
      <c r="G59" s="11" t="str">
        <f>IF(ISERROR(AVERAGE(F$13:F59)),"n/a",AVERAGE(F$13:F59))</f>
        <v>n/a</v>
      </c>
      <c r="H59" s="11" t="str">
        <f t="shared" si="2"/>
        <v>n/a</v>
      </c>
      <c r="J59" s="5"/>
      <c r="K59" s="5"/>
      <c r="L59" s="5"/>
      <c r="M59" s="5"/>
      <c r="N59" s="5"/>
      <c r="O59" s="8" t="str">
        <f t="shared" si="0"/>
        <v>n/a</v>
      </c>
      <c r="Q59" s="5"/>
      <c r="R59" s="5"/>
      <c r="S59" s="5"/>
      <c r="U59" s="6"/>
      <c r="V59" s="9" t="str">
        <f t="shared" si="3"/>
        <v/>
      </c>
      <c r="W59" s="9" t="str">
        <f t="shared" si="4"/>
        <v/>
      </c>
      <c r="X59" s="10">
        <f>SUM(V$13:V59)/COUNTA(B$13:B59)</f>
        <v>0</v>
      </c>
      <c r="Z59" s="5"/>
      <c r="AA59" s="5"/>
      <c r="AC59" s="7"/>
      <c r="AE59" s="54" t="e">
        <f t="shared" si="5"/>
        <v>#N/A</v>
      </c>
      <c r="AF59" s="4" t="e">
        <f t="shared" si="1"/>
        <v>#N/A</v>
      </c>
    </row>
    <row r="60" spans="2:32">
      <c r="B60" s="5">
        <f t="shared" si="6"/>
        <v>48</v>
      </c>
      <c r="C60" s="5"/>
      <c r="E60" s="13"/>
      <c r="F60" s="5"/>
      <c r="G60" s="11" t="str">
        <f>IF(ISERROR(AVERAGE(F$13:F60)),"n/a",AVERAGE(F$13:F60))</f>
        <v>n/a</v>
      </c>
      <c r="H60" s="11" t="str">
        <f t="shared" si="2"/>
        <v>n/a</v>
      </c>
      <c r="J60" s="5"/>
      <c r="K60" s="5"/>
      <c r="L60" s="5"/>
      <c r="M60" s="5"/>
      <c r="N60" s="5"/>
      <c r="O60" s="8" t="str">
        <f t="shared" si="0"/>
        <v>n/a</v>
      </c>
      <c r="Q60" s="5"/>
      <c r="R60" s="5"/>
      <c r="S60" s="5"/>
      <c r="U60" s="6"/>
      <c r="V60" s="9" t="str">
        <f t="shared" si="3"/>
        <v/>
      </c>
      <c r="W60" s="9" t="str">
        <f t="shared" si="4"/>
        <v/>
      </c>
      <c r="X60" s="10">
        <f>SUM(V$13:V60)/COUNTA(B$13:B60)</f>
        <v>0</v>
      </c>
      <c r="Z60" s="5"/>
      <c r="AA60" s="5"/>
      <c r="AC60" s="7"/>
      <c r="AE60" s="54" t="e">
        <f t="shared" si="5"/>
        <v>#N/A</v>
      </c>
      <c r="AF60" s="4" t="e">
        <f t="shared" si="1"/>
        <v>#N/A</v>
      </c>
    </row>
    <row r="61" spans="2:32">
      <c r="B61" s="5">
        <f t="shared" si="6"/>
        <v>49</v>
      </c>
      <c r="C61" s="5"/>
      <c r="E61" s="13"/>
      <c r="F61" s="5"/>
      <c r="G61" s="11" t="str">
        <f>IF(ISERROR(AVERAGE(F$13:F61)),"n/a",AVERAGE(F$13:F61))</f>
        <v>n/a</v>
      </c>
      <c r="H61" s="11" t="str">
        <f t="shared" si="2"/>
        <v>n/a</v>
      </c>
      <c r="J61" s="5"/>
      <c r="K61" s="5"/>
      <c r="L61" s="5"/>
      <c r="M61" s="5"/>
      <c r="N61" s="5"/>
      <c r="O61" s="8" t="str">
        <f t="shared" si="0"/>
        <v>n/a</v>
      </c>
      <c r="Q61" s="5"/>
      <c r="R61" s="5"/>
      <c r="S61" s="5"/>
      <c r="U61" s="6"/>
      <c r="V61" s="9" t="str">
        <f t="shared" si="3"/>
        <v/>
      </c>
      <c r="W61" s="9" t="str">
        <f t="shared" si="4"/>
        <v/>
      </c>
      <c r="X61" s="10">
        <f>SUM(V$13:V61)/COUNTA(B$13:B61)</f>
        <v>0</v>
      </c>
      <c r="Z61" s="5"/>
      <c r="AA61" s="5"/>
      <c r="AC61" s="7"/>
      <c r="AE61" s="54" t="e">
        <f t="shared" si="5"/>
        <v>#N/A</v>
      </c>
      <c r="AF61" s="4" t="e">
        <f t="shared" si="1"/>
        <v>#N/A</v>
      </c>
    </row>
    <row r="62" spans="2:32">
      <c r="B62" s="5">
        <f t="shared" si="6"/>
        <v>50</v>
      </c>
      <c r="C62" s="5"/>
      <c r="E62" s="13"/>
      <c r="F62" s="5"/>
      <c r="G62" s="11" t="str">
        <f>IF(ISERROR(AVERAGE(F$13:F62)),"n/a",AVERAGE(F$13:F62))</f>
        <v>n/a</v>
      </c>
      <c r="H62" s="11" t="str">
        <f t="shared" si="2"/>
        <v>n/a</v>
      </c>
      <c r="J62" s="5"/>
      <c r="K62" s="5"/>
      <c r="L62" s="5"/>
      <c r="M62" s="5"/>
      <c r="N62" s="5"/>
      <c r="O62" s="8" t="str">
        <f t="shared" si="0"/>
        <v>n/a</v>
      </c>
      <c r="Q62" s="5"/>
      <c r="R62" s="5"/>
      <c r="S62" s="5"/>
      <c r="U62" s="6"/>
      <c r="V62" s="9" t="str">
        <f t="shared" si="3"/>
        <v/>
      </c>
      <c r="W62" s="9" t="str">
        <f t="shared" si="4"/>
        <v/>
      </c>
      <c r="X62" s="10">
        <f>SUM(V$13:V62)/COUNTA(B$13:B62)</f>
        <v>0</v>
      </c>
      <c r="Z62" s="5"/>
      <c r="AA62" s="5"/>
      <c r="AC62" s="7"/>
      <c r="AE62" s="54" t="e">
        <f t="shared" si="5"/>
        <v>#N/A</v>
      </c>
      <c r="AF62" s="4" t="e">
        <f t="shared" si="1"/>
        <v>#N/A</v>
      </c>
    </row>
    <row r="63" spans="2:32">
      <c r="B63" s="5">
        <f t="shared" si="6"/>
        <v>51</v>
      </c>
      <c r="C63" s="5"/>
      <c r="E63" s="13"/>
      <c r="F63" s="5"/>
      <c r="G63" s="11" t="str">
        <f>IF(ISERROR(AVERAGE(F$13:F63)),"n/a",AVERAGE(F$13:F63))</f>
        <v>n/a</v>
      </c>
      <c r="H63" s="11" t="str">
        <f t="shared" si="2"/>
        <v>n/a</v>
      </c>
      <c r="J63" s="5"/>
      <c r="K63" s="5"/>
      <c r="L63" s="5"/>
      <c r="M63" s="5"/>
      <c r="N63" s="5"/>
      <c r="O63" s="8" t="str">
        <f t="shared" si="0"/>
        <v>n/a</v>
      </c>
      <c r="Q63" s="5"/>
      <c r="R63" s="5"/>
      <c r="S63" s="5"/>
      <c r="U63" s="6"/>
      <c r="V63" s="9" t="str">
        <f t="shared" si="3"/>
        <v/>
      </c>
      <c r="W63" s="9" t="str">
        <f t="shared" si="4"/>
        <v/>
      </c>
      <c r="X63" s="10">
        <f>SUM(V$13:V63)/COUNTA(B$13:B63)</f>
        <v>0</v>
      </c>
      <c r="Z63" s="5"/>
      <c r="AA63" s="5"/>
      <c r="AC63" s="7"/>
      <c r="AE63" s="54" t="e">
        <f t="shared" si="5"/>
        <v>#N/A</v>
      </c>
      <c r="AF63" s="4" t="e">
        <f t="shared" si="1"/>
        <v>#N/A</v>
      </c>
    </row>
    <row r="64" spans="2:32">
      <c r="B64" s="5">
        <f t="shared" si="6"/>
        <v>52</v>
      </c>
      <c r="C64" s="5"/>
      <c r="E64" s="13"/>
      <c r="F64" s="5"/>
      <c r="G64" s="11" t="str">
        <f>IF(ISERROR(AVERAGE(F$13:F64)),"n/a",AVERAGE(F$13:F64))</f>
        <v>n/a</v>
      </c>
      <c r="H64" s="11" t="str">
        <f t="shared" si="2"/>
        <v>n/a</v>
      </c>
      <c r="J64" s="5"/>
      <c r="K64" s="5"/>
      <c r="L64" s="5"/>
      <c r="M64" s="5"/>
      <c r="N64" s="5"/>
      <c r="O64" s="8" t="str">
        <f t="shared" si="0"/>
        <v>n/a</v>
      </c>
      <c r="Q64" s="5"/>
      <c r="R64" s="5"/>
      <c r="S64" s="5"/>
      <c r="U64" s="6"/>
      <c r="V64" s="9" t="str">
        <f t="shared" si="3"/>
        <v/>
      </c>
      <c r="W64" s="9" t="str">
        <f t="shared" si="4"/>
        <v/>
      </c>
      <c r="X64" s="10">
        <f>SUM(V$13:V64)/COUNTA(B$13:B64)</f>
        <v>0</v>
      </c>
      <c r="Z64" s="5"/>
      <c r="AA64" s="5"/>
      <c r="AC64" s="7"/>
      <c r="AE64" s="54" t="e">
        <f t="shared" si="5"/>
        <v>#N/A</v>
      </c>
      <c r="AF64" s="4" t="e">
        <f t="shared" si="1"/>
        <v>#N/A</v>
      </c>
    </row>
    <row r="65" spans="2:32">
      <c r="B65" s="5">
        <f t="shared" si="6"/>
        <v>53</v>
      </c>
      <c r="C65" s="5"/>
      <c r="E65" s="13"/>
      <c r="F65" s="5"/>
      <c r="G65" s="11" t="str">
        <f>IF(ISERROR(AVERAGE(F$13:F65)),"n/a",AVERAGE(F$13:F65))</f>
        <v>n/a</v>
      </c>
      <c r="H65" s="11" t="str">
        <f t="shared" si="2"/>
        <v>n/a</v>
      </c>
      <c r="J65" s="5"/>
      <c r="K65" s="5"/>
      <c r="L65" s="5"/>
      <c r="M65" s="5"/>
      <c r="N65" s="5"/>
      <c r="O65" s="8" t="str">
        <f t="shared" si="0"/>
        <v>n/a</v>
      </c>
      <c r="Q65" s="5"/>
      <c r="R65" s="5"/>
      <c r="S65" s="5"/>
      <c r="U65" s="6"/>
      <c r="V65" s="9" t="str">
        <f t="shared" si="3"/>
        <v/>
      </c>
      <c r="W65" s="9" t="str">
        <f t="shared" si="4"/>
        <v/>
      </c>
      <c r="X65" s="10">
        <f>SUM(V$13:V65)/COUNTA(B$13:B65)</f>
        <v>0</v>
      </c>
      <c r="Z65" s="5"/>
      <c r="AA65" s="5"/>
      <c r="AC65" s="7"/>
      <c r="AE65" s="54" t="e">
        <f t="shared" si="5"/>
        <v>#N/A</v>
      </c>
      <c r="AF65" s="4" t="e">
        <f t="shared" si="1"/>
        <v>#N/A</v>
      </c>
    </row>
    <row r="66" spans="2:32">
      <c r="B66" s="5">
        <f t="shared" si="6"/>
        <v>54</v>
      </c>
      <c r="C66" s="5"/>
      <c r="E66" s="13"/>
      <c r="F66" s="5"/>
      <c r="G66" s="11" t="str">
        <f>IF(ISERROR(AVERAGE(F$13:F66)),"n/a",AVERAGE(F$13:F66))</f>
        <v>n/a</v>
      </c>
      <c r="H66" s="11" t="str">
        <f t="shared" si="2"/>
        <v>n/a</v>
      </c>
      <c r="J66" s="5"/>
      <c r="K66" s="5"/>
      <c r="L66" s="5"/>
      <c r="M66" s="5"/>
      <c r="N66" s="5"/>
      <c r="O66" s="8" t="str">
        <f t="shared" si="0"/>
        <v>n/a</v>
      </c>
      <c r="Q66" s="5"/>
      <c r="R66" s="5"/>
      <c r="S66" s="5"/>
      <c r="U66" s="6"/>
      <c r="V66" s="9" t="str">
        <f t="shared" si="3"/>
        <v/>
      </c>
      <c r="W66" s="9" t="str">
        <f t="shared" si="4"/>
        <v/>
      </c>
      <c r="X66" s="10">
        <f>SUM(V$13:V66)/COUNTA(B$13:B66)</f>
        <v>0</v>
      </c>
      <c r="Z66" s="5"/>
      <c r="AA66" s="5"/>
      <c r="AC66" s="7"/>
      <c r="AE66" s="54" t="e">
        <f t="shared" si="5"/>
        <v>#N/A</v>
      </c>
      <c r="AF66" s="4" t="e">
        <f t="shared" si="1"/>
        <v>#N/A</v>
      </c>
    </row>
    <row r="67" spans="2:32">
      <c r="B67" s="5">
        <f t="shared" si="6"/>
        <v>55</v>
      </c>
      <c r="C67" s="5"/>
      <c r="E67" s="13"/>
      <c r="F67" s="5"/>
      <c r="G67" s="11" t="str">
        <f>IF(ISERROR(AVERAGE(F$13:F67)),"n/a",AVERAGE(F$13:F67))</f>
        <v>n/a</v>
      </c>
      <c r="H67" s="11" t="str">
        <f t="shared" si="2"/>
        <v>n/a</v>
      </c>
      <c r="J67" s="5"/>
      <c r="K67" s="5"/>
      <c r="L67" s="5"/>
      <c r="M67" s="5"/>
      <c r="N67" s="5"/>
      <c r="O67" s="8" t="str">
        <f t="shared" si="0"/>
        <v>n/a</v>
      </c>
      <c r="Q67" s="5"/>
      <c r="R67" s="5"/>
      <c r="S67" s="5"/>
      <c r="U67" s="6"/>
      <c r="V67" s="9" t="str">
        <f t="shared" si="3"/>
        <v/>
      </c>
      <c r="W67" s="9" t="str">
        <f t="shared" si="4"/>
        <v/>
      </c>
      <c r="X67" s="10">
        <f>SUM(V$13:V67)/COUNTA(B$13:B67)</f>
        <v>0</v>
      </c>
      <c r="Z67" s="5"/>
      <c r="AA67" s="5"/>
      <c r="AC67" s="7"/>
      <c r="AE67" s="54" t="e">
        <f t="shared" si="5"/>
        <v>#N/A</v>
      </c>
      <c r="AF67" s="4" t="e">
        <f t="shared" si="1"/>
        <v>#N/A</v>
      </c>
    </row>
    <row r="68" spans="2:32">
      <c r="B68" s="5">
        <f t="shared" si="6"/>
        <v>56</v>
      </c>
      <c r="C68" s="5"/>
      <c r="E68" s="13"/>
      <c r="F68" s="5"/>
      <c r="G68" s="11" t="str">
        <f>IF(ISERROR(AVERAGE(F$13:F68)),"n/a",AVERAGE(F$13:F68))</f>
        <v>n/a</v>
      </c>
      <c r="H68" s="11" t="str">
        <f t="shared" si="2"/>
        <v>n/a</v>
      </c>
      <c r="J68" s="5"/>
      <c r="K68" s="5"/>
      <c r="L68" s="5"/>
      <c r="M68" s="5"/>
      <c r="N68" s="5"/>
      <c r="O68" s="8" t="str">
        <f t="shared" si="0"/>
        <v>n/a</v>
      </c>
      <c r="Q68" s="5"/>
      <c r="R68" s="5"/>
      <c r="S68" s="5"/>
      <c r="U68" s="6"/>
      <c r="V68" s="9" t="str">
        <f t="shared" si="3"/>
        <v/>
      </c>
      <c r="W68" s="9" t="str">
        <f t="shared" si="4"/>
        <v/>
      </c>
      <c r="X68" s="10">
        <f>SUM(V$13:V68)/COUNTA(B$13:B68)</f>
        <v>0</v>
      </c>
      <c r="Z68" s="5"/>
      <c r="AA68" s="5"/>
      <c r="AC68" s="7"/>
      <c r="AE68" s="54" t="e">
        <f t="shared" si="5"/>
        <v>#N/A</v>
      </c>
      <c r="AF68" s="4" t="e">
        <f t="shared" si="1"/>
        <v>#N/A</v>
      </c>
    </row>
    <row r="69" spans="2:32">
      <c r="B69" s="5">
        <f t="shared" si="6"/>
        <v>57</v>
      </c>
      <c r="C69" s="5"/>
      <c r="E69" s="13"/>
      <c r="F69" s="5"/>
      <c r="G69" s="11" t="str">
        <f>IF(ISERROR(AVERAGE(F$13:F69)),"n/a",AVERAGE(F$13:F69))</f>
        <v>n/a</v>
      </c>
      <c r="H69" s="11" t="str">
        <f t="shared" si="2"/>
        <v>n/a</v>
      </c>
      <c r="J69" s="5"/>
      <c r="K69" s="5"/>
      <c r="L69" s="5"/>
      <c r="M69" s="5"/>
      <c r="N69" s="5"/>
      <c r="O69" s="8" t="str">
        <f t="shared" si="0"/>
        <v>n/a</v>
      </c>
      <c r="Q69" s="5"/>
      <c r="R69" s="5"/>
      <c r="S69" s="5"/>
      <c r="U69" s="6"/>
      <c r="V69" s="9" t="str">
        <f t="shared" si="3"/>
        <v/>
      </c>
      <c r="W69" s="9" t="str">
        <f t="shared" si="4"/>
        <v/>
      </c>
      <c r="X69" s="10">
        <f>SUM(V$13:V69)/COUNTA(B$13:B69)</f>
        <v>0</v>
      </c>
      <c r="Z69" s="5"/>
      <c r="AA69" s="5"/>
      <c r="AC69" s="7"/>
      <c r="AE69" s="54" t="e">
        <f t="shared" si="5"/>
        <v>#N/A</v>
      </c>
      <c r="AF69" s="4" t="e">
        <f t="shared" si="1"/>
        <v>#N/A</v>
      </c>
    </row>
    <row r="70" spans="2:32">
      <c r="B70" s="5">
        <f t="shared" si="6"/>
        <v>58</v>
      </c>
      <c r="C70" s="5"/>
      <c r="E70" s="13"/>
      <c r="F70" s="5"/>
      <c r="G70" s="11" t="str">
        <f>IF(ISERROR(AVERAGE(F$13:F70)),"n/a",AVERAGE(F$13:F70))</f>
        <v>n/a</v>
      </c>
      <c r="H70" s="11" t="str">
        <f t="shared" si="2"/>
        <v>n/a</v>
      </c>
      <c r="J70" s="5"/>
      <c r="K70" s="5"/>
      <c r="L70" s="5"/>
      <c r="M70" s="5"/>
      <c r="N70" s="5"/>
      <c r="O70" s="8" t="str">
        <f t="shared" si="0"/>
        <v>n/a</v>
      </c>
      <c r="Q70" s="5"/>
      <c r="R70" s="5"/>
      <c r="S70" s="5"/>
      <c r="U70" s="6"/>
      <c r="V70" s="9" t="str">
        <f t="shared" si="3"/>
        <v/>
      </c>
      <c r="W70" s="9" t="str">
        <f t="shared" si="4"/>
        <v/>
      </c>
      <c r="X70" s="10">
        <f>SUM(V$13:V70)/COUNTA(B$13:B70)</f>
        <v>0</v>
      </c>
      <c r="Z70" s="5"/>
      <c r="AA70" s="5"/>
      <c r="AC70" s="7"/>
      <c r="AE70" s="54" t="e">
        <f t="shared" si="5"/>
        <v>#N/A</v>
      </c>
      <c r="AF70" s="4" t="e">
        <f t="shared" si="1"/>
        <v>#N/A</v>
      </c>
    </row>
    <row r="71" spans="2:32">
      <c r="B71" s="5">
        <f t="shared" si="6"/>
        <v>59</v>
      </c>
      <c r="C71" s="5"/>
      <c r="E71" s="13"/>
      <c r="F71" s="5"/>
      <c r="G71" s="11" t="str">
        <f>IF(ISERROR(AVERAGE(F$13:F71)),"n/a",AVERAGE(F$13:F71))</f>
        <v>n/a</v>
      </c>
      <c r="H71" s="11" t="str">
        <f t="shared" si="2"/>
        <v>n/a</v>
      </c>
      <c r="J71" s="5"/>
      <c r="K71" s="5"/>
      <c r="L71" s="5"/>
      <c r="M71" s="5"/>
      <c r="N71" s="5"/>
      <c r="O71" s="8" t="str">
        <f t="shared" si="0"/>
        <v>n/a</v>
      </c>
      <c r="Q71" s="5"/>
      <c r="R71" s="5"/>
      <c r="S71" s="5"/>
      <c r="U71" s="6"/>
      <c r="V71" s="9" t="str">
        <f t="shared" si="3"/>
        <v/>
      </c>
      <c r="W71" s="9" t="str">
        <f t="shared" si="4"/>
        <v/>
      </c>
      <c r="X71" s="10">
        <f>SUM(V$13:V71)/COUNTA(B$13:B71)</f>
        <v>0</v>
      </c>
      <c r="Z71" s="5"/>
      <c r="AA71" s="5"/>
      <c r="AC71" s="7"/>
      <c r="AE71" s="54" t="e">
        <f t="shared" si="5"/>
        <v>#N/A</v>
      </c>
      <c r="AF71" s="4" t="e">
        <f t="shared" si="1"/>
        <v>#N/A</v>
      </c>
    </row>
    <row r="72" spans="2:32">
      <c r="B72" s="5">
        <f t="shared" si="6"/>
        <v>60</v>
      </c>
      <c r="C72" s="5"/>
      <c r="E72" s="13"/>
      <c r="F72" s="5"/>
      <c r="G72" s="11" t="str">
        <f>IF(ISERROR(AVERAGE(F$13:F72)),"n/a",AVERAGE(F$13:F72))</f>
        <v>n/a</v>
      </c>
      <c r="H72" s="11" t="str">
        <f t="shared" si="2"/>
        <v>n/a</v>
      </c>
      <c r="J72" s="5"/>
      <c r="K72" s="5"/>
      <c r="L72" s="5"/>
      <c r="M72" s="5"/>
      <c r="N72" s="5"/>
      <c r="O72" s="8" t="str">
        <f t="shared" si="0"/>
        <v>n/a</v>
      </c>
      <c r="Q72" s="5"/>
      <c r="R72" s="5"/>
      <c r="S72" s="5"/>
      <c r="U72" s="6"/>
      <c r="V72" s="9" t="str">
        <f t="shared" si="3"/>
        <v/>
      </c>
      <c r="W72" s="9" t="str">
        <f t="shared" si="4"/>
        <v/>
      </c>
      <c r="X72" s="10">
        <f>SUM(V$13:V72)/COUNTA(B$13:B72)</f>
        <v>0</v>
      </c>
      <c r="Z72" s="5"/>
      <c r="AA72" s="5"/>
      <c r="AC72" s="7"/>
      <c r="AE72" s="54" t="e">
        <f t="shared" si="5"/>
        <v>#N/A</v>
      </c>
      <c r="AF72" s="4" t="e">
        <f t="shared" si="1"/>
        <v>#N/A</v>
      </c>
    </row>
    <row r="73" spans="2:32">
      <c r="B73" s="5">
        <f t="shared" si="6"/>
        <v>61</v>
      </c>
      <c r="C73" s="5"/>
      <c r="E73" s="13"/>
      <c r="F73" s="5"/>
      <c r="G73" s="11" t="str">
        <f>IF(ISERROR(AVERAGE(F$13:F73)),"n/a",AVERAGE(F$13:F73))</f>
        <v>n/a</v>
      </c>
      <c r="H73" s="11" t="str">
        <f t="shared" si="2"/>
        <v>n/a</v>
      </c>
      <c r="J73" s="5"/>
      <c r="K73" s="5"/>
      <c r="L73" s="5"/>
      <c r="M73" s="5"/>
      <c r="N73" s="5"/>
      <c r="O73" s="8" t="str">
        <f t="shared" si="0"/>
        <v>n/a</v>
      </c>
      <c r="Q73" s="5"/>
      <c r="R73" s="5"/>
      <c r="S73" s="5"/>
      <c r="U73" s="6"/>
      <c r="V73" s="9" t="str">
        <f t="shared" si="3"/>
        <v/>
      </c>
      <c r="W73" s="9" t="str">
        <f t="shared" si="4"/>
        <v/>
      </c>
      <c r="X73" s="10">
        <f>SUM(V$13:V73)/COUNTA(B$13:B73)</f>
        <v>0</v>
      </c>
      <c r="Z73" s="5"/>
      <c r="AA73" s="5"/>
      <c r="AC73" s="7"/>
      <c r="AE73" s="54" t="e">
        <f t="shared" si="5"/>
        <v>#N/A</v>
      </c>
      <c r="AF73" s="4" t="e">
        <f t="shared" si="1"/>
        <v>#N/A</v>
      </c>
    </row>
    <row r="74" spans="2:32">
      <c r="B74" s="5">
        <f t="shared" si="6"/>
        <v>62</v>
      </c>
      <c r="C74" s="5"/>
      <c r="E74" s="13"/>
      <c r="F74" s="5"/>
      <c r="G74" s="11" t="str">
        <f>IF(ISERROR(AVERAGE(F$13:F74)),"n/a",AVERAGE(F$13:F74))</f>
        <v>n/a</v>
      </c>
      <c r="H74" s="11" t="str">
        <f t="shared" si="2"/>
        <v>n/a</v>
      </c>
      <c r="J74" s="5"/>
      <c r="K74" s="5"/>
      <c r="L74" s="5"/>
      <c r="M74" s="5"/>
      <c r="N74" s="5"/>
      <c r="O74" s="8" t="str">
        <f t="shared" si="0"/>
        <v>n/a</v>
      </c>
      <c r="Q74" s="5"/>
      <c r="R74" s="5"/>
      <c r="S74" s="5"/>
      <c r="U74" s="6"/>
      <c r="V74" s="9" t="str">
        <f t="shared" si="3"/>
        <v/>
      </c>
      <c r="W74" s="9" t="str">
        <f t="shared" si="4"/>
        <v/>
      </c>
      <c r="X74" s="10">
        <f>SUM(V$13:V74)/COUNTA(B$13:B74)</f>
        <v>0</v>
      </c>
      <c r="Z74" s="5"/>
      <c r="AA74" s="5"/>
      <c r="AC74" s="7"/>
      <c r="AE74" s="54" t="e">
        <f t="shared" si="5"/>
        <v>#N/A</v>
      </c>
      <c r="AF74" s="4" t="e">
        <f t="shared" si="1"/>
        <v>#N/A</v>
      </c>
    </row>
    <row r="75" spans="2:32">
      <c r="B75" s="5">
        <f t="shared" si="6"/>
        <v>63</v>
      </c>
      <c r="C75" s="5"/>
      <c r="E75" s="13"/>
      <c r="F75" s="5"/>
      <c r="G75" s="11" t="str">
        <f>IF(ISERROR(AVERAGE(F$13:F75)),"n/a",AVERAGE(F$13:F75))</f>
        <v>n/a</v>
      </c>
      <c r="H75" s="11" t="str">
        <f t="shared" si="2"/>
        <v>n/a</v>
      </c>
      <c r="J75" s="5"/>
      <c r="K75" s="5"/>
      <c r="L75" s="5"/>
      <c r="M75" s="5"/>
      <c r="N75" s="5"/>
      <c r="O75" s="8" t="str">
        <f t="shared" si="0"/>
        <v>n/a</v>
      </c>
      <c r="Q75" s="5"/>
      <c r="R75" s="5"/>
      <c r="S75" s="5"/>
      <c r="U75" s="6"/>
      <c r="V75" s="9" t="str">
        <f t="shared" si="3"/>
        <v/>
      </c>
      <c r="W75" s="9" t="str">
        <f t="shared" si="4"/>
        <v/>
      </c>
      <c r="X75" s="10">
        <f>SUM(V$13:V75)/COUNTA(B$13:B75)</f>
        <v>0</v>
      </c>
      <c r="Z75" s="5"/>
      <c r="AA75" s="5"/>
      <c r="AC75" s="7"/>
      <c r="AE75" s="54" t="e">
        <f t="shared" si="5"/>
        <v>#N/A</v>
      </c>
      <c r="AF75" s="4" t="e">
        <f t="shared" si="1"/>
        <v>#N/A</v>
      </c>
    </row>
    <row r="76" spans="2:32">
      <c r="B76" s="5">
        <f t="shared" si="6"/>
        <v>64</v>
      </c>
      <c r="C76" s="5"/>
      <c r="E76" s="13"/>
      <c r="F76" s="5"/>
      <c r="G76" s="11" t="str">
        <f>IF(ISERROR(AVERAGE(F$13:F76)),"n/a",AVERAGE(F$13:F76))</f>
        <v>n/a</v>
      </c>
      <c r="H76" s="11" t="str">
        <f t="shared" si="2"/>
        <v>n/a</v>
      </c>
      <c r="J76" s="5"/>
      <c r="K76" s="5"/>
      <c r="L76" s="5"/>
      <c r="M76" s="5"/>
      <c r="N76" s="5"/>
      <c r="O76" s="8" t="str">
        <f t="shared" si="0"/>
        <v>n/a</v>
      </c>
      <c r="Q76" s="5"/>
      <c r="R76" s="5"/>
      <c r="S76" s="5"/>
      <c r="U76" s="6"/>
      <c r="V76" s="9" t="str">
        <f t="shared" si="3"/>
        <v/>
      </c>
      <c r="W76" s="9" t="str">
        <f t="shared" si="4"/>
        <v/>
      </c>
      <c r="X76" s="10">
        <f>SUM(V$13:V76)/COUNTA(B$13:B76)</f>
        <v>0</v>
      </c>
      <c r="Z76" s="5"/>
      <c r="AA76" s="5"/>
      <c r="AC76" s="7"/>
      <c r="AE76" s="54" t="e">
        <f t="shared" si="5"/>
        <v>#N/A</v>
      </c>
      <c r="AF76" s="4" t="e">
        <f t="shared" si="1"/>
        <v>#N/A</v>
      </c>
    </row>
    <row r="77" spans="2:32">
      <c r="B77" s="5">
        <f t="shared" si="6"/>
        <v>65</v>
      </c>
      <c r="C77" s="5"/>
      <c r="E77" s="13"/>
      <c r="F77" s="5"/>
      <c r="G77" s="11" t="str">
        <f>IF(ISERROR(AVERAGE(F$13:F77)),"n/a",AVERAGE(F$13:F77))</f>
        <v>n/a</v>
      </c>
      <c r="H77" s="11" t="str">
        <f t="shared" si="2"/>
        <v>n/a</v>
      </c>
      <c r="J77" s="5"/>
      <c r="K77" s="5"/>
      <c r="L77" s="5"/>
      <c r="M77" s="5"/>
      <c r="N77" s="5"/>
      <c r="O77" s="8" t="str">
        <f t="shared" ref="O77:O140" si="24">IF(J77=1,"A",IF(K77=1,"B",IF(L77=1,"C",IF(M77=1,"D",IF(N77=1,"E","n/a")))))</f>
        <v>n/a</v>
      </c>
      <c r="Q77" s="5"/>
      <c r="R77" s="5"/>
      <c r="S77" s="5"/>
      <c r="U77" s="6"/>
      <c r="V77" s="9" t="str">
        <f t="shared" si="3"/>
        <v/>
      </c>
      <c r="W77" s="9" t="str">
        <f t="shared" si="4"/>
        <v/>
      </c>
      <c r="X77" s="10">
        <f>SUM(V$13:V77)/COUNTA(B$13:B77)</f>
        <v>0</v>
      </c>
      <c r="Z77" s="5"/>
      <c r="AA77" s="5"/>
      <c r="AC77" s="7"/>
      <c r="AE77" s="54" t="e">
        <f t="shared" si="5"/>
        <v>#N/A</v>
      </c>
      <c r="AF77" s="4" t="e">
        <f t="shared" ref="AF77:AF140" si="25">HLOOKUP(C77,$K$6:$O$7,2,FALSE)</f>
        <v>#N/A</v>
      </c>
    </row>
    <row r="78" spans="2:32">
      <c r="B78" s="5">
        <f t="shared" si="6"/>
        <v>66</v>
      </c>
      <c r="C78" s="5"/>
      <c r="E78" s="13"/>
      <c r="F78" s="5"/>
      <c r="G78" s="11" t="str">
        <f>IF(ISERROR(AVERAGE(F$13:F78)),"n/a",AVERAGE(F$13:F78))</f>
        <v>n/a</v>
      </c>
      <c r="H78" s="11" t="str">
        <f t="shared" ref="H78:H141" si="26">G78</f>
        <v>n/a</v>
      </c>
      <c r="J78" s="5"/>
      <c r="K78" s="5"/>
      <c r="L78" s="5"/>
      <c r="M78" s="5"/>
      <c r="N78" s="5"/>
      <c r="O78" s="8" t="str">
        <f t="shared" si="24"/>
        <v>n/a</v>
      </c>
      <c r="Q78" s="5"/>
      <c r="R78" s="5"/>
      <c r="S78" s="5"/>
      <c r="U78" s="6"/>
      <c r="V78" s="9" t="str">
        <f t="shared" ref="V78:V141" si="27">IF(O78="n/a","",IF(O78=U78,1,""))</f>
        <v/>
      </c>
      <c r="W78" s="9" t="str">
        <f t="shared" ref="W78:W141" si="28">IF(O78="n/a","",IF(O78&lt;&gt;U78,1,""))</f>
        <v/>
      </c>
      <c r="X78" s="10">
        <f>SUM(V$13:V78)/COUNTA(B$13:B78)</f>
        <v>0</v>
      </c>
      <c r="Z78" s="5"/>
      <c r="AA78" s="5"/>
      <c r="AC78" s="7"/>
      <c r="AE78" s="54" t="e">
        <f t="shared" ref="AE78:AE141" si="29">+IF($F$4=0,0,IF(W78=1,1,IF(OR(R78*$F$8=1,S78*$F$9=1,F78&gt;=AF78),2,0)))</f>
        <v>#N/A</v>
      </c>
      <c r="AF78" s="4" t="e">
        <f t="shared" si="25"/>
        <v>#N/A</v>
      </c>
    </row>
    <row r="79" spans="2:32">
      <c r="B79" s="5">
        <f t="shared" si="6"/>
        <v>67</v>
      </c>
      <c r="C79" s="5"/>
      <c r="E79" s="13"/>
      <c r="F79" s="5"/>
      <c r="G79" s="11" t="str">
        <f>IF(ISERROR(AVERAGE(F$13:F79)),"n/a",AVERAGE(F$13:F79))</f>
        <v>n/a</v>
      </c>
      <c r="H79" s="11" t="str">
        <f t="shared" si="26"/>
        <v>n/a</v>
      </c>
      <c r="J79" s="5"/>
      <c r="K79" s="5"/>
      <c r="L79" s="5"/>
      <c r="M79" s="5"/>
      <c r="N79" s="5"/>
      <c r="O79" s="8" t="str">
        <f t="shared" si="24"/>
        <v>n/a</v>
      </c>
      <c r="Q79" s="5"/>
      <c r="R79" s="5"/>
      <c r="S79" s="5"/>
      <c r="U79" s="6"/>
      <c r="V79" s="9" t="str">
        <f t="shared" si="27"/>
        <v/>
      </c>
      <c r="W79" s="9" t="str">
        <f t="shared" si="28"/>
        <v/>
      </c>
      <c r="X79" s="10">
        <f>SUM(V$13:V79)/COUNTA(B$13:B79)</f>
        <v>0</v>
      </c>
      <c r="Z79" s="5"/>
      <c r="AA79" s="5"/>
      <c r="AC79" s="7"/>
      <c r="AE79" s="54" t="e">
        <f t="shared" si="29"/>
        <v>#N/A</v>
      </c>
      <c r="AF79" s="4" t="e">
        <f t="shared" si="25"/>
        <v>#N/A</v>
      </c>
    </row>
    <row r="80" spans="2:32">
      <c r="B80" s="5">
        <f t="shared" si="6"/>
        <v>68</v>
      </c>
      <c r="C80" s="5"/>
      <c r="E80" s="13"/>
      <c r="F80" s="5"/>
      <c r="G80" s="11" t="str">
        <f>IF(ISERROR(AVERAGE(F$13:F80)),"n/a",AVERAGE(F$13:F80))</f>
        <v>n/a</v>
      </c>
      <c r="H80" s="11" t="str">
        <f t="shared" si="26"/>
        <v>n/a</v>
      </c>
      <c r="J80" s="5"/>
      <c r="K80" s="5"/>
      <c r="L80" s="5"/>
      <c r="M80" s="5"/>
      <c r="N80" s="5"/>
      <c r="O80" s="8" t="str">
        <f t="shared" si="24"/>
        <v>n/a</v>
      </c>
      <c r="Q80" s="5"/>
      <c r="R80" s="5"/>
      <c r="S80" s="5"/>
      <c r="U80" s="6"/>
      <c r="V80" s="9" t="str">
        <f t="shared" si="27"/>
        <v/>
      </c>
      <c r="W80" s="9" t="str">
        <f t="shared" si="28"/>
        <v/>
      </c>
      <c r="X80" s="10">
        <f>SUM(V$13:V80)/COUNTA(B$13:B80)</f>
        <v>0</v>
      </c>
      <c r="Z80" s="5"/>
      <c r="AA80" s="5"/>
      <c r="AC80" s="7"/>
      <c r="AE80" s="54" t="e">
        <f t="shared" si="29"/>
        <v>#N/A</v>
      </c>
      <c r="AF80" s="4" t="e">
        <f t="shared" si="25"/>
        <v>#N/A</v>
      </c>
    </row>
    <row r="81" spans="2:32">
      <c r="B81" s="5">
        <f t="shared" si="6"/>
        <v>69</v>
      </c>
      <c r="C81" s="5"/>
      <c r="E81" s="13"/>
      <c r="F81" s="5"/>
      <c r="G81" s="11" t="str">
        <f>IF(ISERROR(AVERAGE(F$13:F81)),"n/a",AVERAGE(F$13:F81))</f>
        <v>n/a</v>
      </c>
      <c r="H81" s="11" t="str">
        <f t="shared" si="26"/>
        <v>n/a</v>
      </c>
      <c r="J81" s="5"/>
      <c r="K81" s="5"/>
      <c r="L81" s="5"/>
      <c r="M81" s="5"/>
      <c r="N81" s="5"/>
      <c r="O81" s="8" t="str">
        <f t="shared" si="24"/>
        <v>n/a</v>
      </c>
      <c r="Q81" s="5"/>
      <c r="R81" s="5"/>
      <c r="S81" s="5"/>
      <c r="U81" s="6"/>
      <c r="V81" s="9" t="str">
        <f t="shared" si="27"/>
        <v/>
      </c>
      <c r="W81" s="9" t="str">
        <f t="shared" si="28"/>
        <v/>
      </c>
      <c r="X81" s="10">
        <f>SUM(V$13:V81)/COUNTA(B$13:B81)</f>
        <v>0</v>
      </c>
      <c r="Z81" s="5"/>
      <c r="AA81" s="5"/>
      <c r="AC81" s="7"/>
      <c r="AE81" s="54" t="e">
        <f t="shared" si="29"/>
        <v>#N/A</v>
      </c>
      <c r="AF81" s="4" t="e">
        <f t="shared" si="25"/>
        <v>#N/A</v>
      </c>
    </row>
    <row r="82" spans="2:32">
      <c r="B82" s="5">
        <f t="shared" si="6"/>
        <v>70</v>
      </c>
      <c r="C82" s="5"/>
      <c r="E82" s="13"/>
      <c r="F82" s="5"/>
      <c r="G82" s="11" t="str">
        <f>IF(ISERROR(AVERAGE(F$13:F82)),"n/a",AVERAGE(F$13:F82))</f>
        <v>n/a</v>
      </c>
      <c r="H82" s="11" t="str">
        <f t="shared" si="26"/>
        <v>n/a</v>
      </c>
      <c r="J82" s="5"/>
      <c r="K82" s="5"/>
      <c r="L82" s="5"/>
      <c r="M82" s="5"/>
      <c r="N82" s="5"/>
      <c r="O82" s="8" t="str">
        <f t="shared" si="24"/>
        <v>n/a</v>
      </c>
      <c r="Q82" s="5"/>
      <c r="R82" s="5"/>
      <c r="S82" s="5"/>
      <c r="U82" s="6"/>
      <c r="V82" s="9" t="str">
        <f t="shared" si="27"/>
        <v/>
      </c>
      <c r="W82" s="9" t="str">
        <f t="shared" si="28"/>
        <v/>
      </c>
      <c r="X82" s="10">
        <f>SUM(V$13:V82)/COUNTA(B$13:B82)</f>
        <v>0</v>
      </c>
      <c r="Z82" s="5"/>
      <c r="AA82" s="5"/>
      <c r="AC82" s="7"/>
      <c r="AE82" s="54" t="e">
        <f t="shared" si="29"/>
        <v>#N/A</v>
      </c>
      <c r="AF82" s="4" t="e">
        <f t="shared" si="25"/>
        <v>#N/A</v>
      </c>
    </row>
    <row r="83" spans="2:32">
      <c r="B83" s="5">
        <f t="shared" ref="B83:B146" si="30">+B82+1</f>
        <v>71</v>
      </c>
      <c r="C83" s="5"/>
      <c r="E83" s="13"/>
      <c r="F83" s="5"/>
      <c r="G83" s="11" t="str">
        <f>IF(ISERROR(AVERAGE(F$13:F83)),"n/a",AVERAGE(F$13:F83))</f>
        <v>n/a</v>
      </c>
      <c r="H83" s="11" t="str">
        <f t="shared" si="26"/>
        <v>n/a</v>
      </c>
      <c r="J83" s="5"/>
      <c r="K83" s="5"/>
      <c r="L83" s="5"/>
      <c r="M83" s="5"/>
      <c r="N83" s="5"/>
      <c r="O83" s="8" t="str">
        <f t="shared" si="24"/>
        <v>n/a</v>
      </c>
      <c r="Q83" s="5"/>
      <c r="R83" s="5"/>
      <c r="S83" s="5"/>
      <c r="U83" s="6"/>
      <c r="V83" s="9" t="str">
        <f t="shared" si="27"/>
        <v/>
      </c>
      <c r="W83" s="9" t="str">
        <f t="shared" si="28"/>
        <v/>
      </c>
      <c r="X83" s="10">
        <f>SUM(V$13:V83)/COUNTA(B$13:B83)</f>
        <v>0</v>
      </c>
      <c r="Z83" s="5"/>
      <c r="AA83" s="5"/>
      <c r="AC83" s="7"/>
      <c r="AE83" s="54" t="e">
        <f t="shared" si="29"/>
        <v>#N/A</v>
      </c>
      <c r="AF83" s="4" t="e">
        <f t="shared" si="25"/>
        <v>#N/A</v>
      </c>
    </row>
    <row r="84" spans="2:32">
      <c r="B84" s="5">
        <f t="shared" si="30"/>
        <v>72</v>
      </c>
      <c r="C84" s="5"/>
      <c r="E84" s="13"/>
      <c r="F84" s="5"/>
      <c r="G84" s="11" t="str">
        <f>IF(ISERROR(AVERAGE(F$13:F84)),"n/a",AVERAGE(F$13:F84))</f>
        <v>n/a</v>
      </c>
      <c r="H84" s="11" t="str">
        <f t="shared" si="26"/>
        <v>n/a</v>
      </c>
      <c r="J84" s="5"/>
      <c r="K84" s="5"/>
      <c r="L84" s="5"/>
      <c r="M84" s="5"/>
      <c r="N84" s="5"/>
      <c r="O84" s="8" t="str">
        <f t="shared" si="24"/>
        <v>n/a</v>
      </c>
      <c r="Q84" s="5"/>
      <c r="R84" s="5"/>
      <c r="S84" s="5"/>
      <c r="U84" s="6"/>
      <c r="V84" s="9" t="str">
        <f t="shared" si="27"/>
        <v/>
      </c>
      <c r="W84" s="9" t="str">
        <f t="shared" si="28"/>
        <v/>
      </c>
      <c r="X84" s="10">
        <f>SUM(V$13:V84)/COUNTA(B$13:B84)</f>
        <v>0</v>
      </c>
      <c r="Z84" s="5"/>
      <c r="AA84" s="5"/>
      <c r="AC84" s="7"/>
      <c r="AE84" s="54" t="e">
        <f t="shared" si="29"/>
        <v>#N/A</v>
      </c>
      <c r="AF84" s="4" t="e">
        <f t="shared" si="25"/>
        <v>#N/A</v>
      </c>
    </row>
    <row r="85" spans="2:32">
      <c r="B85" s="5">
        <f t="shared" si="30"/>
        <v>73</v>
      </c>
      <c r="C85" s="5"/>
      <c r="E85" s="13"/>
      <c r="F85" s="5"/>
      <c r="G85" s="11" t="str">
        <f>IF(ISERROR(AVERAGE(F$13:F85)),"n/a",AVERAGE(F$13:F85))</f>
        <v>n/a</v>
      </c>
      <c r="H85" s="11" t="str">
        <f t="shared" si="26"/>
        <v>n/a</v>
      </c>
      <c r="J85" s="5"/>
      <c r="K85" s="5"/>
      <c r="L85" s="5"/>
      <c r="M85" s="5"/>
      <c r="N85" s="5"/>
      <c r="O85" s="8" t="str">
        <f t="shared" si="24"/>
        <v>n/a</v>
      </c>
      <c r="Q85" s="5"/>
      <c r="R85" s="5"/>
      <c r="S85" s="5"/>
      <c r="U85" s="6"/>
      <c r="V85" s="9" t="str">
        <f t="shared" si="27"/>
        <v/>
      </c>
      <c r="W85" s="9" t="str">
        <f t="shared" si="28"/>
        <v/>
      </c>
      <c r="X85" s="10">
        <f>SUM(V$13:V85)/COUNTA(B$13:B85)</f>
        <v>0</v>
      </c>
      <c r="Z85" s="5"/>
      <c r="AA85" s="5"/>
      <c r="AC85" s="7"/>
      <c r="AE85" s="54" t="e">
        <f t="shared" si="29"/>
        <v>#N/A</v>
      </c>
      <c r="AF85" s="4" t="e">
        <f t="shared" si="25"/>
        <v>#N/A</v>
      </c>
    </row>
    <row r="86" spans="2:32">
      <c r="B86" s="5">
        <f t="shared" si="30"/>
        <v>74</v>
      </c>
      <c r="C86" s="5"/>
      <c r="E86" s="13"/>
      <c r="F86" s="5"/>
      <c r="G86" s="11" t="str">
        <f>IF(ISERROR(AVERAGE(F$13:F86)),"n/a",AVERAGE(F$13:F86))</f>
        <v>n/a</v>
      </c>
      <c r="H86" s="11" t="str">
        <f t="shared" si="26"/>
        <v>n/a</v>
      </c>
      <c r="J86" s="5"/>
      <c r="K86" s="5"/>
      <c r="L86" s="5"/>
      <c r="M86" s="5"/>
      <c r="N86" s="5"/>
      <c r="O86" s="8" t="str">
        <f t="shared" si="24"/>
        <v>n/a</v>
      </c>
      <c r="Q86" s="5"/>
      <c r="R86" s="5"/>
      <c r="S86" s="5"/>
      <c r="U86" s="6"/>
      <c r="V86" s="9" t="str">
        <f t="shared" si="27"/>
        <v/>
      </c>
      <c r="W86" s="9" t="str">
        <f t="shared" si="28"/>
        <v/>
      </c>
      <c r="X86" s="10">
        <f>SUM(V$13:V86)/COUNTA(B$13:B86)</f>
        <v>0</v>
      </c>
      <c r="Z86" s="5"/>
      <c r="AA86" s="5"/>
      <c r="AC86" s="7"/>
      <c r="AE86" s="54" t="e">
        <f t="shared" si="29"/>
        <v>#N/A</v>
      </c>
      <c r="AF86" s="4" t="e">
        <f t="shared" si="25"/>
        <v>#N/A</v>
      </c>
    </row>
    <row r="87" spans="2:32">
      <c r="B87" s="5">
        <f t="shared" si="30"/>
        <v>75</v>
      </c>
      <c r="C87" s="5"/>
      <c r="E87" s="13"/>
      <c r="F87" s="5"/>
      <c r="G87" s="11" t="str">
        <f>IF(ISERROR(AVERAGE(F$13:F87)),"n/a",AVERAGE(F$13:F87))</f>
        <v>n/a</v>
      </c>
      <c r="H87" s="11" t="str">
        <f t="shared" si="26"/>
        <v>n/a</v>
      </c>
      <c r="J87" s="5"/>
      <c r="K87" s="5"/>
      <c r="L87" s="5"/>
      <c r="M87" s="5"/>
      <c r="N87" s="5"/>
      <c r="O87" s="8" t="str">
        <f t="shared" si="24"/>
        <v>n/a</v>
      </c>
      <c r="Q87" s="5"/>
      <c r="R87" s="5"/>
      <c r="S87" s="5"/>
      <c r="U87" s="6"/>
      <c r="V87" s="9" t="str">
        <f t="shared" si="27"/>
        <v/>
      </c>
      <c r="W87" s="9" t="str">
        <f t="shared" si="28"/>
        <v/>
      </c>
      <c r="X87" s="10">
        <f>SUM(V$13:V87)/COUNTA(B$13:B87)</f>
        <v>0</v>
      </c>
      <c r="Z87" s="5"/>
      <c r="AA87" s="5"/>
      <c r="AC87" s="7"/>
      <c r="AE87" s="54" t="e">
        <f t="shared" si="29"/>
        <v>#N/A</v>
      </c>
      <c r="AF87" s="4" t="e">
        <f t="shared" si="25"/>
        <v>#N/A</v>
      </c>
    </row>
    <row r="88" spans="2:32">
      <c r="B88" s="5">
        <f t="shared" si="30"/>
        <v>76</v>
      </c>
      <c r="C88" s="5"/>
      <c r="E88" s="13"/>
      <c r="F88" s="5"/>
      <c r="G88" s="11" t="str">
        <f>IF(ISERROR(AVERAGE(F$13:F88)),"n/a",AVERAGE(F$13:F88))</f>
        <v>n/a</v>
      </c>
      <c r="H88" s="11" t="str">
        <f t="shared" si="26"/>
        <v>n/a</v>
      </c>
      <c r="J88" s="5"/>
      <c r="K88" s="5"/>
      <c r="L88" s="5"/>
      <c r="M88" s="5"/>
      <c r="N88" s="5"/>
      <c r="O88" s="8" t="str">
        <f t="shared" si="24"/>
        <v>n/a</v>
      </c>
      <c r="Q88" s="5"/>
      <c r="R88" s="5"/>
      <c r="S88" s="5"/>
      <c r="U88" s="6"/>
      <c r="V88" s="9" t="str">
        <f t="shared" si="27"/>
        <v/>
      </c>
      <c r="W88" s="9" t="str">
        <f t="shared" si="28"/>
        <v/>
      </c>
      <c r="X88" s="10">
        <f>SUM(V$13:V88)/COUNTA(B$13:B88)</f>
        <v>0</v>
      </c>
      <c r="Z88" s="5"/>
      <c r="AA88" s="5"/>
      <c r="AC88" s="7"/>
      <c r="AE88" s="54" t="e">
        <f t="shared" si="29"/>
        <v>#N/A</v>
      </c>
      <c r="AF88" s="4" t="e">
        <f t="shared" si="25"/>
        <v>#N/A</v>
      </c>
    </row>
    <row r="89" spans="2:32">
      <c r="B89" s="5">
        <f t="shared" si="30"/>
        <v>77</v>
      </c>
      <c r="C89" s="5"/>
      <c r="E89" s="13"/>
      <c r="F89" s="5"/>
      <c r="G89" s="11" t="str">
        <f>IF(ISERROR(AVERAGE(F$13:F89)),"n/a",AVERAGE(F$13:F89))</f>
        <v>n/a</v>
      </c>
      <c r="H89" s="11" t="str">
        <f t="shared" si="26"/>
        <v>n/a</v>
      </c>
      <c r="J89" s="5"/>
      <c r="K89" s="5"/>
      <c r="L89" s="5"/>
      <c r="M89" s="5"/>
      <c r="N89" s="5"/>
      <c r="O89" s="8" t="str">
        <f t="shared" si="24"/>
        <v>n/a</v>
      </c>
      <c r="Q89" s="5"/>
      <c r="R89" s="5"/>
      <c r="S89" s="5"/>
      <c r="U89" s="6"/>
      <c r="V89" s="9" t="str">
        <f t="shared" si="27"/>
        <v/>
      </c>
      <c r="W89" s="9" t="str">
        <f t="shared" si="28"/>
        <v/>
      </c>
      <c r="X89" s="10">
        <f>SUM(V$13:V89)/COUNTA(B$13:B89)</f>
        <v>0</v>
      </c>
      <c r="Z89" s="5"/>
      <c r="AA89" s="5"/>
      <c r="AC89" s="7"/>
      <c r="AE89" s="54" t="e">
        <f t="shared" si="29"/>
        <v>#N/A</v>
      </c>
      <c r="AF89" s="4" t="e">
        <f t="shared" si="25"/>
        <v>#N/A</v>
      </c>
    </row>
    <row r="90" spans="2:32">
      <c r="B90" s="5">
        <f t="shared" si="30"/>
        <v>78</v>
      </c>
      <c r="C90" s="5"/>
      <c r="E90" s="13"/>
      <c r="F90" s="5"/>
      <c r="G90" s="11" t="str">
        <f>IF(ISERROR(AVERAGE(F$13:F90)),"n/a",AVERAGE(F$13:F90))</f>
        <v>n/a</v>
      </c>
      <c r="H90" s="11" t="str">
        <f t="shared" si="26"/>
        <v>n/a</v>
      </c>
      <c r="J90" s="5"/>
      <c r="K90" s="5"/>
      <c r="L90" s="5"/>
      <c r="M90" s="5"/>
      <c r="N90" s="5"/>
      <c r="O90" s="8" t="str">
        <f t="shared" si="24"/>
        <v>n/a</v>
      </c>
      <c r="Q90" s="5"/>
      <c r="R90" s="5"/>
      <c r="S90" s="5"/>
      <c r="U90" s="6"/>
      <c r="V90" s="9" t="str">
        <f t="shared" si="27"/>
        <v/>
      </c>
      <c r="W90" s="9" t="str">
        <f t="shared" si="28"/>
        <v/>
      </c>
      <c r="X90" s="10">
        <f>SUM(V$13:V90)/COUNTA(B$13:B90)</f>
        <v>0</v>
      </c>
      <c r="Z90" s="5"/>
      <c r="AA90" s="5"/>
      <c r="AC90" s="7"/>
      <c r="AE90" s="54" t="e">
        <f t="shared" si="29"/>
        <v>#N/A</v>
      </c>
      <c r="AF90" s="4" t="e">
        <f t="shared" si="25"/>
        <v>#N/A</v>
      </c>
    </row>
    <row r="91" spans="2:32">
      <c r="B91" s="5">
        <f t="shared" si="30"/>
        <v>79</v>
      </c>
      <c r="C91" s="5"/>
      <c r="E91" s="13"/>
      <c r="F91" s="5"/>
      <c r="G91" s="11" t="str">
        <f>IF(ISERROR(AVERAGE(F$13:F91)),"n/a",AVERAGE(F$13:F91))</f>
        <v>n/a</v>
      </c>
      <c r="H91" s="11" t="str">
        <f t="shared" si="26"/>
        <v>n/a</v>
      </c>
      <c r="J91" s="5"/>
      <c r="K91" s="5"/>
      <c r="L91" s="5"/>
      <c r="M91" s="5"/>
      <c r="N91" s="5"/>
      <c r="O91" s="8" t="str">
        <f t="shared" si="24"/>
        <v>n/a</v>
      </c>
      <c r="Q91" s="5"/>
      <c r="R91" s="5"/>
      <c r="S91" s="5"/>
      <c r="U91" s="6"/>
      <c r="V91" s="9" t="str">
        <f t="shared" si="27"/>
        <v/>
      </c>
      <c r="W91" s="9" t="str">
        <f t="shared" si="28"/>
        <v/>
      </c>
      <c r="X91" s="10">
        <f>SUM(V$13:V91)/COUNTA(B$13:B91)</f>
        <v>0</v>
      </c>
      <c r="Z91" s="5"/>
      <c r="AA91" s="5"/>
      <c r="AC91" s="7"/>
      <c r="AE91" s="54" t="e">
        <f t="shared" si="29"/>
        <v>#N/A</v>
      </c>
      <c r="AF91" s="4" t="e">
        <f t="shared" si="25"/>
        <v>#N/A</v>
      </c>
    </row>
    <row r="92" spans="2:32">
      <c r="B92" s="5">
        <f t="shared" si="30"/>
        <v>80</v>
      </c>
      <c r="C92" s="5"/>
      <c r="E92" s="13"/>
      <c r="F92" s="5"/>
      <c r="G92" s="11" t="str">
        <f>IF(ISERROR(AVERAGE(F$13:F92)),"n/a",AVERAGE(F$13:F92))</f>
        <v>n/a</v>
      </c>
      <c r="H92" s="11" t="str">
        <f t="shared" si="26"/>
        <v>n/a</v>
      </c>
      <c r="J92" s="5"/>
      <c r="K92" s="5"/>
      <c r="L92" s="5"/>
      <c r="M92" s="5"/>
      <c r="N92" s="5"/>
      <c r="O92" s="8" t="str">
        <f t="shared" si="24"/>
        <v>n/a</v>
      </c>
      <c r="Q92" s="5"/>
      <c r="R92" s="5"/>
      <c r="S92" s="5"/>
      <c r="U92" s="6"/>
      <c r="V92" s="9" t="str">
        <f t="shared" si="27"/>
        <v/>
      </c>
      <c r="W92" s="9" t="str">
        <f t="shared" si="28"/>
        <v/>
      </c>
      <c r="X92" s="10">
        <f>SUM(V$13:V92)/COUNTA(B$13:B92)</f>
        <v>0</v>
      </c>
      <c r="Z92" s="5"/>
      <c r="AA92" s="5"/>
      <c r="AC92" s="7"/>
      <c r="AE92" s="54" t="e">
        <f t="shared" si="29"/>
        <v>#N/A</v>
      </c>
      <c r="AF92" s="4" t="e">
        <f t="shared" si="25"/>
        <v>#N/A</v>
      </c>
    </row>
    <row r="93" spans="2:32">
      <c r="B93" s="5">
        <f t="shared" si="30"/>
        <v>81</v>
      </c>
      <c r="C93" s="5"/>
      <c r="E93" s="13"/>
      <c r="F93" s="5"/>
      <c r="G93" s="11" t="str">
        <f>IF(ISERROR(AVERAGE(F$13:F93)),"n/a",AVERAGE(F$13:F93))</f>
        <v>n/a</v>
      </c>
      <c r="H93" s="11" t="str">
        <f t="shared" si="26"/>
        <v>n/a</v>
      </c>
      <c r="J93" s="5"/>
      <c r="K93" s="5"/>
      <c r="L93" s="5"/>
      <c r="M93" s="5"/>
      <c r="N93" s="5"/>
      <c r="O93" s="8" t="str">
        <f t="shared" si="24"/>
        <v>n/a</v>
      </c>
      <c r="Q93" s="5"/>
      <c r="R93" s="5"/>
      <c r="S93" s="5"/>
      <c r="U93" s="6"/>
      <c r="V93" s="9" t="str">
        <f t="shared" si="27"/>
        <v/>
      </c>
      <c r="W93" s="9" t="str">
        <f t="shared" si="28"/>
        <v/>
      </c>
      <c r="X93" s="10">
        <f>SUM(V$13:V93)/COUNTA(B$13:B93)</f>
        <v>0</v>
      </c>
      <c r="Z93" s="5"/>
      <c r="AA93" s="5"/>
      <c r="AC93" s="7"/>
      <c r="AE93" s="54" t="e">
        <f t="shared" si="29"/>
        <v>#N/A</v>
      </c>
      <c r="AF93" s="4" t="e">
        <f t="shared" si="25"/>
        <v>#N/A</v>
      </c>
    </row>
    <row r="94" spans="2:32">
      <c r="B94" s="5">
        <f t="shared" si="30"/>
        <v>82</v>
      </c>
      <c r="C94" s="5"/>
      <c r="E94" s="13"/>
      <c r="F94" s="5"/>
      <c r="G94" s="11" t="str">
        <f>IF(ISERROR(AVERAGE(F$13:F94)),"n/a",AVERAGE(F$13:F94))</f>
        <v>n/a</v>
      </c>
      <c r="H94" s="11" t="str">
        <f t="shared" si="26"/>
        <v>n/a</v>
      </c>
      <c r="J94" s="5"/>
      <c r="K94" s="5"/>
      <c r="L94" s="5"/>
      <c r="M94" s="5"/>
      <c r="N94" s="5"/>
      <c r="O94" s="8" t="str">
        <f t="shared" si="24"/>
        <v>n/a</v>
      </c>
      <c r="Q94" s="5"/>
      <c r="R94" s="5"/>
      <c r="S94" s="5"/>
      <c r="U94" s="6"/>
      <c r="V94" s="9" t="str">
        <f t="shared" si="27"/>
        <v/>
      </c>
      <c r="W94" s="9" t="str">
        <f t="shared" si="28"/>
        <v/>
      </c>
      <c r="X94" s="10">
        <f>SUM(V$13:V94)/COUNTA(B$13:B94)</f>
        <v>0</v>
      </c>
      <c r="Z94" s="5"/>
      <c r="AA94" s="5"/>
      <c r="AC94" s="7"/>
      <c r="AE94" s="54" t="e">
        <f t="shared" si="29"/>
        <v>#N/A</v>
      </c>
      <c r="AF94" s="4" t="e">
        <f t="shared" si="25"/>
        <v>#N/A</v>
      </c>
    </row>
    <row r="95" spans="2:32">
      <c r="B95" s="5">
        <f t="shared" si="30"/>
        <v>83</v>
      </c>
      <c r="C95" s="5"/>
      <c r="E95" s="13"/>
      <c r="F95" s="5"/>
      <c r="G95" s="11" t="str">
        <f>IF(ISERROR(AVERAGE(F$13:F95)),"n/a",AVERAGE(F$13:F95))</f>
        <v>n/a</v>
      </c>
      <c r="H95" s="11" t="str">
        <f t="shared" si="26"/>
        <v>n/a</v>
      </c>
      <c r="J95" s="5"/>
      <c r="K95" s="5"/>
      <c r="L95" s="5"/>
      <c r="M95" s="5"/>
      <c r="N95" s="5"/>
      <c r="O95" s="8" t="str">
        <f t="shared" si="24"/>
        <v>n/a</v>
      </c>
      <c r="Q95" s="5"/>
      <c r="R95" s="5"/>
      <c r="S95" s="5"/>
      <c r="U95" s="6"/>
      <c r="V95" s="9" t="str">
        <f t="shared" si="27"/>
        <v/>
      </c>
      <c r="W95" s="9" t="str">
        <f t="shared" si="28"/>
        <v/>
      </c>
      <c r="X95" s="10">
        <f>SUM(V$13:V95)/COUNTA(B$13:B95)</f>
        <v>0</v>
      </c>
      <c r="Z95" s="5"/>
      <c r="AA95" s="5"/>
      <c r="AC95" s="7"/>
      <c r="AE95" s="54" t="e">
        <f t="shared" si="29"/>
        <v>#N/A</v>
      </c>
      <c r="AF95" s="4" t="e">
        <f t="shared" si="25"/>
        <v>#N/A</v>
      </c>
    </row>
    <row r="96" spans="2:32">
      <c r="B96" s="5">
        <f t="shared" si="30"/>
        <v>84</v>
      </c>
      <c r="C96" s="5"/>
      <c r="E96" s="13"/>
      <c r="F96" s="5"/>
      <c r="G96" s="11" t="str">
        <f>IF(ISERROR(AVERAGE(F$13:F96)),"n/a",AVERAGE(F$13:F96))</f>
        <v>n/a</v>
      </c>
      <c r="H96" s="11" t="str">
        <f t="shared" si="26"/>
        <v>n/a</v>
      </c>
      <c r="J96" s="5"/>
      <c r="K96" s="5"/>
      <c r="L96" s="5"/>
      <c r="M96" s="5"/>
      <c r="N96" s="5"/>
      <c r="O96" s="8" t="str">
        <f t="shared" si="24"/>
        <v>n/a</v>
      </c>
      <c r="Q96" s="5"/>
      <c r="R96" s="5"/>
      <c r="S96" s="5"/>
      <c r="U96" s="6"/>
      <c r="V96" s="9" t="str">
        <f t="shared" si="27"/>
        <v/>
      </c>
      <c r="W96" s="9" t="str">
        <f t="shared" si="28"/>
        <v/>
      </c>
      <c r="X96" s="10">
        <f>SUM(V$13:V96)/COUNTA(B$13:B96)</f>
        <v>0</v>
      </c>
      <c r="Z96" s="5"/>
      <c r="AA96" s="5"/>
      <c r="AC96" s="7"/>
      <c r="AE96" s="54" t="e">
        <f t="shared" si="29"/>
        <v>#N/A</v>
      </c>
      <c r="AF96" s="4" t="e">
        <f t="shared" si="25"/>
        <v>#N/A</v>
      </c>
    </row>
    <row r="97" spans="2:32">
      <c r="B97" s="5">
        <f t="shared" si="30"/>
        <v>85</v>
      </c>
      <c r="C97" s="5"/>
      <c r="E97" s="13"/>
      <c r="F97" s="5"/>
      <c r="G97" s="11" t="str">
        <f>IF(ISERROR(AVERAGE(F$13:F97)),"n/a",AVERAGE(F$13:F97))</f>
        <v>n/a</v>
      </c>
      <c r="H97" s="11" t="str">
        <f t="shared" si="26"/>
        <v>n/a</v>
      </c>
      <c r="J97" s="5"/>
      <c r="K97" s="5"/>
      <c r="L97" s="5"/>
      <c r="M97" s="5"/>
      <c r="N97" s="5"/>
      <c r="O97" s="8" t="str">
        <f t="shared" si="24"/>
        <v>n/a</v>
      </c>
      <c r="Q97" s="5"/>
      <c r="R97" s="5"/>
      <c r="S97" s="5"/>
      <c r="U97" s="6"/>
      <c r="V97" s="9" t="str">
        <f t="shared" si="27"/>
        <v/>
      </c>
      <c r="W97" s="9" t="str">
        <f t="shared" si="28"/>
        <v/>
      </c>
      <c r="X97" s="10">
        <f>SUM(V$13:V97)/COUNTA(B$13:B97)</f>
        <v>0</v>
      </c>
      <c r="Z97" s="5"/>
      <c r="AA97" s="5"/>
      <c r="AC97" s="7"/>
      <c r="AE97" s="54" t="e">
        <f t="shared" si="29"/>
        <v>#N/A</v>
      </c>
      <c r="AF97" s="4" t="e">
        <f t="shared" si="25"/>
        <v>#N/A</v>
      </c>
    </row>
    <row r="98" spans="2:32">
      <c r="B98" s="5">
        <f t="shared" si="30"/>
        <v>86</v>
      </c>
      <c r="C98" s="5"/>
      <c r="E98" s="13"/>
      <c r="F98" s="5"/>
      <c r="G98" s="11" t="str">
        <f>IF(ISERROR(AVERAGE(F$13:F98)),"n/a",AVERAGE(F$13:F98))</f>
        <v>n/a</v>
      </c>
      <c r="H98" s="11" t="str">
        <f t="shared" si="26"/>
        <v>n/a</v>
      </c>
      <c r="J98" s="5"/>
      <c r="K98" s="5"/>
      <c r="L98" s="5"/>
      <c r="M98" s="5"/>
      <c r="N98" s="5"/>
      <c r="O98" s="8" t="str">
        <f t="shared" si="24"/>
        <v>n/a</v>
      </c>
      <c r="Q98" s="5"/>
      <c r="R98" s="5"/>
      <c r="S98" s="5"/>
      <c r="U98" s="6"/>
      <c r="V98" s="9" t="str">
        <f t="shared" si="27"/>
        <v/>
      </c>
      <c r="W98" s="9" t="str">
        <f t="shared" si="28"/>
        <v/>
      </c>
      <c r="X98" s="10">
        <f>SUM(V$13:V98)/COUNTA(B$13:B98)</f>
        <v>0</v>
      </c>
      <c r="Z98" s="5"/>
      <c r="AA98" s="5"/>
      <c r="AC98" s="7"/>
      <c r="AE98" s="54" t="e">
        <f t="shared" si="29"/>
        <v>#N/A</v>
      </c>
      <c r="AF98" s="4" t="e">
        <f t="shared" si="25"/>
        <v>#N/A</v>
      </c>
    </row>
    <row r="99" spans="2:32">
      <c r="B99" s="5">
        <f t="shared" si="30"/>
        <v>87</v>
      </c>
      <c r="C99" s="5"/>
      <c r="E99" s="13"/>
      <c r="F99" s="5"/>
      <c r="G99" s="11" t="str">
        <f>IF(ISERROR(AVERAGE(F$13:F99)),"n/a",AVERAGE(F$13:F99))</f>
        <v>n/a</v>
      </c>
      <c r="H99" s="11" t="str">
        <f t="shared" si="26"/>
        <v>n/a</v>
      </c>
      <c r="J99" s="5"/>
      <c r="K99" s="5"/>
      <c r="L99" s="5"/>
      <c r="M99" s="5"/>
      <c r="N99" s="5"/>
      <c r="O99" s="8" t="str">
        <f t="shared" si="24"/>
        <v>n/a</v>
      </c>
      <c r="Q99" s="5"/>
      <c r="R99" s="5"/>
      <c r="S99" s="5"/>
      <c r="U99" s="6"/>
      <c r="V99" s="9" t="str">
        <f t="shared" si="27"/>
        <v/>
      </c>
      <c r="W99" s="9" t="str">
        <f t="shared" si="28"/>
        <v/>
      </c>
      <c r="X99" s="10">
        <f>SUM(V$13:V99)/COUNTA(B$13:B99)</f>
        <v>0</v>
      </c>
      <c r="Z99" s="5"/>
      <c r="AA99" s="5"/>
      <c r="AC99" s="7"/>
      <c r="AE99" s="54" t="e">
        <f t="shared" si="29"/>
        <v>#N/A</v>
      </c>
      <c r="AF99" s="4" t="e">
        <f t="shared" si="25"/>
        <v>#N/A</v>
      </c>
    </row>
    <row r="100" spans="2:32">
      <c r="B100" s="5">
        <f t="shared" si="30"/>
        <v>88</v>
      </c>
      <c r="C100" s="5"/>
      <c r="E100" s="13"/>
      <c r="F100" s="5"/>
      <c r="G100" s="11" t="str">
        <f>IF(ISERROR(AVERAGE(F$13:F100)),"n/a",AVERAGE(F$13:F100))</f>
        <v>n/a</v>
      </c>
      <c r="H100" s="11" t="str">
        <f t="shared" si="26"/>
        <v>n/a</v>
      </c>
      <c r="J100" s="5"/>
      <c r="K100" s="5"/>
      <c r="L100" s="5"/>
      <c r="M100" s="5"/>
      <c r="N100" s="5"/>
      <c r="O100" s="8" t="str">
        <f t="shared" si="24"/>
        <v>n/a</v>
      </c>
      <c r="Q100" s="5"/>
      <c r="R100" s="5"/>
      <c r="S100" s="5"/>
      <c r="U100" s="6"/>
      <c r="V100" s="9" t="str">
        <f t="shared" si="27"/>
        <v/>
      </c>
      <c r="W100" s="9" t="str">
        <f t="shared" si="28"/>
        <v/>
      </c>
      <c r="X100" s="10">
        <f>SUM(V$13:V100)/COUNTA(B$13:B100)</f>
        <v>0</v>
      </c>
      <c r="Z100" s="5"/>
      <c r="AA100" s="5"/>
      <c r="AC100" s="7"/>
      <c r="AE100" s="54" t="e">
        <f t="shared" si="29"/>
        <v>#N/A</v>
      </c>
      <c r="AF100" s="4" t="e">
        <f t="shared" si="25"/>
        <v>#N/A</v>
      </c>
    </row>
    <row r="101" spans="2:32">
      <c r="B101" s="5">
        <f t="shared" si="30"/>
        <v>89</v>
      </c>
      <c r="C101" s="5"/>
      <c r="E101" s="13"/>
      <c r="F101" s="5"/>
      <c r="G101" s="11" t="str">
        <f>IF(ISERROR(AVERAGE(F$13:F101)),"n/a",AVERAGE(F$13:F101))</f>
        <v>n/a</v>
      </c>
      <c r="H101" s="11" t="str">
        <f t="shared" si="26"/>
        <v>n/a</v>
      </c>
      <c r="J101" s="5"/>
      <c r="K101" s="5"/>
      <c r="L101" s="5"/>
      <c r="M101" s="5"/>
      <c r="N101" s="5"/>
      <c r="O101" s="8" t="str">
        <f t="shared" si="24"/>
        <v>n/a</v>
      </c>
      <c r="Q101" s="5"/>
      <c r="R101" s="5"/>
      <c r="S101" s="5"/>
      <c r="U101" s="6"/>
      <c r="V101" s="9" t="str">
        <f t="shared" si="27"/>
        <v/>
      </c>
      <c r="W101" s="9" t="str">
        <f t="shared" si="28"/>
        <v/>
      </c>
      <c r="X101" s="10">
        <f>SUM(V$13:V101)/COUNTA(B$13:B101)</f>
        <v>0</v>
      </c>
      <c r="Z101" s="5"/>
      <c r="AA101" s="5"/>
      <c r="AC101" s="7"/>
      <c r="AE101" s="54" t="e">
        <f t="shared" si="29"/>
        <v>#N/A</v>
      </c>
      <c r="AF101" s="4" t="e">
        <f t="shared" si="25"/>
        <v>#N/A</v>
      </c>
    </row>
    <row r="102" spans="2:32">
      <c r="B102" s="5">
        <f t="shared" si="30"/>
        <v>90</v>
      </c>
      <c r="C102" s="5"/>
      <c r="E102" s="13"/>
      <c r="F102" s="5"/>
      <c r="G102" s="11" t="str">
        <f>IF(ISERROR(AVERAGE(F$13:F102)),"n/a",AVERAGE(F$13:F102))</f>
        <v>n/a</v>
      </c>
      <c r="H102" s="11" t="str">
        <f t="shared" si="26"/>
        <v>n/a</v>
      </c>
      <c r="J102" s="5"/>
      <c r="K102" s="5"/>
      <c r="L102" s="5"/>
      <c r="M102" s="5"/>
      <c r="N102" s="5"/>
      <c r="O102" s="8" t="str">
        <f t="shared" si="24"/>
        <v>n/a</v>
      </c>
      <c r="Q102" s="5"/>
      <c r="R102" s="5"/>
      <c r="S102" s="5"/>
      <c r="U102" s="6"/>
      <c r="V102" s="9" t="str">
        <f t="shared" si="27"/>
        <v/>
      </c>
      <c r="W102" s="9" t="str">
        <f t="shared" si="28"/>
        <v/>
      </c>
      <c r="X102" s="10">
        <f>SUM(V$13:V102)/COUNTA(B$13:B102)</f>
        <v>0</v>
      </c>
      <c r="Z102" s="5"/>
      <c r="AA102" s="5"/>
      <c r="AC102" s="7"/>
      <c r="AE102" s="54" t="e">
        <f t="shared" si="29"/>
        <v>#N/A</v>
      </c>
      <c r="AF102" s="4" t="e">
        <f t="shared" si="25"/>
        <v>#N/A</v>
      </c>
    </row>
    <row r="103" spans="2:32">
      <c r="B103" s="5">
        <f t="shared" si="30"/>
        <v>91</v>
      </c>
      <c r="C103" s="5"/>
      <c r="E103" s="13"/>
      <c r="F103" s="5"/>
      <c r="G103" s="11" t="str">
        <f>IF(ISERROR(AVERAGE(F$13:F103)),"n/a",AVERAGE(F$13:F103))</f>
        <v>n/a</v>
      </c>
      <c r="H103" s="11" t="str">
        <f t="shared" si="26"/>
        <v>n/a</v>
      </c>
      <c r="J103" s="5"/>
      <c r="K103" s="5"/>
      <c r="L103" s="5"/>
      <c r="M103" s="5"/>
      <c r="N103" s="5"/>
      <c r="O103" s="8" t="str">
        <f t="shared" si="24"/>
        <v>n/a</v>
      </c>
      <c r="Q103" s="5"/>
      <c r="R103" s="5"/>
      <c r="S103" s="5"/>
      <c r="U103" s="6"/>
      <c r="V103" s="9" t="str">
        <f t="shared" si="27"/>
        <v/>
      </c>
      <c r="W103" s="9" t="str">
        <f t="shared" si="28"/>
        <v/>
      </c>
      <c r="X103" s="10">
        <f>SUM(V$13:V103)/COUNTA(B$13:B103)</f>
        <v>0</v>
      </c>
      <c r="Z103" s="5"/>
      <c r="AA103" s="5"/>
      <c r="AC103" s="7"/>
      <c r="AE103" s="54" t="e">
        <f t="shared" si="29"/>
        <v>#N/A</v>
      </c>
      <c r="AF103" s="4" t="e">
        <f t="shared" si="25"/>
        <v>#N/A</v>
      </c>
    </row>
    <row r="104" spans="2:32">
      <c r="B104" s="5">
        <f t="shared" si="30"/>
        <v>92</v>
      </c>
      <c r="C104" s="5"/>
      <c r="E104" s="13"/>
      <c r="F104" s="5"/>
      <c r="G104" s="11" t="str">
        <f>IF(ISERROR(AVERAGE(F$13:F104)),"n/a",AVERAGE(F$13:F104))</f>
        <v>n/a</v>
      </c>
      <c r="H104" s="11" t="str">
        <f t="shared" si="26"/>
        <v>n/a</v>
      </c>
      <c r="J104" s="5"/>
      <c r="K104" s="5"/>
      <c r="L104" s="5"/>
      <c r="M104" s="5"/>
      <c r="N104" s="5"/>
      <c r="O104" s="8" t="str">
        <f t="shared" si="24"/>
        <v>n/a</v>
      </c>
      <c r="Q104" s="5"/>
      <c r="R104" s="5"/>
      <c r="S104" s="5"/>
      <c r="U104" s="6"/>
      <c r="V104" s="9" t="str">
        <f t="shared" si="27"/>
        <v/>
      </c>
      <c r="W104" s="9" t="str">
        <f t="shared" si="28"/>
        <v/>
      </c>
      <c r="X104" s="10">
        <f>SUM(V$13:V104)/COUNTA(B$13:B104)</f>
        <v>0</v>
      </c>
      <c r="Z104" s="5"/>
      <c r="AA104" s="5"/>
      <c r="AC104" s="7"/>
      <c r="AE104" s="54" t="e">
        <f t="shared" si="29"/>
        <v>#N/A</v>
      </c>
      <c r="AF104" s="4" t="e">
        <f t="shared" si="25"/>
        <v>#N/A</v>
      </c>
    </row>
    <row r="105" spans="2:32">
      <c r="B105" s="5">
        <f t="shared" si="30"/>
        <v>93</v>
      </c>
      <c r="C105" s="5"/>
      <c r="E105" s="13"/>
      <c r="F105" s="5"/>
      <c r="G105" s="11" t="str">
        <f>IF(ISERROR(AVERAGE(F$13:F105)),"n/a",AVERAGE(F$13:F105))</f>
        <v>n/a</v>
      </c>
      <c r="H105" s="11" t="str">
        <f t="shared" si="26"/>
        <v>n/a</v>
      </c>
      <c r="J105" s="5"/>
      <c r="K105" s="5"/>
      <c r="L105" s="5"/>
      <c r="M105" s="5"/>
      <c r="N105" s="5"/>
      <c r="O105" s="8" t="str">
        <f t="shared" si="24"/>
        <v>n/a</v>
      </c>
      <c r="Q105" s="5"/>
      <c r="R105" s="5"/>
      <c r="S105" s="5"/>
      <c r="U105" s="6"/>
      <c r="V105" s="9" t="str">
        <f t="shared" si="27"/>
        <v/>
      </c>
      <c r="W105" s="9" t="str">
        <f t="shared" si="28"/>
        <v/>
      </c>
      <c r="X105" s="10">
        <f>SUM(V$13:V105)/COUNTA(B$13:B105)</f>
        <v>0</v>
      </c>
      <c r="Z105" s="5"/>
      <c r="AA105" s="5"/>
      <c r="AC105" s="7"/>
      <c r="AE105" s="54" t="e">
        <f t="shared" si="29"/>
        <v>#N/A</v>
      </c>
      <c r="AF105" s="4" t="e">
        <f t="shared" si="25"/>
        <v>#N/A</v>
      </c>
    </row>
    <row r="106" spans="2:32">
      <c r="B106" s="5">
        <f t="shared" si="30"/>
        <v>94</v>
      </c>
      <c r="C106" s="5"/>
      <c r="E106" s="13"/>
      <c r="F106" s="5"/>
      <c r="G106" s="11" t="str">
        <f>IF(ISERROR(AVERAGE(F$13:F106)),"n/a",AVERAGE(F$13:F106))</f>
        <v>n/a</v>
      </c>
      <c r="H106" s="11" t="str">
        <f t="shared" si="26"/>
        <v>n/a</v>
      </c>
      <c r="J106" s="5"/>
      <c r="K106" s="5"/>
      <c r="L106" s="5"/>
      <c r="M106" s="5"/>
      <c r="N106" s="5"/>
      <c r="O106" s="8" t="str">
        <f t="shared" si="24"/>
        <v>n/a</v>
      </c>
      <c r="Q106" s="5"/>
      <c r="R106" s="5"/>
      <c r="S106" s="5"/>
      <c r="U106" s="6"/>
      <c r="V106" s="9" t="str">
        <f t="shared" si="27"/>
        <v/>
      </c>
      <c r="W106" s="9" t="str">
        <f t="shared" si="28"/>
        <v/>
      </c>
      <c r="X106" s="10">
        <f>SUM(V$13:V106)/COUNTA(B$13:B106)</f>
        <v>0</v>
      </c>
      <c r="Z106" s="5"/>
      <c r="AA106" s="5"/>
      <c r="AC106" s="7"/>
      <c r="AE106" s="54" t="e">
        <f t="shared" si="29"/>
        <v>#N/A</v>
      </c>
      <c r="AF106" s="4" t="e">
        <f t="shared" si="25"/>
        <v>#N/A</v>
      </c>
    </row>
    <row r="107" spans="2:32">
      <c r="B107" s="5">
        <f t="shared" si="30"/>
        <v>95</v>
      </c>
      <c r="C107" s="5"/>
      <c r="E107" s="13"/>
      <c r="F107" s="5"/>
      <c r="G107" s="11" t="str">
        <f>IF(ISERROR(AVERAGE(F$13:F107)),"n/a",AVERAGE(F$13:F107))</f>
        <v>n/a</v>
      </c>
      <c r="H107" s="11" t="str">
        <f t="shared" si="26"/>
        <v>n/a</v>
      </c>
      <c r="J107" s="5"/>
      <c r="K107" s="5"/>
      <c r="L107" s="5"/>
      <c r="M107" s="5"/>
      <c r="N107" s="5"/>
      <c r="O107" s="8" t="str">
        <f t="shared" si="24"/>
        <v>n/a</v>
      </c>
      <c r="Q107" s="5"/>
      <c r="R107" s="5"/>
      <c r="S107" s="5"/>
      <c r="U107" s="6"/>
      <c r="V107" s="9" t="str">
        <f t="shared" si="27"/>
        <v/>
      </c>
      <c r="W107" s="9" t="str">
        <f t="shared" si="28"/>
        <v/>
      </c>
      <c r="X107" s="10">
        <f>SUM(V$13:V107)/COUNTA(B$13:B107)</f>
        <v>0</v>
      </c>
      <c r="Z107" s="5"/>
      <c r="AA107" s="5"/>
      <c r="AC107" s="7"/>
      <c r="AE107" s="54" t="e">
        <f t="shared" si="29"/>
        <v>#N/A</v>
      </c>
      <c r="AF107" s="4" t="e">
        <f t="shared" si="25"/>
        <v>#N/A</v>
      </c>
    </row>
    <row r="108" spans="2:32">
      <c r="B108" s="5">
        <f t="shared" si="30"/>
        <v>96</v>
      </c>
      <c r="C108" s="5"/>
      <c r="E108" s="13"/>
      <c r="F108" s="5"/>
      <c r="G108" s="11" t="str">
        <f>IF(ISERROR(AVERAGE(F$13:F108)),"n/a",AVERAGE(F$13:F108))</f>
        <v>n/a</v>
      </c>
      <c r="H108" s="11" t="str">
        <f t="shared" si="26"/>
        <v>n/a</v>
      </c>
      <c r="J108" s="5"/>
      <c r="K108" s="5"/>
      <c r="L108" s="5"/>
      <c r="M108" s="5"/>
      <c r="N108" s="5"/>
      <c r="O108" s="8" t="str">
        <f t="shared" si="24"/>
        <v>n/a</v>
      </c>
      <c r="Q108" s="5"/>
      <c r="R108" s="5"/>
      <c r="S108" s="5"/>
      <c r="U108" s="6"/>
      <c r="V108" s="9" t="str">
        <f t="shared" si="27"/>
        <v/>
      </c>
      <c r="W108" s="9" t="str">
        <f t="shared" si="28"/>
        <v/>
      </c>
      <c r="X108" s="10">
        <f>SUM(V$13:V108)/COUNTA(B$13:B108)</f>
        <v>0</v>
      </c>
      <c r="Z108" s="5"/>
      <c r="AA108" s="5"/>
      <c r="AC108" s="7"/>
      <c r="AE108" s="54" t="e">
        <f t="shared" si="29"/>
        <v>#N/A</v>
      </c>
      <c r="AF108" s="4" t="e">
        <f t="shared" si="25"/>
        <v>#N/A</v>
      </c>
    </row>
    <row r="109" spans="2:32">
      <c r="B109" s="5">
        <f t="shared" si="30"/>
        <v>97</v>
      </c>
      <c r="C109" s="5"/>
      <c r="E109" s="13"/>
      <c r="F109" s="5"/>
      <c r="G109" s="11" t="str">
        <f>IF(ISERROR(AVERAGE(F$13:F109)),"n/a",AVERAGE(F$13:F109))</f>
        <v>n/a</v>
      </c>
      <c r="H109" s="11" t="str">
        <f t="shared" si="26"/>
        <v>n/a</v>
      </c>
      <c r="J109" s="5"/>
      <c r="K109" s="5"/>
      <c r="L109" s="5"/>
      <c r="M109" s="5"/>
      <c r="N109" s="5"/>
      <c r="O109" s="8" t="str">
        <f t="shared" si="24"/>
        <v>n/a</v>
      </c>
      <c r="Q109" s="5"/>
      <c r="R109" s="5"/>
      <c r="S109" s="5"/>
      <c r="U109" s="6"/>
      <c r="V109" s="9" t="str">
        <f t="shared" si="27"/>
        <v/>
      </c>
      <c r="W109" s="9" t="str">
        <f t="shared" si="28"/>
        <v/>
      </c>
      <c r="X109" s="10">
        <f>SUM(V$13:V109)/COUNTA(B$13:B109)</f>
        <v>0</v>
      </c>
      <c r="Z109" s="5"/>
      <c r="AA109" s="5"/>
      <c r="AC109" s="7"/>
      <c r="AE109" s="54" t="e">
        <f t="shared" si="29"/>
        <v>#N/A</v>
      </c>
      <c r="AF109" s="4" t="e">
        <f t="shared" si="25"/>
        <v>#N/A</v>
      </c>
    </row>
    <row r="110" spans="2:32">
      <c r="B110" s="5">
        <f t="shared" si="30"/>
        <v>98</v>
      </c>
      <c r="C110" s="5"/>
      <c r="E110" s="13"/>
      <c r="F110" s="5"/>
      <c r="G110" s="11" t="str">
        <f>IF(ISERROR(AVERAGE(F$13:F110)),"n/a",AVERAGE(F$13:F110))</f>
        <v>n/a</v>
      </c>
      <c r="H110" s="11" t="str">
        <f t="shared" si="26"/>
        <v>n/a</v>
      </c>
      <c r="J110" s="5"/>
      <c r="K110" s="5"/>
      <c r="L110" s="5"/>
      <c r="M110" s="5"/>
      <c r="N110" s="5"/>
      <c r="O110" s="8" t="str">
        <f t="shared" si="24"/>
        <v>n/a</v>
      </c>
      <c r="Q110" s="5"/>
      <c r="R110" s="5"/>
      <c r="S110" s="5"/>
      <c r="U110" s="6"/>
      <c r="V110" s="9" t="str">
        <f t="shared" si="27"/>
        <v/>
      </c>
      <c r="W110" s="9" t="str">
        <f t="shared" si="28"/>
        <v/>
      </c>
      <c r="X110" s="10">
        <f>SUM(V$13:V110)/COUNTA(B$13:B110)</f>
        <v>0</v>
      </c>
      <c r="Z110" s="5"/>
      <c r="AA110" s="5"/>
      <c r="AC110" s="7"/>
      <c r="AE110" s="54" t="e">
        <f t="shared" si="29"/>
        <v>#N/A</v>
      </c>
      <c r="AF110" s="4" t="e">
        <f t="shared" si="25"/>
        <v>#N/A</v>
      </c>
    </row>
    <row r="111" spans="2:32">
      <c r="B111" s="5">
        <f t="shared" si="30"/>
        <v>99</v>
      </c>
      <c r="C111" s="5"/>
      <c r="E111" s="13"/>
      <c r="F111" s="5"/>
      <c r="G111" s="11" t="str">
        <f>IF(ISERROR(AVERAGE(F$13:F111)),"n/a",AVERAGE(F$13:F111))</f>
        <v>n/a</v>
      </c>
      <c r="H111" s="11" t="str">
        <f t="shared" si="26"/>
        <v>n/a</v>
      </c>
      <c r="J111" s="5"/>
      <c r="K111" s="5"/>
      <c r="L111" s="5"/>
      <c r="M111" s="5"/>
      <c r="N111" s="5"/>
      <c r="O111" s="8" t="str">
        <f t="shared" si="24"/>
        <v>n/a</v>
      </c>
      <c r="Q111" s="5"/>
      <c r="R111" s="5"/>
      <c r="S111" s="5"/>
      <c r="U111" s="6"/>
      <c r="V111" s="9" t="str">
        <f t="shared" si="27"/>
        <v/>
      </c>
      <c r="W111" s="9" t="str">
        <f t="shared" si="28"/>
        <v/>
      </c>
      <c r="X111" s="10">
        <f>SUM(V$13:V111)/COUNTA(B$13:B111)</f>
        <v>0</v>
      </c>
      <c r="Z111" s="5"/>
      <c r="AA111" s="5"/>
      <c r="AC111" s="7"/>
      <c r="AE111" s="54" t="e">
        <f t="shared" si="29"/>
        <v>#N/A</v>
      </c>
      <c r="AF111" s="4" t="e">
        <f t="shared" si="25"/>
        <v>#N/A</v>
      </c>
    </row>
    <row r="112" spans="2:32">
      <c r="B112" s="5">
        <f t="shared" si="30"/>
        <v>100</v>
      </c>
      <c r="C112" s="5"/>
      <c r="E112" s="13"/>
      <c r="F112" s="5"/>
      <c r="G112" s="11" t="str">
        <f>IF(ISERROR(AVERAGE(F$13:F112)),"n/a",AVERAGE(F$13:F112))</f>
        <v>n/a</v>
      </c>
      <c r="H112" s="11" t="str">
        <f t="shared" si="26"/>
        <v>n/a</v>
      </c>
      <c r="J112" s="5"/>
      <c r="K112" s="5"/>
      <c r="L112" s="5"/>
      <c r="M112" s="5"/>
      <c r="N112" s="5"/>
      <c r="O112" s="8" t="str">
        <f t="shared" si="24"/>
        <v>n/a</v>
      </c>
      <c r="Q112" s="5"/>
      <c r="R112" s="5"/>
      <c r="S112" s="5"/>
      <c r="U112" s="6"/>
      <c r="V112" s="9" t="str">
        <f t="shared" si="27"/>
        <v/>
      </c>
      <c r="W112" s="9" t="str">
        <f t="shared" si="28"/>
        <v/>
      </c>
      <c r="X112" s="10">
        <f>SUM(V$13:V112)/COUNTA(B$13:B112)</f>
        <v>0</v>
      </c>
      <c r="Z112" s="5"/>
      <c r="AA112" s="5"/>
      <c r="AC112" s="7"/>
      <c r="AE112" s="54" t="e">
        <f t="shared" si="29"/>
        <v>#N/A</v>
      </c>
      <c r="AF112" s="4" t="e">
        <f t="shared" si="25"/>
        <v>#N/A</v>
      </c>
    </row>
    <row r="113" spans="2:59" customFormat="1">
      <c r="B113" s="5">
        <f t="shared" si="30"/>
        <v>101</v>
      </c>
      <c r="C113" s="5"/>
      <c r="E113" s="13"/>
      <c r="F113" s="5"/>
      <c r="G113" s="11" t="str">
        <f>IF(ISERROR(AVERAGE(F$13:F113)),"n/a",AVERAGE(F$13:F113))</f>
        <v>n/a</v>
      </c>
      <c r="H113" s="11" t="str">
        <f t="shared" si="26"/>
        <v>n/a</v>
      </c>
      <c r="J113" s="5"/>
      <c r="K113" s="5"/>
      <c r="L113" s="5"/>
      <c r="M113" s="5"/>
      <c r="N113" s="5"/>
      <c r="O113" s="8" t="str">
        <f t="shared" si="24"/>
        <v>n/a</v>
      </c>
      <c r="Q113" s="5"/>
      <c r="R113" s="5"/>
      <c r="S113" s="5"/>
      <c r="U113" s="6"/>
      <c r="V113" s="9" t="str">
        <f t="shared" si="27"/>
        <v/>
      </c>
      <c r="W113" s="9" t="str">
        <f t="shared" si="28"/>
        <v/>
      </c>
      <c r="X113" s="10">
        <f>SUM(V$13:V113)/COUNTA(B$13:B113)</f>
        <v>0</v>
      </c>
      <c r="Z113" s="5"/>
      <c r="AA113" s="5"/>
      <c r="AC113" s="7"/>
      <c r="AE113" s="54" t="e">
        <f t="shared" si="29"/>
        <v>#N/A</v>
      </c>
      <c r="AF113" s="4" t="e">
        <f t="shared" si="25"/>
        <v>#N/A</v>
      </c>
      <c r="BF113" s="115"/>
      <c r="BG113" s="115"/>
    </row>
    <row r="114" spans="2:59">
      <c r="B114" s="5">
        <f t="shared" si="30"/>
        <v>102</v>
      </c>
      <c r="C114" s="5"/>
      <c r="E114" s="13"/>
      <c r="F114" s="5"/>
      <c r="G114" s="11" t="str">
        <f>IF(ISERROR(AVERAGE(F$13:F114)),"n/a",AVERAGE(F$13:F114))</f>
        <v>n/a</v>
      </c>
      <c r="H114" s="11" t="str">
        <f t="shared" si="26"/>
        <v>n/a</v>
      </c>
      <c r="J114" s="5"/>
      <c r="K114" s="5"/>
      <c r="L114" s="5"/>
      <c r="M114" s="5"/>
      <c r="N114" s="5"/>
      <c r="O114" s="8" t="str">
        <f t="shared" si="24"/>
        <v>n/a</v>
      </c>
      <c r="Q114" s="5"/>
      <c r="R114" s="5"/>
      <c r="S114" s="5"/>
      <c r="U114" s="6"/>
      <c r="V114" s="9" t="str">
        <f t="shared" si="27"/>
        <v/>
      </c>
      <c r="W114" s="9" t="str">
        <f t="shared" si="28"/>
        <v/>
      </c>
      <c r="X114" s="10">
        <f>SUM(V$13:V114)/COUNTA(B$13:B114)</f>
        <v>0</v>
      </c>
      <c r="Z114" s="5"/>
      <c r="AA114" s="5"/>
      <c r="AC114" s="7"/>
      <c r="AE114" s="54" t="e">
        <f t="shared" si="29"/>
        <v>#N/A</v>
      </c>
      <c r="AF114" s="4" t="e">
        <f t="shared" si="25"/>
        <v>#N/A</v>
      </c>
    </row>
    <row r="115" spans="2:59">
      <c r="B115" s="5">
        <f t="shared" si="30"/>
        <v>103</v>
      </c>
      <c r="C115" s="5"/>
      <c r="E115" s="13"/>
      <c r="F115" s="5"/>
      <c r="G115" s="11" t="str">
        <f>IF(ISERROR(AVERAGE(F$13:F115)),"n/a",AVERAGE(F$13:F115))</f>
        <v>n/a</v>
      </c>
      <c r="H115" s="11" t="str">
        <f t="shared" si="26"/>
        <v>n/a</v>
      </c>
      <c r="J115" s="5"/>
      <c r="K115" s="5"/>
      <c r="L115" s="5"/>
      <c r="M115" s="5"/>
      <c r="N115" s="5"/>
      <c r="O115" s="8" t="str">
        <f t="shared" si="24"/>
        <v>n/a</v>
      </c>
      <c r="Q115" s="5"/>
      <c r="R115" s="5"/>
      <c r="S115" s="5"/>
      <c r="U115" s="6"/>
      <c r="V115" s="9" t="str">
        <f t="shared" si="27"/>
        <v/>
      </c>
      <c r="W115" s="9" t="str">
        <f t="shared" si="28"/>
        <v/>
      </c>
      <c r="X115" s="10">
        <f>SUM(V$13:V115)/COUNTA(B$13:B115)</f>
        <v>0</v>
      </c>
      <c r="Z115" s="5"/>
      <c r="AA115" s="5"/>
      <c r="AC115" s="7"/>
      <c r="AE115" s="54" t="e">
        <f t="shared" si="29"/>
        <v>#N/A</v>
      </c>
      <c r="AF115" s="4" t="e">
        <f t="shared" si="25"/>
        <v>#N/A</v>
      </c>
    </row>
    <row r="116" spans="2:59">
      <c r="B116" s="5">
        <f t="shared" si="30"/>
        <v>104</v>
      </c>
      <c r="C116" s="5"/>
      <c r="E116" s="13"/>
      <c r="F116" s="5"/>
      <c r="G116" s="11" t="str">
        <f>IF(ISERROR(AVERAGE(F$13:F116)),"n/a",AVERAGE(F$13:F116))</f>
        <v>n/a</v>
      </c>
      <c r="H116" s="11" t="str">
        <f t="shared" si="26"/>
        <v>n/a</v>
      </c>
      <c r="J116" s="5"/>
      <c r="K116" s="5"/>
      <c r="L116" s="5"/>
      <c r="M116" s="5"/>
      <c r="N116" s="5"/>
      <c r="O116" s="8" t="str">
        <f t="shared" si="24"/>
        <v>n/a</v>
      </c>
      <c r="Q116" s="5"/>
      <c r="R116" s="5"/>
      <c r="S116" s="5"/>
      <c r="U116" s="6"/>
      <c r="V116" s="9" t="str">
        <f t="shared" si="27"/>
        <v/>
      </c>
      <c r="W116" s="9" t="str">
        <f t="shared" si="28"/>
        <v/>
      </c>
      <c r="X116" s="10">
        <f>SUM(V$13:V116)/COUNTA(B$13:B116)</f>
        <v>0</v>
      </c>
      <c r="Z116" s="5"/>
      <c r="AA116" s="5"/>
      <c r="AC116" s="7"/>
      <c r="AE116" s="54" t="e">
        <f t="shared" si="29"/>
        <v>#N/A</v>
      </c>
      <c r="AF116" s="4" t="e">
        <f t="shared" si="25"/>
        <v>#N/A</v>
      </c>
    </row>
    <row r="117" spans="2:59">
      <c r="B117" s="5">
        <f t="shared" si="30"/>
        <v>105</v>
      </c>
      <c r="C117" s="5"/>
      <c r="E117" s="13"/>
      <c r="F117" s="5"/>
      <c r="G117" s="11" t="str">
        <f>IF(ISERROR(AVERAGE(F$13:F117)),"n/a",AVERAGE(F$13:F117))</f>
        <v>n/a</v>
      </c>
      <c r="H117" s="11" t="str">
        <f t="shared" si="26"/>
        <v>n/a</v>
      </c>
      <c r="J117" s="5"/>
      <c r="K117" s="5"/>
      <c r="L117" s="5"/>
      <c r="M117" s="5"/>
      <c r="N117" s="5"/>
      <c r="O117" s="8" t="str">
        <f t="shared" si="24"/>
        <v>n/a</v>
      </c>
      <c r="Q117" s="5"/>
      <c r="R117" s="5"/>
      <c r="S117" s="5"/>
      <c r="U117" s="6"/>
      <c r="V117" s="9" t="str">
        <f t="shared" si="27"/>
        <v/>
      </c>
      <c r="W117" s="9" t="str">
        <f t="shared" si="28"/>
        <v/>
      </c>
      <c r="X117" s="10">
        <f>SUM(V$13:V117)/COUNTA(B$13:B117)</f>
        <v>0</v>
      </c>
      <c r="Z117" s="5"/>
      <c r="AA117" s="5"/>
      <c r="AC117" s="7"/>
      <c r="AE117" s="54" t="e">
        <f t="shared" si="29"/>
        <v>#N/A</v>
      </c>
      <c r="AF117" s="4" t="e">
        <f t="shared" si="25"/>
        <v>#N/A</v>
      </c>
    </row>
    <row r="118" spans="2:59">
      <c r="B118" s="5">
        <f t="shared" si="30"/>
        <v>106</v>
      </c>
      <c r="C118" s="5"/>
      <c r="E118" s="13"/>
      <c r="F118" s="5"/>
      <c r="G118" s="11" t="str">
        <f>IF(ISERROR(AVERAGE(F$13:F118)),"n/a",AVERAGE(F$13:F118))</f>
        <v>n/a</v>
      </c>
      <c r="H118" s="11" t="str">
        <f t="shared" si="26"/>
        <v>n/a</v>
      </c>
      <c r="J118" s="5"/>
      <c r="K118" s="5"/>
      <c r="L118" s="5"/>
      <c r="M118" s="5"/>
      <c r="N118" s="5"/>
      <c r="O118" s="8" t="str">
        <f t="shared" si="24"/>
        <v>n/a</v>
      </c>
      <c r="Q118" s="5"/>
      <c r="R118" s="5"/>
      <c r="S118" s="5"/>
      <c r="U118" s="6"/>
      <c r="V118" s="9" t="str">
        <f t="shared" si="27"/>
        <v/>
      </c>
      <c r="W118" s="9" t="str">
        <f t="shared" si="28"/>
        <v/>
      </c>
      <c r="X118" s="10">
        <f>SUM(V$13:V118)/COUNTA(B$13:B118)</f>
        <v>0</v>
      </c>
      <c r="Z118" s="5"/>
      <c r="AA118" s="5"/>
      <c r="AC118" s="7"/>
      <c r="AE118" s="54" t="e">
        <f t="shared" si="29"/>
        <v>#N/A</v>
      </c>
      <c r="AF118" s="4" t="e">
        <f t="shared" si="25"/>
        <v>#N/A</v>
      </c>
    </row>
    <row r="119" spans="2:59">
      <c r="B119" s="5">
        <f t="shared" si="30"/>
        <v>107</v>
      </c>
      <c r="C119" s="5"/>
      <c r="E119" s="13"/>
      <c r="F119" s="5"/>
      <c r="G119" s="11" t="str">
        <f>IF(ISERROR(AVERAGE(F$13:F119)),"n/a",AVERAGE(F$13:F119))</f>
        <v>n/a</v>
      </c>
      <c r="H119" s="11" t="str">
        <f t="shared" si="26"/>
        <v>n/a</v>
      </c>
      <c r="J119" s="5"/>
      <c r="K119" s="5"/>
      <c r="L119" s="5"/>
      <c r="M119" s="5"/>
      <c r="N119" s="5"/>
      <c r="O119" s="8" t="str">
        <f t="shared" si="24"/>
        <v>n/a</v>
      </c>
      <c r="Q119" s="5"/>
      <c r="R119" s="5"/>
      <c r="S119" s="5"/>
      <c r="U119" s="6"/>
      <c r="V119" s="9" t="str">
        <f t="shared" si="27"/>
        <v/>
      </c>
      <c r="W119" s="9" t="str">
        <f t="shared" si="28"/>
        <v/>
      </c>
      <c r="X119" s="10">
        <f>SUM(V$13:V119)/COUNTA(B$13:B119)</f>
        <v>0</v>
      </c>
      <c r="Z119" s="5"/>
      <c r="AA119" s="5"/>
      <c r="AC119" s="7"/>
      <c r="AE119" s="54" t="e">
        <f t="shared" si="29"/>
        <v>#N/A</v>
      </c>
      <c r="AF119" s="4" t="e">
        <f t="shared" si="25"/>
        <v>#N/A</v>
      </c>
    </row>
    <row r="120" spans="2:59">
      <c r="B120" s="5">
        <f t="shared" si="30"/>
        <v>108</v>
      </c>
      <c r="C120" s="5"/>
      <c r="E120" s="13"/>
      <c r="F120" s="5"/>
      <c r="G120" s="11" t="str">
        <f>IF(ISERROR(AVERAGE(F$13:F120)),"n/a",AVERAGE(F$13:F120))</f>
        <v>n/a</v>
      </c>
      <c r="H120" s="11" t="str">
        <f t="shared" si="26"/>
        <v>n/a</v>
      </c>
      <c r="J120" s="5"/>
      <c r="K120" s="5"/>
      <c r="L120" s="5"/>
      <c r="M120" s="5"/>
      <c r="N120" s="5"/>
      <c r="O120" s="8" t="str">
        <f t="shared" si="24"/>
        <v>n/a</v>
      </c>
      <c r="Q120" s="5"/>
      <c r="R120" s="5"/>
      <c r="S120" s="5"/>
      <c r="U120" s="6"/>
      <c r="V120" s="9" t="str">
        <f t="shared" si="27"/>
        <v/>
      </c>
      <c r="W120" s="9" t="str">
        <f t="shared" si="28"/>
        <v/>
      </c>
      <c r="X120" s="10">
        <f>SUM(V$13:V120)/COUNTA(B$13:B120)</f>
        <v>0</v>
      </c>
      <c r="Z120" s="5"/>
      <c r="AA120" s="5"/>
      <c r="AC120" s="7"/>
      <c r="AE120" s="54" t="e">
        <f t="shared" si="29"/>
        <v>#N/A</v>
      </c>
      <c r="AF120" s="4" t="e">
        <f t="shared" si="25"/>
        <v>#N/A</v>
      </c>
    </row>
    <row r="121" spans="2:59">
      <c r="B121" s="5">
        <f t="shared" si="30"/>
        <v>109</v>
      </c>
      <c r="C121" s="5"/>
      <c r="E121" s="13"/>
      <c r="F121" s="5"/>
      <c r="G121" s="11" t="str">
        <f>IF(ISERROR(AVERAGE(F$13:F121)),"n/a",AVERAGE(F$13:F121))</f>
        <v>n/a</v>
      </c>
      <c r="H121" s="11" t="str">
        <f t="shared" si="26"/>
        <v>n/a</v>
      </c>
      <c r="J121" s="5"/>
      <c r="K121" s="5"/>
      <c r="L121" s="5"/>
      <c r="M121" s="5"/>
      <c r="N121" s="5"/>
      <c r="O121" s="8" t="str">
        <f t="shared" si="24"/>
        <v>n/a</v>
      </c>
      <c r="Q121" s="5"/>
      <c r="R121" s="5"/>
      <c r="S121" s="5"/>
      <c r="U121" s="6"/>
      <c r="V121" s="9" t="str">
        <f t="shared" si="27"/>
        <v/>
      </c>
      <c r="W121" s="9" t="str">
        <f t="shared" si="28"/>
        <v/>
      </c>
      <c r="X121" s="10">
        <f>SUM(V$13:V121)/COUNTA(B$13:B121)</f>
        <v>0</v>
      </c>
      <c r="Z121" s="5"/>
      <c r="AA121" s="5"/>
      <c r="AC121" s="7"/>
      <c r="AE121" s="54" t="e">
        <f t="shared" si="29"/>
        <v>#N/A</v>
      </c>
      <c r="AF121" s="4" t="e">
        <f t="shared" si="25"/>
        <v>#N/A</v>
      </c>
    </row>
    <row r="122" spans="2:59">
      <c r="B122" s="5">
        <f t="shared" si="30"/>
        <v>110</v>
      </c>
      <c r="C122" s="5"/>
      <c r="E122" s="13"/>
      <c r="F122" s="5"/>
      <c r="G122" s="11" t="str">
        <f>IF(ISERROR(AVERAGE(F$13:F122)),"n/a",AVERAGE(F$13:F122))</f>
        <v>n/a</v>
      </c>
      <c r="H122" s="11" t="str">
        <f t="shared" si="26"/>
        <v>n/a</v>
      </c>
      <c r="J122" s="5"/>
      <c r="K122" s="5"/>
      <c r="L122" s="5"/>
      <c r="M122" s="5"/>
      <c r="N122" s="5"/>
      <c r="O122" s="8" t="str">
        <f t="shared" si="24"/>
        <v>n/a</v>
      </c>
      <c r="Q122" s="5"/>
      <c r="R122" s="5"/>
      <c r="S122" s="5"/>
      <c r="U122" s="6"/>
      <c r="V122" s="9" t="str">
        <f t="shared" si="27"/>
        <v/>
      </c>
      <c r="W122" s="9" t="str">
        <f t="shared" si="28"/>
        <v/>
      </c>
      <c r="X122" s="10">
        <f>SUM(V$13:V122)/COUNTA(B$13:B122)</f>
        <v>0</v>
      </c>
      <c r="Z122" s="5"/>
      <c r="AA122" s="5"/>
      <c r="AC122" s="7"/>
      <c r="AE122" s="54" t="e">
        <f t="shared" si="29"/>
        <v>#N/A</v>
      </c>
      <c r="AF122" s="4" t="e">
        <f t="shared" si="25"/>
        <v>#N/A</v>
      </c>
    </row>
    <row r="123" spans="2:59">
      <c r="B123" s="5">
        <f t="shared" si="30"/>
        <v>111</v>
      </c>
      <c r="C123" s="5"/>
      <c r="E123" s="13"/>
      <c r="F123" s="5"/>
      <c r="G123" s="11" t="str">
        <f>IF(ISERROR(AVERAGE(F$13:F123)),"n/a",AVERAGE(F$13:F123))</f>
        <v>n/a</v>
      </c>
      <c r="H123" s="11" t="str">
        <f t="shared" si="26"/>
        <v>n/a</v>
      </c>
      <c r="J123" s="5"/>
      <c r="K123" s="5"/>
      <c r="L123" s="5"/>
      <c r="M123" s="5"/>
      <c r="N123" s="5"/>
      <c r="O123" s="8" t="str">
        <f t="shared" si="24"/>
        <v>n/a</v>
      </c>
      <c r="Q123" s="5"/>
      <c r="R123" s="5"/>
      <c r="S123" s="5"/>
      <c r="U123" s="6"/>
      <c r="V123" s="9" t="str">
        <f t="shared" si="27"/>
        <v/>
      </c>
      <c r="W123" s="9" t="str">
        <f t="shared" si="28"/>
        <v/>
      </c>
      <c r="X123" s="10">
        <f>SUM(V$13:V123)/COUNTA(B$13:B123)</f>
        <v>0</v>
      </c>
      <c r="Z123" s="5"/>
      <c r="AA123" s="5"/>
      <c r="AC123" s="7"/>
      <c r="AE123" s="54" t="e">
        <f t="shared" si="29"/>
        <v>#N/A</v>
      </c>
      <c r="AF123" s="4" t="e">
        <f t="shared" si="25"/>
        <v>#N/A</v>
      </c>
    </row>
    <row r="124" spans="2:59">
      <c r="B124" s="5">
        <f t="shared" si="30"/>
        <v>112</v>
      </c>
      <c r="C124" s="5"/>
      <c r="E124" s="13"/>
      <c r="F124" s="5"/>
      <c r="G124" s="11" t="str">
        <f>IF(ISERROR(AVERAGE(F$13:F124)),"n/a",AVERAGE(F$13:F124))</f>
        <v>n/a</v>
      </c>
      <c r="H124" s="11" t="str">
        <f t="shared" si="26"/>
        <v>n/a</v>
      </c>
      <c r="J124" s="5"/>
      <c r="K124" s="5"/>
      <c r="L124" s="5"/>
      <c r="M124" s="5"/>
      <c r="N124" s="5"/>
      <c r="O124" s="8" t="str">
        <f t="shared" si="24"/>
        <v>n/a</v>
      </c>
      <c r="Q124" s="5"/>
      <c r="R124" s="5"/>
      <c r="S124" s="5"/>
      <c r="U124" s="6"/>
      <c r="V124" s="9" t="str">
        <f t="shared" si="27"/>
        <v/>
      </c>
      <c r="W124" s="9" t="str">
        <f t="shared" si="28"/>
        <v/>
      </c>
      <c r="X124" s="10">
        <f>SUM(V$13:V124)/COUNTA(B$13:B124)</f>
        <v>0</v>
      </c>
      <c r="Z124" s="5"/>
      <c r="AA124" s="5"/>
      <c r="AC124" s="7"/>
      <c r="AE124" s="54" t="e">
        <f t="shared" si="29"/>
        <v>#N/A</v>
      </c>
      <c r="AF124" s="4" t="e">
        <f t="shared" si="25"/>
        <v>#N/A</v>
      </c>
    </row>
    <row r="125" spans="2:59">
      <c r="B125" s="5">
        <f t="shared" si="30"/>
        <v>113</v>
      </c>
      <c r="C125" s="5"/>
      <c r="E125" s="13"/>
      <c r="F125" s="5"/>
      <c r="G125" s="11" t="str">
        <f>IF(ISERROR(AVERAGE(F$13:F125)),"n/a",AVERAGE(F$13:F125))</f>
        <v>n/a</v>
      </c>
      <c r="H125" s="11" t="str">
        <f t="shared" si="26"/>
        <v>n/a</v>
      </c>
      <c r="J125" s="5"/>
      <c r="K125" s="5"/>
      <c r="L125" s="5"/>
      <c r="M125" s="5"/>
      <c r="N125" s="5"/>
      <c r="O125" s="8" t="str">
        <f t="shared" si="24"/>
        <v>n/a</v>
      </c>
      <c r="Q125" s="5"/>
      <c r="R125" s="5"/>
      <c r="S125" s="5"/>
      <c r="U125" s="6"/>
      <c r="V125" s="9" t="str">
        <f t="shared" si="27"/>
        <v/>
      </c>
      <c r="W125" s="9" t="str">
        <f t="shared" si="28"/>
        <v/>
      </c>
      <c r="X125" s="10">
        <f>SUM(V$13:V125)/COUNTA(B$13:B125)</f>
        <v>0</v>
      </c>
      <c r="Z125" s="5"/>
      <c r="AA125" s="5"/>
      <c r="AC125" s="7"/>
      <c r="AE125" s="54" t="e">
        <f t="shared" si="29"/>
        <v>#N/A</v>
      </c>
      <c r="AF125" s="4" t="e">
        <f t="shared" si="25"/>
        <v>#N/A</v>
      </c>
    </row>
    <row r="126" spans="2:59">
      <c r="B126" s="5">
        <f t="shared" si="30"/>
        <v>114</v>
      </c>
      <c r="C126" s="5"/>
      <c r="E126" s="13"/>
      <c r="F126" s="5"/>
      <c r="G126" s="11" t="str">
        <f>IF(ISERROR(AVERAGE(F$13:F126)),"n/a",AVERAGE(F$13:F126))</f>
        <v>n/a</v>
      </c>
      <c r="H126" s="11" t="str">
        <f t="shared" si="26"/>
        <v>n/a</v>
      </c>
      <c r="J126" s="5"/>
      <c r="K126" s="5"/>
      <c r="L126" s="5"/>
      <c r="M126" s="5"/>
      <c r="N126" s="5"/>
      <c r="O126" s="8" t="str">
        <f t="shared" si="24"/>
        <v>n/a</v>
      </c>
      <c r="Q126" s="5"/>
      <c r="R126" s="5"/>
      <c r="S126" s="5"/>
      <c r="U126" s="6"/>
      <c r="V126" s="9" t="str">
        <f t="shared" si="27"/>
        <v/>
      </c>
      <c r="W126" s="9" t="str">
        <f t="shared" si="28"/>
        <v/>
      </c>
      <c r="X126" s="10">
        <f>SUM(V$13:V126)/COUNTA(B$13:B126)</f>
        <v>0</v>
      </c>
      <c r="Z126" s="5"/>
      <c r="AA126" s="5"/>
      <c r="AC126" s="7"/>
      <c r="AE126" s="54" t="e">
        <f t="shared" si="29"/>
        <v>#N/A</v>
      </c>
      <c r="AF126" s="4" t="e">
        <f t="shared" si="25"/>
        <v>#N/A</v>
      </c>
    </row>
    <row r="127" spans="2:59">
      <c r="B127" s="5">
        <f t="shared" si="30"/>
        <v>115</v>
      </c>
      <c r="C127" s="5"/>
      <c r="E127" s="13"/>
      <c r="F127" s="5"/>
      <c r="G127" s="11" t="str">
        <f>IF(ISERROR(AVERAGE(F$13:F127)),"n/a",AVERAGE(F$13:F127))</f>
        <v>n/a</v>
      </c>
      <c r="H127" s="11" t="str">
        <f t="shared" si="26"/>
        <v>n/a</v>
      </c>
      <c r="J127" s="5"/>
      <c r="K127" s="5"/>
      <c r="L127" s="5"/>
      <c r="M127" s="5"/>
      <c r="N127" s="5"/>
      <c r="O127" s="8" t="str">
        <f t="shared" si="24"/>
        <v>n/a</v>
      </c>
      <c r="Q127" s="5"/>
      <c r="R127" s="5"/>
      <c r="S127" s="5"/>
      <c r="U127" s="6"/>
      <c r="V127" s="9" t="str">
        <f t="shared" si="27"/>
        <v/>
      </c>
      <c r="W127" s="9" t="str">
        <f t="shared" si="28"/>
        <v/>
      </c>
      <c r="X127" s="10">
        <f>SUM(V$13:V127)/COUNTA(B$13:B127)</f>
        <v>0</v>
      </c>
      <c r="Z127" s="5"/>
      <c r="AA127" s="5"/>
      <c r="AC127" s="7"/>
      <c r="AE127" s="54" t="e">
        <f t="shared" si="29"/>
        <v>#N/A</v>
      </c>
      <c r="AF127" s="4" t="e">
        <f t="shared" si="25"/>
        <v>#N/A</v>
      </c>
    </row>
    <row r="128" spans="2:59">
      <c r="B128" s="5">
        <f t="shared" si="30"/>
        <v>116</v>
      </c>
      <c r="C128" s="5"/>
      <c r="E128" s="13"/>
      <c r="F128" s="5"/>
      <c r="G128" s="11" t="str">
        <f>IF(ISERROR(AVERAGE(F$13:F128)),"n/a",AVERAGE(F$13:F128))</f>
        <v>n/a</v>
      </c>
      <c r="H128" s="11" t="str">
        <f t="shared" si="26"/>
        <v>n/a</v>
      </c>
      <c r="J128" s="5"/>
      <c r="K128" s="5"/>
      <c r="L128" s="5"/>
      <c r="M128" s="5"/>
      <c r="N128" s="5"/>
      <c r="O128" s="8" t="str">
        <f t="shared" si="24"/>
        <v>n/a</v>
      </c>
      <c r="Q128" s="5"/>
      <c r="R128" s="5"/>
      <c r="S128" s="5"/>
      <c r="U128" s="6"/>
      <c r="V128" s="9" t="str">
        <f t="shared" si="27"/>
        <v/>
      </c>
      <c r="W128" s="9" t="str">
        <f t="shared" si="28"/>
        <v/>
      </c>
      <c r="X128" s="10">
        <f>SUM(V$13:V128)/COUNTA(B$13:B128)</f>
        <v>0</v>
      </c>
      <c r="Z128" s="5"/>
      <c r="AA128" s="5"/>
      <c r="AC128" s="7"/>
      <c r="AE128" s="54" t="e">
        <f t="shared" si="29"/>
        <v>#N/A</v>
      </c>
      <c r="AF128" s="4" t="e">
        <f t="shared" si="25"/>
        <v>#N/A</v>
      </c>
    </row>
    <row r="129" spans="2:32">
      <c r="B129" s="5">
        <f t="shared" si="30"/>
        <v>117</v>
      </c>
      <c r="C129" s="5"/>
      <c r="E129" s="13"/>
      <c r="F129" s="5"/>
      <c r="G129" s="11" t="str">
        <f>IF(ISERROR(AVERAGE(F$13:F129)),"n/a",AVERAGE(F$13:F129))</f>
        <v>n/a</v>
      </c>
      <c r="H129" s="11" t="str">
        <f t="shared" si="26"/>
        <v>n/a</v>
      </c>
      <c r="J129" s="5"/>
      <c r="K129" s="5"/>
      <c r="L129" s="5"/>
      <c r="M129" s="5"/>
      <c r="N129" s="5"/>
      <c r="O129" s="8" t="str">
        <f t="shared" si="24"/>
        <v>n/a</v>
      </c>
      <c r="Q129" s="5"/>
      <c r="R129" s="5"/>
      <c r="S129" s="5"/>
      <c r="U129" s="6"/>
      <c r="V129" s="9" t="str">
        <f t="shared" si="27"/>
        <v/>
      </c>
      <c r="W129" s="9" t="str">
        <f t="shared" si="28"/>
        <v/>
      </c>
      <c r="X129" s="10">
        <f>SUM(V$13:V129)/COUNTA(B$13:B129)</f>
        <v>0</v>
      </c>
      <c r="Z129" s="5"/>
      <c r="AA129" s="5"/>
      <c r="AC129" s="7"/>
      <c r="AE129" s="54" t="e">
        <f t="shared" si="29"/>
        <v>#N/A</v>
      </c>
      <c r="AF129" s="4" t="e">
        <f t="shared" si="25"/>
        <v>#N/A</v>
      </c>
    </row>
    <row r="130" spans="2:32">
      <c r="B130" s="5">
        <f t="shared" si="30"/>
        <v>118</v>
      </c>
      <c r="C130" s="5"/>
      <c r="E130" s="13"/>
      <c r="F130" s="5"/>
      <c r="G130" s="11" t="str">
        <f>IF(ISERROR(AVERAGE(F$13:F130)),"n/a",AVERAGE(F$13:F130))</f>
        <v>n/a</v>
      </c>
      <c r="H130" s="11" t="str">
        <f t="shared" si="26"/>
        <v>n/a</v>
      </c>
      <c r="J130" s="5"/>
      <c r="K130" s="5"/>
      <c r="L130" s="5"/>
      <c r="M130" s="5"/>
      <c r="N130" s="5"/>
      <c r="O130" s="8" t="str">
        <f t="shared" si="24"/>
        <v>n/a</v>
      </c>
      <c r="Q130" s="5"/>
      <c r="R130" s="5"/>
      <c r="S130" s="5"/>
      <c r="U130" s="6"/>
      <c r="V130" s="9" t="str">
        <f t="shared" si="27"/>
        <v/>
      </c>
      <c r="W130" s="9" t="str">
        <f t="shared" si="28"/>
        <v/>
      </c>
      <c r="X130" s="10">
        <f>SUM(V$13:V130)/COUNTA(B$13:B130)</f>
        <v>0</v>
      </c>
      <c r="Z130" s="5"/>
      <c r="AA130" s="5"/>
      <c r="AC130" s="7"/>
      <c r="AE130" s="54" t="e">
        <f t="shared" si="29"/>
        <v>#N/A</v>
      </c>
      <c r="AF130" s="4" t="e">
        <f t="shared" si="25"/>
        <v>#N/A</v>
      </c>
    </row>
    <row r="131" spans="2:32">
      <c r="B131" s="5">
        <f t="shared" si="30"/>
        <v>119</v>
      </c>
      <c r="C131" s="5"/>
      <c r="E131" s="13"/>
      <c r="F131" s="5"/>
      <c r="G131" s="11" t="str">
        <f>IF(ISERROR(AVERAGE(F$13:F131)),"n/a",AVERAGE(F$13:F131))</f>
        <v>n/a</v>
      </c>
      <c r="H131" s="11" t="str">
        <f t="shared" si="26"/>
        <v>n/a</v>
      </c>
      <c r="J131" s="5"/>
      <c r="K131" s="5"/>
      <c r="L131" s="5"/>
      <c r="M131" s="5"/>
      <c r="N131" s="5"/>
      <c r="O131" s="8" t="str">
        <f t="shared" si="24"/>
        <v>n/a</v>
      </c>
      <c r="Q131" s="5"/>
      <c r="R131" s="5"/>
      <c r="S131" s="5"/>
      <c r="U131" s="6"/>
      <c r="V131" s="9" t="str">
        <f t="shared" si="27"/>
        <v/>
      </c>
      <c r="W131" s="9" t="str">
        <f t="shared" si="28"/>
        <v/>
      </c>
      <c r="X131" s="10">
        <f>SUM(V$13:V131)/COUNTA(B$13:B131)</f>
        <v>0</v>
      </c>
      <c r="Z131" s="5"/>
      <c r="AA131" s="5"/>
      <c r="AC131" s="7"/>
      <c r="AE131" s="54" t="e">
        <f t="shared" si="29"/>
        <v>#N/A</v>
      </c>
      <c r="AF131" s="4" t="e">
        <f t="shared" si="25"/>
        <v>#N/A</v>
      </c>
    </row>
    <row r="132" spans="2:32">
      <c r="B132" s="5">
        <f t="shared" si="30"/>
        <v>120</v>
      </c>
      <c r="C132" s="5"/>
      <c r="E132" s="13"/>
      <c r="F132" s="5"/>
      <c r="G132" s="11" t="str">
        <f>IF(ISERROR(AVERAGE(F$13:F132)),"n/a",AVERAGE(F$13:F132))</f>
        <v>n/a</v>
      </c>
      <c r="H132" s="11" t="str">
        <f t="shared" si="26"/>
        <v>n/a</v>
      </c>
      <c r="J132" s="5"/>
      <c r="K132" s="5"/>
      <c r="L132" s="5"/>
      <c r="M132" s="5"/>
      <c r="N132" s="5"/>
      <c r="O132" s="8" t="str">
        <f t="shared" si="24"/>
        <v>n/a</v>
      </c>
      <c r="Q132" s="5"/>
      <c r="R132" s="5"/>
      <c r="S132" s="5"/>
      <c r="U132" s="6"/>
      <c r="V132" s="9" t="str">
        <f t="shared" si="27"/>
        <v/>
      </c>
      <c r="W132" s="9" t="str">
        <f t="shared" si="28"/>
        <v/>
      </c>
      <c r="X132" s="10">
        <f>SUM(V$13:V132)/COUNTA(B$13:B132)</f>
        <v>0</v>
      </c>
      <c r="Z132" s="5"/>
      <c r="AA132" s="5"/>
      <c r="AC132" s="7"/>
      <c r="AE132" s="54" t="e">
        <f t="shared" si="29"/>
        <v>#N/A</v>
      </c>
      <c r="AF132" s="4" t="e">
        <f t="shared" si="25"/>
        <v>#N/A</v>
      </c>
    </row>
    <row r="133" spans="2:32">
      <c r="B133" s="5">
        <f t="shared" si="30"/>
        <v>121</v>
      </c>
      <c r="C133" s="5"/>
      <c r="E133" s="13"/>
      <c r="F133" s="5"/>
      <c r="G133" s="11" t="str">
        <f>IF(ISERROR(AVERAGE(F$13:F133)),"n/a",AVERAGE(F$13:F133))</f>
        <v>n/a</v>
      </c>
      <c r="H133" s="11" t="str">
        <f t="shared" si="26"/>
        <v>n/a</v>
      </c>
      <c r="J133" s="5"/>
      <c r="K133" s="5"/>
      <c r="L133" s="5"/>
      <c r="M133" s="5"/>
      <c r="N133" s="5"/>
      <c r="O133" s="8" t="str">
        <f t="shared" si="24"/>
        <v>n/a</v>
      </c>
      <c r="Q133" s="5"/>
      <c r="R133" s="5"/>
      <c r="S133" s="5"/>
      <c r="U133" s="6"/>
      <c r="V133" s="9" t="str">
        <f t="shared" si="27"/>
        <v/>
      </c>
      <c r="W133" s="9" t="str">
        <f t="shared" si="28"/>
        <v/>
      </c>
      <c r="X133" s="10">
        <f>SUM(V$13:V133)/COUNTA(B$13:B133)</f>
        <v>0</v>
      </c>
      <c r="Z133" s="5"/>
      <c r="AA133" s="5"/>
      <c r="AC133" s="7"/>
      <c r="AE133" s="54" t="e">
        <f t="shared" si="29"/>
        <v>#N/A</v>
      </c>
      <c r="AF133" s="4" t="e">
        <f t="shared" si="25"/>
        <v>#N/A</v>
      </c>
    </row>
    <row r="134" spans="2:32">
      <c r="B134" s="5">
        <f t="shared" si="30"/>
        <v>122</v>
      </c>
      <c r="C134" s="5"/>
      <c r="E134" s="13"/>
      <c r="F134" s="5"/>
      <c r="G134" s="11" t="str">
        <f>IF(ISERROR(AVERAGE(F$13:F134)),"n/a",AVERAGE(F$13:F134))</f>
        <v>n/a</v>
      </c>
      <c r="H134" s="11" t="str">
        <f t="shared" si="26"/>
        <v>n/a</v>
      </c>
      <c r="J134" s="5"/>
      <c r="K134" s="5"/>
      <c r="L134" s="5"/>
      <c r="M134" s="5"/>
      <c r="N134" s="5"/>
      <c r="O134" s="8" t="str">
        <f t="shared" si="24"/>
        <v>n/a</v>
      </c>
      <c r="Q134" s="5"/>
      <c r="R134" s="5"/>
      <c r="S134" s="5"/>
      <c r="U134" s="6"/>
      <c r="V134" s="9" t="str">
        <f t="shared" si="27"/>
        <v/>
      </c>
      <c r="W134" s="9" t="str">
        <f t="shared" si="28"/>
        <v/>
      </c>
      <c r="X134" s="10">
        <f>SUM(V$13:V134)/COUNTA(B$13:B134)</f>
        <v>0</v>
      </c>
      <c r="Z134" s="5"/>
      <c r="AA134" s="5"/>
      <c r="AC134" s="7"/>
      <c r="AE134" s="54" t="e">
        <f t="shared" si="29"/>
        <v>#N/A</v>
      </c>
      <c r="AF134" s="4" t="e">
        <f t="shared" si="25"/>
        <v>#N/A</v>
      </c>
    </row>
    <row r="135" spans="2:32">
      <c r="B135" s="5">
        <f t="shared" si="30"/>
        <v>123</v>
      </c>
      <c r="C135" s="5"/>
      <c r="E135" s="13"/>
      <c r="F135" s="5"/>
      <c r="G135" s="11" t="str">
        <f>IF(ISERROR(AVERAGE(F$13:F135)),"n/a",AVERAGE(F$13:F135))</f>
        <v>n/a</v>
      </c>
      <c r="H135" s="11" t="str">
        <f t="shared" si="26"/>
        <v>n/a</v>
      </c>
      <c r="J135" s="5"/>
      <c r="K135" s="5"/>
      <c r="L135" s="5"/>
      <c r="M135" s="5"/>
      <c r="N135" s="5"/>
      <c r="O135" s="8" t="str">
        <f t="shared" si="24"/>
        <v>n/a</v>
      </c>
      <c r="Q135" s="5"/>
      <c r="R135" s="5"/>
      <c r="S135" s="5"/>
      <c r="U135" s="6"/>
      <c r="V135" s="9" t="str">
        <f t="shared" si="27"/>
        <v/>
      </c>
      <c r="W135" s="9" t="str">
        <f t="shared" si="28"/>
        <v/>
      </c>
      <c r="X135" s="10">
        <f>SUM(V$13:V135)/COUNTA(B$13:B135)</f>
        <v>0</v>
      </c>
      <c r="Z135" s="5"/>
      <c r="AA135" s="5"/>
      <c r="AC135" s="7"/>
      <c r="AE135" s="54" t="e">
        <f t="shared" si="29"/>
        <v>#N/A</v>
      </c>
      <c r="AF135" s="4" t="e">
        <f t="shared" si="25"/>
        <v>#N/A</v>
      </c>
    </row>
    <row r="136" spans="2:32">
      <c r="B136" s="5">
        <f t="shared" si="30"/>
        <v>124</v>
      </c>
      <c r="C136" s="5"/>
      <c r="E136" s="13"/>
      <c r="F136" s="5"/>
      <c r="G136" s="11" t="str">
        <f>IF(ISERROR(AVERAGE(F$13:F136)),"n/a",AVERAGE(F$13:F136))</f>
        <v>n/a</v>
      </c>
      <c r="H136" s="11" t="str">
        <f t="shared" si="26"/>
        <v>n/a</v>
      </c>
      <c r="J136" s="5"/>
      <c r="K136" s="5"/>
      <c r="L136" s="5"/>
      <c r="M136" s="5"/>
      <c r="N136" s="5"/>
      <c r="O136" s="8" t="str">
        <f t="shared" si="24"/>
        <v>n/a</v>
      </c>
      <c r="Q136" s="5"/>
      <c r="R136" s="5"/>
      <c r="S136" s="5"/>
      <c r="U136" s="6"/>
      <c r="V136" s="9" t="str">
        <f t="shared" si="27"/>
        <v/>
      </c>
      <c r="W136" s="9" t="str">
        <f t="shared" si="28"/>
        <v/>
      </c>
      <c r="X136" s="10">
        <f>SUM(V$13:V136)/COUNTA(B$13:B136)</f>
        <v>0</v>
      </c>
      <c r="Z136" s="5"/>
      <c r="AA136" s="5"/>
      <c r="AC136" s="7"/>
      <c r="AE136" s="54" t="e">
        <f t="shared" si="29"/>
        <v>#N/A</v>
      </c>
      <c r="AF136" s="4" t="e">
        <f t="shared" si="25"/>
        <v>#N/A</v>
      </c>
    </row>
    <row r="137" spans="2:32">
      <c r="B137" s="5">
        <f t="shared" si="30"/>
        <v>125</v>
      </c>
      <c r="C137" s="5"/>
      <c r="E137" s="13"/>
      <c r="F137" s="5"/>
      <c r="G137" s="11" t="str">
        <f>IF(ISERROR(AVERAGE(F$13:F137)),"n/a",AVERAGE(F$13:F137))</f>
        <v>n/a</v>
      </c>
      <c r="H137" s="11" t="str">
        <f t="shared" si="26"/>
        <v>n/a</v>
      </c>
      <c r="J137" s="5"/>
      <c r="K137" s="5"/>
      <c r="L137" s="5"/>
      <c r="M137" s="5"/>
      <c r="N137" s="5"/>
      <c r="O137" s="8" t="str">
        <f t="shared" si="24"/>
        <v>n/a</v>
      </c>
      <c r="Q137" s="5"/>
      <c r="R137" s="5"/>
      <c r="S137" s="5"/>
      <c r="U137" s="6"/>
      <c r="V137" s="9" t="str">
        <f t="shared" si="27"/>
        <v/>
      </c>
      <c r="W137" s="9" t="str">
        <f t="shared" si="28"/>
        <v/>
      </c>
      <c r="X137" s="10">
        <f>SUM(V$13:V137)/COUNTA(B$13:B137)</f>
        <v>0</v>
      </c>
      <c r="Z137" s="5"/>
      <c r="AA137" s="5"/>
      <c r="AC137" s="7"/>
      <c r="AE137" s="54" t="e">
        <f t="shared" si="29"/>
        <v>#N/A</v>
      </c>
      <c r="AF137" s="4" t="e">
        <f t="shared" si="25"/>
        <v>#N/A</v>
      </c>
    </row>
    <row r="138" spans="2:32">
      <c r="B138" s="5">
        <f t="shared" si="30"/>
        <v>126</v>
      </c>
      <c r="C138" s="5"/>
      <c r="E138" s="13"/>
      <c r="F138" s="5"/>
      <c r="G138" s="11" t="str">
        <f>IF(ISERROR(AVERAGE(F$13:F138)),"n/a",AVERAGE(F$13:F138))</f>
        <v>n/a</v>
      </c>
      <c r="H138" s="11" t="str">
        <f t="shared" si="26"/>
        <v>n/a</v>
      </c>
      <c r="J138" s="5"/>
      <c r="K138" s="5"/>
      <c r="L138" s="5"/>
      <c r="M138" s="5"/>
      <c r="N138" s="5"/>
      <c r="O138" s="8" t="str">
        <f t="shared" si="24"/>
        <v>n/a</v>
      </c>
      <c r="Q138" s="5"/>
      <c r="R138" s="5"/>
      <c r="S138" s="5"/>
      <c r="U138" s="6"/>
      <c r="V138" s="9" t="str">
        <f t="shared" si="27"/>
        <v/>
      </c>
      <c r="W138" s="9" t="str">
        <f t="shared" si="28"/>
        <v/>
      </c>
      <c r="X138" s="10">
        <f>SUM(V$13:V138)/COUNTA(B$13:B138)</f>
        <v>0</v>
      </c>
      <c r="Z138" s="5"/>
      <c r="AA138" s="5"/>
      <c r="AC138" s="7"/>
      <c r="AE138" s="54" t="e">
        <f t="shared" si="29"/>
        <v>#N/A</v>
      </c>
      <c r="AF138" s="4" t="e">
        <f t="shared" si="25"/>
        <v>#N/A</v>
      </c>
    </row>
    <row r="139" spans="2:32">
      <c r="B139" s="5">
        <f t="shared" si="30"/>
        <v>127</v>
      </c>
      <c r="C139" s="5"/>
      <c r="E139" s="13"/>
      <c r="F139" s="5"/>
      <c r="G139" s="11" t="str">
        <f>IF(ISERROR(AVERAGE(F$13:F139)),"n/a",AVERAGE(F$13:F139))</f>
        <v>n/a</v>
      </c>
      <c r="H139" s="11" t="str">
        <f t="shared" si="26"/>
        <v>n/a</v>
      </c>
      <c r="J139" s="5"/>
      <c r="K139" s="5"/>
      <c r="L139" s="5"/>
      <c r="M139" s="5"/>
      <c r="N139" s="5"/>
      <c r="O139" s="8" t="str">
        <f t="shared" si="24"/>
        <v>n/a</v>
      </c>
      <c r="Q139" s="5"/>
      <c r="R139" s="5"/>
      <c r="S139" s="5"/>
      <c r="U139" s="6"/>
      <c r="V139" s="9" t="str">
        <f t="shared" si="27"/>
        <v/>
      </c>
      <c r="W139" s="9" t="str">
        <f t="shared" si="28"/>
        <v/>
      </c>
      <c r="X139" s="10">
        <f>SUM(V$13:V139)/COUNTA(B$13:B139)</f>
        <v>0</v>
      </c>
      <c r="Z139" s="5"/>
      <c r="AA139" s="5"/>
      <c r="AC139" s="7"/>
      <c r="AE139" s="54" t="e">
        <f t="shared" si="29"/>
        <v>#N/A</v>
      </c>
      <c r="AF139" s="4" t="e">
        <f t="shared" si="25"/>
        <v>#N/A</v>
      </c>
    </row>
    <row r="140" spans="2:32">
      <c r="B140" s="5">
        <f t="shared" si="30"/>
        <v>128</v>
      </c>
      <c r="C140" s="5"/>
      <c r="E140" s="13"/>
      <c r="F140" s="5"/>
      <c r="G140" s="11" t="str">
        <f>IF(ISERROR(AVERAGE(F$13:F140)),"n/a",AVERAGE(F$13:F140))</f>
        <v>n/a</v>
      </c>
      <c r="H140" s="11" t="str">
        <f t="shared" si="26"/>
        <v>n/a</v>
      </c>
      <c r="J140" s="5"/>
      <c r="K140" s="5"/>
      <c r="L140" s="5"/>
      <c r="M140" s="5"/>
      <c r="N140" s="5"/>
      <c r="O140" s="8" t="str">
        <f t="shared" si="24"/>
        <v>n/a</v>
      </c>
      <c r="Q140" s="5"/>
      <c r="R140" s="5"/>
      <c r="S140" s="5"/>
      <c r="U140" s="6"/>
      <c r="V140" s="9" t="str">
        <f t="shared" si="27"/>
        <v/>
      </c>
      <c r="W140" s="9" t="str">
        <f t="shared" si="28"/>
        <v/>
      </c>
      <c r="X140" s="10">
        <f>SUM(V$13:V140)/COUNTA(B$13:B140)</f>
        <v>0</v>
      </c>
      <c r="Z140" s="5"/>
      <c r="AA140" s="5"/>
      <c r="AC140" s="7"/>
      <c r="AE140" s="54" t="e">
        <f t="shared" si="29"/>
        <v>#N/A</v>
      </c>
      <c r="AF140" s="4" t="e">
        <f t="shared" si="25"/>
        <v>#N/A</v>
      </c>
    </row>
    <row r="141" spans="2:32">
      <c r="B141" s="5">
        <f t="shared" si="30"/>
        <v>129</v>
      </c>
      <c r="C141" s="5"/>
      <c r="E141" s="13"/>
      <c r="F141" s="5"/>
      <c r="G141" s="11" t="str">
        <f>IF(ISERROR(AVERAGE(F$13:F141)),"n/a",AVERAGE(F$13:F141))</f>
        <v>n/a</v>
      </c>
      <c r="H141" s="11" t="str">
        <f t="shared" si="26"/>
        <v>n/a</v>
      </c>
      <c r="J141" s="5"/>
      <c r="K141" s="5"/>
      <c r="L141" s="5"/>
      <c r="M141" s="5"/>
      <c r="N141" s="5"/>
      <c r="O141" s="8" t="str">
        <f t="shared" ref="O141:O204" si="31">IF(J141=1,"A",IF(K141=1,"B",IF(L141=1,"C",IF(M141=1,"D",IF(N141=1,"E","n/a")))))</f>
        <v>n/a</v>
      </c>
      <c r="Q141" s="5"/>
      <c r="R141" s="5"/>
      <c r="S141" s="5"/>
      <c r="U141" s="6"/>
      <c r="V141" s="9" t="str">
        <f t="shared" si="27"/>
        <v/>
      </c>
      <c r="W141" s="9" t="str">
        <f t="shared" si="28"/>
        <v/>
      </c>
      <c r="X141" s="10">
        <f>SUM(V$13:V141)/COUNTA(B$13:B141)</f>
        <v>0</v>
      </c>
      <c r="Z141" s="5"/>
      <c r="AA141" s="5"/>
      <c r="AC141" s="7"/>
      <c r="AE141" s="54" t="e">
        <f t="shared" si="29"/>
        <v>#N/A</v>
      </c>
      <c r="AF141" s="4" t="e">
        <f t="shared" ref="AF141:AF204" si="32">HLOOKUP(C141,$K$6:$O$7,2,FALSE)</f>
        <v>#N/A</v>
      </c>
    </row>
    <row r="142" spans="2:32">
      <c r="B142" s="5">
        <f t="shared" si="30"/>
        <v>130</v>
      </c>
      <c r="C142" s="5"/>
      <c r="E142" s="13"/>
      <c r="F142" s="5"/>
      <c r="G142" s="11" t="str">
        <f>IF(ISERROR(AVERAGE(F$13:F142)),"n/a",AVERAGE(F$13:F142))</f>
        <v>n/a</v>
      </c>
      <c r="H142" s="11" t="str">
        <f t="shared" ref="H142:H205" si="33">G142</f>
        <v>n/a</v>
      </c>
      <c r="J142" s="5"/>
      <c r="K142" s="5"/>
      <c r="L142" s="5"/>
      <c r="M142" s="5"/>
      <c r="N142" s="5"/>
      <c r="O142" s="8" t="str">
        <f t="shared" si="31"/>
        <v>n/a</v>
      </c>
      <c r="Q142" s="5"/>
      <c r="R142" s="5"/>
      <c r="S142" s="5"/>
      <c r="U142" s="6"/>
      <c r="V142" s="9" t="str">
        <f t="shared" ref="V142:V205" si="34">IF(O142="n/a","",IF(O142=U142,1,""))</f>
        <v/>
      </c>
      <c r="W142" s="9" t="str">
        <f t="shared" ref="W142:W205" si="35">IF(O142="n/a","",IF(O142&lt;&gt;U142,1,""))</f>
        <v/>
      </c>
      <c r="X142" s="10">
        <f>SUM(V$13:V142)/COUNTA(B$13:B142)</f>
        <v>0</v>
      </c>
      <c r="Z142" s="5"/>
      <c r="AA142" s="5"/>
      <c r="AC142" s="7"/>
      <c r="AE142" s="54" t="e">
        <f t="shared" ref="AE142:AE205" si="36">+IF($F$4=0,0,IF(W142=1,1,IF(OR(R142*$F$8=1,S142*$F$9=1,F142&gt;=AF142),2,0)))</f>
        <v>#N/A</v>
      </c>
      <c r="AF142" s="4" t="e">
        <f t="shared" si="32"/>
        <v>#N/A</v>
      </c>
    </row>
    <row r="143" spans="2:32">
      <c r="B143" s="5">
        <f t="shared" si="30"/>
        <v>131</v>
      </c>
      <c r="C143" s="5"/>
      <c r="E143" s="13"/>
      <c r="F143" s="5"/>
      <c r="G143" s="11" t="str">
        <f>IF(ISERROR(AVERAGE(F$13:F143)),"n/a",AVERAGE(F$13:F143))</f>
        <v>n/a</v>
      </c>
      <c r="H143" s="11" t="str">
        <f t="shared" si="33"/>
        <v>n/a</v>
      </c>
      <c r="J143" s="5"/>
      <c r="K143" s="5"/>
      <c r="L143" s="5"/>
      <c r="M143" s="5"/>
      <c r="N143" s="5"/>
      <c r="O143" s="8" t="str">
        <f t="shared" si="31"/>
        <v>n/a</v>
      </c>
      <c r="Q143" s="5"/>
      <c r="R143" s="5"/>
      <c r="S143" s="5"/>
      <c r="U143" s="6"/>
      <c r="V143" s="9" t="str">
        <f t="shared" si="34"/>
        <v/>
      </c>
      <c r="W143" s="9" t="str">
        <f t="shared" si="35"/>
        <v/>
      </c>
      <c r="X143" s="10">
        <f>SUM(V$13:V143)/COUNTA(B$13:B143)</f>
        <v>0</v>
      </c>
      <c r="Z143" s="5"/>
      <c r="AA143" s="5"/>
      <c r="AC143" s="7"/>
      <c r="AE143" s="54" t="e">
        <f t="shared" si="36"/>
        <v>#N/A</v>
      </c>
      <c r="AF143" s="4" t="e">
        <f t="shared" si="32"/>
        <v>#N/A</v>
      </c>
    </row>
    <row r="144" spans="2:32">
      <c r="B144" s="5">
        <f t="shared" si="30"/>
        <v>132</v>
      </c>
      <c r="C144" s="5"/>
      <c r="E144" s="13"/>
      <c r="F144" s="5"/>
      <c r="G144" s="11" t="str">
        <f>IF(ISERROR(AVERAGE(F$13:F144)),"n/a",AVERAGE(F$13:F144))</f>
        <v>n/a</v>
      </c>
      <c r="H144" s="11" t="str">
        <f t="shared" si="33"/>
        <v>n/a</v>
      </c>
      <c r="J144" s="5"/>
      <c r="K144" s="5"/>
      <c r="L144" s="5"/>
      <c r="M144" s="5"/>
      <c r="N144" s="5"/>
      <c r="O144" s="8" t="str">
        <f t="shared" si="31"/>
        <v>n/a</v>
      </c>
      <c r="Q144" s="5"/>
      <c r="R144" s="5"/>
      <c r="S144" s="5"/>
      <c r="U144" s="6"/>
      <c r="V144" s="9" t="str">
        <f t="shared" si="34"/>
        <v/>
      </c>
      <c r="W144" s="9" t="str">
        <f t="shared" si="35"/>
        <v/>
      </c>
      <c r="X144" s="10">
        <f>SUM(V$13:V144)/COUNTA(B$13:B144)</f>
        <v>0</v>
      </c>
      <c r="Z144" s="5"/>
      <c r="AA144" s="5"/>
      <c r="AC144" s="7"/>
      <c r="AE144" s="54" t="e">
        <f t="shared" si="36"/>
        <v>#N/A</v>
      </c>
      <c r="AF144" s="4" t="e">
        <f t="shared" si="32"/>
        <v>#N/A</v>
      </c>
    </row>
    <row r="145" spans="2:32">
      <c r="B145" s="5">
        <f t="shared" si="30"/>
        <v>133</v>
      </c>
      <c r="C145" s="5"/>
      <c r="E145" s="13"/>
      <c r="F145" s="5"/>
      <c r="G145" s="11" t="str">
        <f>IF(ISERROR(AVERAGE(F$13:F145)),"n/a",AVERAGE(F$13:F145))</f>
        <v>n/a</v>
      </c>
      <c r="H145" s="11" t="str">
        <f t="shared" si="33"/>
        <v>n/a</v>
      </c>
      <c r="J145" s="5"/>
      <c r="K145" s="5"/>
      <c r="L145" s="5"/>
      <c r="M145" s="5"/>
      <c r="N145" s="5"/>
      <c r="O145" s="8" t="str">
        <f t="shared" si="31"/>
        <v>n/a</v>
      </c>
      <c r="Q145" s="5"/>
      <c r="R145" s="5"/>
      <c r="S145" s="5"/>
      <c r="U145" s="6"/>
      <c r="V145" s="9" t="str">
        <f t="shared" si="34"/>
        <v/>
      </c>
      <c r="W145" s="9" t="str">
        <f t="shared" si="35"/>
        <v/>
      </c>
      <c r="X145" s="10">
        <f>SUM(V$13:V145)/COUNTA(B$13:B145)</f>
        <v>0</v>
      </c>
      <c r="Z145" s="5"/>
      <c r="AA145" s="5"/>
      <c r="AC145" s="7"/>
      <c r="AE145" s="54" t="e">
        <f t="shared" si="36"/>
        <v>#N/A</v>
      </c>
      <c r="AF145" s="4" t="e">
        <f t="shared" si="32"/>
        <v>#N/A</v>
      </c>
    </row>
    <row r="146" spans="2:32">
      <c r="B146" s="5">
        <f t="shared" si="30"/>
        <v>134</v>
      </c>
      <c r="C146" s="5"/>
      <c r="E146" s="13"/>
      <c r="F146" s="5"/>
      <c r="G146" s="11" t="str">
        <f>IF(ISERROR(AVERAGE(F$13:F146)),"n/a",AVERAGE(F$13:F146))</f>
        <v>n/a</v>
      </c>
      <c r="H146" s="11" t="str">
        <f t="shared" si="33"/>
        <v>n/a</v>
      </c>
      <c r="J146" s="5"/>
      <c r="K146" s="5"/>
      <c r="L146" s="5"/>
      <c r="M146" s="5"/>
      <c r="N146" s="5"/>
      <c r="O146" s="8" t="str">
        <f t="shared" si="31"/>
        <v>n/a</v>
      </c>
      <c r="Q146" s="5"/>
      <c r="R146" s="5"/>
      <c r="S146" s="5"/>
      <c r="U146" s="6"/>
      <c r="V146" s="9" t="str">
        <f t="shared" si="34"/>
        <v/>
      </c>
      <c r="W146" s="9" t="str">
        <f t="shared" si="35"/>
        <v/>
      </c>
      <c r="X146" s="10">
        <f>SUM(V$13:V146)/COUNTA(B$13:B146)</f>
        <v>0</v>
      </c>
      <c r="Z146" s="5"/>
      <c r="AA146" s="5"/>
      <c r="AC146" s="7"/>
      <c r="AE146" s="54" t="e">
        <f t="shared" si="36"/>
        <v>#N/A</v>
      </c>
      <c r="AF146" s="4" t="e">
        <f t="shared" si="32"/>
        <v>#N/A</v>
      </c>
    </row>
    <row r="147" spans="2:32">
      <c r="B147" s="5">
        <f t="shared" ref="B147:B210" si="37">+B146+1</f>
        <v>135</v>
      </c>
      <c r="C147" s="5"/>
      <c r="E147" s="13"/>
      <c r="F147" s="5"/>
      <c r="G147" s="11" t="str">
        <f>IF(ISERROR(AVERAGE(F$13:F147)),"n/a",AVERAGE(F$13:F147))</f>
        <v>n/a</v>
      </c>
      <c r="H147" s="11" t="str">
        <f t="shared" si="33"/>
        <v>n/a</v>
      </c>
      <c r="J147" s="5"/>
      <c r="K147" s="5"/>
      <c r="L147" s="5"/>
      <c r="M147" s="5"/>
      <c r="N147" s="5"/>
      <c r="O147" s="8" t="str">
        <f t="shared" si="31"/>
        <v>n/a</v>
      </c>
      <c r="Q147" s="5"/>
      <c r="R147" s="5"/>
      <c r="S147" s="5"/>
      <c r="U147" s="6"/>
      <c r="V147" s="9" t="str">
        <f t="shared" si="34"/>
        <v/>
      </c>
      <c r="W147" s="9" t="str">
        <f t="shared" si="35"/>
        <v/>
      </c>
      <c r="X147" s="10">
        <f>SUM(V$13:V147)/COUNTA(B$13:B147)</f>
        <v>0</v>
      </c>
      <c r="Z147" s="5"/>
      <c r="AA147" s="5"/>
      <c r="AC147" s="7"/>
      <c r="AE147" s="54" t="e">
        <f t="shared" si="36"/>
        <v>#N/A</v>
      </c>
      <c r="AF147" s="4" t="e">
        <f t="shared" si="32"/>
        <v>#N/A</v>
      </c>
    </row>
    <row r="148" spans="2:32">
      <c r="B148" s="5">
        <f t="shared" si="37"/>
        <v>136</v>
      </c>
      <c r="C148" s="5"/>
      <c r="E148" s="13"/>
      <c r="F148" s="5"/>
      <c r="G148" s="11" t="str">
        <f>IF(ISERROR(AVERAGE(F$13:F148)),"n/a",AVERAGE(F$13:F148))</f>
        <v>n/a</v>
      </c>
      <c r="H148" s="11" t="str">
        <f t="shared" si="33"/>
        <v>n/a</v>
      </c>
      <c r="J148" s="5"/>
      <c r="K148" s="5"/>
      <c r="L148" s="5"/>
      <c r="M148" s="5"/>
      <c r="N148" s="5"/>
      <c r="O148" s="8" t="str">
        <f t="shared" si="31"/>
        <v>n/a</v>
      </c>
      <c r="Q148" s="5"/>
      <c r="R148" s="5"/>
      <c r="S148" s="5"/>
      <c r="U148" s="6"/>
      <c r="V148" s="9" t="str">
        <f t="shared" si="34"/>
        <v/>
      </c>
      <c r="W148" s="9" t="str">
        <f t="shared" si="35"/>
        <v/>
      </c>
      <c r="X148" s="10">
        <f>SUM(V$13:V148)/COUNTA(B$13:B148)</f>
        <v>0</v>
      </c>
      <c r="Z148" s="5"/>
      <c r="AA148" s="5"/>
      <c r="AC148" s="7"/>
      <c r="AE148" s="54" t="e">
        <f t="shared" si="36"/>
        <v>#N/A</v>
      </c>
      <c r="AF148" s="4" t="e">
        <f t="shared" si="32"/>
        <v>#N/A</v>
      </c>
    </row>
    <row r="149" spans="2:32">
      <c r="B149" s="5">
        <f t="shared" si="37"/>
        <v>137</v>
      </c>
      <c r="C149" s="5"/>
      <c r="E149" s="13"/>
      <c r="F149" s="5"/>
      <c r="G149" s="11" t="str">
        <f>IF(ISERROR(AVERAGE(F$13:F149)),"n/a",AVERAGE(F$13:F149))</f>
        <v>n/a</v>
      </c>
      <c r="H149" s="11" t="str">
        <f t="shared" si="33"/>
        <v>n/a</v>
      </c>
      <c r="J149" s="5"/>
      <c r="K149" s="5"/>
      <c r="L149" s="5"/>
      <c r="M149" s="5"/>
      <c r="N149" s="5"/>
      <c r="O149" s="8" t="str">
        <f t="shared" si="31"/>
        <v>n/a</v>
      </c>
      <c r="Q149" s="5"/>
      <c r="R149" s="5"/>
      <c r="S149" s="5"/>
      <c r="U149" s="6"/>
      <c r="V149" s="9" t="str">
        <f t="shared" si="34"/>
        <v/>
      </c>
      <c r="W149" s="9" t="str">
        <f t="shared" si="35"/>
        <v/>
      </c>
      <c r="X149" s="10">
        <f>SUM(V$13:V149)/COUNTA(B$13:B149)</f>
        <v>0</v>
      </c>
      <c r="Z149" s="5"/>
      <c r="AA149" s="5"/>
      <c r="AC149" s="7"/>
      <c r="AE149" s="54" t="e">
        <f t="shared" si="36"/>
        <v>#N/A</v>
      </c>
      <c r="AF149" s="4" t="e">
        <f t="shared" si="32"/>
        <v>#N/A</v>
      </c>
    </row>
    <row r="150" spans="2:32">
      <c r="B150" s="5">
        <f t="shared" si="37"/>
        <v>138</v>
      </c>
      <c r="C150" s="5"/>
      <c r="E150" s="13"/>
      <c r="F150" s="5"/>
      <c r="G150" s="11" t="str">
        <f>IF(ISERROR(AVERAGE(F$13:F150)),"n/a",AVERAGE(F$13:F150))</f>
        <v>n/a</v>
      </c>
      <c r="H150" s="11" t="str">
        <f t="shared" si="33"/>
        <v>n/a</v>
      </c>
      <c r="J150" s="5"/>
      <c r="K150" s="5"/>
      <c r="L150" s="5"/>
      <c r="M150" s="5"/>
      <c r="N150" s="5"/>
      <c r="O150" s="8" t="str">
        <f t="shared" si="31"/>
        <v>n/a</v>
      </c>
      <c r="Q150" s="5"/>
      <c r="R150" s="5"/>
      <c r="S150" s="5"/>
      <c r="U150" s="6"/>
      <c r="V150" s="9" t="str">
        <f t="shared" si="34"/>
        <v/>
      </c>
      <c r="W150" s="9" t="str">
        <f t="shared" si="35"/>
        <v/>
      </c>
      <c r="X150" s="10">
        <f>SUM(V$13:V150)/COUNTA(B$13:B150)</f>
        <v>0</v>
      </c>
      <c r="Z150" s="5"/>
      <c r="AA150" s="5"/>
      <c r="AC150" s="7"/>
      <c r="AE150" s="54" t="e">
        <f t="shared" si="36"/>
        <v>#N/A</v>
      </c>
      <c r="AF150" s="4" t="e">
        <f t="shared" si="32"/>
        <v>#N/A</v>
      </c>
    </row>
    <row r="151" spans="2:32">
      <c r="B151" s="5">
        <f t="shared" si="37"/>
        <v>139</v>
      </c>
      <c r="C151" s="5"/>
      <c r="E151" s="13"/>
      <c r="F151" s="5"/>
      <c r="G151" s="11" t="str">
        <f>IF(ISERROR(AVERAGE(F$13:F151)),"n/a",AVERAGE(F$13:F151))</f>
        <v>n/a</v>
      </c>
      <c r="H151" s="11" t="str">
        <f t="shared" si="33"/>
        <v>n/a</v>
      </c>
      <c r="J151" s="5"/>
      <c r="K151" s="5"/>
      <c r="L151" s="5"/>
      <c r="M151" s="5"/>
      <c r="N151" s="5"/>
      <c r="O151" s="8" t="str">
        <f t="shared" si="31"/>
        <v>n/a</v>
      </c>
      <c r="Q151" s="5"/>
      <c r="R151" s="5"/>
      <c r="S151" s="5"/>
      <c r="U151" s="6"/>
      <c r="V151" s="9" t="str">
        <f t="shared" si="34"/>
        <v/>
      </c>
      <c r="W151" s="9" t="str">
        <f t="shared" si="35"/>
        <v/>
      </c>
      <c r="X151" s="10">
        <f>SUM(V$13:V151)/COUNTA(B$13:B151)</f>
        <v>0</v>
      </c>
      <c r="Z151" s="5"/>
      <c r="AA151" s="5"/>
      <c r="AC151" s="7"/>
      <c r="AE151" s="54" t="e">
        <f t="shared" si="36"/>
        <v>#N/A</v>
      </c>
      <c r="AF151" s="4" t="e">
        <f t="shared" si="32"/>
        <v>#N/A</v>
      </c>
    </row>
    <row r="152" spans="2:32">
      <c r="B152" s="5">
        <f t="shared" si="37"/>
        <v>140</v>
      </c>
      <c r="C152" s="5"/>
      <c r="E152" s="13"/>
      <c r="F152" s="5"/>
      <c r="G152" s="11" t="str">
        <f>IF(ISERROR(AVERAGE(F$13:F152)),"n/a",AVERAGE(F$13:F152))</f>
        <v>n/a</v>
      </c>
      <c r="H152" s="11" t="str">
        <f t="shared" si="33"/>
        <v>n/a</v>
      </c>
      <c r="J152" s="5"/>
      <c r="K152" s="5"/>
      <c r="L152" s="5"/>
      <c r="M152" s="5"/>
      <c r="N152" s="5"/>
      <c r="O152" s="8" t="str">
        <f t="shared" si="31"/>
        <v>n/a</v>
      </c>
      <c r="Q152" s="5"/>
      <c r="R152" s="5"/>
      <c r="S152" s="5"/>
      <c r="U152" s="6"/>
      <c r="V152" s="9" t="str">
        <f t="shared" si="34"/>
        <v/>
      </c>
      <c r="W152" s="9" t="str">
        <f t="shared" si="35"/>
        <v/>
      </c>
      <c r="X152" s="10">
        <f>SUM(V$13:V152)/COUNTA(B$13:B152)</f>
        <v>0</v>
      </c>
      <c r="Z152" s="5"/>
      <c r="AA152" s="5"/>
      <c r="AC152" s="7"/>
      <c r="AE152" s="54" t="e">
        <f t="shared" si="36"/>
        <v>#N/A</v>
      </c>
      <c r="AF152" s="4" t="e">
        <f t="shared" si="32"/>
        <v>#N/A</v>
      </c>
    </row>
    <row r="153" spans="2:32">
      <c r="B153" s="5">
        <f t="shared" si="37"/>
        <v>141</v>
      </c>
      <c r="C153" s="5"/>
      <c r="E153" s="13"/>
      <c r="F153" s="5"/>
      <c r="G153" s="11" t="str">
        <f>IF(ISERROR(AVERAGE(F$13:F153)),"n/a",AVERAGE(F$13:F153))</f>
        <v>n/a</v>
      </c>
      <c r="H153" s="11" t="str">
        <f t="shared" si="33"/>
        <v>n/a</v>
      </c>
      <c r="J153" s="5"/>
      <c r="K153" s="5"/>
      <c r="L153" s="5"/>
      <c r="M153" s="5"/>
      <c r="N153" s="5"/>
      <c r="O153" s="8" t="str">
        <f t="shared" si="31"/>
        <v>n/a</v>
      </c>
      <c r="Q153" s="5"/>
      <c r="R153" s="5"/>
      <c r="S153" s="5"/>
      <c r="U153" s="6"/>
      <c r="V153" s="9" t="str">
        <f t="shared" si="34"/>
        <v/>
      </c>
      <c r="W153" s="9" t="str">
        <f t="shared" si="35"/>
        <v/>
      </c>
      <c r="X153" s="10">
        <f>SUM(V$13:V153)/COUNTA(B$13:B153)</f>
        <v>0</v>
      </c>
      <c r="Z153" s="5"/>
      <c r="AA153" s="5"/>
      <c r="AC153" s="7"/>
      <c r="AE153" s="54" t="e">
        <f t="shared" si="36"/>
        <v>#N/A</v>
      </c>
      <c r="AF153" s="4" t="e">
        <f t="shared" si="32"/>
        <v>#N/A</v>
      </c>
    </row>
    <row r="154" spans="2:32">
      <c r="B154" s="5">
        <f t="shared" si="37"/>
        <v>142</v>
      </c>
      <c r="C154" s="5"/>
      <c r="E154" s="13"/>
      <c r="F154" s="5"/>
      <c r="G154" s="11" t="str">
        <f>IF(ISERROR(AVERAGE(F$13:F154)),"n/a",AVERAGE(F$13:F154))</f>
        <v>n/a</v>
      </c>
      <c r="H154" s="11" t="str">
        <f t="shared" si="33"/>
        <v>n/a</v>
      </c>
      <c r="J154" s="5"/>
      <c r="K154" s="5"/>
      <c r="L154" s="5"/>
      <c r="M154" s="5"/>
      <c r="N154" s="5"/>
      <c r="O154" s="8" t="str">
        <f t="shared" si="31"/>
        <v>n/a</v>
      </c>
      <c r="Q154" s="5"/>
      <c r="R154" s="5"/>
      <c r="S154" s="5"/>
      <c r="U154" s="6"/>
      <c r="V154" s="9" t="str">
        <f t="shared" si="34"/>
        <v/>
      </c>
      <c r="W154" s="9" t="str">
        <f t="shared" si="35"/>
        <v/>
      </c>
      <c r="X154" s="10">
        <f>SUM(V$13:V154)/COUNTA(B$13:B154)</f>
        <v>0</v>
      </c>
      <c r="Z154" s="5"/>
      <c r="AA154" s="5"/>
      <c r="AC154" s="7"/>
      <c r="AE154" s="54" t="e">
        <f t="shared" si="36"/>
        <v>#N/A</v>
      </c>
      <c r="AF154" s="4" t="e">
        <f t="shared" si="32"/>
        <v>#N/A</v>
      </c>
    </row>
    <row r="155" spans="2:32">
      <c r="B155" s="5">
        <f t="shared" si="37"/>
        <v>143</v>
      </c>
      <c r="C155" s="5"/>
      <c r="E155" s="13"/>
      <c r="F155" s="5"/>
      <c r="G155" s="11" t="str">
        <f>IF(ISERROR(AVERAGE(F$13:F155)),"n/a",AVERAGE(F$13:F155))</f>
        <v>n/a</v>
      </c>
      <c r="H155" s="11" t="str">
        <f t="shared" si="33"/>
        <v>n/a</v>
      </c>
      <c r="J155" s="5"/>
      <c r="K155" s="5"/>
      <c r="L155" s="5"/>
      <c r="M155" s="5"/>
      <c r="N155" s="5"/>
      <c r="O155" s="8" t="str">
        <f t="shared" si="31"/>
        <v>n/a</v>
      </c>
      <c r="Q155" s="5"/>
      <c r="R155" s="5"/>
      <c r="S155" s="5"/>
      <c r="U155" s="6"/>
      <c r="V155" s="9" t="str">
        <f t="shared" si="34"/>
        <v/>
      </c>
      <c r="W155" s="9" t="str">
        <f t="shared" si="35"/>
        <v/>
      </c>
      <c r="X155" s="10">
        <f>SUM(V$13:V155)/COUNTA(B$13:B155)</f>
        <v>0</v>
      </c>
      <c r="Z155" s="5"/>
      <c r="AA155" s="5"/>
      <c r="AC155" s="7"/>
      <c r="AE155" s="54" t="e">
        <f t="shared" si="36"/>
        <v>#N/A</v>
      </c>
      <c r="AF155" s="4" t="e">
        <f t="shared" si="32"/>
        <v>#N/A</v>
      </c>
    </row>
    <row r="156" spans="2:32">
      <c r="B156" s="5">
        <f t="shared" si="37"/>
        <v>144</v>
      </c>
      <c r="C156" s="5"/>
      <c r="E156" s="13"/>
      <c r="F156" s="5"/>
      <c r="G156" s="11" t="str">
        <f>IF(ISERROR(AVERAGE(F$13:F156)),"n/a",AVERAGE(F$13:F156))</f>
        <v>n/a</v>
      </c>
      <c r="H156" s="11" t="str">
        <f t="shared" si="33"/>
        <v>n/a</v>
      </c>
      <c r="J156" s="5"/>
      <c r="K156" s="5"/>
      <c r="L156" s="5"/>
      <c r="M156" s="5"/>
      <c r="N156" s="5"/>
      <c r="O156" s="8" t="str">
        <f t="shared" si="31"/>
        <v>n/a</v>
      </c>
      <c r="Q156" s="5"/>
      <c r="R156" s="5"/>
      <c r="S156" s="5"/>
      <c r="U156" s="6"/>
      <c r="V156" s="9" t="str">
        <f t="shared" si="34"/>
        <v/>
      </c>
      <c r="W156" s="9" t="str">
        <f t="shared" si="35"/>
        <v/>
      </c>
      <c r="X156" s="10">
        <f>SUM(V$13:V156)/COUNTA(B$13:B156)</f>
        <v>0</v>
      </c>
      <c r="Z156" s="5"/>
      <c r="AA156" s="5"/>
      <c r="AC156" s="7"/>
      <c r="AE156" s="54" t="e">
        <f t="shared" si="36"/>
        <v>#N/A</v>
      </c>
      <c r="AF156" s="4" t="e">
        <f t="shared" si="32"/>
        <v>#N/A</v>
      </c>
    </row>
    <row r="157" spans="2:32">
      <c r="B157" s="5">
        <f t="shared" si="37"/>
        <v>145</v>
      </c>
      <c r="C157" s="5"/>
      <c r="E157" s="13"/>
      <c r="F157" s="5"/>
      <c r="G157" s="11" t="str">
        <f>IF(ISERROR(AVERAGE(F$13:F157)),"n/a",AVERAGE(F$13:F157))</f>
        <v>n/a</v>
      </c>
      <c r="H157" s="11" t="str">
        <f t="shared" si="33"/>
        <v>n/a</v>
      </c>
      <c r="J157" s="5"/>
      <c r="K157" s="5"/>
      <c r="L157" s="5"/>
      <c r="M157" s="5"/>
      <c r="N157" s="5"/>
      <c r="O157" s="8" t="str">
        <f t="shared" si="31"/>
        <v>n/a</v>
      </c>
      <c r="Q157" s="5"/>
      <c r="R157" s="5"/>
      <c r="S157" s="5"/>
      <c r="U157" s="6"/>
      <c r="V157" s="9" t="str">
        <f t="shared" si="34"/>
        <v/>
      </c>
      <c r="W157" s="9" t="str">
        <f t="shared" si="35"/>
        <v/>
      </c>
      <c r="X157" s="10">
        <f>SUM(V$13:V157)/COUNTA(B$13:B157)</f>
        <v>0</v>
      </c>
      <c r="Z157" s="5"/>
      <c r="AA157" s="5"/>
      <c r="AC157" s="7"/>
      <c r="AE157" s="54" t="e">
        <f t="shared" si="36"/>
        <v>#N/A</v>
      </c>
      <c r="AF157" s="4" t="e">
        <f t="shared" si="32"/>
        <v>#N/A</v>
      </c>
    </row>
    <row r="158" spans="2:32">
      <c r="B158" s="5">
        <f t="shared" si="37"/>
        <v>146</v>
      </c>
      <c r="C158" s="5"/>
      <c r="E158" s="13"/>
      <c r="F158" s="5"/>
      <c r="G158" s="11" t="str">
        <f>IF(ISERROR(AVERAGE(F$13:F158)),"n/a",AVERAGE(F$13:F158))</f>
        <v>n/a</v>
      </c>
      <c r="H158" s="11" t="str">
        <f t="shared" si="33"/>
        <v>n/a</v>
      </c>
      <c r="J158" s="5"/>
      <c r="K158" s="5"/>
      <c r="L158" s="5"/>
      <c r="M158" s="5"/>
      <c r="N158" s="5"/>
      <c r="O158" s="8" t="str">
        <f t="shared" si="31"/>
        <v>n/a</v>
      </c>
      <c r="Q158" s="5"/>
      <c r="R158" s="5"/>
      <c r="S158" s="5"/>
      <c r="U158" s="6"/>
      <c r="V158" s="9" t="str">
        <f t="shared" si="34"/>
        <v/>
      </c>
      <c r="W158" s="9" t="str">
        <f t="shared" si="35"/>
        <v/>
      </c>
      <c r="X158" s="10">
        <f>SUM(V$13:V158)/COUNTA(B$13:B158)</f>
        <v>0</v>
      </c>
      <c r="Z158" s="5"/>
      <c r="AA158" s="5"/>
      <c r="AC158" s="7"/>
      <c r="AE158" s="54" t="e">
        <f t="shared" si="36"/>
        <v>#N/A</v>
      </c>
      <c r="AF158" s="4" t="e">
        <f t="shared" si="32"/>
        <v>#N/A</v>
      </c>
    </row>
    <row r="159" spans="2:32">
      <c r="B159" s="5">
        <f t="shared" si="37"/>
        <v>147</v>
      </c>
      <c r="C159" s="5"/>
      <c r="E159" s="13"/>
      <c r="F159" s="5"/>
      <c r="G159" s="11" t="str">
        <f>IF(ISERROR(AVERAGE(F$13:F159)),"n/a",AVERAGE(F$13:F159))</f>
        <v>n/a</v>
      </c>
      <c r="H159" s="11" t="str">
        <f t="shared" si="33"/>
        <v>n/a</v>
      </c>
      <c r="J159" s="5"/>
      <c r="K159" s="5"/>
      <c r="L159" s="5"/>
      <c r="M159" s="5"/>
      <c r="N159" s="5"/>
      <c r="O159" s="8" t="str">
        <f t="shared" si="31"/>
        <v>n/a</v>
      </c>
      <c r="Q159" s="5"/>
      <c r="R159" s="5"/>
      <c r="S159" s="5"/>
      <c r="U159" s="6"/>
      <c r="V159" s="9" t="str">
        <f t="shared" si="34"/>
        <v/>
      </c>
      <c r="W159" s="9" t="str">
        <f t="shared" si="35"/>
        <v/>
      </c>
      <c r="X159" s="10">
        <f>SUM(V$13:V159)/COUNTA(B$13:B159)</f>
        <v>0</v>
      </c>
      <c r="Z159" s="5"/>
      <c r="AA159" s="5"/>
      <c r="AC159" s="7"/>
      <c r="AE159" s="54" t="e">
        <f t="shared" si="36"/>
        <v>#N/A</v>
      </c>
      <c r="AF159" s="4" t="e">
        <f t="shared" si="32"/>
        <v>#N/A</v>
      </c>
    </row>
    <row r="160" spans="2:32">
      <c r="B160" s="5">
        <f t="shared" si="37"/>
        <v>148</v>
      </c>
      <c r="C160" s="5"/>
      <c r="E160" s="13"/>
      <c r="F160" s="5"/>
      <c r="G160" s="11" t="str">
        <f>IF(ISERROR(AVERAGE(F$13:F160)),"n/a",AVERAGE(F$13:F160))</f>
        <v>n/a</v>
      </c>
      <c r="H160" s="11" t="str">
        <f t="shared" si="33"/>
        <v>n/a</v>
      </c>
      <c r="J160" s="5"/>
      <c r="K160" s="5"/>
      <c r="L160" s="5"/>
      <c r="M160" s="5"/>
      <c r="N160" s="5"/>
      <c r="O160" s="8" t="str">
        <f t="shared" si="31"/>
        <v>n/a</v>
      </c>
      <c r="Q160" s="5"/>
      <c r="R160" s="5"/>
      <c r="S160" s="5"/>
      <c r="U160" s="6"/>
      <c r="V160" s="9" t="str">
        <f t="shared" si="34"/>
        <v/>
      </c>
      <c r="W160" s="9" t="str">
        <f t="shared" si="35"/>
        <v/>
      </c>
      <c r="X160" s="10">
        <f>SUM(V$13:V160)/COUNTA(B$13:B160)</f>
        <v>0</v>
      </c>
      <c r="Z160" s="5"/>
      <c r="AA160" s="5"/>
      <c r="AC160" s="7"/>
      <c r="AE160" s="54" t="e">
        <f t="shared" si="36"/>
        <v>#N/A</v>
      </c>
      <c r="AF160" s="4" t="e">
        <f t="shared" si="32"/>
        <v>#N/A</v>
      </c>
    </row>
    <row r="161" spans="2:32">
      <c r="B161" s="5">
        <f t="shared" si="37"/>
        <v>149</v>
      </c>
      <c r="C161" s="5"/>
      <c r="E161" s="13"/>
      <c r="F161" s="5"/>
      <c r="G161" s="11" t="str">
        <f>IF(ISERROR(AVERAGE(F$13:F161)),"n/a",AVERAGE(F$13:F161))</f>
        <v>n/a</v>
      </c>
      <c r="H161" s="11" t="str">
        <f t="shared" si="33"/>
        <v>n/a</v>
      </c>
      <c r="J161" s="5"/>
      <c r="K161" s="5"/>
      <c r="L161" s="5"/>
      <c r="M161" s="5"/>
      <c r="N161" s="5"/>
      <c r="O161" s="8" t="str">
        <f t="shared" si="31"/>
        <v>n/a</v>
      </c>
      <c r="Q161" s="5"/>
      <c r="R161" s="5"/>
      <c r="S161" s="5"/>
      <c r="U161" s="6"/>
      <c r="V161" s="9" t="str">
        <f t="shared" si="34"/>
        <v/>
      </c>
      <c r="W161" s="9" t="str">
        <f t="shared" si="35"/>
        <v/>
      </c>
      <c r="X161" s="10">
        <f>SUM(V$13:V161)/COUNTA(B$13:B161)</f>
        <v>0</v>
      </c>
      <c r="Z161" s="5"/>
      <c r="AA161" s="5"/>
      <c r="AC161" s="7"/>
      <c r="AE161" s="54" t="e">
        <f t="shared" si="36"/>
        <v>#N/A</v>
      </c>
      <c r="AF161" s="4" t="e">
        <f t="shared" si="32"/>
        <v>#N/A</v>
      </c>
    </row>
    <row r="162" spans="2:32">
      <c r="B162" s="5">
        <f t="shared" si="37"/>
        <v>150</v>
      </c>
      <c r="C162" s="5"/>
      <c r="E162" s="13"/>
      <c r="F162" s="5"/>
      <c r="G162" s="11" t="str">
        <f>IF(ISERROR(AVERAGE(F$13:F162)),"n/a",AVERAGE(F$13:F162))</f>
        <v>n/a</v>
      </c>
      <c r="H162" s="11" t="str">
        <f t="shared" si="33"/>
        <v>n/a</v>
      </c>
      <c r="J162" s="5"/>
      <c r="K162" s="5"/>
      <c r="L162" s="5"/>
      <c r="M162" s="5"/>
      <c r="N162" s="5"/>
      <c r="O162" s="8" t="str">
        <f t="shared" si="31"/>
        <v>n/a</v>
      </c>
      <c r="Q162" s="5"/>
      <c r="R162" s="5"/>
      <c r="S162" s="5"/>
      <c r="U162" s="6"/>
      <c r="V162" s="9" t="str">
        <f t="shared" si="34"/>
        <v/>
      </c>
      <c r="W162" s="9" t="str">
        <f t="shared" si="35"/>
        <v/>
      </c>
      <c r="X162" s="10">
        <f>SUM(V$13:V162)/COUNTA(B$13:B162)</f>
        <v>0</v>
      </c>
      <c r="Z162" s="5"/>
      <c r="AA162" s="5"/>
      <c r="AC162" s="7"/>
      <c r="AE162" s="54" t="e">
        <f t="shared" si="36"/>
        <v>#N/A</v>
      </c>
      <c r="AF162" s="4" t="e">
        <f t="shared" si="32"/>
        <v>#N/A</v>
      </c>
    </row>
    <row r="163" spans="2:32">
      <c r="B163" s="5">
        <f t="shared" si="37"/>
        <v>151</v>
      </c>
      <c r="C163" s="5"/>
      <c r="E163" s="13"/>
      <c r="F163" s="5"/>
      <c r="G163" s="11" t="str">
        <f>IF(ISERROR(AVERAGE(F$13:F163)),"n/a",AVERAGE(F$13:F163))</f>
        <v>n/a</v>
      </c>
      <c r="H163" s="11" t="str">
        <f t="shared" si="33"/>
        <v>n/a</v>
      </c>
      <c r="J163" s="5"/>
      <c r="K163" s="5"/>
      <c r="L163" s="5"/>
      <c r="M163" s="5"/>
      <c r="N163" s="5"/>
      <c r="O163" s="8" t="str">
        <f t="shared" si="31"/>
        <v>n/a</v>
      </c>
      <c r="Q163" s="5"/>
      <c r="R163" s="5"/>
      <c r="S163" s="5"/>
      <c r="U163" s="6"/>
      <c r="V163" s="9" t="str">
        <f t="shared" si="34"/>
        <v/>
      </c>
      <c r="W163" s="9" t="str">
        <f t="shared" si="35"/>
        <v/>
      </c>
      <c r="X163" s="10">
        <f>SUM(V$13:V163)/COUNTA(B$13:B163)</f>
        <v>0</v>
      </c>
      <c r="Z163" s="5"/>
      <c r="AA163" s="5"/>
      <c r="AC163" s="7"/>
      <c r="AE163" s="54" t="e">
        <f t="shared" si="36"/>
        <v>#N/A</v>
      </c>
      <c r="AF163" s="4" t="e">
        <f t="shared" si="32"/>
        <v>#N/A</v>
      </c>
    </row>
    <row r="164" spans="2:32">
      <c r="B164" s="5">
        <f t="shared" si="37"/>
        <v>152</v>
      </c>
      <c r="C164" s="5"/>
      <c r="E164" s="13"/>
      <c r="F164" s="5"/>
      <c r="G164" s="11" t="str">
        <f>IF(ISERROR(AVERAGE(F$13:F164)),"n/a",AVERAGE(F$13:F164))</f>
        <v>n/a</v>
      </c>
      <c r="H164" s="11" t="str">
        <f t="shared" si="33"/>
        <v>n/a</v>
      </c>
      <c r="J164" s="5"/>
      <c r="K164" s="5"/>
      <c r="L164" s="5"/>
      <c r="M164" s="5"/>
      <c r="N164" s="5"/>
      <c r="O164" s="8" t="str">
        <f t="shared" si="31"/>
        <v>n/a</v>
      </c>
      <c r="Q164" s="5"/>
      <c r="R164" s="5"/>
      <c r="S164" s="5"/>
      <c r="U164" s="6"/>
      <c r="V164" s="9" t="str">
        <f t="shared" si="34"/>
        <v/>
      </c>
      <c r="W164" s="9" t="str">
        <f t="shared" si="35"/>
        <v/>
      </c>
      <c r="X164" s="10">
        <f>SUM(V$13:V164)/COUNTA(B$13:B164)</f>
        <v>0</v>
      </c>
      <c r="Z164" s="5"/>
      <c r="AA164" s="5"/>
      <c r="AC164" s="7"/>
      <c r="AE164" s="54" t="e">
        <f t="shared" si="36"/>
        <v>#N/A</v>
      </c>
      <c r="AF164" s="4" t="e">
        <f t="shared" si="32"/>
        <v>#N/A</v>
      </c>
    </row>
    <row r="165" spans="2:32">
      <c r="B165" s="5">
        <f t="shared" si="37"/>
        <v>153</v>
      </c>
      <c r="C165" s="5"/>
      <c r="E165" s="13"/>
      <c r="F165" s="5"/>
      <c r="G165" s="11" t="str">
        <f>IF(ISERROR(AVERAGE(F$13:F165)),"n/a",AVERAGE(F$13:F165))</f>
        <v>n/a</v>
      </c>
      <c r="H165" s="11" t="str">
        <f t="shared" si="33"/>
        <v>n/a</v>
      </c>
      <c r="J165" s="5"/>
      <c r="K165" s="5"/>
      <c r="L165" s="5"/>
      <c r="M165" s="5"/>
      <c r="N165" s="5"/>
      <c r="O165" s="8" t="str">
        <f t="shared" si="31"/>
        <v>n/a</v>
      </c>
      <c r="Q165" s="5"/>
      <c r="R165" s="5"/>
      <c r="S165" s="5"/>
      <c r="U165" s="6"/>
      <c r="V165" s="9" t="str">
        <f t="shared" si="34"/>
        <v/>
      </c>
      <c r="W165" s="9" t="str">
        <f t="shared" si="35"/>
        <v/>
      </c>
      <c r="X165" s="10">
        <f>SUM(V$13:V165)/COUNTA(B$13:B165)</f>
        <v>0</v>
      </c>
      <c r="Z165" s="5"/>
      <c r="AA165" s="5"/>
      <c r="AC165" s="7"/>
      <c r="AE165" s="54" t="e">
        <f t="shared" si="36"/>
        <v>#N/A</v>
      </c>
      <c r="AF165" s="4" t="e">
        <f t="shared" si="32"/>
        <v>#N/A</v>
      </c>
    </row>
    <row r="166" spans="2:32">
      <c r="B166" s="5">
        <f t="shared" si="37"/>
        <v>154</v>
      </c>
      <c r="C166" s="5"/>
      <c r="E166" s="13"/>
      <c r="F166" s="5"/>
      <c r="G166" s="11" t="str">
        <f>IF(ISERROR(AVERAGE(F$13:F166)),"n/a",AVERAGE(F$13:F166))</f>
        <v>n/a</v>
      </c>
      <c r="H166" s="11" t="str">
        <f t="shared" si="33"/>
        <v>n/a</v>
      </c>
      <c r="J166" s="5"/>
      <c r="K166" s="5"/>
      <c r="L166" s="5"/>
      <c r="M166" s="5"/>
      <c r="N166" s="5"/>
      <c r="O166" s="8" t="str">
        <f t="shared" si="31"/>
        <v>n/a</v>
      </c>
      <c r="Q166" s="5"/>
      <c r="R166" s="5"/>
      <c r="S166" s="5"/>
      <c r="U166" s="6"/>
      <c r="V166" s="9" t="str">
        <f t="shared" si="34"/>
        <v/>
      </c>
      <c r="W166" s="9" t="str">
        <f t="shared" si="35"/>
        <v/>
      </c>
      <c r="X166" s="10">
        <f>SUM(V$13:V166)/COUNTA(B$13:B166)</f>
        <v>0</v>
      </c>
      <c r="Z166" s="5"/>
      <c r="AA166" s="5"/>
      <c r="AC166" s="7"/>
      <c r="AE166" s="54" t="e">
        <f t="shared" si="36"/>
        <v>#N/A</v>
      </c>
      <c r="AF166" s="4" t="e">
        <f t="shared" si="32"/>
        <v>#N/A</v>
      </c>
    </row>
    <row r="167" spans="2:32">
      <c r="B167" s="5">
        <f t="shared" si="37"/>
        <v>155</v>
      </c>
      <c r="C167" s="5"/>
      <c r="E167" s="13"/>
      <c r="F167" s="5"/>
      <c r="G167" s="11" t="str">
        <f>IF(ISERROR(AVERAGE(F$13:F167)),"n/a",AVERAGE(F$13:F167))</f>
        <v>n/a</v>
      </c>
      <c r="H167" s="11" t="str">
        <f t="shared" si="33"/>
        <v>n/a</v>
      </c>
      <c r="J167" s="5"/>
      <c r="K167" s="5"/>
      <c r="L167" s="5"/>
      <c r="M167" s="5"/>
      <c r="N167" s="5"/>
      <c r="O167" s="8" t="str">
        <f t="shared" si="31"/>
        <v>n/a</v>
      </c>
      <c r="Q167" s="5"/>
      <c r="R167" s="5"/>
      <c r="S167" s="5"/>
      <c r="U167" s="6"/>
      <c r="V167" s="9" t="str">
        <f t="shared" si="34"/>
        <v/>
      </c>
      <c r="W167" s="9" t="str">
        <f t="shared" si="35"/>
        <v/>
      </c>
      <c r="X167" s="10">
        <f>SUM(V$13:V167)/COUNTA(B$13:B167)</f>
        <v>0</v>
      </c>
      <c r="Z167" s="5"/>
      <c r="AA167" s="5"/>
      <c r="AC167" s="7"/>
      <c r="AE167" s="54" t="e">
        <f t="shared" si="36"/>
        <v>#N/A</v>
      </c>
      <c r="AF167" s="4" t="e">
        <f t="shared" si="32"/>
        <v>#N/A</v>
      </c>
    </row>
    <row r="168" spans="2:32">
      <c r="B168" s="5">
        <f t="shared" si="37"/>
        <v>156</v>
      </c>
      <c r="C168" s="5"/>
      <c r="E168" s="13"/>
      <c r="F168" s="5"/>
      <c r="G168" s="11" t="str">
        <f>IF(ISERROR(AVERAGE(F$13:F168)),"n/a",AVERAGE(F$13:F168))</f>
        <v>n/a</v>
      </c>
      <c r="H168" s="11" t="str">
        <f t="shared" si="33"/>
        <v>n/a</v>
      </c>
      <c r="J168" s="5"/>
      <c r="K168" s="5"/>
      <c r="L168" s="5"/>
      <c r="M168" s="5"/>
      <c r="N168" s="5"/>
      <c r="O168" s="8" t="str">
        <f t="shared" si="31"/>
        <v>n/a</v>
      </c>
      <c r="Q168" s="5"/>
      <c r="R168" s="5"/>
      <c r="S168" s="5"/>
      <c r="U168" s="6"/>
      <c r="V168" s="9" t="str">
        <f t="shared" si="34"/>
        <v/>
      </c>
      <c r="W168" s="9" t="str">
        <f t="shared" si="35"/>
        <v/>
      </c>
      <c r="X168" s="10">
        <f>SUM(V$13:V168)/COUNTA(B$13:B168)</f>
        <v>0</v>
      </c>
      <c r="Z168" s="5"/>
      <c r="AA168" s="5"/>
      <c r="AC168" s="7"/>
      <c r="AE168" s="54" t="e">
        <f t="shared" si="36"/>
        <v>#N/A</v>
      </c>
      <c r="AF168" s="4" t="e">
        <f t="shared" si="32"/>
        <v>#N/A</v>
      </c>
    </row>
    <row r="169" spans="2:32">
      <c r="B169" s="5">
        <f t="shared" si="37"/>
        <v>157</v>
      </c>
      <c r="C169" s="5"/>
      <c r="E169" s="13"/>
      <c r="F169" s="5"/>
      <c r="G169" s="11" t="str">
        <f>IF(ISERROR(AVERAGE(F$13:F169)),"n/a",AVERAGE(F$13:F169))</f>
        <v>n/a</v>
      </c>
      <c r="H169" s="11" t="str">
        <f t="shared" si="33"/>
        <v>n/a</v>
      </c>
      <c r="J169" s="5"/>
      <c r="K169" s="5"/>
      <c r="L169" s="5"/>
      <c r="M169" s="5"/>
      <c r="N169" s="5"/>
      <c r="O169" s="8" t="str">
        <f t="shared" si="31"/>
        <v>n/a</v>
      </c>
      <c r="Q169" s="5"/>
      <c r="R169" s="5"/>
      <c r="S169" s="5"/>
      <c r="U169" s="6"/>
      <c r="V169" s="9" t="str">
        <f t="shared" si="34"/>
        <v/>
      </c>
      <c r="W169" s="9" t="str">
        <f t="shared" si="35"/>
        <v/>
      </c>
      <c r="X169" s="10">
        <f>SUM(V$13:V169)/COUNTA(B$13:B169)</f>
        <v>0</v>
      </c>
      <c r="Z169" s="5"/>
      <c r="AA169" s="5"/>
      <c r="AC169" s="7"/>
      <c r="AE169" s="54" t="e">
        <f t="shared" si="36"/>
        <v>#N/A</v>
      </c>
      <c r="AF169" s="4" t="e">
        <f t="shared" si="32"/>
        <v>#N/A</v>
      </c>
    </row>
    <row r="170" spans="2:32">
      <c r="B170" s="5">
        <f t="shared" si="37"/>
        <v>158</v>
      </c>
      <c r="C170" s="5"/>
      <c r="E170" s="13"/>
      <c r="F170" s="5"/>
      <c r="G170" s="11" t="str">
        <f>IF(ISERROR(AVERAGE(F$13:F170)),"n/a",AVERAGE(F$13:F170))</f>
        <v>n/a</v>
      </c>
      <c r="H170" s="11" t="str">
        <f t="shared" si="33"/>
        <v>n/a</v>
      </c>
      <c r="J170" s="5"/>
      <c r="K170" s="5"/>
      <c r="L170" s="5"/>
      <c r="M170" s="5"/>
      <c r="N170" s="5"/>
      <c r="O170" s="8" t="str">
        <f t="shared" si="31"/>
        <v>n/a</v>
      </c>
      <c r="Q170" s="5"/>
      <c r="R170" s="5"/>
      <c r="S170" s="5"/>
      <c r="U170" s="6"/>
      <c r="V170" s="9" t="str">
        <f t="shared" si="34"/>
        <v/>
      </c>
      <c r="W170" s="9" t="str">
        <f t="shared" si="35"/>
        <v/>
      </c>
      <c r="X170" s="10">
        <f>SUM(V$13:V170)/COUNTA(B$13:B170)</f>
        <v>0</v>
      </c>
      <c r="Z170" s="5"/>
      <c r="AA170" s="5"/>
      <c r="AC170" s="7"/>
      <c r="AE170" s="54" t="e">
        <f t="shared" si="36"/>
        <v>#N/A</v>
      </c>
      <c r="AF170" s="4" t="e">
        <f t="shared" si="32"/>
        <v>#N/A</v>
      </c>
    </row>
    <row r="171" spans="2:32">
      <c r="B171" s="5">
        <f t="shared" si="37"/>
        <v>159</v>
      </c>
      <c r="C171" s="5"/>
      <c r="E171" s="13"/>
      <c r="F171" s="5"/>
      <c r="G171" s="11" t="str">
        <f>IF(ISERROR(AVERAGE(F$13:F171)),"n/a",AVERAGE(F$13:F171))</f>
        <v>n/a</v>
      </c>
      <c r="H171" s="11" t="str">
        <f t="shared" si="33"/>
        <v>n/a</v>
      </c>
      <c r="J171" s="5"/>
      <c r="K171" s="5"/>
      <c r="L171" s="5"/>
      <c r="M171" s="5"/>
      <c r="N171" s="5"/>
      <c r="O171" s="8" t="str">
        <f t="shared" si="31"/>
        <v>n/a</v>
      </c>
      <c r="Q171" s="5"/>
      <c r="R171" s="5"/>
      <c r="S171" s="5"/>
      <c r="U171" s="6"/>
      <c r="V171" s="9" t="str">
        <f t="shared" si="34"/>
        <v/>
      </c>
      <c r="W171" s="9" t="str">
        <f t="shared" si="35"/>
        <v/>
      </c>
      <c r="X171" s="10">
        <f>SUM(V$13:V171)/COUNTA(B$13:B171)</f>
        <v>0</v>
      </c>
      <c r="Z171" s="5"/>
      <c r="AA171" s="5"/>
      <c r="AC171" s="7"/>
      <c r="AE171" s="54" t="e">
        <f t="shared" si="36"/>
        <v>#N/A</v>
      </c>
      <c r="AF171" s="4" t="e">
        <f t="shared" si="32"/>
        <v>#N/A</v>
      </c>
    </row>
    <row r="172" spans="2:32">
      <c r="B172" s="5">
        <f t="shared" si="37"/>
        <v>160</v>
      </c>
      <c r="C172" s="5"/>
      <c r="E172" s="13"/>
      <c r="F172" s="5"/>
      <c r="G172" s="11" t="str">
        <f>IF(ISERROR(AVERAGE(F$13:F172)),"n/a",AVERAGE(F$13:F172))</f>
        <v>n/a</v>
      </c>
      <c r="H172" s="11" t="str">
        <f t="shared" si="33"/>
        <v>n/a</v>
      </c>
      <c r="J172" s="5"/>
      <c r="K172" s="5"/>
      <c r="L172" s="5"/>
      <c r="M172" s="5"/>
      <c r="N172" s="5"/>
      <c r="O172" s="8" t="str">
        <f t="shared" si="31"/>
        <v>n/a</v>
      </c>
      <c r="Q172" s="5"/>
      <c r="R172" s="5"/>
      <c r="S172" s="5"/>
      <c r="U172" s="6"/>
      <c r="V172" s="9" t="str">
        <f t="shared" si="34"/>
        <v/>
      </c>
      <c r="W172" s="9" t="str">
        <f t="shared" si="35"/>
        <v/>
      </c>
      <c r="X172" s="10">
        <f>SUM(V$13:V172)/COUNTA(B$13:B172)</f>
        <v>0</v>
      </c>
      <c r="Z172" s="5"/>
      <c r="AA172" s="5"/>
      <c r="AC172" s="7"/>
      <c r="AE172" s="54" t="e">
        <f t="shared" si="36"/>
        <v>#N/A</v>
      </c>
      <c r="AF172" s="4" t="e">
        <f t="shared" si="32"/>
        <v>#N/A</v>
      </c>
    </row>
    <row r="173" spans="2:32">
      <c r="B173" s="5">
        <f t="shared" si="37"/>
        <v>161</v>
      </c>
      <c r="C173" s="5"/>
      <c r="E173" s="13"/>
      <c r="F173" s="5"/>
      <c r="G173" s="11" t="str">
        <f>IF(ISERROR(AVERAGE(F$13:F173)),"n/a",AVERAGE(F$13:F173))</f>
        <v>n/a</v>
      </c>
      <c r="H173" s="11" t="str">
        <f t="shared" si="33"/>
        <v>n/a</v>
      </c>
      <c r="J173" s="5"/>
      <c r="K173" s="5"/>
      <c r="L173" s="5"/>
      <c r="M173" s="5"/>
      <c r="N173" s="5"/>
      <c r="O173" s="8" t="str">
        <f t="shared" si="31"/>
        <v>n/a</v>
      </c>
      <c r="Q173" s="5"/>
      <c r="R173" s="5"/>
      <c r="S173" s="5"/>
      <c r="U173" s="6"/>
      <c r="V173" s="9" t="str">
        <f t="shared" si="34"/>
        <v/>
      </c>
      <c r="W173" s="9" t="str">
        <f t="shared" si="35"/>
        <v/>
      </c>
      <c r="X173" s="10">
        <f>SUM(V$13:V173)/COUNTA(B$13:B173)</f>
        <v>0</v>
      </c>
      <c r="Z173" s="5"/>
      <c r="AA173" s="5"/>
      <c r="AC173" s="7"/>
      <c r="AE173" s="54" t="e">
        <f t="shared" si="36"/>
        <v>#N/A</v>
      </c>
      <c r="AF173" s="4" t="e">
        <f t="shared" si="32"/>
        <v>#N/A</v>
      </c>
    </row>
    <row r="174" spans="2:32">
      <c r="B174" s="5">
        <f t="shared" si="37"/>
        <v>162</v>
      </c>
      <c r="C174" s="5"/>
      <c r="E174" s="13"/>
      <c r="F174" s="5"/>
      <c r="G174" s="11" t="str">
        <f>IF(ISERROR(AVERAGE(F$13:F174)),"n/a",AVERAGE(F$13:F174))</f>
        <v>n/a</v>
      </c>
      <c r="H174" s="11" t="str">
        <f t="shared" si="33"/>
        <v>n/a</v>
      </c>
      <c r="J174" s="5"/>
      <c r="K174" s="5"/>
      <c r="L174" s="5"/>
      <c r="M174" s="5"/>
      <c r="N174" s="5"/>
      <c r="O174" s="8" t="str">
        <f t="shared" si="31"/>
        <v>n/a</v>
      </c>
      <c r="Q174" s="5"/>
      <c r="R174" s="5"/>
      <c r="S174" s="5"/>
      <c r="U174" s="6"/>
      <c r="V174" s="9" t="str">
        <f t="shared" si="34"/>
        <v/>
      </c>
      <c r="W174" s="9" t="str">
        <f t="shared" si="35"/>
        <v/>
      </c>
      <c r="X174" s="10">
        <f>SUM(V$13:V174)/COUNTA(B$13:B174)</f>
        <v>0</v>
      </c>
      <c r="Z174" s="5"/>
      <c r="AA174" s="5"/>
      <c r="AC174" s="7"/>
      <c r="AE174" s="54" t="e">
        <f t="shared" si="36"/>
        <v>#N/A</v>
      </c>
      <c r="AF174" s="4" t="e">
        <f t="shared" si="32"/>
        <v>#N/A</v>
      </c>
    </row>
    <row r="175" spans="2:32">
      <c r="B175" s="5">
        <f t="shared" si="37"/>
        <v>163</v>
      </c>
      <c r="C175" s="5"/>
      <c r="E175" s="13"/>
      <c r="F175" s="5"/>
      <c r="G175" s="11" t="str">
        <f>IF(ISERROR(AVERAGE(F$13:F175)),"n/a",AVERAGE(F$13:F175))</f>
        <v>n/a</v>
      </c>
      <c r="H175" s="11" t="str">
        <f t="shared" si="33"/>
        <v>n/a</v>
      </c>
      <c r="J175" s="5"/>
      <c r="K175" s="5"/>
      <c r="L175" s="5"/>
      <c r="M175" s="5"/>
      <c r="N175" s="5"/>
      <c r="O175" s="8" t="str">
        <f t="shared" si="31"/>
        <v>n/a</v>
      </c>
      <c r="Q175" s="5"/>
      <c r="R175" s="5"/>
      <c r="S175" s="5"/>
      <c r="U175" s="6"/>
      <c r="V175" s="9" t="str">
        <f t="shared" si="34"/>
        <v/>
      </c>
      <c r="W175" s="9" t="str">
        <f t="shared" si="35"/>
        <v/>
      </c>
      <c r="X175" s="10">
        <f>SUM(V$13:V175)/COUNTA(B$13:B175)</f>
        <v>0</v>
      </c>
      <c r="Z175" s="5"/>
      <c r="AA175" s="5"/>
      <c r="AC175" s="7"/>
      <c r="AE175" s="54" t="e">
        <f t="shared" si="36"/>
        <v>#N/A</v>
      </c>
      <c r="AF175" s="4" t="e">
        <f t="shared" si="32"/>
        <v>#N/A</v>
      </c>
    </row>
    <row r="176" spans="2:32">
      <c r="B176" s="5">
        <f t="shared" si="37"/>
        <v>164</v>
      </c>
      <c r="C176" s="5"/>
      <c r="E176" s="13"/>
      <c r="F176" s="5"/>
      <c r="G176" s="11" t="str">
        <f>IF(ISERROR(AVERAGE(F$13:F176)),"n/a",AVERAGE(F$13:F176))</f>
        <v>n/a</v>
      </c>
      <c r="H176" s="11" t="str">
        <f t="shared" si="33"/>
        <v>n/a</v>
      </c>
      <c r="J176" s="5"/>
      <c r="K176" s="5"/>
      <c r="L176" s="5"/>
      <c r="M176" s="5"/>
      <c r="N176" s="5"/>
      <c r="O176" s="8" t="str">
        <f t="shared" si="31"/>
        <v>n/a</v>
      </c>
      <c r="Q176" s="5"/>
      <c r="R176" s="5"/>
      <c r="S176" s="5"/>
      <c r="U176" s="6"/>
      <c r="V176" s="9" t="str">
        <f t="shared" si="34"/>
        <v/>
      </c>
      <c r="W176" s="9" t="str">
        <f t="shared" si="35"/>
        <v/>
      </c>
      <c r="X176" s="10">
        <f>SUM(V$13:V176)/COUNTA(B$13:B176)</f>
        <v>0</v>
      </c>
      <c r="Z176" s="5"/>
      <c r="AA176" s="5"/>
      <c r="AC176" s="7"/>
      <c r="AE176" s="54" t="e">
        <f t="shared" si="36"/>
        <v>#N/A</v>
      </c>
      <c r="AF176" s="4" t="e">
        <f t="shared" si="32"/>
        <v>#N/A</v>
      </c>
    </row>
    <row r="177" spans="2:32">
      <c r="B177" s="5">
        <f t="shared" si="37"/>
        <v>165</v>
      </c>
      <c r="C177" s="5"/>
      <c r="E177" s="13"/>
      <c r="F177" s="5"/>
      <c r="G177" s="11" t="str">
        <f>IF(ISERROR(AVERAGE(F$13:F177)),"n/a",AVERAGE(F$13:F177))</f>
        <v>n/a</v>
      </c>
      <c r="H177" s="11" t="str">
        <f t="shared" si="33"/>
        <v>n/a</v>
      </c>
      <c r="J177" s="5"/>
      <c r="K177" s="5"/>
      <c r="L177" s="5"/>
      <c r="M177" s="5"/>
      <c r="N177" s="5"/>
      <c r="O177" s="8" t="str">
        <f t="shared" si="31"/>
        <v>n/a</v>
      </c>
      <c r="Q177" s="5"/>
      <c r="R177" s="5"/>
      <c r="S177" s="5"/>
      <c r="U177" s="6"/>
      <c r="V177" s="9" t="str">
        <f t="shared" si="34"/>
        <v/>
      </c>
      <c r="W177" s="9" t="str">
        <f t="shared" si="35"/>
        <v/>
      </c>
      <c r="X177" s="10">
        <f>SUM(V$13:V177)/COUNTA(B$13:B177)</f>
        <v>0</v>
      </c>
      <c r="Z177" s="5"/>
      <c r="AA177" s="5"/>
      <c r="AC177" s="7"/>
      <c r="AE177" s="54" t="e">
        <f t="shared" si="36"/>
        <v>#N/A</v>
      </c>
      <c r="AF177" s="4" t="e">
        <f t="shared" si="32"/>
        <v>#N/A</v>
      </c>
    </row>
    <row r="178" spans="2:32">
      <c r="B178" s="5">
        <f t="shared" si="37"/>
        <v>166</v>
      </c>
      <c r="C178" s="5"/>
      <c r="E178" s="13"/>
      <c r="F178" s="5"/>
      <c r="G178" s="11" t="str">
        <f>IF(ISERROR(AVERAGE(F$13:F178)),"n/a",AVERAGE(F$13:F178))</f>
        <v>n/a</v>
      </c>
      <c r="H178" s="11" t="str">
        <f t="shared" si="33"/>
        <v>n/a</v>
      </c>
      <c r="J178" s="5"/>
      <c r="K178" s="5"/>
      <c r="L178" s="5"/>
      <c r="M178" s="5"/>
      <c r="N178" s="5"/>
      <c r="O178" s="8" t="str">
        <f t="shared" si="31"/>
        <v>n/a</v>
      </c>
      <c r="Q178" s="5"/>
      <c r="R178" s="5"/>
      <c r="S178" s="5"/>
      <c r="U178" s="6"/>
      <c r="V178" s="9" t="str">
        <f t="shared" si="34"/>
        <v/>
      </c>
      <c r="W178" s="9" t="str">
        <f t="shared" si="35"/>
        <v/>
      </c>
      <c r="X178" s="10">
        <f>SUM(V$13:V178)/COUNTA(B$13:B178)</f>
        <v>0</v>
      </c>
      <c r="Z178" s="5"/>
      <c r="AA178" s="5"/>
      <c r="AC178" s="7"/>
      <c r="AE178" s="54" t="e">
        <f t="shared" si="36"/>
        <v>#N/A</v>
      </c>
      <c r="AF178" s="4" t="e">
        <f t="shared" si="32"/>
        <v>#N/A</v>
      </c>
    </row>
    <row r="179" spans="2:32">
      <c r="B179" s="5">
        <f t="shared" si="37"/>
        <v>167</v>
      </c>
      <c r="C179" s="5"/>
      <c r="E179" s="13"/>
      <c r="F179" s="5"/>
      <c r="G179" s="11" t="str">
        <f>IF(ISERROR(AVERAGE(F$13:F179)),"n/a",AVERAGE(F$13:F179))</f>
        <v>n/a</v>
      </c>
      <c r="H179" s="11" t="str">
        <f t="shared" si="33"/>
        <v>n/a</v>
      </c>
      <c r="J179" s="5"/>
      <c r="K179" s="5"/>
      <c r="L179" s="5"/>
      <c r="M179" s="5"/>
      <c r="N179" s="5"/>
      <c r="O179" s="8" t="str">
        <f t="shared" si="31"/>
        <v>n/a</v>
      </c>
      <c r="Q179" s="5"/>
      <c r="R179" s="5"/>
      <c r="S179" s="5"/>
      <c r="U179" s="6"/>
      <c r="V179" s="9" t="str">
        <f t="shared" si="34"/>
        <v/>
      </c>
      <c r="W179" s="9" t="str">
        <f t="shared" si="35"/>
        <v/>
      </c>
      <c r="X179" s="10">
        <f>SUM(V$13:V179)/COUNTA(B$13:B179)</f>
        <v>0</v>
      </c>
      <c r="Z179" s="5"/>
      <c r="AA179" s="5"/>
      <c r="AC179" s="7"/>
      <c r="AE179" s="54" t="e">
        <f t="shared" si="36"/>
        <v>#N/A</v>
      </c>
      <c r="AF179" s="4" t="e">
        <f t="shared" si="32"/>
        <v>#N/A</v>
      </c>
    </row>
    <row r="180" spans="2:32">
      <c r="B180" s="5">
        <f t="shared" si="37"/>
        <v>168</v>
      </c>
      <c r="C180" s="5"/>
      <c r="E180" s="13"/>
      <c r="F180" s="5"/>
      <c r="G180" s="11" t="str">
        <f>IF(ISERROR(AVERAGE(F$13:F180)),"n/a",AVERAGE(F$13:F180))</f>
        <v>n/a</v>
      </c>
      <c r="H180" s="11" t="str">
        <f t="shared" si="33"/>
        <v>n/a</v>
      </c>
      <c r="J180" s="5"/>
      <c r="K180" s="5"/>
      <c r="L180" s="5"/>
      <c r="M180" s="5"/>
      <c r="N180" s="5"/>
      <c r="O180" s="8" t="str">
        <f t="shared" si="31"/>
        <v>n/a</v>
      </c>
      <c r="Q180" s="5"/>
      <c r="R180" s="5"/>
      <c r="S180" s="5"/>
      <c r="U180" s="6"/>
      <c r="V180" s="9" t="str">
        <f t="shared" si="34"/>
        <v/>
      </c>
      <c r="W180" s="9" t="str">
        <f t="shared" si="35"/>
        <v/>
      </c>
      <c r="X180" s="10">
        <f>SUM(V$13:V180)/COUNTA(B$13:B180)</f>
        <v>0</v>
      </c>
      <c r="Z180" s="5"/>
      <c r="AA180" s="5"/>
      <c r="AC180" s="7"/>
      <c r="AE180" s="54" t="e">
        <f t="shared" si="36"/>
        <v>#N/A</v>
      </c>
      <c r="AF180" s="4" t="e">
        <f t="shared" si="32"/>
        <v>#N/A</v>
      </c>
    </row>
    <row r="181" spans="2:32">
      <c r="B181" s="5">
        <f t="shared" si="37"/>
        <v>169</v>
      </c>
      <c r="C181" s="5"/>
      <c r="E181" s="13"/>
      <c r="F181" s="5"/>
      <c r="G181" s="11" t="str">
        <f>IF(ISERROR(AVERAGE(F$13:F181)),"n/a",AVERAGE(F$13:F181))</f>
        <v>n/a</v>
      </c>
      <c r="H181" s="11" t="str">
        <f t="shared" si="33"/>
        <v>n/a</v>
      </c>
      <c r="J181" s="5"/>
      <c r="K181" s="5"/>
      <c r="L181" s="5"/>
      <c r="M181" s="5"/>
      <c r="N181" s="5"/>
      <c r="O181" s="8" t="str">
        <f t="shared" si="31"/>
        <v>n/a</v>
      </c>
      <c r="Q181" s="5"/>
      <c r="R181" s="5"/>
      <c r="S181" s="5"/>
      <c r="U181" s="6"/>
      <c r="V181" s="9" t="str">
        <f t="shared" si="34"/>
        <v/>
      </c>
      <c r="W181" s="9" t="str">
        <f t="shared" si="35"/>
        <v/>
      </c>
      <c r="X181" s="10">
        <f>SUM(V$13:V181)/COUNTA(B$13:B181)</f>
        <v>0</v>
      </c>
      <c r="Z181" s="5"/>
      <c r="AA181" s="5"/>
      <c r="AC181" s="7"/>
      <c r="AE181" s="54" t="e">
        <f t="shared" si="36"/>
        <v>#N/A</v>
      </c>
      <c r="AF181" s="4" t="e">
        <f t="shared" si="32"/>
        <v>#N/A</v>
      </c>
    </row>
    <row r="182" spans="2:32">
      <c r="B182" s="5">
        <f t="shared" si="37"/>
        <v>170</v>
      </c>
      <c r="C182" s="5"/>
      <c r="E182" s="13"/>
      <c r="F182" s="5"/>
      <c r="G182" s="11" t="str">
        <f>IF(ISERROR(AVERAGE(F$13:F182)),"n/a",AVERAGE(F$13:F182))</f>
        <v>n/a</v>
      </c>
      <c r="H182" s="11" t="str">
        <f t="shared" si="33"/>
        <v>n/a</v>
      </c>
      <c r="J182" s="5"/>
      <c r="K182" s="5"/>
      <c r="L182" s="5"/>
      <c r="M182" s="5"/>
      <c r="N182" s="5"/>
      <c r="O182" s="8" t="str">
        <f t="shared" si="31"/>
        <v>n/a</v>
      </c>
      <c r="Q182" s="5"/>
      <c r="R182" s="5"/>
      <c r="S182" s="5"/>
      <c r="U182" s="6"/>
      <c r="V182" s="9" t="str">
        <f t="shared" si="34"/>
        <v/>
      </c>
      <c r="W182" s="9" t="str">
        <f t="shared" si="35"/>
        <v/>
      </c>
      <c r="X182" s="10">
        <f>SUM(V$13:V182)/COUNTA(B$13:B182)</f>
        <v>0</v>
      </c>
      <c r="Z182" s="5"/>
      <c r="AA182" s="5"/>
      <c r="AC182" s="7"/>
      <c r="AE182" s="54" t="e">
        <f t="shared" si="36"/>
        <v>#N/A</v>
      </c>
      <c r="AF182" s="4" t="e">
        <f t="shared" si="32"/>
        <v>#N/A</v>
      </c>
    </row>
    <row r="183" spans="2:32">
      <c r="B183" s="5">
        <f t="shared" si="37"/>
        <v>171</v>
      </c>
      <c r="C183" s="5"/>
      <c r="E183" s="13"/>
      <c r="F183" s="5"/>
      <c r="G183" s="11" t="str">
        <f>IF(ISERROR(AVERAGE(F$13:F183)),"n/a",AVERAGE(F$13:F183))</f>
        <v>n/a</v>
      </c>
      <c r="H183" s="11" t="str">
        <f t="shared" si="33"/>
        <v>n/a</v>
      </c>
      <c r="J183" s="5"/>
      <c r="K183" s="5"/>
      <c r="L183" s="5"/>
      <c r="M183" s="5"/>
      <c r="N183" s="5"/>
      <c r="O183" s="8" t="str">
        <f t="shared" si="31"/>
        <v>n/a</v>
      </c>
      <c r="Q183" s="5"/>
      <c r="R183" s="5"/>
      <c r="S183" s="5"/>
      <c r="U183" s="6"/>
      <c r="V183" s="9" t="str">
        <f t="shared" si="34"/>
        <v/>
      </c>
      <c r="W183" s="9" t="str">
        <f t="shared" si="35"/>
        <v/>
      </c>
      <c r="X183" s="10">
        <f>SUM(V$13:V183)/COUNTA(B$13:B183)</f>
        <v>0</v>
      </c>
      <c r="Z183" s="5"/>
      <c r="AA183" s="5"/>
      <c r="AC183" s="7"/>
      <c r="AE183" s="54" t="e">
        <f t="shared" si="36"/>
        <v>#N/A</v>
      </c>
      <c r="AF183" s="4" t="e">
        <f t="shared" si="32"/>
        <v>#N/A</v>
      </c>
    </row>
    <row r="184" spans="2:32">
      <c r="B184" s="5">
        <f t="shared" si="37"/>
        <v>172</v>
      </c>
      <c r="C184" s="5"/>
      <c r="E184" s="13"/>
      <c r="F184" s="5"/>
      <c r="G184" s="11" t="str">
        <f>IF(ISERROR(AVERAGE(F$13:F184)),"n/a",AVERAGE(F$13:F184))</f>
        <v>n/a</v>
      </c>
      <c r="H184" s="11" t="str">
        <f t="shared" si="33"/>
        <v>n/a</v>
      </c>
      <c r="J184" s="5"/>
      <c r="K184" s="5"/>
      <c r="L184" s="5"/>
      <c r="M184" s="5"/>
      <c r="N184" s="5"/>
      <c r="O184" s="8" t="str">
        <f t="shared" si="31"/>
        <v>n/a</v>
      </c>
      <c r="Q184" s="5"/>
      <c r="R184" s="5"/>
      <c r="S184" s="5"/>
      <c r="U184" s="6"/>
      <c r="V184" s="9" t="str">
        <f t="shared" si="34"/>
        <v/>
      </c>
      <c r="W184" s="9" t="str">
        <f t="shared" si="35"/>
        <v/>
      </c>
      <c r="X184" s="10">
        <f>SUM(V$13:V184)/COUNTA(B$13:B184)</f>
        <v>0</v>
      </c>
      <c r="Z184" s="5"/>
      <c r="AA184" s="5"/>
      <c r="AC184" s="7"/>
      <c r="AE184" s="54" t="e">
        <f t="shared" si="36"/>
        <v>#N/A</v>
      </c>
      <c r="AF184" s="4" t="e">
        <f t="shared" si="32"/>
        <v>#N/A</v>
      </c>
    </row>
    <row r="185" spans="2:32">
      <c r="B185" s="5">
        <f t="shared" si="37"/>
        <v>173</v>
      </c>
      <c r="C185" s="5"/>
      <c r="E185" s="13"/>
      <c r="F185" s="5"/>
      <c r="G185" s="11" t="str">
        <f>IF(ISERROR(AVERAGE(F$13:F185)),"n/a",AVERAGE(F$13:F185))</f>
        <v>n/a</v>
      </c>
      <c r="H185" s="11" t="str">
        <f t="shared" si="33"/>
        <v>n/a</v>
      </c>
      <c r="J185" s="5"/>
      <c r="K185" s="5"/>
      <c r="L185" s="5"/>
      <c r="M185" s="5"/>
      <c r="N185" s="5"/>
      <c r="O185" s="8" t="str">
        <f t="shared" si="31"/>
        <v>n/a</v>
      </c>
      <c r="Q185" s="5"/>
      <c r="R185" s="5"/>
      <c r="S185" s="5"/>
      <c r="U185" s="6"/>
      <c r="V185" s="9" t="str">
        <f t="shared" si="34"/>
        <v/>
      </c>
      <c r="W185" s="9" t="str">
        <f t="shared" si="35"/>
        <v/>
      </c>
      <c r="X185" s="10">
        <f>SUM(V$13:V185)/COUNTA(B$13:B185)</f>
        <v>0</v>
      </c>
      <c r="Z185" s="5"/>
      <c r="AA185" s="5"/>
      <c r="AC185" s="7"/>
      <c r="AE185" s="54" t="e">
        <f t="shared" si="36"/>
        <v>#N/A</v>
      </c>
      <c r="AF185" s="4" t="e">
        <f t="shared" si="32"/>
        <v>#N/A</v>
      </c>
    </row>
    <row r="186" spans="2:32">
      <c r="B186" s="5">
        <f t="shared" si="37"/>
        <v>174</v>
      </c>
      <c r="C186" s="5"/>
      <c r="E186" s="13"/>
      <c r="F186" s="5"/>
      <c r="G186" s="11" t="str">
        <f>IF(ISERROR(AVERAGE(F$13:F186)),"n/a",AVERAGE(F$13:F186))</f>
        <v>n/a</v>
      </c>
      <c r="H186" s="11" t="str">
        <f t="shared" si="33"/>
        <v>n/a</v>
      </c>
      <c r="J186" s="5"/>
      <c r="K186" s="5"/>
      <c r="L186" s="5"/>
      <c r="M186" s="5"/>
      <c r="N186" s="5"/>
      <c r="O186" s="8" t="str">
        <f t="shared" si="31"/>
        <v>n/a</v>
      </c>
      <c r="Q186" s="5"/>
      <c r="R186" s="5"/>
      <c r="S186" s="5"/>
      <c r="U186" s="6"/>
      <c r="V186" s="9" t="str">
        <f t="shared" si="34"/>
        <v/>
      </c>
      <c r="W186" s="9" t="str">
        <f t="shared" si="35"/>
        <v/>
      </c>
      <c r="X186" s="10">
        <f>SUM(V$13:V186)/COUNTA(B$13:B186)</f>
        <v>0</v>
      </c>
      <c r="Z186" s="5"/>
      <c r="AA186" s="5"/>
      <c r="AC186" s="7"/>
      <c r="AE186" s="54" t="e">
        <f t="shared" si="36"/>
        <v>#N/A</v>
      </c>
      <c r="AF186" s="4" t="e">
        <f t="shared" si="32"/>
        <v>#N/A</v>
      </c>
    </row>
    <row r="187" spans="2:32">
      <c r="B187" s="5">
        <f t="shared" si="37"/>
        <v>175</v>
      </c>
      <c r="C187" s="5"/>
      <c r="E187" s="13"/>
      <c r="F187" s="5"/>
      <c r="G187" s="11" t="str">
        <f>IF(ISERROR(AVERAGE(F$13:F187)),"n/a",AVERAGE(F$13:F187))</f>
        <v>n/a</v>
      </c>
      <c r="H187" s="11" t="str">
        <f t="shared" si="33"/>
        <v>n/a</v>
      </c>
      <c r="J187" s="5"/>
      <c r="K187" s="5"/>
      <c r="L187" s="5"/>
      <c r="M187" s="5"/>
      <c r="N187" s="5"/>
      <c r="O187" s="8" t="str">
        <f t="shared" si="31"/>
        <v>n/a</v>
      </c>
      <c r="Q187" s="5"/>
      <c r="R187" s="5"/>
      <c r="S187" s="5"/>
      <c r="U187" s="6"/>
      <c r="V187" s="9" t="str">
        <f t="shared" si="34"/>
        <v/>
      </c>
      <c r="W187" s="9" t="str">
        <f t="shared" si="35"/>
        <v/>
      </c>
      <c r="X187" s="10">
        <f>SUM(V$13:V187)/COUNTA(B$13:B187)</f>
        <v>0</v>
      </c>
      <c r="Z187" s="5"/>
      <c r="AA187" s="5"/>
      <c r="AC187" s="7"/>
      <c r="AE187" s="54" t="e">
        <f t="shared" si="36"/>
        <v>#N/A</v>
      </c>
      <c r="AF187" s="4" t="e">
        <f t="shared" si="32"/>
        <v>#N/A</v>
      </c>
    </row>
    <row r="188" spans="2:32">
      <c r="B188" s="5">
        <f t="shared" si="37"/>
        <v>176</v>
      </c>
      <c r="C188" s="5"/>
      <c r="E188" s="13"/>
      <c r="F188" s="5"/>
      <c r="G188" s="11" t="str">
        <f>IF(ISERROR(AVERAGE(F$13:F188)),"n/a",AVERAGE(F$13:F188))</f>
        <v>n/a</v>
      </c>
      <c r="H188" s="11" t="str">
        <f t="shared" si="33"/>
        <v>n/a</v>
      </c>
      <c r="J188" s="5"/>
      <c r="K188" s="5"/>
      <c r="L188" s="5"/>
      <c r="M188" s="5"/>
      <c r="N188" s="5"/>
      <c r="O188" s="8" t="str">
        <f t="shared" si="31"/>
        <v>n/a</v>
      </c>
      <c r="Q188" s="5"/>
      <c r="R188" s="5"/>
      <c r="S188" s="5"/>
      <c r="U188" s="6"/>
      <c r="V188" s="9" t="str">
        <f t="shared" si="34"/>
        <v/>
      </c>
      <c r="W188" s="9" t="str">
        <f t="shared" si="35"/>
        <v/>
      </c>
      <c r="X188" s="10">
        <f>SUM(V$13:V188)/COUNTA(B$13:B188)</f>
        <v>0</v>
      </c>
      <c r="Z188" s="5"/>
      <c r="AA188" s="5"/>
      <c r="AC188" s="7"/>
      <c r="AE188" s="54" t="e">
        <f t="shared" si="36"/>
        <v>#N/A</v>
      </c>
      <c r="AF188" s="4" t="e">
        <f t="shared" si="32"/>
        <v>#N/A</v>
      </c>
    </row>
    <row r="189" spans="2:32">
      <c r="B189" s="5">
        <f t="shared" si="37"/>
        <v>177</v>
      </c>
      <c r="C189" s="5"/>
      <c r="E189" s="13"/>
      <c r="F189" s="5"/>
      <c r="G189" s="11" t="str">
        <f>IF(ISERROR(AVERAGE(F$13:F189)),"n/a",AVERAGE(F$13:F189))</f>
        <v>n/a</v>
      </c>
      <c r="H189" s="11" t="str">
        <f t="shared" si="33"/>
        <v>n/a</v>
      </c>
      <c r="J189" s="5"/>
      <c r="K189" s="5"/>
      <c r="L189" s="5"/>
      <c r="M189" s="5"/>
      <c r="N189" s="5"/>
      <c r="O189" s="8" t="str">
        <f t="shared" si="31"/>
        <v>n/a</v>
      </c>
      <c r="Q189" s="5"/>
      <c r="R189" s="5"/>
      <c r="S189" s="5"/>
      <c r="U189" s="6"/>
      <c r="V189" s="9" t="str">
        <f t="shared" si="34"/>
        <v/>
      </c>
      <c r="W189" s="9" t="str">
        <f t="shared" si="35"/>
        <v/>
      </c>
      <c r="X189" s="10">
        <f>SUM(V$13:V189)/COUNTA(B$13:B189)</f>
        <v>0</v>
      </c>
      <c r="Z189" s="5"/>
      <c r="AA189" s="5"/>
      <c r="AC189" s="7"/>
      <c r="AE189" s="54" t="e">
        <f t="shared" si="36"/>
        <v>#N/A</v>
      </c>
      <c r="AF189" s="4" t="e">
        <f t="shared" si="32"/>
        <v>#N/A</v>
      </c>
    </row>
    <row r="190" spans="2:32">
      <c r="B190" s="5">
        <f t="shared" si="37"/>
        <v>178</v>
      </c>
      <c r="C190" s="5"/>
      <c r="E190" s="13"/>
      <c r="F190" s="5"/>
      <c r="G190" s="11" t="str">
        <f>IF(ISERROR(AVERAGE(F$13:F190)),"n/a",AVERAGE(F$13:F190))</f>
        <v>n/a</v>
      </c>
      <c r="H190" s="11" t="str">
        <f t="shared" si="33"/>
        <v>n/a</v>
      </c>
      <c r="J190" s="5"/>
      <c r="K190" s="5"/>
      <c r="L190" s="5"/>
      <c r="M190" s="5"/>
      <c r="N190" s="5"/>
      <c r="O190" s="8" t="str">
        <f t="shared" si="31"/>
        <v>n/a</v>
      </c>
      <c r="Q190" s="5"/>
      <c r="R190" s="5"/>
      <c r="S190" s="5"/>
      <c r="U190" s="6"/>
      <c r="V190" s="9" t="str">
        <f t="shared" si="34"/>
        <v/>
      </c>
      <c r="W190" s="9" t="str">
        <f t="shared" si="35"/>
        <v/>
      </c>
      <c r="X190" s="10">
        <f>SUM(V$13:V190)/COUNTA(B$13:B190)</f>
        <v>0</v>
      </c>
      <c r="Z190" s="5"/>
      <c r="AA190" s="5"/>
      <c r="AC190" s="7"/>
      <c r="AE190" s="54" t="e">
        <f t="shared" si="36"/>
        <v>#N/A</v>
      </c>
      <c r="AF190" s="4" t="e">
        <f t="shared" si="32"/>
        <v>#N/A</v>
      </c>
    </row>
    <row r="191" spans="2:32">
      <c r="B191" s="5">
        <f t="shared" si="37"/>
        <v>179</v>
      </c>
      <c r="C191" s="5"/>
      <c r="E191" s="13"/>
      <c r="F191" s="5"/>
      <c r="G191" s="11" t="str">
        <f>IF(ISERROR(AVERAGE(F$13:F191)),"n/a",AVERAGE(F$13:F191))</f>
        <v>n/a</v>
      </c>
      <c r="H191" s="11" t="str">
        <f t="shared" si="33"/>
        <v>n/a</v>
      </c>
      <c r="J191" s="5"/>
      <c r="K191" s="5"/>
      <c r="L191" s="5"/>
      <c r="M191" s="5"/>
      <c r="N191" s="5"/>
      <c r="O191" s="8" t="str">
        <f t="shared" si="31"/>
        <v>n/a</v>
      </c>
      <c r="Q191" s="5"/>
      <c r="R191" s="5"/>
      <c r="S191" s="5"/>
      <c r="U191" s="6"/>
      <c r="V191" s="9" t="str">
        <f t="shared" si="34"/>
        <v/>
      </c>
      <c r="W191" s="9" t="str">
        <f t="shared" si="35"/>
        <v/>
      </c>
      <c r="X191" s="10">
        <f>SUM(V$13:V191)/COUNTA(B$13:B191)</f>
        <v>0</v>
      </c>
      <c r="Z191" s="5"/>
      <c r="AA191" s="5"/>
      <c r="AC191" s="7"/>
      <c r="AE191" s="54" t="e">
        <f t="shared" si="36"/>
        <v>#N/A</v>
      </c>
      <c r="AF191" s="4" t="e">
        <f t="shared" si="32"/>
        <v>#N/A</v>
      </c>
    </row>
    <row r="192" spans="2:32">
      <c r="B192" s="5">
        <f t="shared" si="37"/>
        <v>180</v>
      </c>
      <c r="C192" s="5"/>
      <c r="E192" s="13"/>
      <c r="F192" s="5"/>
      <c r="G192" s="11" t="str">
        <f>IF(ISERROR(AVERAGE(F$13:F192)),"n/a",AVERAGE(F$13:F192))</f>
        <v>n/a</v>
      </c>
      <c r="H192" s="11" t="str">
        <f t="shared" si="33"/>
        <v>n/a</v>
      </c>
      <c r="J192" s="5"/>
      <c r="K192" s="5"/>
      <c r="L192" s="5"/>
      <c r="M192" s="5"/>
      <c r="N192" s="5"/>
      <c r="O192" s="8" t="str">
        <f t="shared" si="31"/>
        <v>n/a</v>
      </c>
      <c r="Q192" s="5"/>
      <c r="R192" s="5"/>
      <c r="S192" s="5"/>
      <c r="U192" s="6"/>
      <c r="V192" s="9" t="str">
        <f t="shared" si="34"/>
        <v/>
      </c>
      <c r="W192" s="9" t="str">
        <f t="shared" si="35"/>
        <v/>
      </c>
      <c r="X192" s="10">
        <f>SUM(V$13:V192)/COUNTA(B$13:B192)</f>
        <v>0</v>
      </c>
      <c r="Z192" s="5"/>
      <c r="AA192" s="5"/>
      <c r="AC192" s="7"/>
      <c r="AE192" s="54" t="e">
        <f t="shared" si="36"/>
        <v>#N/A</v>
      </c>
      <c r="AF192" s="4" t="e">
        <f t="shared" si="32"/>
        <v>#N/A</v>
      </c>
    </row>
    <row r="193" spans="2:32">
      <c r="B193" s="5">
        <f t="shared" si="37"/>
        <v>181</v>
      </c>
      <c r="C193" s="5"/>
      <c r="E193" s="13"/>
      <c r="F193" s="5"/>
      <c r="G193" s="11" t="str">
        <f>IF(ISERROR(AVERAGE(F$13:F193)),"n/a",AVERAGE(F$13:F193))</f>
        <v>n/a</v>
      </c>
      <c r="H193" s="11" t="str">
        <f t="shared" si="33"/>
        <v>n/a</v>
      </c>
      <c r="J193" s="5"/>
      <c r="K193" s="5"/>
      <c r="L193" s="5"/>
      <c r="M193" s="5"/>
      <c r="N193" s="5"/>
      <c r="O193" s="8" t="str">
        <f t="shared" si="31"/>
        <v>n/a</v>
      </c>
      <c r="Q193" s="5"/>
      <c r="R193" s="5"/>
      <c r="S193" s="5"/>
      <c r="U193" s="6"/>
      <c r="V193" s="9" t="str">
        <f t="shared" si="34"/>
        <v/>
      </c>
      <c r="W193" s="9" t="str">
        <f t="shared" si="35"/>
        <v/>
      </c>
      <c r="X193" s="10">
        <f>SUM(V$13:V193)/COUNTA(B$13:B193)</f>
        <v>0</v>
      </c>
      <c r="Z193" s="5"/>
      <c r="AA193" s="5"/>
      <c r="AC193" s="7"/>
      <c r="AE193" s="54" t="e">
        <f t="shared" si="36"/>
        <v>#N/A</v>
      </c>
      <c r="AF193" s="4" t="e">
        <f t="shared" si="32"/>
        <v>#N/A</v>
      </c>
    </row>
    <row r="194" spans="2:32">
      <c r="B194" s="5">
        <f t="shared" si="37"/>
        <v>182</v>
      </c>
      <c r="C194" s="5"/>
      <c r="E194" s="13"/>
      <c r="F194" s="5"/>
      <c r="G194" s="11" t="str">
        <f>IF(ISERROR(AVERAGE(F$13:F194)),"n/a",AVERAGE(F$13:F194))</f>
        <v>n/a</v>
      </c>
      <c r="H194" s="11" t="str">
        <f t="shared" si="33"/>
        <v>n/a</v>
      </c>
      <c r="J194" s="5"/>
      <c r="K194" s="5"/>
      <c r="L194" s="5"/>
      <c r="M194" s="5"/>
      <c r="N194" s="5"/>
      <c r="O194" s="8" t="str">
        <f t="shared" si="31"/>
        <v>n/a</v>
      </c>
      <c r="Q194" s="5"/>
      <c r="R194" s="5"/>
      <c r="S194" s="5"/>
      <c r="U194" s="6"/>
      <c r="V194" s="9" t="str">
        <f t="shared" si="34"/>
        <v/>
      </c>
      <c r="W194" s="9" t="str">
        <f t="shared" si="35"/>
        <v/>
      </c>
      <c r="X194" s="10">
        <f>SUM(V$13:V194)/COUNTA(B$13:B194)</f>
        <v>0</v>
      </c>
      <c r="Z194" s="5"/>
      <c r="AA194" s="5"/>
      <c r="AC194" s="7"/>
      <c r="AE194" s="54" t="e">
        <f t="shared" si="36"/>
        <v>#N/A</v>
      </c>
      <c r="AF194" s="4" t="e">
        <f t="shared" si="32"/>
        <v>#N/A</v>
      </c>
    </row>
    <row r="195" spans="2:32">
      <c r="B195" s="5">
        <f t="shared" si="37"/>
        <v>183</v>
      </c>
      <c r="C195" s="5"/>
      <c r="E195" s="13"/>
      <c r="F195" s="5"/>
      <c r="G195" s="11" t="str">
        <f>IF(ISERROR(AVERAGE(F$13:F195)),"n/a",AVERAGE(F$13:F195))</f>
        <v>n/a</v>
      </c>
      <c r="H195" s="11" t="str">
        <f t="shared" si="33"/>
        <v>n/a</v>
      </c>
      <c r="J195" s="5"/>
      <c r="K195" s="5"/>
      <c r="L195" s="5"/>
      <c r="M195" s="5"/>
      <c r="N195" s="5"/>
      <c r="O195" s="8" t="str">
        <f t="shared" si="31"/>
        <v>n/a</v>
      </c>
      <c r="Q195" s="5"/>
      <c r="R195" s="5"/>
      <c r="S195" s="5"/>
      <c r="U195" s="6"/>
      <c r="V195" s="9" t="str">
        <f t="shared" si="34"/>
        <v/>
      </c>
      <c r="W195" s="9" t="str">
        <f t="shared" si="35"/>
        <v/>
      </c>
      <c r="X195" s="10">
        <f>SUM(V$13:V195)/COUNTA(B$13:B195)</f>
        <v>0</v>
      </c>
      <c r="Z195" s="5"/>
      <c r="AA195" s="5"/>
      <c r="AC195" s="7"/>
      <c r="AE195" s="54" t="e">
        <f t="shared" si="36"/>
        <v>#N/A</v>
      </c>
      <c r="AF195" s="4" t="e">
        <f t="shared" si="32"/>
        <v>#N/A</v>
      </c>
    </row>
    <row r="196" spans="2:32">
      <c r="B196" s="5">
        <f t="shared" si="37"/>
        <v>184</v>
      </c>
      <c r="C196" s="5"/>
      <c r="E196" s="13"/>
      <c r="F196" s="5"/>
      <c r="G196" s="11" t="str">
        <f>IF(ISERROR(AVERAGE(F$13:F196)),"n/a",AVERAGE(F$13:F196))</f>
        <v>n/a</v>
      </c>
      <c r="H196" s="11" t="str">
        <f t="shared" si="33"/>
        <v>n/a</v>
      </c>
      <c r="J196" s="5"/>
      <c r="K196" s="5"/>
      <c r="L196" s="5"/>
      <c r="M196" s="5"/>
      <c r="N196" s="5"/>
      <c r="O196" s="8" t="str">
        <f t="shared" si="31"/>
        <v>n/a</v>
      </c>
      <c r="Q196" s="5"/>
      <c r="R196" s="5"/>
      <c r="S196" s="5"/>
      <c r="U196" s="6"/>
      <c r="V196" s="9" t="str">
        <f t="shared" si="34"/>
        <v/>
      </c>
      <c r="W196" s="9" t="str">
        <f t="shared" si="35"/>
        <v/>
      </c>
      <c r="X196" s="10">
        <f>SUM(V$13:V196)/COUNTA(B$13:B196)</f>
        <v>0</v>
      </c>
      <c r="Z196" s="5"/>
      <c r="AA196" s="5"/>
      <c r="AC196" s="7"/>
      <c r="AE196" s="54" t="e">
        <f t="shared" si="36"/>
        <v>#N/A</v>
      </c>
      <c r="AF196" s="4" t="e">
        <f t="shared" si="32"/>
        <v>#N/A</v>
      </c>
    </row>
    <row r="197" spans="2:32">
      <c r="B197" s="5">
        <f t="shared" si="37"/>
        <v>185</v>
      </c>
      <c r="C197" s="5"/>
      <c r="E197" s="13"/>
      <c r="F197" s="5"/>
      <c r="G197" s="11" t="str">
        <f>IF(ISERROR(AVERAGE(F$13:F197)),"n/a",AVERAGE(F$13:F197))</f>
        <v>n/a</v>
      </c>
      <c r="H197" s="11" t="str">
        <f t="shared" si="33"/>
        <v>n/a</v>
      </c>
      <c r="J197" s="5"/>
      <c r="K197" s="5"/>
      <c r="L197" s="5"/>
      <c r="M197" s="5"/>
      <c r="N197" s="5"/>
      <c r="O197" s="8" t="str">
        <f t="shared" si="31"/>
        <v>n/a</v>
      </c>
      <c r="Q197" s="5"/>
      <c r="R197" s="5"/>
      <c r="S197" s="5"/>
      <c r="U197" s="6"/>
      <c r="V197" s="9" t="str">
        <f t="shared" si="34"/>
        <v/>
      </c>
      <c r="W197" s="9" t="str">
        <f t="shared" si="35"/>
        <v/>
      </c>
      <c r="X197" s="10">
        <f>SUM(V$13:V197)/COUNTA(B$13:B197)</f>
        <v>0</v>
      </c>
      <c r="Z197" s="5"/>
      <c r="AA197" s="5"/>
      <c r="AC197" s="7"/>
      <c r="AE197" s="54" t="e">
        <f t="shared" si="36"/>
        <v>#N/A</v>
      </c>
      <c r="AF197" s="4" t="e">
        <f t="shared" si="32"/>
        <v>#N/A</v>
      </c>
    </row>
    <row r="198" spans="2:32">
      <c r="B198" s="5">
        <f t="shared" si="37"/>
        <v>186</v>
      </c>
      <c r="C198" s="5"/>
      <c r="E198" s="13"/>
      <c r="F198" s="5"/>
      <c r="G198" s="11" t="str">
        <f>IF(ISERROR(AVERAGE(F$13:F198)),"n/a",AVERAGE(F$13:F198))</f>
        <v>n/a</v>
      </c>
      <c r="H198" s="11" t="str">
        <f t="shared" si="33"/>
        <v>n/a</v>
      </c>
      <c r="J198" s="5"/>
      <c r="K198" s="5"/>
      <c r="L198" s="5"/>
      <c r="M198" s="5"/>
      <c r="N198" s="5"/>
      <c r="O198" s="8" t="str">
        <f t="shared" si="31"/>
        <v>n/a</v>
      </c>
      <c r="Q198" s="5"/>
      <c r="R198" s="5"/>
      <c r="S198" s="5"/>
      <c r="U198" s="6"/>
      <c r="V198" s="9" t="str">
        <f t="shared" si="34"/>
        <v/>
      </c>
      <c r="W198" s="9" t="str">
        <f t="shared" si="35"/>
        <v/>
      </c>
      <c r="X198" s="10">
        <f>SUM(V$13:V198)/COUNTA(B$13:B198)</f>
        <v>0</v>
      </c>
      <c r="Z198" s="5"/>
      <c r="AA198" s="5"/>
      <c r="AC198" s="7"/>
      <c r="AE198" s="54" t="e">
        <f t="shared" si="36"/>
        <v>#N/A</v>
      </c>
      <c r="AF198" s="4" t="e">
        <f t="shared" si="32"/>
        <v>#N/A</v>
      </c>
    </row>
    <row r="199" spans="2:32">
      <c r="B199" s="5">
        <f t="shared" si="37"/>
        <v>187</v>
      </c>
      <c r="C199" s="5"/>
      <c r="E199" s="13"/>
      <c r="F199" s="5"/>
      <c r="G199" s="11" t="str">
        <f>IF(ISERROR(AVERAGE(F$13:F199)),"n/a",AVERAGE(F$13:F199))</f>
        <v>n/a</v>
      </c>
      <c r="H199" s="11" t="str">
        <f t="shared" si="33"/>
        <v>n/a</v>
      </c>
      <c r="J199" s="5"/>
      <c r="K199" s="5"/>
      <c r="L199" s="5"/>
      <c r="M199" s="5"/>
      <c r="N199" s="5"/>
      <c r="O199" s="8" t="str">
        <f t="shared" si="31"/>
        <v>n/a</v>
      </c>
      <c r="Q199" s="5"/>
      <c r="R199" s="5"/>
      <c r="S199" s="5"/>
      <c r="U199" s="6"/>
      <c r="V199" s="9" t="str">
        <f t="shared" si="34"/>
        <v/>
      </c>
      <c r="W199" s="9" t="str">
        <f t="shared" si="35"/>
        <v/>
      </c>
      <c r="X199" s="10">
        <f>SUM(V$13:V199)/COUNTA(B$13:B199)</f>
        <v>0</v>
      </c>
      <c r="Z199" s="5"/>
      <c r="AA199" s="5"/>
      <c r="AC199" s="7"/>
      <c r="AE199" s="54" t="e">
        <f t="shared" si="36"/>
        <v>#N/A</v>
      </c>
      <c r="AF199" s="4" t="e">
        <f t="shared" si="32"/>
        <v>#N/A</v>
      </c>
    </row>
    <row r="200" spans="2:32">
      <c r="B200" s="5">
        <f t="shared" si="37"/>
        <v>188</v>
      </c>
      <c r="C200" s="5"/>
      <c r="E200" s="13"/>
      <c r="F200" s="5"/>
      <c r="G200" s="11" t="str">
        <f>IF(ISERROR(AVERAGE(F$13:F200)),"n/a",AVERAGE(F$13:F200))</f>
        <v>n/a</v>
      </c>
      <c r="H200" s="11" t="str">
        <f t="shared" si="33"/>
        <v>n/a</v>
      </c>
      <c r="J200" s="5"/>
      <c r="K200" s="5"/>
      <c r="L200" s="5"/>
      <c r="M200" s="5"/>
      <c r="N200" s="5"/>
      <c r="O200" s="8" t="str">
        <f t="shared" si="31"/>
        <v>n/a</v>
      </c>
      <c r="Q200" s="5"/>
      <c r="R200" s="5"/>
      <c r="S200" s="5"/>
      <c r="U200" s="6"/>
      <c r="V200" s="9" t="str">
        <f t="shared" si="34"/>
        <v/>
      </c>
      <c r="W200" s="9" t="str">
        <f t="shared" si="35"/>
        <v/>
      </c>
      <c r="X200" s="10">
        <f>SUM(V$13:V200)/COUNTA(B$13:B200)</f>
        <v>0</v>
      </c>
      <c r="Z200" s="5"/>
      <c r="AA200" s="5"/>
      <c r="AC200" s="7"/>
      <c r="AE200" s="54" t="e">
        <f t="shared" si="36"/>
        <v>#N/A</v>
      </c>
      <c r="AF200" s="4" t="e">
        <f t="shared" si="32"/>
        <v>#N/A</v>
      </c>
    </row>
    <row r="201" spans="2:32">
      <c r="B201" s="5">
        <f t="shared" si="37"/>
        <v>189</v>
      </c>
      <c r="C201" s="5"/>
      <c r="E201" s="13"/>
      <c r="F201" s="5"/>
      <c r="G201" s="11" t="str">
        <f>IF(ISERROR(AVERAGE(F$13:F201)),"n/a",AVERAGE(F$13:F201))</f>
        <v>n/a</v>
      </c>
      <c r="H201" s="11" t="str">
        <f t="shared" si="33"/>
        <v>n/a</v>
      </c>
      <c r="J201" s="5"/>
      <c r="K201" s="5"/>
      <c r="L201" s="5"/>
      <c r="M201" s="5"/>
      <c r="N201" s="5"/>
      <c r="O201" s="8" t="str">
        <f t="shared" si="31"/>
        <v>n/a</v>
      </c>
      <c r="Q201" s="5"/>
      <c r="R201" s="5"/>
      <c r="S201" s="5"/>
      <c r="U201" s="6"/>
      <c r="V201" s="9" t="str">
        <f t="shared" si="34"/>
        <v/>
      </c>
      <c r="W201" s="9" t="str">
        <f t="shared" si="35"/>
        <v/>
      </c>
      <c r="X201" s="10">
        <f>SUM(V$13:V201)/COUNTA(B$13:B201)</f>
        <v>0</v>
      </c>
      <c r="Z201" s="5"/>
      <c r="AA201" s="5"/>
      <c r="AC201" s="7"/>
      <c r="AE201" s="54" t="e">
        <f t="shared" si="36"/>
        <v>#N/A</v>
      </c>
      <c r="AF201" s="4" t="e">
        <f t="shared" si="32"/>
        <v>#N/A</v>
      </c>
    </row>
    <row r="202" spans="2:32">
      <c r="B202" s="5">
        <f t="shared" si="37"/>
        <v>190</v>
      </c>
      <c r="C202" s="5"/>
      <c r="E202" s="13"/>
      <c r="F202" s="5"/>
      <c r="G202" s="11" t="str">
        <f>IF(ISERROR(AVERAGE(F$13:F202)),"n/a",AVERAGE(F$13:F202))</f>
        <v>n/a</v>
      </c>
      <c r="H202" s="11" t="str">
        <f t="shared" si="33"/>
        <v>n/a</v>
      </c>
      <c r="J202" s="5"/>
      <c r="K202" s="5"/>
      <c r="L202" s="5"/>
      <c r="M202" s="5"/>
      <c r="N202" s="5"/>
      <c r="O202" s="8" t="str">
        <f t="shared" si="31"/>
        <v>n/a</v>
      </c>
      <c r="Q202" s="5"/>
      <c r="R202" s="5"/>
      <c r="S202" s="5"/>
      <c r="U202" s="6"/>
      <c r="V202" s="9" t="str">
        <f t="shared" si="34"/>
        <v/>
      </c>
      <c r="W202" s="9" t="str">
        <f t="shared" si="35"/>
        <v/>
      </c>
      <c r="X202" s="10">
        <f>SUM(V$13:V202)/COUNTA(B$13:B202)</f>
        <v>0</v>
      </c>
      <c r="Z202" s="5"/>
      <c r="AA202" s="5"/>
      <c r="AC202" s="7"/>
      <c r="AE202" s="54" t="e">
        <f t="shared" si="36"/>
        <v>#N/A</v>
      </c>
      <c r="AF202" s="4" t="e">
        <f t="shared" si="32"/>
        <v>#N/A</v>
      </c>
    </row>
    <row r="203" spans="2:32">
      <c r="B203" s="5">
        <f t="shared" si="37"/>
        <v>191</v>
      </c>
      <c r="C203" s="5"/>
      <c r="E203" s="13"/>
      <c r="F203" s="5"/>
      <c r="G203" s="11" t="str">
        <f>IF(ISERROR(AVERAGE(F$13:F203)),"n/a",AVERAGE(F$13:F203))</f>
        <v>n/a</v>
      </c>
      <c r="H203" s="11" t="str">
        <f t="shared" si="33"/>
        <v>n/a</v>
      </c>
      <c r="J203" s="5"/>
      <c r="K203" s="5"/>
      <c r="L203" s="5"/>
      <c r="M203" s="5"/>
      <c r="N203" s="5"/>
      <c r="O203" s="8" t="str">
        <f t="shared" si="31"/>
        <v>n/a</v>
      </c>
      <c r="Q203" s="5"/>
      <c r="R203" s="5"/>
      <c r="S203" s="5"/>
      <c r="U203" s="6"/>
      <c r="V203" s="9" t="str">
        <f t="shared" si="34"/>
        <v/>
      </c>
      <c r="W203" s="9" t="str">
        <f t="shared" si="35"/>
        <v/>
      </c>
      <c r="X203" s="10">
        <f>SUM(V$13:V203)/COUNTA(B$13:B203)</f>
        <v>0</v>
      </c>
      <c r="Z203" s="5"/>
      <c r="AA203" s="5"/>
      <c r="AC203" s="7"/>
      <c r="AE203" s="54" t="e">
        <f t="shared" si="36"/>
        <v>#N/A</v>
      </c>
      <c r="AF203" s="4" t="e">
        <f t="shared" si="32"/>
        <v>#N/A</v>
      </c>
    </row>
    <row r="204" spans="2:32">
      <c r="B204" s="5">
        <f t="shared" si="37"/>
        <v>192</v>
      </c>
      <c r="C204" s="5"/>
      <c r="E204" s="13"/>
      <c r="F204" s="5"/>
      <c r="G204" s="11" t="str">
        <f>IF(ISERROR(AVERAGE(F$13:F204)),"n/a",AVERAGE(F$13:F204))</f>
        <v>n/a</v>
      </c>
      <c r="H204" s="11" t="str">
        <f t="shared" si="33"/>
        <v>n/a</v>
      </c>
      <c r="J204" s="5"/>
      <c r="K204" s="5"/>
      <c r="L204" s="5"/>
      <c r="M204" s="5"/>
      <c r="N204" s="5"/>
      <c r="O204" s="8" t="str">
        <f t="shared" si="31"/>
        <v>n/a</v>
      </c>
      <c r="Q204" s="5"/>
      <c r="R204" s="5"/>
      <c r="S204" s="5"/>
      <c r="U204" s="6"/>
      <c r="V204" s="9" t="str">
        <f t="shared" si="34"/>
        <v/>
      </c>
      <c r="W204" s="9" t="str">
        <f t="shared" si="35"/>
        <v/>
      </c>
      <c r="X204" s="10">
        <f>SUM(V$13:V204)/COUNTA(B$13:B204)</f>
        <v>0</v>
      </c>
      <c r="Z204" s="5"/>
      <c r="AA204" s="5"/>
      <c r="AC204" s="7"/>
      <c r="AE204" s="54" t="e">
        <f t="shared" si="36"/>
        <v>#N/A</v>
      </c>
      <c r="AF204" s="4" t="e">
        <f t="shared" si="32"/>
        <v>#N/A</v>
      </c>
    </row>
    <row r="205" spans="2:32">
      <c r="B205" s="5">
        <f t="shared" si="37"/>
        <v>193</v>
      </c>
      <c r="C205" s="5"/>
      <c r="E205" s="13"/>
      <c r="F205" s="5"/>
      <c r="G205" s="11" t="str">
        <f>IF(ISERROR(AVERAGE(F$13:F205)),"n/a",AVERAGE(F$13:F205))</f>
        <v>n/a</v>
      </c>
      <c r="H205" s="11" t="str">
        <f t="shared" si="33"/>
        <v>n/a</v>
      </c>
      <c r="J205" s="5"/>
      <c r="K205" s="5"/>
      <c r="L205" s="5"/>
      <c r="M205" s="5"/>
      <c r="N205" s="5"/>
      <c r="O205" s="8" t="str">
        <f t="shared" ref="O205:O268" si="38">IF(J205=1,"A",IF(K205=1,"B",IF(L205=1,"C",IF(M205=1,"D",IF(N205=1,"E","n/a")))))</f>
        <v>n/a</v>
      </c>
      <c r="Q205" s="5"/>
      <c r="R205" s="5"/>
      <c r="S205" s="5"/>
      <c r="U205" s="6"/>
      <c r="V205" s="9" t="str">
        <f t="shared" si="34"/>
        <v/>
      </c>
      <c r="W205" s="9" t="str">
        <f t="shared" si="35"/>
        <v/>
      </c>
      <c r="X205" s="10">
        <f>SUM(V$13:V205)/COUNTA(B$13:B205)</f>
        <v>0</v>
      </c>
      <c r="Z205" s="5"/>
      <c r="AA205" s="5"/>
      <c r="AC205" s="7"/>
      <c r="AE205" s="54" t="e">
        <f t="shared" si="36"/>
        <v>#N/A</v>
      </c>
      <c r="AF205" s="4" t="e">
        <f t="shared" ref="AF205:AF268" si="39">HLOOKUP(C205,$K$6:$O$7,2,FALSE)</f>
        <v>#N/A</v>
      </c>
    </row>
    <row r="206" spans="2:32">
      <c r="B206" s="5">
        <f t="shared" si="37"/>
        <v>194</v>
      </c>
      <c r="C206" s="5"/>
      <c r="E206" s="13"/>
      <c r="F206" s="5"/>
      <c r="G206" s="11" t="str">
        <f>IF(ISERROR(AVERAGE(F$13:F206)),"n/a",AVERAGE(F$13:F206))</f>
        <v>n/a</v>
      </c>
      <c r="H206" s="11" t="str">
        <f t="shared" ref="H206:H269" si="40">G206</f>
        <v>n/a</v>
      </c>
      <c r="J206" s="5"/>
      <c r="K206" s="5"/>
      <c r="L206" s="5"/>
      <c r="M206" s="5"/>
      <c r="N206" s="5"/>
      <c r="O206" s="8" t="str">
        <f t="shared" si="38"/>
        <v>n/a</v>
      </c>
      <c r="Q206" s="5"/>
      <c r="R206" s="5"/>
      <c r="S206" s="5"/>
      <c r="U206" s="6"/>
      <c r="V206" s="9" t="str">
        <f t="shared" ref="V206:V269" si="41">IF(O206="n/a","",IF(O206=U206,1,""))</f>
        <v/>
      </c>
      <c r="W206" s="9" t="str">
        <f t="shared" ref="W206:W269" si="42">IF(O206="n/a","",IF(O206&lt;&gt;U206,1,""))</f>
        <v/>
      </c>
      <c r="X206" s="10">
        <f>SUM(V$13:V206)/COUNTA(B$13:B206)</f>
        <v>0</v>
      </c>
      <c r="Z206" s="5"/>
      <c r="AA206" s="5"/>
      <c r="AC206" s="7"/>
      <c r="AE206" s="54" t="e">
        <f t="shared" ref="AE206:AE269" si="43">+IF($F$4=0,0,IF(W206=1,1,IF(OR(R206*$F$8=1,S206*$F$9=1,F206&gt;=AF206),2,0)))</f>
        <v>#N/A</v>
      </c>
      <c r="AF206" s="4" t="e">
        <f t="shared" si="39"/>
        <v>#N/A</v>
      </c>
    </row>
    <row r="207" spans="2:32">
      <c r="B207" s="5">
        <f t="shared" si="37"/>
        <v>195</v>
      </c>
      <c r="C207" s="5"/>
      <c r="E207" s="13"/>
      <c r="F207" s="5"/>
      <c r="G207" s="11" t="str">
        <f>IF(ISERROR(AVERAGE(F$13:F207)),"n/a",AVERAGE(F$13:F207))</f>
        <v>n/a</v>
      </c>
      <c r="H207" s="11" t="str">
        <f t="shared" si="40"/>
        <v>n/a</v>
      </c>
      <c r="J207" s="5"/>
      <c r="K207" s="5"/>
      <c r="L207" s="5"/>
      <c r="M207" s="5"/>
      <c r="N207" s="5"/>
      <c r="O207" s="8" t="str">
        <f t="shared" si="38"/>
        <v>n/a</v>
      </c>
      <c r="Q207" s="5"/>
      <c r="R207" s="5"/>
      <c r="S207" s="5"/>
      <c r="U207" s="6"/>
      <c r="V207" s="9" t="str">
        <f t="shared" si="41"/>
        <v/>
      </c>
      <c r="W207" s="9" t="str">
        <f t="shared" si="42"/>
        <v/>
      </c>
      <c r="X207" s="10">
        <f>SUM(V$13:V207)/COUNTA(B$13:B207)</f>
        <v>0</v>
      </c>
      <c r="Z207" s="5"/>
      <c r="AA207" s="5"/>
      <c r="AC207" s="7"/>
      <c r="AE207" s="54" t="e">
        <f t="shared" si="43"/>
        <v>#N/A</v>
      </c>
      <c r="AF207" s="4" t="e">
        <f t="shared" si="39"/>
        <v>#N/A</v>
      </c>
    </row>
    <row r="208" spans="2:32">
      <c r="B208" s="5">
        <f t="shared" si="37"/>
        <v>196</v>
      </c>
      <c r="C208" s="5"/>
      <c r="E208" s="13"/>
      <c r="F208" s="5"/>
      <c r="G208" s="11" t="str">
        <f>IF(ISERROR(AVERAGE(F$13:F208)),"n/a",AVERAGE(F$13:F208))</f>
        <v>n/a</v>
      </c>
      <c r="H208" s="11" t="str">
        <f t="shared" si="40"/>
        <v>n/a</v>
      </c>
      <c r="J208" s="5"/>
      <c r="K208" s="5"/>
      <c r="L208" s="5"/>
      <c r="M208" s="5"/>
      <c r="N208" s="5"/>
      <c r="O208" s="8" t="str">
        <f t="shared" si="38"/>
        <v>n/a</v>
      </c>
      <c r="Q208" s="5"/>
      <c r="R208" s="5"/>
      <c r="S208" s="5"/>
      <c r="U208" s="6"/>
      <c r="V208" s="9" t="str">
        <f t="shared" si="41"/>
        <v/>
      </c>
      <c r="W208" s="9" t="str">
        <f t="shared" si="42"/>
        <v/>
      </c>
      <c r="X208" s="10">
        <f>SUM(V$13:V208)/COUNTA(B$13:B208)</f>
        <v>0</v>
      </c>
      <c r="Z208" s="5"/>
      <c r="AA208" s="5"/>
      <c r="AC208" s="7"/>
      <c r="AE208" s="54" t="e">
        <f t="shared" si="43"/>
        <v>#N/A</v>
      </c>
      <c r="AF208" s="4" t="e">
        <f t="shared" si="39"/>
        <v>#N/A</v>
      </c>
    </row>
    <row r="209" spans="2:32">
      <c r="B209" s="5">
        <f t="shared" si="37"/>
        <v>197</v>
      </c>
      <c r="C209" s="5"/>
      <c r="E209" s="13"/>
      <c r="F209" s="5"/>
      <c r="G209" s="11" t="str">
        <f>IF(ISERROR(AVERAGE(F$13:F209)),"n/a",AVERAGE(F$13:F209))</f>
        <v>n/a</v>
      </c>
      <c r="H209" s="11" t="str">
        <f t="shared" si="40"/>
        <v>n/a</v>
      </c>
      <c r="J209" s="5"/>
      <c r="K209" s="5"/>
      <c r="L209" s="5"/>
      <c r="M209" s="5"/>
      <c r="N209" s="5"/>
      <c r="O209" s="8" t="str">
        <f t="shared" si="38"/>
        <v>n/a</v>
      </c>
      <c r="Q209" s="5"/>
      <c r="R209" s="5"/>
      <c r="S209" s="5"/>
      <c r="U209" s="6"/>
      <c r="V209" s="9" t="str">
        <f t="shared" si="41"/>
        <v/>
      </c>
      <c r="W209" s="9" t="str">
        <f t="shared" si="42"/>
        <v/>
      </c>
      <c r="X209" s="10">
        <f>SUM(V$13:V209)/COUNTA(B$13:B209)</f>
        <v>0</v>
      </c>
      <c r="Z209" s="5"/>
      <c r="AA209" s="5"/>
      <c r="AC209" s="7"/>
      <c r="AE209" s="54" t="e">
        <f t="shared" si="43"/>
        <v>#N/A</v>
      </c>
      <c r="AF209" s="4" t="e">
        <f t="shared" si="39"/>
        <v>#N/A</v>
      </c>
    </row>
    <row r="210" spans="2:32">
      <c r="B210" s="5">
        <f t="shared" si="37"/>
        <v>198</v>
      </c>
      <c r="C210" s="5"/>
      <c r="E210" s="13"/>
      <c r="F210" s="5"/>
      <c r="G210" s="11" t="str">
        <f>IF(ISERROR(AVERAGE(F$13:F210)),"n/a",AVERAGE(F$13:F210))</f>
        <v>n/a</v>
      </c>
      <c r="H210" s="11" t="str">
        <f t="shared" si="40"/>
        <v>n/a</v>
      </c>
      <c r="J210" s="5"/>
      <c r="K210" s="5"/>
      <c r="L210" s="5"/>
      <c r="M210" s="5"/>
      <c r="N210" s="5"/>
      <c r="O210" s="8" t="str">
        <f t="shared" si="38"/>
        <v>n/a</v>
      </c>
      <c r="Q210" s="5"/>
      <c r="R210" s="5"/>
      <c r="S210" s="5"/>
      <c r="U210" s="6"/>
      <c r="V210" s="9" t="str">
        <f t="shared" si="41"/>
        <v/>
      </c>
      <c r="W210" s="9" t="str">
        <f t="shared" si="42"/>
        <v/>
      </c>
      <c r="X210" s="10">
        <f>SUM(V$13:V210)/COUNTA(B$13:B210)</f>
        <v>0</v>
      </c>
      <c r="Z210" s="5"/>
      <c r="AA210" s="5"/>
      <c r="AC210" s="7"/>
      <c r="AE210" s="54" t="e">
        <f t="shared" si="43"/>
        <v>#N/A</v>
      </c>
      <c r="AF210" s="4" t="e">
        <f t="shared" si="39"/>
        <v>#N/A</v>
      </c>
    </row>
    <row r="211" spans="2:32">
      <c r="B211" s="5">
        <f t="shared" ref="B211:B274" si="44">+B210+1</f>
        <v>199</v>
      </c>
      <c r="C211" s="5"/>
      <c r="E211" s="13"/>
      <c r="F211" s="5"/>
      <c r="G211" s="11" t="str">
        <f>IF(ISERROR(AVERAGE(F$13:F211)),"n/a",AVERAGE(F$13:F211))</f>
        <v>n/a</v>
      </c>
      <c r="H211" s="11" t="str">
        <f t="shared" si="40"/>
        <v>n/a</v>
      </c>
      <c r="J211" s="5"/>
      <c r="K211" s="5"/>
      <c r="L211" s="5"/>
      <c r="M211" s="5"/>
      <c r="N211" s="5"/>
      <c r="O211" s="8" t="str">
        <f t="shared" si="38"/>
        <v>n/a</v>
      </c>
      <c r="Q211" s="5"/>
      <c r="R211" s="5"/>
      <c r="S211" s="5"/>
      <c r="U211" s="6"/>
      <c r="V211" s="9" t="str">
        <f t="shared" si="41"/>
        <v/>
      </c>
      <c r="W211" s="9" t="str">
        <f t="shared" si="42"/>
        <v/>
      </c>
      <c r="X211" s="10">
        <f>SUM(V$13:V211)/COUNTA(B$13:B211)</f>
        <v>0</v>
      </c>
      <c r="Z211" s="5"/>
      <c r="AA211" s="5"/>
      <c r="AC211" s="7"/>
      <c r="AE211" s="54" t="e">
        <f t="shared" si="43"/>
        <v>#N/A</v>
      </c>
      <c r="AF211" s="4" t="e">
        <f t="shared" si="39"/>
        <v>#N/A</v>
      </c>
    </row>
    <row r="212" spans="2:32">
      <c r="B212" s="5">
        <f t="shared" si="44"/>
        <v>200</v>
      </c>
      <c r="C212" s="5"/>
      <c r="E212" s="13"/>
      <c r="F212" s="5"/>
      <c r="G212" s="11" t="str">
        <f>IF(ISERROR(AVERAGE(F$13:F212)),"n/a",AVERAGE(F$13:F212))</f>
        <v>n/a</v>
      </c>
      <c r="H212" s="11" t="str">
        <f t="shared" si="40"/>
        <v>n/a</v>
      </c>
      <c r="J212" s="5"/>
      <c r="K212" s="5"/>
      <c r="L212" s="5"/>
      <c r="M212" s="5"/>
      <c r="N212" s="5"/>
      <c r="O212" s="8" t="str">
        <f t="shared" si="38"/>
        <v>n/a</v>
      </c>
      <c r="Q212" s="5"/>
      <c r="R212" s="5"/>
      <c r="S212" s="5"/>
      <c r="U212" s="6"/>
      <c r="V212" s="9" t="str">
        <f t="shared" si="41"/>
        <v/>
      </c>
      <c r="W212" s="9" t="str">
        <f t="shared" si="42"/>
        <v/>
      </c>
      <c r="X212" s="10">
        <f>SUM(V$13:V212)/COUNTA(B$13:B212)</f>
        <v>0</v>
      </c>
      <c r="Z212" s="5"/>
      <c r="AA212" s="5"/>
      <c r="AC212" s="7"/>
      <c r="AE212" s="54" t="e">
        <f t="shared" si="43"/>
        <v>#N/A</v>
      </c>
      <c r="AF212" s="4" t="e">
        <f t="shared" si="39"/>
        <v>#N/A</v>
      </c>
    </row>
    <row r="213" spans="2:32">
      <c r="B213" s="5">
        <f t="shared" si="44"/>
        <v>201</v>
      </c>
      <c r="C213" s="5"/>
      <c r="E213" s="13"/>
      <c r="F213" s="5"/>
      <c r="G213" s="11" t="str">
        <f>IF(ISERROR(AVERAGE(F$13:F213)),"n/a",AVERAGE(F$13:F213))</f>
        <v>n/a</v>
      </c>
      <c r="H213" s="11" t="str">
        <f t="shared" si="40"/>
        <v>n/a</v>
      </c>
      <c r="J213" s="5"/>
      <c r="K213" s="5"/>
      <c r="L213" s="5"/>
      <c r="M213" s="5"/>
      <c r="N213" s="5"/>
      <c r="O213" s="8" t="str">
        <f t="shared" si="38"/>
        <v>n/a</v>
      </c>
      <c r="Q213" s="5"/>
      <c r="R213" s="5"/>
      <c r="S213" s="5"/>
      <c r="U213" s="6"/>
      <c r="V213" s="9" t="str">
        <f t="shared" si="41"/>
        <v/>
      </c>
      <c r="W213" s="9" t="str">
        <f t="shared" si="42"/>
        <v/>
      </c>
      <c r="X213" s="10">
        <f>SUM(V$13:V213)/COUNTA(B$13:B213)</f>
        <v>0</v>
      </c>
      <c r="Z213" s="5"/>
      <c r="AA213" s="5"/>
      <c r="AC213" s="7"/>
      <c r="AE213" s="54" t="e">
        <f t="shared" si="43"/>
        <v>#N/A</v>
      </c>
      <c r="AF213" s="4" t="e">
        <f t="shared" si="39"/>
        <v>#N/A</v>
      </c>
    </row>
    <row r="214" spans="2:32">
      <c r="B214" s="5">
        <f t="shared" si="44"/>
        <v>202</v>
      </c>
      <c r="C214" s="5"/>
      <c r="E214" s="13"/>
      <c r="F214" s="5"/>
      <c r="G214" s="11" t="str">
        <f>IF(ISERROR(AVERAGE(F$13:F214)),"n/a",AVERAGE(F$13:F214))</f>
        <v>n/a</v>
      </c>
      <c r="H214" s="11" t="str">
        <f t="shared" si="40"/>
        <v>n/a</v>
      </c>
      <c r="J214" s="5"/>
      <c r="K214" s="5"/>
      <c r="L214" s="5"/>
      <c r="M214" s="5"/>
      <c r="N214" s="5"/>
      <c r="O214" s="8" t="str">
        <f t="shared" si="38"/>
        <v>n/a</v>
      </c>
      <c r="Q214" s="5"/>
      <c r="R214" s="5"/>
      <c r="S214" s="5"/>
      <c r="U214" s="6"/>
      <c r="V214" s="9" t="str">
        <f t="shared" si="41"/>
        <v/>
      </c>
      <c r="W214" s="9" t="str">
        <f t="shared" si="42"/>
        <v/>
      </c>
      <c r="X214" s="10">
        <f>SUM(V$13:V214)/COUNTA(B$13:B214)</f>
        <v>0</v>
      </c>
      <c r="Z214" s="5"/>
      <c r="AA214" s="5"/>
      <c r="AC214" s="7"/>
      <c r="AE214" s="54" t="e">
        <f t="shared" si="43"/>
        <v>#N/A</v>
      </c>
      <c r="AF214" s="4" t="e">
        <f t="shared" si="39"/>
        <v>#N/A</v>
      </c>
    </row>
    <row r="215" spans="2:32">
      <c r="B215" s="5">
        <f t="shared" si="44"/>
        <v>203</v>
      </c>
      <c r="C215" s="5"/>
      <c r="E215" s="13"/>
      <c r="F215" s="5"/>
      <c r="G215" s="11" t="str">
        <f>IF(ISERROR(AVERAGE(F$13:F215)),"n/a",AVERAGE(F$13:F215))</f>
        <v>n/a</v>
      </c>
      <c r="H215" s="11" t="str">
        <f t="shared" si="40"/>
        <v>n/a</v>
      </c>
      <c r="J215" s="5"/>
      <c r="K215" s="5"/>
      <c r="L215" s="5"/>
      <c r="M215" s="5"/>
      <c r="N215" s="5"/>
      <c r="O215" s="8" t="str">
        <f t="shared" si="38"/>
        <v>n/a</v>
      </c>
      <c r="Q215" s="5"/>
      <c r="R215" s="5"/>
      <c r="S215" s="5"/>
      <c r="U215" s="6"/>
      <c r="V215" s="9" t="str">
        <f t="shared" si="41"/>
        <v/>
      </c>
      <c r="W215" s="9" t="str">
        <f t="shared" si="42"/>
        <v/>
      </c>
      <c r="X215" s="10">
        <f>SUM(V$13:V215)/COUNTA(B$13:B215)</f>
        <v>0</v>
      </c>
      <c r="Z215" s="5"/>
      <c r="AA215" s="5"/>
      <c r="AC215" s="7"/>
      <c r="AE215" s="54" t="e">
        <f t="shared" si="43"/>
        <v>#N/A</v>
      </c>
      <c r="AF215" s="4" t="e">
        <f t="shared" si="39"/>
        <v>#N/A</v>
      </c>
    </row>
    <row r="216" spans="2:32">
      <c r="B216" s="5">
        <f t="shared" si="44"/>
        <v>204</v>
      </c>
      <c r="C216" s="5"/>
      <c r="E216" s="13"/>
      <c r="F216" s="5"/>
      <c r="G216" s="11" t="str">
        <f>IF(ISERROR(AVERAGE(F$13:F216)),"n/a",AVERAGE(F$13:F216))</f>
        <v>n/a</v>
      </c>
      <c r="H216" s="11" t="str">
        <f t="shared" si="40"/>
        <v>n/a</v>
      </c>
      <c r="J216" s="5"/>
      <c r="K216" s="5"/>
      <c r="L216" s="5"/>
      <c r="M216" s="5"/>
      <c r="N216" s="5"/>
      <c r="O216" s="8" t="str">
        <f t="shared" si="38"/>
        <v>n/a</v>
      </c>
      <c r="Q216" s="5"/>
      <c r="R216" s="5"/>
      <c r="S216" s="5"/>
      <c r="U216" s="6"/>
      <c r="V216" s="9" t="str">
        <f t="shared" si="41"/>
        <v/>
      </c>
      <c r="W216" s="9" t="str">
        <f t="shared" si="42"/>
        <v/>
      </c>
      <c r="X216" s="10">
        <f>SUM(V$13:V216)/COUNTA(B$13:B216)</f>
        <v>0</v>
      </c>
      <c r="Z216" s="5"/>
      <c r="AA216" s="5"/>
      <c r="AC216" s="7"/>
      <c r="AE216" s="54" t="e">
        <f t="shared" si="43"/>
        <v>#N/A</v>
      </c>
      <c r="AF216" s="4" t="e">
        <f t="shared" si="39"/>
        <v>#N/A</v>
      </c>
    </row>
    <row r="217" spans="2:32">
      <c r="B217" s="5">
        <f t="shared" si="44"/>
        <v>205</v>
      </c>
      <c r="C217" s="5"/>
      <c r="E217" s="13"/>
      <c r="F217" s="5"/>
      <c r="G217" s="11" t="str">
        <f>IF(ISERROR(AVERAGE(F$13:F217)),"n/a",AVERAGE(F$13:F217))</f>
        <v>n/a</v>
      </c>
      <c r="H217" s="11" t="str">
        <f t="shared" si="40"/>
        <v>n/a</v>
      </c>
      <c r="J217" s="5"/>
      <c r="K217" s="5"/>
      <c r="L217" s="5"/>
      <c r="M217" s="5"/>
      <c r="N217" s="5"/>
      <c r="O217" s="8" t="str">
        <f t="shared" si="38"/>
        <v>n/a</v>
      </c>
      <c r="Q217" s="5"/>
      <c r="R217" s="5"/>
      <c r="S217" s="5"/>
      <c r="U217" s="6"/>
      <c r="V217" s="9" t="str">
        <f t="shared" si="41"/>
        <v/>
      </c>
      <c r="W217" s="9" t="str">
        <f t="shared" si="42"/>
        <v/>
      </c>
      <c r="X217" s="10">
        <f>SUM(V$13:V217)/COUNTA(B$13:B217)</f>
        <v>0</v>
      </c>
      <c r="Z217" s="5"/>
      <c r="AA217" s="5"/>
      <c r="AC217" s="7"/>
      <c r="AE217" s="54" t="e">
        <f t="shared" si="43"/>
        <v>#N/A</v>
      </c>
      <c r="AF217" s="4" t="e">
        <f t="shared" si="39"/>
        <v>#N/A</v>
      </c>
    </row>
    <row r="218" spans="2:32">
      <c r="B218" s="5">
        <f t="shared" si="44"/>
        <v>206</v>
      </c>
      <c r="C218" s="5"/>
      <c r="E218" s="13"/>
      <c r="F218" s="5"/>
      <c r="G218" s="11" t="str">
        <f>IF(ISERROR(AVERAGE(F$13:F218)),"n/a",AVERAGE(F$13:F218))</f>
        <v>n/a</v>
      </c>
      <c r="H218" s="11" t="str">
        <f t="shared" si="40"/>
        <v>n/a</v>
      </c>
      <c r="J218" s="5"/>
      <c r="K218" s="5"/>
      <c r="L218" s="5"/>
      <c r="M218" s="5"/>
      <c r="N218" s="5"/>
      <c r="O218" s="8" t="str">
        <f t="shared" si="38"/>
        <v>n/a</v>
      </c>
      <c r="Q218" s="5"/>
      <c r="R218" s="5"/>
      <c r="S218" s="5"/>
      <c r="U218" s="6"/>
      <c r="V218" s="9" t="str">
        <f t="shared" si="41"/>
        <v/>
      </c>
      <c r="W218" s="9" t="str">
        <f t="shared" si="42"/>
        <v/>
      </c>
      <c r="X218" s="10">
        <f>SUM(V$13:V218)/COUNTA(B$13:B218)</f>
        <v>0</v>
      </c>
      <c r="Z218" s="5"/>
      <c r="AA218" s="5"/>
      <c r="AC218" s="7"/>
      <c r="AE218" s="54" t="e">
        <f t="shared" si="43"/>
        <v>#N/A</v>
      </c>
      <c r="AF218" s="4" t="e">
        <f t="shared" si="39"/>
        <v>#N/A</v>
      </c>
    </row>
    <row r="219" spans="2:32">
      <c r="B219" s="5">
        <f t="shared" si="44"/>
        <v>207</v>
      </c>
      <c r="C219" s="5"/>
      <c r="E219" s="13"/>
      <c r="F219" s="5"/>
      <c r="G219" s="11" t="str">
        <f>IF(ISERROR(AVERAGE(F$13:F219)),"n/a",AVERAGE(F$13:F219))</f>
        <v>n/a</v>
      </c>
      <c r="H219" s="11" t="str">
        <f t="shared" si="40"/>
        <v>n/a</v>
      </c>
      <c r="J219" s="5"/>
      <c r="K219" s="5"/>
      <c r="L219" s="5"/>
      <c r="M219" s="5"/>
      <c r="N219" s="5"/>
      <c r="O219" s="8" t="str">
        <f t="shared" si="38"/>
        <v>n/a</v>
      </c>
      <c r="Q219" s="5"/>
      <c r="R219" s="5"/>
      <c r="S219" s="5"/>
      <c r="U219" s="6"/>
      <c r="V219" s="9" t="str">
        <f t="shared" si="41"/>
        <v/>
      </c>
      <c r="W219" s="9" t="str">
        <f t="shared" si="42"/>
        <v/>
      </c>
      <c r="X219" s="10">
        <f>SUM(V$13:V219)/COUNTA(B$13:B219)</f>
        <v>0</v>
      </c>
      <c r="Z219" s="5"/>
      <c r="AA219" s="5"/>
      <c r="AC219" s="7"/>
      <c r="AE219" s="54" t="e">
        <f t="shared" si="43"/>
        <v>#N/A</v>
      </c>
      <c r="AF219" s="4" t="e">
        <f t="shared" si="39"/>
        <v>#N/A</v>
      </c>
    </row>
    <row r="220" spans="2:32">
      <c r="B220" s="5">
        <f t="shared" si="44"/>
        <v>208</v>
      </c>
      <c r="C220" s="5"/>
      <c r="E220" s="13"/>
      <c r="F220" s="5"/>
      <c r="G220" s="11" t="str">
        <f>IF(ISERROR(AVERAGE(F$13:F220)),"n/a",AVERAGE(F$13:F220))</f>
        <v>n/a</v>
      </c>
      <c r="H220" s="11" t="str">
        <f t="shared" si="40"/>
        <v>n/a</v>
      </c>
      <c r="J220" s="5"/>
      <c r="K220" s="5"/>
      <c r="L220" s="5"/>
      <c r="M220" s="5"/>
      <c r="N220" s="5"/>
      <c r="O220" s="8" t="str">
        <f t="shared" si="38"/>
        <v>n/a</v>
      </c>
      <c r="Q220" s="5"/>
      <c r="R220" s="5"/>
      <c r="S220" s="5"/>
      <c r="U220" s="6"/>
      <c r="V220" s="9" t="str">
        <f t="shared" si="41"/>
        <v/>
      </c>
      <c r="W220" s="9" t="str">
        <f t="shared" si="42"/>
        <v/>
      </c>
      <c r="X220" s="10">
        <f>SUM(V$13:V220)/COUNTA(B$13:B220)</f>
        <v>0</v>
      </c>
      <c r="Z220" s="5"/>
      <c r="AA220" s="5"/>
      <c r="AC220" s="7"/>
      <c r="AE220" s="54" t="e">
        <f t="shared" si="43"/>
        <v>#N/A</v>
      </c>
      <c r="AF220" s="4" t="e">
        <f t="shared" si="39"/>
        <v>#N/A</v>
      </c>
    </row>
    <row r="221" spans="2:32">
      <c r="B221" s="5">
        <f t="shared" si="44"/>
        <v>209</v>
      </c>
      <c r="C221" s="5"/>
      <c r="E221" s="13"/>
      <c r="F221" s="5"/>
      <c r="G221" s="11" t="str">
        <f>IF(ISERROR(AVERAGE(F$13:F221)),"n/a",AVERAGE(F$13:F221))</f>
        <v>n/a</v>
      </c>
      <c r="H221" s="11" t="str">
        <f t="shared" si="40"/>
        <v>n/a</v>
      </c>
      <c r="J221" s="5"/>
      <c r="K221" s="5"/>
      <c r="L221" s="5"/>
      <c r="M221" s="5"/>
      <c r="N221" s="5"/>
      <c r="O221" s="8" t="str">
        <f t="shared" si="38"/>
        <v>n/a</v>
      </c>
      <c r="Q221" s="5"/>
      <c r="R221" s="5"/>
      <c r="S221" s="5"/>
      <c r="U221" s="6"/>
      <c r="V221" s="9" t="str">
        <f t="shared" si="41"/>
        <v/>
      </c>
      <c r="W221" s="9" t="str">
        <f t="shared" si="42"/>
        <v/>
      </c>
      <c r="X221" s="10">
        <f>SUM(V$13:V221)/COUNTA(B$13:B221)</f>
        <v>0</v>
      </c>
      <c r="Z221" s="5"/>
      <c r="AA221" s="5"/>
      <c r="AC221" s="7"/>
      <c r="AE221" s="54" t="e">
        <f t="shared" si="43"/>
        <v>#N/A</v>
      </c>
      <c r="AF221" s="4" t="e">
        <f t="shared" si="39"/>
        <v>#N/A</v>
      </c>
    </row>
    <row r="222" spans="2:32">
      <c r="B222" s="5">
        <f t="shared" si="44"/>
        <v>210</v>
      </c>
      <c r="C222" s="5"/>
      <c r="E222" s="13"/>
      <c r="F222" s="5"/>
      <c r="G222" s="11" t="str">
        <f>IF(ISERROR(AVERAGE(F$13:F222)),"n/a",AVERAGE(F$13:F222))</f>
        <v>n/a</v>
      </c>
      <c r="H222" s="11" t="str">
        <f t="shared" si="40"/>
        <v>n/a</v>
      </c>
      <c r="J222" s="5"/>
      <c r="K222" s="5"/>
      <c r="L222" s="5"/>
      <c r="M222" s="5"/>
      <c r="N222" s="5"/>
      <c r="O222" s="8" t="str">
        <f t="shared" si="38"/>
        <v>n/a</v>
      </c>
      <c r="Q222" s="5"/>
      <c r="R222" s="5"/>
      <c r="S222" s="5"/>
      <c r="U222" s="6"/>
      <c r="V222" s="9" t="str">
        <f t="shared" si="41"/>
        <v/>
      </c>
      <c r="W222" s="9" t="str">
        <f t="shared" si="42"/>
        <v/>
      </c>
      <c r="X222" s="10">
        <f>SUM(V$13:V222)/COUNTA(B$13:B222)</f>
        <v>0</v>
      </c>
      <c r="Z222" s="5"/>
      <c r="AA222" s="5"/>
      <c r="AC222" s="7"/>
      <c r="AE222" s="54" t="e">
        <f t="shared" si="43"/>
        <v>#N/A</v>
      </c>
      <c r="AF222" s="4" t="e">
        <f t="shared" si="39"/>
        <v>#N/A</v>
      </c>
    </row>
    <row r="223" spans="2:32">
      <c r="B223" s="5">
        <f t="shared" si="44"/>
        <v>211</v>
      </c>
      <c r="C223" s="5"/>
      <c r="E223" s="13"/>
      <c r="F223" s="5"/>
      <c r="G223" s="11" t="str">
        <f>IF(ISERROR(AVERAGE(F$13:F223)),"n/a",AVERAGE(F$13:F223))</f>
        <v>n/a</v>
      </c>
      <c r="H223" s="11" t="str">
        <f t="shared" si="40"/>
        <v>n/a</v>
      </c>
      <c r="J223" s="5"/>
      <c r="K223" s="5"/>
      <c r="L223" s="5"/>
      <c r="M223" s="5"/>
      <c r="N223" s="5"/>
      <c r="O223" s="8" t="str">
        <f t="shared" si="38"/>
        <v>n/a</v>
      </c>
      <c r="Q223" s="5"/>
      <c r="R223" s="5"/>
      <c r="S223" s="5"/>
      <c r="U223" s="6"/>
      <c r="V223" s="9" t="str">
        <f t="shared" si="41"/>
        <v/>
      </c>
      <c r="W223" s="9" t="str">
        <f t="shared" si="42"/>
        <v/>
      </c>
      <c r="X223" s="10">
        <f>SUM(V$13:V223)/COUNTA(B$13:B223)</f>
        <v>0</v>
      </c>
      <c r="Z223" s="5"/>
      <c r="AA223" s="5"/>
      <c r="AC223" s="7"/>
      <c r="AE223" s="54" t="e">
        <f t="shared" si="43"/>
        <v>#N/A</v>
      </c>
      <c r="AF223" s="4" t="e">
        <f t="shared" si="39"/>
        <v>#N/A</v>
      </c>
    </row>
    <row r="224" spans="2:32">
      <c r="B224" s="5">
        <f t="shared" si="44"/>
        <v>212</v>
      </c>
      <c r="C224" s="5"/>
      <c r="E224" s="13"/>
      <c r="F224" s="5"/>
      <c r="G224" s="11" t="str">
        <f>IF(ISERROR(AVERAGE(F$13:F224)),"n/a",AVERAGE(F$13:F224))</f>
        <v>n/a</v>
      </c>
      <c r="H224" s="11" t="str">
        <f t="shared" si="40"/>
        <v>n/a</v>
      </c>
      <c r="J224" s="5"/>
      <c r="K224" s="5"/>
      <c r="L224" s="5"/>
      <c r="M224" s="5"/>
      <c r="N224" s="5"/>
      <c r="O224" s="8" t="str">
        <f t="shared" si="38"/>
        <v>n/a</v>
      </c>
      <c r="Q224" s="5"/>
      <c r="R224" s="5"/>
      <c r="S224" s="5"/>
      <c r="U224" s="6"/>
      <c r="V224" s="9" t="str">
        <f t="shared" si="41"/>
        <v/>
      </c>
      <c r="W224" s="9" t="str">
        <f t="shared" si="42"/>
        <v/>
      </c>
      <c r="X224" s="10">
        <f>SUM(V$13:V224)/COUNTA(B$13:B224)</f>
        <v>0</v>
      </c>
      <c r="Z224" s="5"/>
      <c r="AA224" s="5"/>
      <c r="AC224" s="7"/>
      <c r="AE224" s="54" t="e">
        <f t="shared" si="43"/>
        <v>#N/A</v>
      </c>
      <c r="AF224" s="4" t="e">
        <f t="shared" si="39"/>
        <v>#N/A</v>
      </c>
    </row>
    <row r="225" spans="2:32">
      <c r="B225" s="5">
        <f t="shared" si="44"/>
        <v>213</v>
      </c>
      <c r="C225" s="5"/>
      <c r="E225" s="13"/>
      <c r="F225" s="5"/>
      <c r="G225" s="11" t="str">
        <f>IF(ISERROR(AVERAGE(F$13:F225)),"n/a",AVERAGE(F$13:F225))</f>
        <v>n/a</v>
      </c>
      <c r="H225" s="11" t="str">
        <f t="shared" si="40"/>
        <v>n/a</v>
      </c>
      <c r="J225" s="5"/>
      <c r="K225" s="5"/>
      <c r="L225" s="5"/>
      <c r="M225" s="5"/>
      <c r="N225" s="5"/>
      <c r="O225" s="8" t="str">
        <f t="shared" si="38"/>
        <v>n/a</v>
      </c>
      <c r="Q225" s="5"/>
      <c r="R225" s="5"/>
      <c r="S225" s="5"/>
      <c r="U225" s="6"/>
      <c r="V225" s="9" t="str">
        <f t="shared" si="41"/>
        <v/>
      </c>
      <c r="W225" s="9" t="str">
        <f t="shared" si="42"/>
        <v/>
      </c>
      <c r="X225" s="10">
        <f>SUM(V$13:V225)/COUNTA(B$13:B225)</f>
        <v>0</v>
      </c>
      <c r="Z225" s="5"/>
      <c r="AA225" s="5"/>
      <c r="AC225" s="7"/>
      <c r="AE225" s="54" t="e">
        <f t="shared" si="43"/>
        <v>#N/A</v>
      </c>
      <c r="AF225" s="4" t="e">
        <f t="shared" si="39"/>
        <v>#N/A</v>
      </c>
    </row>
    <row r="226" spans="2:32">
      <c r="B226" s="5">
        <f t="shared" si="44"/>
        <v>214</v>
      </c>
      <c r="C226" s="5"/>
      <c r="E226" s="13"/>
      <c r="F226" s="5"/>
      <c r="G226" s="11" t="str">
        <f>IF(ISERROR(AVERAGE(F$13:F226)),"n/a",AVERAGE(F$13:F226))</f>
        <v>n/a</v>
      </c>
      <c r="H226" s="11" t="str">
        <f t="shared" si="40"/>
        <v>n/a</v>
      </c>
      <c r="J226" s="5"/>
      <c r="K226" s="5"/>
      <c r="L226" s="5"/>
      <c r="M226" s="5"/>
      <c r="N226" s="5"/>
      <c r="O226" s="8" t="str">
        <f t="shared" si="38"/>
        <v>n/a</v>
      </c>
      <c r="Q226" s="5"/>
      <c r="R226" s="5"/>
      <c r="S226" s="5"/>
      <c r="U226" s="6"/>
      <c r="V226" s="9" t="str">
        <f t="shared" si="41"/>
        <v/>
      </c>
      <c r="W226" s="9" t="str">
        <f t="shared" si="42"/>
        <v/>
      </c>
      <c r="X226" s="10">
        <f>SUM(V$13:V226)/COUNTA(B$13:B226)</f>
        <v>0</v>
      </c>
      <c r="Z226" s="5"/>
      <c r="AA226" s="5"/>
      <c r="AC226" s="7"/>
      <c r="AE226" s="54" t="e">
        <f t="shared" si="43"/>
        <v>#N/A</v>
      </c>
      <c r="AF226" s="4" t="e">
        <f t="shared" si="39"/>
        <v>#N/A</v>
      </c>
    </row>
    <row r="227" spans="2:32">
      <c r="B227" s="5">
        <f t="shared" si="44"/>
        <v>215</v>
      </c>
      <c r="C227" s="5"/>
      <c r="E227" s="13"/>
      <c r="F227" s="5"/>
      <c r="G227" s="11" t="str">
        <f>IF(ISERROR(AVERAGE(F$13:F227)),"n/a",AVERAGE(F$13:F227))</f>
        <v>n/a</v>
      </c>
      <c r="H227" s="11" t="str">
        <f t="shared" si="40"/>
        <v>n/a</v>
      </c>
      <c r="J227" s="5"/>
      <c r="K227" s="5"/>
      <c r="L227" s="5"/>
      <c r="M227" s="5"/>
      <c r="N227" s="5"/>
      <c r="O227" s="8" t="str">
        <f t="shared" si="38"/>
        <v>n/a</v>
      </c>
      <c r="Q227" s="5"/>
      <c r="R227" s="5"/>
      <c r="S227" s="5"/>
      <c r="U227" s="6"/>
      <c r="V227" s="9" t="str">
        <f t="shared" si="41"/>
        <v/>
      </c>
      <c r="W227" s="9" t="str">
        <f t="shared" si="42"/>
        <v/>
      </c>
      <c r="X227" s="10">
        <f>SUM(V$13:V227)/COUNTA(B$13:B227)</f>
        <v>0</v>
      </c>
      <c r="Z227" s="5"/>
      <c r="AA227" s="5"/>
      <c r="AC227" s="7"/>
      <c r="AE227" s="54" t="e">
        <f t="shared" si="43"/>
        <v>#N/A</v>
      </c>
      <c r="AF227" s="4" t="e">
        <f t="shared" si="39"/>
        <v>#N/A</v>
      </c>
    </row>
    <row r="228" spans="2:32">
      <c r="B228" s="5">
        <f t="shared" si="44"/>
        <v>216</v>
      </c>
      <c r="C228" s="5"/>
      <c r="E228" s="13"/>
      <c r="F228" s="5"/>
      <c r="G228" s="11" t="str">
        <f>IF(ISERROR(AVERAGE(F$13:F228)),"n/a",AVERAGE(F$13:F228))</f>
        <v>n/a</v>
      </c>
      <c r="H228" s="11" t="str">
        <f t="shared" si="40"/>
        <v>n/a</v>
      </c>
      <c r="J228" s="5"/>
      <c r="K228" s="5"/>
      <c r="L228" s="5"/>
      <c r="M228" s="5"/>
      <c r="N228" s="5"/>
      <c r="O228" s="8" t="str">
        <f t="shared" si="38"/>
        <v>n/a</v>
      </c>
      <c r="Q228" s="5"/>
      <c r="R228" s="5"/>
      <c r="S228" s="5"/>
      <c r="U228" s="6"/>
      <c r="V228" s="9" t="str">
        <f t="shared" si="41"/>
        <v/>
      </c>
      <c r="W228" s="9" t="str">
        <f t="shared" si="42"/>
        <v/>
      </c>
      <c r="X228" s="10">
        <f>SUM(V$13:V228)/COUNTA(B$13:B228)</f>
        <v>0</v>
      </c>
      <c r="Z228" s="5"/>
      <c r="AA228" s="5"/>
      <c r="AC228" s="7"/>
      <c r="AE228" s="54" t="e">
        <f t="shared" si="43"/>
        <v>#N/A</v>
      </c>
      <c r="AF228" s="4" t="e">
        <f t="shared" si="39"/>
        <v>#N/A</v>
      </c>
    </row>
    <row r="229" spans="2:32">
      <c r="B229" s="5">
        <f t="shared" si="44"/>
        <v>217</v>
      </c>
      <c r="C229" s="5"/>
      <c r="E229" s="13"/>
      <c r="F229" s="5"/>
      <c r="G229" s="11" t="str">
        <f>IF(ISERROR(AVERAGE(F$13:F229)),"n/a",AVERAGE(F$13:F229))</f>
        <v>n/a</v>
      </c>
      <c r="H229" s="11" t="str">
        <f t="shared" si="40"/>
        <v>n/a</v>
      </c>
      <c r="J229" s="5"/>
      <c r="K229" s="5"/>
      <c r="L229" s="5"/>
      <c r="M229" s="5"/>
      <c r="N229" s="5"/>
      <c r="O229" s="8" t="str">
        <f t="shared" si="38"/>
        <v>n/a</v>
      </c>
      <c r="Q229" s="5"/>
      <c r="R229" s="5"/>
      <c r="S229" s="5"/>
      <c r="U229" s="6"/>
      <c r="V229" s="9" t="str">
        <f t="shared" si="41"/>
        <v/>
      </c>
      <c r="W229" s="9" t="str">
        <f t="shared" si="42"/>
        <v/>
      </c>
      <c r="X229" s="10">
        <f>SUM(V$13:V229)/COUNTA(B$13:B229)</f>
        <v>0</v>
      </c>
      <c r="Z229" s="5"/>
      <c r="AA229" s="5"/>
      <c r="AC229" s="7"/>
      <c r="AE229" s="54" t="e">
        <f t="shared" si="43"/>
        <v>#N/A</v>
      </c>
      <c r="AF229" s="4" t="e">
        <f t="shared" si="39"/>
        <v>#N/A</v>
      </c>
    </row>
    <row r="230" spans="2:32">
      <c r="B230" s="5">
        <f t="shared" si="44"/>
        <v>218</v>
      </c>
      <c r="C230" s="5"/>
      <c r="E230" s="13"/>
      <c r="F230" s="5"/>
      <c r="G230" s="11" t="str">
        <f>IF(ISERROR(AVERAGE(F$13:F230)),"n/a",AVERAGE(F$13:F230))</f>
        <v>n/a</v>
      </c>
      <c r="H230" s="11" t="str">
        <f t="shared" si="40"/>
        <v>n/a</v>
      </c>
      <c r="J230" s="5"/>
      <c r="K230" s="5"/>
      <c r="L230" s="5"/>
      <c r="M230" s="5"/>
      <c r="N230" s="5"/>
      <c r="O230" s="8" t="str">
        <f t="shared" si="38"/>
        <v>n/a</v>
      </c>
      <c r="Q230" s="5"/>
      <c r="R230" s="5"/>
      <c r="S230" s="5"/>
      <c r="U230" s="6"/>
      <c r="V230" s="9" t="str">
        <f t="shared" si="41"/>
        <v/>
      </c>
      <c r="W230" s="9" t="str">
        <f t="shared" si="42"/>
        <v/>
      </c>
      <c r="X230" s="10">
        <f>SUM(V$13:V230)/COUNTA(B$13:B230)</f>
        <v>0</v>
      </c>
      <c r="Z230" s="5"/>
      <c r="AA230" s="5"/>
      <c r="AC230" s="7"/>
      <c r="AE230" s="54" t="e">
        <f t="shared" si="43"/>
        <v>#N/A</v>
      </c>
      <c r="AF230" s="4" t="e">
        <f t="shared" si="39"/>
        <v>#N/A</v>
      </c>
    </row>
    <row r="231" spans="2:32">
      <c r="B231" s="5">
        <f t="shared" si="44"/>
        <v>219</v>
      </c>
      <c r="C231" s="5"/>
      <c r="E231" s="13"/>
      <c r="F231" s="5"/>
      <c r="G231" s="11" t="str">
        <f>IF(ISERROR(AVERAGE(F$13:F231)),"n/a",AVERAGE(F$13:F231))</f>
        <v>n/a</v>
      </c>
      <c r="H231" s="11" t="str">
        <f t="shared" si="40"/>
        <v>n/a</v>
      </c>
      <c r="J231" s="5"/>
      <c r="K231" s="5"/>
      <c r="L231" s="5"/>
      <c r="M231" s="5"/>
      <c r="N231" s="5"/>
      <c r="O231" s="8" t="str">
        <f t="shared" si="38"/>
        <v>n/a</v>
      </c>
      <c r="Q231" s="5"/>
      <c r="R231" s="5"/>
      <c r="S231" s="5"/>
      <c r="U231" s="6"/>
      <c r="V231" s="9" t="str">
        <f t="shared" si="41"/>
        <v/>
      </c>
      <c r="W231" s="9" t="str">
        <f t="shared" si="42"/>
        <v/>
      </c>
      <c r="X231" s="10">
        <f>SUM(V$13:V231)/COUNTA(B$13:B231)</f>
        <v>0</v>
      </c>
      <c r="Z231" s="5"/>
      <c r="AA231" s="5"/>
      <c r="AC231" s="7"/>
      <c r="AE231" s="54" t="e">
        <f t="shared" si="43"/>
        <v>#N/A</v>
      </c>
      <c r="AF231" s="4" t="e">
        <f t="shared" si="39"/>
        <v>#N/A</v>
      </c>
    </row>
    <row r="232" spans="2:32">
      <c r="B232" s="5">
        <f t="shared" si="44"/>
        <v>220</v>
      </c>
      <c r="C232" s="5"/>
      <c r="E232" s="13"/>
      <c r="F232" s="5"/>
      <c r="G232" s="11" t="str">
        <f>IF(ISERROR(AVERAGE(F$13:F232)),"n/a",AVERAGE(F$13:F232))</f>
        <v>n/a</v>
      </c>
      <c r="H232" s="11" t="str">
        <f t="shared" si="40"/>
        <v>n/a</v>
      </c>
      <c r="J232" s="5"/>
      <c r="K232" s="5"/>
      <c r="L232" s="5"/>
      <c r="M232" s="5"/>
      <c r="N232" s="5"/>
      <c r="O232" s="8" t="str">
        <f t="shared" si="38"/>
        <v>n/a</v>
      </c>
      <c r="Q232" s="5"/>
      <c r="R232" s="5"/>
      <c r="S232" s="5"/>
      <c r="U232" s="6"/>
      <c r="V232" s="9" t="str">
        <f t="shared" si="41"/>
        <v/>
      </c>
      <c r="W232" s="9" t="str">
        <f t="shared" si="42"/>
        <v/>
      </c>
      <c r="X232" s="10">
        <f>SUM(V$13:V232)/COUNTA(B$13:B232)</f>
        <v>0</v>
      </c>
      <c r="Z232" s="5"/>
      <c r="AA232" s="5"/>
      <c r="AC232" s="7"/>
      <c r="AE232" s="54" t="e">
        <f t="shared" si="43"/>
        <v>#N/A</v>
      </c>
      <c r="AF232" s="4" t="e">
        <f t="shared" si="39"/>
        <v>#N/A</v>
      </c>
    </row>
    <row r="233" spans="2:32">
      <c r="B233" s="5">
        <f t="shared" si="44"/>
        <v>221</v>
      </c>
      <c r="C233" s="5"/>
      <c r="E233" s="13"/>
      <c r="F233" s="5"/>
      <c r="G233" s="11" t="str">
        <f>IF(ISERROR(AVERAGE(F$13:F233)),"n/a",AVERAGE(F$13:F233))</f>
        <v>n/a</v>
      </c>
      <c r="H233" s="11" t="str">
        <f t="shared" si="40"/>
        <v>n/a</v>
      </c>
      <c r="J233" s="5"/>
      <c r="K233" s="5"/>
      <c r="L233" s="5"/>
      <c r="M233" s="5"/>
      <c r="N233" s="5"/>
      <c r="O233" s="8" t="str">
        <f t="shared" si="38"/>
        <v>n/a</v>
      </c>
      <c r="Q233" s="5"/>
      <c r="R233" s="5"/>
      <c r="S233" s="5"/>
      <c r="U233" s="6"/>
      <c r="V233" s="9" t="str">
        <f t="shared" si="41"/>
        <v/>
      </c>
      <c r="W233" s="9" t="str">
        <f t="shared" si="42"/>
        <v/>
      </c>
      <c r="X233" s="10">
        <f>SUM(V$13:V233)/COUNTA(B$13:B233)</f>
        <v>0</v>
      </c>
      <c r="Z233" s="5"/>
      <c r="AA233" s="5"/>
      <c r="AC233" s="7"/>
      <c r="AE233" s="54" t="e">
        <f t="shared" si="43"/>
        <v>#N/A</v>
      </c>
      <c r="AF233" s="4" t="e">
        <f t="shared" si="39"/>
        <v>#N/A</v>
      </c>
    </row>
    <row r="234" spans="2:32">
      <c r="B234" s="5">
        <f t="shared" si="44"/>
        <v>222</v>
      </c>
      <c r="C234" s="5"/>
      <c r="E234" s="13"/>
      <c r="F234" s="5"/>
      <c r="G234" s="11" t="str">
        <f>IF(ISERROR(AVERAGE(F$13:F234)),"n/a",AVERAGE(F$13:F234))</f>
        <v>n/a</v>
      </c>
      <c r="H234" s="11" t="str">
        <f t="shared" si="40"/>
        <v>n/a</v>
      </c>
      <c r="J234" s="5"/>
      <c r="K234" s="5"/>
      <c r="L234" s="5"/>
      <c r="M234" s="5"/>
      <c r="N234" s="5"/>
      <c r="O234" s="8" t="str">
        <f t="shared" si="38"/>
        <v>n/a</v>
      </c>
      <c r="Q234" s="5"/>
      <c r="R234" s="5"/>
      <c r="S234" s="5"/>
      <c r="U234" s="6"/>
      <c r="V234" s="9" t="str">
        <f t="shared" si="41"/>
        <v/>
      </c>
      <c r="W234" s="9" t="str">
        <f t="shared" si="42"/>
        <v/>
      </c>
      <c r="X234" s="10">
        <f>SUM(V$13:V234)/COUNTA(B$13:B234)</f>
        <v>0</v>
      </c>
      <c r="Z234" s="5"/>
      <c r="AA234" s="5"/>
      <c r="AC234" s="7"/>
      <c r="AE234" s="54" t="e">
        <f t="shared" si="43"/>
        <v>#N/A</v>
      </c>
      <c r="AF234" s="4" t="e">
        <f t="shared" si="39"/>
        <v>#N/A</v>
      </c>
    </row>
    <row r="235" spans="2:32">
      <c r="B235" s="5">
        <f t="shared" si="44"/>
        <v>223</v>
      </c>
      <c r="C235" s="5"/>
      <c r="E235" s="13"/>
      <c r="F235" s="5"/>
      <c r="G235" s="11" t="str">
        <f>IF(ISERROR(AVERAGE(F$13:F235)),"n/a",AVERAGE(F$13:F235))</f>
        <v>n/a</v>
      </c>
      <c r="H235" s="11" t="str">
        <f t="shared" si="40"/>
        <v>n/a</v>
      </c>
      <c r="J235" s="5"/>
      <c r="K235" s="5"/>
      <c r="L235" s="5"/>
      <c r="M235" s="5"/>
      <c r="N235" s="5"/>
      <c r="O235" s="8" t="str">
        <f t="shared" si="38"/>
        <v>n/a</v>
      </c>
      <c r="Q235" s="5"/>
      <c r="R235" s="5"/>
      <c r="S235" s="5"/>
      <c r="U235" s="6"/>
      <c r="V235" s="9" t="str">
        <f t="shared" si="41"/>
        <v/>
      </c>
      <c r="W235" s="9" t="str">
        <f t="shared" si="42"/>
        <v/>
      </c>
      <c r="X235" s="10">
        <f>SUM(V$13:V235)/COUNTA(B$13:B235)</f>
        <v>0</v>
      </c>
      <c r="Z235" s="5"/>
      <c r="AA235" s="5"/>
      <c r="AC235" s="7"/>
      <c r="AE235" s="54" t="e">
        <f t="shared" si="43"/>
        <v>#N/A</v>
      </c>
      <c r="AF235" s="4" t="e">
        <f t="shared" si="39"/>
        <v>#N/A</v>
      </c>
    </row>
    <row r="236" spans="2:32">
      <c r="B236" s="5">
        <f t="shared" si="44"/>
        <v>224</v>
      </c>
      <c r="C236" s="5"/>
      <c r="E236" s="13"/>
      <c r="F236" s="5"/>
      <c r="G236" s="11" t="str">
        <f>IF(ISERROR(AVERAGE(F$13:F236)),"n/a",AVERAGE(F$13:F236))</f>
        <v>n/a</v>
      </c>
      <c r="H236" s="11" t="str">
        <f t="shared" si="40"/>
        <v>n/a</v>
      </c>
      <c r="J236" s="5"/>
      <c r="K236" s="5"/>
      <c r="L236" s="5"/>
      <c r="M236" s="5"/>
      <c r="N236" s="5"/>
      <c r="O236" s="8" t="str">
        <f t="shared" si="38"/>
        <v>n/a</v>
      </c>
      <c r="Q236" s="5"/>
      <c r="R236" s="5"/>
      <c r="S236" s="5"/>
      <c r="U236" s="6"/>
      <c r="V236" s="9" t="str">
        <f t="shared" si="41"/>
        <v/>
      </c>
      <c r="W236" s="9" t="str">
        <f t="shared" si="42"/>
        <v/>
      </c>
      <c r="X236" s="10">
        <f>SUM(V$13:V236)/COUNTA(B$13:B236)</f>
        <v>0</v>
      </c>
      <c r="Z236" s="5"/>
      <c r="AA236" s="5"/>
      <c r="AC236" s="7"/>
      <c r="AE236" s="54" t="e">
        <f t="shared" si="43"/>
        <v>#N/A</v>
      </c>
      <c r="AF236" s="4" t="e">
        <f t="shared" si="39"/>
        <v>#N/A</v>
      </c>
    </row>
    <row r="237" spans="2:32">
      <c r="B237" s="5">
        <f t="shared" si="44"/>
        <v>225</v>
      </c>
      <c r="C237" s="5"/>
      <c r="E237" s="13"/>
      <c r="F237" s="5"/>
      <c r="G237" s="11" t="str">
        <f>IF(ISERROR(AVERAGE(F$13:F237)),"n/a",AVERAGE(F$13:F237))</f>
        <v>n/a</v>
      </c>
      <c r="H237" s="11" t="str">
        <f t="shared" si="40"/>
        <v>n/a</v>
      </c>
      <c r="J237" s="5"/>
      <c r="K237" s="5"/>
      <c r="L237" s="5"/>
      <c r="M237" s="5"/>
      <c r="N237" s="5"/>
      <c r="O237" s="8" t="str">
        <f t="shared" si="38"/>
        <v>n/a</v>
      </c>
      <c r="Q237" s="5"/>
      <c r="R237" s="5"/>
      <c r="S237" s="5"/>
      <c r="U237" s="6"/>
      <c r="V237" s="9" t="str">
        <f t="shared" si="41"/>
        <v/>
      </c>
      <c r="W237" s="9" t="str">
        <f t="shared" si="42"/>
        <v/>
      </c>
      <c r="X237" s="10">
        <f>SUM(V$13:V237)/COUNTA(B$13:B237)</f>
        <v>0</v>
      </c>
      <c r="Z237" s="5"/>
      <c r="AA237" s="5"/>
      <c r="AC237" s="7"/>
      <c r="AE237" s="54" t="e">
        <f t="shared" si="43"/>
        <v>#N/A</v>
      </c>
      <c r="AF237" s="4" t="e">
        <f t="shared" si="39"/>
        <v>#N/A</v>
      </c>
    </row>
    <row r="238" spans="2:32">
      <c r="B238" s="5">
        <f t="shared" si="44"/>
        <v>226</v>
      </c>
      <c r="C238" s="5"/>
      <c r="E238" s="13"/>
      <c r="F238" s="5"/>
      <c r="G238" s="11" t="str">
        <f>IF(ISERROR(AVERAGE(F$13:F238)),"n/a",AVERAGE(F$13:F238))</f>
        <v>n/a</v>
      </c>
      <c r="H238" s="11" t="str">
        <f t="shared" si="40"/>
        <v>n/a</v>
      </c>
      <c r="J238" s="5"/>
      <c r="K238" s="5"/>
      <c r="L238" s="5"/>
      <c r="M238" s="5"/>
      <c r="N238" s="5"/>
      <c r="O238" s="8" t="str">
        <f t="shared" si="38"/>
        <v>n/a</v>
      </c>
      <c r="Q238" s="5"/>
      <c r="R238" s="5"/>
      <c r="S238" s="5"/>
      <c r="U238" s="6"/>
      <c r="V238" s="9" t="str">
        <f t="shared" si="41"/>
        <v/>
      </c>
      <c r="W238" s="9" t="str">
        <f t="shared" si="42"/>
        <v/>
      </c>
      <c r="X238" s="10">
        <f>SUM(V$13:V238)/COUNTA(B$13:B238)</f>
        <v>0</v>
      </c>
      <c r="Z238" s="5"/>
      <c r="AA238" s="5"/>
      <c r="AC238" s="7"/>
      <c r="AE238" s="54" t="e">
        <f t="shared" si="43"/>
        <v>#N/A</v>
      </c>
      <c r="AF238" s="4" t="e">
        <f t="shared" si="39"/>
        <v>#N/A</v>
      </c>
    </row>
    <row r="239" spans="2:32">
      <c r="B239" s="5">
        <f t="shared" si="44"/>
        <v>227</v>
      </c>
      <c r="C239" s="5"/>
      <c r="E239" s="13"/>
      <c r="F239" s="5"/>
      <c r="G239" s="11" t="str">
        <f>IF(ISERROR(AVERAGE(F$13:F239)),"n/a",AVERAGE(F$13:F239))</f>
        <v>n/a</v>
      </c>
      <c r="H239" s="11" t="str">
        <f t="shared" si="40"/>
        <v>n/a</v>
      </c>
      <c r="J239" s="5"/>
      <c r="K239" s="5"/>
      <c r="L239" s="5"/>
      <c r="M239" s="5"/>
      <c r="N239" s="5"/>
      <c r="O239" s="8" t="str">
        <f t="shared" si="38"/>
        <v>n/a</v>
      </c>
      <c r="Q239" s="5"/>
      <c r="R239" s="5"/>
      <c r="S239" s="5"/>
      <c r="U239" s="6"/>
      <c r="V239" s="9" t="str">
        <f t="shared" si="41"/>
        <v/>
      </c>
      <c r="W239" s="9" t="str">
        <f t="shared" si="42"/>
        <v/>
      </c>
      <c r="X239" s="10">
        <f>SUM(V$13:V239)/COUNTA(B$13:B239)</f>
        <v>0</v>
      </c>
      <c r="Z239" s="5"/>
      <c r="AA239" s="5"/>
      <c r="AC239" s="7"/>
      <c r="AE239" s="54" t="e">
        <f t="shared" si="43"/>
        <v>#N/A</v>
      </c>
      <c r="AF239" s="4" t="e">
        <f t="shared" si="39"/>
        <v>#N/A</v>
      </c>
    </row>
    <row r="240" spans="2:32">
      <c r="B240" s="5">
        <f t="shared" si="44"/>
        <v>228</v>
      </c>
      <c r="C240" s="5"/>
      <c r="E240" s="13"/>
      <c r="F240" s="5"/>
      <c r="G240" s="11" t="str">
        <f>IF(ISERROR(AVERAGE(F$13:F240)),"n/a",AVERAGE(F$13:F240))</f>
        <v>n/a</v>
      </c>
      <c r="H240" s="11" t="str">
        <f t="shared" si="40"/>
        <v>n/a</v>
      </c>
      <c r="J240" s="5"/>
      <c r="K240" s="5"/>
      <c r="L240" s="5"/>
      <c r="M240" s="5"/>
      <c r="N240" s="5"/>
      <c r="O240" s="8" t="str">
        <f t="shared" si="38"/>
        <v>n/a</v>
      </c>
      <c r="Q240" s="5"/>
      <c r="R240" s="5"/>
      <c r="S240" s="5"/>
      <c r="U240" s="6"/>
      <c r="V240" s="9" t="str">
        <f t="shared" si="41"/>
        <v/>
      </c>
      <c r="W240" s="9" t="str">
        <f t="shared" si="42"/>
        <v/>
      </c>
      <c r="X240" s="10">
        <f>SUM(V$13:V240)/COUNTA(B$13:B240)</f>
        <v>0</v>
      </c>
      <c r="Z240" s="5"/>
      <c r="AA240" s="5"/>
      <c r="AC240" s="7"/>
      <c r="AE240" s="54" t="e">
        <f t="shared" si="43"/>
        <v>#N/A</v>
      </c>
      <c r="AF240" s="4" t="e">
        <f t="shared" si="39"/>
        <v>#N/A</v>
      </c>
    </row>
    <row r="241" spans="2:32">
      <c r="B241" s="5">
        <f t="shared" si="44"/>
        <v>229</v>
      </c>
      <c r="C241" s="5"/>
      <c r="E241" s="13"/>
      <c r="F241" s="5"/>
      <c r="G241" s="11" t="str">
        <f>IF(ISERROR(AVERAGE(F$13:F241)),"n/a",AVERAGE(F$13:F241))</f>
        <v>n/a</v>
      </c>
      <c r="H241" s="11" t="str">
        <f t="shared" si="40"/>
        <v>n/a</v>
      </c>
      <c r="J241" s="5"/>
      <c r="K241" s="5"/>
      <c r="L241" s="5"/>
      <c r="M241" s="5"/>
      <c r="N241" s="5"/>
      <c r="O241" s="8" t="str">
        <f t="shared" si="38"/>
        <v>n/a</v>
      </c>
      <c r="Q241" s="5"/>
      <c r="R241" s="5"/>
      <c r="S241" s="5"/>
      <c r="U241" s="6"/>
      <c r="V241" s="9" t="str">
        <f t="shared" si="41"/>
        <v/>
      </c>
      <c r="W241" s="9" t="str">
        <f t="shared" si="42"/>
        <v/>
      </c>
      <c r="X241" s="10">
        <f>SUM(V$13:V241)/COUNTA(B$13:B241)</f>
        <v>0</v>
      </c>
      <c r="Z241" s="5"/>
      <c r="AA241" s="5"/>
      <c r="AC241" s="7"/>
      <c r="AE241" s="54" t="e">
        <f t="shared" si="43"/>
        <v>#N/A</v>
      </c>
      <c r="AF241" s="4" t="e">
        <f t="shared" si="39"/>
        <v>#N/A</v>
      </c>
    </row>
    <row r="242" spans="2:32">
      <c r="B242" s="5">
        <f t="shared" si="44"/>
        <v>230</v>
      </c>
      <c r="C242" s="5"/>
      <c r="E242" s="13"/>
      <c r="F242" s="5"/>
      <c r="G242" s="11" t="str">
        <f>IF(ISERROR(AVERAGE(F$13:F242)),"n/a",AVERAGE(F$13:F242))</f>
        <v>n/a</v>
      </c>
      <c r="H242" s="11" t="str">
        <f t="shared" si="40"/>
        <v>n/a</v>
      </c>
      <c r="J242" s="5"/>
      <c r="K242" s="5"/>
      <c r="L242" s="5"/>
      <c r="M242" s="5"/>
      <c r="N242" s="5"/>
      <c r="O242" s="8" t="str">
        <f t="shared" si="38"/>
        <v>n/a</v>
      </c>
      <c r="Q242" s="5"/>
      <c r="R242" s="5"/>
      <c r="S242" s="5"/>
      <c r="U242" s="6"/>
      <c r="V242" s="9" t="str">
        <f t="shared" si="41"/>
        <v/>
      </c>
      <c r="W242" s="9" t="str">
        <f t="shared" si="42"/>
        <v/>
      </c>
      <c r="X242" s="10">
        <f>SUM(V$13:V242)/COUNTA(B$13:B242)</f>
        <v>0</v>
      </c>
      <c r="Z242" s="5"/>
      <c r="AA242" s="5"/>
      <c r="AC242" s="7"/>
      <c r="AE242" s="54" t="e">
        <f t="shared" si="43"/>
        <v>#N/A</v>
      </c>
      <c r="AF242" s="4" t="e">
        <f t="shared" si="39"/>
        <v>#N/A</v>
      </c>
    </row>
    <row r="243" spans="2:32">
      <c r="B243" s="5">
        <f t="shared" si="44"/>
        <v>231</v>
      </c>
      <c r="C243" s="5"/>
      <c r="E243" s="13"/>
      <c r="F243" s="5"/>
      <c r="G243" s="11" t="str">
        <f>IF(ISERROR(AVERAGE(F$13:F243)),"n/a",AVERAGE(F$13:F243))</f>
        <v>n/a</v>
      </c>
      <c r="H243" s="11" t="str">
        <f t="shared" si="40"/>
        <v>n/a</v>
      </c>
      <c r="J243" s="5"/>
      <c r="K243" s="5"/>
      <c r="L243" s="5"/>
      <c r="M243" s="5"/>
      <c r="N243" s="5"/>
      <c r="O243" s="8" t="str">
        <f t="shared" si="38"/>
        <v>n/a</v>
      </c>
      <c r="Q243" s="5"/>
      <c r="R243" s="5"/>
      <c r="S243" s="5"/>
      <c r="U243" s="6"/>
      <c r="V243" s="9" t="str">
        <f t="shared" si="41"/>
        <v/>
      </c>
      <c r="W243" s="9" t="str">
        <f t="shared" si="42"/>
        <v/>
      </c>
      <c r="X243" s="10">
        <f>SUM(V$13:V243)/COUNTA(B$13:B243)</f>
        <v>0</v>
      </c>
      <c r="Z243" s="5"/>
      <c r="AA243" s="5"/>
      <c r="AC243" s="7"/>
      <c r="AE243" s="54" t="e">
        <f t="shared" si="43"/>
        <v>#N/A</v>
      </c>
      <c r="AF243" s="4" t="e">
        <f t="shared" si="39"/>
        <v>#N/A</v>
      </c>
    </row>
    <row r="244" spans="2:32">
      <c r="B244" s="5">
        <f t="shared" si="44"/>
        <v>232</v>
      </c>
      <c r="C244" s="5"/>
      <c r="E244" s="13"/>
      <c r="F244" s="5"/>
      <c r="G244" s="11" t="str">
        <f>IF(ISERROR(AVERAGE(F$13:F244)),"n/a",AVERAGE(F$13:F244))</f>
        <v>n/a</v>
      </c>
      <c r="H244" s="11" t="str">
        <f t="shared" si="40"/>
        <v>n/a</v>
      </c>
      <c r="J244" s="5"/>
      <c r="K244" s="5"/>
      <c r="L244" s="5"/>
      <c r="M244" s="5"/>
      <c r="N244" s="5"/>
      <c r="O244" s="8" t="str">
        <f t="shared" si="38"/>
        <v>n/a</v>
      </c>
      <c r="Q244" s="5"/>
      <c r="R244" s="5"/>
      <c r="S244" s="5"/>
      <c r="U244" s="6"/>
      <c r="V244" s="9" t="str">
        <f t="shared" si="41"/>
        <v/>
      </c>
      <c r="W244" s="9" t="str">
        <f t="shared" si="42"/>
        <v/>
      </c>
      <c r="X244" s="10">
        <f>SUM(V$13:V244)/COUNTA(B$13:B244)</f>
        <v>0</v>
      </c>
      <c r="Z244" s="5"/>
      <c r="AA244" s="5"/>
      <c r="AC244" s="7"/>
      <c r="AE244" s="54" t="e">
        <f t="shared" si="43"/>
        <v>#N/A</v>
      </c>
      <c r="AF244" s="4" t="e">
        <f t="shared" si="39"/>
        <v>#N/A</v>
      </c>
    </row>
    <row r="245" spans="2:32">
      <c r="B245" s="5">
        <f t="shared" si="44"/>
        <v>233</v>
      </c>
      <c r="C245" s="5"/>
      <c r="E245" s="13"/>
      <c r="F245" s="5"/>
      <c r="G245" s="11" t="str">
        <f>IF(ISERROR(AVERAGE(F$13:F245)),"n/a",AVERAGE(F$13:F245))</f>
        <v>n/a</v>
      </c>
      <c r="H245" s="11" t="str">
        <f t="shared" si="40"/>
        <v>n/a</v>
      </c>
      <c r="J245" s="5"/>
      <c r="K245" s="5"/>
      <c r="L245" s="5"/>
      <c r="M245" s="5"/>
      <c r="N245" s="5"/>
      <c r="O245" s="8" t="str">
        <f t="shared" si="38"/>
        <v>n/a</v>
      </c>
      <c r="Q245" s="5"/>
      <c r="R245" s="5"/>
      <c r="S245" s="5"/>
      <c r="U245" s="6"/>
      <c r="V245" s="9" t="str">
        <f t="shared" si="41"/>
        <v/>
      </c>
      <c r="W245" s="9" t="str">
        <f t="shared" si="42"/>
        <v/>
      </c>
      <c r="X245" s="10">
        <f>SUM(V$13:V245)/COUNTA(B$13:B245)</f>
        <v>0</v>
      </c>
      <c r="Z245" s="5"/>
      <c r="AA245" s="5"/>
      <c r="AC245" s="7"/>
      <c r="AE245" s="54" t="e">
        <f t="shared" si="43"/>
        <v>#N/A</v>
      </c>
      <c r="AF245" s="4" t="e">
        <f t="shared" si="39"/>
        <v>#N/A</v>
      </c>
    </row>
    <row r="246" spans="2:32">
      <c r="B246" s="5">
        <f t="shared" si="44"/>
        <v>234</v>
      </c>
      <c r="C246" s="5"/>
      <c r="E246" s="13"/>
      <c r="F246" s="5"/>
      <c r="G246" s="11" t="str">
        <f>IF(ISERROR(AVERAGE(F$13:F246)),"n/a",AVERAGE(F$13:F246))</f>
        <v>n/a</v>
      </c>
      <c r="H246" s="11" t="str">
        <f t="shared" si="40"/>
        <v>n/a</v>
      </c>
      <c r="J246" s="5"/>
      <c r="K246" s="5"/>
      <c r="L246" s="5"/>
      <c r="M246" s="5"/>
      <c r="N246" s="5"/>
      <c r="O246" s="8" t="str">
        <f t="shared" si="38"/>
        <v>n/a</v>
      </c>
      <c r="Q246" s="5"/>
      <c r="R246" s="5"/>
      <c r="S246" s="5"/>
      <c r="U246" s="6"/>
      <c r="V246" s="9" t="str">
        <f t="shared" si="41"/>
        <v/>
      </c>
      <c r="W246" s="9" t="str">
        <f t="shared" si="42"/>
        <v/>
      </c>
      <c r="X246" s="10">
        <f>SUM(V$13:V246)/COUNTA(B$13:B246)</f>
        <v>0</v>
      </c>
      <c r="Z246" s="5"/>
      <c r="AA246" s="5"/>
      <c r="AC246" s="7"/>
      <c r="AE246" s="54" t="e">
        <f t="shared" si="43"/>
        <v>#N/A</v>
      </c>
      <c r="AF246" s="4" t="e">
        <f t="shared" si="39"/>
        <v>#N/A</v>
      </c>
    </row>
    <row r="247" spans="2:32">
      <c r="B247" s="5">
        <f t="shared" si="44"/>
        <v>235</v>
      </c>
      <c r="C247" s="5"/>
      <c r="E247" s="13"/>
      <c r="F247" s="5"/>
      <c r="G247" s="11" t="str">
        <f>IF(ISERROR(AVERAGE(F$13:F247)),"n/a",AVERAGE(F$13:F247))</f>
        <v>n/a</v>
      </c>
      <c r="H247" s="11" t="str">
        <f t="shared" si="40"/>
        <v>n/a</v>
      </c>
      <c r="J247" s="5"/>
      <c r="K247" s="5"/>
      <c r="L247" s="5"/>
      <c r="M247" s="5"/>
      <c r="N247" s="5"/>
      <c r="O247" s="8" t="str">
        <f t="shared" si="38"/>
        <v>n/a</v>
      </c>
      <c r="Q247" s="5"/>
      <c r="R247" s="5"/>
      <c r="S247" s="5"/>
      <c r="U247" s="6"/>
      <c r="V247" s="9" t="str">
        <f t="shared" si="41"/>
        <v/>
      </c>
      <c r="W247" s="9" t="str">
        <f t="shared" si="42"/>
        <v/>
      </c>
      <c r="X247" s="10">
        <f>SUM(V$13:V247)/COUNTA(B$13:B247)</f>
        <v>0</v>
      </c>
      <c r="Z247" s="5"/>
      <c r="AA247" s="5"/>
      <c r="AC247" s="7"/>
      <c r="AE247" s="54" t="e">
        <f t="shared" si="43"/>
        <v>#N/A</v>
      </c>
      <c r="AF247" s="4" t="e">
        <f t="shared" si="39"/>
        <v>#N/A</v>
      </c>
    </row>
    <row r="248" spans="2:32">
      <c r="B248" s="5">
        <f t="shared" si="44"/>
        <v>236</v>
      </c>
      <c r="C248" s="5"/>
      <c r="E248" s="13"/>
      <c r="F248" s="5"/>
      <c r="G248" s="11" t="str">
        <f>IF(ISERROR(AVERAGE(F$13:F248)),"n/a",AVERAGE(F$13:F248))</f>
        <v>n/a</v>
      </c>
      <c r="H248" s="11" t="str">
        <f t="shared" si="40"/>
        <v>n/a</v>
      </c>
      <c r="J248" s="5"/>
      <c r="K248" s="5"/>
      <c r="L248" s="5"/>
      <c r="M248" s="5"/>
      <c r="N248" s="5"/>
      <c r="O248" s="8" t="str">
        <f t="shared" si="38"/>
        <v>n/a</v>
      </c>
      <c r="Q248" s="5"/>
      <c r="R248" s="5"/>
      <c r="S248" s="5"/>
      <c r="U248" s="6"/>
      <c r="V248" s="9" t="str">
        <f t="shared" si="41"/>
        <v/>
      </c>
      <c r="W248" s="9" t="str">
        <f t="shared" si="42"/>
        <v/>
      </c>
      <c r="X248" s="10">
        <f>SUM(V$13:V248)/COUNTA(B$13:B248)</f>
        <v>0</v>
      </c>
      <c r="Z248" s="5"/>
      <c r="AA248" s="5"/>
      <c r="AC248" s="7"/>
      <c r="AE248" s="54" t="e">
        <f t="shared" si="43"/>
        <v>#N/A</v>
      </c>
      <c r="AF248" s="4" t="e">
        <f t="shared" si="39"/>
        <v>#N/A</v>
      </c>
    </row>
    <row r="249" spans="2:32">
      <c r="B249" s="5">
        <f t="shared" si="44"/>
        <v>237</v>
      </c>
      <c r="C249" s="5"/>
      <c r="E249" s="13"/>
      <c r="F249" s="5"/>
      <c r="G249" s="11" t="str">
        <f>IF(ISERROR(AVERAGE(F$13:F249)),"n/a",AVERAGE(F$13:F249))</f>
        <v>n/a</v>
      </c>
      <c r="H249" s="11" t="str">
        <f t="shared" si="40"/>
        <v>n/a</v>
      </c>
      <c r="J249" s="5"/>
      <c r="K249" s="5"/>
      <c r="L249" s="5"/>
      <c r="M249" s="5"/>
      <c r="N249" s="5"/>
      <c r="O249" s="8" t="str">
        <f t="shared" si="38"/>
        <v>n/a</v>
      </c>
      <c r="Q249" s="5"/>
      <c r="R249" s="5"/>
      <c r="S249" s="5"/>
      <c r="U249" s="6"/>
      <c r="V249" s="9" t="str">
        <f t="shared" si="41"/>
        <v/>
      </c>
      <c r="W249" s="9" t="str">
        <f t="shared" si="42"/>
        <v/>
      </c>
      <c r="X249" s="10">
        <f>SUM(V$13:V249)/COUNTA(B$13:B249)</f>
        <v>0</v>
      </c>
      <c r="Z249" s="5"/>
      <c r="AA249" s="5"/>
      <c r="AC249" s="7"/>
      <c r="AE249" s="54" t="e">
        <f t="shared" si="43"/>
        <v>#N/A</v>
      </c>
      <c r="AF249" s="4" t="e">
        <f t="shared" si="39"/>
        <v>#N/A</v>
      </c>
    </row>
    <row r="250" spans="2:32">
      <c r="B250" s="5">
        <f t="shared" si="44"/>
        <v>238</v>
      </c>
      <c r="C250" s="5"/>
      <c r="E250" s="13"/>
      <c r="F250" s="5"/>
      <c r="G250" s="11" t="str">
        <f>IF(ISERROR(AVERAGE(F$13:F250)),"n/a",AVERAGE(F$13:F250))</f>
        <v>n/a</v>
      </c>
      <c r="H250" s="11" t="str">
        <f t="shared" si="40"/>
        <v>n/a</v>
      </c>
      <c r="J250" s="5"/>
      <c r="K250" s="5"/>
      <c r="L250" s="5"/>
      <c r="M250" s="5"/>
      <c r="N250" s="5"/>
      <c r="O250" s="8" t="str">
        <f t="shared" si="38"/>
        <v>n/a</v>
      </c>
      <c r="Q250" s="5"/>
      <c r="R250" s="5"/>
      <c r="S250" s="5"/>
      <c r="U250" s="6"/>
      <c r="V250" s="9" t="str">
        <f t="shared" si="41"/>
        <v/>
      </c>
      <c r="W250" s="9" t="str">
        <f t="shared" si="42"/>
        <v/>
      </c>
      <c r="X250" s="10">
        <f>SUM(V$13:V250)/COUNTA(B$13:B250)</f>
        <v>0</v>
      </c>
      <c r="Z250" s="5"/>
      <c r="AA250" s="5"/>
      <c r="AC250" s="7"/>
      <c r="AE250" s="54" t="e">
        <f t="shared" si="43"/>
        <v>#N/A</v>
      </c>
      <c r="AF250" s="4" t="e">
        <f t="shared" si="39"/>
        <v>#N/A</v>
      </c>
    </row>
    <row r="251" spans="2:32">
      <c r="B251" s="5">
        <f t="shared" si="44"/>
        <v>239</v>
      </c>
      <c r="C251" s="5"/>
      <c r="E251" s="13"/>
      <c r="F251" s="5"/>
      <c r="G251" s="11" t="str">
        <f>IF(ISERROR(AVERAGE(F$13:F251)),"n/a",AVERAGE(F$13:F251))</f>
        <v>n/a</v>
      </c>
      <c r="H251" s="11" t="str">
        <f t="shared" si="40"/>
        <v>n/a</v>
      </c>
      <c r="J251" s="5"/>
      <c r="K251" s="5"/>
      <c r="L251" s="5"/>
      <c r="M251" s="5"/>
      <c r="N251" s="5"/>
      <c r="O251" s="8" t="str">
        <f t="shared" si="38"/>
        <v>n/a</v>
      </c>
      <c r="Q251" s="5"/>
      <c r="R251" s="5"/>
      <c r="S251" s="5"/>
      <c r="U251" s="6"/>
      <c r="V251" s="9" t="str">
        <f t="shared" si="41"/>
        <v/>
      </c>
      <c r="W251" s="9" t="str">
        <f t="shared" si="42"/>
        <v/>
      </c>
      <c r="X251" s="10">
        <f>SUM(V$13:V251)/COUNTA(B$13:B251)</f>
        <v>0</v>
      </c>
      <c r="Z251" s="5"/>
      <c r="AA251" s="5"/>
      <c r="AC251" s="7"/>
      <c r="AE251" s="54" t="e">
        <f t="shared" si="43"/>
        <v>#N/A</v>
      </c>
      <c r="AF251" s="4" t="e">
        <f t="shared" si="39"/>
        <v>#N/A</v>
      </c>
    </row>
    <row r="252" spans="2:32">
      <c r="B252" s="5">
        <f t="shared" si="44"/>
        <v>240</v>
      </c>
      <c r="C252" s="5"/>
      <c r="E252" s="13"/>
      <c r="F252" s="5"/>
      <c r="G252" s="11" t="str">
        <f>IF(ISERROR(AVERAGE(F$13:F252)),"n/a",AVERAGE(F$13:F252))</f>
        <v>n/a</v>
      </c>
      <c r="H252" s="11" t="str">
        <f t="shared" si="40"/>
        <v>n/a</v>
      </c>
      <c r="J252" s="5"/>
      <c r="K252" s="5"/>
      <c r="L252" s="5"/>
      <c r="M252" s="5"/>
      <c r="N252" s="5"/>
      <c r="O252" s="8" t="str">
        <f t="shared" si="38"/>
        <v>n/a</v>
      </c>
      <c r="Q252" s="5"/>
      <c r="R252" s="5"/>
      <c r="S252" s="5"/>
      <c r="U252" s="6"/>
      <c r="V252" s="9" t="str">
        <f t="shared" si="41"/>
        <v/>
      </c>
      <c r="W252" s="9" t="str">
        <f t="shared" si="42"/>
        <v/>
      </c>
      <c r="X252" s="10">
        <f>SUM(V$13:V252)/COUNTA(B$13:B252)</f>
        <v>0</v>
      </c>
      <c r="Z252" s="5"/>
      <c r="AA252" s="5"/>
      <c r="AC252" s="7"/>
      <c r="AE252" s="54" t="e">
        <f t="shared" si="43"/>
        <v>#N/A</v>
      </c>
      <c r="AF252" s="4" t="e">
        <f t="shared" si="39"/>
        <v>#N/A</v>
      </c>
    </row>
    <row r="253" spans="2:32">
      <c r="B253" s="5">
        <f t="shared" si="44"/>
        <v>241</v>
      </c>
      <c r="C253" s="5"/>
      <c r="E253" s="13"/>
      <c r="F253" s="5"/>
      <c r="G253" s="11" t="str">
        <f>IF(ISERROR(AVERAGE(F$13:F253)),"n/a",AVERAGE(F$13:F253))</f>
        <v>n/a</v>
      </c>
      <c r="H253" s="11" t="str">
        <f t="shared" si="40"/>
        <v>n/a</v>
      </c>
      <c r="J253" s="5"/>
      <c r="K253" s="5"/>
      <c r="L253" s="5"/>
      <c r="M253" s="5"/>
      <c r="N253" s="5"/>
      <c r="O253" s="8" t="str">
        <f t="shared" si="38"/>
        <v>n/a</v>
      </c>
      <c r="Q253" s="5"/>
      <c r="R253" s="5"/>
      <c r="S253" s="5"/>
      <c r="U253" s="6"/>
      <c r="V253" s="9" t="str">
        <f t="shared" si="41"/>
        <v/>
      </c>
      <c r="W253" s="9" t="str">
        <f t="shared" si="42"/>
        <v/>
      </c>
      <c r="X253" s="10">
        <f>SUM(V$13:V253)/COUNTA(B$13:B253)</f>
        <v>0</v>
      </c>
      <c r="Z253" s="5"/>
      <c r="AA253" s="5"/>
      <c r="AC253" s="7"/>
      <c r="AE253" s="54" t="e">
        <f t="shared" si="43"/>
        <v>#N/A</v>
      </c>
      <c r="AF253" s="4" t="e">
        <f t="shared" si="39"/>
        <v>#N/A</v>
      </c>
    </row>
    <row r="254" spans="2:32">
      <c r="B254" s="5">
        <f t="shared" si="44"/>
        <v>242</v>
      </c>
      <c r="C254" s="5"/>
      <c r="E254" s="13"/>
      <c r="F254" s="5"/>
      <c r="G254" s="11" t="str">
        <f>IF(ISERROR(AVERAGE(F$13:F254)),"n/a",AVERAGE(F$13:F254))</f>
        <v>n/a</v>
      </c>
      <c r="H254" s="11" t="str">
        <f t="shared" si="40"/>
        <v>n/a</v>
      </c>
      <c r="J254" s="5"/>
      <c r="K254" s="5"/>
      <c r="L254" s="5"/>
      <c r="M254" s="5"/>
      <c r="N254" s="5"/>
      <c r="O254" s="8" t="str">
        <f t="shared" si="38"/>
        <v>n/a</v>
      </c>
      <c r="Q254" s="5"/>
      <c r="R254" s="5"/>
      <c r="S254" s="5"/>
      <c r="U254" s="6"/>
      <c r="V254" s="9" t="str">
        <f t="shared" si="41"/>
        <v/>
      </c>
      <c r="W254" s="9" t="str">
        <f t="shared" si="42"/>
        <v/>
      </c>
      <c r="X254" s="10">
        <f>SUM(V$13:V254)/COUNTA(B$13:B254)</f>
        <v>0</v>
      </c>
      <c r="Z254" s="5"/>
      <c r="AA254" s="5"/>
      <c r="AC254" s="7"/>
      <c r="AE254" s="54" t="e">
        <f t="shared" si="43"/>
        <v>#N/A</v>
      </c>
      <c r="AF254" s="4" t="e">
        <f t="shared" si="39"/>
        <v>#N/A</v>
      </c>
    </row>
    <row r="255" spans="2:32">
      <c r="B255" s="5">
        <f t="shared" si="44"/>
        <v>243</v>
      </c>
      <c r="C255" s="5"/>
      <c r="E255" s="13"/>
      <c r="F255" s="5"/>
      <c r="G255" s="11" t="str">
        <f>IF(ISERROR(AVERAGE(F$13:F255)),"n/a",AVERAGE(F$13:F255))</f>
        <v>n/a</v>
      </c>
      <c r="H255" s="11" t="str">
        <f t="shared" si="40"/>
        <v>n/a</v>
      </c>
      <c r="J255" s="5"/>
      <c r="K255" s="5"/>
      <c r="L255" s="5"/>
      <c r="M255" s="5"/>
      <c r="N255" s="5"/>
      <c r="O255" s="8" t="str">
        <f t="shared" si="38"/>
        <v>n/a</v>
      </c>
      <c r="Q255" s="5"/>
      <c r="R255" s="5"/>
      <c r="S255" s="5"/>
      <c r="U255" s="6"/>
      <c r="V255" s="9" t="str">
        <f t="shared" si="41"/>
        <v/>
      </c>
      <c r="W255" s="9" t="str">
        <f t="shared" si="42"/>
        <v/>
      </c>
      <c r="X255" s="10">
        <f>SUM(V$13:V255)/COUNTA(B$13:B255)</f>
        <v>0</v>
      </c>
      <c r="Z255" s="5"/>
      <c r="AA255" s="5"/>
      <c r="AC255" s="7"/>
      <c r="AE255" s="54" t="e">
        <f t="shared" si="43"/>
        <v>#N/A</v>
      </c>
      <c r="AF255" s="4" t="e">
        <f t="shared" si="39"/>
        <v>#N/A</v>
      </c>
    </row>
    <row r="256" spans="2:32">
      <c r="B256" s="5">
        <f t="shared" si="44"/>
        <v>244</v>
      </c>
      <c r="C256" s="5"/>
      <c r="E256" s="13"/>
      <c r="F256" s="5"/>
      <c r="G256" s="11" t="str">
        <f>IF(ISERROR(AVERAGE(F$13:F256)),"n/a",AVERAGE(F$13:F256))</f>
        <v>n/a</v>
      </c>
      <c r="H256" s="11" t="str">
        <f t="shared" si="40"/>
        <v>n/a</v>
      </c>
      <c r="J256" s="5"/>
      <c r="K256" s="5"/>
      <c r="L256" s="5"/>
      <c r="M256" s="5"/>
      <c r="N256" s="5"/>
      <c r="O256" s="8" t="str">
        <f t="shared" si="38"/>
        <v>n/a</v>
      </c>
      <c r="Q256" s="5"/>
      <c r="R256" s="5"/>
      <c r="S256" s="5"/>
      <c r="U256" s="6"/>
      <c r="V256" s="9" t="str">
        <f t="shared" si="41"/>
        <v/>
      </c>
      <c r="W256" s="9" t="str">
        <f t="shared" si="42"/>
        <v/>
      </c>
      <c r="X256" s="10">
        <f>SUM(V$13:V256)/COUNTA(B$13:B256)</f>
        <v>0</v>
      </c>
      <c r="Z256" s="5"/>
      <c r="AA256" s="5"/>
      <c r="AC256" s="7"/>
      <c r="AE256" s="54" t="e">
        <f t="shared" si="43"/>
        <v>#N/A</v>
      </c>
      <c r="AF256" s="4" t="e">
        <f t="shared" si="39"/>
        <v>#N/A</v>
      </c>
    </row>
    <row r="257" spans="2:32">
      <c r="B257" s="5">
        <f t="shared" si="44"/>
        <v>245</v>
      </c>
      <c r="C257" s="5"/>
      <c r="E257" s="13"/>
      <c r="F257" s="5"/>
      <c r="G257" s="11" t="str">
        <f>IF(ISERROR(AVERAGE(F$13:F257)),"n/a",AVERAGE(F$13:F257))</f>
        <v>n/a</v>
      </c>
      <c r="H257" s="11" t="str">
        <f t="shared" si="40"/>
        <v>n/a</v>
      </c>
      <c r="J257" s="5"/>
      <c r="K257" s="5"/>
      <c r="L257" s="5"/>
      <c r="M257" s="5"/>
      <c r="N257" s="5"/>
      <c r="O257" s="8" t="str">
        <f t="shared" si="38"/>
        <v>n/a</v>
      </c>
      <c r="Q257" s="5"/>
      <c r="R257" s="5"/>
      <c r="S257" s="5"/>
      <c r="U257" s="6"/>
      <c r="V257" s="9" t="str">
        <f t="shared" si="41"/>
        <v/>
      </c>
      <c r="W257" s="9" t="str">
        <f t="shared" si="42"/>
        <v/>
      </c>
      <c r="X257" s="10">
        <f>SUM(V$13:V257)/COUNTA(B$13:B257)</f>
        <v>0</v>
      </c>
      <c r="Z257" s="5"/>
      <c r="AA257" s="5"/>
      <c r="AC257" s="7"/>
      <c r="AE257" s="54" t="e">
        <f t="shared" si="43"/>
        <v>#N/A</v>
      </c>
      <c r="AF257" s="4" t="e">
        <f t="shared" si="39"/>
        <v>#N/A</v>
      </c>
    </row>
    <row r="258" spans="2:32">
      <c r="B258" s="5">
        <f t="shared" si="44"/>
        <v>246</v>
      </c>
      <c r="C258" s="5"/>
      <c r="E258" s="13"/>
      <c r="F258" s="5"/>
      <c r="G258" s="11" t="str">
        <f>IF(ISERROR(AVERAGE(F$13:F258)),"n/a",AVERAGE(F$13:F258))</f>
        <v>n/a</v>
      </c>
      <c r="H258" s="11" t="str">
        <f t="shared" si="40"/>
        <v>n/a</v>
      </c>
      <c r="J258" s="5"/>
      <c r="K258" s="5"/>
      <c r="L258" s="5"/>
      <c r="M258" s="5"/>
      <c r="N258" s="5"/>
      <c r="O258" s="8" t="str">
        <f t="shared" si="38"/>
        <v>n/a</v>
      </c>
      <c r="Q258" s="5"/>
      <c r="R258" s="5"/>
      <c r="S258" s="5"/>
      <c r="U258" s="6"/>
      <c r="V258" s="9" t="str">
        <f t="shared" si="41"/>
        <v/>
      </c>
      <c r="W258" s="9" t="str">
        <f t="shared" si="42"/>
        <v/>
      </c>
      <c r="X258" s="10">
        <f>SUM(V$13:V258)/COUNTA(B$13:B258)</f>
        <v>0</v>
      </c>
      <c r="Z258" s="5"/>
      <c r="AA258" s="5"/>
      <c r="AC258" s="7"/>
      <c r="AE258" s="54" t="e">
        <f t="shared" si="43"/>
        <v>#N/A</v>
      </c>
      <c r="AF258" s="4" t="e">
        <f t="shared" si="39"/>
        <v>#N/A</v>
      </c>
    </row>
    <row r="259" spans="2:32">
      <c r="B259" s="5">
        <f t="shared" si="44"/>
        <v>247</v>
      </c>
      <c r="C259" s="5"/>
      <c r="E259" s="13"/>
      <c r="F259" s="5"/>
      <c r="G259" s="11" t="str">
        <f>IF(ISERROR(AVERAGE(F$13:F259)),"n/a",AVERAGE(F$13:F259))</f>
        <v>n/a</v>
      </c>
      <c r="H259" s="11" t="str">
        <f t="shared" si="40"/>
        <v>n/a</v>
      </c>
      <c r="J259" s="5"/>
      <c r="K259" s="5"/>
      <c r="L259" s="5"/>
      <c r="M259" s="5"/>
      <c r="N259" s="5"/>
      <c r="O259" s="8" t="str">
        <f t="shared" si="38"/>
        <v>n/a</v>
      </c>
      <c r="Q259" s="5"/>
      <c r="R259" s="5"/>
      <c r="S259" s="5"/>
      <c r="U259" s="6"/>
      <c r="V259" s="9" t="str">
        <f t="shared" si="41"/>
        <v/>
      </c>
      <c r="W259" s="9" t="str">
        <f t="shared" si="42"/>
        <v/>
      </c>
      <c r="X259" s="10">
        <f>SUM(V$13:V259)/COUNTA(B$13:B259)</f>
        <v>0</v>
      </c>
      <c r="Z259" s="5"/>
      <c r="AA259" s="5"/>
      <c r="AC259" s="7"/>
      <c r="AE259" s="54" t="e">
        <f t="shared" si="43"/>
        <v>#N/A</v>
      </c>
      <c r="AF259" s="4" t="e">
        <f t="shared" si="39"/>
        <v>#N/A</v>
      </c>
    </row>
    <row r="260" spans="2:32">
      <c r="B260" s="5">
        <f t="shared" si="44"/>
        <v>248</v>
      </c>
      <c r="C260" s="5"/>
      <c r="E260" s="13"/>
      <c r="F260" s="5"/>
      <c r="G260" s="11" t="str">
        <f>IF(ISERROR(AVERAGE(F$13:F260)),"n/a",AVERAGE(F$13:F260))</f>
        <v>n/a</v>
      </c>
      <c r="H260" s="11" t="str">
        <f t="shared" si="40"/>
        <v>n/a</v>
      </c>
      <c r="J260" s="5"/>
      <c r="K260" s="5"/>
      <c r="L260" s="5"/>
      <c r="M260" s="5"/>
      <c r="N260" s="5"/>
      <c r="O260" s="8" t="str">
        <f t="shared" si="38"/>
        <v>n/a</v>
      </c>
      <c r="Q260" s="5"/>
      <c r="R260" s="5"/>
      <c r="S260" s="5"/>
      <c r="U260" s="6"/>
      <c r="V260" s="9" t="str">
        <f t="shared" si="41"/>
        <v/>
      </c>
      <c r="W260" s="9" t="str">
        <f t="shared" si="42"/>
        <v/>
      </c>
      <c r="X260" s="10">
        <f>SUM(V$13:V260)/COUNTA(B$13:B260)</f>
        <v>0</v>
      </c>
      <c r="Z260" s="5"/>
      <c r="AA260" s="5"/>
      <c r="AC260" s="7"/>
      <c r="AE260" s="54" t="e">
        <f t="shared" si="43"/>
        <v>#N/A</v>
      </c>
      <c r="AF260" s="4" t="e">
        <f t="shared" si="39"/>
        <v>#N/A</v>
      </c>
    </row>
    <row r="261" spans="2:32">
      <c r="B261" s="5">
        <f t="shared" si="44"/>
        <v>249</v>
      </c>
      <c r="C261" s="5"/>
      <c r="E261" s="13"/>
      <c r="F261" s="5"/>
      <c r="G261" s="11" t="str">
        <f>IF(ISERROR(AVERAGE(F$13:F261)),"n/a",AVERAGE(F$13:F261))</f>
        <v>n/a</v>
      </c>
      <c r="H261" s="11" t="str">
        <f t="shared" si="40"/>
        <v>n/a</v>
      </c>
      <c r="J261" s="5"/>
      <c r="K261" s="5"/>
      <c r="L261" s="5"/>
      <c r="M261" s="5"/>
      <c r="N261" s="5"/>
      <c r="O261" s="8" t="str">
        <f t="shared" si="38"/>
        <v>n/a</v>
      </c>
      <c r="Q261" s="5"/>
      <c r="R261" s="5"/>
      <c r="S261" s="5"/>
      <c r="U261" s="6"/>
      <c r="V261" s="9" t="str">
        <f t="shared" si="41"/>
        <v/>
      </c>
      <c r="W261" s="9" t="str">
        <f t="shared" si="42"/>
        <v/>
      </c>
      <c r="X261" s="10">
        <f>SUM(V$13:V261)/COUNTA(B$13:B261)</f>
        <v>0</v>
      </c>
      <c r="Z261" s="5"/>
      <c r="AA261" s="5"/>
      <c r="AC261" s="7"/>
      <c r="AE261" s="54" t="e">
        <f t="shared" si="43"/>
        <v>#N/A</v>
      </c>
      <c r="AF261" s="4" t="e">
        <f t="shared" si="39"/>
        <v>#N/A</v>
      </c>
    </row>
    <row r="262" spans="2:32">
      <c r="B262" s="5">
        <f t="shared" si="44"/>
        <v>250</v>
      </c>
      <c r="C262" s="5"/>
      <c r="E262" s="13"/>
      <c r="F262" s="5"/>
      <c r="G262" s="11" t="str">
        <f>IF(ISERROR(AVERAGE(F$13:F262)),"n/a",AVERAGE(F$13:F262))</f>
        <v>n/a</v>
      </c>
      <c r="H262" s="11" t="str">
        <f t="shared" si="40"/>
        <v>n/a</v>
      </c>
      <c r="J262" s="5"/>
      <c r="K262" s="5"/>
      <c r="L262" s="5"/>
      <c r="M262" s="5"/>
      <c r="N262" s="5"/>
      <c r="O262" s="8" t="str">
        <f t="shared" si="38"/>
        <v>n/a</v>
      </c>
      <c r="Q262" s="5"/>
      <c r="R262" s="5"/>
      <c r="S262" s="5"/>
      <c r="U262" s="6"/>
      <c r="V262" s="9" t="str">
        <f t="shared" si="41"/>
        <v/>
      </c>
      <c r="W262" s="9" t="str">
        <f t="shared" si="42"/>
        <v/>
      </c>
      <c r="X262" s="10">
        <f>SUM(V$13:V262)/COUNTA(B$13:B262)</f>
        <v>0</v>
      </c>
      <c r="Z262" s="5"/>
      <c r="AA262" s="5"/>
      <c r="AC262" s="7"/>
      <c r="AE262" s="54" t="e">
        <f t="shared" si="43"/>
        <v>#N/A</v>
      </c>
      <c r="AF262" s="4" t="e">
        <f t="shared" si="39"/>
        <v>#N/A</v>
      </c>
    </row>
    <row r="263" spans="2:32">
      <c r="B263" s="5">
        <f t="shared" si="44"/>
        <v>251</v>
      </c>
      <c r="C263" s="5"/>
      <c r="E263" s="13"/>
      <c r="F263" s="5"/>
      <c r="G263" s="11" t="str">
        <f>IF(ISERROR(AVERAGE(F$13:F263)),"n/a",AVERAGE(F$13:F263))</f>
        <v>n/a</v>
      </c>
      <c r="H263" s="11" t="str">
        <f t="shared" si="40"/>
        <v>n/a</v>
      </c>
      <c r="J263" s="5"/>
      <c r="K263" s="5"/>
      <c r="L263" s="5"/>
      <c r="M263" s="5"/>
      <c r="N263" s="5"/>
      <c r="O263" s="8" t="str">
        <f t="shared" si="38"/>
        <v>n/a</v>
      </c>
      <c r="Q263" s="5"/>
      <c r="R263" s="5"/>
      <c r="S263" s="5"/>
      <c r="U263" s="6"/>
      <c r="V263" s="9" t="str">
        <f t="shared" si="41"/>
        <v/>
      </c>
      <c r="W263" s="9" t="str">
        <f t="shared" si="42"/>
        <v/>
      </c>
      <c r="X263" s="10">
        <f>SUM(V$13:V263)/COUNTA(B$13:B263)</f>
        <v>0</v>
      </c>
      <c r="Z263" s="5"/>
      <c r="AA263" s="5"/>
      <c r="AC263" s="7"/>
      <c r="AE263" s="54" t="e">
        <f t="shared" si="43"/>
        <v>#N/A</v>
      </c>
      <c r="AF263" s="4" t="e">
        <f t="shared" si="39"/>
        <v>#N/A</v>
      </c>
    </row>
    <row r="264" spans="2:32">
      <c r="B264" s="5">
        <f t="shared" si="44"/>
        <v>252</v>
      </c>
      <c r="C264" s="5"/>
      <c r="E264" s="13"/>
      <c r="F264" s="5"/>
      <c r="G264" s="11" t="str">
        <f>IF(ISERROR(AVERAGE(F$13:F264)),"n/a",AVERAGE(F$13:F264))</f>
        <v>n/a</v>
      </c>
      <c r="H264" s="11" t="str">
        <f t="shared" si="40"/>
        <v>n/a</v>
      </c>
      <c r="J264" s="5"/>
      <c r="K264" s="5"/>
      <c r="L264" s="5"/>
      <c r="M264" s="5"/>
      <c r="N264" s="5"/>
      <c r="O264" s="8" t="str">
        <f t="shared" si="38"/>
        <v>n/a</v>
      </c>
      <c r="Q264" s="5"/>
      <c r="R264" s="5"/>
      <c r="S264" s="5"/>
      <c r="U264" s="6"/>
      <c r="V264" s="9" t="str">
        <f t="shared" si="41"/>
        <v/>
      </c>
      <c r="W264" s="9" t="str">
        <f t="shared" si="42"/>
        <v/>
      </c>
      <c r="X264" s="10">
        <f>SUM(V$13:V264)/COUNTA(B$13:B264)</f>
        <v>0</v>
      </c>
      <c r="Z264" s="5"/>
      <c r="AA264" s="5"/>
      <c r="AC264" s="7"/>
      <c r="AE264" s="54" t="e">
        <f t="shared" si="43"/>
        <v>#N/A</v>
      </c>
      <c r="AF264" s="4" t="e">
        <f t="shared" si="39"/>
        <v>#N/A</v>
      </c>
    </row>
    <row r="265" spans="2:32">
      <c r="B265" s="5">
        <f t="shared" si="44"/>
        <v>253</v>
      </c>
      <c r="C265" s="5"/>
      <c r="E265" s="13"/>
      <c r="F265" s="5"/>
      <c r="G265" s="11" t="str">
        <f>IF(ISERROR(AVERAGE(F$13:F265)),"n/a",AVERAGE(F$13:F265))</f>
        <v>n/a</v>
      </c>
      <c r="H265" s="11" t="str">
        <f t="shared" si="40"/>
        <v>n/a</v>
      </c>
      <c r="J265" s="5"/>
      <c r="K265" s="5"/>
      <c r="L265" s="5"/>
      <c r="M265" s="5"/>
      <c r="N265" s="5"/>
      <c r="O265" s="8" t="str">
        <f t="shared" si="38"/>
        <v>n/a</v>
      </c>
      <c r="Q265" s="5"/>
      <c r="R265" s="5"/>
      <c r="S265" s="5"/>
      <c r="U265" s="6"/>
      <c r="V265" s="9" t="str">
        <f t="shared" si="41"/>
        <v/>
      </c>
      <c r="W265" s="9" t="str">
        <f t="shared" si="42"/>
        <v/>
      </c>
      <c r="X265" s="10">
        <f>SUM(V$13:V265)/COUNTA(B$13:B265)</f>
        <v>0</v>
      </c>
      <c r="Z265" s="5"/>
      <c r="AA265" s="5"/>
      <c r="AC265" s="7"/>
      <c r="AE265" s="54" t="e">
        <f t="shared" si="43"/>
        <v>#N/A</v>
      </c>
      <c r="AF265" s="4" t="e">
        <f t="shared" si="39"/>
        <v>#N/A</v>
      </c>
    </row>
    <row r="266" spans="2:32">
      <c r="B266" s="5">
        <f t="shared" si="44"/>
        <v>254</v>
      </c>
      <c r="C266" s="5"/>
      <c r="E266" s="13"/>
      <c r="F266" s="5"/>
      <c r="G266" s="11" t="str">
        <f>IF(ISERROR(AVERAGE(F$13:F266)),"n/a",AVERAGE(F$13:F266))</f>
        <v>n/a</v>
      </c>
      <c r="H266" s="11" t="str">
        <f t="shared" si="40"/>
        <v>n/a</v>
      </c>
      <c r="J266" s="5"/>
      <c r="K266" s="5"/>
      <c r="L266" s="5"/>
      <c r="M266" s="5"/>
      <c r="N266" s="5"/>
      <c r="O266" s="8" t="str">
        <f t="shared" si="38"/>
        <v>n/a</v>
      </c>
      <c r="Q266" s="5"/>
      <c r="R266" s="5"/>
      <c r="S266" s="5"/>
      <c r="U266" s="6"/>
      <c r="V266" s="9" t="str">
        <f t="shared" si="41"/>
        <v/>
      </c>
      <c r="W266" s="9" t="str">
        <f t="shared" si="42"/>
        <v/>
      </c>
      <c r="X266" s="10">
        <f>SUM(V$13:V266)/COUNTA(B$13:B266)</f>
        <v>0</v>
      </c>
      <c r="Z266" s="5"/>
      <c r="AA266" s="5"/>
      <c r="AC266" s="7"/>
      <c r="AE266" s="54" t="e">
        <f t="shared" si="43"/>
        <v>#N/A</v>
      </c>
      <c r="AF266" s="4" t="e">
        <f t="shared" si="39"/>
        <v>#N/A</v>
      </c>
    </row>
    <row r="267" spans="2:32">
      <c r="B267" s="5">
        <f t="shared" si="44"/>
        <v>255</v>
      </c>
      <c r="C267" s="5"/>
      <c r="E267" s="13"/>
      <c r="F267" s="5"/>
      <c r="G267" s="11" t="str">
        <f>IF(ISERROR(AVERAGE(F$13:F267)),"n/a",AVERAGE(F$13:F267))</f>
        <v>n/a</v>
      </c>
      <c r="H267" s="11" t="str">
        <f t="shared" si="40"/>
        <v>n/a</v>
      </c>
      <c r="J267" s="5"/>
      <c r="K267" s="5"/>
      <c r="L267" s="5"/>
      <c r="M267" s="5"/>
      <c r="N267" s="5"/>
      <c r="O267" s="8" t="str">
        <f t="shared" si="38"/>
        <v>n/a</v>
      </c>
      <c r="Q267" s="5"/>
      <c r="R267" s="5"/>
      <c r="S267" s="5"/>
      <c r="U267" s="6"/>
      <c r="V267" s="9" t="str">
        <f t="shared" si="41"/>
        <v/>
      </c>
      <c r="W267" s="9" t="str">
        <f t="shared" si="42"/>
        <v/>
      </c>
      <c r="X267" s="10">
        <f>SUM(V$13:V267)/COUNTA(B$13:B267)</f>
        <v>0</v>
      </c>
      <c r="Z267" s="5"/>
      <c r="AA267" s="5"/>
      <c r="AC267" s="7"/>
      <c r="AE267" s="54" t="e">
        <f t="shared" si="43"/>
        <v>#N/A</v>
      </c>
      <c r="AF267" s="4" t="e">
        <f t="shared" si="39"/>
        <v>#N/A</v>
      </c>
    </row>
    <row r="268" spans="2:32">
      <c r="B268" s="5">
        <f t="shared" si="44"/>
        <v>256</v>
      </c>
      <c r="C268" s="5"/>
      <c r="E268" s="13"/>
      <c r="F268" s="5"/>
      <c r="G268" s="11" t="str">
        <f>IF(ISERROR(AVERAGE(F$13:F268)),"n/a",AVERAGE(F$13:F268))</f>
        <v>n/a</v>
      </c>
      <c r="H268" s="11" t="str">
        <f t="shared" si="40"/>
        <v>n/a</v>
      </c>
      <c r="J268" s="5"/>
      <c r="K268" s="5"/>
      <c r="L268" s="5"/>
      <c r="M268" s="5"/>
      <c r="N268" s="5"/>
      <c r="O268" s="8" t="str">
        <f t="shared" si="38"/>
        <v>n/a</v>
      </c>
      <c r="Q268" s="5"/>
      <c r="R268" s="5"/>
      <c r="S268" s="5"/>
      <c r="U268" s="6"/>
      <c r="V268" s="9" t="str">
        <f t="shared" si="41"/>
        <v/>
      </c>
      <c r="W268" s="9" t="str">
        <f t="shared" si="42"/>
        <v/>
      </c>
      <c r="X268" s="10">
        <f>SUM(V$13:V268)/COUNTA(B$13:B268)</f>
        <v>0</v>
      </c>
      <c r="Z268" s="5"/>
      <c r="AA268" s="5"/>
      <c r="AC268" s="7"/>
      <c r="AE268" s="54" t="e">
        <f t="shared" si="43"/>
        <v>#N/A</v>
      </c>
      <c r="AF268" s="4" t="e">
        <f t="shared" si="39"/>
        <v>#N/A</v>
      </c>
    </row>
    <row r="269" spans="2:32">
      <c r="B269" s="5">
        <f t="shared" si="44"/>
        <v>257</v>
      </c>
      <c r="C269" s="5"/>
      <c r="E269" s="13"/>
      <c r="F269" s="5"/>
      <c r="G269" s="11" t="str">
        <f>IF(ISERROR(AVERAGE(F$13:F269)),"n/a",AVERAGE(F$13:F269))</f>
        <v>n/a</v>
      </c>
      <c r="H269" s="11" t="str">
        <f t="shared" si="40"/>
        <v>n/a</v>
      </c>
      <c r="J269" s="5"/>
      <c r="K269" s="5"/>
      <c r="L269" s="5"/>
      <c r="M269" s="5"/>
      <c r="N269" s="5"/>
      <c r="O269" s="8" t="str">
        <f t="shared" ref="O269:O332" si="45">IF(J269=1,"A",IF(K269=1,"B",IF(L269=1,"C",IF(M269=1,"D",IF(N269=1,"E","n/a")))))</f>
        <v>n/a</v>
      </c>
      <c r="Q269" s="5"/>
      <c r="R269" s="5"/>
      <c r="S269" s="5"/>
      <c r="U269" s="6"/>
      <c r="V269" s="9" t="str">
        <f t="shared" si="41"/>
        <v/>
      </c>
      <c r="W269" s="9" t="str">
        <f t="shared" si="42"/>
        <v/>
      </c>
      <c r="X269" s="10">
        <f>SUM(V$13:V269)/COUNTA(B$13:B269)</f>
        <v>0</v>
      </c>
      <c r="Z269" s="5"/>
      <c r="AA269" s="5"/>
      <c r="AC269" s="7"/>
      <c r="AE269" s="54" t="e">
        <f t="shared" si="43"/>
        <v>#N/A</v>
      </c>
      <c r="AF269" s="4" t="e">
        <f t="shared" ref="AF269:AF332" si="46">HLOOKUP(C269,$K$6:$O$7,2,FALSE)</f>
        <v>#N/A</v>
      </c>
    </row>
    <row r="270" spans="2:32">
      <c r="B270" s="5">
        <f t="shared" si="44"/>
        <v>258</v>
      </c>
      <c r="C270" s="5"/>
      <c r="E270" s="13"/>
      <c r="F270" s="5"/>
      <c r="G270" s="11" t="str">
        <f>IF(ISERROR(AVERAGE(F$13:F270)),"n/a",AVERAGE(F$13:F270))</f>
        <v>n/a</v>
      </c>
      <c r="H270" s="11" t="str">
        <f t="shared" ref="H270:H333" si="47">G270</f>
        <v>n/a</v>
      </c>
      <c r="J270" s="5"/>
      <c r="K270" s="5"/>
      <c r="L270" s="5"/>
      <c r="M270" s="5"/>
      <c r="N270" s="5"/>
      <c r="O270" s="8" t="str">
        <f t="shared" si="45"/>
        <v>n/a</v>
      </c>
      <c r="Q270" s="5"/>
      <c r="R270" s="5"/>
      <c r="S270" s="5"/>
      <c r="U270" s="6"/>
      <c r="V270" s="9" t="str">
        <f t="shared" ref="V270:V333" si="48">IF(O270="n/a","",IF(O270=U270,1,""))</f>
        <v/>
      </c>
      <c r="W270" s="9" t="str">
        <f t="shared" ref="W270:W333" si="49">IF(O270="n/a","",IF(O270&lt;&gt;U270,1,""))</f>
        <v/>
      </c>
      <c r="X270" s="10">
        <f>SUM(V$13:V270)/COUNTA(B$13:B270)</f>
        <v>0</v>
      </c>
      <c r="Z270" s="5"/>
      <c r="AA270" s="5"/>
      <c r="AC270" s="7"/>
      <c r="AE270" s="54" t="e">
        <f t="shared" ref="AE270:AE333" si="50">+IF($F$4=0,0,IF(W270=1,1,IF(OR(R270*$F$8=1,S270*$F$9=1,F270&gt;=AF270),2,0)))</f>
        <v>#N/A</v>
      </c>
      <c r="AF270" s="4" t="e">
        <f t="shared" si="46"/>
        <v>#N/A</v>
      </c>
    </row>
    <row r="271" spans="2:32">
      <c r="B271" s="5">
        <f t="shared" si="44"/>
        <v>259</v>
      </c>
      <c r="C271" s="5"/>
      <c r="E271" s="13"/>
      <c r="F271" s="5"/>
      <c r="G271" s="11" t="str">
        <f>IF(ISERROR(AVERAGE(F$13:F271)),"n/a",AVERAGE(F$13:F271))</f>
        <v>n/a</v>
      </c>
      <c r="H271" s="11" t="str">
        <f t="shared" si="47"/>
        <v>n/a</v>
      </c>
      <c r="J271" s="5"/>
      <c r="K271" s="5"/>
      <c r="L271" s="5"/>
      <c r="M271" s="5"/>
      <c r="N271" s="5"/>
      <c r="O271" s="8" t="str">
        <f t="shared" si="45"/>
        <v>n/a</v>
      </c>
      <c r="Q271" s="5"/>
      <c r="R271" s="5"/>
      <c r="S271" s="5"/>
      <c r="U271" s="6"/>
      <c r="V271" s="9" t="str">
        <f t="shared" si="48"/>
        <v/>
      </c>
      <c r="W271" s="9" t="str">
        <f t="shared" si="49"/>
        <v/>
      </c>
      <c r="X271" s="10">
        <f>SUM(V$13:V271)/COUNTA(B$13:B271)</f>
        <v>0</v>
      </c>
      <c r="Z271" s="5"/>
      <c r="AA271" s="5"/>
      <c r="AC271" s="7"/>
      <c r="AE271" s="54" t="e">
        <f t="shared" si="50"/>
        <v>#N/A</v>
      </c>
      <c r="AF271" s="4" t="e">
        <f t="shared" si="46"/>
        <v>#N/A</v>
      </c>
    </row>
    <row r="272" spans="2:32">
      <c r="B272" s="5">
        <f t="shared" si="44"/>
        <v>260</v>
      </c>
      <c r="C272" s="5"/>
      <c r="E272" s="13"/>
      <c r="F272" s="5"/>
      <c r="G272" s="11" t="str">
        <f>IF(ISERROR(AVERAGE(F$13:F272)),"n/a",AVERAGE(F$13:F272))</f>
        <v>n/a</v>
      </c>
      <c r="H272" s="11" t="str">
        <f t="shared" si="47"/>
        <v>n/a</v>
      </c>
      <c r="J272" s="5"/>
      <c r="K272" s="5"/>
      <c r="L272" s="5"/>
      <c r="M272" s="5"/>
      <c r="N272" s="5"/>
      <c r="O272" s="8" t="str">
        <f t="shared" si="45"/>
        <v>n/a</v>
      </c>
      <c r="Q272" s="5"/>
      <c r="R272" s="5"/>
      <c r="S272" s="5"/>
      <c r="U272" s="6"/>
      <c r="V272" s="9" t="str">
        <f t="shared" si="48"/>
        <v/>
      </c>
      <c r="W272" s="9" t="str">
        <f t="shared" si="49"/>
        <v/>
      </c>
      <c r="X272" s="10">
        <f>SUM(V$13:V272)/COUNTA(B$13:B272)</f>
        <v>0</v>
      </c>
      <c r="Z272" s="5"/>
      <c r="AA272" s="5"/>
      <c r="AC272" s="7"/>
      <c r="AE272" s="54" t="e">
        <f t="shared" si="50"/>
        <v>#N/A</v>
      </c>
      <c r="AF272" s="4" t="e">
        <f t="shared" si="46"/>
        <v>#N/A</v>
      </c>
    </row>
    <row r="273" spans="2:32">
      <c r="B273" s="5">
        <f t="shared" si="44"/>
        <v>261</v>
      </c>
      <c r="C273" s="5"/>
      <c r="E273" s="13"/>
      <c r="F273" s="5"/>
      <c r="G273" s="11" t="str">
        <f>IF(ISERROR(AVERAGE(F$13:F273)),"n/a",AVERAGE(F$13:F273))</f>
        <v>n/a</v>
      </c>
      <c r="H273" s="11" t="str">
        <f t="shared" si="47"/>
        <v>n/a</v>
      </c>
      <c r="J273" s="5"/>
      <c r="K273" s="5"/>
      <c r="L273" s="5"/>
      <c r="M273" s="5"/>
      <c r="N273" s="5"/>
      <c r="O273" s="8" t="str">
        <f t="shared" si="45"/>
        <v>n/a</v>
      </c>
      <c r="Q273" s="5"/>
      <c r="R273" s="5"/>
      <c r="S273" s="5"/>
      <c r="U273" s="6"/>
      <c r="V273" s="9" t="str">
        <f t="shared" si="48"/>
        <v/>
      </c>
      <c r="W273" s="9" t="str">
        <f t="shared" si="49"/>
        <v/>
      </c>
      <c r="X273" s="10">
        <f>SUM(V$13:V273)/COUNTA(B$13:B273)</f>
        <v>0</v>
      </c>
      <c r="Z273" s="5"/>
      <c r="AA273" s="5"/>
      <c r="AC273" s="7"/>
      <c r="AE273" s="54" t="e">
        <f t="shared" si="50"/>
        <v>#N/A</v>
      </c>
      <c r="AF273" s="4" t="e">
        <f t="shared" si="46"/>
        <v>#N/A</v>
      </c>
    </row>
    <row r="274" spans="2:32">
      <c r="B274" s="5">
        <f t="shared" si="44"/>
        <v>262</v>
      </c>
      <c r="C274" s="5"/>
      <c r="E274" s="13"/>
      <c r="F274" s="5"/>
      <c r="G274" s="11" t="str">
        <f>IF(ISERROR(AVERAGE(F$13:F274)),"n/a",AVERAGE(F$13:F274))</f>
        <v>n/a</v>
      </c>
      <c r="H274" s="11" t="str">
        <f t="shared" si="47"/>
        <v>n/a</v>
      </c>
      <c r="J274" s="5"/>
      <c r="K274" s="5"/>
      <c r="L274" s="5"/>
      <c r="M274" s="5"/>
      <c r="N274" s="5"/>
      <c r="O274" s="8" t="str">
        <f t="shared" si="45"/>
        <v>n/a</v>
      </c>
      <c r="Q274" s="5"/>
      <c r="R274" s="5"/>
      <c r="S274" s="5"/>
      <c r="U274" s="6"/>
      <c r="V274" s="9" t="str">
        <f t="shared" si="48"/>
        <v/>
      </c>
      <c r="W274" s="9" t="str">
        <f t="shared" si="49"/>
        <v/>
      </c>
      <c r="X274" s="10">
        <f>SUM(V$13:V274)/COUNTA(B$13:B274)</f>
        <v>0</v>
      </c>
      <c r="Z274" s="5"/>
      <c r="AA274" s="5"/>
      <c r="AC274" s="7"/>
      <c r="AE274" s="54" t="e">
        <f t="shared" si="50"/>
        <v>#N/A</v>
      </c>
      <c r="AF274" s="4" t="e">
        <f t="shared" si="46"/>
        <v>#N/A</v>
      </c>
    </row>
    <row r="275" spans="2:32">
      <c r="B275" s="5">
        <f t="shared" ref="B275:B338" si="51">+B274+1</f>
        <v>263</v>
      </c>
      <c r="C275" s="5"/>
      <c r="E275" s="13"/>
      <c r="F275" s="5"/>
      <c r="G275" s="11" t="str">
        <f>IF(ISERROR(AVERAGE(F$13:F275)),"n/a",AVERAGE(F$13:F275))</f>
        <v>n/a</v>
      </c>
      <c r="H275" s="11" t="str">
        <f t="shared" si="47"/>
        <v>n/a</v>
      </c>
      <c r="J275" s="5"/>
      <c r="K275" s="5"/>
      <c r="L275" s="5"/>
      <c r="M275" s="5"/>
      <c r="N275" s="5"/>
      <c r="O275" s="8" t="str">
        <f t="shared" si="45"/>
        <v>n/a</v>
      </c>
      <c r="Q275" s="5"/>
      <c r="R275" s="5"/>
      <c r="S275" s="5"/>
      <c r="U275" s="6"/>
      <c r="V275" s="9" t="str">
        <f t="shared" si="48"/>
        <v/>
      </c>
      <c r="W275" s="9" t="str">
        <f t="shared" si="49"/>
        <v/>
      </c>
      <c r="X275" s="10">
        <f>SUM(V$13:V275)/COUNTA(B$13:B275)</f>
        <v>0</v>
      </c>
      <c r="Z275" s="5"/>
      <c r="AA275" s="5"/>
      <c r="AC275" s="7"/>
      <c r="AE275" s="54" t="e">
        <f t="shared" si="50"/>
        <v>#N/A</v>
      </c>
      <c r="AF275" s="4" t="e">
        <f t="shared" si="46"/>
        <v>#N/A</v>
      </c>
    </row>
    <row r="276" spans="2:32">
      <c r="B276" s="5">
        <f t="shared" si="51"/>
        <v>264</v>
      </c>
      <c r="C276" s="5"/>
      <c r="E276" s="13"/>
      <c r="F276" s="5"/>
      <c r="G276" s="11" t="str">
        <f>IF(ISERROR(AVERAGE(F$13:F276)),"n/a",AVERAGE(F$13:F276))</f>
        <v>n/a</v>
      </c>
      <c r="H276" s="11" t="str">
        <f t="shared" si="47"/>
        <v>n/a</v>
      </c>
      <c r="J276" s="5"/>
      <c r="K276" s="5"/>
      <c r="L276" s="5"/>
      <c r="M276" s="5"/>
      <c r="N276" s="5"/>
      <c r="O276" s="8" t="str">
        <f t="shared" si="45"/>
        <v>n/a</v>
      </c>
      <c r="Q276" s="5"/>
      <c r="R276" s="5"/>
      <c r="S276" s="5"/>
      <c r="U276" s="6"/>
      <c r="V276" s="9" t="str">
        <f t="shared" si="48"/>
        <v/>
      </c>
      <c r="W276" s="9" t="str">
        <f t="shared" si="49"/>
        <v/>
      </c>
      <c r="X276" s="10">
        <f>SUM(V$13:V276)/COUNTA(B$13:B276)</f>
        <v>0</v>
      </c>
      <c r="Z276" s="5"/>
      <c r="AA276" s="5"/>
      <c r="AC276" s="7"/>
      <c r="AE276" s="54" t="e">
        <f t="shared" si="50"/>
        <v>#N/A</v>
      </c>
      <c r="AF276" s="4" t="e">
        <f t="shared" si="46"/>
        <v>#N/A</v>
      </c>
    </row>
    <row r="277" spans="2:32">
      <c r="B277" s="5">
        <f t="shared" si="51"/>
        <v>265</v>
      </c>
      <c r="C277" s="5"/>
      <c r="E277" s="13"/>
      <c r="F277" s="5"/>
      <c r="G277" s="11" t="str">
        <f>IF(ISERROR(AVERAGE(F$13:F277)),"n/a",AVERAGE(F$13:F277))</f>
        <v>n/a</v>
      </c>
      <c r="H277" s="11" t="str">
        <f t="shared" si="47"/>
        <v>n/a</v>
      </c>
      <c r="J277" s="5"/>
      <c r="K277" s="5"/>
      <c r="L277" s="5"/>
      <c r="M277" s="5"/>
      <c r="N277" s="5"/>
      <c r="O277" s="8" t="str">
        <f t="shared" si="45"/>
        <v>n/a</v>
      </c>
      <c r="Q277" s="5"/>
      <c r="R277" s="5"/>
      <c r="S277" s="5"/>
      <c r="U277" s="6"/>
      <c r="V277" s="9" t="str">
        <f t="shared" si="48"/>
        <v/>
      </c>
      <c r="W277" s="9" t="str">
        <f t="shared" si="49"/>
        <v/>
      </c>
      <c r="X277" s="10">
        <f>SUM(V$13:V277)/COUNTA(B$13:B277)</f>
        <v>0</v>
      </c>
      <c r="Z277" s="5"/>
      <c r="AA277" s="5"/>
      <c r="AC277" s="7"/>
      <c r="AE277" s="54" t="e">
        <f t="shared" si="50"/>
        <v>#N/A</v>
      </c>
      <c r="AF277" s="4" t="e">
        <f t="shared" si="46"/>
        <v>#N/A</v>
      </c>
    </row>
    <row r="278" spans="2:32">
      <c r="B278" s="5">
        <f t="shared" si="51"/>
        <v>266</v>
      </c>
      <c r="C278" s="5"/>
      <c r="E278" s="13"/>
      <c r="F278" s="5"/>
      <c r="G278" s="11" t="str">
        <f>IF(ISERROR(AVERAGE(F$13:F278)),"n/a",AVERAGE(F$13:F278))</f>
        <v>n/a</v>
      </c>
      <c r="H278" s="11" t="str">
        <f t="shared" si="47"/>
        <v>n/a</v>
      </c>
      <c r="J278" s="5"/>
      <c r="K278" s="5"/>
      <c r="L278" s="5"/>
      <c r="M278" s="5"/>
      <c r="N278" s="5"/>
      <c r="O278" s="8" t="str">
        <f t="shared" si="45"/>
        <v>n/a</v>
      </c>
      <c r="Q278" s="5"/>
      <c r="R278" s="5"/>
      <c r="S278" s="5"/>
      <c r="U278" s="6"/>
      <c r="V278" s="9" t="str">
        <f t="shared" si="48"/>
        <v/>
      </c>
      <c r="W278" s="9" t="str">
        <f t="shared" si="49"/>
        <v/>
      </c>
      <c r="X278" s="10">
        <f>SUM(V$13:V278)/COUNTA(B$13:B278)</f>
        <v>0</v>
      </c>
      <c r="Z278" s="5"/>
      <c r="AA278" s="5"/>
      <c r="AC278" s="7"/>
      <c r="AE278" s="54" t="e">
        <f t="shared" si="50"/>
        <v>#N/A</v>
      </c>
      <c r="AF278" s="4" t="e">
        <f t="shared" si="46"/>
        <v>#N/A</v>
      </c>
    </row>
    <row r="279" spans="2:32">
      <c r="B279" s="5">
        <f t="shared" si="51"/>
        <v>267</v>
      </c>
      <c r="C279" s="5"/>
      <c r="E279" s="13"/>
      <c r="F279" s="5"/>
      <c r="G279" s="11" t="str">
        <f>IF(ISERROR(AVERAGE(F$13:F279)),"n/a",AVERAGE(F$13:F279))</f>
        <v>n/a</v>
      </c>
      <c r="H279" s="11" t="str">
        <f t="shared" si="47"/>
        <v>n/a</v>
      </c>
      <c r="J279" s="5"/>
      <c r="K279" s="5"/>
      <c r="L279" s="5"/>
      <c r="M279" s="5"/>
      <c r="N279" s="5"/>
      <c r="O279" s="8" t="str">
        <f t="shared" si="45"/>
        <v>n/a</v>
      </c>
      <c r="Q279" s="5"/>
      <c r="R279" s="5"/>
      <c r="S279" s="5"/>
      <c r="U279" s="6"/>
      <c r="V279" s="9" t="str">
        <f t="shared" si="48"/>
        <v/>
      </c>
      <c r="W279" s="9" t="str">
        <f t="shared" si="49"/>
        <v/>
      </c>
      <c r="X279" s="10">
        <f>SUM(V$13:V279)/COUNTA(B$13:B279)</f>
        <v>0</v>
      </c>
      <c r="Z279" s="5"/>
      <c r="AA279" s="5"/>
      <c r="AC279" s="7"/>
      <c r="AE279" s="54" t="e">
        <f t="shared" si="50"/>
        <v>#N/A</v>
      </c>
      <c r="AF279" s="4" t="e">
        <f t="shared" si="46"/>
        <v>#N/A</v>
      </c>
    </row>
    <row r="280" spans="2:32">
      <c r="B280" s="5">
        <f t="shared" si="51"/>
        <v>268</v>
      </c>
      <c r="C280" s="5"/>
      <c r="E280" s="13"/>
      <c r="F280" s="5"/>
      <c r="G280" s="11" t="str">
        <f>IF(ISERROR(AVERAGE(F$13:F280)),"n/a",AVERAGE(F$13:F280))</f>
        <v>n/a</v>
      </c>
      <c r="H280" s="11" t="str">
        <f t="shared" si="47"/>
        <v>n/a</v>
      </c>
      <c r="J280" s="5"/>
      <c r="K280" s="5"/>
      <c r="L280" s="5"/>
      <c r="M280" s="5"/>
      <c r="N280" s="5"/>
      <c r="O280" s="8" t="str">
        <f t="shared" si="45"/>
        <v>n/a</v>
      </c>
      <c r="Q280" s="5"/>
      <c r="R280" s="5"/>
      <c r="S280" s="5"/>
      <c r="U280" s="6"/>
      <c r="V280" s="9" t="str">
        <f t="shared" si="48"/>
        <v/>
      </c>
      <c r="W280" s="9" t="str">
        <f t="shared" si="49"/>
        <v/>
      </c>
      <c r="X280" s="10">
        <f>SUM(V$13:V280)/COUNTA(B$13:B280)</f>
        <v>0</v>
      </c>
      <c r="Z280" s="5"/>
      <c r="AA280" s="5"/>
      <c r="AC280" s="7"/>
      <c r="AE280" s="54" t="e">
        <f t="shared" si="50"/>
        <v>#N/A</v>
      </c>
      <c r="AF280" s="4" t="e">
        <f t="shared" si="46"/>
        <v>#N/A</v>
      </c>
    </row>
    <row r="281" spans="2:32">
      <c r="B281" s="5">
        <f t="shared" si="51"/>
        <v>269</v>
      </c>
      <c r="C281" s="5"/>
      <c r="E281" s="13"/>
      <c r="F281" s="5"/>
      <c r="G281" s="11" t="str">
        <f>IF(ISERROR(AVERAGE(F$13:F281)),"n/a",AVERAGE(F$13:F281))</f>
        <v>n/a</v>
      </c>
      <c r="H281" s="11" t="str">
        <f t="shared" si="47"/>
        <v>n/a</v>
      </c>
      <c r="J281" s="5"/>
      <c r="K281" s="5"/>
      <c r="L281" s="5"/>
      <c r="M281" s="5"/>
      <c r="N281" s="5"/>
      <c r="O281" s="8" t="str">
        <f t="shared" si="45"/>
        <v>n/a</v>
      </c>
      <c r="Q281" s="5"/>
      <c r="R281" s="5"/>
      <c r="S281" s="5"/>
      <c r="U281" s="6"/>
      <c r="V281" s="9" t="str">
        <f t="shared" si="48"/>
        <v/>
      </c>
      <c r="W281" s="9" t="str">
        <f t="shared" si="49"/>
        <v/>
      </c>
      <c r="X281" s="10">
        <f>SUM(V$13:V281)/COUNTA(B$13:B281)</f>
        <v>0</v>
      </c>
      <c r="Z281" s="5"/>
      <c r="AA281" s="5"/>
      <c r="AC281" s="7"/>
      <c r="AE281" s="54" t="e">
        <f t="shared" si="50"/>
        <v>#N/A</v>
      </c>
      <c r="AF281" s="4" t="e">
        <f t="shared" si="46"/>
        <v>#N/A</v>
      </c>
    </row>
    <row r="282" spans="2:32">
      <c r="B282" s="5">
        <f t="shared" si="51"/>
        <v>270</v>
      </c>
      <c r="C282" s="5"/>
      <c r="E282" s="13"/>
      <c r="F282" s="5"/>
      <c r="G282" s="11" t="str">
        <f>IF(ISERROR(AVERAGE(F$13:F282)),"n/a",AVERAGE(F$13:F282))</f>
        <v>n/a</v>
      </c>
      <c r="H282" s="11" t="str">
        <f t="shared" si="47"/>
        <v>n/a</v>
      </c>
      <c r="J282" s="5"/>
      <c r="K282" s="5"/>
      <c r="L282" s="5"/>
      <c r="M282" s="5"/>
      <c r="N282" s="5"/>
      <c r="O282" s="8" t="str">
        <f t="shared" si="45"/>
        <v>n/a</v>
      </c>
      <c r="Q282" s="5"/>
      <c r="R282" s="5"/>
      <c r="S282" s="5"/>
      <c r="U282" s="6"/>
      <c r="V282" s="9" t="str">
        <f t="shared" si="48"/>
        <v/>
      </c>
      <c r="W282" s="9" t="str">
        <f t="shared" si="49"/>
        <v/>
      </c>
      <c r="X282" s="10">
        <f>SUM(V$13:V282)/COUNTA(B$13:B282)</f>
        <v>0</v>
      </c>
      <c r="Z282" s="5"/>
      <c r="AA282" s="5"/>
      <c r="AC282" s="7"/>
      <c r="AE282" s="54" t="e">
        <f t="shared" si="50"/>
        <v>#N/A</v>
      </c>
      <c r="AF282" s="4" t="e">
        <f t="shared" si="46"/>
        <v>#N/A</v>
      </c>
    </row>
    <row r="283" spans="2:32">
      <c r="B283" s="5">
        <f t="shared" si="51"/>
        <v>271</v>
      </c>
      <c r="C283" s="5"/>
      <c r="E283" s="13"/>
      <c r="F283" s="5"/>
      <c r="G283" s="11" t="str">
        <f>IF(ISERROR(AVERAGE(F$13:F283)),"n/a",AVERAGE(F$13:F283))</f>
        <v>n/a</v>
      </c>
      <c r="H283" s="11" t="str">
        <f t="shared" si="47"/>
        <v>n/a</v>
      </c>
      <c r="J283" s="5"/>
      <c r="K283" s="5"/>
      <c r="L283" s="5"/>
      <c r="M283" s="5"/>
      <c r="N283" s="5"/>
      <c r="O283" s="8" t="str">
        <f t="shared" si="45"/>
        <v>n/a</v>
      </c>
      <c r="Q283" s="5"/>
      <c r="R283" s="5"/>
      <c r="S283" s="5"/>
      <c r="U283" s="6"/>
      <c r="V283" s="9" t="str">
        <f t="shared" si="48"/>
        <v/>
      </c>
      <c r="W283" s="9" t="str">
        <f t="shared" si="49"/>
        <v/>
      </c>
      <c r="X283" s="10">
        <f>SUM(V$13:V283)/COUNTA(B$13:B283)</f>
        <v>0</v>
      </c>
      <c r="Z283" s="5"/>
      <c r="AA283" s="5"/>
      <c r="AC283" s="7"/>
      <c r="AE283" s="54" t="e">
        <f t="shared" si="50"/>
        <v>#N/A</v>
      </c>
      <c r="AF283" s="4" t="e">
        <f t="shared" si="46"/>
        <v>#N/A</v>
      </c>
    </row>
    <row r="284" spans="2:32">
      <c r="B284" s="5">
        <f t="shared" si="51"/>
        <v>272</v>
      </c>
      <c r="C284" s="5"/>
      <c r="E284" s="13"/>
      <c r="F284" s="5"/>
      <c r="G284" s="11" t="str">
        <f>IF(ISERROR(AVERAGE(F$13:F284)),"n/a",AVERAGE(F$13:F284))</f>
        <v>n/a</v>
      </c>
      <c r="H284" s="11" t="str">
        <f t="shared" si="47"/>
        <v>n/a</v>
      </c>
      <c r="J284" s="5"/>
      <c r="K284" s="5"/>
      <c r="L284" s="5"/>
      <c r="M284" s="5"/>
      <c r="N284" s="5"/>
      <c r="O284" s="8" t="str">
        <f t="shared" si="45"/>
        <v>n/a</v>
      </c>
      <c r="Q284" s="5"/>
      <c r="R284" s="5"/>
      <c r="S284" s="5"/>
      <c r="U284" s="6"/>
      <c r="V284" s="9" t="str">
        <f t="shared" si="48"/>
        <v/>
      </c>
      <c r="W284" s="9" t="str">
        <f t="shared" si="49"/>
        <v/>
      </c>
      <c r="X284" s="10">
        <f>SUM(V$13:V284)/COUNTA(B$13:B284)</f>
        <v>0</v>
      </c>
      <c r="Z284" s="5"/>
      <c r="AA284" s="5"/>
      <c r="AC284" s="7"/>
      <c r="AE284" s="54" t="e">
        <f t="shared" si="50"/>
        <v>#N/A</v>
      </c>
      <c r="AF284" s="4" t="e">
        <f t="shared" si="46"/>
        <v>#N/A</v>
      </c>
    </row>
    <row r="285" spans="2:32">
      <c r="B285" s="5">
        <f t="shared" si="51"/>
        <v>273</v>
      </c>
      <c r="C285" s="5"/>
      <c r="E285" s="13"/>
      <c r="F285" s="5"/>
      <c r="G285" s="11" t="str">
        <f>IF(ISERROR(AVERAGE(F$13:F285)),"n/a",AVERAGE(F$13:F285))</f>
        <v>n/a</v>
      </c>
      <c r="H285" s="11" t="str">
        <f t="shared" si="47"/>
        <v>n/a</v>
      </c>
      <c r="J285" s="5"/>
      <c r="K285" s="5"/>
      <c r="L285" s="5"/>
      <c r="M285" s="5"/>
      <c r="N285" s="5"/>
      <c r="O285" s="8" t="str">
        <f t="shared" si="45"/>
        <v>n/a</v>
      </c>
      <c r="Q285" s="5"/>
      <c r="R285" s="5"/>
      <c r="S285" s="5"/>
      <c r="U285" s="6"/>
      <c r="V285" s="9" t="str">
        <f t="shared" si="48"/>
        <v/>
      </c>
      <c r="W285" s="9" t="str">
        <f t="shared" si="49"/>
        <v/>
      </c>
      <c r="X285" s="10">
        <f>SUM(V$13:V285)/COUNTA(B$13:B285)</f>
        <v>0</v>
      </c>
      <c r="Z285" s="5"/>
      <c r="AA285" s="5"/>
      <c r="AC285" s="7"/>
      <c r="AE285" s="54" t="e">
        <f t="shared" si="50"/>
        <v>#N/A</v>
      </c>
      <c r="AF285" s="4" t="e">
        <f t="shared" si="46"/>
        <v>#N/A</v>
      </c>
    </row>
    <row r="286" spans="2:32">
      <c r="B286" s="5">
        <f t="shared" si="51"/>
        <v>274</v>
      </c>
      <c r="C286" s="5"/>
      <c r="E286" s="13"/>
      <c r="F286" s="5"/>
      <c r="G286" s="11" t="str">
        <f>IF(ISERROR(AVERAGE(F$13:F286)),"n/a",AVERAGE(F$13:F286))</f>
        <v>n/a</v>
      </c>
      <c r="H286" s="11" t="str">
        <f t="shared" si="47"/>
        <v>n/a</v>
      </c>
      <c r="J286" s="5"/>
      <c r="K286" s="5"/>
      <c r="L286" s="5"/>
      <c r="M286" s="5"/>
      <c r="N286" s="5"/>
      <c r="O286" s="8" t="str">
        <f t="shared" si="45"/>
        <v>n/a</v>
      </c>
      <c r="Q286" s="5"/>
      <c r="R286" s="5"/>
      <c r="S286" s="5"/>
      <c r="U286" s="6"/>
      <c r="V286" s="9" t="str">
        <f t="shared" si="48"/>
        <v/>
      </c>
      <c r="W286" s="9" t="str">
        <f t="shared" si="49"/>
        <v/>
      </c>
      <c r="X286" s="10">
        <f>SUM(V$13:V286)/COUNTA(B$13:B286)</f>
        <v>0</v>
      </c>
      <c r="Z286" s="5"/>
      <c r="AA286" s="5"/>
      <c r="AC286" s="7"/>
      <c r="AE286" s="54" t="e">
        <f t="shared" si="50"/>
        <v>#N/A</v>
      </c>
      <c r="AF286" s="4" t="e">
        <f t="shared" si="46"/>
        <v>#N/A</v>
      </c>
    </row>
    <row r="287" spans="2:32">
      <c r="B287" s="5">
        <f t="shared" si="51"/>
        <v>275</v>
      </c>
      <c r="C287" s="5"/>
      <c r="E287" s="13"/>
      <c r="F287" s="5"/>
      <c r="G287" s="11" t="str">
        <f>IF(ISERROR(AVERAGE(F$13:F287)),"n/a",AVERAGE(F$13:F287))</f>
        <v>n/a</v>
      </c>
      <c r="H287" s="11" t="str">
        <f t="shared" si="47"/>
        <v>n/a</v>
      </c>
      <c r="J287" s="5"/>
      <c r="K287" s="5"/>
      <c r="L287" s="5"/>
      <c r="M287" s="5"/>
      <c r="N287" s="5"/>
      <c r="O287" s="8" t="str">
        <f t="shared" si="45"/>
        <v>n/a</v>
      </c>
      <c r="Q287" s="5"/>
      <c r="R287" s="5"/>
      <c r="S287" s="5"/>
      <c r="U287" s="6"/>
      <c r="V287" s="9" t="str">
        <f t="shared" si="48"/>
        <v/>
      </c>
      <c r="W287" s="9" t="str">
        <f t="shared" si="49"/>
        <v/>
      </c>
      <c r="X287" s="10">
        <f>SUM(V$13:V287)/COUNTA(B$13:B287)</f>
        <v>0</v>
      </c>
      <c r="Z287" s="5"/>
      <c r="AA287" s="5"/>
      <c r="AC287" s="7"/>
      <c r="AE287" s="54" t="e">
        <f t="shared" si="50"/>
        <v>#N/A</v>
      </c>
      <c r="AF287" s="4" t="e">
        <f t="shared" si="46"/>
        <v>#N/A</v>
      </c>
    </row>
    <row r="288" spans="2:32">
      <c r="B288" s="5">
        <f t="shared" si="51"/>
        <v>276</v>
      </c>
      <c r="C288" s="5"/>
      <c r="E288" s="13"/>
      <c r="F288" s="5"/>
      <c r="G288" s="11" t="str">
        <f>IF(ISERROR(AVERAGE(F$13:F288)),"n/a",AVERAGE(F$13:F288))</f>
        <v>n/a</v>
      </c>
      <c r="H288" s="11" t="str">
        <f t="shared" si="47"/>
        <v>n/a</v>
      </c>
      <c r="J288" s="5"/>
      <c r="K288" s="5"/>
      <c r="L288" s="5"/>
      <c r="M288" s="5"/>
      <c r="N288" s="5"/>
      <c r="O288" s="8" t="str">
        <f t="shared" si="45"/>
        <v>n/a</v>
      </c>
      <c r="Q288" s="5"/>
      <c r="R288" s="5"/>
      <c r="S288" s="5"/>
      <c r="U288" s="6"/>
      <c r="V288" s="9" t="str">
        <f t="shared" si="48"/>
        <v/>
      </c>
      <c r="W288" s="9" t="str">
        <f t="shared" si="49"/>
        <v/>
      </c>
      <c r="X288" s="10">
        <f>SUM(V$13:V288)/COUNTA(B$13:B288)</f>
        <v>0</v>
      </c>
      <c r="Z288" s="5"/>
      <c r="AA288" s="5"/>
      <c r="AC288" s="7"/>
      <c r="AE288" s="54" t="e">
        <f t="shared" si="50"/>
        <v>#N/A</v>
      </c>
      <c r="AF288" s="4" t="e">
        <f t="shared" si="46"/>
        <v>#N/A</v>
      </c>
    </row>
    <row r="289" spans="2:32">
      <c r="B289" s="5">
        <f t="shared" si="51"/>
        <v>277</v>
      </c>
      <c r="C289" s="5"/>
      <c r="E289" s="13"/>
      <c r="F289" s="5"/>
      <c r="G289" s="11" t="str">
        <f>IF(ISERROR(AVERAGE(F$13:F289)),"n/a",AVERAGE(F$13:F289))</f>
        <v>n/a</v>
      </c>
      <c r="H289" s="11" t="str">
        <f t="shared" si="47"/>
        <v>n/a</v>
      </c>
      <c r="J289" s="5"/>
      <c r="K289" s="5"/>
      <c r="L289" s="5"/>
      <c r="M289" s="5"/>
      <c r="N289" s="5"/>
      <c r="O289" s="8" t="str">
        <f t="shared" si="45"/>
        <v>n/a</v>
      </c>
      <c r="Q289" s="5"/>
      <c r="R289" s="5"/>
      <c r="S289" s="5"/>
      <c r="U289" s="6"/>
      <c r="V289" s="9" t="str">
        <f t="shared" si="48"/>
        <v/>
      </c>
      <c r="W289" s="9" t="str">
        <f t="shared" si="49"/>
        <v/>
      </c>
      <c r="X289" s="10">
        <f>SUM(V$13:V289)/COUNTA(B$13:B289)</f>
        <v>0</v>
      </c>
      <c r="Z289" s="5"/>
      <c r="AA289" s="5"/>
      <c r="AC289" s="7"/>
      <c r="AE289" s="54" t="e">
        <f t="shared" si="50"/>
        <v>#N/A</v>
      </c>
      <c r="AF289" s="4" t="e">
        <f t="shared" si="46"/>
        <v>#N/A</v>
      </c>
    </row>
    <row r="290" spans="2:32">
      <c r="B290" s="5">
        <f t="shared" si="51"/>
        <v>278</v>
      </c>
      <c r="C290" s="5"/>
      <c r="E290" s="13"/>
      <c r="F290" s="5"/>
      <c r="G290" s="11" t="str">
        <f>IF(ISERROR(AVERAGE(F$13:F290)),"n/a",AVERAGE(F$13:F290))</f>
        <v>n/a</v>
      </c>
      <c r="H290" s="11" t="str">
        <f t="shared" si="47"/>
        <v>n/a</v>
      </c>
      <c r="J290" s="5"/>
      <c r="K290" s="5"/>
      <c r="L290" s="5"/>
      <c r="M290" s="5"/>
      <c r="N290" s="5"/>
      <c r="O290" s="8" t="str">
        <f t="shared" si="45"/>
        <v>n/a</v>
      </c>
      <c r="Q290" s="5"/>
      <c r="R290" s="5"/>
      <c r="S290" s="5"/>
      <c r="U290" s="6"/>
      <c r="V290" s="9" t="str">
        <f t="shared" si="48"/>
        <v/>
      </c>
      <c r="W290" s="9" t="str">
        <f t="shared" si="49"/>
        <v/>
      </c>
      <c r="X290" s="10">
        <f>SUM(V$13:V290)/COUNTA(B$13:B290)</f>
        <v>0</v>
      </c>
      <c r="Z290" s="5"/>
      <c r="AA290" s="5"/>
      <c r="AC290" s="7"/>
      <c r="AE290" s="54" t="e">
        <f t="shared" si="50"/>
        <v>#N/A</v>
      </c>
      <c r="AF290" s="4" t="e">
        <f t="shared" si="46"/>
        <v>#N/A</v>
      </c>
    </row>
    <row r="291" spans="2:32">
      <c r="B291" s="5">
        <f t="shared" si="51"/>
        <v>279</v>
      </c>
      <c r="C291" s="5"/>
      <c r="E291" s="13"/>
      <c r="F291" s="5"/>
      <c r="G291" s="11" t="str">
        <f>IF(ISERROR(AVERAGE(F$13:F291)),"n/a",AVERAGE(F$13:F291))</f>
        <v>n/a</v>
      </c>
      <c r="H291" s="11" t="str">
        <f t="shared" si="47"/>
        <v>n/a</v>
      </c>
      <c r="J291" s="5"/>
      <c r="K291" s="5"/>
      <c r="L291" s="5"/>
      <c r="M291" s="5"/>
      <c r="N291" s="5"/>
      <c r="O291" s="8" t="str">
        <f t="shared" si="45"/>
        <v>n/a</v>
      </c>
      <c r="Q291" s="5"/>
      <c r="R291" s="5"/>
      <c r="S291" s="5"/>
      <c r="U291" s="6"/>
      <c r="V291" s="9" t="str">
        <f t="shared" si="48"/>
        <v/>
      </c>
      <c r="W291" s="9" t="str">
        <f t="shared" si="49"/>
        <v/>
      </c>
      <c r="X291" s="10">
        <f>SUM(V$13:V291)/COUNTA(B$13:B291)</f>
        <v>0</v>
      </c>
      <c r="Z291" s="5"/>
      <c r="AA291" s="5"/>
      <c r="AC291" s="7"/>
      <c r="AE291" s="54" t="e">
        <f t="shared" si="50"/>
        <v>#N/A</v>
      </c>
      <c r="AF291" s="4" t="e">
        <f t="shared" si="46"/>
        <v>#N/A</v>
      </c>
    </row>
    <row r="292" spans="2:32">
      <c r="B292" s="5">
        <f t="shared" si="51"/>
        <v>280</v>
      </c>
      <c r="C292" s="5"/>
      <c r="E292" s="13"/>
      <c r="F292" s="5"/>
      <c r="G292" s="11" t="str">
        <f>IF(ISERROR(AVERAGE(F$13:F292)),"n/a",AVERAGE(F$13:F292))</f>
        <v>n/a</v>
      </c>
      <c r="H292" s="11" t="str">
        <f t="shared" si="47"/>
        <v>n/a</v>
      </c>
      <c r="J292" s="5"/>
      <c r="K292" s="5"/>
      <c r="L292" s="5"/>
      <c r="M292" s="5"/>
      <c r="N292" s="5"/>
      <c r="O292" s="8" t="str">
        <f t="shared" si="45"/>
        <v>n/a</v>
      </c>
      <c r="Q292" s="5"/>
      <c r="R292" s="5"/>
      <c r="S292" s="5"/>
      <c r="U292" s="6"/>
      <c r="V292" s="9" t="str">
        <f t="shared" si="48"/>
        <v/>
      </c>
      <c r="W292" s="9" t="str">
        <f t="shared" si="49"/>
        <v/>
      </c>
      <c r="X292" s="10">
        <f>SUM(V$13:V292)/COUNTA(B$13:B292)</f>
        <v>0</v>
      </c>
      <c r="Z292" s="5"/>
      <c r="AA292" s="5"/>
      <c r="AC292" s="7"/>
      <c r="AE292" s="54" t="e">
        <f t="shared" si="50"/>
        <v>#N/A</v>
      </c>
      <c r="AF292" s="4" t="e">
        <f t="shared" si="46"/>
        <v>#N/A</v>
      </c>
    </row>
    <row r="293" spans="2:32">
      <c r="B293" s="5">
        <f t="shared" si="51"/>
        <v>281</v>
      </c>
      <c r="C293" s="5"/>
      <c r="E293" s="13"/>
      <c r="F293" s="5"/>
      <c r="G293" s="11" t="str">
        <f>IF(ISERROR(AVERAGE(F$13:F293)),"n/a",AVERAGE(F$13:F293))</f>
        <v>n/a</v>
      </c>
      <c r="H293" s="11" t="str">
        <f t="shared" si="47"/>
        <v>n/a</v>
      </c>
      <c r="J293" s="5"/>
      <c r="K293" s="5"/>
      <c r="L293" s="5"/>
      <c r="M293" s="5"/>
      <c r="N293" s="5"/>
      <c r="O293" s="8" t="str">
        <f t="shared" si="45"/>
        <v>n/a</v>
      </c>
      <c r="Q293" s="5"/>
      <c r="R293" s="5"/>
      <c r="S293" s="5"/>
      <c r="U293" s="6"/>
      <c r="V293" s="9" t="str">
        <f t="shared" si="48"/>
        <v/>
      </c>
      <c r="W293" s="9" t="str">
        <f t="shared" si="49"/>
        <v/>
      </c>
      <c r="X293" s="10">
        <f>SUM(V$13:V293)/COUNTA(B$13:B293)</f>
        <v>0</v>
      </c>
      <c r="Z293" s="5"/>
      <c r="AA293" s="5"/>
      <c r="AC293" s="7"/>
      <c r="AE293" s="54" t="e">
        <f t="shared" si="50"/>
        <v>#N/A</v>
      </c>
      <c r="AF293" s="4" t="e">
        <f t="shared" si="46"/>
        <v>#N/A</v>
      </c>
    </row>
    <row r="294" spans="2:32">
      <c r="B294" s="5">
        <f t="shared" si="51"/>
        <v>282</v>
      </c>
      <c r="C294" s="5"/>
      <c r="E294" s="13"/>
      <c r="F294" s="5"/>
      <c r="G294" s="11" t="str">
        <f>IF(ISERROR(AVERAGE(F$13:F294)),"n/a",AVERAGE(F$13:F294))</f>
        <v>n/a</v>
      </c>
      <c r="H294" s="11" t="str">
        <f t="shared" si="47"/>
        <v>n/a</v>
      </c>
      <c r="J294" s="5"/>
      <c r="K294" s="5"/>
      <c r="L294" s="5"/>
      <c r="M294" s="5"/>
      <c r="N294" s="5"/>
      <c r="O294" s="8" t="str">
        <f t="shared" si="45"/>
        <v>n/a</v>
      </c>
      <c r="Q294" s="5"/>
      <c r="R294" s="5"/>
      <c r="S294" s="5"/>
      <c r="U294" s="6"/>
      <c r="V294" s="9" t="str">
        <f t="shared" si="48"/>
        <v/>
      </c>
      <c r="W294" s="9" t="str">
        <f t="shared" si="49"/>
        <v/>
      </c>
      <c r="X294" s="10">
        <f>SUM(V$13:V294)/COUNTA(B$13:B294)</f>
        <v>0</v>
      </c>
      <c r="Z294" s="5"/>
      <c r="AA294" s="5"/>
      <c r="AC294" s="7"/>
      <c r="AE294" s="54" t="e">
        <f t="shared" si="50"/>
        <v>#N/A</v>
      </c>
      <c r="AF294" s="4" t="e">
        <f t="shared" si="46"/>
        <v>#N/A</v>
      </c>
    </row>
    <row r="295" spans="2:32">
      <c r="B295" s="5">
        <f t="shared" si="51"/>
        <v>283</v>
      </c>
      <c r="C295" s="5"/>
      <c r="E295" s="13"/>
      <c r="F295" s="5"/>
      <c r="G295" s="11" t="str">
        <f>IF(ISERROR(AVERAGE(F$13:F295)),"n/a",AVERAGE(F$13:F295))</f>
        <v>n/a</v>
      </c>
      <c r="H295" s="11" t="str">
        <f t="shared" si="47"/>
        <v>n/a</v>
      </c>
      <c r="J295" s="5"/>
      <c r="K295" s="5"/>
      <c r="L295" s="5"/>
      <c r="M295" s="5"/>
      <c r="N295" s="5"/>
      <c r="O295" s="8" t="str">
        <f t="shared" si="45"/>
        <v>n/a</v>
      </c>
      <c r="Q295" s="5"/>
      <c r="R295" s="5"/>
      <c r="S295" s="5"/>
      <c r="U295" s="6"/>
      <c r="V295" s="9" t="str">
        <f t="shared" si="48"/>
        <v/>
      </c>
      <c r="W295" s="9" t="str">
        <f t="shared" si="49"/>
        <v/>
      </c>
      <c r="X295" s="10">
        <f>SUM(V$13:V295)/COUNTA(B$13:B295)</f>
        <v>0</v>
      </c>
      <c r="Z295" s="5"/>
      <c r="AA295" s="5"/>
      <c r="AC295" s="7"/>
      <c r="AE295" s="54" t="e">
        <f t="shared" si="50"/>
        <v>#N/A</v>
      </c>
      <c r="AF295" s="4" t="e">
        <f t="shared" si="46"/>
        <v>#N/A</v>
      </c>
    </row>
    <row r="296" spans="2:32">
      <c r="B296" s="5">
        <f t="shared" si="51"/>
        <v>284</v>
      </c>
      <c r="C296" s="5"/>
      <c r="E296" s="13"/>
      <c r="F296" s="5"/>
      <c r="G296" s="11" t="str">
        <f>IF(ISERROR(AVERAGE(F$13:F296)),"n/a",AVERAGE(F$13:F296))</f>
        <v>n/a</v>
      </c>
      <c r="H296" s="11" t="str">
        <f t="shared" si="47"/>
        <v>n/a</v>
      </c>
      <c r="J296" s="5"/>
      <c r="K296" s="5"/>
      <c r="L296" s="5"/>
      <c r="M296" s="5"/>
      <c r="N296" s="5"/>
      <c r="O296" s="8" t="str">
        <f t="shared" si="45"/>
        <v>n/a</v>
      </c>
      <c r="Q296" s="5"/>
      <c r="R296" s="5"/>
      <c r="S296" s="5"/>
      <c r="U296" s="6"/>
      <c r="V296" s="9" t="str">
        <f t="shared" si="48"/>
        <v/>
      </c>
      <c r="W296" s="9" t="str">
        <f t="shared" si="49"/>
        <v/>
      </c>
      <c r="X296" s="10">
        <f>SUM(V$13:V296)/COUNTA(B$13:B296)</f>
        <v>0</v>
      </c>
      <c r="Z296" s="5"/>
      <c r="AA296" s="5"/>
      <c r="AC296" s="7"/>
      <c r="AE296" s="54" t="e">
        <f t="shared" si="50"/>
        <v>#N/A</v>
      </c>
      <c r="AF296" s="4" t="e">
        <f t="shared" si="46"/>
        <v>#N/A</v>
      </c>
    </row>
    <row r="297" spans="2:32">
      <c r="B297" s="5">
        <f t="shared" si="51"/>
        <v>285</v>
      </c>
      <c r="C297" s="5"/>
      <c r="E297" s="13"/>
      <c r="F297" s="5"/>
      <c r="G297" s="11" t="str">
        <f>IF(ISERROR(AVERAGE(F$13:F297)),"n/a",AVERAGE(F$13:F297))</f>
        <v>n/a</v>
      </c>
      <c r="H297" s="11" t="str">
        <f t="shared" si="47"/>
        <v>n/a</v>
      </c>
      <c r="J297" s="5"/>
      <c r="K297" s="5"/>
      <c r="L297" s="5"/>
      <c r="M297" s="5"/>
      <c r="N297" s="5"/>
      <c r="O297" s="8" t="str">
        <f t="shared" si="45"/>
        <v>n/a</v>
      </c>
      <c r="Q297" s="5"/>
      <c r="R297" s="5"/>
      <c r="S297" s="5"/>
      <c r="U297" s="6"/>
      <c r="V297" s="9" t="str">
        <f t="shared" si="48"/>
        <v/>
      </c>
      <c r="W297" s="9" t="str">
        <f t="shared" si="49"/>
        <v/>
      </c>
      <c r="X297" s="10">
        <f>SUM(V$13:V297)/COUNTA(B$13:B297)</f>
        <v>0</v>
      </c>
      <c r="Z297" s="5"/>
      <c r="AA297" s="5"/>
      <c r="AC297" s="7"/>
      <c r="AE297" s="54" t="e">
        <f t="shared" si="50"/>
        <v>#N/A</v>
      </c>
      <c r="AF297" s="4" t="e">
        <f t="shared" si="46"/>
        <v>#N/A</v>
      </c>
    </row>
    <row r="298" spans="2:32">
      <c r="B298" s="5">
        <f t="shared" si="51"/>
        <v>286</v>
      </c>
      <c r="C298" s="5"/>
      <c r="E298" s="13"/>
      <c r="F298" s="5"/>
      <c r="G298" s="11" t="str">
        <f>IF(ISERROR(AVERAGE(F$13:F298)),"n/a",AVERAGE(F$13:F298))</f>
        <v>n/a</v>
      </c>
      <c r="H298" s="11" t="str">
        <f t="shared" si="47"/>
        <v>n/a</v>
      </c>
      <c r="J298" s="5"/>
      <c r="K298" s="5"/>
      <c r="L298" s="5"/>
      <c r="M298" s="5"/>
      <c r="N298" s="5"/>
      <c r="O298" s="8" t="str">
        <f t="shared" si="45"/>
        <v>n/a</v>
      </c>
      <c r="Q298" s="5"/>
      <c r="R298" s="5"/>
      <c r="S298" s="5"/>
      <c r="U298" s="6"/>
      <c r="V298" s="9" t="str">
        <f t="shared" si="48"/>
        <v/>
      </c>
      <c r="W298" s="9" t="str">
        <f t="shared" si="49"/>
        <v/>
      </c>
      <c r="X298" s="10">
        <f>SUM(V$13:V298)/COUNTA(B$13:B298)</f>
        <v>0</v>
      </c>
      <c r="Z298" s="5"/>
      <c r="AA298" s="5"/>
      <c r="AC298" s="7"/>
      <c r="AE298" s="54" t="e">
        <f t="shared" si="50"/>
        <v>#N/A</v>
      </c>
      <c r="AF298" s="4" t="e">
        <f t="shared" si="46"/>
        <v>#N/A</v>
      </c>
    </row>
    <row r="299" spans="2:32">
      <c r="B299" s="5">
        <f t="shared" si="51"/>
        <v>287</v>
      </c>
      <c r="C299" s="5"/>
      <c r="E299" s="13"/>
      <c r="F299" s="5"/>
      <c r="G299" s="11" t="str">
        <f>IF(ISERROR(AVERAGE(F$13:F299)),"n/a",AVERAGE(F$13:F299))</f>
        <v>n/a</v>
      </c>
      <c r="H299" s="11" t="str">
        <f t="shared" si="47"/>
        <v>n/a</v>
      </c>
      <c r="J299" s="5"/>
      <c r="K299" s="5"/>
      <c r="L299" s="5"/>
      <c r="M299" s="5"/>
      <c r="N299" s="5"/>
      <c r="O299" s="8" t="str">
        <f t="shared" si="45"/>
        <v>n/a</v>
      </c>
      <c r="Q299" s="5"/>
      <c r="R299" s="5"/>
      <c r="S299" s="5"/>
      <c r="U299" s="6"/>
      <c r="V299" s="9" t="str">
        <f t="shared" si="48"/>
        <v/>
      </c>
      <c r="W299" s="9" t="str">
        <f t="shared" si="49"/>
        <v/>
      </c>
      <c r="X299" s="10">
        <f>SUM(V$13:V299)/COUNTA(B$13:B299)</f>
        <v>0</v>
      </c>
      <c r="Z299" s="5"/>
      <c r="AA299" s="5"/>
      <c r="AC299" s="7"/>
      <c r="AE299" s="54" t="e">
        <f t="shared" si="50"/>
        <v>#N/A</v>
      </c>
      <c r="AF299" s="4" t="e">
        <f t="shared" si="46"/>
        <v>#N/A</v>
      </c>
    </row>
    <row r="300" spans="2:32">
      <c r="B300" s="5">
        <f t="shared" si="51"/>
        <v>288</v>
      </c>
      <c r="C300" s="5"/>
      <c r="E300" s="13"/>
      <c r="F300" s="5"/>
      <c r="G300" s="11" t="str">
        <f>IF(ISERROR(AVERAGE(F$13:F300)),"n/a",AVERAGE(F$13:F300))</f>
        <v>n/a</v>
      </c>
      <c r="H300" s="11" t="str">
        <f t="shared" si="47"/>
        <v>n/a</v>
      </c>
      <c r="J300" s="5"/>
      <c r="K300" s="5"/>
      <c r="L300" s="5"/>
      <c r="M300" s="5"/>
      <c r="N300" s="5"/>
      <c r="O300" s="8" t="str">
        <f t="shared" si="45"/>
        <v>n/a</v>
      </c>
      <c r="Q300" s="5"/>
      <c r="R300" s="5"/>
      <c r="S300" s="5"/>
      <c r="U300" s="6"/>
      <c r="V300" s="9" t="str">
        <f t="shared" si="48"/>
        <v/>
      </c>
      <c r="W300" s="9" t="str">
        <f t="shared" si="49"/>
        <v/>
      </c>
      <c r="X300" s="10">
        <f>SUM(V$13:V300)/COUNTA(B$13:B300)</f>
        <v>0</v>
      </c>
      <c r="Z300" s="5"/>
      <c r="AA300" s="5"/>
      <c r="AC300" s="7"/>
      <c r="AE300" s="54" t="e">
        <f t="shared" si="50"/>
        <v>#N/A</v>
      </c>
      <c r="AF300" s="4" t="e">
        <f t="shared" si="46"/>
        <v>#N/A</v>
      </c>
    </row>
    <row r="301" spans="2:32">
      <c r="B301" s="5">
        <f t="shared" si="51"/>
        <v>289</v>
      </c>
      <c r="C301" s="5"/>
      <c r="E301" s="13"/>
      <c r="F301" s="5"/>
      <c r="G301" s="11" t="str">
        <f>IF(ISERROR(AVERAGE(F$13:F301)),"n/a",AVERAGE(F$13:F301))</f>
        <v>n/a</v>
      </c>
      <c r="H301" s="11" t="str">
        <f t="shared" si="47"/>
        <v>n/a</v>
      </c>
      <c r="J301" s="5"/>
      <c r="K301" s="5"/>
      <c r="L301" s="5"/>
      <c r="M301" s="5"/>
      <c r="N301" s="5"/>
      <c r="O301" s="8" t="str">
        <f t="shared" si="45"/>
        <v>n/a</v>
      </c>
      <c r="Q301" s="5"/>
      <c r="R301" s="5"/>
      <c r="S301" s="5"/>
      <c r="U301" s="6"/>
      <c r="V301" s="9" t="str">
        <f t="shared" si="48"/>
        <v/>
      </c>
      <c r="W301" s="9" t="str">
        <f t="shared" si="49"/>
        <v/>
      </c>
      <c r="X301" s="10">
        <f>SUM(V$13:V301)/COUNTA(B$13:B301)</f>
        <v>0</v>
      </c>
      <c r="Z301" s="5"/>
      <c r="AA301" s="5"/>
      <c r="AC301" s="7"/>
      <c r="AE301" s="54" t="e">
        <f t="shared" si="50"/>
        <v>#N/A</v>
      </c>
      <c r="AF301" s="4" t="e">
        <f t="shared" si="46"/>
        <v>#N/A</v>
      </c>
    </row>
    <row r="302" spans="2:32">
      <c r="B302" s="5">
        <f t="shared" si="51"/>
        <v>290</v>
      </c>
      <c r="C302" s="5"/>
      <c r="E302" s="13"/>
      <c r="F302" s="5"/>
      <c r="G302" s="11" t="str">
        <f>IF(ISERROR(AVERAGE(F$13:F302)),"n/a",AVERAGE(F$13:F302))</f>
        <v>n/a</v>
      </c>
      <c r="H302" s="11" t="str">
        <f t="shared" si="47"/>
        <v>n/a</v>
      </c>
      <c r="J302" s="5"/>
      <c r="K302" s="5"/>
      <c r="L302" s="5"/>
      <c r="M302" s="5"/>
      <c r="N302" s="5"/>
      <c r="O302" s="8" t="str">
        <f t="shared" si="45"/>
        <v>n/a</v>
      </c>
      <c r="Q302" s="5"/>
      <c r="R302" s="5"/>
      <c r="S302" s="5"/>
      <c r="U302" s="6"/>
      <c r="V302" s="9" t="str">
        <f t="shared" si="48"/>
        <v/>
      </c>
      <c r="W302" s="9" t="str">
        <f t="shared" si="49"/>
        <v/>
      </c>
      <c r="X302" s="10">
        <f>SUM(V$13:V302)/COUNTA(B$13:B302)</f>
        <v>0</v>
      </c>
      <c r="Z302" s="5"/>
      <c r="AA302" s="5"/>
      <c r="AC302" s="7"/>
      <c r="AE302" s="54" t="e">
        <f t="shared" si="50"/>
        <v>#N/A</v>
      </c>
      <c r="AF302" s="4" t="e">
        <f t="shared" si="46"/>
        <v>#N/A</v>
      </c>
    </row>
    <row r="303" spans="2:32">
      <c r="B303" s="5">
        <f t="shared" si="51"/>
        <v>291</v>
      </c>
      <c r="C303" s="5"/>
      <c r="E303" s="13"/>
      <c r="F303" s="5"/>
      <c r="G303" s="11" t="str">
        <f>IF(ISERROR(AVERAGE(F$13:F303)),"n/a",AVERAGE(F$13:F303))</f>
        <v>n/a</v>
      </c>
      <c r="H303" s="11" t="str">
        <f t="shared" si="47"/>
        <v>n/a</v>
      </c>
      <c r="J303" s="5"/>
      <c r="K303" s="5"/>
      <c r="L303" s="5"/>
      <c r="M303" s="5"/>
      <c r="N303" s="5"/>
      <c r="O303" s="8" t="str">
        <f t="shared" si="45"/>
        <v>n/a</v>
      </c>
      <c r="Q303" s="5"/>
      <c r="R303" s="5"/>
      <c r="S303" s="5"/>
      <c r="U303" s="6"/>
      <c r="V303" s="9" t="str">
        <f t="shared" si="48"/>
        <v/>
      </c>
      <c r="W303" s="9" t="str">
        <f t="shared" si="49"/>
        <v/>
      </c>
      <c r="X303" s="10">
        <f>SUM(V$13:V303)/COUNTA(B$13:B303)</f>
        <v>0</v>
      </c>
      <c r="Z303" s="5"/>
      <c r="AA303" s="5"/>
      <c r="AC303" s="7"/>
      <c r="AE303" s="54" t="e">
        <f t="shared" si="50"/>
        <v>#N/A</v>
      </c>
      <c r="AF303" s="4" t="e">
        <f t="shared" si="46"/>
        <v>#N/A</v>
      </c>
    </row>
    <row r="304" spans="2:32">
      <c r="B304" s="5">
        <f t="shared" si="51"/>
        <v>292</v>
      </c>
      <c r="C304" s="5"/>
      <c r="E304" s="13"/>
      <c r="F304" s="5"/>
      <c r="G304" s="11" t="str">
        <f>IF(ISERROR(AVERAGE(F$13:F304)),"n/a",AVERAGE(F$13:F304))</f>
        <v>n/a</v>
      </c>
      <c r="H304" s="11" t="str">
        <f t="shared" si="47"/>
        <v>n/a</v>
      </c>
      <c r="J304" s="5"/>
      <c r="K304" s="5"/>
      <c r="L304" s="5"/>
      <c r="M304" s="5"/>
      <c r="N304" s="5"/>
      <c r="O304" s="8" t="str">
        <f t="shared" si="45"/>
        <v>n/a</v>
      </c>
      <c r="Q304" s="5"/>
      <c r="R304" s="5"/>
      <c r="S304" s="5"/>
      <c r="U304" s="6"/>
      <c r="V304" s="9" t="str">
        <f t="shared" si="48"/>
        <v/>
      </c>
      <c r="W304" s="9" t="str">
        <f t="shared" si="49"/>
        <v/>
      </c>
      <c r="X304" s="10">
        <f>SUM(V$13:V304)/COUNTA(B$13:B304)</f>
        <v>0</v>
      </c>
      <c r="Z304" s="5"/>
      <c r="AA304" s="5"/>
      <c r="AC304" s="7"/>
      <c r="AE304" s="54" t="e">
        <f t="shared" si="50"/>
        <v>#N/A</v>
      </c>
      <c r="AF304" s="4" t="e">
        <f t="shared" si="46"/>
        <v>#N/A</v>
      </c>
    </row>
    <row r="305" spans="2:32">
      <c r="B305" s="5">
        <f t="shared" si="51"/>
        <v>293</v>
      </c>
      <c r="C305" s="5"/>
      <c r="E305" s="13"/>
      <c r="F305" s="5"/>
      <c r="G305" s="11" t="str">
        <f>IF(ISERROR(AVERAGE(F$13:F305)),"n/a",AVERAGE(F$13:F305))</f>
        <v>n/a</v>
      </c>
      <c r="H305" s="11" t="str">
        <f t="shared" si="47"/>
        <v>n/a</v>
      </c>
      <c r="J305" s="5"/>
      <c r="K305" s="5"/>
      <c r="L305" s="5"/>
      <c r="M305" s="5"/>
      <c r="N305" s="5"/>
      <c r="O305" s="8" t="str">
        <f t="shared" si="45"/>
        <v>n/a</v>
      </c>
      <c r="Q305" s="5"/>
      <c r="R305" s="5"/>
      <c r="S305" s="5"/>
      <c r="U305" s="6"/>
      <c r="V305" s="9" t="str">
        <f t="shared" si="48"/>
        <v/>
      </c>
      <c r="W305" s="9" t="str">
        <f t="shared" si="49"/>
        <v/>
      </c>
      <c r="X305" s="10">
        <f>SUM(V$13:V305)/COUNTA(B$13:B305)</f>
        <v>0</v>
      </c>
      <c r="Z305" s="5"/>
      <c r="AA305" s="5"/>
      <c r="AC305" s="7"/>
      <c r="AE305" s="54" t="e">
        <f t="shared" si="50"/>
        <v>#N/A</v>
      </c>
      <c r="AF305" s="4" t="e">
        <f t="shared" si="46"/>
        <v>#N/A</v>
      </c>
    </row>
    <row r="306" spans="2:32">
      <c r="B306" s="5">
        <f t="shared" si="51"/>
        <v>294</v>
      </c>
      <c r="C306" s="5"/>
      <c r="E306" s="13"/>
      <c r="F306" s="5"/>
      <c r="G306" s="11" t="str">
        <f>IF(ISERROR(AVERAGE(F$13:F306)),"n/a",AVERAGE(F$13:F306))</f>
        <v>n/a</v>
      </c>
      <c r="H306" s="11" t="str">
        <f t="shared" si="47"/>
        <v>n/a</v>
      </c>
      <c r="J306" s="5"/>
      <c r="K306" s="5"/>
      <c r="L306" s="5"/>
      <c r="M306" s="5"/>
      <c r="N306" s="5"/>
      <c r="O306" s="8" t="str">
        <f t="shared" si="45"/>
        <v>n/a</v>
      </c>
      <c r="Q306" s="5"/>
      <c r="R306" s="5"/>
      <c r="S306" s="5"/>
      <c r="U306" s="6"/>
      <c r="V306" s="9" t="str">
        <f t="shared" si="48"/>
        <v/>
      </c>
      <c r="W306" s="9" t="str">
        <f t="shared" si="49"/>
        <v/>
      </c>
      <c r="X306" s="10">
        <f>SUM(V$13:V306)/COUNTA(B$13:B306)</f>
        <v>0</v>
      </c>
      <c r="Z306" s="5"/>
      <c r="AA306" s="5"/>
      <c r="AC306" s="7"/>
      <c r="AE306" s="54" t="e">
        <f t="shared" si="50"/>
        <v>#N/A</v>
      </c>
      <c r="AF306" s="4" t="e">
        <f t="shared" si="46"/>
        <v>#N/A</v>
      </c>
    </row>
    <row r="307" spans="2:32">
      <c r="B307" s="5">
        <f t="shared" si="51"/>
        <v>295</v>
      </c>
      <c r="C307" s="5"/>
      <c r="E307" s="13"/>
      <c r="F307" s="5"/>
      <c r="G307" s="11" t="str">
        <f>IF(ISERROR(AVERAGE(F$13:F307)),"n/a",AVERAGE(F$13:F307))</f>
        <v>n/a</v>
      </c>
      <c r="H307" s="11" t="str">
        <f t="shared" si="47"/>
        <v>n/a</v>
      </c>
      <c r="J307" s="5"/>
      <c r="K307" s="5"/>
      <c r="L307" s="5"/>
      <c r="M307" s="5"/>
      <c r="N307" s="5"/>
      <c r="O307" s="8" t="str">
        <f t="shared" si="45"/>
        <v>n/a</v>
      </c>
      <c r="Q307" s="5"/>
      <c r="R307" s="5"/>
      <c r="S307" s="5"/>
      <c r="U307" s="6"/>
      <c r="V307" s="9" t="str">
        <f t="shared" si="48"/>
        <v/>
      </c>
      <c r="W307" s="9" t="str">
        <f t="shared" si="49"/>
        <v/>
      </c>
      <c r="X307" s="10">
        <f>SUM(V$13:V307)/COUNTA(B$13:B307)</f>
        <v>0</v>
      </c>
      <c r="Z307" s="5"/>
      <c r="AA307" s="5"/>
      <c r="AC307" s="7"/>
      <c r="AE307" s="54" t="e">
        <f t="shared" si="50"/>
        <v>#N/A</v>
      </c>
      <c r="AF307" s="4" t="e">
        <f t="shared" si="46"/>
        <v>#N/A</v>
      </c>
    </row>
    <row r="308" spans="2:32">
      <c r="B308" s="5">
        <f t="shared" si="51"/>
        <v>296</v>
      </c>
      <c r="C308" s="5"/>
      <c r="E308" s="13"/>
      <c r="F308" s="5"/>
      <c r="G308" s="11" t="str">
        <f>IF(ISERROR(AVERAGE(F$13:F308)),"n/a",AVERAGE(F$13:F308))</f>
        <v>n/a</v>
      </c>
      <c r="H308" s="11" t="str">
        <f t="shared" si="47"/>
        <v>n/a</v>
      </c>
      <c r="J308" s="5"/>
      <c r="K308" s="5"/>
      <c r="L308" s="5"/>
      <c r="M308" s="5"/>
      <c r="N308" s="5"/>
      <c r="O308" s="8" t="str">
        <f t="shared" si="45"/>
        <v>n/a</v>
      </c>
      <c r="Q308" s="5"/>
      <c r="R308" s="5"/>
      <c r="S308" s="5"/>
      <c r="U308" s="6"/>
      <c r="V308" s="9" t="str">
        <f t="shared" si="48"/>
        <v/>
      </c>
      <c r="W308" s="9" t="str">
        <f t="shared" si="49"/>
        <v/>
      </c>
      <c r="X308" s="10">
        <f>SUM(V$13:V308)/COUNTA(B$13:B308)</f>
        <v>0</v>
      </c>
      <c r="Z308" s="5"/>
      <c r="AA308" s="5"/>
      <c r="AC308" s="7"/>
      <c r="AE308" s="54" t="e">
        <f t="shared" si="50"/>
        <v>#N/A</v>
      </c>
      <c r="AF308" s="4" t="e">
        <f t="shared" si="46"/>
        <v>#N/A</v>
      </c>
    </row>
    <row r="309" spans="2:32">
      <c r="B309" s="5">
        <f t="shared" si="51"/>
        <v>297</v>
      </c>
      <c r="C309" s="5"/>
      <c r="E309" s="13"/>
      <c r="F309" s="5"/>
      <c r="G309" s="11" t="str">
        <f>IF(ISERROR(AVERAGE(F$13:F309)),"n/a",AVERAGE(F$13:F309))</f>
        <v>n/a</v>
      </c>
      <c r="H309" s="11" t="str">
        <f t="shared" si="47"/>
        <v>n/a</v>
      </c>
      <c r="J309" s="5"/>
      <c r="K309" s="5"/>
      <c r="L309" s="5"/>
      <c r="M309" s="5"/>
      <c r="N309" s="5"/>
      <c r="O309" s="8" t="str">
        <f t="shared" si="45"/>
        <v>n/a</v>
      </c>
      <c r="Q309" s="5"/>
      <c r="R309" s="5"/>
      <c r="S309" s="5"/>
      <c r="U309" s="6"/>
      <c r="V309" s="9" t="str">
        <f t="shared" si="48"/>
        <v/>
      </c>
      <c r="W309" s="9" t="str">
        <f t="shared" si="49"/>
        <v/>
      </c>
      <c r="X309" s="10">
        <f>SUM(V$13:V309)/COUNTA(B$13:B309)</f>
        <v>0</v>
      </c>
      <c r="Z309" s="5"/>
      <c r="AA309" s="5"/>
      <c r="AC309" s="7"/>
      <c r="AE309" s="54" t="e">
        <f t="shared" si="50"/>
        <v>#N/A</v>
      </c>
      <c r="AF309" s="4" t="e">
        <f t="shared" si="46"/>
        <v>#N/A</v>
      </c>
    </row>
    <row r="310" spans="2:32">
      <c r="B310" s="5">
        <f t="shared" si="51"/>
        <v>298</v>
      </c>
      <c r="C310" s="5"/>
      <c r="E310" s="13"/>
      <c r="F310" s="5"/>
      <c r="G310" s="11" t="str">
        <f>IF(ISERROR(AVERAGE(F$13:F310)),"n/a",AVERAGE(F$13:F310))</f>
        <v>n/a</v>
      </c>
      <c r="H310" s="11" t="str">
        <f t="shared" si="47"/>
        <v>n/a</v>
      </c>
      <c r="J310" s="5"/>
      <c r="K310" s="5"/>
      <c r="L310" s="5"/>
      <c r="M310" s="5"/>
      <c r="N310" s="5"/>
      <c r="O310" s="8" t="str">
        <f t="shared" si="45"/>
        <v>n/a</v>
      </c>
      <c r="Q310" s="5"/>
      <c r="R310" s="5"/>
      <c r="S310" s="5"/>
      <c r="U310" s="6"/>
      <c r="V310" s="9" t="str">
        <f t="shared" si="48"/>
        <v/>
      </c>
      <c r="W310" s="9" t="str">
        <f t="shared" si="49"/>
        <v/>
      </c>
      <c r="X310" s="10">
        <f>SUM(V$13:V310)/COUNTA(B$13:B310)</f>
        <v>0</v>
      </c>
      <c r="Z310" s="5"/>
      <c r="AA310" s="5"/>
      <c r="AC310" s="7"/>
      <c r="AE310" s="54" t="e">
        <f t="shared" si="50"/>
        <v>#N/A</v>
      </c>
      <c r="AF310" s="4" t="e">
        <f t="shared" si="46"/>
        <v>#N/A</v>
      </c>
    </row>
    <row r="311" spans="2:32">
      <c r="B311" s="5">
        <f t="shared" si="51"/>
        <v>299</v>
      </c>
      <c r="C311" s="5"/>
      <c r="E311" s="13"/>
      <c r="F311" s="5"/>
      <c r="G311" s="11" t="str">
        <f>IF(ISERROR(AVERAGE(F$13:F311)),"n/a",AVERAGE(F$13:F311))</f>
        <v>n/a</v>
      </c>
      <c r="H311" s="11" t="str">
        <f t="shared" si="47"/>
        <v>n/a</v>
      </c>
      <c r="J311" s="5"/>
      <c r="K311" s="5"/>
      <c r="L311" s="5"/>
      <c r="M311" s="5"/>
      <c r="N311" s="5"/>
      <c r="O311" s="8" t="str">
        <f t="shared" si="45"/>
        <v>n/a</v>
      </c>
      <c r="Q311" s="5"/>
      <c r="R311" s="5"/>
      <c r="S311" s="5"/>
      <c r="U311" s="6"/>
      <c r="V311" s="9" t="str">
        <f t="shared" si="48"/>
        <v/>
      </c>
      <c r="W311" s="9" t="str">
        <f t="shared" si="49"/>
        <v/>
      </c>
      <c r="X311" s="10">
        <f>SUM(V$13:V311)/COUNTA(B$13:B311)</f>
        <v>0</v>
      </c>
      <c r="Z311" s="5"/>
      <c r="AA311" s="5"/>
      <c r="AC311" s="7"/>
      <c r="AE311" s="54" t="e">
        <f t="shared" si="50"/>
        <v>#N/A</v>
      </c>
      <c r="AF311" s="4" t="e">
        <f t="shared" si="46"/>
        <v>#N/A</v>
      </c>
    </row>
    <row r="312" spans="2:32">
      <c r="B312" s="5">
        <f t="shared" si="51"/>
        <v>300</v>
      </c>
      <c r="C312" s="5"/>
      <c r="E312" s="13"/>
      <c r="F312" s="5"/>
      <c r="G312" s="11" t="str">
        <f>IF(ISERROR(AVERAGE(F$13:F312)),"n/a",AVERAGE(F$13:F312))</f>
        <v>n/a</v>
      </c>
      <c r="H312" s="11" t="str">
        <f t="shared" si="47"/>
        <v>n/a</v>
      </c>
      <c r="J312" s="5"/>
      <c r="K312" s="5"/>
      <c r="L312" s="5"/>
      <c r="M312" s="5"/>
      <c r="N312" s="5"/>
      <c r="O312" s="8" t="str">
        <f t="shared" si="45"/>
        <v>n/a</v>
      </c>
      <c r="Q312" s="5"/>
      <c r="R312" s="5"/>
      <c r="S312" s="5"/>
      <c r="U312" s="6"/>
      <c r="V312" s="9" t="str">
        <f t="shared" si="48"/>
        <v/>
      </c>
      <c r="W312" s="9" t="str">
        <f t="shared" si="49"/>
        <v/>
      </c>
      <c r="X312" s="10">
        <f>SUM(V$13:V312)/COUNTA(B$13:B312)</f>
        <v>0</v>
      </c>
      <c r="Z312" s="5"/>
      <c r="AA312" s="5"/>
      <c r="AC312" s="7"/>
      <c r="AE312" s="54" t="e">
        <f t="shared" si="50"/>
        <v>#N/A</v>
      </c>
      <c r="AF312" s="4" t="e">
        <f t="shared" si="46"/>
        <v>#N/A</v>
      </c>
    </row>
    <row r="313" spans="2:32">
      <c r="B313" s="5">
        <f t="shared" si="51"/>
        <v>301</v>
      </c>
      <c r="C313" s="5"/>
      <c r="E313" s="13"/>
      <c r="F313" s="5"/>
      <c r="G313" s="11" t="str">
        <f>IF(ISERROR(AVERAGE(F$13:F313)),"n/a",AVERAGE(F$13:F313))</f>
        <v>n/a</v>
      </c>
      <c r="H313" s="11" t="str">
        <f t="shared" si="47"/>
        <v>n/a</v>
      </c>
      <c r="J313" s="5"/>
      <c r="K313" s="5"/>
      <c r="L313" s="5"/>
      <c r="M313" s="5"/>
      <c r="N313" s="5"/>
      <c r="O313" s="8" t="str">
        <f t="shared" si="45"/>
        <v>n/a</v>
      </c>
      <c r="Q313" s="5"/>
      <c r="R313" s="5"/>
      <c r="S313" s="5"/>
      <c r="U313" s="6"/>
      <c r="V313" s="9" t="str">
        <f t="shared" si="48"/>
        <v/>
      </c>
      <c r="W313" s="9" t="str">
        <f t="shared" si="49"/>
        <v/>
      </c>
      <c r="X313" s="10">
        <f>SUM(V$13:V313)/COUNTA(B$13:B313)</f>
        <v>0</v>
      </c>
      <c r="Z313" s="5"/>
      <c r="AA313" s="5"/>
      <c r="AC313" s="7"/>
      <c r="AE313" s="54" t="e">
        <f t="shared" si="50"/>
        <v>#N/A</v>
      </c>
      <c r="AF313" s="4" t="e">
        <f t="shared" si="46"/>
        <v>#N/A</v>
      </c>
    </row>
    <row r="314" spans="2:32">
      <c r="B314" s="5">
        <f t="shared" si="51"/>
        <v>302</v>
      </c>
      <c r="C314" s="5"/>
      <c r="E314" s="13"/>
      <c r="F314" s="5"/>
      <c r="G314" s="11" t="str">
        <f>IF(ISERROR(AVERAGE(F$13:F314)),"n/a",AVERAGE(F$13:F314))</f>
        <v>n/a</v>
      </c>
      <c r="H314" s="11" t="str">
        <f t="shared" si="47"/>
        <v>n/a</v>
      </c>
      <c r="J314" s="5"/>
      <c r="K314" s="5"/>
      <c r="L314" s="5"/>
      <c r="M314" s="5"/>
      <c r="N314" s="5"/>
      <c r="O314" s="8" t="str">
        <f t="shared" si="45"/>
        <v>n/a</v>
      </c>
      <c r="Q314" s="5"/>
      <c r="R314" s="5"/>
      <c r="S314" s="5"/>
      <c r="U314" s="6"/>
      <c r="V314" s="9" t="str">
        <f t="shared" si="48"/>
        <v/>
      </c>
      <c r="W314" s="9" t="str">
        <f t="shared" si="49"/>
        <v/>
      </c>
      <c r="X314" s="10">
        <f>SUM(V$13:V314)/COUNTA(B$13:B314)</f>
        <v>0</v>
      </c>
      <c r="Z314" s="5"/>
      <c r="AA314" s="5"/>
      <c r="AC314" s="7"/>
      <c r="AE314" s="54" t="e">
        <f t="shared" si="50"/>
        <v>#N/A</v>
      </c>
      <c r="AF314" s="4" t="e">
        <f t="shared" si="46"/>
        <v>#N/A</v>
      </c>
    </row>
    <row r="315" spans="2:32">
      <c r="B315" s="5">
        <f t="shared" si="51"/>
        <v>303</v>
      </c>
      <c r="C315" s="5"/>
      <c r="E315" s="13"/>
      <c r="F315" s="5"/>
      <c r="G315" s="11" t="str">
        <f>IF(ISERROR(AVERAGE(F$13:F315)),"n/a",AVERAGE(F$13:F315))</f>
        <v>n/a</v>
      </c>
      <c r="H315" s="11" t="str">
        <f t="shared" si="47"/>
        <v>n/a</v>
      </c>
      <c r="J315" s="5"/>
      <c r="K315" s="5"/>
      <c r="L315" s="5"/>
      <c r="M315" s="5"/>
      <c r="N315" s="5"/>
      <c r="O315" s="8" t="str">
        <f t="shared" si="45"/>
        <v>n/a</v>
      </c>
      <c r="Q315" s="5"/>
      <c r="R315" s="5"/>
      <c r="S315" s="5"/>
      <c r="U315" s="6"/>
      <c r="V315" s="9" t="str">
        <f t="shared" si="48"/>
        <v/>
      </c>
      <c r="W315" s="9" t="str">
        <f t="shared" si="49"/>
        <v/>
      </c>
      <c r="X315" s="10">
        <f>SUM(V$13:V315)/COUNTA(B$13:B315)</f>
        <v>0</v>
      </c>
      <c r="Z315" s="5"/>
      <c r="AA315" s="5"/>
      <c r="AC315" s="7"/>
      <c r="AE315" s="54" t="e">
        <f t="shared" si="50"/>
        <v>#N/A</v>
      </c>
      <c r="AF315" s="4" t="e">
        <f t="shared" si="46"/>
        <v>#N/A</v>
      </c>
    </row>
    <row r="316" spans="2:32">
      <c r="B316" s="5">
        <f t="shared" si="51"/>
        <v>304</v>
      </c>
      <c r="C316" s="5"/>
      <c r="E316" s="13"/>
      <c r="F316" s="5"/>
      <c r="G316" s="11" t="str">
        <f>IF(ISERROR(AVERAGE(F$13:F316)),"n/a",AVERAGE(F$13:F316))</f>
        <v>n/a</v>
      </c>
      <c r="H316" s="11" t="str">
        <f t="shared" si="47"/>
        <v>n/a</v>
      </c>
      <c r="J316" s="5"/>
      <c r="K316" s="5"/>
      <c r="L316" s="5"/>
      <c r="M316" s="5"/>
      <c r="N316" s="5"/>
      <c r="O316" s="8" t="str">
        <f t="shared" si="45"/>
        <v>n/a</v>
      </c>
      <c r="Q316" s="5"/>
      <c r="R316" s="5"/>
      <c r="S316" s="5"/>
      <c r="U316" s="6"/>
      <c r="V316" s="9" t="str">
        <f t="shared" si="48"/>
        <v/>
      </c>
      <c r="W316" s="9" t="str">
        <f t="shared" si="49"/>
        <v/>
      </c>
      <c r="X316" s="10">
        <f>SUM(V$13:V316)/COUNTA(B$13:B316)</f>
        <v>0</v>
      </c>
      <c r="Z316" s="5"/>
      <c r="AA316" s="5"/>
      <c r="AC316" s="7"/>
      <c r="AE316" s="54" t="e">
        <f t="shared" si="50"/>
        <v>#N/A</v>
      </c>
      <c r="AF316" s="4" t="e">
        <f t="shared" si="46"/>
        <v>#N/A</v>
      </c>
    </row>
    <row r="317" spans="2:32">
      <c r="B317" s="5">
        <f t="shared" si="51"/>
        <v>305</v>
      </c>
      <c r="C317" s="5"/>
      <c r="E317" s="13"/>
      <c r="F317" s="5"/>
      <c r="G317" s="11" t="str">
        <f>IF(ISERROR(AVERAGE(F$13:F317)),"n/a",AVERAGE(F$13:F317))</f>
        <v>n/a</v>
      </c>
      <c r="H317" s="11" t="str">
        <f t="shared" si="47"/>
        <v>n/a</v>
      </c>
      <c r="J317" s="5"/>
      <c r="K317" s="5"/>
      <c r="L317" s="5"/>
      <c r="M317" s="5"/>
      <c r="N317" s="5"/>
      <c r="O317" s="8" t="str">
        <f t="shared" si="45"/>
        <v>n/a</v>
      </c>
      <c r="Q317" s="5"/>
      <c r="R317" s="5"/>
      <c r="S317" s="5"/>
      <c r="U317" s="6"/>
      <c r="V317" s="9" t="str">
        <f t="shared" si="48"/>
        <v/>
      </c>
      <c r="W317" s="9" t="str">
        <f t="shared" si="49"/>
        <v/>
      </c>
      <c r="X317" s="10">
        <f>SUM(V$13:V317)/COUNTA(B$13:B317)</f>
        <v>0</v>
      </c>
      <c r="Z317" s="5"/>
      <c r="AA317" s="5"/>
      <c r="AC317" s="7"/>
      <c r="AE317" s="54" t="e">
        <f t="shared" si="50"/>
        <v>#N/A</v>
      </c>
      <c r="AF317" s="4" t="e">
        <f t="shared" si="46"/>
        <v>#N/A</v>
      </c>
    </row>
    <row r="318" spans="2:32">
      <c r="B318" s="5">
        <f t="shared" si="51"/>
        <v>306</v>
      </c>
      <c r="C318" s="5"/>
      <c r="E318" s="13"/>
      <c r="F318" s="5"/>
      <c r="G318" s="11" t="str">
        <f>IF(ISERROR(AVERAGE(F$13:F318)),"n/a",AVERAGE(F$13:F318))</f>
        <v>n/a</v>
      </c>
      <c r="H318" s="11" t="str">
        <f t="shared" si="47"/>
        <v>n/a</v>
      </c>
      <c r="J318" s="5"/>
      <c r="K318" s="5"/>
      <c r="L318" s="5"/>
      <c r="M318" s="5"/>
      <c r="N318" s="5"/>
      <c r="O318" s="8" t="str">
        <f t="shared" si="45"/>
        <v>n/a</v>
      </c>
      <c r="Q318" s="5"/>
      <c r="R318" s="5"/>
      <c r="S318" s="5"/>
      <c r="U318" s="6"/>
      <c r="V318" s="9" t="str">
        <f t="shared" si="48"/>
        <v/>
      </c>
      <c r="W318" s="9" t="str">
        <f t="shared" si="49"/>
        <v/>
      </c>
      <c r="X318" s="10">
        <f>SUM(V$13:V318)/COUNTA(B$13:B318)</f>
        <v>0</v>
      </c>
      <c r="Z318" s="5"/>
      <c r="AA318" s="5"/>
      <c r="AC318" s="7"/>
      <c r="AE318" s="54" t="e">
        <f t="shared" si="50"/>
        <v>#N/A</v>
      </c>
      <c r="AF318" s="4" t="e">
        <f t="shared" si="46"/>
        <v>#N/A</v>
      </c>
    </row>
    <row r="319" spans="2:32">
      <c r="B319" s="5">
        <f t="shared" si="51"/>
        <v>307</v>
      </c>
      <c r="C319" s="5"/>
      <c r="E319" s="13"/>
      <c r="F319" s="5"/>
      <c r="G319" s="11" t="str">
        <f>IF(ISERROR(AVERAGE(F$13:F319)),"n/a",AVERAGE(F$13:F319))</f>
        <v>n/a</v>
      </c>
      <c r="H319" s="11" t="str">
        <f t="shared" si="47"/>
        <v>n/a</v>
      </c>
      <c r="J319" s="5"/>
      <c r="K319" s="5"/>
      <c r="L319" s="5"/>
      <c r="M319" s="5"/>
      <c r="N319" s="5"/>
      <c r="O319" s="8" t="str">
        <f t="shared" si="45"/>
        <v>n/a</v>
      </c>
      <c r="Q319" s="5"/>
      <c r="R319" s="5"/>
      <c r="S319" s="5"/>
      <c r="U319" s="6"/>
      <c r="V319" s="9" t="str">
        <f t="shared" si="48"/>
        <v/>
      </c>
      <c r="W319" s="9" t="str">
        <f t="shared" si="49"/>
        <v/>
      </c>
      <c r="X319" s="10">
        <f>SUM(V$13:V319)/COUNTA(B$13:B319)</f>
        <v>0</v>
      </c>
      <c r="Z319" s="5"/>
      <c r="AA319" s="5"/>
      <c r="AC319" s="7"/>
      <c r="AE319" s="54" t="e">
        <f t="shared" si="50"/>
        <v>#N/A</v>
      </c>
      <c r="AF319" s="4" t="e">
        <f t="shared" si="46"/>
        <v>#N/A</v>
      </c>
    </row>
    <row r="320" spans="2:32">
      <c r="B320" s="5">
        <f t="shared" si="51"/>
        <v>308</v>
      </c>
      <c r="C320" s="5"/>
      <c r="E320" s="13"/>
      <c r="F320" s="5"/>
      <c r="G320" s="11" t="str">
        <f>IF(ISERROR(AVERAGE(F$13:F320)),"n/a",AVERAGE(F$13:F320))</f>
        <v>n/a</v>
      </c>
      <c r="H320" s="11" t="str">
        <f t="shared" si="47"/>
        <v>n/a</v>
      </c>
      <c r="J320" s="5"/>
      <c r="K320" s="5"/>
      <c r="L320" s="5"/>
      <c r="M320" s="5"/>
      <c r="N320" s="5"/>
      <c r="O320" s="8" t="str">
        <f t="shared" si="45"/>
        <v>n/a</v>
      </c>
      <c r="Q320" s="5"/>
      <c r="R320" s="5"/>
      <c r="S320" s="5"/>
      <c r="U320" s="6"/>
      <c r="V320" s="9" t="str">
        <f t="shared" si="48"/>
        <v/>
      </c>
      <c r="W320" s="9" t="str">
        <f t="shared" si="49"/>
        <v/>
      </c>
      <c r="X320" s="10">
        <f>SUM(V$13:V320)/COUNTA(B$13:B320)</f>
        <v>0</v>
      </c>
      <c r="Z320" s="5"/>
      <c r="AA320" s="5"/>
      <c r="AC320" s="7"/>
      <c r="AE320" s="54" t="e">
        <f t="shared" si="50"/>
        <v>#N/A</v>
      </c>
      <c r="AF320" s="4" t="e">
        <f t="shared" si="46"/>
        <v>#N/A</v>
      </c>
    </row>
    <row r="321" spans="2:32">
      <c r="B321" s="5">
        <f t="shared" si="51"/>
        <v>309</v>
      </c>
      <c r="C321" s="5"/>
      <c r="E321" s="13"/>
      <c r="F321" s="5"/>
      <c r="G321" s="11" t="str">
        <f>IF(ISERROR(AVERAGE(F$13:F321)),"n/a",AVERAGE(F$13:F321))</f>
        <v>n/a</v>
      </c>
      <c r="H321" s="11" t="str">
        <f t="shared" si="47"/>
        <v>n/a</v>
      </c>
      <c r="J321" s="5"/>
      <c r="K321" s="5"/>
      <c r="L321" s="5"/>
      <c r="M321" s="5"/>
      <c r="N321" s="5"/>
      <c r="O321" s="8" t="str">
        <f t="shared" si="45"/>
        <v>n/a</v>
      </c>
      <c r="Q321" s="5"/>
      <c r="R321" s="5"/>
      <c r="S321" s="5"/>
      <c r="U321" s="6"/>
      <c r="V321" s="9" t="str">
        <f t="shared" si="48"/>
        <v/>
      </c>
      <c r="W321" s="9" t="str">
        <f t="shared" si="49"/>
        <v/>
      </c>
      <c r="X321" s="10">
        <f>SUM(V$13:V321)/COUNTA(B$13:B321)</f>
        <v>0</v>
      </c>
      <c r="Z321" s="5"/>
      <c r="AA321" s="5"/>
      <c r="AC321" s="7"/>
      <c r="AE321" s="54" t="e">
        <f t="shared" si="50"/>
        <v>#N/A</v>
      </c>
      <c r="AF321" s="4" t="e">
        <f t="shared" si="46"/>
        <v>#N/A</v>
      </c>
    </row>
    <row r="322" spans="2:32">
      <c r="B322" s="5">
        <f t="shared" si="51"/>
        <v>310</v>
      </c>
      <c r="C322" s="5"/>
      <c r="E322" s="13"/>
      <c r="F322" s="5"/>
      <c r="G322" s="11" t="str">
        <f>IF(ISERROR(AVERAGE(F$13:F322)),"n/a",AVERAGE(F$13:F322))</f>
        <v>n/a</v>
      </c>
      <c r="H322" s="11" t="str">
        <f t="shared" si="47"/>
        <v>n/a</v>
      </c>
      <c r="J322" s="5"/>
      <c r="K322" s="5"/>
      <c r="L322" s="5"/>
      <c r="M322" s="5"/>
      <c r="N322" s="5"/>
      <c r="O322" s="8" t="str">
        <f t="shared" si="45"/>
        <v>n/a</v>
      </c>
      <c r="Q322" s="5"/>
      <c r="R322" s="5"/>
      <c r="S322" s="5"/>
      <c r="U322" s="6"/>
      <c r="V322" s="9" t="str">
        <f t="shared" si="48"/>
        <v/>
      </c>
      <c r="W322" s="9" t="str">
        <f t="shared" si="49"/>
        <v/>
      </c>
      <c r="X322" s="10">
        <f>SUM(V$13:V322)/COUNTA(B$13:B322)</f>
        <v>0</v>
      </c>
      <c r="Z322" s="5"/>
      <c r="AA322" s="5"/>
      <c r="AC322" s="7"/>
      <c r="AE322" s="54" t="e">
        <f t="shared" si="50"/>
        <v>#N/A</v>
      </c>
      <c r="AF322" s="4" t="e">
        <f t="shared" si="46"/>
        <v>#N/A</v>
      </c>
    </row>
    <row r="323" spans="2:32">
      <c r="B323" s="5">
        <f t="shared" si="51"/>
        <v>311</v>
      </c>
      <c r="C323" s="5"/>
      <c r="E323" s="13"/>
      <c r="F323" s="5"/>
      <c r="G323" s="11" t="str">
        <f>IF(ISERROR(AVERAGE(F$13:F323)),"n/a",AVERAGE(F$13:F323))</f>
        <v>n/a</v>
      </c>
      <c r="H323" s="11" t="str">
        <f t="shared" si="47"/>
        <v>n/a</v>
      </c>
      <c r="J323" s="5"/>
      <c r="K323" s="5"/>
      <c r="L323" s="5"/>
      <c r="M323" s="5"/>
      <c r="N323" s="5"/>
      <c r="O323" s="8" t="str">
        <f t="shared" si="45"/>
        <v>n/a</v>
      </c>
      <c r="Q323" s="5"/>
      <c r="R323" s="5"/>
      <c r="S323" s="5"/>
      <c r="U323" s="6"/>
      <c r="V323" s="9" t="str">
        <f t="shared" si="48"/>
        <v/>
      </c>
      <c r="W323" s="9" t="str">
        <f t="shared" si="49"/>
        <v/>
      </c>
      <c r="X323" s="10">
        <f>SUM(V$13:V323)/COUNTA(B$13:B323)</f>
        <v>0</v>
      </c>
      <c r="Z323" s="5"/>
      <c r="AA323" s="5"/>
      <c r="AC323" s="7"/>
      <c r="AE323" s="54" t="e">
        <f t="shared" si="50"/>
        <v>#N/A</v>
      </c>
      <c r="AF323" s="4" t="e">
        <f t="shared" si="46"/>
        <v>#N/A</v>
      </c>
    </row>
    <row r="324" spans="2:32">
      <c r="B324" s="5">
        <f t="shared" si="51"/>
        <v>312</v>
      </c>
      <c r="C324" s="5"/>
      <c r="E324" s="13"/>
      <c r="F324" s="5"/>
      <c r="G324" s="11" t="str">
        <f>IF(ISERROR(AVERAGE(F$13:F324)),"n/a",AVERAGE(F$13:F324))</f>
        <v>n/a</v>
      </c>
      <c r="H324" s="11" t="str">
        <f t="shared" si="47"/>
        <v>n/a</v>
      </c>
      <c r="J324" s="5"/>
      <c r="K324" s="5"/>
      <c r="L324" s="5"/>
      <c r="M324" s="5"/>
      <c r="N324" s="5"/>
      <c r="O324" s="8" t="str">
        <f t="shared" si="45"/>
        <v>n/a</v>
      </c>
      <c r="Q324" s="5"/>
      <c r="R324" s="5"/>
      <c r="S324" s="5"/>
      <c r="U324" s="6"/>
      <c r="V324" s="9" t="str">
        <f t="shared" si="48"/>
        <v/>
      </c>
      <c r="W324" s="9" t="str">
        <f t="shared" si="49"/>
        <v/>
      </c>
      <c r="X324" s="10">
        <f>SUM(V$13:V324)/COUNTA(B$13:B324)</f>
        <v>0</v>
      </c>
      <c r="Z324" s="5"/>
      <c r="AA324" s="5"/>
      <c r="AC324" s="7"/>
      <c r="AE324" s="54" t="e">
        <f t="shared" si="50"/>
        <v>#N/A</v>
      </c>
      <c r="AF324" s="4" t="e">
        <f t="shared" si="46"/>
        <v>#N/A</v>
      </c>
    </row>
    <row r="325" spans="2:32">
      <c r="B325" s="5">
        <f t="shared" si="51"/>
        <v>313</v>
      </c>
      <c r="C325" s="5"/>
      <c r="E325" s="13"/>
      <c r="F325" s="5"/>
      <c r="G325" s="11" t="str">
        <f>IF(ISERROR(AVERAGE(F$13:F325)),"n/a",AVERAGE(F$13:F325))</f>
        <v>n/a</v>
      </c>
      <c r="H325" s="11" t="str">
        <f t="shared" si="47"/>
        <v>n/a</v>
      </c>
      <c r="J325" s="5"/>
      <c r="K325" s="5"/>
      <c r="L325" s="5"/>
      <c r="M325" s="5"/>
      <c r="N325" s="5"/>
      <c r="O325" s="8" t="str">
        <f t="shared" si="45"/>
        <v>n/a</v>
      </c>
      <c r="Q325" s="5"/>
      <c r="R325" s="5"/>
      <c r="S325" s="5"/>
      <c r="U325" s="6"/>
      <c r="V325" s="9" t="str">
        <f t="shared" si="48"/>
        <v/>
      </c>
      <c r="W325" s="9" t="str">
        <f t="shared" si="49"/>
        <v/>
      </c>
      <c r="X325" s="10">
        <f>SUM(V$13:V325)/COUNTA(B$13:B325)</f>
        <v>0</v>
      </c>
      <c r="Z325" s="5"/>
      <c r="AA325" s="5"/>
      <c r="AC325" s="7"/>
      <c r="AE325" s="54" t="e">
        <f t="shared" si="50"/>
        <v>#N/A</v>
      </c>
      <c r="AF325" s="4" t="e">
        <f t="shared" si="46"/>
        <v>#N/A</v>
      </c>
    </row>
    <row r="326" spans="2:32">
      <c r="B326" s="5">
        <f t="shared" si="51"/>
        <v>314</v>
      </c>
      <c r="C326" s="5"/>
      <c r="E326" s="13"/>
      <c r="F326" s="5"/>
      <c r="G326" s="11" t="str">
        <f>IF(ISERROR(AVERAGE(F$13:F326)),"n/a",AVERAGE(F$13:F326))</f>
        <v>n/a</v>
      </c>
      <c r="H326" s="11" t="str">
        <f t="shared" si="47"/>
        <v>n/a</v>
      </c>
      <c r="J326" s="5"/>
      <c r="K326" s="5"/>
      <c r="L326" s="5"/>
      <c r="M326" s="5"/>
      <c r="N326" s="5"/>
      <c r="O326" s="8" t="str">
        <f t="shared" si="45"/>
        <v>n/a</v>
      </c>
      <c r="Q326" s="5"/>
      <c r="R326" s="5"/>
      <c r="S326" s="5"/>
      <c r="U326" s="6"/>
      <c r="V326" s="9" t="str">
        <f t="shared" si="48"/>
        <v/>
      </c>
      <c r="W326" s="9" t="str">
        <f t="shared" si="49"/>
        <v/>
      </c>
      <c r="X326" s="10">
        <f>SUM(V$13:V326)/COUNTA(B$13:B326)</f>
        <v>0</v>
      </c>
      <c r="Z326" s="5"/>
      <c r="AA326" s="5"/>
      <c r="AC326" s="7"/>
      <c r="AE326" s="54" t="e">
        <f t="shared" si="50"/>
        <v>#N/A</v>
      </c>
      <c r="AF326" s="4" t="e">
        <f t="shared" si="46"/>
        <v>#N/A</v>
      </c>
    </row>
    <row r="327" spans="2:32">
      <c r="B327" s="5">
        <f t="shared" si="51"/>
        <v>315</v>
      </c>
      <c r="C327" s="5"/>
      <c r="E327" s="13"/>
      <c r="F327" s="5"/>
      <c r="G327" s="11" t="str">
        <f>IF(ISERROR(AVERAGE(F$13:F327)),"n/a",AVERAGE(F$13:F327))</f>
        <v>n/a</v>
      </c>
      <c r="H327" s="11" t="str">
        <f t="shared" si="47"/>
        <v>n/a</v>
      </c>
      <c r="J327" s="5"/>
      <c r="K327" s="5"/>
      <c r="L327" s="5"/>
      <c r="M327" s="5"/>
      <c r="N327" s="5"/>
      <c r="O327" s="8" t="str">
        <f t="shared" si="45"/>
        <v>n/a</v>
      </c>
      <c r="Q327" s="5"/>
      <c r="R327" s="5"/>
      <c r="S327" s="5"/>
      <c r="U327" s="6"/>
      <c r="V327" s="9" t="str">
        <f t="shared" si="48"/>
        <v/>
      </c>
      <c r="W327" s="9" t="str">
        <f t="shared" si="49"/>
        <v/>
      </c>
      <c r="X327" s="10">
        <f>SUM(V$13:V327)/COUNTA(B$13:B327)</f>
        <v>0</v>
      </c>
      <c r="Z327" s="5"/>
      <c r="AA327" s="5"/>
      <c r="AC327" s="7"/>
      <c r="AE327" s="54" t="e">
        <f t="shared" si="50"/>
        <v>#N/A</v>
      </c>
      <c r="AF327" s="4" t="e">
        <f t="shared" si="46"/>
        <v>#N/A</v>
      </c>
    </row>
    <row r="328" spans="2:32">
      <c r="B328" s="5">
        <f t="shared" si="51"/>
        <v>316</v>
      </c>
      <c r="C328" s="5"/>
      <c r="E328" s="13"/>
      <c r="F328" s="5"/>
      <c r="G328" s="11" t="str">
        <f>IF(ISERROR(AVERAGE(F$13:F328)),"n/a",AVERAGE(F$13:F328))</f>
        <v>n/a</v>
      </c>
      <c r="H328" s="11" t="str">
        <f t="shared" si="47"/>
        <v>n/a</v>
      </c>
      <c r="J328" s="5"/>
      <c r="K328" s="5"/>
      <c r="L328" s="5"/>
      <c r="M328" s="5"/>
      <c r="N328" s="5"/>
      <c r="O328" s="8" t="str">
        <f t="shared" si="45"/>
        <v>n/a</v>
      </c>
      <c r="Q328" s="5"/>
      <c r="R328" s="5"/>
      <c r="S328" s="5"/>
      <c r="U328" s="6"/>
      <c r="V328" s="9" t="str">
        <f t="shared" si="48"/>
        <v/>
      </c>
      <c r="W328" s="9" t="str">
        <f t="shared" si="49"/>
        <v/>
      </c>
      <c r="X328" s="10">
        <f>SUM(V$13:V328)/COUNTA(B$13:B328)</f>
        <v>0</v>
      </c>
      <c r="Z328" s="5"/>
      <c r="AA328" s="5"/>
      <c r="AC328" s="7"/>
      <c r="AE328" s="54" t="e">
        <f t="shared" si="50"/>
        <v>#N/A</v>
      </c>
      <c r="AF328" s="4" t="e">
        <f t="shared" si="46"/>
        <v>#N/A</v>
      </c>
    </row>
    <row r="329" spans="2:32">
      <c r="B329" s="5">
        <f t="shared" si="51"/>
        <v>317</v>
      </c>
      <c r="C329" s="5"/>
      <c r="E329" s="13"/>
      <c r="F329" s="5"/>
      <c r="G329" s="11" t="str">
        <f>IF(ISERROR(AVERAGE(F$13:F329)),"n/a",AVERAGE(F$13:F329))</f>
        <v>n/a</v>
      </c>
      <c r="H329" s="11" t="str">
        <f t="shared" si="47"/>
        <v>n/a</v>
      </c>
      <c r="J329" s="5"/>
      <c r="K329" s="5"/>
      <c r="L329" s="5"/>
      <c r="M329" s="5"/>
      <c r="N329" s="5"/>
      <c r="O329" s="8" t="str">
        <f t="shared" si="45"/>
        <v>n/a</v>
      </c>
      <c r="Q329" s="5"/>
      <c r="R329" s="5"/>
      <c r="S329" s="5"/>
      <c r="U329" s="6"/>
      <c r="V329" s="9" t="str">
        <f t="shared" si="48"/>
        <v/>
      </c>
      <c r="W329" s="9" t="str">
        <f t="shared" si="49"/>
        <v/>
      </c>
      <c r="X329" s="10">
        <f>SUM(V$13:V329)/COUNTA(B$13:B329)</f>
        <v>0</v>
      </c>
      <c r="Z329" s="5"/>
      <c r="AA329" s="5"/>
      <c r="AC329" s="7"/>
      <c r="AE329" s="54" t="e">
        <f t="shared" si="50"/>
        <v>#N/A</v>
      </c>
      <c r="AF329" s="4" t="e">
        <f t="shared" si="46"/>
        <v>#N/A</v>
      </c>
    </row>
    <row r="330" spans="2:32">
      <c r="B330" s="5">
        <f t="shared" si="51"/>
        <v>318</v>
      </c>
      <c r="C330" s="5"/>
      <c r="E330" s="13"/>
      <c r="F330" s="5"/>
      <c r="G330" s="11" t="str">
        <f>IF(ISERROR(AVERAGE(F$13:F330)),"n/a",AVERAGE(F$13:F330))</f>
        <v>n/a</v>
      </c>
      <c r="H330" s="11" t="str">
        <f t="shared" si="47"/>
        <v>n/a</v>
      </c>
      <c r="J330" s="5"/>
      <c r="K330" s="5"/>
      <c r="L330" s="5"/>
      <c r="M330" s="5"/>
      <c r="N330" s="5"/>
      <c r="O330" s="8" t="str">
        <f t="shared" si="45"/>
        <v>n/a</v>
      </c>
      <c r="Q330" s="5"/>
      <c r="R330" s="5"/>
      <c r="S330" s="5"/>
      <c r="U330" s="6"/>
      <c r="V330" s="9" t="str">
        <f t="shared" si="48"/>
        <v/>
      </c>
      <c r="W330" s="9" t="str">
        <f t="shared" si="49"/>
        <v/>
      </c>
      <c r="X330" s="10">
        <f>SUM(V$13:V330)/COUNTA(B$13:B330)</f>
        <v>0</v>
      </c>
      <c r="Z330" s="5"/>
      <c r="AA330" s="5"/>
      <c r="AC330" s="7"/>
      <c r="AE330" s="54" t="e">
        <f t="shared" si="50"/>
        <v>#N/A</v>
      </c>
      <c r="AF330" s="4" t="e">
        <f t="shared" si="46"/>
        <v>#N/A</v>
      </c>
    </row>
    <row r="331" spans="2:32">
      <c r="B331" s="5">
        <f t="shared" si="51"/>
        <v>319</v>
      </c>
      <c r="C331" s="5"/>
      <c r="E331" s="13"/>
      <c r="F331" s="5"/>
      <c r="G331" s="11" t="str">
        <f>IF(ISERROR(AVERAGE(F$13:F331)),"n/a",AVERAGE(F$13:F331))</f>
        <v>n/a</v>
      </c>
      <c r="H331" s="11" t="str">
        <f t="shared" si="47"/>
        <v>n/a</v>
      </c>
      <c r="J331" s="5"/>
      <c r="K331" s="5"/>
      <c r="L331" s="5"/>
      <c r="M331" s="5"/>
      <c r="N331" s="5"/>
      <c r="O331" s="8" t="str">
        <f t="shared" si="45"/>
        <v>n/a</v>
      </c>
      <c r="Q331" s="5"/>
      <c r="R331" s="5"/>
      <c r="S331" s="5"/>
      <c r="U331" s="6"/>
      <c r="V331" s="9" t="str">
        <f t="shared" si="48"/>
        <v/>
      </c>
      <c r="W331" s="9" t="str">
        <f t="shared" si="49"/>
        <v/>
      </c>
      <c r="X331" s="10">
        <f>SUM(V$13:V331)/COUNTA(B$13:B331)</f>
        <v>0</v>
      </c>
      <c r="Z331" s="5"/>
      <c r="AA331" s="5"/>
      <c r="AC331" s="7"/>
      <c r="AE331" s="54" t="e">
        <f t="shared" si="50"/>
        <v>#N/A</v>
      </c>
      <c r="AF331" s="4" t="e">
        <f t="shared" si="46"/>
        <v>#N/A</v>
      </c>
    </row>
    <row r="332" spans="2:32">
      <c r="B332" s="5">
        <f t="shared" si="51"/>
        <v>320</v>
      </c>
      <c r="C332" s="5"/>
      <c r="E332" s="13"/>
      <c r="F332" s="5"/>
      <c r="G332" s="11" t="str">
        <f>IF(ISERROR(AVERAGE(F$13:F332)),"n/a",AVERAGE(F$13:F332))</f>
        <v>n/a</v>
      </c>
      <c r="H332" s="11" t="str">
        <f t="shared" si="47"/>
        <v>n/a</v>
      </c>
      <c r="J332" s="5"/>
      <c r="K332" s="5"/>
      <c r="L332" s="5"/>
      <c r="M332" s="5"/>
      <c r="N332" s="5"/>
      <c r="O332" s="8" t="str">
        <f t="shared" si="45"/>
        <v>n/a</v>
      </c>
      <c r="Q332" s="5"/>
      <c r="R332" s="5"/>
      <c r="S332" s="5"/>
      <c r="U332" s="6"/>
      <c r="V332" s="9" t="str">
        <f t="shared" si="48"/>
        <v/>
      </c>
      <c r="W332" s="9" t="str">
        <f t="shared" si="49"/>
        <v/>
      </c>
      <c r="X332" s="10">
        <f>SUM(V$13:V332)/COUNTA(B$13:B332)</f>
        <v>0</v>
      </c>
      <c r="Z332" s="5"/>
      <c r="AA332" s="5"/>
      <c r="AC332" s="7"/>
      <c r="AE332" s="54" t="e">
        <f t="shared" si="50"/>
        <v>#N/A</v>
      </c>
      <c r="AF332" s="4" t="e">
        <f t="shared" si="46"/>
        <v>#N/A</v>
      </c>
    </row>
    <row r="333" spans="2:32">
      <c r="B333" s="5">
        <f t="shared" si="51"/>
        <v>321</v>
      </c>
      <c r="C333" s="5"/>
      <c r="E333" s="13"/>
      <c r="F333" s="5"/>
      <c r="G333" s="11" t="str">
        <f>IF(ISERROR(AVERAGE(F$13:F333)),"n/a",AVERAGE(F$13:F333))</f>
        <v>n/a</v>
      </c>
      <c r="H333" s="11" t="str">
        <f t="shared" si="47"/>
        <v>n/a</v>
      </c>
      <c r="J333" s="5"/>
      <c r="K333" s="5"/>
      <c r="L333" s="5"/>
      <c r="M333" s="5"/>
      <c r="N333" s="5"/>
      <c r="O333" s="8" t="str">
        <f t="shared" ref="O333:O396" si="52">IF(J333=1,"A",IF(K333=1,"B",IF(L333=1,"C",IF(M333=1,"D",IF(N333=1,"E","n/a")))))</f>
        <v>n/a</v>
      </c>
      <c r="Q333" s="5"/>
      <c r="R333" s="5"/>
      <c r="S333" s="5"/>
      <c r="U333" s="6"/>
      <c r="V333" s="9" t="str">
        <f t="shared" si="48"/>
        <v/>
      </c>
      <c r="W333" s="9" t="str">
        <f t="shared" si="49"/>
        <v/>
      </c>
      <c r="X333" s="10">
        <f>SUM(V$13:V333)/COUNTA(B$13:B333)</f>
        <v>0</v>
      </c>
      <c r="Z333" s="5"/>
      <c r="AA333" s="5"/>
      <c r="AC333" s="7"/>
      <c r="AE333" s="54" t="e">
        <f t="shared" si="50"/>
        <v>#N/A</v>
      </c>
      <c r="AF333" s="4" t="e">
        <f t="shared" ref="AF333:AF396" si="53">HLOOKUP(C333,$K$6:$O$7,2,FALSE)</f>
        <v>#N/A</v>
      </c>
    </row>
    <row r="334" spans="2:32">
      <c r="B334" s="5">
        <f t="shared" si="51"/>
        <v>322</v>
      </c>
      <c r="C334" s="5"/>
      <c r="E334" s="13"/>
      <c r="F334" s="5"/>
      <c r="G334" s="11" t="str">
        <f>IF(ISERROR(AVERAGE(F$13:F334)),"n/a",AVERAGE(F$13:F334))</f>
        <v>n/a</v>
      </c>
      <c r="H334" s="11" t="str">
        <f t="shared" ref="H334:H397" si="54">G334</f>
        <v>n/a</v>
      </c>
      <c r="J334" s="5"/>
      <c r="K334" s="5"/>
      <c r="L334" s="5"/>
      <c r="M334" s="5"/>
      <c r="N334" s="5"/>
      <c r="O334" s="8" t="str">
        <f t="shared" si="52"/>
        <v>n/a</v>
      </c>
      <c r="Q334" s="5"/>
      <c r="R334" s="5"/>
      <c r="S334" s="5"/>
      <c r="U334" s="6"/>
      <c r="V334" s="9" t="str">
        <f t="shared" ref="V334:V397" si="55">IF(O334="n/a","",IF(O334=U334,1,""))</f>
        <v/>
      </c>
      <c r="W334" s="9" t="str">
        <f t="shared" ref="W334:W397" si="56">IF(O334="n/a","",IF(O334&lt;&gt;U334,1,""))</f>
        <v/>
      </c>
      <c r="X334" s="10">
        <f>SUM(V$13:V334)/COUNTA(B$13:B334)</f>
        <v>0</v>
      </c>
      <c r="Z334" s="5"/>
      <c r="AA334" s="5"/>
      <c r="AC334" s="7"/>
      <c r="AE334" s="54" t="e">
        <f t="shared" ref="AE334:AE397" si="57">+IF($F$4=0,0,IF(W334=1,1,IF(OR(R334*$F$8=1,S334*$F$9=1,F334&gt;=AF334),2,0)))</f>
        <v>#N/A</v>
      </c>
      <c r="AF334" s="4" t="e">
        <f t="shared" si="53"/>
        <v>#N/A</v>
      </c>
    </row>
    <row r="335" spans="2:32">
      <c r="B335" s="5">
        <f t="shared" si="51"/>
        <v>323</v>
      </c>
      <c r="C335" s="5"/>
      <c r="E335" s="13"/>
      <c r="F335" s="5"/>
      <c r="G335" s="11" t="str">
        <f>IF(ISERROR(AVERAGE(F$13:F335)),"n/a",AVERAGE(F$13:F335))</f>
        <v>n/a</v>
      </c>
      <c r="H335" s="11" t="str">
        <f t="shared" si="54"/>
        <v>n/a</v>
      </c>
      <c r="J335" s="5"/>
      <c r="K335" s="5"/>
      <c r="L335" s="5"/>
      <c r="M335" s="5"/>
      <c r="N335" s="5"/>
      <c r="O335" s="8" t="str">
        <f t="shared" si="52"/>
        <v>n/a</v>
      </c>
      <c r="Q335" s="5"/>
      <c r="R335" s="5"/>
      <c r="S335" s="5"/>
      <c r="U335" s="6"/>
      <c r="V335" s="9" t="str">
        <f t="shared" si="55"/>
        <v/>
      </c>
      <c r="W335" s="9" t="str">
        <f t="shared" si="56"/>
        <v/>
      </c>
      <c r="X335" s="10">
        <f>SUM(V$13:V335)/COUNTA(B$13:B335)</f>
        <v>0</v>
      </c>
      <c r="Z335" s="5"/>
      <c r="AA335" s="5"/>
      <c r="AC335" s="7"/>
      <c r="AE335" s="54" t="e">
        <f t="shared" si="57"/>
        <v>#N/A</v>
      </c>
      <c r="AF335" s="4" t="e">
        <f t="shared" si="53"/>
        <v>#N/A</v>
      </c>
    </row>
    <row r="336" spans="2:32">
      <c r="B336" s="5">
        <f t="shared" si="51"/>
        <v>324</v>
      </c>
      <c r="C336" s="5"/>
      <c r="E336" s="13"/>
      <c r="F336" s="5"/>
      <c r="G336" s="11" t="str">
        <f>IF(ISERROR(AVERAGE(F$13:F336)),"n/a",AVERAGE(F$13:F336))</f>
        <v>n/a</v>
      </c>
      <c r="H336" s="11" t="str">
        <f t="shared" si="54"/>
        <v>n/a</v>
      </c>
      <c r="J336" s="5"/>
      <c r="K336" s="5"/>
      <c r="L336" s="5"/>
      <c r="M336" s="5"/>
      <c r="N336" s="5"/>
      <c r="O336" s="8" t="str">
        <f t="shared" si="52"/>
        <v>n/a</v>
      </c>
      <c r="Q336" s="5"/>
      <c r="R336" s="5"/>
      <c r="S336" s="5"/>
      <c r="U336" s="6"/>
      <c r="V336" s="9" t="str">
        <f t="shared" si="55"/>
        <v/>
      </c>
      <c r="W336" s="9" t="str">
        <f t="shared" si="56"/>
        <v/>
      </c>
      <c r="X336" s="10">
        <f>SUM(V$13:V336)/COUNTA(B$13:B336)</f>
        <v>0</v>
      </c>
      <c r="Z336" s="5"/>
      <c r="AA336" s="5"/>
      <c r="AC336" s="7"/>
      <c r="AE336" s="54" t="e">
        <f t="shared" si="57"/>
        <v>#N/A</v>
      </c>
      <c r="AF336" s="4" t="e">
        <f t="shared" si="53"/>
        <v>#N/A</v>
      </c>
    </row>
    <row r="337" spans="2:32">
      <c r="B337" s="5">
        <f t="shared" si="51"/>
        <v>325</v>
      </c>
      <c r="C337" s="5"/>
      <c r="E337" s="13"/>
      <c r="F337" s="5"/>
      <c r="G337" s="11" t="str">
        <f>IF(ISERROR(AVERAGE(F$13:F337)),"n/a",AVERAGE(F$13:F337))</f>
        <v>n/a</v>
      </c>
      <c r="H337" s="11" t="str">
        <f t="shared" si="54"/>
        <v>n/a</v>
      </c>
      <c r="J337" s="5"/>
      <c r="K337" s="5"/>
      <c r="L337" s="5"/>
      <c r="M337" s="5"/>
      <c r="N337" s="5"/>
      <c r="O337" s="8" t="str">
        <f t="shared" si="52"/>
        <v>n/a</v>
      </c>
      <c r="Q337" s="5"/>
      <c r="R337" s="5"/>
      <c r="S337" s="5"/>
      <c r="U337" s="6"/>
      <c r="V337" s="9" t="str">
        <f t="shared" si="55"/>
        <v/>
      </c>
      <c r="W337" s="9" t="str">
        <f t="shared" si="56"/>
        <v/>
      </c>
      <c r="X337" s="10">
        <f>SUM(V$13:V337)/COUNTA(B$13:B337)</f>
        <v>0</v>
      </c>
      <c r="Z337" s="5"/>
      <c r="AA337" s="5"/>
      <c r="AC337" s="7"/>
      <c r="AE337" s="54" t="e">
        <f t="shared" si="57"/>
        <v>#N/A</v>
      </c>
      <c r="AF337" s="4" t="e">
        <f t="shared" si="53"/>
        <v>#N/A</v>
      </c>
    </row>
    <row r="338" spans="2:32">
      <c r="B338" s="5">
        <f t="shared" si="51"/>
        <v>326</v>
      </c>
      <c r="C338" s="5"/>
      <c r="E338" s="13"/>
      <c r="F338" s="5"/>
      <c r="G338" s="11" t="str">
        <f>IF(ISERROR(AVERAGE(F$13:F338)),"n/a",AVERAGE(F$13:F338))</f>
        <v>n/a</v>
      </c>
      <c r="H338" s="11" t="str">
        <f t="shared" si="54"/>
        <v>n/a</v>
      </c>
      <c r="J338" s="5"/>
      <c r="K338" s="5"/>
      <c r="L338" s="5"/>
      <c r="M338" s="5"/>
      <c r="N338" s="5"/>
      <c r="O338" s="8" t="str">
        <f t="shared" si="52"/>
        <v>n/a</v>
      </c>
      <c r="Q338" s="5"/>
      <c r="R338" s="5"/>
      <c r="S338" s="5"/>
      <c r="U338" s="6"/>
      <c r="V338" s="9" t="str">
        <f t="shared" si="55"/>
        <v/>
      </c>
      <c r="W338" s="9" t="str">
        <f t="shared" si="56"/>
        <v/>
      </c>
      <c r="X338" s="10">
        <f>SUM(V$13:V338)/COUNTA(B$13:B338)</f>
        <v>0</v>
      </c>
      <c r="Z338" s="5"/>
      <c r="AA338" s="5"/>
      <c r="AC338" s="7"/>
      <c r="AE338" s="54" t="e">
        <f t="shared" si="57"/>
        <v>#N/A</v>
      </c>
      <c r="AF338" s="4" t="e">
        <f t="shared" si="53"/>
        <v>#N/A</v>
      </c>
    </row>
    <row r="339" spans="2:32">
      <c r="B339" s="5">
        <f t="shared" ref="B339:B402" si="58">+B338+1</f>
        <v>327</v>
      </c>
      <c r="C339" s="5"/>
      <c r="E339" s="13"/>
      <c r="F339" s="5"/>
      <c r="G339" s="11" t="str">
        <f>IF(ISERROR(AVERAGE(F$13:F339)),"n/a",AVERAGE(F$13:F339))</f>
        <v>n/a</v>
      </c>
      <c r="H339" s="11" t="str">
        <f t="shared" si="54"/>
        <v>n/a</v>
      </c>
      <c r="J339" s="5"/>
      <c r="K339" s="5"/>
      <c r="L339" s="5"/>
      <c r="M339" s="5"/>
      <c r="N339" s="5"/>
      <c r="O339" s="8" t="str">
        <f t="shared" si="52"/>
        <v>n/a</v>
      </c>
      <c r="Q339" s="5"/>
      <c r="R339" s="5"/>
      <c r="S339" s="5"/>
      <c r="U339" s="6"/>
      <c r="V339" s="9" t="str">
        <f t="shared" si="55"/>
        <v/>
      </c>
      <c r="W339" s="9" t="str">
        <f t="shared" si="56"/>
        <v/>
      </c>
      <c r="X339" s="10">
        <f>SUM(V$13:V339)/COUNTA(B$13:B339)</f>
        <v>0</v>
      </c>
      <c r="Z339" s="5"/>
      <c r="AA339" s="5"/>
      <c r="AC339" s="7"/>
      <c r="AE339" s="54" t="e">
        <f t="shared" si="57"/>
        <v>#N/A</v>
      </c>
      <c r="AF339" s="4" t="e">
        <f t="shared" si="53"/>
        <v>#N/A</v>
      </c>
    </row>
    <row r="340" spans="2:32">
      <c r="B340" s="5">
        <f t="shared" si="58"/>
        <v>328</v>
      </c>
      <c r="C340" s="5"/>
      <c r="E340" s="13"/>
      <c r="F340" s="5"/>
      <c r="G340" s="11" t="str">
        <f>IF(ISERROR(AVERAGE(F$13:F340)),"n/a",AVERAGE(F$13:F340))</f>
        <v>n/a</v>
      </c>
      <c r="H340" s="11" t="str">
        <f t="shared" si="54"/>
        <v>n/a</v>
      </c>
      <c r="J340" s="5"/>
      <c r="K340" s="5"/>
      <c r="L340" s="5"/>
      <c r="M340" s="5"/>
      <c r="N340" s="5"/>
      <c r="O340" s="8" t="str">
        <f t="shared" si="52"/>
        <v>n/a</v>
      </c>
      <c r="Q340" s="5"/>
      <c r="R340" s="5"/>
      <c r="S340" s="5"/>
      <c r="U340" s="6"/>
      <c r="V340" s="9" t="str">
        <f t="shared" si="55"/>
        <v/>
      </c>
      <c r="W340" s="9" t="str">
        <f t="shared" si="56"/>
        <v/>
      </c>
      <c r="X340" s="10">
        <f>SUM(V$13:V340)/COUNTA(B$13:B340)</f>
        <v>0</v>
      </c>
      <c r="Z340" s="5"/>
      <c r="AA340" s="5"/>
      <c r="AC340" s="7"/>
      <c r="AE340" s="54" t="e">
        <f t="shared" si="57"/>
        <v>#N/A</v>
      </c>
      <c r="AF340" s="4" t="e">
        <f t="shared" si="53"/>
        <v>#N/A</v>
      </c>
    </row>
    <row r="341" spans="2:32">
      <c r="B341" s="5">
        <f t="shared" si="58"/>
        <v>329</v>
      </c>
      <c r="C341" s="5"/>
      <c r="E341" s="13"/>
      <c r="F341" s="5"/>
      <c r="G341" s="11" t="str">
        <f>IF(ISERROR(AVERAGE(F$13:F341)),"n/a",AVERAGE(F$13:F341))</f>
        <v>n/a</v>
      </c>
      <c r="H341" s="11" t="str">
        <f t="shared" si="54"/>
        <v>n/a</v>
      </c>
      <c r="J341" s="5"/>
      <c r="K341" s="5"/>
      <c r="L341" s="5"/>
      <c r="M341" s="5"/>
      <c r="N341" s="5"/>
      <c r="O341" s="8" t="str">
        <f t="shared" si="52"/>
        <v>n/a</v>
      </c>
      <c r="Q341" s="5"/>
      <c r="R341" s="5"/>
      <c r="S341" s="5"/>
      <c r="U341" s="6"/>
      <c r="V341" s="9" t="str">
        <f t="shared" si="55"/>
        <v/>
      </c>
      <c r="W341" s="9" t="str">
        <f t="shared" si="56"/>
        <v/>
      </c>
      <c r="X341" s="10">
        <f>SUM(V$13:V341)/COUNTA(B$13:B341)</f>
        <v>0</v>
      </c>
      <c r="Z341" s="5"/>
      <c r="AA341" s="5"/>
      <c r="AC341" s="7"/>
      <c r="AE341" s="54" t="e">
        <f t="shared" si="57"/>
        <v>#N/A</v>
      </c>
      <c r="AF341" s="4" t="e">
        <f t="shared" si="53"/>
        <v>#N/A</v>
      </c>
    </row>
    <row r="342" spans="2:32">
      <c r="B342" s="5">
        <f t="shared" si="58"/>
        <v>330</v>
      </c>
      <c r="C342" s="5"/>
      <c r="E342" s="13"/>
      <c r="F342" s="5"/>
      <c r="G342" s="11" t="str">
        <f>IF(ISERROR(AVERAGE(F$13:F342)),"n/a",AVERAGE(F$13:F342))</f>
        <v>n/a</v>
      </c>
      <c r="H342" s="11" t="str">
        <f t="shared" si="54"/>
        <v>n/a</v>
      </c>
      <c r="J342" s="5"/>
      <c r="K342" s="5"/>
      <c r="L342" s="5"/>
      <c r="M342" s="5"/>
      <c r="N342" s="5"/>
      <c r="O342" s="8" t="str">
        <f t="shared" si="52"/>
        <v>n/a</v>
      </c>
      <c r="Q342" s="5"/>
      <c r="R342" s="5"/>
      <c r="S342" s="5"/>
      <c r="U342" s="6"/>
      <c r="V342" s="9" t="str">
        <f t="shared" si="55"/>
        <v/>
      </c>
      <c r="W342" s="9" t="str">
        <f t="shared" si="56"/>
        <v/>
      </c>
      <c r="X342" s="10">
        <f>SUM(V$13:V342)/COUNTA(B$13:B342)</f>
        <v>0</v>
      </c>
      <c r="Z342" s="5"/>
      <c r="AA342" s="5"/>
      <c r="AC342" s="7"/>
      <c r="AE342" s="54" t="e">
        <f t="shared" si="57"/>
        <v>#N/A</v>
      </c>
      <c r="AF342" s="4" t="e">
        <f t="shared" si="53"/>
        <v>#N/A</v>
      </c>
    </row>
    <row r="343" spans="2:32">
      <c r="B343" s="5">
        <f t="shared" si="58"/>
        <v>331</v>
      </c>
      <c r="C343" s="5"/>
      <c r="E343" s="13"/>
      <c r="F343" s="5"/>
      <c r="G343" s="11" t="str">
        <f>IF(ISERROR(AVERAGE(F$13:F343)),"n/a",AVERAGE(F$13:F343))</f>
        <v>n/a</v>
      </c>
      <c r="H343" s="11" t="str">
        <f t="shared" si="54"/>
        <v>n/a</v>
      </c>
      <c r="J343" s="5"/>
      <c r="K343" s="5"/>
      <c r="L343" s="5"/>
      <c r="M343" s="5"/>
      <c r="N343" s="5"/>
      <c r="O343" s="8" t="str">
        <f t="shared" si="52"/>
        <v>n/a</v>
      </c>
      <c r="Q343" s="5"/>
      <c r="R343" s="5"/>
      <c r="S343" s="5"/>
      <c r="U343" s="6"/>
      <c r="V343" s="9" t="str">
        <f t="shared" si="55"/>
        <v/>
      </c>
      <c r="W343" s="9" t="str">
        <f t="shared" si="56"/>
        <v/>
      </c>
      <c r="X343" s="10">
        <f>SUM(V$13:V343)/COUNTA(B$13:B343)</f>
        <v>0</v>
      </c>
      <c r="Z343" s="5"/>
      <c r="AA343" s="5"/>
      <c r="AC343" s="7"/>
      <c r="AE343" s="54" t="e">
        <f t="shared" si="57"/>
        <v>#N/A</v>
      </c>
      <c r="AF343" s="4" t="e">
        <f t="shared" si="53"/>
        <v>#N/A</v>
      </c>
    </row>
    <row r="344" spans="2:32">
      <c r="B344" s="5">
        <f t="shared" si="58"/>
        <v>332</v>
      </c>
      <c r="C344" s="5"/>
      <c r="E344" s="13"/>
      <c r="F344" s="5"/>
      <c r="G344" s="11" t="str">
        <f>IF(ISERROR(AVERAGE(F$13:F344)),"n/a",AVERAGE(F$13:F344))</f>
        <v>n/a</v>
      </c>
      <c r="H344" s="11" t="str">
        <f t="shared" si="54"/>
        <v>n/a</v>
      </c>
      <c r="J344" s="5"/>
      <c r="K344" s="5"/>
      <c r="L344" s="5"/>
      <c r="M344" s="5"/>
      <c r="N344" s="5"/>
      <c r="O344" s="8" t="str">
        <f t="shared" si="52"/>
        <v>n/a</v>
      </c>
      <c r="Q344" s="5"/>
      <c r="R344" s="5"/>
      <c r="S344" s="5"/>
      <c r="U344" s="6"/>
      <c r="V344" s="9" t="str">
        <f t="shared" si="55"/>
        <v/>
      </c>
      <c r="W344" s="9" t="str">
        <f t="shared" si="56"/>
        <v/>
      </c>
      <c r="X344" s="10">
        <f>SUM(V$13:V344)/COUNTA(B$13:B344)</f>
        <v>0</v>
      </c>
      <c r="Z344" s="5"/>
      <c r="AA344" s="5"/>
      <c r="AC344" s="7"/>
      <c r="AE344" s="54" t="e">
        <f t="shared" si="57"/>
        <v>#N/A</v>
      </c>
      <c r="AF344" s="4" t="e">
        <f t="shared" si="53"/>
        <v>#N/A</v>
      </c>
    </row>
    <row r="345" spans="2:32">
      <c r="B345" s="5">
        <f t="shared" si="58"/>
        <v>333</v>
      </c>
      <c r="C345" s="5"/>
      <c r="E345" s="13"/>
      <c r="F345" s="5"/>
      <c r="G345" s="11" t="str">
        <f>IF(ISERROR(AVERAGE(F$13:F345)),"n/a",AVERAGE(F$13:F345))</f>
        <v>n/a</v>
      </c>
      <c r="H345" s="11" t="str">
        <f t="shared" si="54"/>
        <v>n/a</v>
      </c>
      <c r="J345" s="5"/>
      <c r="K345" s="5"/>
      <c r="L345" s="5"/>
      <c r="M345" s="5"/>
      <c r="N345" s="5"/>
      <c r="O345" s="8" t="str">
        <f t="shared" si="52"/>
        <v>n/a</v>
      </c>
      <c r="Q345" s="5"/>
      <c r="R345" s="5"/>
      <c r="S345" s="5"/>
      <c r="U345" s="6"/>
      <c r="V345" s="9" t="str">
        <f t="shared" si="55"/>
        <v/>
      </c>
      <c r="W345" s="9" t="str">
        <f t="shared" si="56"/>
        <v/>
      </c>
      <c r="X345" s="10">
        <f>SUM(V$13:V345)/COUNTA(B$13:B345)</f>
        <v>0</v>
      </c>
      <c r="Z345" s="5"/>
      <c r="AA345" s="5"/>
      <c r="AC345" s="7"/>
      <c r="AE345" s="54" t="e">
        <f t="shared" si="57"/>
        <v>#N/A</v>
      </c>
      <c r="AF345" s="4" t="e">
        <f t="shared" si="53"/>
        <v>#N/A</v>
      </c>
    </row>
    <row r="346" spans="2:32">
      <c r="B346" s="5">
        <f t="shared" si="58"/>
        <v>334</v>
      </c>
      <c r="C346" s="5"/>
      <c r="E346" s="13"/>
      <c r="F346" s="5"/>
      <c r="G346" s="11" t="str">
        <f>IF(ISERROR(AVERAGE(F$13:F346)),"n/a",AVERAGE(F$13:F346))</f>
        <v>n/a</v>
      </c>
      <c r="H346" s="11" t="str">
        <f t="shared" si="54"/>
        <v>n/a</v>
      </c>
      <c r="J346" s="5"/>
      <c r="K346" s="5"/>
      <c r="L346" s="5"/>
      <c r="M346" s="5"/>
      <c r="N346" s="5"/>
      <c r="O346" s="8" t="str">
        <f t="shared" si="52"/>
        <v>n/a</v>
      </c>
      <c r="Q346" s="5"/>
      <c r="R346" s="5"/>
      <c r="S346" s="5"/>
      <c r="U346" s="6"/>
      <c r="V346" s="9" t="str">
        <f t="shared" si="55"/>
        <v/>
      </c>
      <c r="W346" s="9" t="str">
        <f t="shared" si="56"/>
        <v/>
      </c>
      <c r="X346" s="10">
        <f>SUM(V$13:V346)/COUNTA(B$13:B346)</f>
        <v>0</v>
      </c>
      <c r="Z346" s="5"/>
      <c r="AA346" s="5"/>
      <c r="AC346" s="7"/>
      <c r="AE346" s="54" t="e">
        <f t="shared" si="57"/>
        <v>#N/A</v>
      </c>
      <c r="AF346" s="4" t="e">
        <f t="shared" si="53"/>
        <v>#N/A</v>
      </c>
    </row>
    <row r="347" spans="2:32">
      <c r="B347" s="5">
        <f t="shared" si="58"/>
        <v>335</v>
      </c>
      <c r="C347" s="5"/>
      <c r="E347" s="13"/>
      <c r="F347" s="5"/>
      <c r="G347" s="11" t="str">
        <f>IF(ISERROR(AVERAGE(F$13:F347)),"n/a",AVERAGE(F$13:F347))</f>
        <v>n/a</v>
      </c>
      <c r="H347" s="11" t="str">
        <f t="shared" si="54"/>
        <v>n/a</v>
      </c>
      <c r="J347" s="5"/>
      <c r="K347" s="5"/>
      <c r="L347" s="5"/>
      <c r="M347" s="5"/>
      <c r="N347" s="5"/>
      <c r="O347" s="8" t="str">
        <f t="shared" si="52"/>
        <v>n/a</v>
      </c>
      <c r="Q347" s="5"/>
      <c r="R347" s="5"/>
      <c r="S347" s="5"/>
      <c r="U347" s="6"/>
      <c r="V347" s="9" t="str">
        <f t="shared" si="55"/>
        <v/>
      </c>
      <c r="W347" s="9" t="str">
        <f t="shared" si="56"/>
        <v/>
      </c>
      <c r="X347" s="10">
        <f>SUM(V$13:V347)/COUNTA(B$13:B347)</f>
        <v>0</v>
      </c>
      <c r="Z347" s="5"/>
      <c r="AA347" s="5"/>
      <c r="AC347" s="7"/>
      <c r="AE347" s="54" t="e">
        <f t="shared" si="57"/>
        <v>#N/A</v>
      </c>
      <c r="AF347" s="4" t="e">
        <f t="shared" si="53"/>
        <v>#N/A</v>
      </c>
    </row>
    <row r="348" spans="2:32">
      <c r="B348" s="5">
        <f t="shared" si="58"/>
        <v>336</v>
      </c>
      <c r="C348" s="5"/>
      <c r="E348" s="13"/>
      <c r="F348" s="5"/>
      <c r="G348" s="11" t="str">
        <f>IF(ISERROR(AVERAGE(F$13:F348)),"n/a",AVERAGE(F$13:F348))</f>
        <v>n/a</v>
      </c>
      <c r="H348" s="11" t="str">
        <f t="shared" si="54"/>
        <v>n/a</v>
      </c>
      <c r="J348" s="5"/>
      <c r="K348" s="5"/>
      <c r="L348" s="5"/>
      <c r="M348" s="5"/>
      <c r="N348" s="5"/>
      <c r="O348" s="8" t="str">
        <f t="shared" si="52"/>
        <v>n/a</v>
      </c>
      <c r="Q348" s="5"/>
      <c r="R348" s="5"/>
      <c r="S348" s="5"/>
      <c r="U348" s="6"/>
      <c r="V348" s="9" t="str">
        <f t="shared" si="55"/>
        <v/>
      </c>
      <c r="W348" s="9" t="str">
        <f t="shared" si="56"/>
        <v/>
      </c>
      <c r="X348" s="10">
        <f>SUM(V$13:V348)/COUNTA(B$13:B348)</f>
        <v>0</v>
      </c>
      <c r="Z348" s="5"/>
      <c r="AA348" s="5"/>
      <c r="AC348" s="7"/>
      <c r="AE348" s="54" t="e">
        <f t="shared" si="57"/>
        <v>#N/A</v>
      </c>
      <c r="AF348" s="4" t="e">
        <f t="shared" si="53"/>
        <v>#N/A</v>
      </c>
    </row>
    <row r="349" spans="2:32">
      <c r="B349" s="5">
        <f t="shared" si="58"/>
        <v>337</v>
      </c>
      <c r="C349" s="5"/>
      <c r="E349" s="13"/>
      <c r="F349" s="5"/>
      <c r="G349" s="11" t="str">
        <f>IF(ISERROR(AVERAGE(F$13:F349)),"n/a",AVERAGE(F$13:F349))</f>
        <v>n/a</v>
      </c>
      <c r="H349" s="11" t="str">
        <f t="shared" si="54"/>
        <v>n/a</v>
      </c>
      <c r="J349" s="5"/>
      <c r="K349" s="5"/>
      <c r="L349" s="5"/>
      <c r="M349" s="5"/>
      <c r="N349" s="5"/>
      <c r="O349" s="8" t="str">
        <f t="shared" si="52"/>
        <v>n/a</v>
      </c>
      <c r="Q349" s="5"/>
      <c r="R349" s="5"/>
      <c r="S349" s="5"/>
      <c r="U349" s="6"/>
      <c r="V349" s="9" t="str">
        <f t="shared" si="55"/>
        <v/>
      </c>
      <c r="W349" s="9" t="str">
        <f t="shared" si="56"/>
        <v/>
      </c>
      <c r="X349" s="10">
        <f>SUM(V$13:V349)/COUNTA(B$13:B349)</f>
        <v>0</v>
      </c>
      <c r="Z349" s="5"/>
      <c r="AA349" s="5"/>
      <c r="AC349" s="7"/>
      <c r="AE349" s="54" t="e">
        <f t="shared" si="57"/>
        <v>#N/A</v>
      </c>
      <c r="AF349" s="4" t="e">
        <f t="shared" si="53"/>
        <v>#N/A</v>
      </c>
    </row>
    <row r="350" spans="2:32">
      <c r="B350" s="5">
        <f t="shared" si="58"/>
        <v>338</v>
      </c>
      <c r="C350" s="5"/>
      <c r="E350" s="13"/>
      <c r="F350" s="5"/>
      <c r="G350" s="11" t="str">
        <f>IF(ISERROR(AVERAGE(F$13:F350)),"n/a",AVERAGE(F$13:F350))</f>
        <v>n/a</v>
      </c>
      <c r="H350" s="11" t="str">
        <f t="shared" si="54"/>
        <v>n/a</v>
      </c>
      <c r="J350" s="5"/>
      <c r="K350" s="5"/>
      <c r="L350" s="5"/>
      <c r="M350" s="5"/>
      <c r="N350" s="5"/>
      <c r="O350" s="8" t="str">
        <f t="shared" si="52"/>
        <v>n/a</v>
      </c>
      <c r="Q350" s="5"/>
      <c r="R350" s="5"/>
      <c r="S350" s="5"/>
      <c r="U350" s="6"/>
      <c r="V350" s="9" t="str">
        <f t="shared" si="55"/>
        <v/>
      </c>
      <c r="W350" s="9" t="str">
        <f t="shared" si="56"/>
        <v/>
      </c>
      <c r="X350" s="10">
        <f>SUM(V$13:V350)/COUNTA(B$13:B350)</f>
        <v>0</v>
      </c>
      <c r="Z350" s="5"/>
      <c r="AA350" s="5"/>
      <c r="AC350" s="7"/>
      <c r="AE350" s="54" t="e">
        <f t="shared" si="57"/>
        <v>#N/A</v>
      </c>
      <c r="AF350" s="4" t="e">
        <f t="shared" si="53"/>
        <v>#N/A</v>
      </c>
    </row>
    <row r="351" spans="2:32">
      <c r="B351" s="5">
        <f t="shared" si="58"/>
        <v>339</v>
      </c>
      <c r="C351" s="5"/>
      <c r="E351" s="13"/>
      <c r="F351" s="5"/>
      <c r="G351" s="11" t="str">
        <f>IF(ISERROR(AVERAGE(F$13:F351)),"n/a",AVERAGE(F$13:F351))</f>
        <v>n/a</v>
      </c>
      <c r="H351" s="11" t="str">
        <f t="shared" si="54"/>
        <v>n/a</v>
      </c>
      <c r="J351" s="5"/>
      <c r="K351" s="5"/>
      <c r="L351" s="5"/>
      <c r="M351" s="5"/>
      <c r="N351" s="5"/>
      <c r="O351" s="8" t="str">
        <f t="shared" si="52"/>
        <v>n/a</v>
      </c>
      <c r="Q351" s="5"/>
      <c r="R351" s="5"/>
      <c r="S351" s="5"/>
      <c r="U351" s="6"/>
      <c r="V351" s="9" t="str">
        <f t="shared" si="55"/>
        <v/>
      </c>
      <c r="W351" s="9" t="str">
        <f t="shared" si="56"/>
        <v/>
      </c>
      <c r="X351" s="10">
        <f>SUM(V$13:V351)/COUNTA(B$13:B351)</f>
        <v>0</v>
      </c>
      <c r="Z351" s="5"/>
      <c r="AA351" s="5"/>
      <c r="AC351" s="7"/>
      <c r="AE351" s="54" t="e">
        <f t="shared" si="57"/>
        <v>#N/A</v>
      </c>
      <c r="AF351" s="4" t="e">
        <f t="shared" si="53"/>
        <v>#N/A</v>
      </c>
    </row>
    <row r="352" spans="2:32">
      <c r="B352" s="5">
        <f t="shared" si="58"/>
        <v>340</v>
      </c>
      <c r="C352" s="5"/>
      <c r="E352" s="13"/>
      <c r="F352" s="5"/>
      <c r="G352" s="11" t="str">
        <f>IF(ISERROR(AVERAGE(F$13:F352)),"n/a",AVERAGE(F$13:F352))</f>
        <v>n/a</v>
      </c>
      <c r="H352" s="11" t="str">
        <f t="shared" si="54"/>
        <v>n/a</v>
      </c>
      <c r="J352" s="5"/>
      <c r="K352" s="5"/>
      <c r="L352" s="5"/>
      <c r="M352" s="5"/>
      <c r="N352" s="5"/>
      <c r="O352" s="8" t="str">
        <f t="shared" si="52"/>
        <v>n/a</v>
      </c>
      <c r="Q352" s="5"/>
      <c r="R352" s="5"/>
      <c r="S352" s="5"/>
      <c r="U352" s="6"/>
      <c r="V352" s="9" t="str">
        <f t="shared" si="55"/>
        <v/>
      </c>
      <c r="W352" s="9" t="str">
        <f t="shared" si="56"/>
        <v/>
      </c>
      <c r="X352" s="10">
        <f>SUM(V$13:V352)/COUNTA(B$13:B352)</f>
        <v>0</v>
      </c>
      <c r="Z352" s="5"/>
      <c r="AA352" s="5"/>
      <c r="AC352" s="7"/>
      <c r="AE352" s="54" t="e">
        <f t="shared" si="57"/>
        <v>#N/A</v>
      </c>
      <c r="AF352" s="4" t="e">
        <f t="shared" si="53"/>
        <v>#N/A</v>
      </c>
    </row>
    <row r="353" spans="2:32">
      <c r="B353" s="5">
        <f t="shared" si="58"/>
        <v>341</v>
      </c>
      <c r="C353" s="5"/>
      <c r="E353" s="13"/>
      <c r="F353" s="5"/>
      <c r="G353" s="11" t="str">
        <f>IF(ISERROR(AVERAGE(F$13:F353)),"n/a",AVERAGE(F$13:F353))</f>
        <v>n/a</v>
      </c>
      <c r="H353" s="11" t="str">
        <f t="shared" si="54"/>
        <v>n/a</v>
      </c>
      <c r="J353" s="5"/>
      <c r="K353" s="5"/>
      <c r="L353" s="5"/>
      <c r="M353" s="5"/>
      <c r="N353" s="5"/>
      <c r="O353" s="8" t="str">
        <f t="shared" si="52"/>
        <v>n/a</v>
      </c>
      <c r="Q353" s="5"/>
      <c r="R353" s="5"/>
      <c r="S353" s="5"/>
      <c r="U353" s="6"/>
      <c r="V353" s="9" t="str">
        <f t="shared" si="55"/>
        <v/>
      </c>
      <c r="W353" s="9" t="str">
        <f t="shared" si="56"/>
        <v/>
      </c>
      <c r="X353" s="10">
        <f>SUM(V$13:V353)/COUNTA(B$13:B353)</f>
        <v>0</v>
      </c>
      <c r="Z353" s="5"/>
      <c r="AA353" s="5"/>
      <c r="AC353" s="7"/>
      <c r="AE353" s="54" t="e">
        <f t="shared" si="57"/>
        <v>#N/A</v>
      </c>
      <c r="AF353" s="4" t="e">
        <f t="shared" si="53"/>
        <v>#N/A</v>
      </c>
    </row>
    <row r="354" spans="2:32">
      <c r="B354" s="5">
        <f t="shared" si="58"/>
        <v>342</v>
      </c>
      <c r="C354" s="5"/>
      <c r="E354" s="13"/>
      <c r="F354" s="5"/>
      <c r="G354" s="11" t="str">
        <f>IF(ISERROR(AVERAGE(F$13:F354)),"n/a",AVERAGE(F$13:F354))</f>
        <v>n/a</v>
      </c>
      <c r="H354" s="11" t="str">
        <f t="shared" si="54"/>
        <v>n/a</v>
      </c>
      <c r="J354" s="5"/>
      <c r="K354" s="5"/>
      <c r="L354" s="5"/>
      <c r="M354" s="5"/>
      <c r="N354" s="5"/>
      <c r="O354" s="8" t="str">
        <f t="shared" si="52"/>
        <v>n/a</v>
      </c>
      <c r="Q354" s="5"/>
      <c r="R354" s="5"/>
      <c r="S354" s="5"/>
      <c r="U354" s="6"/>
      <c r="V354" s="9" t="str">
        <f t="shared" si="55"/>
        <v/>
      </c>
      <c r="W354" s="9" t="str">
        <f t="shared" si="56"/>
        <v/>
      </c>
      <c r="X354" s="10">
        <f>SUM(V$13:V354)/COUNTA(B$13:B354)</f>
        <v>0</v>
      </c>
      <c r="Z354" s="5"/>
      <c r="AA354" s="5"/>
      <c r="AC354" s="7"/>
      <c r="AE354" s="54" t="e">
        <f t="shared" si="57"/>
        <v>#N/A</v>
      </c>
      <c r="AF354" s="4" t="e">
        <f t="shared" si="53"/>
        <v>#N/A</v>
      </c>
    </row>
    <row r="355" spans="2:32">
      <c r="B355" s="5">
        <f t="shared" si="58"/>
        <v>343</v>
      </c>
      <c r="C355" s="5"/>
      <c r="E355" s="13"/>
      <c r="F355" s="5"/>
      <c r="G355" s="11" t="str">
        <f>IF(ISERROR(AVERAGE(F$13:F355)),"n/a",AVERAGE(F$13:F355))</f>
        <v>n/a</v>
      </c>
      <c r="H355" s="11" t="str">
        <f t="shared" si="54"/>
        <v>n/a</v>
      </c>
      <c r="J355" s="5"/>
      <c r="K355" s="5"/>
      <c r="L355" s="5"/>
      <c r="M355" s="5"/>
      <c r="N355" s="5"/>
      <c r="O355" s="8" t="str">
        <f t="shared" si="52"/>
        <v>n/a</v>
      </c>
      <c r="Q355" s="5"/>
      <c r="R355" s="5"/>
      <c r="S355" s="5"/>
      <c r="U355" s="6"/>
      <c r="V355" s="9" t="str">
        <f t="shared" si="55"/>
        <v/>
      </c>
      <c r="W355" s="9" t="str">
        <f t="shared" si="56"/>
        <v/>
      </c>
      <c r="X355" s="10">
        <f>SUM(V$13:V355)/COUNTA(B$13:B355)</f>
        <v>0</v>
      </c>
      <c r="Z355" s="5"/>
      <c r="AA355" s="5"/>
      <c r="AC355" s="7"/>
      <c r="AE355" s="54" t="e">
        <f t="shared" si="57"/>
        <v>#N/A</v>
      </c>
      <c r="AF355" s="4" t="e">
        <f t="shared" si="53"/>
        <v>#N/A</v>
      </c>
    </row>
    <row r="356" spans="2:32">
      <c r="B356" s="5">
        <f t="shared" si="58"/>
        <v>344</v>
      </c>
      <c r="C356" s="5"/>
      <c r="E356" s="13"/>
      <c r="F356" s="5"/>
      <c r="G356" s="11" t="str">
        <f>IF(ISERROR(AVERAGE(F$13:F356)),"n/a",AVERAGE(F$13:F356))</f>
        <v>n/a</v>
      </c>
      <c r="H356" s="11" t="str">
        <f t="shared" si="54"/>
        <v>n/a</v>
      </c>
      <c r="J356" s="5"/>
      <c r="K356" s="5"/>
      <c r="L356" s="5"/>
      <c r="M356" s="5"/>
      <c r="N356" s="5"/>
      <c r="O356" s="8" t="str">
        <f t="shared" si="52"/>
        <v>n/a</v>
      </c>
      <c r="Q356" s="5"/>
      <c r="R356" s="5"/>
      <c r="S356" s="5"/>
      <c r="U356" s="6"/>
      <c r="V356" s="9" t="str">
        <f t="shared" si="55"/>
        <v/>
      </c>
      <c r="W356" s="9" t="str">
        <f t="shared" si="56"/>
        <v/>
      </c>
      <c r="X356" s="10">
        <f>SUM(V$13:V356)/COUNTA(B$13:B356)</f>
        <v>0</v>
      </c>
      <c r="Z356" s="5"/>
      <c r="AA356" s="5"/>
      <c r="AC356" s="7"/>
      <c r="AE356" s="54" t="e">
        <f t="shared" si="57"/>
        <v>#N/A</v>
      </c>
      <c r="AF356" s="4" t="e">
        <f t="shared" si="53"/>
        <v>#N/A</v>
      </c>
    </row>
    <row r="357" spans="2:32">
      <c r="B357" s="5">
        <f t="shared" si="58"/>
        <v>345</v>
      </c>
      <c r="C357" s="5"/>
      <c r="E357" s="13"/>
      <c r="F357" s="5"/>
      <c r="G357" s="11" t="str">
        <f>IF(ISERROR(AVERAGE(F$13:F357)),"n/a",AVERAGE(F$13:F357))</f>
        <v>n/a</v>
      </c>
      <c r="H357" s="11" t="str">
        <f t="shared" si="54"/>
        <v>n/a</v>
      </c>
      <c r="J357" s="5"/>
      <c r="K357" s="5"/>
      <c r="L357" s="5"/>
      <c r="M357" s="5"/>
      <c r="N357" s="5"/>
      <c r="O357" s="8" t="str">
        <f t="shared" si="52"/>
        <v>n/a</v>
      </c>
      <c r="Q357" s="5"/>
      <c r="R357" s="5"/>
      <c r="S357" s="5"/>
      <c r="U357" s="6"/>
      <c r="V357" s="9" t="str">
        <f t="shared" si="55"/>
        <v/>
      </c>
      <c r="W357" s="9" t="str">
        <f t="shared" si="56"/>
        <v/>
      </c>
      <c r="X357" s="10">
        <f>SUM(V$13:V357)/COUNTA(B$13:B357)</f>
        <v>0</v>
      </c>
      <c r="Z357" s="5"/>
      <c r="AA357" s="5"/>
      <c r="AC357" s="7"/>
      <c r="AE357" s="54" t="e">
        <f t="shared" si="57"/>
        <v>#N/A</v>
      </c>
      <c r="AF357" s="4" t="e">
        <f t="shared" si="53"/>
        <v>#N/A</v>
      </c>
    </row>
    <row r="358" spans="2:32">
      <c r="B358" s="5">
        <f t="shared" si="58"/>
        <v>346</v>
      </c>
      <c r="C358" s="5"/>
      <c r="E358" s="13"/>
      <c r="F358" s="5"/>
      <c r="G358" s="11" t="str">
        <f>IF(ISERROR(AVERAGE(F$13:F358)),"n/a",AVERAGE(F$13:F358))</f>
        <v>n/a</v>
      </c>
      <c r="H358" s="11" t="str">
        <f t="shared" si="54"/>
        <v>n/a</v>
      </c>
      <c r="J358" s="5"/>
      <c r="K358" s="5"/>
      <c r="L358" s="5"/>
      <c r="M358" s="5"/>
      <c r="N358" s="5"/>
      <c r="O358" s="8" t="str">
        <f t="shared" si="52"/>
        <v>n/a</v>
      </c>
      <c r="Q358" s="5"/>
      <c r="R358" s="5"/>
      <c r="S358" s="5"/>
      <c r="U358" s="6"/>
      <c r="V358" s="9" t="str">
        <f t="shared" si="55"/>
        <v/>
      </c>
      <c r="W358" s="9" t="str">
        <f t="shared" si="56"/>
        <v/>
      </c>
      <c r="X358" s="10">
        <f>SUM(V$13:V358)/COUNTA(B$13:B358)</f>
        <v>0</v>
      </c>
      <c r="Z358" s="5"/>
      <c r="AA358" s="5"/>
      <c r="AC358" s="7"/>
      <c r="AE358" s="54" t="e">
        <f t="shared" si="57"/>
        <v>#N/A</v>
      </c>
      <c r="AF358" s="4" t="e">
        <f t="shared" si="53"/>
        <v>#N/A</v>
      </c>
    </row>
    <row r="359" spans="2:32">
      <c r="B359" s="5">
        <f t="shared" si="58"/>
        <v>347</v>
      </c>
      <c r="C359" s="5"/>
      <c r="E359" s="13"/>
      <c r="F359" s="5"/>
      <c r="G359" s="11" t="str">
        <f>IF(ISERROR(AVERAGE(F$13:F359)),"n/a",AVERAGE(F$13:F359))</f>
        <v>n/a</v>
      </c>
      <c r="H359" s="11" t="str">
        <f t="shared" si="54"/>
        <v>n/a</v>
      </c>
      <c r="J359" s="5"/>
      <c r="K359" s="5"/>
      <c r="L359" s="5"/>
      <c r="M359" s="5"/>
      <c r="N359" s="5"/>
      <c r="O359" s="8" t="str">
        <f t="shared" si="52"/>
        <v>n/a</v>
      </c>
      <c r="Q359" s="5"/>
      <c r="R359" s="5"/>
      <c r="S359" s="5"/>
      <c r="U359" s="6"/>
      <c r="V359" s="9" t="str">
        <f t="shared" si="55"/>
        <v/>
      </c>
      <c r="W359" s="9" t="str">
        <f t="shared" si="56"/>
        <v/>
      </c>
      <c r="X359" s="10">
        <f>SUM(V$13:V359)/COUNTA(B$13:B359)</f>
        <v>0</v>
      </c>
      <c r="Z359" s="5"/>
      <c r="AA359" s="5"/>
      <c r="AC359" s="7"/>
      <c r="AE359" s="54" t="e">
        <f t="shared" si="57"/>
        <v>#N/A</v>
      </c>
      <c r="AF359" s="4" t="e">
        <f t="shared" si="53"/>
        <v>#N/A</v>
      </c>
    </row>
    <row r="360" spans="2:32">
      <c r="B360" s="5">
        <f t="shared" si="58"/>
        <v>348</v>
      </c>
      <c r="C360" s="5"/>
      <c r="E360" s="13"/>
      <c r="F360" s="5"/>
      <c r="G360" s="11" t="str">
        <f>IF(ISERROR(AVERAGE(F$13:F360)),"n/a",AVERAGE(F$13:F360))</f>
        <v>n/a</v>
      </c>
      <c r="H360" s="11" t="str">
        <f t="shared" si="54"/>
        <v>n/a</v>
      </c>
      <c r="J360" s="5"/>
      <c r="K360" s="5"/>
      <c r="L360" s="5"/>
      <c r="M360" s="5"/>
      <c r="N360" s="5"/>
      <c r="O360" s="8" t="str">
        <f t="shared" si="52"/>
        <v>n/a</v>
      </c>
      <c r="Q360" s="5"/>
      <c r="R360" s="5"/>
      <c r="S360" s="5"/>
      <c r="U360" s="6"/>
      <c r="V360" s="9" t="str">
        <f t="shared" si="55"/>
        <v/>
      </c>
      <c r="W360" s="9" t="str">
        <f t="shared" si="56"/>
        <v/>
      </c>
      <c r="X360" s="10">
        <f>SUM(V$13:V360)/COUNTA(B$13:B360)</f>
        <v>0</v>
      </c>
      <c r="Z360" s="5"/>
      <c r="AA360" s="5"/>
      <c r="AC360" s="7"/>
      <c r="AE360" s="54" t="e">
        <f t="shared" si="57"/>
        <v>#N/A</v>
      </c>
      <c r="AF360" s="4" t="e">
        <f t="shared" si="53"/>
        <v>#N/A</v>
      </c>
    </row>
    <row r="361" spans="2:32">
      <c r="B361" s="5">
        <f t="shared" si="58"/>
        <v>349</v>
      </c>
      <c r="C361" s="5"/>
      <c r="E361" s="13"/>
      <c r="F361" s="5"/>
      <c r="G361" s="11" t="str">
        <f>IF(ISERROR(AVERAGE(F$13:F361)),"n/a",AVERAGE(F$13:F361))</f>
        <v>n/a</v>
      </c>
      <c r="H361" s="11" t="str">
        <f t="shared" si="54"/>
        <v>n/a</v>
      </c>
      <c r="J361" s="5"/>
      <c r="K361" s="5"/>
      <c r="L361" s="5"/>
      <c r="M361" s="5"/>
      <c r="N361" s="5"/>
      <c r="O361" s="8" t="str">
        <f t="shared" si="52"/>
        <v>n/a</v>
      </c>
      <c r="Q361" s="5"/>
      <c r="R361" s="5"/>
      <c r="S361" s="5"/>
      <c r="U361" s="6"/>
      <c r="V361" s="9" t="str">
        <f t="shared" si="55"/>
        <v/>
      </c>
      <c r="W361" s="9" t="str">
        <f t="shared" si="56"/>
        <v/>
      </c>
      <c r="X361" s="10">
        <f>SUM(V$13:V361)/COUNTA(B$13:B361)</f>
        <v>0</v>
      </c>
      <c r="Z361" s="5"/>
      <c r="AA361" s="5"/>
      <c r="AC361" s="7"/>
      <c r="AE361" s="54" t="e">
        <f t="shared" si="57"/>
        <v>#N/A</v>
      </c>
      <c r="AF361" s="4" t="e">
        <f t="shared" si="53"/>
        <v>#N/A</v>
      </c>
    </row>
    <row r="362" spans="2:32">
      <c r="B362" s="5">
        <f t="shared" si="58"/>
        <v>350</v>
      </c>
      <c r="C362" s="5"/>
      <c r="E362" s="13"/>
      <c r="F362" s="5"/>
      <c r="G362" s="11" t="str">
        <f>IF(ISERROR(AVERAGE(F$13:F362)),"n/a",AVERAGE(F$13:F362))</f>
        <v>n/a</v>
      </c>
      <c r="H362" s="11" t="str">
        <f t="shared" si="54"/>
        <v>n/a</v>
      </c>
      <c r="J362" s="5"/>
      <c r="K362" s="5"/>
      <c r="L362" s="5"/>
      <c r="M362" s="5"/>
      <c r="N362" s="5"/>
      <c r="O362" s="8" t="str">
        <f t="shared" si="52"/>
        <v>n/a</v>
      </c>
      <c r="Q362" s="5"/>
      <c r="R362" s="5"/>
      <c r="S362" s="5"/>
      <c r="U362" s="6"/>
      <c r="V362" s="9" t="str">
        <f t="shared" si="55"/>
        <v/>
      </c>
      <c r="W362" s="9" t="str">
        <f t="shared" si="56"/>
        <v/>
      </c>
      <c r="X362" s="10">
        <f>SUM(V$13:V362)/COUNTA(B$13:B362)</f>
        <v>0</v>
      </c>
      <c r="Z362" s="5"/>
      <c r="AA362" s="5"/>
      <c r="AC362" s="7"/>
      <c r="AE362" s="54" t="e">
        <f t="shared" si="57"/>
        <v>#N/A</v>
      </c>
      <c r="AF362" s="4" t="e">
        <f t="shared" si="53"/>
        <v>#N/A</v>
      </c>
    </row>
    <row r="363" spans="2:32">
      <c r="B363" s="5">
        <f t="shared" si="58"/>
        <v>351</v>
      </c>
      <c r="C363" s="5"/>
      <c r="E363" s="13"/>
      <c r="F363" s="5"/>
      <c r="G363" s="11" t="str">
        <f>IF(ISERROR(AVERAGE(F$13:F363)),"n/a",AVERAGE(F$13:F363))</f>
        <v>n/a</v>
      </c>
      <c r="H363" s="11" t="str">
        <f t="shared" si="54"/>
        <v>n/a</v>
      </c>
      <c r="J363" s="5"/>
      <c r="K363" s="5"/>
      <c r="L363" s="5"/>
      <c r="M363" s="5"/>
      <c r="N363" s="5"/>
      <c r="O363" s="8" t="str">
        <f t="shared" si="52"/>
        <v>n/a</v>
      </c>
      <c r="Q363" s="5"/>
      <c r="R363" s="5"/>
      <c r="S363" s="5"/>
      <c r="U363" s="6"/>
      <c r="V363" s="9" t="str">
        <f t="shared" si="55"/>
        <v/>
      </c>
      <c r="W363" s="9" t="str">
        <f t="shared" si="56"/>
        <v/>
      </c>
      <c r="X363" s="10">
        <f>SUM(V$13:V363)/COUNTA(B$13:B363)</f>
        <v>0</v>
      </c>
      <c r="Z363" s="5"/>
      <c r="AA363" s="5"/>
      <c r="AC363" s="7"/>
      <c r="AE363" s="54" t="e">
        <f t="shared" si="57"/>
        <v>#N/A</v>
      </c>
      <c r="AF363" s="4" t="e">
        <f t="shared" si="53"/>
        <v>#N/A</v>
      </c>
    </row>
    <row r="364" spans="2:32">
      <c r="B364" s="5">
        <f t="shared" si="58"/>
        <v>352</v>
      </c>
      <c r="C364" s="5"/>
      <c r="E364" s="13"/>
      <c r="F364" s="5"/>
      <c r="G364" s="11" t="str">
        <f>IF(ISERROR(AVERAGE(F$13:F364)),"n/a",AVERAGE(F$13:F364))</f>
        <v>n/a</v>
      </c>
      <c r="H364" s="11" t="str">
        <f t="shared" si="54"/>
        <v>n/a</v>
      </c>
      <c r="J364" s="5"/>
      <c r="K364" s="5"/>
      <c r="L364" s="5"/>
      <c r="M364" s="5"/>
      <c r="N364" s="5"/>
      <c r="O364" s="8" t="str">
        <f t="shared" si="52"/>
        <v>n/a</v>
      </c>
      <c r="Q364" s="5"/>
      <c r="R364" s="5"/>
      <c r="S364" s="5"/>
      <c r="U364" s="6"/>
      <c r="V364" s="9" t="str">
        <f t="shared" si="55"/>
        <v/>
      </c>
      <c r="W364" s="9" t="str">
        <f t="shared" si="56"/>
        <v/>
      </c>
      <c r="X364" s="10">
        <f>SUM(V$13:V364)/COUNTA(B$13:B364)</f>
        <v>0</v>
      </c>
      <c r="Z364" s="5"/>
      <c r="AA364" s="5"/>
      <c r="AC364" s="7"/>
      <c r="AE364" s="54" t="e">
        <f t="shared" si="57"/>
        <v>#N/A</v>
      </c>
      <c r="AF364" s="4" t="e">
        <f t="shared" si="53"/>
        <v>#N/A</v>
      </c>
    </row>
    <row r="365" spans="2:32">
      <c r="B365" s="5">
        <f t="shared" si="58"/>
        <v>353</v>
      </c>
      <c r="C365" s="5"/>
      <c r="E365" s="13"/>
      <c r="F365" s="5"/>
      <c r="G365" s="11" t="str">
        <f>IF(ISERROR(AVERAGE(F$13:F365)),"n/a",AVERAGE(F$13:F365))</f>
        <v>n/a</v>
      </c>
      <c r="H365" s="11" t="str">
        <f t="shared" si="54"/>
        <v>n/a</v>
      </c>
      <c r="J365" s="5"/>
      <c r="K365" s="5"/>
      <c r="L365" s="5"/>
      <c r="M365" s="5"/>
      <c r="N365" s="5"/>
      <c r="O365" s="8" t="str">
        <f t="shared" si="52"/>
        <v>n/a</v>
      </c>
      <c r="Q365" s="5"/>
      <c r="R365" s="5"/>
      <c r="S365" s="5"/>
      <c r="U365" s="6"/>
      <c r="V365" s="9" t="str">
        <f t="shared" si="55"/>
        <v/>
      </c>
      <c r="W365" s="9" t="str">
        <f t="shared" si="56"/>
        <v/>
      </c>
      <c r="X365" s="10">
        <f>SUM(V$13:V365)/COUNTA(B$13:B365)</f>
        <v>0</v>
      </c>
      <c r="Z365" s="5"/>
      <c r="AA365" s="5"/>
      <c r="AC365" s="7"/>
      <c r="AE365" s="54" t="e">
        <f t="shared" si="57"/>
        <v>#N/A</v>
      </c>
      <c r="AF365" s="4" t="e">
        <f t="shared" si="53"/>
        <v>#N/A</v>
      </c>
    </row>
    <row r="366" spans="2:32">
      <c r="B366" s="5">
        <f t="shared" si="58"/>
        <v>354</v>
      </c>
      <c r="C366" s="5"/>
      <c r="E366" s="13"/>
      <c r="F366" s="5"/>
      <c r="G366" s="11" t="str">
        <f>IF(ISERROR(AVERAGE(F$13:F366)),"n/a",AVERAGE(F$13:F366))</f>
        <v>n/a</v>
      </c>
      <c r="H366" s="11" t="str">
        <f t="shared" si="54"/>
        <v>n/a</v>
      </c>
      <c r="J366" s="5"/>
      <c r="K366" s="5"/>
      <c r="L366" s="5"/>
      <c r="M366" s="5"/>
      <c r="N366" s="5"/>
      <c r="O366" s="8" t="str">
        <f t="shared" si="52"/>
        <v>n/a</v>
      </c>
      <c r="Q366" s="5"/>
      <c r="R366" s="5"/>
      <c r="S366" s="5"/>
      <c r="U366" s="6"/>
      <c r="V366" s="9" t="str">
        <f t="shared" si="55"/>
        <v/>
      </c>
      <c r="W366" s="9" t="str">
        <f t="shared" si="56"/>
        <v/>
      </c>
      <c r="X366" s="10">
        <f>SUM(V$13:V366)/COUNTA(B$13:B366)</f>
        <v>0</v>
      </c>
      <c r="Z366" s="5"/>
      <c r="AA366" s="5"/>
      <c r="AC366" s="7"/>
      <c r="AE366" s="54" t="e">
        <f t="shared" si="57"/>
        <v>#N/A</v>
      </c>
      <c r="AF366" s="4" t="e">
        <f t="shared" si="53"/>
        <v>#N/A</v>
      </c>
    </row>
    <row r="367" spans="2:32">
      <c r="B367" s="5">
        <f t="shared" si="58"/>
        <v>355</v>
      </c>
      <c r="C367" s="5"/>
      <c r="E367" s="13"/>
      <c r="F367" s="5"/>
      <c r="G367" s="11" t="str">
        <f>IF(ISERROR(AVERAGE(F$13:F367)),"n/a",AVERAGE(F$13:F367))</f>
        <v>n/a</v>
      </c>
      <c r="H367" s="11" t="str">
        <f t="shared" si="54"/>
        <v>n/a</v>
      </c>
      <c r="J367" s="5"/>
      <c r="K367" s="5"/>
      <c r="L367" s="5"/>
      <c r="M367" s="5"/>
      <c r="N367" s="5"/>
      <c r="O367" s="8" t="str">
        <f t="shared" si="52"/>
        <v>n/a</v>
      </c>
      <c r="Q367" s="5"/>
      <c r="R367" s="5"/>
      <c r="S367" s="5"/>
      <c r="U367" s="6"/>
      <c r="V367" s="9" t="str">
        <f t="shared" si="55"/>
        <v/>
      </c>
      <c r="W367" s="9" t="str">
        <f t="shared" si="56"/>
        <v/>
      </c>
      <c r="X367" s="10">
        <f>SUM(V$13:V367)/COUNTA(B$13:B367)</f>
        <v>0</v>
      </c>
      <c r="Z367" s="5"/>
      <c r="AA367" s="5"/>
      <c r="AC367" s="7"/>
      <c r="AE367" s="54" t="e">
        <f t="shared" si="57"/>
        <v>#N/A</v>
      </c>
      <c r="AF367" s="4" t="e">
        <f t="shared" si="53"/>
        <v>#N/A</v>
      </c>
    </row>
    <row r="368" spans="2:32">
      <c r="B368" s="5">
        <f t="shared" si="58"/>
        <v>356</v>
      </c>
      <c r="C368" s="5"/>
      <c r="E368" s="13"/>
      <c r="F368" s="5"/>
      <c r="G368" s="11" t="str">
        <f>IF(ISERROR(AVERAGE(F$13:F368)),"n/a",AVERAGE(F$13:F368))</f>
        <v>n/a</v>
      </c>
      <c r="H368" s="11" t="str">
        <f t="shared" si="54"/>
        <v>n/a</v>
      </c>
      <c r="J368" s="5"/>
      <c r="K368" s="5"/>
      <c r="L368" s="5"/>
      <c r="M368" s="5"/>
      <c r="N368" s="5"/>
      <c r="O368" s="8" t="str">
        <f t="shared" si="52"/>
        <v>n/a</v>
      </c>
      <c r="Q368" s="5"/>
      <c r="R368" s="5"/>
      <c r="S368" s="5"/>
      <c r="U368" s="6"/>
      <c r="V368" s="9" t="str">
        <f t="shared" si="55"/>
        <v/>
      </c>
      <c r="W368" s="9" t="str">
        <f t="shared" si="56"/>
        <v/>
      </c>
      <c r="X368" s="10">
        <f>SUM(V$13:V368)/COUNTA(B$13:B368)</f>
        <v>0</v>
      </c>
      <c r="Z368" s="5"/>
      <c r="AA368" s="5"/>
      <c r="AC368" s="7"/>
      <c r="AE368" s="54" t="e">
        <f t="shared" si="57"/>
        <v>#N/A</v>
      </c>
      <c r="AF368" s="4" t="e">
        <f t="shared" si="53"/>
        <v>#N/A</v>
      </c>
    </row>
    <row r="369" spans="2:32">
      <c r="B369" s="5">
        <f t="shared" si="58"/>
        <v>357</v>
      </c>
      <c r="C369" s="5"/>
      <c r="E369" s="13"/>
      <c r="F369" s="5"/>
      <c r="G369" s="11" t="str">
        <f>IF(ISERROR(AVERAGE(F$13:F369)),"n/a",AVERAGE(F$13:F369))</f>
        <v>n/a</v>
      </c>
      <c r="H369" s="11" t="str">
        <f t="shared" si="54"/>
        <v>n/a</v>
      </c>
      <c r="J369" s="5"/>
      <c r="K369" s="5"/>
      <c r="L369" s="5"/>
      <c r="M369" s="5"/>
      <c r="N369" s="5"/>
      <c r="O369" s="8" t="str">
        <f t="shared" si="52"/>
        <v>n/a</v>
      </c>
      <c r="Q369" s="5"/>
      <c r="R369" s="5"/>
      <c r="S369" s="5"/>
      <c r="U369" s="6"/>
      <c r="V369" s="9" t="str">
        <f t="shared" si="55"/>
        <v/>
      </c>
      <c r="W369" s="9" t="str">
        <f t="shared" si="56"/>
        <v/>
      </c>
      <c r="X369" s="10">
        <f>SUM(V$13:V369)/COUNTA(B$13:B369)</f>
        <v>0</v>
      </c>
      <c r="Z369" s="5"/>
      <c r="AA369" s="5"/>
      <c r="AC369" s="7"/>
      <c r="AE369" s="54" t="e">
        <f t="shared" si="57"/>
        <v>#N/A</v>
      </c>
      <c r="AF369" s="4" t="e">
        <f t="shared" si="53"/>
        <v>#N/A</v>
      </c>
    </row>
    <row r="370" spans="2:32">
      <c r="B370" s="5">
        <f t="shared" si="58"/>
        <v>358</v>
      </c>
      <c r="C370" s="5"/>
      <c r="E370" s="13"/>
      <c r="F370" s="5"/>
      <c r="G370" s="11" t="str">
        <f>IF(ISERROR(AVERAGE(F$13:F370)),"n/a",AVERAGE(F$13:F370))</f>
        <v>n/a</v>
      </c>
      <c r="H370" s="11" t="str">
        <f t="shared" si="54"/>
        <v>n/a</v>
      </c>
      <c r="J370" s="5"/>
      <c r="K370" s="5"/>
      <c r="L370" s="5"/>
      <c r="M370" s="5"/>
      <c r="N370" s="5"/>
      <c r="O370" s="8" t="str">
        <f t="shared" si="52"/>
        <v>n/a</v>
      </c>
      <c r="Q370" s="5"/>
      <c r="R370" s="5"/>
      <c r="S370" s="5"/>
      <c r="U370" s="6"/>
      <c r="V370" s="9" t="str">
        <f t="shared" si="55"/>
        <v/>
      </c>
      <c r="W370" s="9" t="str">
        <f t="shared" si="56"/>
        <v/>
      </c>
      <c r="X370" s="10">
        <f>SUM(V$13:V370)/COUNTA(B$13:B370)</f>
        <v>0</v>
      </c>
      <c r="Z370" s="5"/>
      <c r="AA370" s="5"/>
      <c r="AC370" s="7"/>
      <c r="AE370" s="54" t="e">
        <f t="shared" si="57"/>
        <v>#N/A</v>
      </c>
      <c r="AF370" s="4" t="e">
        <f t="shared" si="53"/>
        <v>#N/A</v>
      </c>
    </row>
    <row r="371" spans="2:32">
      <c r="B371" s="5">
        <f t="shared" si="58"/>
        <v>359</v>
      </c>
      <c r="C371" s="5"/>
      <c r="E371" s="13"/>
      <c r="F371" s="5"/>
      <c r="G371" s="11" t="str">
        <f>IF(ISERROR(AVERAGE(F$13:F371)),"n/a",AVERAGE(F$13:F371))</f>
        <v>n/a</v>
      </c>
      <c r="H371" s="11" t="str">
        <f t="shared" si="54"/>
        <v>n/a</v>
      </c>
      <c r="J371" s="5"/>
      <c r="K371" s="5"/>
      <c r="L371" s="5"/>
      <c r="M371" s="5"/>
      <c r="N371" s="5"/>
      <c r="O371" s="8" t="str">
        <f t="shared" si="52"/>
        <v>n/a</v>
      </c>
      <c r="Q371" s="5"/>
      <c r="R371" s="5"/>
      <c r="S371" s="5"/>
      <c r="U371" s="6"/>
      <c r="V371" s="9" t="str">
        <f t="shared" si="55"/>
        <v/>
      </c>
      <c r="W371" s="9" t="str">
        <f t="shared" si="56"/>
        <v/>
      </c>
      <c r="X371" s="10">
        <f>SUM(V$13:V371)/COUNTA(B$13:B371)</f>
        <v>0</v>
      </c>
      <c r="Z371" s="5"/>
      <c r="AA371" s="5"/>
      <c r="AC371" s="7"/>
      <c r="AE371" s="54" t="e">
        <f t="shared" si="57"/>
        <v>#N/A</v>
      </c>
      <c r="AF371" s="4" t="e">
        <f t="shared" si="53"/>
        <v>#N/A</v>
      </c>
    </row>
    <row r="372" spans="2:32">
      <c r="B372" s="5">
        <f t="shared" si="58"/>
        <v>360</v>
      </c>
      <c r="C372" s="5"/>
      <c r="E372" s="13"/>
      <c r="F372" s="5"/>
      <c r="G372" s="11" t="str">
        <f>IF(ISERROR(AVERAGE(F$13:F372)),"n/a",AVERAGE(F$13:F372))</f>
        <v>n/a</v>
      </c>
      <c r="H372" s="11" t="str">
        <f t="shared" si="54"/>
        <v>n/a</v>
      </c>
      <c r="J372" s="5"/>
      <c r="K372" s="5"/>
      <c r="L372" s="5"/>
      <c r="M372" s="5"/>
      <c r="N372" s="5"/>
      <c r="O372" s="8" t="str">
        <f t="shared" si="52"/>
        <v>n/a</v>
      </c>
      <c r="Q372" s="5"/>
      <c r="R372" s="5"/>
      <c r="S372" s="5"/>
      <c r="U372" s="6"/>
      <c r="V372" s="9" t="str">
        <f t="shared" si="55"/>
        <v/>
      </c>
      <c r="W372" s="9" t="str">
        <f t="shared" si="56"/>
        <v/>
      </c>
      <c r="X372" s="10">
        <f>SUM(V$13:V372)/COUNTA(B$13:B372)</f>
        <v>0</v>
      </c>
      <c r="Z372" s="5"/>
      <c r="AA372" s="5"/>
      <c r="AC372" s="7"/>
      <c r="AE372" s="54" t="e">
        <f t="shared" si="57"/>
        <v>#N/A</v>
      </c>
      <c r="AF372" s="4" t="e">
        <f t="shared" si="53"/>
        <v>#N/A</v>
      </c>
    </row>
    <row r="373" spans="2:32">
      <c r="B373" s="5">
        <f t="shared" si="58"/>
        <v>361</v>
      </c>
      <c r="C373" s="5"/>
      <c r="E373" s="13"/>
      <c r="F373" s="5"/>
      <c r="G373" s="11" t="str">
        <f>IF(ISERROR(AVERAGE(F$13:F373)),"n/a",AVERAGE(F$13:F373))</f>
        <v>n/a</v>
      </c>
      <c r="H373" s="11" t="str">
        <f t="shared" si="54"/>
        <v>n/a</v>
      </c>
      <c r="J373" s="5"/>
      <c r="K373" s="5"/>
      <c r="L373" s="5"/>
      <c r="M373" s="5"/>
      <c r="N373" s="5"/>
      <c r="O373" s="8" t="str">
        <f t="shared" si="52"/>
        <v>n/a</v>
      </c>
      <c r="Q373" s="5"/>
      <c r="R373" s="5"/>
      <c r="S373" s="5"/>
      <c r="U373" s="6"/>
      <c r="V373" s="9" t="str">
        <f t="shared" si="55"/>
        <v/>
      </c>
      <c r="W373" s="9" t="str">
        <f t="shared" si="56"/>
        <v/>
      </c>
      <c r="X373" s="10">
        <f>SUM(V$13:V373)/COUNTA(B$13:B373)</f>
        <v>0</v>
      </c>
      <c r="Z373" s="5"/>
      <c r="AA373" s="5"/>
      <c r="AC373" s="7"/>
      <c r="AE373" s="54" t="e">
        <f t="shared" si="57"/>
        <v>#N/A</v>
      </c>
      <c r="AF373" s="4" t="e">
        <f t="shared" si="53"/>
        <v>#N/A</v>
      </c>
    </row>
    <row r="374" spans="2:32">
      <c r="B374" s="5">
        <f t="shared" si="58"/>
        <v>362</v>
      </c>
      <c r="C374" s="5"/>
      <c r="E374" s="13"/>
      <c r="F374" s="5"/>
      <c r="G374" s="11" t="str">
        <f>IF(ISERROR(AVERAGE(F$13:F374)),"n/a",AVERAGE(F$13:F374))</f>
        <v>n/a</v>
      </c>
      <c r="H374" s="11" t="str">
        <f t="shared" si="54"/>
        <v>n/a</v>
      </c>
      <c r="J374" s="5"/>
      <c r="K374" s="5"/>
      <c r="L374" s="5"/>
      <c r="M374" s="5"/>
      <c r="N374" s="5"/>
      <c r="O374" s="8" t="str">
        <f t="shared" si="52"/>
        <v>n/a</v>
      </c>
      <c r="Q374" s="5"/>
      <c r="R374" s="5"/>
      <c r="S374" s="5"/>
      <c r="U374" s="6"/>
      <c r="V374" s="9" t="str">
        <f t="shared" si="55"/>
        <v/>
      </c>
      <c r="W374" s="9" t="str">
        <f t="shared" si="56"/>
        <v/>
      </c>
      <c r="X374" s="10">
        <f>SUM(V$13:V374)/COUNTA(B$13:B374)</f>
        <v>0</v>
      </c>
      <c r="Z374" s="5"/>
      <c r="AA374" s="5"/>
      <c r="AC374" s="7"/>
      <c r="AE374" s="54" t="e">
        <f t="shared" si="57"/>
        <v>#N/A</v>
      </c>
      <c r="AF374" s="4" t="e">
        <f t="shared" si="53"/>
        <v>#N/A</v>
      </c>
    </row>
    <row r="375" spans="2:32">
      <c r="B375" s="5">
        <f t="shared" si="58"/>
        <v>363</v>
      </c>
      <c r="C375" s="5"/>
      <c r="E375" s="13"/>
      <c r="F375" s="5"/>
      <c r="G375" s="11" t="str">
        <f>IF(ISERROR(AVERAGE(F$13:F375)),"n/a",AVERAGE(F$13:F375))</f>
        <v>n/a</v>
      </c>
      <c r="H375" s="11" t="str">
        <f t="shared" si="54"/>
        <v>n/a</v>
      </c>
      <c r="J375" s="5"/>
      <c r="K375" s="5"/>
      <c r="L375" s="5"/>
      <c r="M375" s="5"/>
      <c r="N375" s="5"/>
      <c r="O375" s="8" t="str">
        <f t="shared" si="52"/>
        <v>n/a</v>
      </c>
      <c r="Q375" s="5"/>
      <c r="R375" s="5"/>
      <c r="S375" s="5"/>
      <c r="U375" s="6"/>
      <c r="V375" s="9" t="str">
        <f t="shared" si="55"/>
        <v/>
      </c>
      <c r="W375" s="9" t="str">
        <f t="shared" si="56"/>
        <v/>
      </c>
      <c r="X375" s="10">
        <f>SUM(V$13:V375)/COUNTA(B$13:B375)</f>
        <v>0</v>
      </c>
      <c r="Z375" s="5"/>
      <c r="AA375" s="5"/>
      <c r="AC375" s="7"/>
      <c r="AE375" s="54" t="e">
        <f t="shared" si="57"/>
        <v>#N/A</v>
      </c>
      <c r="AF375" s="4" t="e">
        <f t="shared" si="53"/>
        <v>#N/A</v>
      </c>
    </row>
    <row r="376" spans="2:32">
      <c r="B376" s="5">
        <f t="shared" si="58"/>
        <v>364</v>
      </c>
      <c r="C376" s="5"/>
      <c r="E376" s="13"/>
      <c r="F376" s="5"/>
      <c r="G376" s="11" t="str">
        <f>IF(ISERROR(AVERAGE(F$13:F376)),"n/a",AVERAGE(F$13:F376))</f>
        <v>n/a</v>
      </c>
      <c r="H376" s="11" t="str">
        <f t="shared" si="54"/>
        <v>n/a</v>
      </c>
      <c r="J376" s="5"/>
      <c r="K376" s="5"/>
      <c r="L376" s="5"/>
      <c r="M376" s="5"/>
      <c r="N376" s="5"/>
      <c r="O376" s="8" t="str">
        <f t="shared" si="52"/>
        <v>n/a</v>
      </c>
      <c r="Q376" s="5"/>
      <c r="R376" s="5"/>
      <c r="S376" s="5"/>
      <c r="U376" s="6"/>
      <c r="V376" s="9" t="str">
        <f t="shared" si="55"/>
        <v/>
      </c>
      <c r="W376" s="9" t="str">
        <f t="shared" si="56"/>
        <v/>
      </c>
      <c r="X376" s="10">
        <f>SUM(V$13:V376)/COUNTA(B$13:B376)</f>
        <v>0</v>
      </c>
      <c r="Z376" s="5"/>
      <c r="AA376" s="5"/>
      <c r="AC376" s="7"/>
      <c r="AE376" s="54" t="e">
        <f t="shared" si="57"/>
        <v>#N/A</v>
      </c>
      <c r="AF376" s="4" t="e">
        <f t="shared" si="53"/>
        <v>#N/A</v>
      </c>
    </row>
    <row r="377" spans="2:32">
      <c r="B377" s="5">
        <f t="shared" si="58"/>
        <v>365</v>
      </c>
      <c r="C377" s="5"/>
      <c r="E377" s="13"/>
      <c r="F377" s="5"/>
      <c r="G377" s="11" t="str">
        <f>IF(ISERROR(AVERAGE(F$13:F377)),"n/a",AVERAGE(F$13:F377))</f>
        <v>n/a</v>
      </c>
      <c r="H377" s="11" t="str">
        <f t="shared" si="54"/>
        <v>n/a</v>
      </c>
      <c r="J377" s="5"/>
      <c r="K377" s="5"/>
      <c r="L377" s="5"/>
      <c r="M377" s="5"/>
      <c r="N377" s="5"/>
      <c r="O377" s="8" t="str">
        <f t="shared" si="52"/>
        <v>n/a</v>
      </c>
      <c r="Q377" s="5"/>
      <c r="R377" s="5"/>
      <c r="S377" s="5"/>
      <c r="U377" s="6"/>
      <c r="V377" s="9" t="str">
        <f t="shared" si="55"/>
        <v/>
      </c>
      <c r="W377" s="9" t="str">
        <f t="shared" si="56"/>
        <v/>
      </c>
      <c r="X377" s="10">
        <f>SUM(V$13:V377)/COUNTA(B$13:B377)</f>
        <v>0</v>
      </c>
      <c r="Z377" s="5"/>
      <c r="AA377" s="5"/>
      <c r="AC377" s="7"/>
      <c r="AE377" s="54" t="e">
        <f t="shared" si="57"/>
        <v>#N/A</v>
      </c>
      <c r="AF377" s="4" t="e">
        <f t="shared" si="53"/>
        <v>#N/A</v>
      </c>
    </row>
    <row r="378" spans="2:32">
      <c r="B378" s="5">
        <f t="shared" si="58"/>
        <v>366</v>
      </c>
      <c r="C378" s="5"/>
      <c r="E378" s="13"/>
      <c r="F378" s="5"/>
      <c r="G378" s="11" t="str">
        <f>IF(ISERROR(AVERAGE(F$13:F378)),"n/a",AVERAGE(F$13:F378))</f>
        <v>n/a</v>
      </c>
      <c r="H378" s="11" t="str">
        <f t="shared" si="54"/>
        <v>n/a</v>
      </c>
      <c r="J378" s="5"/>
      <c r="K378" s="5"/>
      <c r="L378" s="5"/>
      <c r="M378" s="5"/>
      <c r="N378" s="5"/>
      <c r="O378" s="8" t="str">
        <f t="shared" si="52"/>
        <v>n/a</v>
      </c>
      <c r="Q378" s="5"/>
      <c r="R378" s="5"/>
      <c r="S378" s="5"/>
      <c r="U378" s="6"/>
      <c r="V378" s="9" t="str">
        <f t="shared" si="55"/>
        <v/>
      </c>
      <c r="W378" s="9" t="str">
        <f t="shared" si="56"/>
        <v/>
      </c>
      <c r="X378" s="10">
        <f>SUM(V$13:V378)/COUNTA(B$13:B378)</f>
        <v>0</v>
      </c>
      <c r="Z378" s="5"/>
      <c r="AA378" s="5"/>
      <c r="AC378" s="7"/>
      <c r="AE378" s="54" t="e">
        <f t="shared" si="57"/>
        <v>#N/A</v>
      </c>
      <c r="AF378" s="4" t="e">
        <f t="shared" si="53"/>
        <v>#N/A</v>
      </c>
    </row>
    <row r="379" spans="2:32">
      <c r="B379" s="5">
        <f t="shared" si="58"/>
        <v>367</v>
      </c>
      <c r="C379" s="5"/>
      <c r="E379" s="13"/>
      <c r="F379" s="5"/>
      <c r="G379" s="11" t="str">
        <f>IF(ISERROR(AVERAGE(F$13:F379)),"n/a",AVERAGE(F$13:F379))</f>
        <v>n/a</v>
      </c>
      <c r="H379" s="11" t="str">
        <f t="shared" si="54"/>
        <v>n/a</v>
      </c>
      <c r="J379" s="5"/>
      <c r="K379" s="5"/>
      <c r="L379" s="5"/>
      <c r="M379" s="5"/>
      <c r="N379" s="5"/>
      <c r="O379" s="8" t="str">
        <f t="shared" si="52"/>
        <v>n/a</v>
      </c>
      <c r="Q379" s="5"/>
      <c r="R379" s="5"/>
      <c r="S379" s="5"/>
      <c r="U379" s="6"/>
      <c r="V379" s="9" t="str">
        <f t="shared" si="55"/>
        <v/>
      </c>
      <c r="W379" s="9" t="str">
        <f t="shared" si="56"/>
        <v/>
      </c>
      <c r="X379" s="10">
        <f>SUM(V$13:V379)/COUNTA(B$13:B379)</f>
        <v>0</v>
      </c>
      <c r="Z379" s="5"/>
      <c r="AA379" s="5"/>
      <c r="AC379" s="7"/>
      <c r="AE379" s="54" t="e">
        <f t="shared" si="57"/>
        <v>#N/A</v>
      </c>
      <c r="AF379" s="4" t="e">
        <f t="shared" si="53"/>
        <v>#N/A</v>
      </c>
    </row>
    <row r="380" spans="2:32">
      <c r="B380" s="5">
        <f t="shared" si="58"/>
        <v>368</v>
      </c>
      <c r="C380" s="5"/>
      <c r="E380" s="13"/>
      <c r="F380" s="5"/>
      <c r="G380" s="11" t="str">
        <f>IF(ISERROR(AVERAGE(F$13:F380)),"n/a",AVERAGE(F$13:F380))</f>
        <v>n/a</v>
      </c>
      <c r="H380" s="11" t="str">
        <f t="shared" si="54"/>
        <v>n/a</v>
      </c>
      <c r="J380" s="5"/>
      <c r="K380" s="5"/>
      <c r="L380" s="5"/>
      <c r="M380" s="5"/>
      <c r="N380" s="5"/>
      <c r="O380" s="8" t="str">
        <f t="shared" si="52"/>
        <v>n/a</v>
      </c>
      <c r="Q380" s="5"/>
      <c r="R380" s="5"/>
      <c r="S380" s="5"/>
      <c r="U380" s="6"/>
      <c r="V380" s="9" t="str">
        <f t="shared" si="55"/>
        <v/>
      </c>
      <c r="W380" s="9" t="str">
        <f t="shared" si="56"/>
        <v/>
      </c>
      <c r="X380" s="10">
        <f>SUM(V$13:V380)/COUNTA(B$13:B380)</f>
        <v>0</v>
      </c>
      <c r="Z380" s="5"/>
      <c r="AA380" s="5"/>
      <c r="AC380" s="7"/>
      <c r="AE380" s="54" t="e">
        <f t="shared" si="57"/>
        <v>#N/A</v>
      </c>
      <c r="AF380" s="4" t="e">
        <f t="shared" si="53"/>
        <v>#N/A</v>
      </c>
    </row>
    <row r="381" spans="2:32">
      <c r="B381" s="5">
        <f t="shared" si="58"/>
        <v>369</v>
      </c>
      <c r="C381" s="5"/>
      <c r="E381" s="13"/>
      <c r="F381" s="5"/>
      <c r="G381" s="11" t="str">
        <f>IF(ISERROR(AVERAGE(F$13:F381)),"n/a",AVERAGE(F$13:F381))</f>
        <v>n/a</v>
      </c>
      <c r="H381" s="11" t="str">
        <f t="shared" si="54"/>
        <v>n/a</v>
      </c>
      <c r="J381" s="5"/>
      <c r="K381" s="5"/>
      <c r="L381" s="5"/>
      <c r="M381" s="5"/>
      <c r="N381" s="5"/>
      <c r="O381" s="8" t="str">
        <f t="shared" si="52"/>
        <v>n/a</v>
      </c>
      <c r="Q381" s="5"/>
      <c r="R381" s="5"/>
      <c r="S381" s="5"/>
      <c r="U381" s="6"/>
      <c r="V381" s="9" t="str">
        <f t="shared" si="55"/>
        <v/>
      </c>
      <c r="W381" s="9" t="str">
        <f t="shared" si="56"/>
        <v/>
      </c>
      <c r="X381" s="10">
        <f>SUM(V$13:V381)/COUNTA(B$13:B381)</f>
        <v>0</v>
      </c>
      <c r="Z381" s="5"/>
      <c r="AA381" s="5"/>
      <c r="AC381" s="7"/>
      <c r="AE381" s="54" t="e">
        <f t="shared" si="57"/>
        <v>#N/A</v>
      </c>
      <c r="AF381" s="4" t="e">
        <f t="shared" si="53"/>
        <v>#N/A</v>
      </c>
    </row>
    <row r="382" spans="2:32">
      <c r="B382" s="5">
        <f t="shared" si="58"/>
        <v>370</v>
      </c>
      <c r="C382" s="5"/>
      <c r="E382" s="13"/>
      <c r="F382" s="5"/>
      <c r="G382" s="11" t="str">
        <f>IF(ISERROR(AVERAGE(F$13:F382)),"n/a",AVERAGE(F$13:F382))</f>
        <v>n/a</v>
      </c>
      <c r="H382" s="11" t="str">
        <f t="shared" si="54"/>
        <v>n/a</v>
      </c>
      <c r="J382" s="5"/>
      <c r="K382" s="5"/>
      <c r="L382" s="5"/>
      <c r="M382" s="5"/>
      <c r="N382" s="5"/>
      <c r="O382" s="8" t="str">
        <f t="shared" si="52"/>
        <v>n/a</v>
      </c>
      <c r="Q382" s="5"/>
      <c r="R382" s="5"/>
      <c r="S382" s="5"/>
      <c r="U382" s="6"/>
      <c r="V382" s="9" t="str">
        <f t="shared" si="55"/>
        <v/>
      </c>
      <c r="W382" s="9" t="str">
        <f t="shared" si="56"/>
        <v/>
      </c>
      <c r="X382" s="10">
        <f>SUM(V$13:V382)/COUNTA(B$13:B382)</f>
        <v>0</v>
      </c>
      <c r="Z382" s="5"/>
      <c r="AA382" s="5"/>
      <c r="AC382" s="7"/>
      <c r="AE382" s="54" t="e">
        <f t="shared" si="57"/>
        <v>#N/A</v>
      </c>
      <c r="AF382" s="4" t="e">
        <f t="shared" si="53"/>
        <v>#N/A</v>
      </c>
    </row>
    <row r="383" spans="2:32">
      <c r="B383" s="5">
        <f t="shared" si="58"/>
        <v>371</v>
      </c>
      <c r="C383" s="5"/>
      <c r="E383" s="13"/>
      <c r="F383" s="5"/>
      <c r="G383" s="11" t="str">
        <f>IF(ISERROR(AVERAGE(F$13:F383)),"n/a",AVERAGE(F$13:F383))</f>
        <v>n/a</v>
      </c>
      <c r="H383" s="11" t="str">
        <f t="shared" si="54"/>
        <v>n/a</v>
      </c>
      <c r="J383" s="5"/>
      <c r="K383" s="5"/>
      <c r="L383" s="5"/>
      <c r="M383" s="5"/>
      <c r="N383" s="5"/>
      <c r="O383" s="8" t="str">
        <f t="shared" si="52"/>
        <v>n/a</v>
      </c>
      <c r="Q383" s="5"/>
      <c r="R383" s="5"/>
      <c r="S383" s="5"/>
      <c r="U383" s="6"/>
      <c r="V383" s="9" t="str">
        <f t="shared" si="55"/>
        <v/>
      </c>
      <c r="W383" s="9" t="str">
        <f t="shared" si="56"/>
        <v/>
      </c>
      <c r="X383" s="10">
        <f>SUM(V$13:V383)/COUNTA(B$13:B383)</f>
        <v>0</v>
      </c>
      <c r="Z383" s="5"/>
      <c r="AA383" s="5"/>
      <c r="AC383" s="7"/>
      <c r="AE383" s="54" t="e">
        <f t="shared" si="57"/>
        <v>#N/A</v>
      </c>
      <c r="AF383" s="4" t="e">
        <f t="shared" si="53"/>
        <v>#N/A</v>
      </c>
    </row>
    <row r="384" spans="2:32">
      <c r="B384" s="5">
        <f t="shared" si="58"/>
        <v>372</v>
      </c>
      <c r="C384" s="5"/>
      <c r="E384" s="13"/>
      <c r="F384" s="5"/>
      <c r="G384" s="11" t="str">
        <f>IF(ISERROR(AVERAGE(F$13:F384)),"n/a",AVERAGE(F$13:F384))</f>
        <v>n/a</v>
      </c>
      <c r="H384" s="11" t="str">
        <f t="shared" si="54"/>
        <v>n/a</v>
      </c>
      <c r="J384" s="5"/>
      <c r="K384" s="5"/>
      <c r="L384" s="5"/>
      <c r="M384" s="5"/>
      <c r="N384" s="5"/>
      <c r="O384" s="8" t="str">
        <f t="shared" si="52"/>
        <v>n/a</v>
      </c>
      <c r="Q384" s="5"/>
      <c r="R384" s="5"/>
      <c r="S384" s="5"/>
      <c r="U384" s="6"/>
      <c r="V384" s="9" t="str">
        <f t="shared" si="55"/>
        <v/>
      </c>
      <c r="W384" s="9" t="str">
        <f t="shared" si="56"/>
        <v/>
      </c>
      <c r="X384" s="10">
        <f>SUM(V$13:V384)/COUNTA(B$13:B384)</f>
        <v>0</v>
      </c>
      <c r="Z384" s="5"/>
      <c r="AA384" s="5"/>
      <c r="AC384" s="7"/>
      <c r="AE384" s="54" t="e">
        <f t="shared" si="57"/>
        <v>#N/A</v>
      </c>
      <c r="AF384" s="4" t="e">
        <f t="shared" si="53"/>
        <v>#N/A</v>
      </c>
    </row>
    <row r="385" spans="2:32">
      <c r="B385" s="5">
        <f t="shared" si="58"/>
        <v>373</v>
      </c>
      <c r="C385" s="5"/>
      <c r="E385" s="13"/>
      <c r="F385" s="5"/>
      <c r="G385" s="11" t="str">
        <f>IF(ISERROR(AVERAGE(F$13:F385)),"n/a",AVERAGE(F$13:F385))</f>
        <v>n/a</v>
      </c>
      <c r="H385" s="11" t="str">
        <f t="shared" si="54"/>
        <v>n/a</v>
      </c>
      <c r="J385" s="5"/>
      <c r="K385" s="5"/>
      <c r="L385" s="5"/>
      <c r="M385" s="5"/>
      <c r="N385" s="5"/>
      <c r="O385" s="8" t="str">
        <f t="shared" si="52"/>
        <v>n/a</v>
      </c>
      <c r="Q385" s="5"/>
      <c r="R385" s="5"/>
      <c r="S385" s="5"/>
      <c r="U385" s="6"/>
      <c r="V385" s="9" t="str">
        <f t="shared" si="55"/>
        <v/>
      </c>
      <c r="W385" s="9" t="str">
        <f t="shared" si="56"/>
        <v/>
      </c>
      <c r="X385" s="10">
        <f>SUM(V$13:V385)/COUNTA(B$13:B385)</f>
        <v>0</v>
      </c>
      <c r="Z385" s="5"/>
      <c r="AA385" s="5"/>
      <c r="AC385" s="7"/>
      <c r="AE385" s="54" t="e">
        <f t="shared" si="57"/>
        <v>#N/A</v>
      </c>
      <c r="AF385" s="4" t="e">
        <f t="shared" si="53"/>
        <v>#N/A</v>
      </c>
    </row>
    <row r="386" spans="2:32">
      <c r="B386" s="5">
        <f t="shared" si="58"/>
        <v>374</v>
      </c>
      <c r="C386" s="5"/>
      <c r="E386" s="13"/>
      <c r="F386" s="5"/>
      <c r="G386" s="11" t="str">
        <f>IF(ISERROR(AVERAGE(F$13:F386)),"n/a",AVERAGE(F$13:F386))</f>
        <v>n/a</v>
      </c>
      <c r="H386" s="11" t="str">
        <f t="shared" si="54"/>
        <v>n/a</v>
      </c>
      <c r="J386" s="5"/>
      <c r="K386" s="5"/>
      <c r="L386" s="5"/>
      <c r="M386" s="5"/>
      <c r="N386" s="5"/>
      <c r="O386" s="8" t="str">
        <f t="shared" si="52"/>
        <v>n/a</v>
      </c>
      <c r="Q386" s="5"/>
      <c r="R386" s="5"/>
      <c r="S386" s="5"/>
      <c r="U386" s="6"/>
      <c r="V386" s="9" t="str">
        <f t="shared" si="55"/>
        <v/>
      </c>
      <c r="W386" s="9" t="str">
        <f t="shared" si="56"/>
        <v/>
      </c>
      <c r="X386" s="10">
        <f>SUM(V$13:V386)/COUNTA(B$13:B386)</f>
        <v>0</v>
      </c>
      <c r="Z386" s="5"/>
      <c r="AA386" s="5"/>
      <c r="AC386" s="7"/>
      <c r="AE386" s="54" t="e">
        <f t="shared" si="57"/>
        <v>#N/A</v>
      </c>
      <c r="AF386" s="4" t="e">
        <f t="shared" si="53"/>
        <v>#N/A</v>
      </c>
    </row>
    <row r="387" spans="2:32">
      <c r="B387" s="5">
        <f t="shared" si="58"/>
        <v>375</v>
      </c>
      <c r="C387" s="5"/>
      <c r="E387" s="13"/>
      <c r="F387" s="5"/>
      <c r="G387" s="11" t="str">
        <f>IF(ISERROR(AVERAGE(F$13:F387)),"n/a",AVERAGE(F$13:F387))</f>
        <v>n/a</v>
      </c>
      <c r="H387" s="11" t="str">
        <f t="shared" si="54"/>
        <v>n/a</v>
      </c>
      <c r="J387" s="5"/>
      <c r="K387" s="5"/>
      <c r="L387" s="5"/>
      <c r="M387" s="5"/>
      <c r="N387" s="5"/>
      <c r="O387" s="8" t="str">
        <f t="shared" si="52"/>
        <v>n/a</v>
      </c>
      <c r="Q387" s="5"/>
      <c r="R387" s="5"/>
      <c r="S387" s="5"/>
      <c r="U387" s="6"/>
      <c r="V387" s="9" t="str">
        <f t="shared" si="55"/>
        <v/>
      </c>
      <c r="W387" s="9" t="str">
        <f t="shared" si="56"/>
        <v/>
      </c>
      <c r="X387" s="10">
        <f>SUM(V$13:V387)/COUNTA(B$13:B387)</f>
        <v>0</v>
      </c>
      <c r="Z387" s="5"/>
      <c r="AA387" s="5"/>
      <c r="AC387" s="7"/>
      <c r="AE387" s="54" t="e">
        <f t="shared" si="57"/>
        <v>#N/A</v>
      </c>
      <c r="AF387" s="4" t="e">
        <f t="shared" si="53"/>
        <v>#N/A</v>
      </c>
    </row>
    <row r="388" spans="2:32">
      <c r="B388" s="5">
        <f t="shared" si="58"/>
        <v>376</v>
      </c>
      <c r="C388" s="5"/>
      <c r="E388" s="13"/>
      <c r="F388" s="5"/>
      <c r="G388" s="11" t="str">
        <f>IF(ISERROR(AVERAGE(F$13:F388)),"n/a",AVERAGE(F$13:F388))</f>
        <v>n/a</v>
      </c>
      <c r="H388" s="11" t="str">
        <f t="shared" si="54"/>
        <v>n/a</v>
      </c>
      <c r="J388" s="5"/>
      <c r="K388" s="5"/>
      <c r="L388" s="5"/>
      <c r="M388" s="5"/>
      <c r="N388" s="5"/>
      <c r="O388" s="8" t="str">
        <f t="shared" si="52"/>
        <v>n/a</v>
      </c>
      <c r="Q388" s="5"/>
      <c r="R388" s="5"/>
      <c r="S388" s="5"/>
      <c r="U388" s="6"/>
      <c r="V388" s="9" t="str">
        <f t="shared" si="55"/>
        <v/>
      </c>
      <c r="W388" s="9" t="str">
        <f t="shared" si="56"/>
        <v/>
      </c>
      <c r="X388" s="10">
        <f>SUM(V$13:V388)/COUNTA(B$13:B388)</f>
        <v>0</v>
      </c>
      <c r="Z388" s="5"/>
      <c r="AA388" s="5"/>
      <c r="AC388" s="7"/>
      <c r="AE388" s="54" t="e">
        <f t="shared" si="57"/>
        <v>#N/A</v>
      </c>
      <c r="AF388" s="4" t="e">
        <f t="shared" si="53"/>
        <v>#N/A</v>
      </c>
    </row>
    <row r="389" spans="2:32">
      <c r="B389" s="5">
        <f t="shared" si="58"/>
        <v>377</v>
      </c>
      <c r="C389" s="5"/>
      <c r="E389" s="13"/>
      <c r="F389" s="5"/>
      <c r="G389" s="11" t="str">
        <f>IF(ISERROR(AVERAGE(F$13:F389)),"n/a",AVERAGE(F$13:F389))</f>
        <v>n/a</v>
      </c>
      <c r="H389" s="11" t="str">
        <f t="shared" si="54"/>
        <v>n/a</v>
      </c>
      <c r="J389" s="5"/>
      <c r="K389" s="5"/>
      <c r="L389" s="5"/>
      <c r="M389" s="5"/>
      <c r="N389" s="5"/>
      <c r="O389" s="8" t="str">
        <f t="shared" si="52"/>
        <v>n/a</v>
      </c>
      <c r="Q389" s="5"/>
      <c r="R389" s="5"/>
      <c r="S389" s="5"/>
      <c r="U389" s="6"/>
      <c r="V389" s="9" t="str">
        <f t="shared" si="55"/>
        <v/>
      </c>
      <c r="W389" s="9" t="str">
        <f t="shared" si="56"/>
        <v/>
      </c>
      <c r="X389" s="10">
        <f>SUM(V$13:V389)/COUNTA(B$13:B389)</f>
        <v>0</v>
      </c>
      <c r="Z389" s="5"/>
      <c r="AA389" s="5"/>
      <c r="AC389" s="7"/>
      <c r="AE389" s="54" t="e">
        <f t="shared" si="57"/>
        <v>#N/A</v>
      </c>
      <c r="AF389" s="4" t="e">
        <f t="shared" si="53"/>
        <v>#N/A</v>
      </c>
    </row>
    <row r="390" spans="2:32">
      <c r="B390" s="5">
        <f t="shared" si="58"/>
        <v>378</v>
      </c>
      <c r="C390" s="5"/>
      <c r="E390" s="13"/>
      <c r="F390" s="5"/>
      <c r="G390" s="11" t="str">
        <f>IF(ISERROR(AVERAGE(F$13:F390)),"n/a",AVERAGE(F$13:F390))</f>
        <v>n/a</v>
      </c>
      <c r="H390" s="11" t="str">
        <f t="shared" si="54"/>
        <v>n/a</v>
      </c>
      <c r="J390" s="5"/>
      <c r="K390" s="5"/>
      <c r="L390" s="5"/>
      <c r="M390" s="5"/>
      <c r="N390" s="5"/>
      <c r="O390" s="8" t="str">
        <f t="shared" si="52"/>
        <v>n/a</v>
      </c>
      <c r="Q390" s="5"/>
      <c r="R390" s="5"/>
      <c r="S390" s="5"/>
      <c r="U390" s="6"/>
      <c r="V390" s="9" t="str">
        <f t="shared" si="55"/>
        <v/>
      </c>
      <c r="W390" s="9" t="str">
        <f t="shared" si="56"/>
        <v/>
      </c>
      <c r="X390" s="10">
        <f>SUM(V$13:V390)/COUNTA(B$13:B390)</f>
        <v>0</v>
      </c>
      <c r="Z390" s="5"/>
      <c r="AA390" s="5"/>
      <c r="AC390" s="7"/>
      <c r="AE390" s="54" t="e">
        <f t="shared" si="57"/>
        <v>#N/A</v>
      </c>
      <c r="AF390" s="4" t="e">
        <f t="shared" si="53"/>
        <v>#N/A</v>
      </c>
    </row>
    <row r="391" spans="2:32">
      <c r="B391" s="5">
        <f t="shared" si="58"/>
        <v>379</v>
      </c>
      <c r="C391" s="5"/>
      <c r="E391" s="13"/>
      <c r="F391" s="5"/>
      <c r="G391" s="11" t="str">
        <f>IF(ISERROR(AVERAGE(F$13:F391)),"n/a",AVERAGE(F$13:F391))</f>
        <v>n/a</v>
      </c>
      <c r="H391" s="11" t="str">
        <f t="shared" si="54"/>
        <v>n/a</v>
      </c>
      <c r="J391" s="5"/>
      <c r="K391" s="5"/>
      <c r="L391" s="5"/>
      <c r="M391" s="5"/>
      <c r="N391" s="5"/>
      <c r="O391" s="8" t="str">
        <f t="shared" si="52"/>
        <v>n/a</v>
      </c>
      <c r="Q391" s="5"/>
      <c r="R391" s="5"/>
      <c r="S391" s="5"/>
      <c r="U391" s="6"/>
      <c r="V391" s="9" t="str">
        <f t="shared" si="55"/>
        <v/>
      </c>
      <c r="W391" s="9" t="str">
        <f t="shared" si="56"/>
        <v/>
      </c>
      <c r="X391" s="10">
        <f>SUM(V$13:V391)/COUNTA(B$13:B391)</f>
        <v>0</v>
      </c>
      <c r="Z391" s="5"/>
      <c r="AA391" s="5"/>
      <c r="AC391" s="7"/>
      <c r="AE391" s="54" t="e">
        <f t="shared" si="57"/>
        <v>#N/A</v>
      </c>
      <c r="AF391" s="4" t="e">
        <f t="shared" si="53"/>
        <v>#N/A</v>
      </c>
    </row>
    <row r="392" spans="2:32">
      <c r="B392" s="5">
        <f t="shared" si="58"/>
        <v>380</v>
      </c>
      <c r="C392" s="5"/>
      <c r="E392" s="13"/>
      <c r="F392" s="5"/>
      <c r="G392" s="11" t="str">
        <f>IF(ISERROR(AVERAGE(F$13:F392)),"n/a",AVERAGE(F$13:F392))</f>
        <v>n/a</v>
      </c>
      <c r="H392" s="11" t="str">
        <f t="shared" si="54"/>
        <v>n/a</v>
      </c>
      <c r="J392" s="5"/>
      <c r="K392" s="5"/>
      <c r="L392" s="5"/>
      <c r="M392" s="5"/>
      <c r="N392" s="5"/>
      <c r="O392" s="8" t="str">
        <f t="shared" si="52"/>
        <v>n/a</v>
      </c>
      <c r="Q392" s="5"/>
      <c r="R392" s="5"/>
      <c r="S392" s="5"/>
      <c r="U392" s="6"/>
      <c r="V392" s="9" t="str">
        <f t="shared" si="55"/>
        <v/>
      </c>
      <c r="W392" s="9" t="str">
        <f t="shared" si="56"/>
        <v/>
      </c>
      <c r="X392" s="10">
        <f>SUM(V$13:V392)/COUNTA(B$13:B392)</f>
        <v>0</v>
      </c>
      <c r="Z392" s="5"/>
      <c r="AA392" s="5"/>
      <c r="AC392" s="7"/>
      <c r="AE392" s="54" t="e">
        <f t="shared" si="57"/>
        <v>#N/A</v>
      </c>
      <c r="AF392" s="4" t="e">
        <f t="shared" si="53"/>
        <v>#N/A</v>
      </c>
    </row>
    <row r="393" spans="2:32">
      <c r="B393" s="5">
        <f t="shared" si="58"/>
        <v>381</v>
      </c>
      <c r="C393" s="5"/>
      <c r="E393" s="13"/>
      <c r="F393" s="5"/>
      <c r="G393" s="11" t="str">
        <f>IF(ISERROR(AVERAGE(F$13:F393)),"n/a",AVERAGE(F$13:F393))</f>
        <v>n/a</v>
      </c>
      <c r="H393" s="11" t="str">
        <f t="shared" si="54"/>
        <v>n/a</v>
      </c>
      <c r="J393" s="5"/>
      <c r="K393" s="5"/>
      <c r="L393" s="5"/>
      <c r="M393" s="5"/>
      <c r="N393" s="5"/>
      <c r="O393" s="8" t="str">
        <f t="shared" si="52"/>
        <v>n/a</v>
      </c>
      <c r="Q393" s="5"/>
      <c r="R393" s="5"/>
      <c r="S393" s="5"/>
      <c r="U393" s="6"/>
      <c r="V393" s="9" t="str">
        <f t="shared" si="55"/>
        <v/>
      </c>
      <c r="W393" s="9" t="str">
        <f t="shared" si="56"/>
        <v/>
      </c>
      <c r="X393" s="10">
        <f>SUM(V$13:V393)/COUNTA(B$13:B393)</f>
        <v>0</v>
      </c>
      <c r="Z393" s="5"/>
      <c r="AA393" s="5"/>
      <c r="AC393" s="7"/>
      <c r="AE393" s="54" t="e">
        <f t="shared" si="57"/>
        <v>#N/A</v>
      </c>
      <c r="AF393" s="4" t="e">
        <f t="shared" si="53"/>
        <v>#N/A</v>
      </c>
    </row>
    <row r="394" spans="2:32">
      <c r="B394" s="5">
        <f t="shared" si="58"/>
        <v>382</v>
      </c>
      <c r="C394" s="5"/>
      <c r="E394" s="13"/>
      <c r="F394" s="5"/>
      <c r="G394" s="11" t="str">
        <f>IF(ISERROR(AVERAGE(F$13:F394)),"n/a",AVERAGE(F$13:F394))</f>
        <v>n/a</v>
      </c>
      <c r="H394" s="11" t="str">
        <f t="shared" si="54"/>
        <v>n/a</v>
      </c>
      <c r="J394" s="5"/>
      <c r="K394" s="5"/>
      <c r="L394" s="5"/>
      <c r="M394" s="5"/>
      <c r="N394" s="5"/>
      <c r="O394" s="8" t="str">
        <f t="shared" si="52"/>
        <v>n/a</v>
      </c>
      <c r="Q394" s="5"/>
      <c r="R394" s="5"/>
      <c r="S394" s="5"/>
      <c r="U394" s="6"/>
      <c r="V394" s="9" t="str">
        <f t="shared" si="55"/>
        <v/>
      </c>
      <c r="W394" s="9" t="str">
        <f t="shared" si="56"/>
        <v/>
      </c>
      <c r="X394" s="10">
        <f>SUM(V$13:V394)/COUNTA(B$13:B394)</f>
        <v>0</v>
      </c>
      <c r="Z394" s="5"/>
      <c r="AA394" s="5"/>
      <c r="AC394" s="7"/>
      <c r="AE394" s="54" t="e">
        <f t="shared" si="57"/>
        <v>#N/A</v>
      </c>
      <c r="AF394" s="4" t="e">
        <f t="shared" si="53"/>
        <v>#N/A</v>
      </c>
    </row>
    <row r="395" spans="2:32">
      <c r="B395" s="5">
        <f t="shared" si="58"/>
        <v>383</v>
      </c>
      <c r="C395" s="5"/>
      <c r="E395" s="13"/>
      <c r="F395" s="5"/>
      <c r="G395" s="11" t="str">
        <f>IF(ISERROR(AVERAGE(F$13:F395)),"n/a",AVERAGE(F$13:F395))</f>
        <v>n/a</v>
      </c>
      <c r="H395" s="11" t="str">
        <f t="shared" si="54"/>
        <v>n/a</v>
      </c>
      <c r="J395" s="5"/>
      <c r="K395" s="5"/>
      <c r="L395" s="5"/>
      <c r="M395" s="5"/>
      <c r="N395" s="5"/>
      <c r="O395" s="8" t="str">
        <f t="shared" si="52"/>
        <v>n/a</v>
      </c>
      <c r="Q395" s="5"/>
      <c r="R395" s="5"/>
      <c r="S395" s="5"/>
      <c r="U395" s="6"/>
      <c r="V395" s="9" t="str">
        <f t="shared" si="55"/>
        <v/>
      </c>
      <c r="W395" s="9" t="str">
        <f t="shared" si="56"/>
        <v/>
      </c>
      <c r="X395" s="10">
        <f>SUM(V$13:V395)/COUNTA(B$13:B395)</f>
        <v>0</v>
      </c>
      <c r="Z395" s="5"/>
      <c r="AA395" s="5"/>
      <c r="AC395" s="7"/>
      <c r="AE395" s="54" t="e">
        <f t="shared" si="57"/>
        <v>#N/A</v>
      </c>
      <c r="AF395" s="4" t="e">
        <f t="shared" si="53"/>
        <v>#N/A</v>
      </c>
    </row>
    <row r="396" spans="2:32">
      <c r="B396" s="5">
        <f t="shared" si="58"/>
        <v>384</v>
      </c>
      <c r="C396" s="5"/>
      <c r="E396" s="13"/>
      <c r="F396" s="5"/>
      <c r="G396" s="11" t="str">
        <f>IF(ISERROR(AVERAGE(F$13:F396)),"n/a",AVERAGE(F$13:F396))</f>
        <v>n/a</v>
      </c>
      <c r="H396" s="11" t="str">
        <f t="shared" si="54"/>
        <v>n/a</v>
      </c>
      <c r="J396" s="5"/>
      <c r="K396" s="5"/>
      <c r="L396" s="5"/>
      <c r="M396" s="5"/>
      <c r="N396" s="5"/>
      <c r="O396" s="8" t="str">
        <f t="shared" si="52"/>
        <v>n/a</v>
      </c>
      <c r="Q396" s="5"/>
      <c r="R396" s="5"/>
      <c r="S396" s="5"/>
      <c r="U396" s="6"/>
      <c r="V396" s="9" t="str">
        <f t="shared" si="55"/>
        <v/>
      </c>
      <c r="W396" s="9" t="str">
        <f t="shared" si="56"/>
        <v/>
      </c>
      <c r="X396" s="10">
        <f>SUM(V$13:V396)/COUNTA(B$13:B396)</f>
        <v>0</v>
      </c>
      <c r="Z396" s="5"/>
      <c r="AA396" s="5"/>
      <c r="AC396" s="7"/>
      <c r="AE396" s="54" t="e">
        <f t="shared" si="57"/>
        <v>#N/A</v>
      </c>
      <c r="AF396" s="4" t="e">
        <f t="shared" si="53"/>
        <v>#N/A</v>
      </c>
    </row>
    <row r="397" spans="2:32">
      <c r="B397" s="5">
        <f t="shared" si="58"/>
        <v>385</v>
      </c>
      <c r="C397" s="5"/>
      <c r="E397" s="13"/>
      <c r="F397" s="5"/>
      <c r="G397" s="11" t="str">
        <f>IF(ISERROR(AVERAGE(F$13:F397)),"n/a",AVERAGE(F$13:F397))</f>
        <v>n/a</v>
      </c>
      <c r="H397" s="11" t="str">
        <f t="shared" si="54"/>
        <v>n/a</v>
      </c>
      <c r="J397" s="5"/>
      <c r="K397" s="5"/>
      <c r="L397" s="5"/>
      <c r="M397" s="5"/>
      <c r="N397" s="5"/>
      <c r="O397" s="8" t="str">
        <f t="shared" ref="O397:O460" si="59">IF(J397=1,"A",IF(K397=1,"B",IF(L397=1,"C",IF(M397=1,"D",IF(N397=1,"E","n/a")))))</f>
        <v>n/a</v>
      </c>
      <c r="Q397" s="5"/>
      <c r="R397" s="5"/>
      <c r="S397" s="5"/>
      <c r="U397" s="6"/>
      <c r="V397" s="9" t="str">
        <f t="shared" si="55"/>
        <v/>
      </c>
      <c r="W397" s="9" t="str">
        <f t="shared" si="56"/>
        <v/>
      </c>
      <c r="X397" s="10">
        <f>SUM(V$13:V397)/COUNTA(B$13:B397)</f>
        <v>0</v>
      </c>
      <c r="Z397" s="5"/>
      <c r="AA397" s="5"/>
      <c r="AC397" s="7"/>
      <c r="AE397" s="54" t="e">
        <f t="shared" si="57"/>
        <v>#N/A</v>
      </c>
      <c r="AF397" s="4" t="e">
        <f t="shared" ref="AF397:AF460" si="60">HLOOKUP(C397,$K$6:$O$7,2,FALSE)</f>
        <v>#N/A</v>
      </c>
    </row>
    <row r="398" spans="2:32">
      <c r="B398" s="5">
        <f t="shared" si="58"/>
        <v>386</v>
      </c>
      <c r="C398" s="5"/>
      <c r="E398" s="13"/>
      <c r="F398" s="5"/>
      <c r="G398" s="11" t="str">
        <f>IF(ISERROR(AVERAGE(F$13:F398)),"n/a",AVERAGE(F$13:F398))</f>
        <v>n/a</v>
      </c>
      <c r="H398" s="11" t="str">
        <f t="shared" ref="H398:H461" si="61">G398</f>
        <v>n/a</v>
      </c>
      <c r="J398" s="5"/>
      <c r="K398" s="5"/>
      <c r="L398" s="5"/>
      <c r="M398" s="5"/>
      <c r="N398" s="5"/>
      <c r="O398" s="8" t="str">
        <f t="shared" si="59"/>
        <v>n/a</v>
      </c>
      <c r="Q398" s="5"/>
      <c r="R398" s="5"/>
      <c r="S398" s="5"/>
      <c r="U398" s="6"/>
      <c r="V398" s="9" t="str">
        <f t="shared" ref="V398:V461" si="62">IF(O398="n/a","",IF(O398=U398,1,""))</f>
        <v/>
      </c>
      <c r="W398" s="9" t="str">
        <f t="shared" ref="W398:W461" si="63">IF(O398="n/a","",IF(O398&lt;&gt;U398,1,""))</f>
        <v/>
      </c>
      <c r="X398" s="10">
        <f>SUM(V$13:V398)/COUNTA(B$13:B398)</f>
        <v>0</v>
      </c>
      <c r="Z398" s="5"/>
      <c r="AA398" s="5"/>
      <c r="AC398" s="7"/>
      <c r="AE398" s="54" t="e">
        <f t="shared" ref="AE398:AE461" si="64">+IF($F$4=0,0,IF(W398=1,1,IF(OR(R398*$F$8=1,S398*$F$9=1,F398&gt;=AF398),2,0)))</f>
        <v>#N/A</v>
      </c>
      <c r="AF398" s="4" t="e">
        <f t="shared" si="60"/>
        <v>#N/A</v>
      </c>
    </row>
    <row r="399" spans="2:32">
      <c r="B399" s="5">
        <f t="shared" si="58"/>
        <v>387</v>
      </c>
      <c r="C399" s="5"/>
      <c r="E399" s="13"/>
      <c r="F399" s="5"/>
      <c r="G399" s="11" t="str">
        <f>IF(ISERROR(AVERAGE(F$13:F399)),"n/a",AVERAGE(F$13:F399))</f>
        <v>n/a</v>
      </c>
      <c r="H399" s="11" t="str">
        <f t="shared" si="61"/>
        <v>n/a</v>
      </c>
      <c r="J399" s="5"/>
      <c r="K399" s="5"/>
      <c r="L399" s="5"/>
      <c r="M399" s="5"/>
      <c r="N399" s="5"/>
      <c r="O399" s="8" t="str">
        <f t="shared" si="59"/>
        <v>n/a</v>
      </c>
      <c r="Q399" s="5"/>
      <c r="R399" s="5"/>
      <c r="S399" s="5"/>
      <c r="U399" s="6"/>
      <c r="V399" s="9" t="str">
        <f t="shared" si="62"/>
        <v/>
      </c>
      <c r="W399" s="9" t="str">
        <f t="shared" si="63"/>
        <v/>
      </c>
      <c r="X399" s="10">
        <f>SUM(V$13:V399)/COUNTA(B$13:B399)</f>
        <v>0</v>
      </c>
      <c r="Z399" s="5"/>
      <c r="AA399" s="5"/>
      <c r="AC399" s="7"/>
      <c r="AE399" s="54" t="e">
        <f t="shared" si="64"/>
        <v>#N/A</v>
      </c>
      <c r="AF399" s="4" t="e">
        <f t="shared" si="60"/>
        <v>#N/A</v>
      </c>
    </row>
    <row r="400" spans="2:32">
      <c r="B400" s="5">
        <f t="shared" si="58"/>
        <v>388</v>
      </c>
      <c r="C400" s="5"/>
      <c r="E400" s="13"/>
      <c r="F400" s="5"/>
      <c r="G400" s="11" t="str">
        <f>IF(ISERROR(AVERAGE(F$13:F400)),"n/a",AVERAGE(F$13:F400))</f>
        <v>n/a</v>
      </c>
      <c r="H400" s="11" t="str">
        <f t="shared" si="61"/>
        <v>n/a</v>
      </c>
      <c r="J400" s="5"/>
      <c r="K400" s="5"/>
      <c r="L400" s="5"/>
      <c r="M400" s="5"/>
      <c r="N400" s="5"/>
      <c r="O400" s="8" t="str">
        <f t="shared" si="59"/>
        <v>n/a</v>
      </c>
      <c r="Q400" s="5"/>
      <c r="R400" s="5"/>
      <c r="S400" s="5"/>
      <c r="U400" s="6"/>
      <c r="V400" s="9" t="str">
        <f t="shared" si="62"/>
        <v/>
      </c>
      <c r="W400" s="9" t="str">
        <f t="shared" si="63"/>
        <v/>
      </c>
      <c r="X400" s="10">
        <f>SUM(V$13:V400)/COUNTA(B$13:B400)</f>
        <v>0</v>
      </c>
      <c r="Z400" s="5"/>
      <c r="AA400" s="5"/>
      <c r="AC400" s="7"/>
      <c r="AE400" s="54" t="e">
        <f t="shared" si="64"/>
        <v>#N/A</v>
      </c>
      <c r="AF400" s="4" t="e">
        <f t="shared" si="60"/>
        <v>#N/A</v>
      </c>
    </row>
    <row r="401" spans="2:32">
      <c r="B401" s="5">
        <f t="shared" si="58"/>
        <v>389</v>
      </c>
      <c r="C401" s="5"/>
      <c r="E401" s="13"/>
      <c r="F401" s="5"/>
      <c r="G401" s="11" t="str">
        <f>IF(ISERROR(AVERAGE(F$13:F401)),"n/a",AVERAGE(F$13:F401))</f>
        <v>n/a</v>
      </c>
      <c r="H401" s="11" t="str">
        <f t="shared" si="61"/>
        <v>n/a</v>
      </c>
      <c r="J401" s="5"/>
      <c r="K401" s="5"/>
      <c r="L401" s="5"/>
      <c r="M401" s="5"/>
      <c r="N401" s="5"/>
      <c r="O401" s="8" t="str">
        <f t="shared" si="59"/>
        <v>n/a</v>
      </c>
      <c r="Q401" s="5"/>
      <c r="R401" s="5"/>
      <c r="S401" s="5"/>
      <c r="U401" s="6"/>
      <c r="V401" s="9" t="str">
        <f t="shared" si="62"/>
        <v/>
      </c>
      <c r="W401" s="9" t="str">
        <f t="shared" si="63"/>
        <v/>
      </c>
      <c r="X401" s="10">
        <f>SUM(V$13:V401)/COUNTA(B$13:B401)</f>
        <v>0</v>
      </c>
      <c r="Z401" s="5"/>
      <c r="AA401" s="5"/>
      <c r="AC401" s="7"/>
      <c r="AE401" s="54" t="e">
        <f t="shared" si="64"/>
        <v>#N/A</v>
      </c>
      <c r="AF401" s="4" t="e">
        <f t="shared" si="60"/>
        <v>#N/A</v>
      </c>
    </row>
    <row r="402" spans="2:32">
      <c r="B402" s="5">
        <f t="shared" si="58"/>
        <v>390</v>
      </c>
      <c r="C402" s="5"/>
      <c r="E402" s="13"/>
      <c r="F402" s="5"/>
      <c r="G402" s="11" t="str">
        <f>IF(ISERROR(AVERAGE(F$13:F402)),"n/a",AVERAGE(F$13:F402))</f>
        <v>n/a</v>
      </c>
      <c r="H402" s="11" t="str">
        <f t="shared" si="61"/>
        <v>n/a</v>
      </c>
      <c r="J402" s="5"/>
      <c r="K402" s="5"/>
      <c r="L402" s="5"/>
      <c r="M402" s="5"/>
      <c r="N402" s="5"/>
      <c r="O402" s="8" t="str">
        <f t="shared" si="59"/>
        <v>n/a</v>
      </c>
      <c r="Q402" s="5"/>
      <c r="R402" s="5"/>
      <c r="S402" s="5"/>
      <c r="U402" s="6"/>
      <c r="V402" s="9" t="str">
        <f t="shared" si="62"/>
        <v/>
      </c>
      <c r="W402" s="9" t="str">
        <f t="shared" si="63"/>
        <v/>
      </c>
      <c r="X402" s="10">
        <f>SUM(V$13:V402)/COUNTA(B$13:B402)</f>
        <v>0</v>
      </c>
      <c r="Z402" s="5"/>
      <c r="AA402" s="5"/>
      <c r="AC402" s="7"/>
      <c r="AE402" s="54" t="e">
        <f t="shared" si="64"/>
        <v>#N/A</v>
      </c>
      <c r="AF402" s="4" t="e">
        <f t="shared" si="60"/>
        <v>#N/A</v>
      </c>
    </row>
    <row r="403" spans="2:32">
      <c r="B403" s="5">
        <f t="shared" ref="B403:B466" si="65">+B402+1</f>
        <v>391</v>
      </c>
      <c r="C403" s="5"/>
      <c r="E403" s="13"/>
      <c r="F403" s="5"/>
      <c r="G403" s="11" t="str">
        <f>IF(ISERROR(AVERAGE(F$13:F403)),"n/a",AVERAGE(F$13:F403))</f>
        <v>n/a</v>
      </c>
      <c r="H403" s="11" t="str">
        <f t="shared" si="61"/>
        <v>n/a</v>
      </c>
      <c r="J403" s="5"/>
      <c r="K403" s="5"/>
      <c r="L403" s="5"/>
      <c r="M403" s="5"/>
      <c r="N403" s="5"/>
      <c r="O403" s="8" t="str">
        <f t="shared" si="59"/>
        <v>n/a</v>
      </c>
      <c r="Q403" s="5"/>
      <c r="R403" s="5"/>
      <c r="S403" s="5"/>
      <c r="U403" s="6"/>
      <c r="V403" s="9" t="str">
        <f t="shared" si="62"/>
        <v/>
      </c>
      <c r="W403" s="9" t="str">
        <f t="shared" si="63"/>
        <v/>
      </c>
      <c r="X403" s="10">
        <f>SUM(V$13:V403)/COUNTA(B$13:B403)</f>
        <v>0</v>
      </c>
      <c r="Z403" s="5"/>
      <c r="AA403" s="5"/>
      <c r="AC403" s="7"/>
      <c r="AE403" s="54" t="e">
        <f t="shared" si="64"/>
        <v>#N/A</v>
      </c>
      <c r="AF403" s="4" t="e">
        <f t="shared" si="60"/>
        <v>#N/A</v>
      </c>
    </row>
    <row r="404" spans="2:32">
      <c r="B404" s="5">
        <f t="shared" si="65"/>
        <v>392</v>
      </c>
      <c r="C404" s="5"/>
      <c r="E404" s="13"/>
      <c r="F404" s="5"/>
      <c r="G404" s="11" t="str">
        <f>IF(ISERROR(AVERAGE(F$13:F404)),"n/a",AVERAGE(F$13:F404))</f>
        <v>n/a</v>
      </c>
      <c r="H404" s="11" t="str">
        <f t="shared" si="61"/>
        <v>n/a</v>
      </c>
      <c r="J404" s="5"/>
      <c r="K404" s="5"/>
      <c r="L404" s="5"/>
      <c r="M404" s="5"/>
      <c r="N404" s="5"/>
      <c r="O404" s="8" t="str">
        <f t="shared" si="59"/>
        <v>n/a</v>
      </c>
      <c r="Q404" s="5"/>
      <c r="R404" s="5"/>
      <c r="S404" s="5"/>
      <c r="U404" s="6"/>
      <c r="V404" s="9" t="str">
        <f t="shared" si="62"/>
        <v/>
      </c>
      <c r="W404" s="9" t="str">
        <f t="shared" si="63"/>
        <v/>
      </c>
      <c r="X404" s="10">
        <f>SUM(V$13:V404)/COUNTA(B$13:B404)</f>
        <v>0</v>
      </c>
      <c r="Z404" s="5"/>
      <c r="AA404" s="5"/>
      <c r="AC404" s="7"/>
      <c r="AE404" s="54" t="e">
        <f t="shared" si="64"/>
        <v>#N/A</v>
      </c>
      <c r="AF404" s="4" t="e">
        <f t="shared" si="60"/>
        <v>#N/A</v>
      </c>
    </row>
    <row r="405" spans="2:32">
      <c r="B405" s="5">
        <f t="shared" si="65"/>
        <v>393</v>
      </c>
      <c r="C405" s="5"/>
      <c r="E405" s="13"/>
      <c r="F405" s="5"/>
      <c r="G405" s="11" t="str">
        <f>IF(ISERROR(AVERAGE(F$13:F405)),"n/a",AVERAGE(F$13:F405))</f>
        <v>n/a</v>
      </c>
      <c r="H405" s="11" t="str">
        <f t="shared" si="61"/>
        <v>n/a</v>
      </c>
      <c r="J405" s="5"/>
      <c r="K405" s="5"/>
      <c r="L405" s="5"/>
      <c r="M405" s="5"/>
      <c r="N405" s="5"/>
      <c r="O405" s="8" t="str">
        <f t="shared" si="59"/>
        <v>n/a</v>
      </c>
      <c r="Q405" s="5"/>
      <c r="R405" s="5"/>
      <c r="S405" s="5"/>
      <c r="U405" s="6"/>
      <c r="V405" s="9" t="str">
        <f t="shared" si="62"/>
        <v/>
      </c>
      <c r="W405" s="9" t="str">
        <f t="shared" si="63"/>
        <v/>
      </c>
      <c r="X405" s="10">
        <f>SUM(V$13:V405)/COUNTA(B$13:B405)</f>
        <v>0</v>
      </c>
      <c r="Z405" s="5"/>
      <c r="AA405" s="5"/>
      <c r="AC405" s="7"/>
      <c r="AE405" s="54" t="e">
        <f t="shared" si="64"/>
        <v>#N/A</v>
      </c>
      <c r="AF405" s="4" t="e">
        <f t="shared" si="60"/>
        <v>#N/A</v>
      </c>
    </row>
    <row r="406" spans="2:32">
      <c r="B406" s="5">
        <f t="shared" si="65"/>
        <v>394</v>
      </c>
      <c r="C406" s="5"/>
      <c r="E406" s="13"/>
      <c r="F406" s="5"/>
      <c r="G406" s="11" t="str">
        <f>IF(ISERROR(AVERAGE(F$13:F406)),"n/a",AVERAGE(F$13:F406))</f>
        <v>n/a</v>
      </c>
      <c r="H406" s="11" t="str">
        <f t="shared" si="61"/>
        <v>n/a</v>
      </c>
      <c r="J406" s="5"/>
      <c r="K406" s="5"/>
      <c r="L406" s="5"/>
      <c r="M406" s="5"/>
      <c r="N406" s="5"/>
      <c r="O406" s="8" t="str">
        <f t="shared" si="59"/>
        <v>n/a</v>
      </c>
      <c r="Q406" s="5"/>
      <c r="R406" s="5"/>
      <c r="S406" s="5"/>
      <c r="U406" s="6"/>
      <c r="V406" s="9" t="str">
        <f t="shared" si="62"/>
        <v/>
      </c>
      <c r="W406" s="9" t="str">
        <f t="shared" si="63"/>
        <v/>
      </c>
      <c r="X406" s="10">
        <f>SUM(V$13:V406)/COUNTA(B$13:B406)</f>
        <v>0</v>
      </c>
      <c r="Z406" s="5"/>
      <c r="AA406" s="5"/>
      <c r="AC406" s="7"/>
      <c r="AE406" s="54" t="e">
        <f t="shared" si="64"/>
        <v>#N/A</v>
      </c>
      <c r="AF406" s="4" t="e">
        <f t="shared" si="60"/>
        <v>#N/A</v>
      </c>
    </row>
    <row r="407" spans="2:32">
      <c r="B407" s="5">
        <f t="shared" si="65"/>
        <v>395</v>
      </c>
      <c r="C407" s="5"/>
      <c r="E407" s="13"/>
      <c r="F407" s="5"/>
      <c r="G407" s="11" t="str">
        <f>IF(ISERROR(AVERAGE(F$13:F407)),"n/a",AVERAGE(F$13:F407))</f>
        <v>n/a</v>
      </c>
      <c r="H407" s="11" t="str">
        <f t="shared" si="61"/>
        <v>n/a</v>
      </c>
      <c r="J407" s="5"/>
      <c r="K407" s="5"/>
      <c r="L407" s="5"/>
      <c r="M407" s="5"/>
      <c r="N407" s="5"/>
      <c r="O407" s="8" t="str">
        <f t="shared" si="59"/>
        <v>n/a</v>
      </c>
      <c r="Q407" s="5"/>
      <c r="R407" s="5"/>
      <c r="S407" s="5"/>
      <c r="U407" s="6"/>
      <c r="V407" s="9" t="str">
        <f t="shared" si="62"/>
        <v/>
      </c>
      <c r="W407" s="9" t="str">
        <f t="shared" si="63"/>
        <v/>
      </c>
      <c r="X407" s="10">
        <f>SUM(V$13:V407)/COUNTA(B$13:B407)</f>
        <v>0</v>
      </c>
      <c r="Z407" s="5"/>
      <c r="AA407" s="5"/>
      <c r="AC407" s="7"/>
      <c r="AE407" s="54" t="e">
        <f t="shared" si="64"/>
        <v>#N/A</v>
      </c>
      <c r="AF407" s="4" t="e">
        <f t="shared" si="60"/>
        <v>#N/A</v>
      </c>
    </row>
    <row r="408" spans="2:32">
      <c r="B408" s="5">
        <f t="shared" si="65"/>
        <v>396</v>
      </c>
      <c r="C408" s="5"/>
      <c r="E408" s="13"/>
      <c r="F408" s="5"/>
      <c r="G408" s="11" t="str">
        <f>IF(ISERROR(AVERAGE(F$13:F408)),"n/a",AVERAGE(F$13:F408))</f>
        <v>n/a</v>
      </c>
      <c r="H408" s="11" t="str">
        <f t="shared" si="61"/>
        <v>n/a</v>
      </c>
      <c r="J408" s="5"/>
      <c r="K408" s="5"/>
      <c r="L408" s="5"/>
      <c r="M408" s="5"/>
      <c r="N408" s="5"/>
      <c r="O408" s="8" t="str">
        <f t="shared" si="59"/>
        <v>n/a</v>
      </c>
      <c r="Q408" s="5"/>
      <c r="R408" s="5"/>
      <c r="S408" s="5"/>
      <c r="U408" s="6"/>
      <c r="V408" s="9" t="str">
        <f t="shared" si="62"/>
        <v/>
      </c>
      <c r="W408" s="9" t="str">
        <f t="shared" si="63"/>
        <v/>
      </c>
      <c r="X408" s="10">
        <f>SUM(V$13:V408)/COUNTA(B$13:B408)</f>
        <v>0</v>
      </c>
      <c r="Z408" s="5"/>
      <c r="AA408" s="5"/>
      <c r="AC408" s="7"/>
      <c r="AE408" s="54" t="e">
        <f t="shared" si="64"/>
        <v>#N/A</v>
      </c>
      <c r="AF408" s="4" t="e">
        <f t="shared" si="60"/>
        <v>#N/A</v>
      </c>
    </row>
    <row r="409" spans="2:32">
      <c r="B409" s="5">
        <f t="shared" si="65"/>
        <v>397</v>
      </c>
      <c r="C409" s="5"/>
      <c r="E409" s="13"/>
      <c r="F409" s="5"/>
      <c r="G409" s="11" t="str">
        <f>IF(ISERROR(AVERAGE(F$13:F409)),"n/a",AVERAGE(F$13:F409))</f>
        <v>n/a</v>
      </c>
      <c r="H409" s="11" t="str">
        <f t="shared" si="61"/>
        <v>n/a</v>
      </c>
      <c r="J409" s="5"/>
      <c r="K409" s="5"/>
      <c r="L409" s="5"/>
      <c r="M409" s="5"/>
      <c r="N409" s="5"/>
      <c r="O409" s="8" t="str">
        <f t="shared" si="59"/>
        <v>n/a</v>
      </c>
      <c r="Q409" s="5"/>
      <c r="R409" s="5"/>
      <c r="S409" s="5"/>
      <c r="U409" s="6"/>
      <c r="V409" s="9" t="str">
        <f t="shared" si="62"/>
        <v/>
      </c>
      <c r="W409" s="9" t="str">
        <f t="shared" si="63"/>
        <v/>
      </c>
      <c r="X409" s="10">
        <f>SUM(V$13:V409)/COUNTA(B$13:B409)</f>
        <v>0</v>
      </c>
      <c r="Z409" s="5"/>
      <c r="AA409" s="5"/>
      <c r="AC409" s="7"/>
      <c r="AE409" s="54" t="e">
        <f t="shared" si="64"/>
        <v>#N/A</v>
      </c>
      <c r="AF409" s="4" t="e">
        <f t="shared" si="60"/>
        <v>#N/A</v>
      </c>
    </row>
    <row r="410" spans="2:32">
      <c r="B410" s="5">
        <f t="shared" si="65"/>
        <v>398</v>
      </c>
      <c r="C410" s="5"/>
      <c r="E410" s="13"/>
      <c r="F410" s="5"/>
      <c r="G410" s="11" t="str">
        <f>IF(ISERROR(AVERAGE(F$13:F410)),"n/a",AVERAGE(F$13:F410))</f>
        <v>n/a</v>
      </c>
      <c r="H410" s="11" t="str">
        <f t="shared" si="61"/>
        <v>n/a</v>
      </c>
      <c r="J410" s="5"/>
      <c r="K410" s="5"/>
      <c r="L410" s="5"/>
      <c r="M410" s="5"/>
      <c r="N410" s="5"/>
      <c r="O410" s="8" t="str">
        <f t="shared" si="59"/>
        <v>n/a</v>
      </c>
      <c r="Q410" s="5"/>
      <c r="R410" s="5"/>
      <c r="S410" s="5"/>
      <c r="U410" s="6"/>
      <c r="V410" s="9" t="str">
        <f t="shared" si="62"/>
        <v/>
      </c>
      <c r="W410" s="9" t="str">
        <f t="shared" si="63"/>
        <v/>
      </c>
      <c r="X410" s="10">
        <f>SUM(V$13:V410)/COUNTA(B$13:B410)</f>
        <v>0</v>
      </c>
      <c r="Z410" s="5"/>
      <c r="AA410" s="5"/>
      <c r="AC410" s="7"/>
      <c r="AE410" s="54" t="e">
        <f t="shared" si="64"/>
        <v>#N/A</v>
      </c>
      <c r="AF410" s="4" t="e">
        <f t="shared" si="60"/>
        <v>#N/A</v>
      </c>
    </row>
    <row r="411" spans="2:32">
      <c r="B411" s="5">
        <f t="shared" si="65"/>
        <v>399</v>
      </c>
      <c r="C411" s="5"/>
      <c r="E411" s="13"/>
      <c r="F411" s="5"/>
      <c r="G411" s="11" t="str">
        <f>IF(ISERROR(AVERAGE(F$13:F411)),"n/a",AVERAGE(F$13:F411))</f>
        <v>n/a</v>
      </c>
      <c r="H411" s="11" t="str">
        <f t="shared" si="61"/>
        <v>n/a</v>
      </c>
      <c r="J411" s="5"/>
      <c r="K411" s="5"/>
      <c r="L411" s="5"/>
      <c r="M411" s="5"/>
      <c r="N411" s="5"/>
      <c r="O411" s="8" t="str">
        <f t="shared" si="59"/>
        <v>n/a</v>
      </c>
      <c r="Q411" s="5"/>
      <c r="R411" s="5"/>
      <c r="S411" s="5"/>
      <c r="U411" s="6"/>
      <c r="V411" s="9" t="str">
        <f t="shared" si="62"/>
        <v/>
      </c>
      <c r="W411" s="9" t="str">
        <f t="shared" si="63"/>
        <v/>
      </c>
      <c r="X411" s="10">
        <f>SUM(V$13:V411)/COUNTA(B$13:B411)</f>
        <v>0</v>
      </c>
      <c r="Z411" s="5"/>
      <c r="AA411" s="5"/>
      <c r="AC411" s="7"/>
      <c r="AE411" s="54" t="e">
        <f t="shared" si="64"/>
        <v>#N/A</v>
      </c>
      <c r="AF411" s="4" t="e">
        <f t="shared" si="60"/>
        <v>#N/A</v>
      </c>
    </row>
    <row r="412" spans="2:32">
      <c r="B412" s="5">
        <f t="shared" si="65"/>
        <v>400</v>
      </c>
      <c r="C412" s="5"/>
      <c r="E412" s="13"/>
      <c r="F412" s="5"/>
      <c r="G412" s="11" t="str">
        <f>IF(ISERROR(AVERAGE(F$13:F412)),"n/a",AVERAGE(F$13:F412))</f>
        <v>n/a</v>
      </c>
      <c r="H412" s="11" t="str">
        <f t="shared" si="61"/>
        <v>n/a</v>
      </c>
      <c r="J412" s="5"/>
      <c r="K412" s="5"/>
      <c r="L412" s="5"/>
      <c r="M412" s="5"/>
      <c r="N412" s="5"/>
      <c r="O412" s="8" t="str">
        <f t="shared" si="59"/>
        <v>n/a</v>
      </c>
      <c r="Q412" s="5"/>
      <c r="R412" s="5"/>
      <c r="S412" s="5"/>
      <c r="U412" s="6"/>
      <c r="V412" s="9" t="str">
        <f t="shared" si="62"/>
        <v/>
      </c>
      <c r="W412" s="9" t="str">
        <f t="shared" si="63"/>
        <v/>
      </c>
      <c r="X412" s="10">
        <f>SUM(V$13:V412)/COUNTA(B$13:B412)</f>
        <v>0</v>
      </c>
      <c r="Z412" s="5"/>
      <c r="AA412" s="5"/>
      <c r="AC412" s="7"/>
      <c r="AE412" s="54" t="e">
        <f t="shared" si="64"/>
        <v>#N/A</v>
      </c>
      <c r="AF412" s="4" t="e">
        <f t="shared" si="60"/>
        <v>#N/A</v>
      </c>
    </row>
    <row r="413" spans="2:32">
      <c r="B413" s="5">
        <f t="shared" si="65"/>
        <v>401</v>
      </c>
      <c r="C413" s="5"/>
      <c r="E413" s="13"/>
      <c r="F413" s="5"/>
      <c r="G413" s="11" t="str">
        <f>IF(ISERROR(AVERAGE(F$13:F413)),"n/a",AVERAGE(F$13:F413))</f>
        <v>n/a</v>
      </c>
      <c r="H413" s="11" t="str">
        <f t="shared" si="61"/>
        <v>n/a</v>
      </c>
      <c r="J413" s="5"/>
      <c r="K413" s="5"/>
      <c r="L413" s="5"/>
      <c r="M413" s="5"/>
      <c r="N413" s="5"/>
      <c r="O413" s="8" t="str">
        <f t="shared" si="59"/>
        <v>n/a</v>
      </c>
      <c r="Q413" s="5"/>
      <c r="R413" s="5"/>
      <c r="S413" s="5"/>
      <c r="U413" s="6"/>
      <c r="V413" s="9" t="str">
        <f t="shared" si="62"/>
        <v/>
      </c>
      <c r="W413" s="9" t="str">
        <f t="shared" si="63"/>
        <v/>
      </c>
      <c r="X413" s="10">
        <f>SUM(V$13:V413)/COUNTA(B$13:B413)</f>
        <v>0</v>
      </c>
      <c r="Z413" s="5"/>
      <c r="AA413" s="5"/>
      <c r="AC413" s="7"/>
      <c r="AE413" s="54" t="e">
        <f t="shared" si="64"/>
        <v>#N/A</v>
      </c>
      <c r="AF413" s="4" t="e">
        <f t="shared" si="60"/>
        <v>#N/A</v>
      </c>
    </row>
    <row r="414" spans="2:32">
      <c r="B414" s="5">
        <f t="shared" si="65"/>
        <v>402</v>
      </c>
      <c r="C414" s="5"/>
      <c r="E414" s="13"/>
      <c r="F414" s="5"/>
      <c r="G414" s="11" t="str">
        <f>IF(ISERROR(AVERAGE(F$13:F414)),"n/a",AVERAGE(F$13:F414))</f>
        <v>n/a</v>
      </c>
      <c r="H414" s="11" t="str">
        <f t="shared" si="61"/>
        <v>n/a</v>
      </c>
      <c r="J414" s="5"/>
      <c r="K414" s="5"/>
      <c r="L414" s="5"/>
      <c r="M414" s="5"/>
      <c r="N414" s="5"/>
      <c r="O414" s="8" t="str">
        <f t="shared" si="59"/>
        <v>n/a</v>
      </c>
      <c r="Q414" s="5"/>
      <c r="R414" s="5"/>
      <c r="S414" s="5"/>
      <c r="U414" s="6"/>
      <c r="V414" s="9" t="str">
        <f t="shared" si="62"/>
        <v/>
      </c>
      <c r="W414" s="9" t="str">
        <f t="shared" si="63"/>
        <v/>
      </c>
      <c r="X414" s="10">
        <f>SUM(V$13:V414)/COUNTA(B$13:B414)</f>
        <v>0</v>
      </c>
      <c r="Z414" s="5"/>
      <c r="AA414" s="5"/>
      <c r="AC414" s="7"/>
      <c r="AE414" s="54" t="e">
        <f t="shared" si="64"/>
        <v>#N/A</v>
      </c>
      <c r="AF414" s="4" t="e">
        <f t="shared" si="60"/>
        <v>#N/A</v>
      </c>
    </row>
    <row r="415" spans="2:32">
      <c r="B415" s="5">
        <f t="shared" si="65"/>
        <v>403</v>
      </c>
      <c r="C415" s="5"/>
      <c r="E415" s="13"/>
      <c r="F415" s="5"/>
      <c r="G415" s="11" t="str">
        <f>IF(ISERROR(AVERAGE(F$13:F415)),"n/a",AVERAGE(F$13:F415))</f>
        <v>n/a</v>
      </c>
      <c r="H415" s="11" t="str">
        <f t="shared" si="61"/>
        <v>n/a</v>
      </c>
      <c r="J415" s="5"/>
      <c r="K415" s="5"/>
      <c r="L415" s="5"/>
      <c r="M415" s="5"/>
      <c r="N415" s="5"/>
      <c r="O415" s="8" t="str">
        <f t="shared" si="59"/>
        <v>n/a</v>
      </c>
      <c r="Q415" s="5"/>
      <c r="R415" s="5"/>
      <c r="S415" s="5"/>
      <c r="U415" s="6"/>
      <c r="V415" s="9" t="str">
        <f t="shared" si="62"/>
        <v/>
      </c>
      <c r="W415" s="9" t="str">
        <f t="shared" si="63"/>
        <v/>
      </c>
      <c r="X415" s="10">
        <f>SUM(V$13:V415)/COUNTA(B$13:B415)</f>
        <v>0</v>
      </c>
      <c r="Z415" s="5"/>
      <c r="AA415" s="5"/>
      <c r="AC415" s="7"/>
      <c r="AE415" s="54" t="e">
        <f t="shared" si="64"/>
        <v>#N/A</v>
      </c>
      <c r="AF415" s="4" t="e">
        <f t="shared" si="60"/>
        <v>#N/A</v>
      </c>
    </row>
    <row r="416" spans="2:32">
      <c r="B416" s="5">
        <f t="shared" si="65"/>
        <v>404</v>
      </c>
      <c r="C416" s="5"/>
      <c r="E416" s="13"/>
      <c r="F416" s="5"/>
      <c r="G416" s="11" t="str">
        <f>IF(ISERROR(AVERAGE(F$13:F416)),"n/a",AVERAGE(F$13:F416))</f>
        <v>n/a</v>
      </c>
      <c r="H416" s="11" t="str">
        <f t="shared" si="61"/>
        <v>n/a</v>
      </c>
      <c r="J416" s="5"/>
      <c r="K416" s="5"/>
      <c r="L416" s="5"/>
      <c r="M416" s="5"/>
      <c r="N416" s="5"/>
      <c r="O416" s="8" t="str">
        <f t="shared" si="59"/>
        <v>n/a</v>
      </c>
      <c r="Q416" s="5"/>
      <c r="R416" s="5"/>
      <c r="S416" s="5"/>
      <c r="U416" s="6"/>
      <c r="V416" s="9" t="str">
        <f t="shared" si="62"/>
        <v/>
      </c>
      <c r="W416" s="9" t="str">
        <f t="shared" si="63"/>
        <v/>
      </c>
      <c r="X416" s="10">
        <f>SUM(V$13:V416)/COUNTA(B$13:B416)</f>
        <v>0</v>
      </c>
      <c r="Z416" s="5"/>
      <c r="AA416" s="5"/>
      <c r="AC416" s="7"/>
      <c r="AE416" s="54" t="e">
        <f t="shared" si="64"/>
        <v>#N/A</v>
      </c>
      <c r="AF416" s="4" t="e">
        <f t="shared" si="60"/>
        <v>#N/A</v>
      </c>
    </row>
    <row r="417" spans="2:32">
      <c r="B417" s="5">
        <f t="shared" si="65"/>
        <v>405</v>
      </c>
      <c r="C417" s="5"/>
      <c r="E417" s="13"/>
      <c r="F417" s="5"/>
      <c r="G417" s="11" t="str">
        <f>IF(ISERROR(AVERAGE(F$13:F417)),"n/a",AVERAGE(F$13:F417))</f>
        <v>n/a</v>
      </c>
      <c r="H417" s="11" t="str">
        <f t="shared" si="61"/>
        <v>n/a</v>
      </c>
      <c r="J417" s="5"/>
      <c r="K417" s="5"/>
      <c r="L417" s="5"/>
      <c r="M417" s="5"/>
      <c r="N417" s="5"/>
      <c r="O417" s="8" t="str">
        <f t="shared" si="59"/>
        <v>n/a</v>
      </c>
      <c r="Q417" s="5"/>
      <c r="R417" s="5"/>
      <c r="S417" s="5"/>
      <c r="U417" s="6"/>
      <c r="V417" s="9" t="str">
        <f t="shared" si="62"/>
        <v/>
      </c>
      <c r="W417" s="9" t="str">
        <f t="shared" si="63"/>
        <v/>
      </c>
      <c r="X417" s="10">
        <f>SUM(V$13:V417)/COUNTA(B$13:B417)</f>
        <v>0</v>
      </c>
      <c r="Z417" s="5"/>
      <c r="AA417" s="5"/>
      <c r="AC417" s="7"/>
      <c r="AE417" s="54" t="e">
        <f t="shared" si="64"/>
        <v>#N/A</v>
      </c>
      <c r="AF417" s="4" t="e">
        <f t="shared" si="60"/>
        <v>#N/A</v>
      </c>
    </row>
    <row r="418" spans="2:32">
      <c r="B418" s="5">
        <f t="shared" si="65"/>
        <v>406</v>
      </c>
      <c r="C418" s="5"/>
      <c r="E418" s="13"/>
      <c r="F418" s="5"/>
      <c r="G418" s="11" t="str">
        <f>IF(ISERROR(AVERAGE(F$13:F418)),"n/a",AVERAGE(F$13:F418))</f>
        <v>n/a</v>
      </c>
      <c r="H418" s="11" t="str">
        <f t="shared" si="61"/>
        <v>n/a</v>
      </c>
      <c r="J418" s="5"/>
      <c r="K418" s="5"/>
      <c r="L418" s="5"/>
      <c r="M418" s="5"/>
      <c r="N418" s="5"/>
      <c r="O418" s="8" t="str">
        <f t="shared" si="59"/>
        <v>n/a</v>
      </c>
      <c r="Q418" s="5"/>
      <c r="R418" s="5"/>
      <c r="S418" s="5"/>
      <c r="U418" s="6"/>
      <c r="V418" s="9" t="str">
        <f t="shared" si="62"/>
        <v/>
      </c>
      <c r="W418" s="9" t="str">
        <f t="shared" si="63"/>
        <v/>
      </c>
      <c r="X418" s="10">
        <f>SUM(V$13:V418)/COUNTA(B$13:B418)</f>
        <v>0</v>
      </c>
      <c r="Z418" s="5"/>
      <c r="AA418" s="5"/>
      <c r="AC418" s="7"/>
      <c r="AE418" s="54" t="e">
        <f t="shared" si="64"/>
        <v>#N/A</v>
      </c>
      <c r="AF418" s="4" t="e">
        <f t="shared" si="60"/>
        <v>#N/A</v>
      </c>
    </row>
    <row r="419" spans="2:32">
      <c r="B419" s="5">
        <f t="shared" si="65"/>
        <v>407</v>
      </c>
      <c r="C419" s="5"/>
      <c r="E419" s="13"/>
      <c r="F419" s="5"/>
      <c r="G419" s="11" t="str">
        <f>IF(ISERROR(AVERAGE(F$13:F419)),"n/a",AVERAGE(F$13:F419))</f>
        <v>n/a</v>
      </c>
      <c r="H419" s="11" t="str">
        <f t="shared" si="61"/>
        <v>n/a</v>
      </c>
      <c r="J419" s="5"/>
      <c r="K419" s="5"/>
      <c r="L419" s="5"/>
      <c r="M419" s="5"/>
      <c r="N419" s="5"/>
      <c r="O419" s="8" t="str">
        <f t="shared" si="59"/>
        <v>n/a</v>
      </c>
      <c r="Q419" s="5"/>
      <c r="R419" s="5"/>
      <c r="S419" s="5"/>
      <c r="U419" s="6"/>
      <c r="V419" s="9" t="str">
        <f t="shared" si="62"/>
        <v/>
      </c>
      <c r="W419" s="9" t="str">
        <f t="shared" si="63"/>
        <v/>
      </c>
      <c r="X419" s="10">
        <f>SUM(V$13:V419)/COUNTA(B$13:B419)</f>
        <v>0</v>
      </c>
      <c r="Z419" s="5"/>
      <c r="AA419" s="5"/>
      <c r="AC419" s="7"/>
      <c r="AE419" s="54" t="e">
        <f t="shared" si="64"/>
        <v>#N/A</v>
      </c>
      <c r="AF419" s="4" t="e">
        <f t="shared" si="60"/>
        <v>#N/A</v>
      </c>
    </row>
    <row r="420" spans="2:32">
      <c r="B420" s="5">
        <f t="shared" si="65"/>
        <v>408</v>
      </c>
      <c r="C420" s="5"/>
      <c r="E420" s="13"/>
      <c r="F420" s="5"/>
      <c r="G420" s="11" t="str">
        <f>IF(ISERROR(AVERAGE(F$13:F420)),"n/a",AVERAGE(F$13:F420))</f>
        <v>n/a</v>
      </c>
      <c r="H420" s="11" t="str">
        <f t="shared" si="61"/>
        <v>n/a</v>
      </c>
      <c r="J420" s="5"/>
      <c r="K420" s="5"/>
      <c r="L420" s="5"/>
      <c r="M420" s="5"/>
      <c r="N420" s="5"/>
      <c r="O420" s="8" t="str">
        <f t="shared" si="59"/>
        <v>n/a</v>
      </c>
      <c r="Q420" s="5"/>
      <c r="R420" s="5"/>
      <c r="S420" s="5"/>
      <c r="U420" s="6"/>
      <c r="V420" s="9" t="str">
        <f t="shared" si="62"/>
        <v/>
      </c>
      <c r="W420" s="9" t="str">
        <f t="shared" si="63"/>
        <v/>
      </c>
      <c r="X420" s="10">
        <f>SUM(V$13:V420)/COUNTA(B$13:B420)</f>
        <v>0</v>
      </c>
      <c r="Z420" s="5"/>
      <c r="AA420" s="5"/>
      <c r="AC420" s="7"/>
      <c r="AE420" s="54" t="e">
        <f t="shared" si="64"/>
        <v>#N/A</v>
      </c>
      <c r="AF420" s="4" t="e">
        <f t="shared" si="60"/>
        <v>#N/A</v>
      </c>
    </row>
    <row r="421" spans="2:32">
      <c r="B421" s="5">
        <f t="shared" si="65"/>
        <v>409</v>
      </c>
      <c r="C421" s="5"/>
      <c r="E421" s="13"/>
      <c r="F421" s="5"/>
      <c r="G421" s="11" t="str">
        <f>IF(ISERROR(AVERAGE(F$13:F421)),"n/a",AVERAGE(F$13:F421))</f>
        <v>n/a</v>
      </c>
      <c r="H421" s="11" t="str">
        <f t="shared" si="61"/>
        <v>n/a</v>
      </c>
      <c r="J421" s="5"/>
      <c r="K421" s="5"/>
      <c r="L421" s="5"/>
      <c r="M421" s="5"/>
      <c r="N421" s="5"/>
      <c r="O421" s="8" t="str">
        <f t="shared" si="59"/>
        <v>n/a</v>
      </c>
      <c r="Q421" s="5"/>
      <c r="R421" s="5"/>
      <c r="S421" s="5"/>
      <c r="U421" s="6"/>
      <c r="V421" s="9" t="str">
        <f t="shared" si="62"/>
        <v/>
      </c>
      <c r="W421" s="9" t="str">
        <f t="shared" si="63"/>
        <v/>
      </c>
      <c r="X421" s="10">
        <f>SUM(V$13:V421)/COUNTA(B$13:B421)</f>
        <v>0</v>
      </c>
      <c r="Z421" s="5"/>
      <c r="AA421" s="5"/>
      <c r="AC421" s="7"/>
      <c r="AE421" s="54" t="e">
        <f t="shared" si="64"/>
        <v>#N/A</v>
      </c>
      <c r="AF421" s="4" t="e">
        <f t="shared" si="60"/>
        <v>#N/A</v>
      </c>
    </row>
    <row r="422" spans="2:32">
      <c r="B422" s="5">
        <f t="shared" si="65"/>
        <v>410</v>
      </c>
      <c r="C422" s="5"/>
      <c r="E422" s="13"/>
      <c r="F422" s="5"/>
      <c r="G422" s="11" t="str">
        <f>IF(ISERROR(AVERAGE(F$13:F422)),"n/a",AVERAGE(F$13:F422))</f>
        <v>n/a</v>
      </c>
      <c r="H422" s="11" t="str">
        <f t="shared" si="61"/>
        <v>n/a</v>
      </c>
      <c r="J422" s="5"/>
      <c r="K422" s="5"/>
      <c r="L422" s="5"/>
      <c r="M422" s="5"/>
      <c r="N422" s="5"/>
      <c r="O422" s="8" t="str">
        <f t="shared" si="59"/>
        <v>n/a</v>
      </c>
      <c r="Q422" s="5"/>
      <c r="R422" s="5"/>
      <c r="S422" s="5"/>
      <c r="U422" s="6"/>
      <c r="V422" s="9" t="str">
        <f t="shared" si="62"/>
        <v/>
      </c>
      <c r="W422" s="9" t="str">
        <f t="shared" si="63"/>
        <v/>
      </c>
      <c r="X422" s="10">
        <f>SUM(V$13:V422)/COUNTA(B$13:B422)</f>
        <v>0</v>
      </c>
      <c r="Z422" s="5"/>
      <c r="AA422" s="5"/>
      <c r="AC422" s="7"/>
      <c r="AE422" s="54" t="e">
        <f t="shared" si="64"/>
        <v>#N/A</v>
      </c>
      <c r="AF422" s="4" t="e">
        <f t="shared" si="60"/>
        <v>#N/A</v>
      </c>
    </row>
    <row r="423" spans="2:32">
      <c r="B423" s="5">
        <f t="shared" si="65"/>
        <v>411</v>
      </c>
      <c r="C423" s="5"/>
      <c r="E423" s="13"/>
      <c r="F423" s="5"/>
      <c r="G423" s="11" t="str">
        <f>IF(ISERROR(AVERAGE(F$13:F423)),"n/a",AVERAGE(F$13:F423))</f>
        <v>n/a</v>
      </c>
      <c r="H423" s="11" t="str">
        <f t="shared" si="61"/>
        <v>n/a</v>
      </c>
      <c r="J423" s="5"/>
      <c r="K423" s="5"/>
      <c r="L423" s="5"/>
      <c r="M423" s="5"/>
      <c r="N423" s="5"/>
      <c r="O423" s="8" t="str">
        <f t="shared" si="59"/>
        <v>n/a</v>
      </c>
      <c r="Q423" s="5"/>
      <c r="R423" s="5"/>
      <c r="S423" s="5"/>
      <c r="U423" s="6"/>
      <c r="V423" s="9" t="str">
        <f t="shared" si="62"/>
        <v/>
      </c>
      <c r="W423" s="9" t="str">
        <f t="shared" si="63"/>
        <v/>
      </c>
      <c r="X423" s="10">
        <f>SUM(V$13:V423)/COUNTA(B$13:B423)</f>
        <v>0</v>
      </c>
      <c r="Z423" s="5"/>
      <c r="AA423" s="5"/>
      <c r="AC423" s="7"/>
      <c r="AE423" s="54" t="e">
        <f t="shared" si="64"/>
        <v>#N/A</v>
      </c>
      <c r="AF423" s="4" t="e">
        <f t="shared" si="60"/>
        <v>#N/A</v>
      </c>
    </row>
    <row r="424" spans="2:32">
      <c r="B424" s="5">
        <f t="shared" si="65"/>
        <v>412</v>
      </c>
      <c r="C424" s="5"/>
      <c r="E424" s="13"/>
      <c r="F424" s="5"/>
      <c r="G424" s="11" t="str">
        <f>IF(ISERROR(AVERAGE(F$13:F424)),"n/a",AVERAGE(F$13:F424))</f>
        <v>n/a</v>
      </c>
      <c r="H424" s="11" t="str">
        <f t="shared" si="61"/>
        <v>n/a</v>
      </c>
      <c r="J424" s="5"/>
      <c r="K424" s="5"/>
      <c r="L424" s="5"/>
      <c r="M424" s="5"/>
      <c r="N424" s="5"/>
      <c r="O424" s="8" t="str">
        <f t="shared" si="59"/>
        <v>n/a</v>
      </c>
      <c r="Q424" s="5"/>
      <c r="R424" s="5"/>
      <c r="S424" s="5"/>
      <c r="U424" s="6"/>
      <c r="V424" s="9" t="str">
        <f t="shared" si="62"/>
        <v/>
      </c>
      <c r="W424" s="9" t="str">
        <f t="shared" si="63"/>
        <v/>
      </c>
      <c r="X424" s="10">
        <f>SUM(V$13:V424)/COUNTA(B$13:B424)</f>
        <v>0</v>
      </c>
      <c r="Z424" s="5"/>
      <c r="AA424" s="5"/>
      <c r="AC424" s="7"/>
      <c r="AE424" s="54" t="e">
        <f t="shared" si="64"/>
        <v>#N/A</v>
      </c>
      <c r="AF424" s="4" t="e">
        <f t="shared" si="60"/>
        <v>#N/A</v>
      </c>
    </row>
    <row r="425" spans="2:32">
      <c r="B425" s="5">
        <f t="shared" si="65"/>
        <v>413</v>
      </c>
      <c r="C425" s="5"/>
      <c r="E425" s="13"/>
      <c r="F425" s="5"/>
      <c r="G425" s="11" t="str">
        <f>IF(ISERROR(AVERAGE(F$13:F425)),"n/a",AVERAGE(F$13:F425))</f>
        <v>n/a</v>
      </c>
      <c r="H425" s="11" t="str">
        <f t="shared" si="61"/>
        <v>n/a</v>
      </c>
      <c r="J425" s="5"/>
      <c r="K425" s="5"/>
      <c r="L425" s="5"/>
      <c r="M425" s="5"/>
      <c r="N425" s="5"/>
      <c r="O425" s="8" t="str">
        <f t="shared" si="59"/>
        <v>n/a</v>
      </c>
      <c r="Q425" s="5"/>
      <c r="R425" s="5"/>
      <c r="S425" s="5"/>
      <c r="U425" s="6"/>
      <c r="V425" s="9" t="str">
        <f t="shared" si="62"/>
        <v/>
      </c>
      <c r="W425" s="9" t="str">
        <f t="shared" si="63"/>
        <v/>
      </c>
      <c r="X425" s="10">
        <f>SUM(V$13:V425)/COUNTA(B$13:B425)</f>
        <v>0</v>
      </c>
      <c r="Z425" s="5"/>
      <c r="AA425" s="5"/>
      <c r="AC425" s="7"/>
      <c r="AE425" s="54" t="e">
        <f t="shared" si="64"/>
        <v>#N/A</v>
      </c>
      <c r="AF425" s="4" t="e">
        <f t="shared" si="60"/>
        <v>#N/A</v>
      </c>
    </row>
    <row r="426" spans="2:32">
      <c r="B426" s="5">
        <f t="shared" si="65"/>
        <v>414</v>
      </c>
      <c r="C426" s="5"/>
      <c r="E426" s="13"/>
      <c r="F426" s="5"/>
      <c r="G426" s="11" t="str">
        <f>IF(ISERROR(AVERAGE(F$13:F426)),"n/a",AVERAGE(F$13:F426))</f>
        <v>n/a</v>
      </c>
      <c r="H426" s="11" t="str">
        <f t="shared" si="61"/>
        <v>n/a</v>
      </c>
      <c r="J426" s="5"/>
      <c r="K426" s="5"/>
      <c r="L426" s="5"/>
      <c r="M426" s="5"/>
      <c r="N426" s="5"/>
      <c r="O426" s="8" t="str">
        <f t="shared" si="59"/>
        <v>n/a</v>
      </c>
      <c r="Q426" s="5"/>
      <c r="R426" s="5"/>
      <c r="S426" s="5"/>
      <c r="U426" s="6"/>
      <c r="V426" s="9" t="str">
        <f t="shared" si="62"/>
        <v/>
      </c>
      <c r="W426" s="9" t="str">
        <f t="shared" si="63"/>
        <v/>
      </c>
      <c r="X426" s="10">
        <f>SUM(V$13:V426)/COUNTA(B$13:B426)</f>
        <v>0</v>
      </c>
      <c r="Z426" s="5"/>
      <c r="AA426" s="5"/>
      <c r="AC426" s="7"/>
      <c r="AE426" s="54" t="e">
        <f t="shared" si="64"/>
        <v>#N/A</v>
      </c>
      <c r="AF426" s="4" t="e">
        <f t="shared" si="60"/>
        <v>#N/A</v>
      </c>
    </row>
    <row r="427" spans="2:32">
      <c r="B427" s="5">
        <f t="shared" si="65"/>
        <v>415</v>
      </c>
      <c r="C427" s="5"/>
      <c r="E427" s="13"/>
      <c r="F427" s="5"/>
      <c r="G427" s="11" t="str">
        <f>IF(ISERROR(AVERAGE(F$13:F427)),"n/a",AVERAGE(F$13:F427))</f>
        <v>n/a</v>
      </c>
      <c r="H427" s="11" t="str">
        <f t="shared" si="61"/>
        <v>n/a</v>
      </c>
      <c r="J427" s="5"/>
      <c r="K427" s="5"/>
      <c r="L427" s="5"/>
      <c r="M427" s="5"/>
      <c r="N427" s="5"/>
      <c r="O427" s="8" t="str">
        <f t="shared" si="59"/>
        <v>n/a</v>
      </c>
      <c r="Q427" s="5"/>
      <c r="R427" s="5"/>
      <c r="S427" s="5"/>
      <c r="U427" s="6"/>
      <c r="V427" s="9" t="str">
        <f t="shared" si="62"/>
        <v/>
      </c>
      <c r="W427" s="9" t="str">
        <f t="shared" si="63"/>
        <v/>
      </c>
      <c r="X427" s="10">
        <f>SUM(V$13:V427)/COUNTA(B$13:B427)</f>
        <v>0</v>
      </c>
      <c r="Z427" s="5"/>
      <c r="AA427" s="5"/>
      <c r="AC427" s="7"/>
      <c r="AE427" s="54" t="e">
        <f t="shared" si="64"/>
        <v>#N/A</v>
      </c>
      <c r="AF427" s="4" t="e">
        <f t="shared" si="60"/>
        <v>#N/A</v>
      </c>
    </row>
    <row r="428" spans="2:32">
      <c r="B428" s="5">
        <f t="shared" si="65"/>
        <v>416</v>
      </c>
      <c r="C428" s="5"/>
      <c r="E428" s="13"/>
      <c r="F428" s="5"/>
      <c r="G428" s="11" t="str">
        <f>IF(ISERROR(AVERAGE(F$13:F428)),"n/a",AVERAGE(F$13:F428))</f>
        <v>n/a</v>
      </c>
      <c r="H428" s="11" t="str">
        <f t="shared" si="61"/>
        <v>n/a</v>
      </c>
      <c r="J428" s="5"/>
      <c r="K428" s="5"/>
      <c r="L428" s="5"/>
      <c r="M428" s="5"/>
      <c r="N428" s="5"/>
      <c r="O428" s="8" t="str">
        <f t="shared" si="59"/>
        <v>n/a</v>
      </c>
      <c r="Q428" s="5"/>
      <c r="R428" s="5"/>
      <c r="S428" s="5"/>
      <c r="U428" s="6"/>
      <c r="V428" s="9" t="str">
        <f t="shared" si="62"/>
        <v/>
      </c>
      <c r="W428" s="9" t="str">
        <f t="shared" si="63"/>
        <v/>
      </c>
      <c r="X428" s="10">
        <f>SUM(V$13:V428)/COUNTA(B$13:B428)</f>
        <v>0</v>
      </c>
      <c r="Z428" s="5"/>
      <c r="AA428" s="5"/>
      <c r="AC428" s="7"/>
      <c r="AE428" s="54" t="e">
        <f t="shared" si="64"/>
        <v>#N/A</v>
      </c>
      <c r="AF428" s="4" t="e">
        <f t="shared" si="60"/>
        <v>#N/A</v>
      </c>
    </row>
    <row r="429" spans="2:32">
      <c r="B429" s="5">
        <f t="shared" si="65"/>
        <v>417</v>
      </c>
      <c r="C429" s="5"/>
      <c r="E429" s="13"/>
      <c r="F429" s="5"/>
      <c r="G429" s="11" t="str">
        <f>IF(ISERROR(AVERAGE(F$13:F429)),"n/a",AVERAGE(F$13:F429))</f>
        <v>n/a</v>
      </c>
      <c r="H429" s="11" t="str">
        <f t="shared" si="61"/>
        <v>n/a</v>
      </c>
      <c r="J429" s="5"/>
      <c r="K429" s="5"/>
      <c r="L429" s="5"/>
      <c r="M429" s="5"/>
      <c r="N429" s="5"/>
      <c r="O429" s="8" t="str">
        <f t="shared" si="59"/>
        <v>n/a</v>
      </c>
      <c r="Q429" s="5"/>
      <c r="R429" s="5"/>
      <c r="S429" s="5"/>
      <c r="U429" s="6"/>
      <c r="V429" s="9" t="str">
        <f t="shared" si="62"/>
        <v/>
      </c>
      <c r="W429" s="9" t="str">
        <f t="shared" si="63"/>
        <v/>
      </c>
      <c r="X429" s="10">
        <f>SUM(V$13:V429)/COUNTA(B$13:B429)</f>
        <v>0</v>
      </c>
      <c r="Z429" s="5"/>
      <c r="AA429" s="5"/>
      <c r="AC429" s="7"/>
      <c r="AE429" s="54" t="e">
        <f t="shared" si="64"/>
        <v>#N/A</v>
      </c>
      <c r="AF429" s="4" t="e">
        <f t="shared" si="60"/>
        <v>#N/A</v>
      </c>
    </row>
    <row r="430" spans="2:32">
      <c r="B430" s="5">
        <f t="shared" si="65"/>
        <v>418</v>
      </c>
      <c r="C430" s="5"/>
      <c r="E430" s="13"/>
      <c r="F430" s="5"/>
      <c r="G430" s="11" t="str">
        <f>IF(ISERROR(AVERAGE(F$13:F430)),"n/a",AVERAGE(F$13:F430))</f>
        <v>n/a</v>
      </c>
      <c r="H430" s="11" t="str">
        <f t="shared" si="61"/>
        <v>n/a</v>
      </c>
      <c r="J430" s="5"/>
      <c r="K430" s="5"/>
      <c r="L430" s="5"/>
      <c r="M430" s="5"/>
      <c r="N430" s="5"/>
      <c r="O430" s="8" t="str">
        <f t="shared" si="59"/>
        <v>n/a</v>
      </c>
      <c r="Q430" s="5"/>
      <c r="R430" s="5"/>
      <c r="S430" s="5"/>
      <c r="U430" s="6"/>
      <c r="V430" s="9" t="str">
        <f t="shared" si="62"/>
        <v/>
      </c>
      <c r="W430" s="9" t="str">
        <f t="shared" si="63"/>
        <v/>
      </c>
      <c r="X430" s="10">
        <f>SUM(V$13:V430)/COUNTA(B$13:B430)</f>
        <v>0</v>
      </c>
      <c r="Z430" s="5"/>
      <c r="AA430" s="5"/>
      <c r="AC430" s="7"/>
      <c r="AE430" s="54" t="e">
        <f t="shared" si="64"/>
        <v>#N/A</v>
      </c>
      <c r="AF430" s="4" t="e">
        <f t="shared" si="60"/>
        <v>#N/A</v>
      </c>
    </row>
    <row r="431" spans="2:32">
      <c r="B431" s="5">
        <f t="shared" si="65"/>
        <v>419</v>
      </c>
      <c r="C431" s="5"/>
      <c r="E431" s="13"/>
      <c r="F431" s="5"/>
      <c r="G431" s="11" t="str">
        <f>IF(ISERROR(AVERAGE(F$13:F431)),"n/a",AVERAGE(F$13:F431))</f>
        <v>n/a</v>
      </c>
      <c r="H431" s="11" t="str">
        <f t="shared" si="61"/>
        <v>n/a</v>
      </c>
      <c r="J431" s="5"/>
      <c r="K431" s="5"/>
      <c r="L431" s="5"/>
      <c r="M431" s="5"/>
      <c r="N431" s="5"/>
      <c r="O431" s="8" t="str">
        <f t="shared" si="59"/>
        <v>n/a</v>
      </c>
      <c r="Q431" s="5"/>
      <c r="R431" s="5"/>
      <c r="S431" s="5"/>
      <c r="U431" s="6"/>
      <c r="V431" s="9" t="str">
        <f t="shared" si="62"/>
        <v/>
      </c>
      <c r="W431" s="9" t="str">
        <f t="shared" si="63"/>
        <v/>
      </c>
      <c r="X431" s="10">
        <f>SUM(V$13:V431)/COUNTA(B$13:B431)</f>
        <v>0</v>
      </c>
      <c r="Z431" s="5"/>
      <c r="AA431" s="5"/>
      <c r="AC431" s="7"/>
      <c r="AE431" s="54" t="e">
        <f t="shared" si="64"/>
        <v>#N/A</v>
      </c>
      <c r="AF431" s="4" t="e">
        <f t="shared" si="60"/>
        <v>#N/A</v>
      </c>
    </row>
    <row r="432" spans="2:32">
      <c r="B432" s="5">
        <f t="shared" si="65"/>
        <v>420</v>
      </c>
      <c r="C432" s="5"/>
      <c r="E432" s="13"/>
      <c r="F432" s="5"/>
      <c r="G432" s="11" t="str">
        <f>IF(ISERROR(AVERAGE(F$13:F432)),"n/a",AVERAGE(F$13:F432))</f>
        <v>n/a</v>
      </c>
      <c r="H432" s="11" t="str">
        <f t="shared" si="61"/>
        <v>n/a</v>
      </c>
      <c r="J432" s="5"/>
      <c r="K432" s="5"/>
      <c r="L432" s="5"/>
      <c r="M432" s="5"/>
      <c r="N432" s="5"/>
      <c r="O432" s="8" t="str">
        <f t="shared" si="59"/>
        <v>n/a</v>
      </c>
      <c r="Q432" s="5"/>
      <c r="R432" s="5"/>
      <c r="S432" s="5"/>
      <c r="U432" s="6"/>
      <c r="V432" s="9" t="str">
        <f t="shared" si="62"/>
        <v/>
      </c>
      <c r="W432" s="9" t="str">
        <f t="shared" si="63"/>
        <v/>
      </c>
      <c r="X432" s="10">
        <f>SUM(V$13:V432)/COUNTA(B$13:B432)</f>
        <v>0</v>
      </c>
      <c r="Z432" s="5"/>
      <c r="AA432" s="5"/>
      <c r="AC432" s="7"/>
      <c r="AE432" s="54" t="e">
        <f t="shared" si="64"/>
        <v>#N/A</v>
      </c>
      <c r="AF432" s="4" t="e">
        <f t="shared" si="60"/>
        <v>#N/A</v>
      </c>
    </row>
    <row r="433" spans="2:32">
      <c r="B433" s="5">
        <f t="shared" si="65"/>
        <v>421</v>
      </c>
      <c r="C433" s="5"/>
      <c r="E433" s="13"/>
      <c r="F433" s="5"/>
      <c r="G433" s="11" t="str">
        <f>IF(ISERROR(AVERAGE(F$13:F433)),"n/a",AVERAGE(F$13:F433))</f>
        <v>n/a</v>
      </c>
      <c r="H433" s="11" t="str">
        <f t="shared" si="61"/>
        <v>n/a</v>
      </c>
      <c r="J433" s="5"/>
      <c r="K433" s="5"/>
      <c r="L433" s="5"/>
      <c r="M433" s="5"/>
      <c r="N433" s="5"/>
      <c r="O433" s="8" t="str">
        <f t="shared" si="59"/>
        <v>n/a</v>
      </c>
      <c r="Q433" s="5"/>
      <c r="R433" s="5"/>
      <c r="S433" s="5"/>
      <c r="U433" s="6"/>
      <c r="V433" s="9" t="str">
        <f t="shared" si="62"/>
        <v/>
      </c>
      <c r="W433" s="9" t="str">
        <f t="shared" si="63"/>
        <v/>
      </c>
      <c r="X433" s="10">
        <f>SUM(V$13:V433)/COUNTA(B$13:B433)</f>
        <v>0</v>
      </c>
      <c r="Z433" s="5"/>
      <c r="AA433" s="5"/>
      <c r="AC433" s="7"/>
      <c r="AE433" s="54" t="e">
        <f t="shared" si="64"/>
        <v>#N/A</v>
      </c>
      <c r="AF433" s="4" t="e">
        <f t="shared" si="60"/>
        <v>#N/A</v>
      </c>
    </row>
    <row r="434" spans="2:32">
      <c r="B434" s="5">
        <f t="shared" si="65"/>
        <v>422</v>
      </c>
      <c r="C434" s="5"/>
      <c r="E434" s="13"/>
      <c r="F434" s="5"/>
      <c r="G434" s="11" t="str">
        <f>IF(ISERROR(AVERAGE(F$13:F434)),"n/a",AVERAGE(F$13:F434))</f>
        <v>n/a</v>
      </c>
      <c r="H434" s="11" t="str">
        <f t="shared" si="61"/>
        <v>n/a</v>
      </c>
      <c r="J434" s="5"/>
      <c r="K434" s="5"/>
      <c r="L434" s="5"/>
      <c r="M434" s="5"/>
      <c r="N434" s="5"/>
      <c r="O434" s="8" t="str">
        <f t="shared" si="59"/>
        <v>n/a</v>
      </c>
      <c r="Q434" s="5"/>
      <c r="R434" s="5"/>
      <c r="S434" s="5"/>
      <c r="U434" s="6"/>
      <c r="V434" s="9" t="str">
        <f t="shared" si="62"/>
        <v/>
      </c>
      <c r="W434" s="9" t="str">
        <f t="shared" si="63"/>
        <v/>
      </c>
      <c r="X434" s="10">
        <f>SUM(V$13:V434)/COUNTA(B$13:B434)</f>
        <v>0</v>
      </c>
      <c r="Z434" s="5"/>
      <c r="AA434" s="5"/>
      <c r="AC434" s="7"/>
      <c r="AE434" s="54" t="e">
        <f t="shared" si="64"/>
        <v>#N/A</v>
      </c>
      <c r="AF434" s="4" t="e">
        <f t="shared" si="60"/>
        <v>#N/A</v>
      </c>
    </row>
    <row r="435" spans="2:32">
      <c r="B435" s="5">
        <f t="shared" si="65"/>
        <v>423</v>
      </c>
      <c r="C435" s="5"/>
      <c r="E435" s="13"/>
      <c r="F435" s="5"/>
      <c r="G435" s="11" t="str">
        <f>IF(ISERROR(AVERAGE(F$13:F435)),"n/a",AVERAGE(F$13:F435))</f>
        <v>n/a</v>
      </c>
      <c r="H435" s="11" t="str">
        <f t="shared" si="61"/>
        <v>n/a</v>
      </c>
      <c r="J435" s="5"/>
      <c r="K435" s="5"/>
      <c r="L435" s="5"/>
      <c r="M435" s="5"/>
      <c r="N435" s="5"/>
      <c r="O435" s="8" t="str">
        <f t="shared" si="59"/>
        <v>n/a</v>
      </c>
      <c r="Q435" s="5"/>
      <c r="R435" s="5"/>
      <c r="S435" s="5"/>
      <c r="U435" s="6"/>
      <c r="V435" s="9" t="str">
        <f t="shared" si="62"/>
        <v/>
      </c>
      <c r="W435" s="9" t="str">
        <f t="shared" si="63"/>
        <v/>
      </c>
      <c r="X435" s="10">
        <f>SUM(V$13:V435)/COUNTA(B$13:B435)</f>
        <v>0</v>
      </c>
      <c r="Z435" s="5"/>
      <c r="AA435" s="5"/>
      <c r="AC435" s="7"/>
      <c r="AE435" s="54" t="e">
        <f t="shared" si="64"/>
        <v>#N/A</v>
      </c>
      <c r="AF435" s="4" t="e">
        <f t="shared" si="60"/>
        <v>#N/A</v>
      </c>
    </row>
    <row r="436" spans="2:32">
      <c r="B436" s="5">
        <f t="shared" si="65"/>
        <v>424</v>
      </c>
      <c r="C436" s="5"/>
      <c r="E436" s="13"/>
      <c r="F436" s="5"/>
      <c r="G436" s="11" t="str">
        <f>IF(ISERROR(AVERAGE(F$13:F436)),"n/a",AVERAGE(F$13:F436))</f>
        <v>n/a</v>
      </c>
      <c r="H436" s="11" t="str">
        <f t="shared" si="61"/>
        <v>n/a</v>
      </c>
      <c r="J436" s="5"/>
      <c r="K436" s="5"/>
      <c r="L436" s="5"/>
      <c r="M436" s="5"/>
      <c r="N436" s="5"/>
      <c r="O436" s="8" t="str">
        <f t="shared" si="59"/>
        <v>n/a</v>
      </c>
      <c r="Q436" s="5"/>
      <c r="R436" s="5"/>
      <c r="S436" s="5"/>
      <c r="U436" s="6"/>
      <c r="V436" s="9" t="str">
        <f t="shared" si="62"/>
        <v/>
      </c>
      <c r="W436" s="9" t="str">
        <f t="shared" si="63"/>
        <v/>
      </c>
      <c r="X436" s="10">
        <f>SUM(V$13:V436)/COUNTA(B$13:B436)</f>
        <v>0</v>
      </c>
      <c r="Z436" s="5"/>
      <c r="AA436" s="5"/>
      <c r="AC436" s="7"/>
      <c r="AE436" s="54" t="e">
        <f t="shared" si="64"/>
        <v>#N/A</v>
      </c>
      <c r="AF436" s="4" t="e">
        <f t="shared" si="60"/>
        <v>#N/A</v>
      </c>
    </row>
    <row r="437" spans="2:32">
      <c r="B437" s="5">
        <f t="shared" si="65"/>
        <v>425</v>
      </c>
      <c r="C437" s="5"/>
      <c r="E437" s="13"/>
      <c r="F437" s="5"/>
      <c r="G437" s="11" t="str">
        <f>IF(ISERROR(AVERAGE(F$13:F437)),"n/a",AVERAGE(F$13:F437))</f>
        <v>n/a</v>
      </c>
      <c r="H437" s="11" t="str">
        <f t="shared" si="61"/>
        <v>n/a</v>
      </c>
      <c r="J437" s="5"/>
      <c r="K437" s="5"/>
      <c r="L437" s="5"/>
      <c r="M437" s="5"/>
      <c r="N437" s="5"/>
      <c r="O437" s="8" t="str">
        <f t="shared" si="59"/>
        <v>n/a</v>
      </c>
      <c r="Q437" s="5"/>
      <c r="R437" s="5"/>
      <c r="S437" s="5"/>
      <c r="U437" s="6"/>
      <c r="V437" s="9" t="str">
        <f t="shared" si="62"/>
        <v/>
      </c>
      <c r="W437" s="9" t="str">
        <f t="shared" si="63"/>
        <v/>
      </c>
      <c r="X437" s="10">
        <f>SUM(V$13:V437)/COUNTA(B$13:B437)</f>
        <v>0</v>
      </c>
      <c r="Z437" s="5"/>
      <c r="AA437" s="5"/>
      <c r="AC437" s="7"/>
      <c r="AE437" s="54" t="e">
        <f t="shared" si="64"/>
        <v>#N/A</v>
      </c>
      <c r="AF437" s="4" t="e">
        <f t="shared" si="60"/>
        <v>#N/A</v>
      </c>
    </row>
    <row r="438" spans="2:32">
      <c r="B438" s="5">
        <f t="shared" si="65"/>
        <v>426</v>
      </c>
      <c r="C438" s="5"/>
      <c r="E438" s="13"/>
      <c r="F438" s="5"/>
      <c r="G438" s="11" t="str">
        <f>IF(ISERROR(AVERAGE(F$13:F438)),"n/a",AVERAGE(F$13:F438))</f>
        <v>n/a</v>
      </c>
      <c r="H438" s="11" t="str">
        <f t="shared" si="61"/>
        <v>n/a</v>
      </c>
      <c r="J438" s="5"/>
      <c r="K438" s="5"/>
      <c r="L438" s="5"/>
      <c r="M438" s="5"/>
      <c r="N438" s="5"/>
      <c r="O438" s="8" t="str">
        <f t="shared" si="59"/>
        <v>n/a</v>
      </c>
      <c r="Q438" s="5"/>
      <c r="R438" s="5"/>
      <c r="S438" s="5"/>
      <c r="U438" s="6"/>
      <c r="V438" s="9" t="str">
        <f t="shared" si="62"/>
        <v/>
      </c>
      <c r="W438" s="9" t="str">
        <f t="shared" si="63"/>
        <v/>
      </c>
      <c r="X438" s="10">
        <f>SUM(V$13:V438)/COUNTA(B$13:B438)</f>
        <v>0</v>
      </c>
      <c r="Z438" s="5"/>
      <c r="AA438" s="5"/>
      <c r="AC438" s="7"/>
      <c r="AE438" s="54" t="e">
        <f t="shared" si="64"/>
        <v>#N/A</v>
      </c>
      <c r="AF438" s="4" t="e">
        <f t="shared" si="60"/>
        <v>#N/A</v>
      </c>
    </row>
    <row r="439" spans="2:32">
      <c r="B439" s="5">
        <f t="shared" si="65"/>
        <v>427</v>
      </c>
      <c r="C439" s="5"/>
      <c r="E439" s="13"/>
      <c r="F439" s="5"/>
      <c r="G439" s="11" t="str">
        <f>IF(ISERROR(AVERAGE(F$13:F439)),"n/a",AVERAGE(F$13:F439))</f>
        <v>n/a</v>
      </c>
      <c r="H439" s="11" t="str">
        <f t="shared" si="61"/>
        <v>n/a</v>
      </c>
      <c r="J439" s="5"/>
      <c r="K439" s="5"/>
      <c r="L439" s="5"/>
      <c r="M439" s="5"/>
      <c r="N439" s="5"/>
      <c r="O439" s="8" t="str">
        <f t="shared" si="59"/>
        <v>n/a</v>
      </c>
      <c r="Q439" s="5"/>
      <c r="R439" s="5"/>
      <c r="S439" s="5"/>
      <c r="U439" s="6"/>
      <c r="V439" s="9" t="str">
        <f t="shared" si="62"/>
        <v/>
      </c>
      <c r="W439" s="9" t="str">
        <f t="shared" si="63"/>
        <v/>
      </c>
      <c r="X439" s="10">
        <f>SUM(V$13:V439)/COUNTA(B$13:B439)</f>
        <v>0</v>
      </c>
      <c r="Z439" s="5"/>
      <c r="AA439" s="5"/>
      <c r="AC439" s="7"/>
      <c r="AE439" s="54" t="e">
        <f t="shared" si="64"/>
        <v>#N/A</v>
      </c>
      <c r="AF439" s="4" t="e">
        <f t="shared" si="60"/>
        <v>#N/A</v>
      </c>
    </row>
    <row r="440" spans="2:32">
      <c r="B440" s="5">
        <f t="shared" si="65"/>
        <v>428</v>
      </c>
      <c r="C440" s="5"/>
      <c r="E440" s="13"/>
      <c r="F440" s="5"/>
      <c r="G440" s="11" t="str">
        <f>IF(ISERROR(AVERAGE(F$13:F440)),"n/a",AVERAGE(F$13:F440))</f>
        <v>n/a</v>
      </c>
      <c r="H440" s="11" t="str">
        <f t="shared" si="61"/>
        <v>n/a</v>
      </c>
      <c r="J440" s="5"/>
      <c r="K440" s="5"/>
      <c r="L440" s="5"/>
      <c r="M440" s="5"/>
      <c r="N440" s="5"/>
      <c r="O440" s="8" t="str">
        <f t="shared" si="59"/>
        <v>n/a</v>
      </c>
      <c r="Q440" s="5"/>
      <c r="R440" s="5"/>
      <c r="S440" s="5"/>
      <c r="U440" s="6"/>
      <c r="V440" s="9" t="str">
        <f t="shared" si="62"/>
        <v/>
      </c>
      <c r="W440" s="9" t="str">
        <f t="shared" si="63"/>
        <v/>
      </c>
      <c r="X440" s="10">
        <f>SUM(V$13:V440)/COUNTA(B$13:B440)</f>
        <v>0</v>
      </c>
      <c r="Z440" s="5"/>
      <c r="AA440" s="5"/>
      <c r="AC440" s="7"/>
      <c r="AE440" s="54" t="e">
        <f t="shared" si="64"/>
        <v>#N/A</v>
      </c>
      <c r="AF440" s="4" t="e">
        <f t="shared" si="60"/>
        <v>#N/A</v>
      </c>
    </row>
    <row r="441" spans="2:32">
      <c r="B441" s="5">
        <f t="shared" si="65"/>
        <v>429</v>
      </c>
      <c r="C441" s="5"/>
      <c r="E441" s="13"/>
      <c r="F441" s="5"/>
      <c r="G441" s="11" t="str">
        <f>IF(ISERROR(AVERAGE(F$13:F441)),"n/a",AVERAGE(F$13:F441))</f>
        <v>n/a</v>
      </c>
      <c r="H441" s="11" t="str">
        <f t="shared" si="61"/>
        <v>n/a</v>
      </c>
      <c r="J441" s="5"/>
      <c r="K441" s="5"/>
      <c r="L441" s="5"/>
      <c r="M441" s="5"/>
      <c r="N441" s="5"/>
      <c r="O441" s="8" t="str">
        <f t="shared" si="59"/>
        <v>n/a</v>
      </c>
      <c r="Q441" s="5"/>
      <c r="R441" s="5"/>
      <c r="S441" s="5"/>
      <c r="U441" s="6"/>
      <c r="V441" s="9" t="str">
        <f t="shared" si="62"/>
        <v/>
      </c>
      <c r="W441" s="9" t="str">
        <f t="shared" si="63"/>
        <v/>
      </c>
      <c r="X441" s="10">
        <f>SUM(V$13:V441)/COUNTA(B$13:B441)</f>
        <v>0</v>
      </c>
      <c r="Z441" s="5"/>
      <c r="AA441" s="5"/>
      <c r="AC441" s="7"/>
      <c r="AE441" s="54" t="e">
        <f t="shared" si="64"/>
        <v>#N/A</v>
      </c>
      <c r="AF441" s="4" t="e">
        <f t="shared" si="60"/>
        <v>#N/A</v>
      </c>
    </row>
    <row r="442" spans="2:32">
      <c r="B442" s="5">
        <f t="shared" si="65"/>
        <v>430</v>
      </c>
      <c r="C442" s="5"/>
      <c r="E442" s="13"/>
      <c r="F442" s="5"/>
      <c r="G442" s="11" t="str">
        <f>IF(ISERROR(AVERAGE(F$13:F442)),"n/a",AVERAGE(F$13:F442))</f>
        <v>n/a</v>
      </c>
      <c r="H442" s="11" t="str">
        <f t="shared" si="61"/>
        <v>n/a</v>
      </c>
      <c r="J442" s="5"/>
      <c r="K442" s="5"/>
      <c r="L442" s="5"/>
      <c r="M442" s="5"/>
      <c r="N442" s="5"/>
      <c r="O442" s="8" t="str">
        <f t="shared" si="59"/>
        <v>n/a</v>
      </c>
      <c r="Q442" s="5"/>
      <c r="R442" s="5"/>
      <c r="S442" s="5"/>
      <c r="U442" s="6"/>
      <c r="V442" s="9" t="str">
        <f t="shared" si="62"/>
        <v/>
      </c>
      <c r="W442" s="9" t="str">
        <f t="shared" si="63"/>
        <v/>
      </c>
      <c r="X442" s="10">
        <f>SUM(V$13:V442)/COUNTA(B$13:B442)</f>
        <v>0</v>
      </c>
      <c r="Z442" s="5"/>
      <c r="AA442" s="5"/>
      <c r="AC442" s="7"/>
      <c r="AE442" s="54" t="e">
        <f t="shared" si="64"/>
        <v>#N/A</v>
      </c>
      <c r="AF442" s="4" t="e">
        <f t="shared" si="60"/>
        <v>#N/A</v>
      </c>
    </row>
    <row r="443" spans="2:32">
      <c r="B443" s="5">
        <f t="shared" si="65"/>
        <v>431</v>
      </c>
      <c r="C443" s="5"/>
      <c r="E443" s="13"/>
      <c r="F443" s="5"/>
      <c r="G443" s="11" t="str">
        <f>IF(ISERROR(AVERAGE(F$13:F443)),"n/a",AVERAGE(F$13:F443))</f>
        <v>n/a</v>
      </c>
      <c r="H443" s="11" t="str">
        <f t="shared" si="61"/>
        <v>n/a</v>
      </c>
      <c r="J443" s="5"/>
      <c r="K443" s="5"/>
      <c r="L443" s="5"/>
      <c r="M443" s="5"/>
      <c r="N443" s="5"/>
      <c r="O443" s="8" t="str">
        <f t="shared" si="59"/>
        <v>n/a</v>
      </c>
      <c r="Q443" s="5"/>
      <c r="R443" s="5"/>
      <c r="S443" s="5"/>
      <c r="U443" s="6"/>
      <c r="V443" s="9" t="str">
        <f t="shared" si="62"/>
        <v/>
      </c>
      <c r="W443" s="9" t="str">
        <f t="shared" si="63"/>
        <v/>
      </c>
      <c r="X443" s="10">
        <f>SUM(V$13:V443)/COUNTA(B$13:B443)</f>
        <v>0</v>
      </c>
      <c r="Z443" s="5"/>
      <c r="AA443" s="5"/>
      <c r="AC443" s="7"/>
      <c r="AE443" s="54" t="e">
        <f t="shared" si="64"/>
        <v>#N/A</v>
      </c>
      <c r="AF443" s="4" t="e">
        <f t="shared" si="60"/>
        <v>#N/A</v>
      </c>
    </row>
    <row r="444" spans="2:32">
      <c r="B444" s="5">
        <f t="shared" si="65"/>
        <v>432</v>
      </c>
      <c r="C444" s="5"/>
      <c r="E444" s="13"/>
      <c r="F444" s="5"/>
      <c r="G444" s="11" t="str">
        <f>IF(ISERROR(AVERAGE(F$13:F444)),"n/a",AVERAGE(F$13:F444))</f>
        <v>n/a</v>
      </c>
      <c r="H444" s="11" t="str">
        <f t="shared" si="61"/>
        <v>n/a</v>
      </c>
      <c r="J444" s="5"/>
      <c r="K444" s="5"/>
      <c r="L444" s="5"/>
      <c r="M444" s="5"/>
      <c r="N444" s="5"/>
      <c r="O444" s="8" t="str">
        <f t="shared" si="59"/>
        <v>n/a</v>
      </c>
      <c r="Q444" s="5"/>
      <c r="R444" s="5"/>
      <c r="S444" s="5"/>
      <c r="U444" s="6"/>
      <c r="V444" s="9" t="str">
        <f t="shared" si="62"/>
        <v/>
      </c>
      <c r="W444" s="9" t="str">
        <f t="shared" si="63"/>
        <v/>
      </c>
      <c r="X444" s="10">
        <f>SUM(V$13:V444)/COUNTA(B$13:B444)</f>
        <v>0</v>
      </c>
      <c r="Z444" s="5"/>
      <c r="AA444" s="5"/>
      <c r="AC444" s="7"/>
      <c r="AE444" s="54" t="e">
        <f t="shared" si="64"/>
        <v>#N/A</v>
      </c>
      <c r="AF444" s="4" t="e">
        <f t="shared" si="60"/>
        <v>#N/A</v>
      </c>
    </row>
    <row r="445" spans="2:32">
      <c r="B445" s="5">
        <f t="shared" si="65"/>
        <v>433</v>
      </c>
      <c r="C445" s="5"/>
      <c r="E445" s="13"/>
      <c r="F445" s="5"/>
      <c r="G445" s="11" t="str">
        <f>IF(ISERROR(AVERAGE(F$13:F445)),"n/a",AVERAGE(F$13:F445))</f>
        <v>n/a</v>
      </c>
      <c r="H445" s="11" t="str">
        <f t="shared" si="61"/>
        <v>n/a</v>
      </c>
      <c r="J445" s="5"/>
      <c r="K445" s="5"/>
      <c r="L445" s="5"/>
      <c r="M445" s="5"/>
      <c r="N445" s="5"/>
      <c r="O445" s="8" t="str">
        <f t="shared" si="59"/>
        <v>n/a</v>
      </c>
      <c r="Q445" s="5"/>
      <c r="R445" s="5"/>
      <c r="S445" s="5"/>
      <c r="U445" s="6"/>
      <c r="V445" s="9" t="str">
        <f t="shared" si="62"/>
        <v/>
      </c>
      <c r="W445" s="9" t="str">
        <f t="shared" si="63"/>
        <v/>
      </c>
      <c r="X445" s="10">
        <f>SUM(V$13:V445)/COUNTA(B$13:B445)</f>
        <v>0</v>
      </c>
      <c r="Z445" s="5"/>
      <c r="AA445" s="5"/>
      <c r="AC445" s="7"/>
      <c r="AE445" s="54" t="e">
        <f t="shared" si="64"/>
        <v>#N/A</v>
      </c>
      <c r="AF445" s="4" t="e">
        <f t="shared" si="60"/>
        <v>#N/A</v>
      </c>
    </row>
    <row r="446" spans="2:32">
      <c r="B446" s="5">
        <f t="shared" si="65"/>
        <v>434</v>
      </c>
      <c r="C446" s="5"/>
      <c r="E446" s="13"/>
      <c r="F446" s="5"/>
      <c r="G446" s="11" t="str">
        <f>IF(ISERROR(AVERAGE(F$13:F446)),"n/a",AVERAGE(F$13:F446))</f>
        <v>n/a</v>
      </c>
      <c r="H446" s="11" t="str">
        <f t="shared" si="61"/>
        <v>n/a</v>
      </c>
      <c r="J446" s="5"/>
      <c r="K446" s="5"/>
      <c r="L446" s="5"/>
      <c r="M446" s="5"/>
      <c r="N446" s="5"/>
      <c r="O446" s="8" t="str">
        <f t="shared" si="59"/>
        <v>n/a</v>
      </c>
      <c r="Q446" s="5"/>
      <c r="R446" s="5"/>
      <c r="S446" s="5"/>
      <c r="U446" s="6"/>
      <c r="V446" s="9" t="str">
        <f t="shared" si="62"/>
        <v/>
      </c>
      <c r="W446" s="9" t="str">
        <f t="shared" si="63"/>
        <v/>
      </c>
      <c r="X446" s="10">
        <f>SUM(V$13:V446)/COUNTA(B$13:B446)</f>
        <v>0</v>
      </c>
      <c r="Z446" s="5"/>
      <c r="AA446" s="5"/>
      <c r="AC446" s="7"/>
      <c r="AE446" s="54" t="e">
        <f t="shared" si="64"/>
        <v>#N/A</v>
      </c>
      <c r="AF446" s="4" t="e">
        <f t="shared" si="60"/>
        <v>#N/A</v>
      </c>
    </row>
    <row r="447" spans="2:32">
      <c r="B447" s="5">
        <f t="shared" si="65"/>
        <v>435</v>
      </c>
      <c r="C447" s="5"/>
      <c r="E447" s="13"/>
      <c r="F447" s="5"/>
      <c r="G447" s="11" t="str">
        <f>IF(ISERROR(AVERAGE(F$13:F447)),"n/a",AVERAGE(F$13:F447))</f>
        <v>n/a</v>
      </c>
      <c r="H447" s="11" t="str">
        <f t="shared" si="61"/>
        <v>n/a</v>
      </c>
      <c r="J447" s="5"/>
      <c r="K447" s="5"/>
      <c r="L447" s="5"/>
      <c r="M447" s="5"/>
      <c r="N447" s="5"/>
      <c r="O447" s="8" t="str">
        <f t="shared" si="59"/>
        <v>n/a</v>
      </c>
      <c r="Q447" s="5"/>
      <c r="R447" s="5"/>
      <c r="S447" s="5"/>
      <c r="U447" s="6"/>
      <c r="V447" s="9" t="str">
        <f t="shared" si="62"/>
        <v/>
      </c>
      <c r="W447" s="9" t="str">
        <f t="shared" si="63"/>
        <v/>
      </c>
      <c r="X447" s="10">
        <f>SUM(V$13:V447)/COUNTA(B$13:B447)</f>
        <v>0</v>
      </c>
      <c r="Z447" s="5"/>
      <c r="AA447" s="5"/>
      <c r="AC447" s="7"/>
      <c r="AE447" s="54" t="e">
        <f t="shared" si="64"/>
        <v>#N/A</v>
      </c>
      <c r="AF447" s="4" t="e">
        <f t="shared" si="60"/>
        <v>#N/A</v>
      </c>
    </row>
    <row r="448" spans="2:32">
      <c r="B448" s="5">
        <f t="shared" si="65"/>
        <v>436</v>
      </c>
      <c r="C448" s="5"/>
      <c r="E448" s="13"/>
      <c r="F448" s="5"/>
      <c r="G448" s="11" t="str">
        <f>IF(ISERROR(AVERAGE(F$13:F448)),"n/a",AVERAGE(F$13:F448))</f>
        <v>n/a</v>
      </c>
      <c r="H448" s="11" t="str">
        <f t="shared" si="61"/>
        <v>n/a</v>
      </c>
      <c r="J448" s="5"/>
      <c r="K448" s="5"/>
      <c r="L448" s="5"/>
      <c r="M448" s="5"/>
      <c r="N448" s="5"/>
      <c r="O448" s="8" t="str">
        <f t="shared" si="59"/>
        <v>n/a</v>
      </c>
      <c r="Q448" s="5"/>
      <c r="R448" s="5"/>
      <c r="S448" s="5"/>
      <c r="U448" s="6"/>
      <c r="V448" s="9" t="str">
        <f t="shared" si="62"/>
        <v/>
      </c>
      <c r="W448" s="9" t="str">
        <f t="shared" si="63"/>
        <v/>
      </c>
      <c r="X448" s="10">
        <f>SUM(V$13:V448)/COUNTA(B$13:B448)</f>
        <v>0</v>
      </c>
      <c r="Z448" s="5"/>
      <c r="AA448" s="5"/>
      <c r="AC448" s="7"/>
      <c r="AE448" s="54" t="e">
        <f t="shared" si="64"/>
        <v>#N/A</v>
      </c>
      <c r="AF448" s="4" t="e">
        <f t="shared" si="60"/>
        <v>#N/A</v>
      </c>
    </row>
    <row r="449" spans="2:32">
      <c r="B449" s="5">
        <f t="shared" si="65"/>
        <v>437</v>
      </c>
      <c r="C449" s="5"/>
      <c r="E449" s="13"/>
      <c r="F449" s="5"/>
      <c r="G449" s="11" t="str">
        <f>IF(ISERROR(AVERAGE(F$13:F449)),"n/a",AVERAGE(F$13:F449))</f>
        <v>n/a</v>
      </c>
      <c r="H449" s="11" t="str">
        <f t="shared" si="61"/>
        <v>n/a</v>
      </c>
      <c r="J449" s="5"/>
      <c r="K449" s="5"/>
      <c r="L449" s="5"/>
      <c r="M449" s="5"/>
      <c r="N449" s="5"/>
      <c r="O449" s="8" t="str">
        <f t="shared" si="59"/>
        <v>n/a</v>
      </c>
      <c r="Q449" s="5"/>
      <c r="R449" s="5"/>
      <c r="S449" s="5"/>
      <c r="U449" s="6"/>
      <c r="V449" s="9" t="str">
        <f t="shared" si="62"/>
        <v/>
      </c>
      <c r="W449" s="9" t="str">
        <f t="shared" si="63"/>
        <v/>
      </c>
      <c r="X449" s="10">
        <f>SUM(V$13:V449)/COUNTA(B$13:B449)</f>
        <v>0</v>
      </c>
      <c r="Z449" s="5"/>
      <c r="AA449" s="5"/>
      <c r="AC449" s="7"/>
      <c r="AE449" s="54" t="e">
        <f t="shared" si="64"/>
        <v>#N/A</v>
      </c>
      <c r="AF449" s="4" t="e">
        <f t="shared" si="60"/>
        <v>#N/A</v>
      </c>
    </row>
    <row r="450" spans="2:32">
      <c r="B450" s="5">
        <f t="shared" si="65"/>
        <v>438</v>
      </c>
      <c r="C450" s="5"/>
      <c r="E450" s="13"/>
      <c r="F450" s="5"/>
      <c r="G450" s="11" t="str">
        <f>IF(ISERROR(AVERAGE(F$13:F450)),"n/a",AVERAGE(F$13:F450))</f>
        <v>n/a</v>
      </c>
      <c r="H450" s="11" t="str">
        <f t="shared" si="61"/>
        <v>n/a</v>
      </c>
      <c r="J450" s="5"/>
      <c r="K450" s="5"/>
      <c r="L450" s="5"/>
      <c r="M450" s="5"/>
      <c r="N450" s="5"/>
      <c r="O450" s="8" t="str">
        <f t="shared" si="59"/>
        <v>n/a</v>
      </c>
      <c r="Q450" s="5"/>
      <c r="R450" s="5"/>
      <c r="S450" s="5"/>
      <c r="U450" s="6"/>
      <c r="V450" s="9" t="str">
        <f t="shared" si="62"/>
        <v/>
      </c>
      <c r="W450" s="9" t="str">
        <f t="shared" si="63"/>
        <v/>
      </c>
      <c r="X450" s="10">
        <f>SUM(V$13:V450)/COUNTA(B$13:B450)</f>
        <v>0</v>
      </c>
      <c r="Z450" s="5"/>
      <c r="AA450" s="5"/>
      <c r="AC450" s="7"/>
      <c r="AE450" s="54" t="e">
        <f t="shared" si="64"/>
        <v>#N/A</v>
      </c>
      <c r="AF450" s="4" t="e">
        <f t="shared" si="60"/>
        <v>#N/A</v>
      </c>
    </row>
    <row r="451" spans="2:32">
      <c r="B451" s="5">
        <f t="shared" si="65"/>
        <v>439</v>
      </c>
      <c r="C451" s="5"/>
      <c r="E451" s="13"/>
      <c r="F451" s="5"/>
      <c r="G451" s="11" t="str">
        <f>IF(ISERROR(AVERAGE(F$13:F451)),"n/a",AVERAGE(F$13:F451))</f>
        <v>n/a</v>
      </c>
      <c r="H451" s="11" t="str">
        <f t="shared" si="61"/>
        <v>n/a</v>
      </c>
      <c r="J451" s="5"/>
      <c r="K451" s="5"/>
      <c r="L451" s="5"/>
      <c r="M451" s="5"/>
      <c r="N451" s="5"/>
      <c r="O451" s="8" t="str">
        <f t="shared" si="59"/>
        <v>n/a</v>
      </c>
      <c r="Q451" s="5"/>
      <c r="R451" s="5"/>
      <c r="S451" s="5"/>
      <c r="U451" s="6"/>
      <c r="V451" s="9" t="str">
        <f t="shared" si="62"/>
        <v/>
      </c>
      <c r="W451" s="9" t="str">
        <f t="shared" si="63"/>
        <v/>
      </c>
      <c r="X451" s="10">
        <f>SUM(V$13:V451)/COUNTA(B$13:B451)</f>
        <v>0</v>
      </c>
      <c r="Z451" s="5"/>
      <c r="AA451" s="5"/>
      <c r="AC451" s="7"/>
      <c r="AE451" s="54" t="e">
        <f t="shared" si="64"/>
        <v>#N/A</v>
      </c>
      <c r="AF451" s="4" t="e">
        <f t="shared" si="60"/>
        <v>#N/A</v>
      </c>
    </row>
    <row r="452" spans="2:32">
      <c r="B452" s="5">
        <f t="shared" si="65"/>
        <v>440</v>
      </c>
      <c r="C452" s="5"/>
      <c r="E452" s="13"/>
      <c r="F452" s="5"/>
      <c r="G452" s="11" t="str">
        <f>IF(ISERROR(AVERAGE(F$13:F452)),"n/a",AVERAGE(F$13:F452))</f>
        <v>n/a</v>
      </c>
      <c r="H452" s="11" t="str">
        <f t="shared" si="61"/>
        <v>n/a</v>
      </c>
      <c r="J452" s="5"/>
      <c r="K452" s="5"/>
      <c r="L452" s="5"/>
      <c r="M452" s="5"/>
      <c r="N452" s="5"/>
      <c r="O452" s="8" t="str">
        <f t="shared" si="59"/>
        <v>n/a</v>
      </c>
      <c r="Q452" s="5"/>
      <c r="R452" s="5"/>
      <c r="S452" s="5"/>
      <c r="U452" s="6"/>
      <c r="V452" s="9" t="str">
        <f t="shared" si="62"/>
        <v/>
      </c>
      <c r="W452" s="9" t="str">
        <f t="shared" si="63"/>
        <v/>
      </c>
      <c r="X452" s="10">
        <f>SUM(V$13:V452)/COUNTA(B$13:B452)</f>
        <v>0</v>
      </c>
      <c r="Z452" s="5"/>
      <c r="AA452" s="5"/>
      <c r="AC452" s="7"/>
      <c r="AE452" s="54" t="e">
        <f t="shared" si="64"/>
        <v>#N/A</v>
      </c>
      <c r="AF452" s="4" t="e">
        <f t="shared" si="60"/>
        <v>#N/A</v>
      </c>
    </row>
    <row r="453" spans="2:32">
      <c r="B453" s="5">
        <f t="shared" si="65"/>
        <v>441</v>
      </c>
      <c r="C453" s="5"/>
      <c r="E453" s="13"/>
      <c r="F453" s="5"/>
      <c r="G453" s="11" t="str">
        <f>IF(ISERROR(AVERAGE(F$13:F453)),"n/a",AVERAGE(F$13:F453))</f>
        <v>n/a</v>
      </c>
      <c r="H453" s="11" t="str">
        <f t="shared" si="61"/>
        <v>n/a</v>
      </c>
      <c r="J453" s="5"/>
      <c r="K453" s="5"/>
      <c r="L453" s="5"/>
      <c r="M453" s="5"/>
      <c r="N453" s="5"/>
      <c r="O453" s="8" t="str">
        <f t="shared" si="59"/>
        <v>n/a</v>
      </c>
      <c r="Q453" s="5"/>
      <c r="R453" s="5"/>
      <c r="S453" s="5"/>
      <c r="U453" s="6"/>
      <c r="V453" s="9" t="str">
        <f t="shared" si="62"/>
        <v/>
      </c>
      <c r="W453" s="9" t="str">
        <f t="shared" si="63"/>
        <v/>
      </c>
      <c r="X453" s="10">
        <f>SUM(V$13:V453)/COUNTA(B$13:B453)</f>
        <v>0</v>
      </c>
      <c r="Z453" s="5"/>
      <c r="AA453" s="5"/>
      <c r="AC453" s="7"/>
      <c r="AE453" s="54" t="e">
        <f t="shared" si="64"/>
        <v>#N/A</v>
      </c>
      <c r="AF453" s="4" t="e">
        <f t="shared" si="60"/>
        <v>#N/A</v>
      </c>
    </row>
    <row r="454" spans="2:32">
      <c r="B454" s="5">
        <f t="shared" si="65"/>
        <v>442</v>
      </c>
      <c r="C454" s="5"/>
      <c r="E454" s="13"/>
      <c r="F454" s="5"/>
      <c r="G454" s="11" t="str">
        <f>IF(ISERROR(AVERAGE(F$13:F454)),"n/a",AVERAGE(F$13:F454))</f>
        <v>n/a</v>
      </c>
      <c r="H454" s="11" t="str">
        <f t="shared" si="61"/>
        <v>n/a</v>
      </c>
      <c r="J454" s="5"/>
      <c r="K454" s="5"/>
      <c r="L454" s="5"/>
      <c r="M454" s="5"/>
      <c r="N454" s="5"/>
      <c r="O454" s="8" t="str">
        <f t="shared" si="59"/>
        <v>n/a</v>
      </c>
      <c r="Q454" s="5"/>
      <c r="R454" s="5"/>
      <c r="S454" s="5"/>
      <c r="U454" s="6"/>
      <c r="V454" s="9" t="str">
        <f t="shared" si="62"/>
        <v/>
      </c>
      <c r="W454" s="9" t="str">
        <f t="shared" si="63"/>
        <v/>
      </c>
      <c r="X454" s="10">
        <f>SUM(V$13:V454)/COUNTA(B$13:B454)</f>
        <v>0</v>
      </c>
      <c r="Z454" s="5"/>
      <c r="AA454" s="5"/>
      <c r="AC454" s="7"/>
      <c r="AE454" s="54" t="e">
        <f t="shared" si="64"/>
        <v>#N/A</v>
      </c>
      <c r="AF454" s="4" t="e">
        <f t="shared" si="60"/>
        <v>#N/A</v>
      </c>
    </row>
    <row r="455" spans="2:32">
      <c r="B455" s="5">
        <f t="shared" si="65"/>
        <v>443</v>
      </c>
      <c r="C455" s="5"/>
      <c r="E455" s="13"/>
      <c r="F455" s="5"/>
      <c r="G455" s="11" t="str">
        <f>IF(ISERROR(AVERAGE(F$13:F455)),"n/a",AVERAGE(F$13:F455))</f>
        <v>n/a</v>
      </c>
      <c r="H455" s="11" t="str">
        <f t="shared" si="61"/>
        <v>n/a</v>
      </c>
      <c r="J455" s="5"/>
      <c r="K455" s="5"/>
      <c r="L455" s="5"/>
      <c r="M455" s="5"/>
      <c r="N455" s="5"/>
      <c r="O455" s="8" t="str">
        <f t="shared" si="59"/>
        <v>n/a</v>
      </c>
      <c r="Q455" s="5"/>
      <c r="R455" s="5"/>
      <c r="S455" s="5"/>
      <c r="U455" s="6"/>
      <c r="V455" s="9" t="str">
        <f t="shared" si="62"/>
        <v/>
      </c>
      <c r="W455" s="9" t="str">
        <f t="shared" si="63"/>
        <v/>
      </c>
      <c r="X455" s="10">
        <f>SUM(V$13:V455)/COUNTA(B$13:B455)</f>
        <v>0</v>
      </c>
      <c r="Z455" s="5"/>
      <c r="AA455" s="5"/>
      <c r="AC455" s="7"/>
      <c r="AE455" s="54" t="e">
        <f t="shared" si="64"/>
        <v>#N/A</v>
      </c>
      <c r="AF455" s="4" t="e">
        <f t="shared" si="60"/>
        <v>#N/A</v>
      </c>
    </row>
    <row r="456" spans="2:32">
      <c r="B456" s="5">
        <f t="shared" si="65"/>
        <v>444</v>
      </c>
      <c r="C456" s="5"/>
      <c r="E456" s="13"/>
      <c r="F456" s="5"/>
      <c r="G456" s="11" t="str">
        <f>IF(ISERROR(AVERAGE(F$13:F456)),"n/a",AVERAGE(F$13:F456))</f>
        <v>n/a</v>
      </c>
      <c r="H456" s="11" t="str">
        <f t="shared" si="61"/>
        <v>n/a</v>
      </c>
      <c r="J456" s="5"/>
      <c r="K456" s="5"/>
      <c r="L456" s="5"/>
      <c r="M456" s="5"/>
      <c r="N456" s="5"/>
      <c r="O456" s="8" t="str">
        <f t="shared" si="59"/>
        <v>n/a</v>
      </c>
      <c r="Q456" s="5"/>
      <c r="R456" s="5"/>
      <c r="S456" s="5"/>
      <c r="U456" s="6"/>
      <c r="V456" s="9" t="str">
        <f t="shared" si="62"/>
        <v/>
      </c>
      <c r="W456" s="9" t="str">
        <f t="shared" si="63"/>
        <v/>
      </c>
      <c r="X456" s="10">
        <f>SUM(V$13:V456)/COUNTA(B$13:B456)</f>
        <v>0</v>
      </c>
      <c r="Z456" s="5"/>
      <c r="AA456" s="5"/>
      <c r="AC456" s="7"/>
      <c r="AE456" s="54" t="e">
        <f t="shared" si="64"/>
        <v>#N/A</v>
      </c>
      <c r="AF456" s="4" t="e">
        <f t="shared" si="60"/>
        <v>#N/A</v>
      </c>
    </row>
    <row r="457" spans="2:32">
      <c r="B457" s="5">
        <f t="shared" si="65"/>
        <v>445</v>
      </c>
      <c r="C457" s="5"/>
      <c r="E457" s="13"/>
      <c r="F457" s="5"/>
      <c r="G457" s="11" t="str">
        <f>IF(ISERROR(AVERAGE(F$13:F457)),"n/a",AVERAGE(F$13:F457))</f>
        <v>n/a</v>
      </c>
      <c r="H457" s="11" t="str">
        <f t="shared" si="61"/>
        <v>n/a</v>
      </c>
      <c r="J457" s="5"/>
      <c r="K457" s="5"/>
      <c r="L457" s="5"/>
      <c r="M457" s="5"/>
      <c r="N457" s="5"/>
      <c r="O457" s="8" t="str">
        <f t="shared" si="59"/>
        <v>n/a</v>
      </c>
      <c r="Q457" s="5"/>
      <c r="R457" s="5"/>
      <c r="S457" s="5"/>
      <c r="U457" s="6"/>
      <c r="V457" s="9" t="str">
        <f t="shared" si="62"/>
        <v/>
      </c>
      <c r="W457" s="9" t="str">
        <f t="shared" si="63"/>
        <v/>
      </c>
      <c r="X457" s="10">
        <f>SUM(V$13:V457)/COUNTA(B$13:B457)</f>
        <v>0</v>
      </c>
      <c r="Z457" s="5"/>
      <c r="AA457" s="5"/>
      <c r="AC457" s="7"/>
      <c r="AE457" s="54" t="e">
        <f t="shared" si="64"/>
        <v>#N/A</v>
      </c>
      <c r="AF457" s="4" t="e">
        <f t="shared" si="60"/>
        <v>#N/A</v>
      </c>
    </row>
    <row r="458" spans="2:32">
      <c r="B458" s="5">
        <f t="shared" si="65"/>
        <v>446</v>
      </c>
      <c r="C458" s="5"/>
      <c r="E458" s="13"/>
      <c r="F458" s="5"/>
      <c r="G458" s="11" t="str">
        <f>IF(ISERROR(AVERAGE(F$13:F458)),"n/a",AVERAGE(F$13:F458))</f>
        <v>n/a</v>
      </c>
      <c r="H458" s="11" t="str">
        <f t="shared" si="61"/>
        <v>n/a</v>
      </c>
      <c r="J458" s="5"/>
      <c r="K458" s="5"/>
      <c r="L458" s="5"/>
      <c r="M458" s="5"/>
      <c r="N458" s="5"/>
      <c r="O458" s="8" t="str">
        <f t="shared" si="59"/>
        <v>n/a</v>
      </c>
      <c r="Q458" s="5"/>
      <c r="R458" s="5"/>
      <c r="S458" s="5"/>
      <c r="U458" s="6"/>
      <c r="V458" s="9" t="str">
        <f t="shared" si="62"/>
        <v/>
      </c>
      <c r="W458" s="9" t="str">
        <f t="shared" si="63"/>
        <v/>
      </c>
      <c r="X458" s="10">
        <f>SUM(V$13:V458)/COUNTA(B$13:B458)</f>
        <v>0</v>
      </c>
      <c r="Z458" s="5"/>
      <c r="AA458" s="5"/>
      <c r="AC458" s="7"/>
      <c r="AE458" s="54" t="e">
        <f t="shared" si="64"/>
        <v>#N/A</v>
      </c>
      <c r="AF458" s="4" t="e">
        <f t="shared" si="60"/>
        <v>#N/A</v>
      </c>
    </row>
    <row r="459" spans="2:32">
      <c r="B459" s="5">
        <f t="shared" si="65"/>
        <v>447</v>
      </c>
      <c r="C459" s="5"/>
      <c r="E459" s="13"/>
      <c r="F459" s="5"/>
      <c r="G459" s="11" t="str">
        <f>IF(ISERROR(AVERAGE(F$13:F459)),"n/a",AVERAGE(F$13:F459))</f>
        <v>n/a</v>
      </c>
      <c r="H459" s="11" t="str">
        <f t="shared" si="61"/>
        <v>n/a</v>
      </c>
      <c r="J459" s="5"/>
      <c r="K459" s="5"/>
      <c r="L459" s="5"/>
      <c r="M459" s="5"/>
      <c r="N459" s="5"/>
      <c r="O459" s="8" t="str">
        <f t="shared" si="59"/>
        <v>n/a</v>
      </c>
      <c r="Q459" s="5"/>
      <c r="R459" s="5"/>
      <c r="S459" s="5"/>
      <c r="U459" s="6"/>
      <c r="V459" s="9" t="str">
        <f t="shared" si="62"/>
        <v/>
      </c>
      <c r="W459" s="9" t="str">
        <f t="shared" si="63"/>
        <v/>
      </c>
      <c r="X459" s="10">
        <f>SUM(V$13:V459)/COUNTA(B$13:B459)</f>
        <v>0</v>
      </c>
      <c r="Z459" s="5"/>
      <c r="AA459" s="5"/>
      <c r="AC459" s="7"/>
      <c r="AE459" s="54" t="e">
        <f t="shared" si="64"/>
        <v>#N/A</v>
      </c>
      <c r="AF459" s="4" t="e">
        <f t="shared" si="60"/>
        <v>#N/A</v>
      </c>
    </row>
    <row r="460" spans="2:32">
      <c r="B460" s="5">
        <f t="shared" si="65"/>
        <v>448</v>
      </c>
      <c r="C460" s="5"/>
      <c r="E460" s="13"/>
      <c r="F460" s="5"/>
      <c r="G460" s="11" t="str">
        <f>IF(ISERROR(AVERAGE(F$13:F460)),"n/a",AVERAGE(F$13:F460))</f>
        <v>n/a</v>
      </c>
      <c r="H460" s="11" t="str">
        <f t="shared" si="61"/>
        <v>n/a</v>
      </c>
      <c r="J460" s="5"/>
      <c r="K460" s="5"/>
      <c r="L460" s="5"/>
      <c r="M460" s="5"/>
      <c r="N460" s="5"/>
      <c r="O460" s="8" t="str">
        <f t="shared" si="59"/>
        <v>n/a</v>
      </c>
      <c r="Q460" s="5"/>
      <c r="R460" s="5"/>
      <c r="S460" s="5"/>
      <c r="U460" s="6"/>
      <c r="V460" s="9" t="str">
        <f t="shared" si="62"/>
        <v/>
      </c>
      <c r="W460" s="9" t="str">
        <f t="shared" si="63"/>
        <v/>
      </c>
      <c r="X460" s="10">
        <f>SUM(V$13:V460)/COUNTA(B$13:B460)</f>
        <v>0</v>
      </c>
      <c r="Z460" s="5"/>
      <c r="AA460" s="5"/>
      <c r="AC460" s="7"/>
      <c r="AE460" s="54" t="e">
        <f t="shared" si="64"/>
        <v>#N/A</v>
      </c>
      <c r="AF460" s="4" t="e">
        <f t="shared" si="60"/>
        <v>#N/A</v>
      </c>
    </row>
    <row r="461" spans="2:32">
      <c r="B461" s="5">
        <f t="shared" si="65"/>
        <v>449</v>
      </c>
      <c r="C461" s="5"/>
      <c r="E461" s="13"/>
      <c r="F461" s="5"/>
      <c r="G461" s="11" t="str">
        <f>IF(ISERROR(AVERAGE(F$13:F461)),"n/a",AVERAGE(F$13:F461))</f>
        <v>n/a</v>
      </c>
      <c r="H461" s="11" t="str">
        <f t="shared" si="61"/>
        <v>n/a</v>
      </c>
      <c r="J461" s="5"/>
      <c r="K461" s="5"/>
      <c r="L461" s="5"/>
      <c r="M461" s="5"/>
      <c r="N461" s="5"/>
      <c r="O461" s="8" t="str">
        <f t="shared" ref="O461:O524" si="66">IF(J461=1,"A",IF(K461=1,"B",IF(L461=1,"C",IF(M461=1,"D",IF(N461=1,"E","n/a")))))</f>
        <v>n/a</v>
      </c>
      <c r="Q461" s="5"/>
      <c r="R461" s="5"/>
      <c r="S461" s="5"/>
      <c r="U461" s="6"/>
      <c r="V461" s="9" t="str">
        <f t="shared" si="62"/>
        <v/>
      </c>
      <c r="W461" s="9" t="str">
        <f t="shared" si="63"/>
        <v/>
      </c>
      <c r="X461" s="10">
        <f>SUM(V$13:V461)/COUNTA(B$13:B461)</f>
        <v>0</v>
      </c>
      <c r="Z461" s="5"/>
      <c r="AA461" s="5"/>
      <c r="AC461" s="7"/>
      <c r="AE461" s="54" t="e">
        <f t="shared" si="64"/>
        <v>#N/A</v>
      </c>
      <c r="AF461" s="4" t="e">
        <f t="shared" ref="AF461:AF524" si="67">HLOOKUP(C461,$K$6:$O$7,2,FALSE)</f>
        <v>#N/A</v>
      </c>
    </row>
    <row r="462" spans="2:32">
      <c r="B462" s="5">
        <f t="shared" si="65"/>
        <v>450</v>
      </c>
      <c r="C462" s="5"/>
      <c r="E462" s="13"/>
      <c r="F462" s="5"/>
      <c r="G462" s="11" t="str">
        <f>IF(ISERROR(AVERAGE(F$13:F462)),"n/a",AVERAGE(F$13:F462))</f>
        <v>n/a</v>
      </c>
      <c r="H462" s="11" t="str">
        <f t="shared" ref="H462:H525" si="68">G462</f>
        <v>n/a</v>
      </c>
      <c r="J462" s="5"/>
      <c r="K462" s="5"/>
      <c r="L462" s="5"/>
      <c r="M462" s="5"/>
      <c r="N462" s="5"/>
      <c r="O462" s="8" t="str">
        <f t="shared" si="66"/>
        <v>n/a</v>
      </c>
      <c r="Q462" s="5"/>
      <c r="R462" s="5"/>
      <c r="S462" s="5"/>
      <c r="U462" s="6"/>
      <c r="V462" s="9" t="str">
        <f t="shared" ref="V462:V525" si="69">IF(O462="n/a","",IF(O462=U462,1,""))</f>
        <v/>
      </c>
      <c r="W462" s="9" t="str">
        <f t="shared" ref="W462:W525" si="70">IF(O462="n/a","",IF(O462&lt;&gt;U462,1,""))</f>
        <v/>
      </c>
      <c r="X462" s="10">
        <f>SUM(V$13:V462)/COUNTA(B$13:B462)</f>
        <v>0</v>
      </c>
      <c r="Z462" s="5"/>
      <c r="AA462" s="5"/>
      <c r="AC462" s="7"/>
      <c r="AE462" s="54" t="e">
        <f t="shared" ref="AE462:AE525" si="71">+IF($F$4=0,0,IF(W462=1,1,IF(OR(R462*$F$8=1,S462*$F$9=1,F462&gt;=AF462),2,0)))</f>
        <v>#N/A</v>
      </c>
      <c r="AF462" s="4" t="e">
        <f t="shared" si="67"/>
        <v>#N/A</v>
      </c>
    </row>
    <row r="463" spans="2:32">
      <c r="B463" s="5">
        <f t="shared" si="65"/>
        <v>451</v>
      </c>
      <c r="C463" s="5"/>
      <c r="E463" s="13"/>
      <c r="F463" s="5"/>
      <c r="G463" s="11" t="str">
        <f>IF(ISERROR(AVERAGE(F$13:F463)),"n/a",AVERAGE(F$13:F463))</f>
        <v>n/a</v>
      </c>
      <c r="H463" s="11" t="str">
        <f t="shared" si="68"/>
        <v>n/a</v>
      </c>
      <c r="J463" s="5"/>
      <c r="K463" s="5"/>
      <c r="L463" s="5"/>
      <c r="M463" s="5"/>
      <c r="N463" s="5"/>
      <c r="O463" s="8" t="str">
        <f t="shared" si="66"/>
        <v>n/a</v>
      </c>
      <c r="Q463" s="5"/>
      <c r="R463" s="5"/>
      <c r="S463" s="5"/>
      <c r="U463" s="6"/>
      <c r="V463" s="9" t="str">
        <f t="shared" si="69"/>
        <v/>
      </c>
      <c r="W463" s="9" t="str">
        <f t="shared" si="70"/>
        <v/>
      </c>
      <c r="X463" s="10">
        <f>SUM(V$13:V463)/COUNTA(B$13:B463)</f>
        <v>0</v>
      </c>
      <c r="Z463" s="5"/>
      <c r="AA463" s="5"/>
      <c r="AC463" s="7"/>
      <c r="AE463" s="54" t="e">
        <f t="shared" si="71"/>
        <v>#N/A</v>
      </c>
      <c r="AF463" s="4" t="e">
        <f t="shared" si="67"/>
        <v>#N/A</v>
      </c>
    </row>
    <row r="464" spans="2:32">
      <c r="B464" s="5">
        <f t="shared" si="65"/>
        <v>452</v>
      </c>
      <c r="C464" s="5"/>
      <c r="E464" s="13"/>
      <c r="F464" s="5"/>
      <c r="G464" s="11" t="str">
        <f>IF(ISERROR(AVERAGE(F$13:F464)),"n/a",AVERAGE(F$13:F464))</f>
        <v>n/a</v>
      </c>
      <c r="H464" s="11" t="str">
        <f t="shared" si="68"/>
        <v>n/a</v>
      </c>
      <c r="J464" s="5"/>
      <c r="K464" s="5"/>
      <c r="L464" s="5"/>
      <c r="M464" s="5"/>
      <c r="N464" s="5"/>
      <c r="O464" s="8" t="str">
        <f t="shared" si="66"/>
        <v>n/a</v>
      </c>
      <c r="Q464" s="5"/>
      <c r="R464" s="5"/>
      <c r="S464" s="5"/>
      <c r="U464" s="6"/>
      <c r="V464" s="9" t="str">
        <f t="shared" si="69"/>
        <v/>
      </c>
      <c r="W464" s="9" t="str">
        <f t="shared" si="70"/>
        <v/>
      </c>
      <c r="X464" s="10">
        <f>SUM(V$13:V464)/COUNTA(B$13:B464)</f>
        <v>0</v>
      </c>
      <c r="Z464" s="5"/>
      <c r="AA464" s="5"/>
      <c r="AC464" s="7"/>
      <c r="AE464" s="54" t="e">
        <f t="shared" si="71"/>
        <v>#N/A</v>
      </c>
      <c r="AF464" s="4" t="e">
        <f t="shared" si="67"/>
        <v>#N/A</v>
      </c>
    </row>
    <row r="465" spans="2:32">
      <c r="B465" s="5">
        <f t="shared" si="65"/>
        <v>453</v>
      </c>
      <c r="C465" s="5"/>
      <c r="E465" s="13"/>
      <c r="F465" s="5"/>
      <c r="G465" s="11" t="str">
        <f>IF(ISERROR(AVERAGE(F$13:F465)),"n/a",AVERAGE(F$13:F465))</f>
        <v>n/a</v>
      </c>
      <c r="H465" s="11" t="str">
        <f t="shared" si="68"/>
        <v>n/a</v>
      </c>
      <c r="J465" s="5"/>
      <c r="K465" s="5"/>
      <c r="L465" s="5"/>
      <c r="M465" s="5"/>
      <c r="N465" s="5"/>
      <c r="O465" s="8" t="str">
        <f t="shared" si="66"/>
        <v>n/a</v>
      </c>
      <c r="Q465" s="5"/>
      <c r="R465" s="5"/>
      <c r="S465" s="5"/>
      <c r="U465" s="6"/>
      <c r="V465" s="9" t="str">
        <f t="shared" si="69"/>
        <v/>
      </c>
      <c r="W465" s="9" t="str">
        <f t="shared" si="70"/>
        <v/>
      </c>
      <c r="X465" s="10">
        <f>SUM(V$13:V465)/COUNTA(B$13:B465)</f>
        <v>0</v>
      </c>
      <c r="Z465" s="5"/>
      <c r="AA465" s="5"/>
      <c r="AC465" s="7"/>
      <c r="AE465" s="54" t="e">
        <f t="shared" si="71"/>
        <v>#N/A</v>
      </c>
      <c r="AF465" s="4" t="e">
        <f t="shared" si="67"/>
        <v>#N/A</v>
      </c>
    </row>
    <row r="466" spans="2:32">
      <c r="B466" s="5">
        <f t="shared" si="65"/>
        <v>454</v>
      </c>
      <c r="C466" s="5"/>
      <c r="E466" s="13"/>
      <c r="F466" s="5"/>
      <c r="G466" s="11" t="str">
        <f>IF(ISERROR(AVERAGE(F$13:F466)),"n/a",AVERAGE(F$13:F466))</f>
        <v>n/a</v>
      </c>
      <c r="H466" s="11" t="str">
        <f t="shared" si="68"/>
        <v>n/a</v>
      </c>
      <c r="J466" s="5"/>
      <c r="K466" s="5"/>
      <c r="L466" s="5"/>
      <c r="M466" s="5"/>
      <c r="N466" s="5"/>
      <c r="O466" s="8" t="str">
        <f t="shared" si="66"/>
        <v>n/a</v>
      </c>
      <c r="Q466" s="5"/>
      <c r="R466" s="5"/>
      <c r="S466" s="5"/>
      <c r="U466" s="6"/>
      <c r="V466" s="9" t="str">
        <f t="shared" si="69"/>
        <v/>
      </c>
      <c r="W466" s="9" t="str">
        <f t="shared" si="70"/>
        <v/>
      </c>
      <c r="X466" s="10">
        <f>SUM(V$13:V466)/COUNTA(B$13:B466)</f>
        <v>0</v>
      </c>
      <c r="Z466" s="5"/>
      <c r="AA466" s="5"/>
      <c r="AC466" s="7"/>
      <c r="AE466" s="54" t="e">
        <f t="shared" si="71"/>
        <v>#N/A</v>
      </c>
      <c r="AF466" s="4" t="e">
        <f t="shared" si="67"/>
        <v>#N/A</v>
      </c>
    </row>
    <row r="467" spans="2:32">
      <c r="B467" s="5">
        <f t="shared" ref="B467:B530" si="72">+B466+1</f>
        <v>455</v>
      </c>
      <c r="C467" s="5"/>
      <c r="E467" s="13"/>
      <c r="F467" s="5"/>
      <c r="G467" s="11" t="str">
        <f>IF(ISERROR(AVERAGE(F$13:F467)),"n/a",AVERAGE(F$13:F467))</f>
        <v>n/a</v>
      </c>
      <c r="H467" s="11" t="str">
        <f t="shared" si="68"/>
        <v>n/a</v>
      </c>
      <c r="J467" s="5"/>
      <c r="K467" s="5"/>
      <c r="L467" s="5"/>
      <c r="M467" s="5"/>
      <c r="N467" s="5"/>
      <c r="O467" s="8" t="str">
        <f t="shared" si="66"/>
        <v>n/a</v>
      </c>
      <c r="Q467" s="5"/>
      <c r="R467" s="5"/>
      <c r="S467" s="5"/>
      <c r="U467" s="6"/>
      <c r="V467" s="9" t="str">
        <f t="shared" si="69"/>
        <v/>
      </c>
      <c r="W467" s="9" t="str">
        <f t="shared" si="70"/>
        <v/>
      </c>
      <c r="X467" s="10">
        <f>SUM(V$13:V467)/COUNTA(B$13:B467)</f>
        <v>0</v>
      </c>
      <c r="Z467" s="5"/>
      <c r="AA467" s="5"/>
      <c r="AC467" s="7"/>
      <c r="AE467" s="54" t="e">
        <f t="shared" si="71"/>
        <v>#N/A</v>
      </c>
      <c r="AF467" s="4" t="e">
        <f t="shared" si="67"/>
        <v>#N/A</v>
      </c>
    </row>
    <row r="468" spans="2:32">
      <c r="B468" s="5">
        <f t="shared" si="72"/>
        <v>456</v>
      </c>
      <c r="C468" s="5"/>
      <c r="E468" s="13"/>
      <c r="F468" s="5"/>
      <c r="G468" s="11" t="str">
        <f>IF(ISERROR(AVERAGE(F$13:F468)),"n/a",AVERAGE(F$13:F468))</f>
        <v>n/a</v>
      </c>
      <c r="H468" s="11" t="str">
        <f t="shared" si="68"/>
        <v>n/a</v>
      </c>
      <c r="J468" s="5"/>
      <c r="K468" s="5"/>
      <c r="L468" s="5"/>
      <c r="M468" s="5"/>
      <c r="N468" s="5"/>
      <c r="O468" s="8" t="str">
        <f t="shared" si="66"/>
        <v>n/a</v>
      </c>
      <c r="Q468" s="5"/>
      <c r="R468" s="5"/>
      <c r="S468" s="5"/>
      <c r="U468" s="6"/>
      <c r="V468" s="9" t="str">
        <f t="shared" si="69"/>
        <v/>
      </c>
      <c r="W468" s="9" t="str">
        <f t="shared" si="70"/>
        <v/>
      </c>
      <c r="X468" s="10">
        <f>SUM(V$13:V468)/COUNTA(B$13:B468)</f>
        <v>0</v>
      </c>
      <c r="Z468" s="5"/>
      <c r="AA468" s="5"/>
      <c r="AC468" s="7"/>
      <c r="AE468" s="54" t="e">
        <f t="shared" si="71"/>
        <v>#N/A</v>
      </c>
      <c r="AF468" s="4" t="e">
        <f t="shared" si="67"/>
        <v>#N/A</v>
      </c>
    </row>
    <row r="469" spans="2:32">
      <c r="B469" s="5">
        <f t="shared" si="72"/>
        <v>457</v>
      </c>
      <c r="C469" s="5"/>
      <c r="E469" s="13"/>
      <c r="F469" s="5"/>
      <c r="G469" s="11" t="str">
        <f>IF(ISERROR(AVERAGE(F$13:F469)),"n/a",AVERAGE(F$13:F469))</f>
        <v>n/a</v>
      </c>
      <c r="H469" s="11" t="str">
        <f t="shared" si="68"/>
        <v>n/a</v>
      </c>
      <c r="J469" s="5"/>
      <c r="K469" s="5"/>
      <c r="L469" s="5"/>
      <c r="M469" s="5"/>
      <c r="N469" s="5"/>
      <c r="O469" s="8" t="str">
        <f t="shared" si="66"/>
        <v>n/a</v>
      </c>
      <c r="Q469" s="5"/>
      <c r="R469" s="5"/>
      <c r="S469" s="5"/>
      <c r="U469" s="6"/>
      <c r="V469" s="9" t="str">
        <f t="shared" si="69"/>
        <v/>
      </c>
      <c r="W469" s="9" t="str">
        <f t="shared" si="70"/>
        <v/>
      </c>
      <c r="X469" s="10">
        <f>SUM(V$13:V469)/COUNTA(B$13:B469)</f>
        <v>0</v>
      </c>
      <c r="Z469" s="5"/>
      <c r="AA469" s="5"/>
      <c r="AC469" s="7"/>
      <c r="AE469" s="54" t="e">
        <f t="shared" si="71"/>
        <v>#N/A</v>
      </c>
      <c r="AF469" s="4" t="e">
        <f t="shared" si="67"/>
        <v>#N/A</v>
      </c>
    </row>
    <row r="470" spans="2:32">
      <c r="B470" s="5">
        <f t="shared" si="72"/>
        <v>458</v>
      </c>
      <c r="C470" s="5"/>
      <c r="E470" s="13"/>
      <c r="F470" s="5"/>
      <c r="G470" s="11" t="str">
        <f>IF(ISERROR(AVERAGE(F$13:F470)),"n/a",AVERAGE(F$13:F470))</f>
        <v>n/a</v>
      </c>
      <c r="H470" s="11" t="str">
        <f t="shared" si="68"/>
        <v>n/a</v>
      </c>
      <c r="J470" s="5"/>
      <c r="K470" s="5"/>
      <c r="L470" s="5"/>
      <c r="M470" s="5"/>
      <c r="N470" s="5"/>
      <c r="O470" s="8" t="str">
        <f t="shared" si="66"/>
        <v>n/a</v>
      </c>
      <c r="Q470" s="5"/>
      <c r="R470" s="5"/>
      <c r="S470" s="5"/>
      <c r="U470" s="6"/>
      <c r="V470" s="9" t="str">
        <f t="shared" si="69"/>
        <v/>
      </c>
      <c r="W470" s="9" t="str">
        <f t="shared" si="70"/>
        <v/>
      </c>
      <c r="X470" s="10">
        <f>SUM(V$13:V470)/COUNTA(B$13:B470)</f>
        <v>0</v>
      </c>
      <c r="Z470" s="5"/>
      <c r="AA470" s="5"/>
      <c r="AC470" s="7"/>
      <c r="AE470" s="54" t="e">
        <f t="shared" si="71"/>
        <v>#N/A</v>
      </c>
      <c r="AF470" s="4" t="e">
        <f t="shared" si="67"/>
        <v>#N/A</v>
      </c>
    </row>
    <row r="471" spans="2:32">
      <c r="B471" s="5">
        <f t="shared" si="72"/>
        <v>459</v>
      </c>
      <c r="C471" s="5"/>
      <c r="E471" s="13"/>
      <c r="F471" s="5"/>
      <c r="G471" s="11" t="str">
        <f>IF(ISERROR(AVERAGE(F$13:F471)),"n/a",AVERAGE(F$13:F471))</f>
        <v>n/a</v>
      </c>
      <c r="H471" s="11" t="str">
        <f t="shared" si="68"/>
        <v>n/a</v>
      </c>
      <c r="J471" s="5"/>
      <c r="K471" s="5"/>
      <c r="L471" s="5"/>
      <c r="M471" s="5"/>
      <c r="N471" s="5"/>
      <c r="O471" s="8" t="str">
        <f t="shared" si="66"/>
        <v>n/a</v>
      </c>
      <c r="Q471" s="5"/>
      <c r="R471" s="5"/>
      <c r="S471" s="5"/>
      <c r="U471" s="6"/>
      <c r="V471" s="9" t="str">
        <f t="shared" si="69"/>
        <v/>
      </c>
      <c r="W471" s="9" t="str">
        <f t="shared" si="70"/>
        <v/>
      </c>
      <c r="X471" s="10">
        <f>SUM(V$13:V471)/COUNTA(B$13:B471)</f>
        <v>0</v>
      </c>
      <c r="Z471" s="5"/>
      <c r="AA471" s="5"/>
      <c r="AC471" s="7"/>
      <c r="AE471" s="54" t="e">
        <f t="shared" si="71"/>
        <v>#N/A</v>
      </c>
      <c r="AF471" s="4" t="e">
        <f t="shared" si="67"/>
        <v>#N/A</v>
      </c>
    </row>
    <row r="472" spans="2:32">
      <c r="B472" s="5">
        <f t="shared" si="72"/>
        <v>460</v>
      </c>
      <c r="C472" s="5"/>
      <c r="E472" s="13"/>
      <c r="F472" s="5"/>
      <c r="G472" s="11" t="str">
        <f>IF(ISERROR(AVERAGE(F$13:F472)),"n/a",AVERAGE(F$13:F472))</f>
        <v>n/a</v>
      </c>
      <c r="H472" s="11" t="str">
        <f t="shared" si="68"/>
        <v>n/a</v>
      </c>
      <c r="J472" s="5"/>
      <c r="K472" s="5"/>
      <c r="L472" s="5"/>
      <c r="M472" s="5"/>
      <c r="N472" s="5"/>
      <c r="O472" s="8" t="str">
        <f t="shared" si="66"/>
        <v>n/a</v>
      </c>
      <c r="Q472" s="5"/>
      <c r="R472" s="5"/>
      <c r="S472" s="5"/>
      <c r="U472" s="6"/>
      <c r="V472" s="9" t="str">
        <f t="shared" si="69"/>
        <v/>
      </c>
      <c r="W472" s="9" t="str">
        <f t="shared" si="70"/>
        <v/>
      </c>
      <c r="X472" s="10">
        <f>SUM(V$13:V472)/COUNTA(B$13:B472)</f>
        <v>0</v>
      </c>
      <c r="Z472" s="5"/>
      <c r="AA472" s="5"/>
      <c r="AC472" s="7"/>
      <c r="AE472" s="54" t="e">
        <f t="shared" si="71"/>
        <v>#N/A</v>
      </c>
      <c r="AF472" s="4" t="e">
        <f t="shared" si="67"/>
        <v>#N/A</v>
      </c>
    </row>
    <row r="473" spans="2:32">
      <c r="B473" s="5">
        <f t="shared" si="72"/>
        <v>461</v>
      </c>
      <c r="C473" s="5"/>
      <c r="E473" s="13"/>
      <c r="F473" s="5"/>
      <c r="G473" s="11" t="str">
        <f>IF(ISERROR(AVERAGE(F$13:F473)),"n/a",AVERAGE(F$13:F473))</f>
        <v>n/a</v>
      </c>
      <c r="H473" s="11" t="str">
        <f t="shared" si="68"/>
        <v>n/a</v>
      </c>
      <c r="J473" s="5"/>
      <c r="K473" s="5"/>
      <c r="L473" s="5"/>
      <c r="M473" s="5"/>
      <c r="N473" s="5"/>
      <c r="O473" s="8" t="str">
        <f t="shared" si="66"/>
        <v>n/a</v>
      </c>
      <c r="Q473" s="5"/>
      <c r="R473" s="5"/>
      <c r="S473" s="5"/>
      <c r="U473" s="6"/>
      <c r="V473" s="9" t="str">
        <f t="shared" si="69"/>
        <v/>
      </c>
      <c r="W473" s="9" t="str">
        <f t="shared" si="70"/>
        <v/>
      </c>
      <c r="X473" s="10">
        <f>SUM(V$13:V473)/COUNTA(B$13:B473)</f>
        <v>0</v>
      </c>
      <c r="Z473" s="5"/>
      <c r="AA473" s="5"/>
      <c r="AC473" s="7"/>
      <c r="AE473" s="54" t="e">
        <f t="shared" si="71"/>
        <v>#N/A</v>
      </c>
      <c r="AF473" s="4" t="e">
        <f t="shared" si="67"/>
        <v>#N/A</v>
      </c>
    </row>
    <row r="474" spans="2:32">
      <c r="B474" s="5">
        <f t="shared" si="72"/>
        <v>462</v>
      </c>
      <c r="C474" s="5"/>
      <c r="E474" s="13"/>
      <c r="F474" s="5"/>
      <c r="G474" s="11" t="str">
        <f>IF(ISERROR(AVERAGE(F$13:F474)),"n/a",AVERAGE(F$13:F474))</f>
        <v>n/a</v>
      </c>
      <c r="H474" s="11" t="str">
        <f t="shared" si="68"/>
        <v>n/a</v>
      </c>
      <c r="J474" s="5"/>
      <c r="K474" s="5"/>
      <c r="L474" s="5"/>
      <c r="M474" s="5"/>
      <c r="N474" s="5"/>
      <c r="O474" s="8" t="str">
        <f t="shared" si="66"/>
        <v>n/a</v>
      </c>
      <c r="Q474" s="5"/>
      <c r="R474" s="5"/>
      <c r="S474" s="5"/>
      <c r="U474" s="6"/>
      <c r="V474" s="9" t="str">
        <f t="shared" si="69"/>
        <v/>
      </c>
      <c r="W474" s="9" t="str">
        <f t="shared" si="70"/>
        <v/>
      </c>
      <c r="X474" s="10">
        <f>SUM(V$13:V474)/COUNTA(B$13:B474)</f>
        <v>0</v>
      </c>
      <c r="Z474" s="5"/>
      <c r="AA474" s="5"/>
      <c r="AC474" s="7"/>
      <c r="AE474" s="54" t="e">
        <f t="shared" si="71"/>
        <v>#N/A</v>
      </c>
      <c r="AF474" s="4" t="e">
        <f t="shared" si="67"/>
        <v>#N/A</v>
      </c>
    </row>
    <row r="475" spans="2:32">
      <c r="B475" s="5">
        <f t="shared" si="72"/>
        <v>463</v>
      </c>
      <c r="C475" s="5"/>
      <c r="E475" s="13"/>
      <c r="F475" s="5"/>
      <c r="G475" s="11" t="str">
        <f>IF(ISERROR(AVERAGE(F$13:F475)),"n/a",AVERAGE(F$13:F475))</f>
        <v>n/a</v>
      </c>
      <c r="H475" s="11" t="str">
        <f t="shared" si="68"/>
        <v>n/a</v>
      </c>
      <c r="J475" s="5"/>
      <c r="K475" s="5"/>
      <c r="L475" s="5"/>
      <c r="M475" s="5"/>
      <c r="N475" s="5"/>
      <c r="O475" s="8" t="str">
        <f t="shared" si="66"/>
        <v>n/a</v>
      </c>
      <c r="Q475" s="5"/>
      <c r="R475" s="5"/>
      <c r="S475" s="5"/>
      <c r="U475" s="6"/>
      <c r="V475" s="9" t="str">
        <f t="shared" si="69"/>
        <v/>
      </c>
      <c r="W475" s="9" t="str">
        <f t="shared" si="70"/>
        <v/>
      </c>
      <c r="X475" s="10">
        <f>SUM(V$13:V475)/COUNTA(B$13:B475)</f>
        <v>0</v>
      </c>
      <c r="Z475" s="5"/>
      <c r="AA475" s="5"/>
      <c r="AC475" s="7"/>
      <c r="AE475" s="54" t="e">
        <f t="shared" si="71"/>
        <v>#N/A</v>
      </c>
      <c r="AF475" s="4" t="e">
        <f t="shared" si="67"/>
        <v>#N/A</v>
      </c>
    </row>
    <row r="476" spans="2:32">
      <c r="B476" s="5">
        <f t="shared" si="72"/>
        <v>464</v>
      </c>
      <c r="C476" s="5"/>
      <c r="E476" s="13"/>
      <c r="F476" s="5"/>
      <c r="G476" s="11" t="str">
        <f>IF(ISERROR(AVERAGE(F$13:F476)),"n/a",AVERAGE(F$13:F476))</f>
        <v>n/a</v>
      </c>
      <c r="H476" s="11" t="str">
        <f t="shared" si="68"/>
        <v>n/a</v>
      </c>
      <c r="J476" s="5"/>
      <c r="K476" s="5"/>
      <c r="L476" s="5"/>
      <c r="M476" s="5"/>
      <c r="N476" s="5"/>
      <c r="O476" s="8" t="str">
        <f t="shared" si="66"/>
        <v>n/a</v>
      </c>
      <c r="Q476" s="5"/>
      <c r="R476" s="5"/>
      <c r="S476" s="5"/>
      <c r="U476" s="6"/>
      <c r="V476" s="9" t="str">
        <f t="shared" si="69"/>
        <v/>
      </c>
      <c r="W476" s="9" t="str">
        <f t="shared" si="70"/>
        <v/>
      </c>
      <c r="X476" s="10">
        <f>SUM(V$13:V476)/COUNTA(B$13:B476)</f>
        <v>0</v>
      </c>
      <c r="Z476" s="5"/>
      <c r="AA476" s="5"/>
      <c r="AC476" s="7"/>
      <c r="AE476" s="54" t="e">
        <f t="shared" si="71"/>
        <v>#N/A</v>
      </c>
      <c r="AF476" s="4" t="e">
        <f t="shared" si="67"/>
        <v>#N/A</v>
      </c>
    </row>
    <row r="477" spans="2:32">
      <c r="B477" s="5">
        <f t="shared" si="72"/>
        <v>465</v>
      </c>
      <c r="C477" s="5"/>
      <c r="E477" s="13"/>
      <c r="F477" s="5"/>
      <c r="G477" s="11" t="str">
        <f>IF(ISERROR(AVERAGE(F$13:F477)),"n/a",AVERAGE(F$13:F477))</f>
        <v>n/a</v>
      </c>
      <c r="H477" s="11" t="str">
        <f t="shared" si="68"/>
        <v>n/a</v>
      </c>
      <c r="J477" s="5"/>
      <c r="K477" s="5"/>
      <c r="L477" s="5"/>
      <c r="M477" s="5"/>
      <c r="N477" s="5"/>
      <c r="O477" s="8" t="str">
        <f t="shared" si="66"/>
        <v>n/a</v>
      </c>
      <c r="Q477" s="5"/>
      <c r="R477" s="5"/>
      <c r="S477" s="5"/>
      <c r="U477" s="6"/>
      <c r="V477" s="9" t="str">
        <f t="shared" si="69"/>
        <v/>
      </c>
      <c r="W477" s="9" t="str">
        <f t="shared" si="70"/>
        <v/>
      </c>
      <c r="X477" s="10">
        <f>SUM(V$13:V477)/COUNTA(B$13:B477)</f>
        <v>0</v>
      </c>
      <c r="Z477" s="5"/>
      <c r="AA477" s="5"/>
      <c r="AC477" s="7"/>
      <c r="AE477" s="54" t="e">
        <f t="shared" si="71"/>
        <v>#N/A</v>
      </c>
      <c r="AF477" s="4" t="e">
        <f t="shared" si="67"/>
        <v>#N/A</v>
      </c>
    </row>
    <row r="478" spans="2:32">
      <c r="B478" s="5">
        <f t="shared" si="72"/>
        <v>466</v>
      </c>
      <c r="C478" s="5"/>
      <c r="E478" s="13"/>
      <c r="F478" s="5"/>
      <c r="G478" s="11" t="str">
        <f>IF(ISERROR(AVERAGE(F$13:F478)),"n/a",AVERAGE(F$13:F478))</f>
        <v>n/a</v>
      </c>
      <c r="H478" s="11" t="str">
        <f t="shared" si="68"/>
        <v>n/a</v>
      </c>
      <c r="J478" s="5"/>
      <c r="K478" s="5"/>
      <c r="L478" s="5"/>
      <c r="M478" s="5"/>
      <c r="N478" s="5"/>
      <c r="O478" s="8" t="str">
        <f t="shared" si="66"/>
        <v>n/a</v>
      </c>
      <c r="Q478" s="5"/>
      <c r="R478" s="5"/>
      <c r="S478" s="5"/>
      <c r="U478" s="6"/>
      <c r="V478" s="9" t="str">
        <f t="shared" si="69"/>
        <v/>
      </c>
      <c r="W478" s="9" t="str">
        <f t="shared" si="70"/>
        <v/>
      </c>
      <c r="X478" s="10">
        <f>SUM(V$13:V478)/COUNTA(B$13:B478)</f>
        <v>0</v>
      </c>
      <c r="Z478" s="5"/>
      <c r="AA478" s="5"/>
      <c r="AC478" s="7"/>
      <c r="AE478" s="54" t="e">
        <f t="shared" si="71"/>
        <v>#N/A</v>
      </c>
      <c r="AF478" s="4" t="e">
        <f t="shared" si="67"/>
        <v>#N/A</v>
      </c>
    </row>
    <row r="479" spans="2:32">
      <c r="B479" s="5">
        <f t="shared" si="72"/>
        <v>467</v>
      </c>
      <c r="C479" s="5"/>
      <c r="E479" s="13"/>
      <c r="F479" s="5"/>
      <c r="G479" s="11" t="str">
        <f>IF(ISERROR(AVERAGE(F$13:F479)),"n/a",AVERAGE(F$13:F479))</f>
        <v>n/a</v>
      </c>
      <c r="H479" s="11" t="str">
        <f t="shared" si="68"/>
        <v>n/a</v>
      </c>
      <c r="J479" s="5"/>
      <c r="K479" s="5"/>
      <c r="L479" s="5"/>
      <c r="M479" s="5"/>
      <c r="N479" s="5"/>
      <c r="O479" s="8" t="str">
        <f t="shared" si="66"/>
        <v>n/a</v>
      </c>
      <c r="Q479" s="5"/>
      <c r="R479" s="5"/>
      <c r="S479" s="5"/>
      <c r="U479" s="6"/>
      <c r="V479" s="9" t="str">
        <f t="shared" si="69"/>
        <v/>
      </c>
      <c r="W479" s="9" t="str">
        <f t="shared" si="70"/>
        <v/>
      </c>
      <c r="X479" s="10">
        <f>SUM(V$13:V479)/COUNTA(B$13:B479)</f>
        <v>0</v>
      </c>
      <c r="Z479" s="5"/>
      <c r="AA479" s="5"/>
      <c r="AC479" s="7"/>
      <c r="AE479" s="54" t="e">
        <f t="shared" si="71"/>
        <v>#N/A</v>
      </c>
      <c r="AF479" s="4" t="e">
        <f t="shared" si="67"/>
        <v>#N/A</v>
      </c>
    </row>
    <row r="480" spans="2:32">
      <c r="B480" s="5">
        <f t="shared" si="72"/>
        <v>468</v>
      </c>
      <c r="C480" s="5"/>
      <c r="E480" s="13"/>
      <c r="F480" s="5"/>
      <c r="G480" s="11" t="str">
        <f>IF(ISERROR(AVERAGE(F$13:F480)),"n/a",AVERAGE(F$13:F480))</f>
        <v>n/a</v>
      </c>
      <c r="H480" s="11" t="str">
        <f t="shared" si="68"/>
        <v>n/a</v>
      </c>
      <c r="J480" s="5"/>
      <c r="K480" s="5"/>
      <c r="L480" s="5"/>
      <c r="M480" s="5"/>
      <c r="N480" s="5"/>
      <c r="O480" s="8" t="str">
        <f t="shared" si="66"/>
        <v>n/a</v>
      </c>
      <c r="Q480" s="5"/>
      <c r="R480" s="5"/>
      <c r="S480" s="5"/>
      <c r="U480" s="6"/>
      <c r="V480" s="9" t="str">
        <f t="shared" si="69"/>
        <v/>
      </c>
      <c r="W480" s="9" t="str">
        <f t="shared" si="70"/>
        <v/>
      </c>
      <c r="X480" s="10">
        <f>SUM(V$13:V480)/COUNTA(B$13:B480)</f>
        <v>0</v>
      </c>
      <c r="Z480" s="5"/>
      <c r="AA480" s="5"/>
      <c r="AC480" s="7"/>
      <c r="AE480" s="54" t="e">
        <f t="shared" si="71"/>
        <v>#N/A</v>
      </c>
      <c r="AF480" s="4" t="e">
        <f t="shared" si="67"/>
        <v>#N/A</v>
      </c>
    </row>
    <row r="481" spans="2:32">
      <c r="B481" s="5">
        <f t="shared" si="72"/>
        <v>469</v>
      </c>
      <c r="C481" s="5"/>
      <c r="E481" s="13"/>
      <c r="F481" s="5"/>
      <c r="G481" s="11" t="str">
        <f>IF(ISERROR(AVERAGE(F$13:F481)),"n/a",AVERAGE(F$13:F481))</f>
        <v>n/a</v>
      </c>
      <c r="H481" s="11" t="str">
        <f t="shared" si="68"/>
        <v>n/a</v>
      </c>
      <c r="J481" s="5"/>
      <c r="K481" s="5"/>
      <c r="L481" s="5"/>
      <c r="M481" s="5"/>
      <c r="N481" s="5"/>
      <c r="O481" s="8" t="str">
        <f t="shared" si="66"/>
        <v>n/a</v>
      </c>
      <c r="Q481" s="5"/>
      <c r="R481" s="5"/>
      <c r="S481" s="5"/>
      <c r="U481" s="6"/>
      <c r="V481" s="9" t="str">
        <f t="shared" si="69"/>
        <v/>
      </c>
      <c r="W481" s="9" t="str">
        <f t="shared" si="70"/>
        <v/>
      </c>
      <c r="X481" s="10">
        <f>SUM(V$13:V481)/COUNTA(B$13:B481)</f>
        <v>0</v>
      </c>
      <c r="Z481" s="5"/>
      <c r="AA481" s="5"/>
      <c r="AC481" s="7"/>
      <c r="AE481" s="54" t="e">
        <f t="shared" si="71"/>
        <v>#N/A</v>
      </c>
      <c r="AF481" s="4" t="e">
        <f t="shared" si="67"/>
        <v>#N/A</v>
      </c>
    </row>
    <row r="482" spans="2:32">
      <c r="B482" s="5">
        <f t="shared" si="72"/>
        <v>470</v>
      </c>
      <c r="C482" s="5"/>
      <c r="E482" s="13"/>
      <c r="F482" s="5"/>
      <c r="G482" s="11" t="str">
        <f>IF(ISERROR(AVERAGE(F$13:F482)),"n/a",AVERAGE(F$13:F482))</f>
        <v>n/a</v>
      </c>
      <c r="H482" s="11" t="str">
        <f t="shared" si="68"/>
        <v>n/a</v>
      </c>
      <c r="J482" s="5"/>
      <c r="K482" s="5"/>
      <c r="L482" s="5"/>
      <c r="M482" s="5"/>
      <c r="N482" s="5"/>
      <c r="O482" s="8" t="str">
        <f t="shared" si="66"/>
        <v>n/a</v>
      </c>
      <c r="Q482" s="5"/>
      <c r="R482" s="5"/>
      <c r="S482" s="5"/>
      <c r="U482" s="6"/>
      <c r="V482" s="9" t="str">
        <f t="shared" si="69"/>
        <v/>
      </c>
      <c r="W482" s="9" t="str">
        <f t="shared" si="70"/>
        <v/>
      </c>
      <c r="X482" s="10">
        <f>SUM(V$13:V482)/COUNTA(B$13:B482)</f>
        <v>0</v>
      </c>
      <c r="Z482" s="5"/>
      <c r="AA482" s="5"/>
      <c r="AC482" s="7"/>
      <c r="AE482" s="54" t="e">
        <f t="shared" si="71"/>
        <v>#N/A</v>
      </c>
      <c r="AF482" s="4" t="e">
        <f t="shared" si="67"/>
        <v>#N/A</v>
      </c>
    </row>
    <row r="483" spans="2:32">
      <c r="B483" s="5">
        <f t="shared" si="72"/>
        <v>471</v>
      </c>
      <c r="C483" s="5"/>
      <c r="E483" s="13"/>
      <c r="F483" s="5"/>
      <c r="G483" s="11" t="str">
        <f>IF(ISERROR(AVERAGE(F$13:F483)),"n/a",AVERAGE(F$13:F483))</f>
        <v>n/a</v>
      </c>
      <c r="H483" s="11" t="str">
        <f t="shared" si="68"/>
        <v>n/a</v>
      </c>
      <c r="J483" s="5"/>
      <c r="K483" s="5"/>
      <c r="L483" s="5"/>
      <c r="M483" s="5"/>
      <c r="N483" s="5"/>
      <c r="O483" s="8" t="str">
        <f t="shared" si="66"/>
        <v>n/a</v>
      </c>
      <c r="Q483" s="5"/>
      <c r="R483" s="5"/>
      <c r="S483" s="5"/>
      <c r="U483" s="6"/>
      <c r="V483" s="9" t="str">
        <f t="shared" si="69"/>
        <v/>
      </c>
      <c r="W483" s="9" t="str">
        <f t="shared" si="70"/>
        <v/>
      </c>
      <c r="X483" s="10">
        <f>SUM(V$13:V483)/COUNTA(B$13:B483)</f>
        <v>0</v>
      </c>
      <c r="Z483" s="5"/>
      <c r="AA483" s="5"/>
      <c r="AC483" s="7"/>
      <c r="AE483" s="54" t="e">
        <f t="shared" si="71"/>
        <v>#N/A</v>
      </c>
      <c r="AF483" s="4" t="e">
        <f t="shared" si="67"/>
        <v>#N/A</v>
      </c>
    </row>
    <row r="484" spans="2:32">
      <c r="B484" s="5">
        <f t="shared" si="72"/>
        <v>472</v>
      </c>
      <c r="C484" s="5"/>
      <c r="E484" s="13"/>
      <c r="F484" s="5"/>
      <c r="G484" s="11" t="str">
        <f>IF(ISERROR(AVERAGE(F$13:F484)),"n/a",AVERAGE(F$13:F484))</f>
        <v>n/a</v>
      </c>
      <c r="H484" s="11" t="str">
        <f t="shared" si="68"/>
        <v>n/a</v>
      </c>
      <c r="J484" s="5"/>
      <c r="K484" s="5"/>
      <c r="L484" s="5"/>
      <c r="M484" s="5"/>
      <c r="N484" s="5"/>
      <c r="O484" s="8" t="str">
        <f t="shared" si="66"/>
        <v>n/a</v>
      </c>
      <c r="Q484" s="5"/>
      <c r="R484" s="5"/>
      <c r="S484" s="5"/>
      <c r="U484" s="6"/>
      <c r="V484" s="9" t="str">
        <f t="shared" si="69"/>
        <v/>
      </c>
      <c r="W484" s="9" t="str">
        <f t="shared" si="70"/>
        <v/>
      </c>
      <c r="X484" s="10">
        <f>SUM(V$13:V484)/COUNTA(B$13:B484)</f>
        <v>0</v>
      </c>
      <c r="Z484" s="5"/>
      <c r="AA484" s="5"/>
      <c r="AC484" s="7"/>
      <c r="AE484" s="54" t="e">
        <f t="shared" si="71"/>
        <v>#N/A</v>
      </c>
      <c r="AF484" s="4" t="e">
        <f t="shared" si="67"/>
        <v>#N/A</v>
      </c>
    </row>
    <row r="485" spans="2:32">
      <c r="B485" s="5">
        <f t="shared" si="72"/>
        <v>473</v>
      </c>
      <c r="C485" s="5"/>
      <c r="E485" s="13"/>
      <c r="F485" s="5"/>
      <c r="G485" s="11" t="str">
        <f>IF(ISERROR(AVERAGE(F$13:F485)),"n/a",AVERAGE(F$13:F485))</f>
        <v>n/a</v>
      </c>
      <c r="H485" s="11" t="str">
        <f t="shared" si="68"/>
        <v>n/a</v>
      </c>
      <c r="J485" s="5"/>
      <c r="K485" s="5"/>
      <c r="L485" s="5"/>
      <c r="M485" s="5"/>
      <c r="N485" s="5"/>
      <c r="O485" s="8" t="str">
        <f t="shared" si="66"/>
        <v>n/a</v>
      </c>
      <c r="Q485" s="5"/>
      <c r="R485" s="5"/>
      <c r="S485" s="5"/>
      <c r="U485" s="6"/>
      <c r="V485" s="9" t="str">
        <f t="shared" si="69"/>
        <v/>
      </c>
      <c r="W485" s="9" t="str">
        <f t="shared" si="70"/>
        <v/>
      </c>
      <c r="X485" s="10">
        <f>SUM(V$13:V485)/COUNTA(B$13:B485)</f>
        <v>0</v>
      </c>
      <c r="Z485" s="5"/>
      <c r="AA485" s="5"/>
      <c r="AC485" s="7"/>
      <c r="AE485" s="54" t="e">
        <f t="shared" si="71"/>
        <v>#N/A</v>
      </c>
      <c r="AF485" s="4" t="e">
        <f t="shared" si="67"/>
        <v>#N/A</v>
      </c>
    </row>
    <row r="486" spans="2:32">
      <c r="B486" s="5">
        <f t="shared" si="72"/>
        <v>474</v>
      </c>
      <c r="C486" s="5"/>
      <c r="E486" s="13"/>
      <c r="F486" s="5"/>
      <c r="G486" s="11" t="str">
        <f>IF(ISERROR(AVERAGE(F$13:F486)),"n/a",AVERAGE(F$13:F486))</f>
        <v>n/a</v>
      </c>
      <c r="H486" s="11" t="str">
        <f t="shared" si="68"/>
        <v>n/a</v>
      </c>
      <c r="J486" s="5"/>
      <c r="K486" s="5"/>
      <c r="L486" s="5"/>
      <c r="M486" s="5"/>
      <c r="N486" s="5"/>
      <c r="O486" s="8" t="str">
        <f t="shared" si="66"/>
        <v>n/a</v>
      </c>
      <c r="Q486" s="5"/>
      <c r="R486" s="5"/>
      <c r="S486" s="5"/>
      <c r="U486" s="6"/>
      <c r="V486" s="9" t="str">
        <f t="shared" si="69"/>
        <v/>
      </c>
      <c r="W486" s="9" t="str">
        <f t="shared" si="70"/>
        <v/>
      </c>
      <c r="X486" s="10">
        <f>SUM(V$13:V486)/COUNTA(B$13:B486)</f>
        <v>0</v>
      </c>
      <c r="Z486" s="5"/>
      <c r="AA486" s="5"/>
      <c r="AC486" s="7"/>
      <c r="AE486" s="54" t="e">
        <f t="shared" si="71"/>
        <v>#N/A</v>
      </c>
      <c r="AF486" s="4" t="e">
        <f t="shared" si="67"/>
        <v>#N/A</v>
      </c>
    </row>
    <row r="487" spans="2:32">
      <c r="B487" s="5">
        <f t="shared" si="72"/>
        <v>475</v>
      </c>
      <c r="C487" s="5"/>
      <c r="E487" s="13"/>
      <c r="F487" s="5"/>
      <c r="G487" s="11" t="str">
        <f>IF(ISERROR(AVERAGE(F$13:F487)),"n/a",AVERAGE(F$13:F487))</f>
        <v>n/a</v>
      </c>
      <c r="H487" s="11" t="str">
        <f t="shared" si="68"/>
        <v>n/a</v>
      </c>
      <c r="J487" s="5"/>
      <c r="K487" s="5"/>
      <c r="L487" s="5"/>
      <c r="M487" s="5"/>
      <c r="N487" s="5"/>
      <c r="O487" s="8" t="str">
        <f t="shared" si="66"/>
        <v>n/a</v>
      </c>
      <c r="Q487" s="5"/>
      <c r="R487" s="5"/>
      <c r="S487" s="5"/>
      <c r="U487" s="6"/>
      <c r="V487" s="9" t="str">
        <f t="shared" si="69"/>
        <v/>
      </c>
      <c r="W487" s="9" t="str">
        <f t="shared" si="70"/>
        <v/>
      </c>
      <c r="X487" s="10">
        <f>SUM(V$13:V487)/COUNTA(B$13:B487)</f>
        <v>0</v>
      </c>
      <c r="Z487" s="5"/>
      <c r="AA487" s="5"/>
      <c r="AC487" s="7"/>
      <c r="AE487" s="54" t="e">
        <f t="shared" si="71"/>
        <v>#N/A</v>
      </c>
      <c r="AF487" s="4" t="e">
        <f t="shared" si="67"/>
        <v>#N/A</v>
      </c>
    </row>
    <row r="488" spans="2:32">
      <c r="B488" s="5">
        <f t="shared" si="72"/>
        <v>476</v>
      </c>
      <c r="C488" s="5"/>
      <c r="E488" s="13"/>
      <c r="F488" s="5"/>
      <c r="G488" s="11" t="str">
        <f>IF(ISERROR(AVERAGE(F$13:F488)),"n/a",AVERAGE(F$13:F488))</f>
        <v>n/a</v>
      </c>
      <c r="H488" s="11" t="str">
        <f t="shared" si="68"/>
        <v>n/a</v>
      </c>
      <c r="J488" s="5"/>
      <c r="K488" s="5"/>
      <c r="L488" s="5"/>
      <c r="M488" s="5"/>
      <c r="N488" s="5"/>
      <c r="O488" s="8" t="str">
        <f t="shared" si="66"/>
        <v>n/a</v>
      </c>
      <c r="Q488" s="5"/>
      <c r="R488" s="5"/>
      <c r="S488" s="5"/>
      <c r="U488" s="6"/>
      <c r="V488" s="9" t="str">
        <f t="shared" si="69"/>
        <v/>
      </c>
      <c r="W488" s="9" t="str">
        <f t="shared" si="70"/>
        <v/>
      </c>
      <c r="X488" s="10">
        <f>SUM(V$13:V488)/COUNTA(B$13:B488)</f>
        <v>0</v>
      </c>
      <c r="Z488" s="5"/>
      <c r="AA488" s="5"/>
      <c r="AC488" s="7"/>
      <c r="AE488" s="54" t="e">
        <f t="shared" si="71"/>
        <v>#N/A</v>
      </c>
      <c r="AF488" s="4" t="e">
        <f t="shared" si="67"/>
        <v>#N/A</v>
      </c>
    </row>
    <row r="489" spans="2:32">
      <c r="B489" s="5">
        <f t="shared" si="72"/>
        <v>477</v>
      </c>
      <c r="C489" s="5"/>
      <c r="E489" s="13"/>
      <c r="F489" s="5"/>
      <c r="G489" s="11" t="str">
        <f>IF(ISERROR(AVERAGE(F$13:F489)),"n/a",AVERAGE(F$13:F489))</f>
        <v>n/a</v>
      </c>
      <c r="H489" s="11" t="str">
        <f t="shared" si="68"/>
        <v>n/a</v>
      </c>
      <c r="J489" s="5"/>
      <c r="K489" s="5"/>
      <c r="L489" s="5"/>
      <c r="M489" s="5"/>
      <c r="N489" s="5"/>
      <c r="O489" s="8" t="str">
        <f t="shared" si="66"/>
        <v>n/a</v>
      </c>
      <c r="Q489" s="5"/>
      <c r="R489" s="5"/>
      <c r="S489" s="5"/>
      <c r="U489" s="6"/>
      <c r="V489" s="9" t="str">
        <f t="shared" si="69"/>
        <v/>
      </c>
      <c r="W489" s="9" t="str">
        <f t="shared" si="70"/>
        <v/>
      </c>
      <c r="X489" s="10">
        <f>SUM(V$13:V489)/COUNTA(B$13:B489)</f>
        <v>0</v>
      </c>
      <c r="Z489" s="5"/>
      <c r="AA489" s="5"/>
      <c r="AC489" s="7"/>
      <c r="AE489" s="54" t="e">
        <f t="shared" si="71"/>
        <v>#N/A</v>
      </c>
      <c r="AF489" s="4" t="e">
        <f t="shared" si="67"/>
        <v>#N/A</v>
      </c>
    </row>
    <row r="490" spans="2:32">
      <c r="B490" s="5">
        <f t="shared" si="72"/>
        <v>478</v>
      </c>
      <c r="C490" s="5"/>
      <c r="E490" s="13"/>
      <c r="F490" s="5"/>
      <c r="G490" s="11" t="str">
        <f>IF(ISERROR(AVERAGE(F$13:F490)),"n/a",AVERAGE(F$13:F490))</f>
        <v>n/a</v>
      </c>
      <c r="H490" s="11" t="str">
        <f t="shared" si="68"/>
        <v>n/a</v>
      </c>
      <c r="J490" s="5"/>
      <c r="K490" s="5"/>
      <c r="L490" s="5"/>
      <c r="M490" s="5"/>
      <c r="N490" s="5"/>
      <c r="O490" s="8" t="str">
        <f t="shared" si="66"/>
        <v>n/a</v>
      </c>
      <c r="Q490" s="5"/>
      <c r="R490" s="5"/>
      <c r="S490" s="5"/>
      <c r="U490" s="6"/>
      <c r="V490" s="9" t="str">
        <f t="shared" si="69"/>
        <v/>
      </c>
      <c r="W490" s="9" t="str">
        <f t="shared" si="70"/>
        <v/>
      </c>
      <c r="X490" s="10">
        <f>SUM(V$13:V490)/COUNTA(B$13:B490)</f>
        <v>0</v>
      </c>
      <c r="Z490" s="5"/>
      <c r="AA490" s="5"/>
      <c r="AC490" s="7"/>
      <c r="AE490" s="54" t="e">
        <f t="shared" si="71"/>
        <v>#N/A</v>
      </c>
      <c r="AF490" s="4" t="e">
        <f t="shared" si="67"/>
        <v>#N/A</v>
      </c>
    </row>
    <row r="491" spans="2:32">
      <c r="B491" s="5">
        <f t="shared" si="72"/>
        <v>479</v>
      </c>
      <c r="C491" s="5"/>
      <c r="E491" s="13"/>
      <c r="F491" s="5"/>
      <c r="G491" s="11" t="str">
        <f>IF(ISERROR(AVERAGE(F$13:F491)),"n/a",AVERAGE(F$13:F491))</f>
        <v>n/a</v>
      </c>
      <c r="H491" s="11" t="str">
        <f t="shared" si="68"/>
        <v>n/a</v>
      </c>
      <c r="J491" s="5"/>
      <c r="K491" s="5"/>
      <c r="L491" s="5"/>
      <c r="M491" s="5"/>
      <c r="N491" s="5"/>
      <c r="O491" s="8" t="str">
        <f t="shared" si="66"/>
        <v>n/a</v>
      </c>
      <c r="Q491" s="5"/>
      <c r="R491" s="5"/>
      <c r="S491" s="5"/>
      <c r="U491" s="6"/>
      <c r="V491" s="9" t="str">
        <f t="shared" si="69"/>
        <v/>
      </c>
      <c r="W491" s="9" t="str">
        <f t="shared" si="70"/>
        <v/>
      </c>
      <c r="X491" s="10">
        <f>SUM(V$13:V491)/COUNTA(B$13:B491)</f>
        <v>0</v>
      </c>
      <c r="Z491" s="5"/>
      <c r="AA491" s="5"/>
      <c r="AC491" s="7"/>
      <c r="AE491" s="54" t="e">
        <f t="shared" si="71"/>
        <v>#N/A</v>
      </c>
      <c r="AF491" s="4" t="e">
        <f t="shared" si="67"/>
        <v>#N/A</v>
      </c>
    </row>
    <row r="492" spans="2:32">
      <c r="B492" s="5">
        <f t="shared" si="72"/>
        <v>480</v>
      </c>
      <c r="C492" s="5"/>
      <c r="E492" s="13"/>
      <c r="F492" s="5"/>
      <c r="G492" s="11" t="str">
        <f>IF(ISERROR(AVERAGE(F$13:F492)),"n/a",AVERAGE(F$13:F492))</f>
        <v>n/a</v>
      </c>
      <c r="H492" s="11" t="str">
        <f t="shared" si="68"/>
        <v>n/a</v>
      </c>
      <c r="J492" s="5"/>
      <c r="K492" s="5"/>
      <c r="L492" s="5"/>
      <c r="M492" s="5"/>
      <c r="N492" s="5"/>
      <c r="O492" s="8" t="str">
        <f t="shared" si="66"/>
        <v>n/a</v>
      </c>
      <c r="Q492" s="5"/>
      <c r="R492" s="5"/>
      <c r="S492" s="5"/>
      <c r="U492" s="6"/>
      <c r="V492" s="9" t="str">
        <f t="shared" si="69"/>
        <v/>
      </c>
      <c r="W492" s="9" t="str">
        <f t="shared" si="70"/>
        <v/>
      </c>
      <c r="X492" s="10">
        <f>SUM(V$13:V492)/COUNTA(B$13:B492)</f>
        <v>0</v>
      </c>
      <c r="Z492" s="5"/>
      <c r="AA492" s="5"/>
      <c r="AC492" s="7"/>
      <c r="AE492" s="54" t="e">
        <f t="shared" si="71"/>
        <v>#N/A</v>
      </c>
      <c r="AF492" s="4" t="e">
        <f t="shared" si="67"/>
        <v>#N/A</v>
      </c>
    </row>
    <row r="493" spans="2:32">
      <c r="B493" s="5">
        <f t="shared" si="72"/>
        <v>481</v>
      </c>
      <c r="C493" s="5"/>
      <c r="E493" s="13"/>
      <c r="F493" s="5"/>
      <c r="G493" s="11" t="str">
        <f>IF(ISERROR(AVERAGE(F$13:F493)),"n/a",AVERAGE(F$13:F493))</f>
        <v>n/a</v>
      </c>
      <c r="H493" s="11" t="str">
        <f t="shared" si="68"/>
        <v>n/a</v>
      </c>
      <c r="J493" s="5"/>
      <c r="K493" s="5"/>
      <c r="L493" s="5"/>
      <c r="M493" s="5"/>
      <c r="N493" s="5"/>
      <c r="O493" s="8" t="str">
        <f t="shared" si="66"/>
        <v>n/a</v>
      </c>
      <c r="Q493" s="5"/>
      <c r="R493" s="5"/>
      <c r="S493" s="5"/>
      <c r="U493" s="6"/>
      <c r="V493" s="9" t="str">
        <f t="shared" si="69"/>
        <v/>
      </c>
      <c r="W493" s="9" t="str">
        <f t="shared" si="70"/>
        <v/>
      </c>
      <c r="X493" s="10">
        <f>SUM(V$13:V493)/COUNTA(B$13:B493)</f>
        <v>0</v>
      </c>
      <c r="Z493" s="5"/>
      <c r="AA493" s="5"/>
      <c r="AC493" s="7"/>
      <c r="AE493" s="54" t="e">
        <f t="shared" si="71"/>
        <v>#N/A</v>
      </c>
      <c r="AF493" s="4" t="e">
        <f t="shared" si="67"/>
        <v>#N/A</v>
      </c>
    </row>
    <row r="494" spans="2:32">
      <c r="B494" s="5">
        <f t="shared" si="72"/>
        <v>482</v>
      </c>
      <c r="C494" s="5"/>
      <c r="E494" s="13"/>
      <c r="F494" s="5"/>
      <c r="G494" s="11" t="str">
        <f>IF(ISERROR(AVERAGE(F$13:F494)),"n/a",AVERAGE(F$13:F494))</f>
        <v>n/a</v>
      </c>
      <c r="H494" s="11" t="str">
        <f t="shared" si="68"/>
        <v>n/a</v>
      </c>
      <c r="J494" s="5"/>
      <c r="K494" s="5"/>
      <c r="L494" s="5"/>
      <c r="M494" s="5"/>
      <c r="N494" s="5"/>
      <c r="O494" s="8" t="str">
        <f t="shared" si="66"/>
        <v>n/a</v>
      </c>
      <c r="Q494" s="5"/>
      <c r="R494" s="5"/>
      <c r="S494" s="5"/>
      <c r="U494" s="6"/>
      <c r="V494" s="9" t="str">
        <f t="shared" si="69"/>
        <v/>
      </c>
      <c r="W494" s="9" t="str">
        <f t="shared" si="70"/>
        <v/>
      </c>
      <c r="X494" s="10">
        <f>SUM(V$13:V494)/COUNTA(B$13:B494)</f>
        <v>0</v>
      </c>
      <c r="Z494" s="5"/>
      <c r="AA494" s="5"/>
      <c r="AC494" s="7"/>
      <c r="AE494" s="54" t="e">
        <f t="shared" si="71"/>
        <v>#N/A</v>
      </c>
      <c r="AF494" s="4" t="e">
        <f t="shared" si="67"/>
        <v>#N/A</v>
      </c>
    </row>
    <row r="495" spans="2:32">
      <c r="B495" s="5">
        <f t="shared" si="72"/>
        <v>483</v>
      </c>
      <c r="C495" s="5"/>
      <c r="E495" s="13"/>
      <c r="F495" s="5"/>
      <c r="G495" s="11" t="str">
        <f>IF(ISERROR(AVERAGE(F$13:F495)),"n/a",AVERAGE(F$13:F495))</f>
        <v>n/a</v>
      </c>
      <c r="H495" s="11" t="str">
        <f t="shared" si="68"/>
        <v>n/a</v>
      </c>
      <c r="J495" s="5"/>
      <c r="K495" s="5"/>
      <c r="L495" s="5"/>
      <c r="M495" s="5"/>
      <c r="N495" s="5"/>
      <c r="O495" s="8" t="str">
        <f t="shared" si="66"/>
        <v>n/a</v>
      </c>
      <c r="Q495" s="5"/>
      <c r="R495" s="5"/>
      <c r="S495" s="5"/>
      <c r="U495" s="6"/>
      <c r="V495" s="9" t="str">
        <f t="shared" si="69"/>
        <v/>
      </c>
      <c r="W495" s="9" t="str">
        <f t="shared" si="70"/>
        <v/>
      </c>
      <c r="X495" s="10">
        <f>SUM(V$13:V495)/COUNTA(B$13:B495)</f>
        <v>0</v>
      </c>
      <c r="Z495" s="5"/>
      <c r="AA495" s="5"/>
      <c r="AC495" s="7"/>
      <c r="AE495" s="54" t="e">
        <f t="shared" si="71"/>
        <v>#N/A</v>
      </c>
      <c r="AF495" s="4" t="e">
        <f t="shared" si="67"/>
        <v>#N/A</v>
      </c>
    </row>
    <row r="496" spans="2:32">
      <c r="B496" s="5">
        <f t="shared" si="72"/>
        <v>484</v>
      </c>
      <c r="C496" s="5"/>
      <c r="E496" s="13"/>
      <c r="F496" s="5"/>
      <c r="G496" s="11" t="str">
        <f>IF(ISERROR(AVERAGE(F$13:F496)),"n/a",AVERAGE(F$13:F496))</f>
        <v>n/a</v>
      </c>
      <c r="H496" s="11" t="str">
        <f t="shared" si="68"/>
        <v>n/a</v>
      </c>
      <c r="J496" s="5"/>
      <c r="K496" s="5"/>
      <c r="L496" s="5"/>
      <c r="M496" s="5"/>
      <c r="N496" s="5"/>
      <c r="O496" s="8" t="str">
        <f t="shared" si="66"/>
        <v>n/a</v>
      </c>
      <c r="Q496" s="5"/>
      <c r="R496" s="5"/>
      <c r="S496" s="5"/>
      <c r="U496" s="6"/>
      <c r="V496" s="9" t="str">
        <f t="shared" si="69"/>
        <v/>
      </c>
      <c r="W496" s="9" t="str">
        <f t="shared" si="70"/>
        <v/>
      </c>
      <c r="X496" s="10">
        <f>SUM(V$13:V496)/COUNTA(B$13:B496)</f>
        <v>0</v>
      </c>
      <c r="Z496" s="5"/>
      <c r="AA496" s="5"/>
      <c r="AC496" s="7"/>
      <c r="AE496" s="54" t="e">
        <f t="shared" si="71"/>
        <v>#N/A</v>
      </c>
      <c r="AF496" s="4" t="e">
        <f t="shared" si="67"/>
        <v>#N/A</v>
      </c>
    </row>
    <row r="497" spans="2:32">
      <c r="B497" s="5">
        <f t="shared" si="72"/>
        <v>485</v>
      </c>
      <c r="C497" s="5"/>
      <c r="E497" s="13"/>
      <c r="F497" s="5"/>
      <c r="G497" s="11" t="str">
        <f>IF(ISERROR(AVERAGE(F$13:F497)),"n/a",AVERAGE(F$13:F497))</f>
        <v>n/a</v>
      </c>
      <c r="H497" s="11" t="str">
        <f t="shared" si="68"/>
        <v>n/a</v>
      </c>
      <c r="J497" s="5"/>
      <c r="K497" s="5"/>
      <c r="L497" s="5"/>
      <c r="M497" s="5"/>
      <c r="N497" s="5"/>
      <c r="O497" s="8" t="str">
        <f t="shared" si="66"/>
        <v>n/a</v>
      </c>
      <c r="Q497" s="5"/>
      <c r="R497" s="5"/>
      <c r="S497" s="5"/>
      <c r="U497" s="6"/>
      <c r="V497" s="9" t="str">
        <f t="shared" si="69"/>
        <v/>
      </c>
      <c r="W497" s="9" t="str">
        <f t="shared" si="70"/>
        <v/>
      </c>
      <c r="X497" s="10">
        <f>SUM(V$13:V497)/COUNTA(B$13:B497)</f>
        <v>0</v>
      </c>
      <c r="Z497" s="5"/>
      <c r="AA497" s="5"/>
      <c r="AC497" s="7"/>
      <c r="AE497" s="54" t="e">
        <f t="shared" si="71"/>
        <v>#N/A</v>
      </c>
      <c r="AF497" s="4" t="e">
        <f t="shared" si="67"/>
        <v>#N/A</v>
      </c>
    </row>
    <row r="498" spans="2:32">
      <c r="B498" s="5">
        <f t="shared" si="72"/>
        <v>486</v>
      </c>
      <c r="C498" s="5"/>
      <c r="E498" s="13"/>
      <c r="F498" s="5"/>
      <c r="G498" s="11" t="str">
        <f>IF(ISERROR(AVERAGE(F$13:F498)),"n/a",AVERAGE(F$13:F498))</f>
        <v>n/a</v>
      </c>
      <c r="H498" s="11" t="str">
        <f t="shared" si="68"/>
        <v>n/a</v>
      </c>
      <c r="J498" s="5"/>
      <c r="K498" s="5"/>
      <c r="L498" s="5"/>
      <c r="M498" s="5"/>
      <c r="N498" s="5"/>
      <c r="O498" s="8" t="str">
        <f t="shared" si="66"/>
        <v>n/a</v>
      </c>
      <c r="Q498" s="5"/>
      <c r="R498" s="5"/>
      <c r="S498" s="5"/>
      <c r="U498" s="6"/>
      <c r="V498" s="9" t="str">
        <f t="shared" si="69"/>
        <v/>
      </c>
      <c r="W498" s="9" t="str">
        <f t="shared" si="70"/>
        <v/>
      </c>
      <c r="X498" s="10">
        <f>SUM(V$13:V498)/COUNTA(B$13:B498)</f>
        <v>0</v>
      </c>
      <c r="Z498" s="5"/>
      <c r="AA498" s="5"/>
      <c r="AC498" s="7"/>
      <c r="AE498" s="54" t="e">
        <f t="shared" si="71"/>
        <v>#N/A</v>
      </c>
      <c r="AF498" s="4" t="e">
        <f t="shared" si="67"/>
        <v>#N/A</v>
      </c>
    </row>
    <row r="499" spans="2:32">
      <c r="B499" s="5">
        <f t="shared" si="72"/>
        <v>487</v>
      </c>
      <c r="C499" s="5"/>
      <c r="E499" s="13"/>
      <c r="F499" s="5"/>
      <c r="G499" s="11" t="str">
        <f>IF(ISERROR(AVERAGE(F$13:F499)),"n/a",AVERAGE(F$13:F499))</f>
        <v>n/a</v>
      </c>
      <c r="H499" s="11" t="str">
        <f t="shared" si="68"/>
        <v>n/a</v>
      </c>
      <c r="J499" s="5"/>
      <c r="K499" s="5"/>
      <c r="L499" s="5"/>
      <c r="M499" s="5"/>
      <c r="N499" s="5"/>
      <c r="O499" s="8" t="str">
        <f t="shared" si="66"/>
        <v>n/a</v>
      </c>
      <c r="Q499" s="5"/>
      <c r="R499" s="5"/>
      <c r="S499" s="5"/>
      <c r="U499" s="6"/>
      <c r="V499" s="9" t="str">
        <f t="shared" si="69"/>
        <v/>
      </c>
      <c r="W499" s="9" t="str">
        <f t="shared" si="70"/>
        <v/>
      </c>
      <c r="X499" s="10">
        <f>SUM(V$13:V499)/COUNTA(B$13:B499)</f>
        <v>0</v>
      </c>
      <c r="Z499" s="5"/>
      <c r="AA499" s="5"/>
      <c r="AC499" s="7"/>
      <c r="AE499" s="54" t="e">
        <f t="shared" si="71"/>
        <v>#N/A</v>
      </c>
      <c r="AF499" s="4" t="e">
        <f t="shared" si="67"/>
        <v>#N/A</v>
      </c>
    </row>
    <row r="500" spans="2:32">
      <c r="B500" s="5">
        <f t="shared" si="72"/>
        <v>488</v>
      </c>
      <c r="C500" s="5"/>
      <c r="E500" s="13"/>
      <c r="F500" s="5"/>
      <c r="G500" s="11" t="str">
        <f>IF(ISERROR(AVERAGE(F$13:F500)),"n/a",AVERAGE(F$13:F500))</f>
        <v>n/a</v>
      </c>
      <c r="H500" s="11" t="str">
        <f t="shared" si="68"/>
        <v>n/a</v>
      </c>
      <c r="J500" s="5"/>
      <c r="K500" s="5"/>
      <c r="L500" s="5"/>
      <c r="M500" s="5"/>
      <c r="N500" s="5"/>
      <c r="O500" s="8" t="str">
        <f t="shared" si="66"/>
        <v>n/a</v>
      </c>
      <c r="Q500" s="5"/>
      <c r="R500" s="5"/>
      <c r="S500" s="5"/>
      <c r="U500" s="6"/>
      <c r="V500" s="9" t="str">
        <f t="shared" si="69"/>
        <v/>
      </c>
      <c r="W500" s="9" t="str">
        <f t="shared" si="70"/>
        <v/>
      </c>
      <c r="X500" s="10">
        <f>SUM(V$13:V500)/COUNTA(B$13:B500)</f>
        <v>0</v>
      </c>
      <c r="Z500" s="5"/>
      <c r="AA500" s="5"/>
      <c r="AC500" s="7"/>
      <c r="AE500" s="54" t="e">
        <f t="shared" si="71"/>
        <v>#N/A</v>
      </c>
      <c r="AF500" s="4" t="e">
        <f t="shared" si="67"/>
        <v>#N/A</v>
      </c>
    </row>
    <row r="501" spans="2:32">
      <c r="B501" s="5">
        <f t="shared" si="72"/>
        <v>489</v>
      </c>
      <c r="C501" s="5"/>
      <c r="E501" s="13"/>
      <c r="F501" s="5"/>
      <c r="G501" s="11" t="str">
        <f>IF(ISERROR(AVERAGE(F$13:F501)),"n/a",AVERAGE(F$13:F501))</f>
        <v>n/a</v>
      </c>
      <c r="H501" s="11" t="str">
        <f t="shared" si="68"/>
        <v>n/a</v>
      </c>
      <c r="J501" s="5"/>
      <c r="K501" s="5"/>
      <c r="L501" s="5"/>
      <c r="M501" s="5"/>
      <c r="N501" s="5"/>
      <c r="O501" s="8" t="str">
        <f t="shared" si="66"/>
        <v>n/a</v>
      </c>
      <c r="Q501" s="5"/>
      <c r="R501" s="5"/>
      <c r="S501" s="5"/>
      <c r="U501" s="6"/>
      <c r="V501" s="9" t="str">
        <f t="shared" si="69"/>
        <v/>
      </c>
      <c r="W501" s="9" t="str">
        <f t="shared" si="70"/>
        <v/>
      </c>
      <c r="X501" s="10">
        <f>SUM(V$13:V501)/COUNTA(B$13:B501)</f>
        <v>0</v>
      </c>
      <c r="Z501" s="5"/>
      <c r="AA501" s="5"/>
      <c r="AC501" s="7"/>
      <c r="AE501" s="54" t="e">
        <f t="shared" si="71"/>
        <v>#N/A</v>
      </c>
      <c r="AF501" s="4" t="e">
        <f t="shared" si="67"/>
        <v>#N/A</v>
      </c>
    </row>
    <row r="502" spans="2:32">
      <c r="B502" s="5">
        <f t="shared" si="72"/>
        <v>490</v>
      </c>
      <c r="C502" s="5"/>
      <c r="E502" s="13"/>
      <c r="F502" s="5"/>
      <c r="G502" s="11" t="str">
        <f>IF(ISERROR(AVERAGE(F$13:F502)),"n/a",AVERAGE(F$13:F502))</f>
        <v>n/a</v>
      </c>
      <c r="H502" s="11" t="str">
        <f t="shared" si="68"/>
        <v>n/a</v>
      </c>
      <c r="J502" s="5"/>
      <c r="K502" s="5"/>
      <c r="L502" s="5"/>
      <c r="M502" s="5"/>
      <c r="N502" s="5"/>
      <c r="O502" s="8" t="str">
        <f t="shared" si="66"/>
        <v>n/a</v>
      </c>
      <c r="Q502" s="5"/>
      <c r="R502" s="5"/>
      <c r="S502" s="5"/>
      <c r="U502" s="6"/>
      <c r="V502" s="9" t="str">
        <f t="shared" si="69"/>
        <v/>
      </c>
      <c r="W502" s="9" t="str">
        <f t="shared" si="70"/>
        <v/>
      </c>
      <c r="X502" s="10">
        <f>SUM(V$13:V502)/COUNTA(B$13:B502)</f>
        <v>0</v>
      </c>
      <c r="Z502" s="5"/>
      <c r="AA502" s="5"/>
      <c r="AC502" s="7"/>
      <c r="AE502" s="54" t="e">
        <f t="shared" si="71"/>
        <v>#N/A</v>
      </c>
      <c r="AF502" s="4" t="e">
        <f t="shared" si="67"/>
        <v>#N/A</v>
      </c>
    </row>
    <row r="503" spans="2:32">
      <c r="B503" s="5">
        <f t="shared" si="72"/>
        <v>491</v>
      </c>
      <c r="C503" s="5"/>
      <c r="E503" s="13"/>
      <c r="F503" s="5"/>
      <c r="G503" s="11" t="str">
        <f>IF(ISERROR(AVERAGE(F$13:F503)),"n/a",AVERAGE(F$13:F503))</f>
        <v>n/a</v>
      </c>
      <c r="H503" s="11" t="str">
        <f t="shared" si="68"/>
        <v>n/a</v>
      </c>
      <c r="J503" s="5"/>
      <c r="K503" s="5"/>
      <c r="L503" s="5"/>
      <c r="M503" s="5"/>
      <c r="N503" s="5"/>
      <c r="O503" s="8" t="str">
        <f t="shared" si="66"/>
        <v>n/a</v>
      </c>
      <c r="Q503" s="5"/>
      <c r="R503" s="5"/>
      <c r="S503" s="5"/>
      <c r="U503" s="6"/>
      <c r="V503" s="9" t="str">
        <f t="shared" si="69"/>
        <v/>
      </c>
      <c r="W503" s="9" t="str">
        <f t="shared" si="70"/>
        <v/>
      </c>
      <c r="X503" s="10">
        <f>SUM(V$13:V503)/COUNTA(B$13:B503)</f>
        <v>0</v>
      </c>
      <c r="Z503" s="5"/>
      <c r="AA503" s="5"/>
      <c r="AC503" s="7"/>
      <c r="AE503" s="54" t="e">
        <f t="shared" si="71"/>
        <v>#N/A</v>
      </c>
      <c r="AF503" s="4" t="e">
        <f t="shared" si="67"/>
        <v>#N/A</v>
      </c>
    </row>
    <row r="504" spans="2:32">
      <c r="B504" s="5">
        <f t="shared" si="72"/>
        <v>492</v>
      </c>
      <c r="C504" s="5"/>
      <c r="E504" s="13"/>
      <c r="F504" s="5"/>
      <c r="G504" s="11" t="str">
        <f>IF(ISERROR(AVERAGE(F$13:F504)),"n/a",AVERAGE(F$13:F504))</f>
        <v>n/a</v>
      </c>
      <c r="H504" s="11" t="str">
        <f t="shared" si="68"/>
        <v>n/a</v>
      </c>
      <c r="J504" s="5"/>
      <c r="K504" s="5"/>
      <c r="L504" s="5"/>
      <c r="M504" s="5"/>
      <c r="N504" s="5"/>
      <c r="O504" s="8" t="str">
        <f t="shared" si="66"/>
        <v>n/a</v>
      </c>
      <c r="Q504" s="5"/>
      <c r="R504" s="5"/>
      <c r="S504" s="5"/>
      <c r="U504" s="6"/>
      <c r="V504" s="9" t="str">
        <f t="shared" si="69"/>
        <v/>
      </c>
      <c r="W504" s="9" t="str">
        <f t="shared" si="70"/>
        <v/>
      </c>
      <c r="X504" s="10">
        <f>SUM(V$13:V504)/COUNTA(B$13:B504)</f>
        <v>0</v>
      </c>
      <c r="Z504" s="5"/>
      <c r="AA504" s="5"/>
      <c r="AC504" s="7"/>
      <c r="AE504" s="54" t="e">
        <f t="shared" si="71"/>
        <v>#N/A</v>
      </c>
      <c r="AF504" s="4" t="e">
        <f t="shared" si="67"/>
        <v>#N/A</v>
      </c>
    </row>
    <row r="505" spans="2:32">
      <c r="B505" s="5">
        <f t="shared" si="72"/>
        <v>493</v>
      </c>
      <c r="C505" s="5"/>
      <c r="E505" s="13"/>
      <c r="F505" s="5"/>
      <c r="G505" s="11" t="str">
        <f>IF(ISERROR(AVERAGE(F$13:F505)),"n/a",AVERAGE(F$13:F505))</f>
        <v>n/a</v>
      </c>
      <c r="H505" s="11" t="str">
        <f t="shared" si="68"/>
        <v>n/a</v>
      </c>
      <c r="J505" s="5"/>
      <c r="K505" s="5"/>
      <c r="L505" s="5"/>
      <c r="M505" s="5"/>
      <c r="N505" s="5"/>
      <c r="O505" s="8" t="str">
        <f t="shared" si="66"/>
        <v>n/a</v>
      </c>
      <c r="Q505" s="5"/>
      <c r="R505" s="5"/>
      <c r="S505" s="5"/>
      <c r="U505" s="6"/>
      <c r="V505" s="9" t="str">
        <f t="shared" si="69"/>
        <v/>
      </c>
      <c r="W505" s="9" t="str">
        <f t="shared" si="70"/>
        <v/>
      </c>
      <c r="X505" s="10">
        <f>SUM(V$13:V505)/COUNTA(B$13:B505)</f>
        <v>0</v>
      </c>
      <c r="Z505" s="5"/>
      <c r="AA505" s="5"/>
      <c r="AC505" s="7"/>
      <c r="AE505" s="54" t="e">
        <f t="shared" si="71"/>
        <v>#N/A</v>
      </c>
      <c r="AF505" s="4" t="e">
        <f t="shared" si="67"/>
        <v>#N/A</v>
      </c>
    </row>
    <row r="506" spans="2:32">
      <c r="B506" s="5">
        <f t="shared" si="72"/>
        <v>494</v>
      </c>
      <c r="C506" s="5"/>
      <c r="E506" s="13"/>
      <c r="F506" s="5"/>
      <c r="G506" s="11" t="str">
        <f>IF(ISERROR(AVERAGE(F$13:F506)),"n/a",AVERAGE(F$13:F506))</f>
        <v>n/a</v>
      </c>
      <c r="H506" s="11" t="str">
        <f t="shared" si="68"/>
        <v>n/a</v>
      </c>
      <c r="J506" s="5"/>
      <c r="K506" s="5"/>
      <c r="L506" s="5"/>
      <c r="M506" s="5"/>
      <c r="N506" s="5"/>
      <c r="O506" s="8" t="str">
        <f t="shared" si="66"/>
        <v>n/a</v>
      </c>
      <c r="Q506" s="5"/>
      <c r="R506" s="5"/>
      <c r="S506" s="5"/>
      <c r="U506" s="6"/>
      <c r="V506" s="9" t="str">
        <f t="shared" si="69"/>
        <v/>
      </c>
      <c r="W506" s="9" t="str">
        <f t="shared" si="70"/>
        <v/>
      </c>
      <c r="X506" s="10">
        <f>SUM(V$13:V506)/COUNTA(B$13:B506)</f>
        <v>0</v>
      </c>
      <c r="Z506" s="5"/>
      <c r="AA506" s="5"/>
      <c r="AC506" s="7"/>
      <c r="AE506" s="54" t="e">
        <f t="shared" si="71"/>
        <v>#N/A</v>
      </c>
      <c r="AF506" s="4" t="e">
        <f t="shared" si="67"/>
        <v>#N/A</v>
      </c>
    </row>
    <row r="507" spans="2:32">
      <c r="B507" s="5">
        <f t="shared" si="72"/>
        <v>495</v>
      </c>
      <c r="C507" s="5"/>
      <c r="E507" s="13"/>
      <c r="F507" s="5"/>
      <c r="G507" s="11" t="str">
        <f>IF(ISERROR(AVERAGE(F$13:F507)),"n/a",AVERAGE(F$13:F507))</f>
        <v>n/a</v>
      </c>
      <c r="H507" s="11" t="str">
        <f t="shared" si="68"/>
        <v>n/a</v>
      </c>
      <c r="J507" s="5"/>
      <c r="K507" s="5"/>
      <c r="L507" s="5"/>
      <c r="M507" s="5"/>
      <c r="N507" s="5"/>
      <c r="O507" s="8" t="str">
        <f t="shared" si="66"/>
        <v>n/a</v>
      </c>
      <c r="Q507" s="5"/>
      <c r="R507" s="5"/>
      <c r="S507" s="5"/>
      <c r="U507" s="6"/>
      <c r="V507" s="9" t="str">
        <f t="shared" si="69"/>
        <v/>
      </c>
      <c r="W507" s="9" t="str">
        <f t="shared" si="70"/>
        <v/>
      </c>
      <c r="X507" s="10">
        <f>SUM(V$13:V507)/COUNTA(B$13:B507)</f>
        <v>0</v>
      </c>
      <c r="Z507" s="5"/>
      <c r="AA507" s="5"/>
      <c r="AC507" s="7"/>
      <c r="AE507" s="54" t="e">
        <f t="shared" si="71"/>
        <v>#N/A</v>
      </c>
      <c r="AF507" s="4" t="e">
        <f t="shared" si="67"/>
        <v>#N/A</v>
      </c>
    </row>
    <row r="508" spans="2:32">
      <c r="B508" s="5">
        <f t="shared" si="72"/>
        <v>496</v>
      </c>
      <c r="C508" s="5"/>
      <c r="E508" s="13"/>
      <c r="F508" s="5"/>
      <c r="G508" s="11" t="str">
        <f>IF(ISERROR(AVERAGE(F$13:F508)),"n/a",AVERAGE(F$13:F508))</f>
        <v>n/a</v>
      </c>
      <c r="H508" s="11" t="str">
        <f t="shared" si="68"/>
        <v>n/a</v>
      </c>
      <c r="J508" s="5"/>
      <c r="K508" s="5"/>
      <c r="L508" s="5"/>
      <c r="M508" s="5"/>
      <c r="N508" s="5"/>
      <c r="O508" s="8" t="str">
        <f t="shared" si="66"/>
        <v>n/a</v>
      </c>
      <c r="Q508" s="5"/>
      <c r="R508" s="5"/>
      <c r="S508" s="5"/>
      <c r="U508" s="6"/>
      <c r="V508" s="9" t="str">
        <f t="shared" si="69"/>
        <v/>
      </c>
      <c r="W508" s="9" t="str">
        <f t="shared" si="70"/>
        <v/>
      </c>
      <c r="X508" s="10">
        <f>SUM(V$13:V508)/COUNTA(B$13:B508)</f>
        <v>0</v>
      </c>
      <c r="Z508" s="5"/>
      <c r="AA508" s="5"/>
      <c r="AC508" s="7"/>
      <c r="AE508" s="54" t="e">
        <f t="shared" si="71"/>
        <v>#N/A</v>
      </c>
      <c r="AF508" s="4" t="e">
        <f t="shared" si="67"/>
        <v>#N/A</v>
      </c>
    </row>
    <row r="509" spans="2:32">
      <c r="B509" s="5">
        <f t="shared" si="72"/>
        <v>497</v>
      </c>
      <c r="C509" s="5"/>
      <c r="E509" s="13"/>
      <c r="F509" s="5"/>
      <c r="G509" s="11" t="str">
        <f>IF(ISERROR(AVERAGE(F$13:F509)),"n/a",AVERAGE(F$13:F509))</f>
        <v>n/a</v>
      </c>
      <c r="H509" s="11" t="str">
        <f t="shared" si="68"/>
        <v>n/a</v>
      </c>
      <c r="J509" s="5"/>
      <c r="K509" s="5"/>
      <c r="L509" s="5"/>
      <c r="M509" s="5"/>
      <c r="N509" s="5"/>
      <c r="O509" s="8" t="str">
        <f t="shared" si="66"/>
        <v>n/a</v>
      </c>
      <c r="Q509" s="5"/>
      <c r="R509" s="5"/>
      <c r="S509" s="5"/>
      <c r="U509" s="6"/>
      <c r="V509" s="9" t="str">
        <f t="shared" si="69"/>
        <v/>
      </c>
      <c r="W509" s="9" t="str">
        <f t="shared" si="70"/>
        <v/>
      </c>
      <c r="X509" s="10">
        <f>SUM(V$13:V509)/COUNTA(B$13:B509)</f>
        <v>0</v>
      </c>
      <c r="Z509" s="5"/>
      <c r="AA509" s="5"/>
      <c r="AC509" s="7"/>
      <c r="AE509" s="54" t="e">
        <f t="shared" si="71"/>
        <v>#N/A</v>
      </c>
      <c r="AF509" s="4" t="e">
        <f t="shared" si="67"/>
        <v>#N/A</v>
      </c>
    </row>
    <row r="510" spans="2:32">
      <c r="B510" s="5">
        <f t="shared" si="72"/>
        <v>498</v>
      </c>
      <c r="C510" s="5"/>
      <c r="E510" s="13"/>
      <c r="F510" s="5"/>
      <c r="G510" s="11" t="str">
        <f>IF(ISERROR(AVERAGE(F$13:F510)),"n/a",AVERAGE(F$13:F510))</f>
        <v>n/a</v>
      </c>
      <c r="H510" s="11" t="str">
        <f t="shared" si="68"/>
        <v>n/a</v>
      </c>
      <c r="J510" s="5"/>
      <c r="K510" s="5"/>
      <c r="L510" s="5"/>
      <c r="M510" s="5"/>
      <c r="N510" s="5"/>
      <c r="O510" s="8" t="str">
        <f t="shared" si="66"/>
        <v>n/a</v>
      </c>
      <c r="Q510" s="5"/>
      <c r="R510" s="5"/>
      <c r="S510" s="5"/>
      <c r="U510" s="6"/>
      <c r="V510" s="9" t="str">
        <f t="shared" si="69"/>
        <v/>
      </c>
      <c r="W510" s="9" t="str">
        <f t="shared" si="70"/>
        <v/>
      </c>
      <c r="X510" s="10">
        <f>SUM(V$13:V510)/COUNTA(B$13:B510)</f>
        <v>0</v>
      </c>
      <c r="Z510" s="5"/>
      <c r="AA510" s="5"/>
      <c r="AC510" s="7"/>
      <c r="AE510" s="54" t="e">
        <f t="shared" si="71"/>
        <v>#N/A</v>
      </c>
      <c r="AF510" s="4" t="e">
        <f t="shared" si="67"/>
        <v>#N/A</v>
      </c>
    </row>
    <row r="511" spans="2:32">
      <c r="B511" s="5">
        <f t="shared" si="72"/>
        <v>499</v>
      </c>
      <c r="C511" s="5"/>
      <c r="E511" s="13"/>
      <c r="F511" s="5"/>
      <c r="G511" s="11" t="str">
        <f>IF(ISERROR(AVERAGE(F$13:F511)),"n/a",AVERAGE(F$13:F511))</f>
        <v>n/a</v>
      </c>
      <c r="H511" s="11" t="str">
        <f t="shared" si="68"/>
        <v>n/a</v>
      </c>
      <c r="J511" s="5"/>
      <c r="K511" s="5"/>
      <c r="L511" s="5"/>
      <c r="M511" s="5"/>
      <c r="N511" s="5"/>
      <c r="O511" s="8" t="str">
        <f t="shared" si="66"/>
        <v>n/a</v>
      </c>
      <c r="Q511" s="5"/>
      <c r="R511" s="5"/>
      <c r="S511" s="5"/>
      <c r="U511" s="6"/>
      <c r="V511" s="9" t="str">
        <f t="shared" si="69"/>
        <v/>
      </c>
      <c r="W511" s="9" t="str">
        <f t="shared" si="70"/>
        <v/>
      </c>
      <c r="X511" s="10">
        <f>SUM(V$13:V511)/COUNTA(B$13:B511)</f>
        <v>0</v>
      </c>
      <c r="Z511" s="5"/>
      <c r="AA511" s="5"/>
      <c r="AC511" s="7"/>
      <c r="AE511" s="54" t="e">
        <f t="shared" si="71"/>
        <v>#N/A</v>
      </c>
      <c r="AF511" s="4" t="e">
        <f t="shared" si="67"/>
        <v>#N/A</v>
      </c>
    </row>
    <row r="512" spans="2:32">
      <c r="B512" s="5">
        <f t="shared" si="72"/>
        <v>500</v>
      </c>
      <c r="C512" s="5"/>
      <c r="E512" s="13"/>
      <c r="F512" s="5"/>
      <c r="G512" s="11" t="str">
        <f>IF(ISERROR(AVERAGE(F$13:F512)),"n/a",AVERAGE(F$13:F512))</f>
        <v>n/a</v>
      </c>
      <c r="H512" s="11" t="str">
        <f t="shared" si="68"/>
        <v>n/a</v>
      </c>
      <c r="J512" s="5"/>
      <c r="K512" s="5"/>
      <c r="L512" s="5"/>
      <c r="M512" s="5"/>
      <c r="N512" s="5"/>
      <c r="O512" s="8" t="str">
        <f t="shared" si="66"/>
        <v>n/a</v>
      </c>
      <c r="Q512" s="5"/>
      <c r="R512" s="5"/>
      <c r="S512" s="5"/>
      <c r="U512" s="6"/>
      <c r="V512" s="9" t="str">
        <f t="shared" si="69"/>
        <v/>
      </c>
      <c r="W512" s="9" t="str">
        <f t="shared" si="70"/>
        <v/>
      </c>
      <c r="X512" s="10">
        <f>SUM(V$13:V512)/COUNTA(B$13:B512)</f>
        <v>0</v>
      </c>
      <c r="Z512" s="5"/>
      <c r="AA512" s="5"/>
      <c r="AC512" s="7"/>
      <c r="AE512" s="54" t="e">
        <f t="shared" si="71"/>
        <v>#N/A</v>
      </c>
      <c r="AF512" s="4" t="e">
        <f t="shared" si="67"/>
        <v>#N/A</v>
      </c>
    </row>
    <row r="513" spans="2:32">
      <c r="B513" s="5">
        <f t="shared" si="72"/>
        <v>501</v>
      </c>
      <c r="C513" s="5"/>
      <c r="E513" s="13"/>
      <c r="F513" s="5"/>
      <c r="G513" s="11" t="str">
        <f>IF(ISERROR(AVERAGE(F$13:F513)),"n/a",AVERAGE(F$13:F513))</f>
        <v>n/a</v>
      </c>
      <c r="H513" s="11" t="str">
        <f t="shared" si="68"/>
        <v>n/a</v>
      </c>
      <c r="J513" s="5"/>
      <c r="K513" s="5"/>
      <c r="L513" s="5"/>
      <c r="M513" s="5"/>
      <c r="N513" s="5"/>
      <c r="O513" s="8" t="str">
        <f t="shared" si="66"/>
        <v>n/a</v>
      </c>
      <c r="Q513" s="5"/>
      <c r="R513" s="5"/>
      <c r="S513" s="5"/>
      <c r="U513" s="6"/>
      <c r="V513" s="9" t="str">
        <f t="shared" si="69"/>
        <v/>
      </c>
      <c r="W513" s="9" t="str">
        <f t="shared" si="70"/>
        <v/>
      </c>
      <c r="X513" s="10">
        <f>SUM(V$13:V513)/COUNTA(B$13:B513)</f>
        <v>0</v>
      </c>
      <c r="Z513" s="5"/>
      <c r="AA513" s="5"/>
      <c r="AC513" s="7"/>
      <c r="AE513" s="54" t="e">
        <f t="shared" si="71"/>
        <v>#N/A</v>
      </c>
      <c r="AF513" s="4" t="e">
        <f t="shared" si="67"/>
        <v>#N/A</v>
      </c>
    </row>
    <row r="514" spans="2:32">
      <c r="B514" s="5">
        <f t="shared" si="72"/>
        <v>502</v>
      </c>
      <c r="C514" s="5"/>
      <c r="E514" s="13"/>
      <c r="F514" s="5"/>
      <c r="G514" s="11" t="str">
        <f>IF(ISERROR(AVERAGE(F$13:F514)),"n/a",AVERAGE(F$13:F514))</f>
        <v>n/a</v>
      </c>
      <c r="H514" s="11" t="str">
        <f t="shared" si="68"/>
        <v>n/a</v>
      </c>
      <c r="J514" s="5"/>
      <c r="K514" s="5"/>
      <c r="L514" s="5"/>
      <c r="M514" s="5"/>
      <c r="N514" s="5"/>
      <c r="O514" s="8" t="str">
        <f t="shared" si="66"/>
        <v>n/a</v>
      </c>
      <c r="Q514" s="5"/>
      <c r="R514" s="5"/>
      <c r="S514" s="5"/>
      <c r="U514" s="6"/>
      <c r="V514" s="9" t="str">
        <f t="shared" si="69"/>
        <v/>
      </c>
      <c r="W514" s="9" t="str">
        <f t="shared" si="70"/>
        <v/>
      </c>
      <c r="X514" s="10">
        <f>SUM(V$13:V514)/COUNTA(B$13:B514)</f>
        <v>0</v>
      </c>
      <c r="Z514" s="5"/>
      <c r="AA514" s="5"/>
      <c r="AC514" s="7"/>
      <c r="AE514" s="54" t="e">
        <f t="shared" si="71"/>
        <v>#N/A</v>
      </c>
      <c r="AF514" s="4" t="e">
        <f t="shared" si="67"/>
        <v>#N/A</v>
      </c>
    </row>
    <row r="515" spans="2:32">
      <c r="B515" s="5">
        <f t="shared" si="72"/>
        <v>503</v>
      </c>
      <c r="C515" s="5"/>
      <c r="E515" s="13"/>
      <c r="F515" s="5"/>
      <c r="G515" s="11" t="str">
        <f>IF(ISERROR(AVERAGE(F$13:F515)),"n/a",AVERAGE(F$13:F515))</f>
        <v>n/a</v>
      </c>
      <c r="H515" s="11" t="str">
        <f t="shared" si="68"/>
        <v>n/a</v>
      </c>
      <c r="J515" s="5"/>
      <c r="K515" s="5"/>
      <c r="L515" s="5"/>
      <c r="M515" s="5"/>
      <c r="N515" s="5"/>
      <c r="O515" s="8" t="str">
        <f t="shared" si="66"/>
        <v>n/a</v>
      </c>
      <c r="Q515" s="5"/>
      <c r="R515" s="5"/>
      <c r="S515" s="5"/>
      <c r="U515" s="6"/>
      <c r="V515" s="9" t="str">
        <f t="shared" si="69"/>
        <v/>
      </c>
      <c r="W515" s="9" t="str">
        <f t="shared" si="70"/>
        <v/>
      </c>
      <c r="X515" s="10">
        <f>SUM(V$13:V515)/COUNTA(B$13:B515)</f>
        <v>0</v>
      </c>
      <c r="Z515" s="5"/>
      <c r="AA515" s="5"/>
      <c r="AC515" s="7"/>
      <c r="AE515" s="54" t="e">
        <f t="shared" si="71"/>
        <v>#N/A</v>
      </c>
      <c r="AF515" s="4" t="e">
        <f t="shared" si="67"/>
        <v>#N/A</v>
      </c>
    </row>
    <row r="516" spans="2:32">
      <c r="B516" s="5">
        <f t="shared" si="72"/>
        <v>504</v>
      </c>
      <c r="C516" s="5"/>
      <c r="E516" s="13"/>
      <c r="F516" s="5"/>
      <c r="G516" s="11" t="str">
        <f>IF(ISERROR(AVERAGE(F$13:F516)),"n/a",AVERAGE(F$13:F516))</f>
        <v>n/a</v>
      </c>
      <c r="H516" s="11" t="str">
        <f t="shared" si="68"/>
        <v>n/a</v>
      </c>
      <c r="J516" s="5"/>
      <c r="K516" s="5"/>
      <c r="L516" s="5"/>
      <c r="M516" s="5"/>
      <c r="N516" s="5"/>
      <c r="O516" s="8" t="str">
        <f t="shared" si="66"/>
        <v>n/a</v>
      </c>
      <c r="Q516" s="5"/>
      <c r="R516" s="5"/>
      <c r="S516" s="5"/>
      <c r="U516" s="6"/>
      <c r="V516" s="9" t="str">
        <f t="shared" si="69"/>
        <v/>
      </c>
      <c r="W516" s="9" t="str">
        <f t="shared" si="70"/>
        <v/>
      </c>
      <c r="X516" s="10">
        <f>SUM(V$13:V516)/COUNTA(B$13:B516)</f>
        <v>0</v>
      </c>
      <c r="Z516" s="5"/>
      <c r="AA516" s="5"/>
      <c r="AC516" s="7"/>
      <c r="AE516" s="54" t="e">
        <f t="shared" si="71"/>
        <v>#N/A</v>
      </c>
      <c r="AF516" s="4" t="e">
        <f t="shared" si="67"/>
        <v>#N/A</v>
      </c>
    </row>
    <row r="517" spans="2:32">
      <c r="B517" s="5">
        <f t="shared" si="72"/>
        <v>505</v>
      </c>
      <c r="C517" s="5"/>
      <c r="E517" s="13"/>
      <c r="F517" s="5"/>
      <c r="G517" s="11" t="str">
        <f>IF(ISERROR(AVERAGE(F$13:F517)),"n/a",AVERAGE(F$13:F517))</f>
        <v>n/a</v>
      </c>
      <c r="H517" s="11" t="str">
        <f t="shared" si="68"/>
        <v>n/a</v>
      </c>
      <c r="J517" s="5"/>
      <c r="K517" s="5"/>
      <c r="L517" s="5"/>
      <c r="M517" s="5"/>
      <c r="N517" s="5"/>
      <c r="O517" s="8" t="str">
        <f t="shared" si="66"/>
        <v>n/a</v>
      </c>
      <c r="Q517" s="5"/>
      <c r="R517" s="5"/>
      <c r="S517" s="5"/>
      <c r="U517" s="6"/>
      <c r="V517" s="9" t="str">
        <f t="shared" si="69"/>
        <v/>
      </c>
      <c r="W517" s="9" t="str">
        <f t="shared" si="70"/>
        <v/>
      </c>
      <c r="X517" s="10">
        <f>SUM(V$13:V517)/COUNTA(B$13:B517)</f>
        <v>0</v>
      </c>
      <c r="Z517" s="5"/>
      <c r="AA517" s="5"/>
      <c r="AC517" s="7"/>
      <c r="AE517" s="54" t="e">
        <f t="shared" si="71"/>
        <v>#N/A</v>
      </c>
      <c r="AF517" s="4" t="e">
        <f t="shared" si="67"/>
        <v>#N/A</v>
      </c>
    </row>
    <row r="518" spans="2:32">
      <c r="B518" s="5">
        <f t="shared" si="72"/>
        <v>506</v>
      </c>
      <c r="C518" s="5"/>
      <c r="E518" s="13"/>
      <c r="F518" s="5"/>
      <c r="G518" s="11" t="str">
        <f>IF(ISERROR(AVERAGE(F$13:F518)),"n/a",AVERAGE(F$13:F518))</f>
        <v>n/a</v>
      </c>
      <c r="H518" s="11" t="str">
        <f t="shared" si="68"/>
        <v>n/a</v>
      </c>
      <c r="J518" s="5"/>
      <c r="K518" s="5"/>
      <c r="L518" s="5"/>
      <c r="M518" s="5"/>
      <c r="N518" s="5"/>
      <c r="O518" s="8" t="str">
        <f t="shared" si="66"/>
        <v>n/a</v>
      </c>
      <c r="Q518" s="5"/>
      <c r="R518" s="5"/>
      <c r="S518" s="5"/>
      <c r="U518" s="6"/>
      <c r="V518" s="9" t="str">
        <f t="shared" si="69"/>
        <v/>
      </c>
      <c r="W518" s="9" t="str">
        <f t="shared" si="70"/>
        <v/>
      </c>
      <c r="X518" s="10">
        <f>SUM(V$13:V518)/COUNTA(B$13:B518)</f>
        <v>0</v>
      </c>
      <c r="Z518" s="5"/>
      <c r="AA518" s="5"/>
      <c r="AC518" s="7"/>
      <c r="AE518" s="54" t="e">
        <f t="shared" si="71"/>
        <v>#N/A</v>
      </c>
      <c r="AF518" s="4" t="e">
        <f t="shared" si="67"/>
        <v>#N/A</v>
      </c>
    </row>
    <row r="519" spans="2:32">
      <c r="B519" s="5">
        <f t="shared" si="72"/>
        <v>507</v>
      </c>
      <c r="C519" s="5"/>
      <c r="E519" s="13"/>
      <c r="F519" s="5"/>
      <c r="G519" s="11" t="str">
        <f>IF(ISERROR(AVERAGE(F$13:F519)),"n/a",AVERAGE(F$13:F519))</f>
        <v>n/a</v>
      </c>
      <c r="H519" s="11" t="str">
        <f t="shared" si="68"/>
        <v>n/a</v>
      </c>
      <c r="J519" s="5"/>
      <c r="K519" s="5"/>
      <c r="L519" s="5"/>
      <c r="M519" s="5"/>
      <c r="N519" s="5"/>
      <c r="O519" s="8" t="str">
        <f t="shared" si="66"/>
        <v>n/a</v>
      </c>
      <c r="Q519" s="5"/>
      <c r="R519" s="5"/>
      <c r="S519" s="5"/>
      <c r="U519" s="6"/>
      <c r="V519" s="9" t="str">
        <f t="shared" si="69"/>
        <v/>
      </c>
      <c r="W519" s="9" t="str">
        <f t="shared" si="70"/>
        <v/>
      </c>
      <c r="X519" s="10">
        <f>SUM(V$13:V519)/COUNTA(B$13:B519)</f>
        <v>0</v>
      </c>
      <c r="Z519" s="5"/>
      <c r="AA519" s="5"/>
      <c r="AC519" s="7"/>
      <c r="AE519" s="54" t="e">
        <f t="shared" si="71"/>
        <v>#N/A</v>
      </c>
      <c r="AF519" s="4" t="e">
        <f t="shared" si="67"/>
        <v>#N/A</v>
      </c>
    </row>
    <row r="520" spans="2:32">
      <c r="B520" s="5">
        <f t="shared" si="72"/>
        <v>508</v>
      </c>
      <c r="C520" s="5"/>
      <c r="E520" s="13"/>
      <c r="F520" s="5"/>
      <c r="G520" s="11" t="str">
        <f>IF(ISERROR(AVERAGE(F$13:F520)),"n/a",AVERAGE(F$13:F520))</f>
        <v>n/a</v>
      </c>
      <c r="H520" s="11" t="str">
        <f t="shared" si="68"/>
        <v>n/a</v>
      </c>
      <c r="J520" s="5"/>
      <c r="K520" s="5"/>
      <c r="L520" s="5"/>
      <c r="M520" s="5"/>
      <c r="N520" s="5"/>
      <c r="O520" s="8" t="str">
        <f t="shared" si="66"/>
        <v>n/a</v>
      </c>
      <c r="Q520" s="5"/>
      <c r="R520" s="5"/>
      <c r="S520" s="5"/>
      <c r="U520" s="6"/>
      <c r="V520" s="9" t="str">
        <f t="shared" si="69"/>
        <v/>
      </c>
      <c r="W520" s="9" t="str">
        <f t="shared" si="70"/>
        <v/>
      </c>
      <c r="X520" s="10">
        <f>SUM(V$13:V520)/COUNTA(B$13:B520)</f>
        <v>0</v>
      </c>
      <c r="Z520" s="5"/>
      <c r="AA520" s="5"/>
      <c r="AC520" s="7"/>
      <c r="AE520" s="54" t="e">
        <f t="shared" si="71"/>
        <v>#N/A</v>
      </c>
      <c r="AF520" s="4" t="e">
        <f t="shared" si="67"/>
        <v>#N/A</v>
      </c>
    </row>
    <row r="521" spans="2:32">
      <c r="B521" s="5">
        <f t="shared" si="72"/>
        <v>509</v>
      </c>
      <c r="C521" s="5"/>
      <c r="E521" s="13"/>
      <c r="F521" s="5"/>
      <c r="G521" s="11" t="str">
        <f>IF(ISERROR(AVERAGE(F$13:F521)),"n/a",AVERAGE(F$13:F521))</f>
        <v>n/a</v>
      </c>
      <c r="H521" s="11" t="str">
        <f t="shared" si="68"/>
        <v>n/a</v>
      </c>
      <c r="J521" s="5"/>
      <c r="K521" s="5"/>
      <c r="L521" s="5"/>
      <c r="M521" s="5"/>
      <c r="N521" s="5"/>
      <c r="O521" s="8" t="str">
        <f t="shared" si="66"/>
        <v>n/a</v>
      </c>
      <c r="Q521" s="5"/>
      <c r="R521" s="5"/>
      <c r="S521" s="5"/>
      <c r="U521" s="6"/>
      <c r="V521" s="9" t="str">
        <f t="shared" si="69"/>
        <v/>
      </c>
      <c r="W521" s="9" t="str">
        <f t="shared" si="70"/>
        <v/>
      </c>
      <c r="X521" s="10">
        <f>SUM(V$13:V521)/COUNTA(B$13:B521)</f>
        <v>0</v>
      </c>
      <c r="Z521" s="5"/>
      <c r="AA521" s="5"/>
      <c r="AC521" s="7"/>
      <c r="AE521" s="54" t="e">
        <f t="shared" si="71"/>
        <v>#N/A</v>
      </c>
      <c r="AF521" s="4" t="e">
        <f t="shared" si="67"/>
        <v>#N/A</v>
      </c>
    </row>
    <row r="522" spans="2:32">
      <c r="B522" s="5">
        <f t="shared" si="72"/>
        <v>510</v>
      </c>
      <c r="C522" s="5"/>
      <c r="E522" s="13"/>
      <c r="F522" s="5"/>
      <c r="G522" s="11" t="str">
        <f>IF(ISERROR(AVERAGE(F$13:F522)),"n/a",AVERAGE(F$13:F522))</f>
        <v>n/a</v>
      </c>
      <c r="H522" s="11" t="str">
        <f t="shared" si="68"/>
        <v>n/a</v>
      </c>
      <c r="J522" s="5"/>
      <c r="K522" s="5"/>
      <c r="L522" s="5"/>
      <c r="M522" s="5"/>
      <c r="N522" s="5"/>
      <c r="O522" s="8" t="str">
        <f t="shared" si="66"/>
        <v>n/a</v>
      </c>
      <c r="Q522" s="5"/>
      <c r="R522" s="5"/>
      <c r="S522" s="5"/>
      <c r="U522" s="6"/>
      <c r="V522" s="9" t="str">
        <f t="shared" si="69"/>
        <v/>
      </c>
      <c r="W522" s="9" t="str">
        <f t="shared" si="70"/>
        <v/>
      </c>
      <c r="X522" s="10">
        <f>SUM(V$13:V522)/COUNTA(B$13:B522)</f>
        <v>0</v>
      </c>
      <c r="Z522" s="5"/>
      <c r="AA522" s="5"/>
      <c r="AC522" s="7"/>
      <c r="AE522" s="54" t="e">
        <f t="shared" si="71"/>
        <v>#N/A</v>
      </c>
      <c r="AF522" s="4" t="e">
        <f t="shared" si="67"/>
        <v>#N/A</v>
      </c>
    </row>
    <row r="523" spans="2:32">
      <c r="B523" s="5">
        <f t="shared" si="72"/>
        <v>511</v>
      </c>
      <c r="C523" s="5"/>
      <c r="E523" s="13"/>
      <c r="F523" s="5"/>
      <c r="G523" s="11" t="str">
        <f>IF(ISERROR(AVERAGE(F$13:F523)),"n/a",AVERAGE(F$13:F523))</f>
        <v>n/a</v>
      </c>
      <c r="H523" s="11" t="str">
        <f t="shared" si="68"/>
        <v>n/a</v>
      </c>
      <c r="J523" s="5"/>
      <c r="K523" s="5"/>
      <c r="L523" s="5"/>
      <c r="M523" s="5"/>
      <c r="N523" s="5"/>
      <c r="O523" s="8" t="str">
        <f t="shared" si="66"/>
        <v>n/a</v>
      </c>
      <c r="Q523" s="5"/>
      <c r="R523" s="5"/>
      <c r="S523" s="5"/>
      <c r="U523" s="6"/>
      <c r="V523" s="9" t="str">
        <f t="shared" si="69"/>
        <v/>
      </c>
      <c r="W523" s="9" t="str">
        <f t="shared" si="70"/>
        <v/>
      </c>
      <c r="X523" s="10">
        <f>SUM(V$13:V523)/COUNTA(B$13:B523)</f>
        <v>0</v>
      </c>
      <c r="Z523" s="5"/>
      <c r="AA523" s="5"/>
      <c r="AC523" s="7"/>
      <c r="AE523" s="54" t="e">
        <f t="shared" si="71"/>
        <v>#N/A</v>
      </c>
      <c r="AF523" s="4" t="e">
        <f t="shared" si="67"/>
        <v>#N/A</v>
      </c>
    </row>
    <row r="524" spans="2:32">
      <c r="B524" s="5">
        <f t="shared" si="72"/>
        <v>512</v>
      </c>
      <c r="C524" s="5"/>
      <c r="E524" s="13"/>
      <c r="F524" s="5"/>
      <c r="G524" s="11" t="str">
        <f>IF(ISERROR(AVERAGE(F$13:F524)),"n/a",AVERAGE(F$13:F524))</f>
        <v>n/a</v>
      </c>
      <c r="H524" s="11" t="str">
        <f t="shared" si="68"/>
        <v>n/a</v>
      </c>
      <c r="J524" s="5"/>
      <c r="K524" s="5"/>
      <c r="L524" s="5"/>
      <c r="M524" s="5"/>
      <c r="N524" s="5"/>
      <c r="O524" s="8" t="str">
        <f t="shared" si="66"/>
        <v>n/a</v>
      </c>
      <c r="Q524" s="5"/>
      <c r="R524" s="5"/>
      <c r="S524" s="5"/>
      <c r="U524" s="6"/>
      <c r="V524" s="9" t="str">
        <f t="shared" si="69"/>
        <v/>
      </c>
      <c r="W524" s="9" t="str">
        <f t="shared" si="70"/>
        <v/>
      </c>
      <c r="X524" s="10">
        <f>SUM(V$13:V524)/COUNTA(B$13:B524)</f>
        <v>0</v>
      </c>
      <c r="Z524" s="5"/>
      <c r="AA524" s="5"/>
      <c r="AC524" s="7"/>
      <c r="AE524" s="54" t="e">
        <f t="shared" si="71"/>
        <v>#N/A</v>
      </c>
      <c r="AF524" s="4" t="e">
        <f t="shared" si="67"/>
        <v>#N/A</v>
      </c>
    </row>
    <row r="525" spans="2:32">
      <c r="B525" s="5">
        <f t="shared" si="72"/>
        <v>513</v>
      </c>
      <c r="C525" s="5"/>
      <c r="E525" s="13"/>
      <c r="F525" s="5"/>
      <c r="G525" s="11" t="str">
        <f>IF(ISERROR(AVERAGE(F$13:F525)),"n/a",AVERAGE(F$13:F525))</f>
        <v>n/a</v>
      </c>
      <c r="H525" s="11" t="str">
        <f t="shared" si="68"/>
        <v>n/a</v>
      </c>
      <c r="J525" s="5"/>
      <c r="K525" s="5"/>
      <c r="L525" s="5"/>
      <c r="M525" s="5"/>
      <c r="N525" s="5"/>
      <c r="O525" s="8" t="str">
        <f t="shared" ref="O525:O588" si="73">IF(J525=1,"A",IF(K525=1,"B",IF(L525=1,"C",IF(M525=1,"D",IF(N525=1,"E","n/a")))))</f>
        <v>n/a</v>
      </c>
      <c r="Q525" s="5"/>
      <c r="R525" s="5"/>
      <c r="S525" s="5"/>
      <c r="U525" s="6"/>
      <c r="V525" s="9" t="str">
        <f t="shared" si="69"/>
        <v/>
      </c>
      <c r="W525" s="9" t="str">
        <f t="shared" si="70"/>
        <v/>
      </c>
      <c r="X525" s="10">
        <f>SUM(V$13:V525)/COUNTA(B$13:B525)</f>
        <v>0</v>
      </c>
      <c r="Z525" s="5"/>
      <c r="AA525" s="5"/>
      <c r="AC525" s="7"/>
      <c r="AE525" s="54" t="e">
        <f t="shared" si="71"/>
        <v>#N/A</v>
      </c>
      <c r="AF525" s="4" t="e">
        <f t="shared" ref="AF525:AF588" si="74">HLOOKUP(C525,$K$6:$O$7,2,FALSE)</f>
        <v>#N/A</v>
      </c>
    </row>
    <row r="526" spans="2:32">
      <c r="B526" s="5">
        <f t="shared" si="72"/>
        <v>514</v>
      </c>
      <c r="C526" s="5"/>
      <c r="E526" s="13"/>
      <c r="F526" s="5"/>
      <c r="G526" s="11" t="str">
        <f>IF(ISERROR(AVERAGE(F$13:F526)),"n/a",AVERAGE(F$13:F526))</f>
        <v>n/a</v>
      </c>
      <c r="H526" s="11" t="str">
        <f t="shared" ref="H526:H589" si="75">G526</f>
        <v>n/a</v>
      </c>
      <c r="J526" s="5"/>
      <c r="K526" s="5"/>
      <c r="L526" s="5"/>
      <c r="M526" s="5"/>
      <c r="N526" s="5"/>
      <c r="O526" s="8" t="str">
        <f t="shared" si="73"/>
        <v>n/a</v>
      </c>
      <c r="Q526" s="5"/>
      <c r="R526" s="5"/>
      <c r="S526" s="5"/>
      <c r="U526" s="6"/>
      <c r="V526" s="9" t="str">
        <f t="shared" ref="V526:V589" si="76">IF(O526="n/a","",IF(O526=U526,1,""))</f>
        <v/>
      </c>
      <c r="W526" s="9" t="str">
        <f t="shared" ref="W526:W589" si="77">IF(O526="n/a","",IF(O526&lt;&gt;U526,1,""))</f>
        <v/>
      </c>
      <c r="X526" s="10">
        <f>SUM(V$13:V526)/COUNTA(B$13:B526)</f>
        <v>0</v>
      </c>
      <c r="Z526" s="5"/>
      <c r="AA526" s="5"/>
      <c r="AC526" s="7"/>
      <c r="AE526" s="54" t="e">
        <f t="shared" ref="AE526:AE589" si="78">+IF($F$4=0,0,IF(W526=1,1,IF(OR(R526*$F$8=1,S526*$F$9=1,F526&gt;=AF526),2,0)))</f>
        <v>#N/A</v>
      </c>
      <c r="AF526" s="4" t="e">
        <f t="shared" si="74"/>
        <v>#N/A</v>
      </c>
    </row>
    <row r="527" spans="2:32">
      <c r="B527" s="5">
        <f t="shared" si="72"/>
        <v>515</v>
      </c>
      <c r="C527" s="5"/>
      <c r="E527" s="13"/>
      <c r="F527" s="5"/>
      <c r="G527" s="11" t="str">
        <f>IF(ISERROR(AVERAGE(F$13:F527)),"n/a",AVERAGE(F$13:F527))</f>
        <v>n/a</v>
      </c>
      <c r="H527" s="11" t="str">
        <f t="shared" si="75"/>
        <v>n/a</v>
      </c>
      <c r="J527" s="5"/>
      <c r="K527" s="5"/>
      <c r="L527" s="5"/>
      <c r="M527" s="5"/>
      <c r="N527" s="5"/>
      <c r="O527" s="8" t="str">
        <f t="shared" si="73"/>
        <v>n/a</v>
      </c>
      <c r="Q527" s="5"/>
      <c r="R527" s="5"/>
      <c r="S527" s="5"/>
      <c r="U527" s="6"/>
      <c r="V527" s="9" t="str">
        <f t="shared" si="76"/>
        <v/>
      </c>
      <c r="W527" s="9" t="str">
        <f t="shared" si="77"/>
        <v/>
      </c>
      <c r="X527" s="10">
        <f>SUM(V$13:V527)/COUNTA(B$13:B527)</f>
        <v>0</v>
      </c>
      <c r="Z527" s="5"/>
      <c r="AA527" s="5"/>
      <c r="AC527" s="7"/>
      <c r="AE527" s="54" t="e">
        <f t="shared" si="78"/>
        <v>#N/A</v>
      </c>
      <c r="AF527" s="4" t="e">
        <f t="shared" si="74"/>
        <v>#N/A</v>
      </c>
    </row>
    <row r="528" spans="2:32">
      <c r="B528" s="5">
        <f t="shared" si="72"/>
        <v>516</v>
      </c>
      <c r="C528" s="5"/>
      <c r="E528" s="13"/>
      <c r="F528" s="5"/>
      <c r="G528" s="11" t="str">
        <f>IF(ISERROR(AVERAGE(F$13:F528)),"n/a",AVERAGE(F$13:F528))</f>
        <v>n/a</v>
      </c>
      <c r="H528" s="11" t="str">
        <f t="shared" si="75"/>
        <v>n/a</v>
      </c>
      <c r="J528" s="5"/>
      <c r="K528" s="5"/>
      <c r="L528" s="5"/>
      <c r="M528" s="5"/>
      <c r="N528" s="5"/>
      <c r="O528" s="8" t="str">
        <f t="shared" si="73"/>
        <v>n/a</v>
      </c>
      <c r="Q528" s="5"/>
      <c r="R528" s="5"/>
      <c r="S528" s="5"/>
      <c r="U528" s="6"/>
      <c r="V528" s="9" t="str">
        <f t="shared" si="76"/>
        <v/>
      </c>
      <c r="W528" s="9" t="str">
        <f t="shared" si="77"/>
        <v/>
      </c>
      <c r="X528" s="10">
        <f>SUM(V$13:V528)/COUNTA(B$13:B528)</f>
        <v>0</v>
      </c>
      <c r="Z528" s="5"/>
      <c r="AA528" s="5"/>
      <c r="AC528" s="7"/>
      <c r="AE528" s="54" t="e">
        <f t="shared" si="78"/>
        <v>#N/A</v>
      </c>
      <c r="AF528" s="4" t="e">
        <f t="shared" si="74"/>
        <v>#N/A</v>
      </c>
    </row>
    <row r="529" spans="2:32">
      <c r="B529" s="5">
        <f t="shared" si="72"/>
        <v>517</v>
      </c>
      <c r="C529" s="5"/>
      <c r="E529" s="13"/>
      <c r="F529" s="5"/>
      <c r="G529" s="11" t="str">
        <f>IF(ISERROR(AVERAGE(F$13:F529)),"n/a",AVERAGE(F$13:F529))</f>
        <v>n/a</v>
      </c>
      <c r="H529" s="11" t="str">
        <f t="shared" si="75"/>
        <v>n/a</v>
      </c>
      <c r="J529" s="5"/>
      <c r="K529" s="5"/>
      <c r="L529" s="5"/>
      <c r="M529" s="5"/>
      <c r="N529" s="5"/>
      <c r="O529" s="8" t="str">
        <f t="shared" si="73"/>
        <v>n/a</v>
      </c>
      <c r="Q529" s="5"/>
      <c r="R529" s="5"/>
      <c r="S529" s="5"/>
      <c r="U529" s="6"/>
      <c r="V529" s="9" t="str">
        <f t="shared" si="76"/>
        <v/>
      </c>
      <c r="W529" s="9" t="str">
        <f t="shared" si="77"/>
        <v/>
      </c>
      <c r="X529" s="10">
        <f>SUM(V$13:V529)/COUNTA(B$13:B529)</f>
        <v>0</v>
      </c>
      <c r="Z529" s="5"/>
      <c r="AA529" s="5"/>
      <c r="AC529" s="7"/>
      <c r="AE529" s="54" t="e">
        <f t="shared" si="78"/>
        <v>#N/A</v>
      </c>
      <c r="AF529" s="4" t="e">
        <f t="shared" si="74"/>
        <v>#N/A</v>
      </c>
    </row>
    <row r="530" spans="2:32">
      <c r="B530" s="5">
        <f t="shared" si="72"/>
        <v>518</v>
      </c>
      <c r="C530" s="5"/>
      <c r="E530" s="13"/>
      <c r="F530" s="5"/>
      <c r="G530" s="11" t="str">
        <f>IF(ISERROR(AVERAGE(F$13:F530)),"n/a",AVERAGE(F$13:F530))</f>
        <v>n/a</v>
      </c>
      <c r="H530" s="11" t="str">
        <f t="shared" si="75"/>
        <v>n/a</v>
      </c>
      <c r="J530" s="5"/>
      <c r="K530" s="5"/>
      <c r="L530" s="5"/>
      <c r="M530" s="5"/>
      <c r="N530" s="5"/>
      <c r="O530" s="8" t="str">
        <f t="shared" si="73"/>
        <v>n/a</v>
      </c>
      <c r="Q530" s="5"/>
      <c r="R530" s="5"/>
      <c r="S530" s="5"/>
      <c r="U530" s="6"/>
      <c r="V530" s="9" t="str">
        <f t="shared" si="76"/>
        <v/>
      </c>
      <c r="W530" s="9" t="str">
        <f t="shared" si="77"/>
        <v/>
      </c>
      <c r="X530" s="10">
        <f>SUM(V$13:V530)/COUNTA(B$13:B530)</f>
        <v>0</v>
      </c>
      <c r="Z530" s="5"/>
      <c r="AA530" s="5"/>
      <c r="AC530" s="7"/>
      <c r="AE530" s="54" t="e">
        <f t="shared" si="78"/>
        <v>#N/A</v>
      </c>
      <c r="AF530" s="4" t="e">
        <f t="shared" si="74"/>
        <v>#N/A</v>
      </c>
    </row>
    <row r="531" spans="2:32">
      <c r="B531" s="5">
        <f t="shared" ref="B531:B594" si="79">+B530+1</f>
        <v>519</v>
      </c>
      <c r="C531" s="5"/>
      <c r="E531" s="13"/>
      <c r="F531" s="5"/>
      <c r="G531" s="11" t="str">
        <f>IF(ISERROR(AVERAGE(F$13:F531)),"n/a",AVERAGE(F$13:F531))</f>
        <v>n/a</v>
      </c>
      <c r="H531" s="11" t="str">
        <f t="shared" si="75"/>
        <v>n/a</v>
      </c>
      <c r="J531" s="5"/>
      <c r="K531" s="5"/>
      <c r="L531" s="5"/>
      <c r="M531" s="5"/>
      <c r="N531" s="5"/>
      <c r="O531" s="8" t="str">
        <f t="shared" si="73"/>
        <v>n/a</v>
      </c>
      <c r="Q531" s="5"/>
      <c r="R531" s="5"/>
      <c r="S531" s="5"/>
      <c r="U531" s="6"/>
      <c r="V531" s="9" t="str">
        <f t="shared" si="76"/>
        <v/>
      </c>
      <c r="W531" s="9" t="str">
        <f t="shared" si="77"/>
        <v/>
      </c>
      <c r="X531" s="10">
        <f>SUM(V$13:V531)/COUNTA(B$13:B531)</f>
        <v>0</v>
      </c>
      <c r="Z531" s="5"/>
      <c r="AA531" s="5"/>
      <c r="AC531" s="7"/>
      <c r="AE531" s="54" t="e">
        <f t="shared" si="78"/>
        <v>#N/A</v>
      </c>
      <c r="AF531" s="4" t="e">
        <f t="shared" si="74"/>
        <v>#N/A</v>
      </c>
    </row>
    <row r="532" spans="2:32">
      <c r="B532" s="5">
        <f t="shared" si="79"/>
        <v>520</v>
      </c>
      <c r="C532" s="5"/>
      <c r="E532" s="13"/>
      <c r="F532" s="5"/>
      <c r="G532" s="11" t="str">
        <f>IF(ISERROR(AVERAGE(F$13:F532)),"n/a",AVERAGE(F$13:F532))</f>
        <v>n/a</v>
      </c>
      <c r="H532" s="11" t="str">
        <f t="shared" si="75"/>
        <v>n/a</v>
      </c>
      <c r="J532" s="5"/>
      <c r="K532" s="5"/>
      <c r="L532" s="5"/>
      <c r="M532" s="5"/>
      <c r="N532" s="5"/>
      <c r="O532" s="8" t="str">
        <f t="shared" si="73"/>
        <v>n/a</v>
      </c>
      <c r="Q532" s="5"/>
      <c r="R532" s="5"/>
      <c r="S532" s="5"/>
      <c r="U532" s="6"/>
      <c r="V532" s="9" t="str">
        <f t="shared" si="76"/>
        <v/>
      </c>
      <c r="W532" s="9" t="str">
        <f t="shared" si="77"/>
        <v/>
      </c>
      <c r="X532" s="10">
        <f>SUM(V$13:V532)/COUNTA(B$13:B532)</f>
        <v>0</v>
      </c>
      <c r="Z532" s="5"/>
      <c r="AA532" s="5"/>
      <c r="AC532" s="7"/>
      <c r="AE532" s="54" t="e">
        <f t="shared" si="78"/>
        <v>#N/A</v>
      </c>
      <c r="AF532" s="4" t="e">
        <f t="shared" si="74"/>
        <v>#N/A</v>
      </c>
    </row>
    <row r="533" spans="2:32">
      <c r="B533" s="5">
        <f t="shared" si="79"/>
        <v>521</v>
      </c>
      <c r="C533" s="5"/>
      <c r="E533" s="13"/>
      <c r="F533" s="5"/>
      <c r="G533" s="11" t="str">
        <f>IF(ISERROR(AVERAGE(F$13:F533)),"n/a",AVERAGE(F$13:F533))</f>
        <v>n/a</v>
      </c>
      <c r="H533" s="11" t="str">
        <f t="shared" si="75"/>
        <v>n/a</v>
      </c>
      <c r="J533" s="5"/>
      <c r="K533" s="5"/>
      <c r="L533" s="5"/>
      <c r="M533" s="5"/>
      <c r="N533" s="5"/>
      <c r="O533" s="8" t="str">
        <f t="shared" si="73"/>
        <v>n/a</v>
      </c>
      <c r="Q533" s="5"/>
      <c r="R533" s="5"/>
      <c r="S533" s="5"/>
      <c r="U533" s="6"/>
      <c r="V533" s="9" t="str">
        <f t="shared" si="76"/>
        <v/>
      </c>
      <c r="W533" s="9" t="str">
        <f t="shared" si="77"/>
        <v/>
      </c>
      <c r="X533" s="10">
        <f>SUM(V$13:V533)/COUNTA(B$13:B533)</f>
        <v>0</v>
      </c>
      <c r="Z533" s="5"/>
      <c r="AA533" s="5"/>
      <c r="AC533" s="7"/>
      <c r="AE533" s="54" t="e">
        <f t="shared" si="78"/>
        <v>#N/A</v>
      </c>
      <c r="AF533" s="4" t="e">
        <f t="shared" si="74"/>
        <v>#N/A</v>
      </c>
    </row>
    <row r="534" spans="2:32">
      <c r="B534" s="5">
        <f t="shared" si="79"/>
        <v>522</v>
      </c>
      <c r="C534" s="5"/>
      <c r="E534" s="13"/>
      <c r="F534" s="5"/>
      <c r="G534" s="11" t="str">
        <f>IF(ISERROR(AVERAGE(F$13:F534)),"n/a",AVERAGE(F$13:F534))</f>
        <v>n/a</v>
      </c>
      <c r="H534" s="11" t="str">
        <f t="shared" si="75"/>
        <v>n/a</v>
      </c>
      <c r="J534" s="5"/>
      <c r="K534" s="5"/>
      <c r="L534" s="5"/>
      <c r="M534" s="5"/>
      <c r="N534" s="5"/>
      <c r="O534" s="8" t="str">
        <f t="shared" si="73"/>
        <v>n/a</v>
      </c>
      <c r="Q534" s="5"/>
      <c r="R534" s="5"/>
      <c r="S534" s="5"/>
      <c r="U534" s="6"/>
      <c r="V534" s="9" t="str">
        <f t="shared" si="76"/>
        <v/>
      </c>
      <c r="W534" s="9" t="str">
        <f t="shared" si="77"/>
        <v/>
      </c>
      <c r="X534" s="10">
        <f>SUM(V$13:V534)/COUNTA(B$13:B534)</f>
        <v>0</v>
      </c>
      <c r="Z534" s="5"/>
      <c r="AA534" s="5"/>
      <c r="AC534" s="7"/>
      <c r="AE534" s="54" t="e">
        <f t="shared" si="78"/>
        <v>#N/A</v>
      </c>
      <c r="AF534" s="4" t="e">
        <f t="shared" si="74"/>
        <v>#N/A</v>
      </c>
    </row>
    <row r="535" spans="2:32">
      <c r="B535" s="5">
        <f t="shared" si="79"/>
        <v>523</v>
      </c>
      <c r="C535" s="5"/>
      <c r="E535" s="13"/>
      <c r="F535" s="5"/>
      <c r="G535" s="11" t="str">
        <f>IF(ISERROR(AVERAGE(F$13:F535)),"n/a",AVERAGE(F$13:F535))</f>
        <v>n/a</v>
      </c>
      <c r="H535" s="11" t="str">
        <f t="shared" si="75"/>
        <v>n/a</v>
      </c>
      <c r="J535" s="5"/>
      <c r="K535" s="5"/>
      <c r="L535" s="5"/>
      <c r="M535" s="5"/>
      <c r="N535" s="5"/>
      <c r="O535" s="8" t="str">
        <f t="shared" si="73"/>
        <v>n/a</v>
      </c>
      <c r="Q535" s="5"/>
      <c r="R535" s="5"/>
      <c r="S535" s="5"/>
      <c r="U535" s="6"/>
      <c r="V535" s="9" t="str">
        <f t="shared" si="76"/>
        <v/>
      </c>
      <c r="W535" s="9" t="str">
        <f t="shared" si="77"/>
        <v/>
      </c>
      <c r="X535" s="10">
        <f>SUM(V$13:V535)/COUNTA(B$13:B535)</f>
        <v>0</v>
      </c>
      <c r="Z535" s="5"/>
      <c r="AA535" s="5"/>
      <c r="AC535" s="7"/>
      <c r="AE535" s="54" t="e">
        <f t="shared" si="78"/>
        <v>#N/A</v>
      </c>
      <c r="AF535" s="4" t="e">
        <f t="shared" si="74"/>
        <v>#N/A</v>
      </c>
    </row>
    <row r="536" spans="2:32">
      <c r="B536" s="5">
        <f t="shared" si="79"/>
        <v>524</v>
      </c>
      <c r="C536" s="5"/>
      <c r="E536" s="13"/>
      <c r="F536" s="5"/>
      <c r="G536" s="11" t="str">
        <f>IF(ISERROR(AVERAGE(F$13:F536)),"n/a",AVERAGE(F$13:F536))</f>
        <v>n/a</v>
      </c>
      <c r="H536" s="11" t="str">
        <f t="shared" si="75"/>
        <v>n/a</v>
      </c>
      <c r="J536" s="5"/>
      <c r="K536" s="5"/>
      <c r="L536" s="5"/>
      <c r="M536" s="5"/>
      <c r="N536" s="5"/>
      <c r="O536" s="8" t="str">
        <f t="shared" si="73"/>
        <v>n/a</v>
      </c>
      <c r="Q536" s="5"/>
      <c r="R536" s="5"/>
      <c r="S536" s="5"/>
      <c r="U536" s="6"/>
      <c r="V536" s="9" t="str">
        <f t="shared" si="76"/>
        <v/>
      </c>
      <c r="W536" s="9" t="str">
        <f t="shared" si="77"/>
        <v/>
      </c>
      <c r="X536" s="10">
        <f>SUM(V$13:V536)/COUNTA(B$13:B536)</f>
        <v>0</v>
      </c>
      <c r="Z536" s="5"/>
      <c r="AA536" s="5"/>
      <c r="AC536" s="7"/>
      <c r="AE536" s="54" t="e">
        <f t="shared" si="78"/>
        <v>#N/A</v>
      </c>
      <c r="AF536" s="4" t="e">
        <f t="shared" si="74"/>
        <v>#N/A</v>
      </c>
    </row>
    <row r="537" spans="2:32">
      <c r="B537" s="5">
        <f t="shared" si="79"/>
        <v>525</v>
      </c>
      <c r="C537" s="5"/>
      <c r="E537" s="13"/>
      <c r="F537" s="5"/>
      <c r="G537" s="11" t="str">
        <f>IF(ISERROR(AVERAGE(F$13:F537)),"n/a",AVERAGE(F$13:F537))</f>
        <v>n/a</v>
      </c>
      <c r="H537" s="11" t="str">
        <f t="shared" si="75"/>
        <v>n/a</v>
      </c>
      <c r="J537" s="5"/>
      <c r="K537" s="5"/>
      <c r="L537" s="5"/>
      <c r="M537" s="5"/>
      <c r="N537" s="5"/>
      <c r="O537" s="8" t="str">
        <f t="shared" si="73"/>
        <v>n/a</v>
      </c>
      <c r="Q537" s="5"/>
      <c r="R537" s="5"/>
      <c r="S537" s="5"/>
      <c r="U537" s="6"/>
      <c r="V537" s="9" t="str">
        <f t="shared" si="76"/>
        <v/>
      </c>
      <c r="W537" s="9" t="str">
        <f t="shared" si="77"/>
        <v/>
      </c>
      <c r="X537" s="10">
        <f>SUM(V$13:V537)/COUNTA(B$13:B537)</f>
        <v>0</v>
      </c>
      <c r="Z537" s="5"/>
      <c r="AA537" s="5"/>
      <c r="AC537" s="7"/>
      <c r="AE537" s="54" t="e">
        <f t="shared" si="78"/>
        <v>#N/A</v>
      </c>
      <c r="AF537" s="4" t="e">
        <f t="shared" si="74"/>
        <v>#N/A</v>
      </c>
    </row>
    <row r="538" spans="2:32">
      <c r="B538" s="5">
        <f t="shared" si="79"/>
        <v>526</v>
      </c>
      <c r="C538" s="5"/>
      <c r="E538" s="13"/>
      <c r="F538" s="5"/>
      <c r="G538" s="11" t="str">
        <f>IF(ISERROR(AVERAGE(F$13:F538)),"n/a",AVERAGE(F$13:F538))</f>
        <v>n/a</v>
      </c>
      <c r="H538" s="11" t="str">
        <f t="shared" si="75"/>
        <v>n/a</v>
      </c>
      <c r="J538" s="5"/>
      <c r="K538" s="5"/>
      <c r="L538" s="5"/>
      <c r="M538" s="5"/>
      <c r="N538" s="5"/>
      <c r="O538" s="8" t="str">
        <f t="shared" si="73"/>
        <v>n/a</v>
      </c>
      <c r="Q538" s="5"/>
      <c r="R538" s="5"/>
      <c r="S538" s="5"/>
      <c r="U538" s="6"/>
      <c r="V538" s="9" t="str">
        <f t="shared" si="76"/>
        <v/>
      </c>
      <c r="W538" s="9" t="str">
        <f t="shared" si="77"/>
        <v/>
      </c>
      <c r="X538" s="10">
        <f>SUM(V$13:V538)/COUNTA(B$13:B538)</f>
        <v>0</v>
      </c>
      <c r="Z538" s="5"/>
      <c r="AA538" s="5"/>
      <c r="AC538" s="7"/>
      <c r="AE538" s="54" t="e">
        <f t="shared" si="78"/>
        <v>#N/A</v>
      </c>
      <c r="AF538" s="4" t="e">
        <f t="shared" si="74"/>
        <v>#N/A</v>
      </c>
    </row>
    <row r="539" spans="2:32">
      <c r="B539" s="5">
        <f t="shared" si="79"/>
        <v>527</v>
      </c>
      <c r="C539" s="5"/>
      <c r="E539" s="13"/>
      <c r="F539" s="5"/>
      <c r="G539" s="11" t="str">
        <f>IF(ISERROR(AVERAGE(F$13:F539)),"n/a",AVERAGE(F$13:F539))</f>
        <v>n/a</v>
      </c>
      <c r="H539" s="11" t="str">
        <f t="shared" si="75"/>
        <v>n/a</v>
      </c>
      <c r="J539" s="5"/>
      <c r="K539" s="5"/>
      <c r="L539" s="5"/>
      <c r="M539" s="5"/>
      <c r="N539" s="5"/>
      <c r="O539" s="8" t="str">
        <f t="shared" si="73"/>
        <v>n/a</v>
      </c>
      <c r="Q539" s="5"/>
      <c r="R539" s="5"/>
      <c r="S539" s="5"/>
      <c r="U539" s="6"/>
      <c r="V539" s="9" t="str">
        <f t="shared" si="76"/>
        <v/>
      </c>
      <c r="W539" s="9" t="str">
        <f t="shared" si="77"/>
        <v/>
      </c>
      <c r="X539" s="10">
        <f>SUM(V$13:V539)/COUNTA(B$13:B539)</f>
        <v>0</v>
      </c>
      <c r="Z539" s="5"/>
      <c r="AA539" s="5"/>
      <c r="AC539" s="7"/>
      <c r="AE539" s="54" t="e">
        <f t="shared" si="78"/>
        <v>#N/A</v>
      </c>
      <c r="AF539" s="4" t="e">
        <f t="shared" si="74"/>
        <v>#N/A</v>
      </c>
    </row>
    <row r="540" spans="2:32">
      <c r="B540" s="5">
        <f t="shared" si="79"/>
        <v>528</v>
      </c>
      <c r="C540" s="5"/>
      <c r="E540" s="13"/>
      <c r="F540" s="5"/>
      <c r="G540" s="11" t="str">
        <f>IF(ISERROR(AVERAGE(F$13:F540)),"n/a",AVERAGE(F$13:F540))</f>
        <v>n/a</v>
      </c>
      <c r="H540" s="11" t="str">
        <f t="shared" si="75"/>
        <v>n/a</v>
      </c>
      <c r="J540" s="5"/>
      <c r="K540" s="5"/>
      <c r="L540" s="5"/>
      <c r="M540" s="5"/>
      <c r="N540" s="5"/>
      <c r="O540" s="8" t="str">
        <f t="shared" si="73"/>
        <v>n/a</v>
      </c>
      <c r="Q540" s="5"/>
      <c r="R540" s="5"/>
      <c r="S540" s="5"/>
      <c r="U540" s="6"/>
      <c r="V540" s="9" t="str">
        <f t="shared" si="76"/>
        <v/>
      </c>
      <c r="W540" s="9" t="str">
        <f t="shared" si="77"/>
        <v/>
      </c>
      <c r="X540" s="10">
        <f>SUM(V$13:V540)/COUNTA(B$13:B540)</f>
        <v>0</v>
      </c>
      <c r="Z540" s="5"/>
      <c r="AA540" s="5"/>
      <c r="AC540" s="7"/>
      <c r="AE540" s="54" t="e">
        <f t="shared" si="78"/>
        <v>#N/A</v>
      </c>
      <c r="AF540" s="4" t="e">
        <f t="shared" si="74"/>
        <v>#N/A</v>
      </c>
    </row>
    <row r="541" spans="2:32">
      <c r="B541" s="5">
        <f t="shared" si="79"/>
        <v>529</v>
      </c>
      <c r="C541" s="5"/>
      <c r="E541" s="13"/>
      <c r="F541" s="5"/>
      <c r="G541" s="11" t="str">
        <f>IF(ISERROR(AVERAGE(F$13:F541)),"n/a",AVERAGE(F$13:F541))</f>
        <v>n/a</v>
      </c>
      <c r="H541" s="11" t="str">
        <f t="shared" si="75"/>
        <v>n/a</v>
      </c>
      <c r="J541" s="5"/>
      <c r="K541" s="5"/>
      <c r="L541" s="5"/>
      <c r="M541" s="5"/>
      <c r="N541" s="5"/>
      <c r="O541" s="8" t="str">
        <f t="shared" si="73"/>
        <v>n/a</v>
      </c>
      <c r="Q541" s="5"/>
      <c r="R541" s="5"/>
      <c r="S541" s="5"/>
      <c r="U541" s="6"/>
      <c r="V541" s="9" t="str">
        <f t="shared" si="76"/>
        <v/>
      </c>
      <c r="W541" s="9" t="str">
        <f t="shared" si="77"/>
        <v/>
      </c>
      <c r="X541" s="10">
        <f>SUM(V$13:V541)/COUNTA(B$13:B541)</f>
        <v>0</v>
      </c>
      <c r="Z541" s="5"/>
      <c r="AA541" s="5"/>
      <c r="AC541" s="7"/>
      <c r="AE541" s="54" t="e">
        <f t="shared" si="78"/>
        <v>#N/A</v>
      </c>
      <c r="AF541" s="4" t="e">
        <f t="shared" si="74"/>
        <v>#N/A</v>
      </c>
    </row>
    <row r="542" spans="2:32">
      <c r="B542" s="5">
        <f t="shared" si="79"/>
        <v>530</v>
      </c>
      <c r="C542" s="5"/>
      <c r="E542" s="13"/>
      <c r="F542" s="5"/>
      <c r="G542" s="11" t="str">
        <f>IF(ISERROR(AVERAGE(F$13:F542)),"n/a",AVERAGE(F$13:F542))</f>
        <v>n/a</v>
      </c>
      <c r="H542" s="11" t="str">
        <f t="shared" si="75"/>
        <v>n/a</v>
      </c>
      <c r="J542" s="5"/>
      <c r="K542" s="5"/>
      <c r="L542" s="5"/>
      <c r="M542" s="5"/>
      <c r="N542" s="5"/>
      <c r="O542" s="8" t="str">
        <f t="shared" si="73"/>
        <v>n/a</v>
      </c>
      <c r="Q542" s="5"/>
      <c r="R542" s="5"/>
      <c r="S542" s="5"/>
      <c r="U542" s="6"/>
      <c r="V542" s="9" t="str">
        <f t="shared" si="76"/>
        <v/>
      </c>
      <c r="W542" s="9" t="str">
        <f t="shared" si="77"/>
        <v/>
      </c>
      <c r="X542" s="10">
        <f>SUM(V$13:V542)/COUNTA(B$13:B542)</f>
        <v>0</v>
      </c>
      <c r="Z542" s="5"/>
      <c r="AA542" s="5"/>
      <c r="AC542" s="7"/>
      <c r="AE542" s="54" t="e">
        <f t="shared" si="78"/>
        <v>#N/A</v>
      </c>
      <c r="AF542" s="4" t="e">
        <f t="shared" si="74"/>
        <v>#N/A</v>
      </c>
    </row>
    <row r="543" spans="2:32">
      <c r="B543" s="5">
        <f t="shared" si="79"/>
        <v>531</v>
      </c>
      <c r="C543" s="5"/>
      <c r="E543" s="13"/>
      <c r="F543" s="5"/>
      <c r="G543" s="11" t="str">
        <f>IF(ISERROR(AVERAGE(F$13:F543)),"n/a",AVERAGE(F$13:F543))</f>
        <v>n/a</v>
      </c>
      <c r="H543" s="11" t="str">
        <f t="shared" si="75"/>
        <v>n/a</v>
      </c>
      <c r="J543" s="5"/>
      <c r="K543" s="5"/>
      <c r="L543" s="5"/>
      <c r="M543" s="5"/>
      <c r="N543" s="5"/>
      <c r="O543" s="8" t="str">
        <f t="shared" si="73"/>
        <v>n/a</v>
      </c>
      <c r="Q543" s="5"/>
      <c r="R543" s="5"/>
      <c r="S543" s="5"/>
      <c r="U543" s="6"/>
      <c r="V543" s="9" t="str">
        <f t="shared" si="76"/>
        <v/>
      </c>
      <c r="W543" s="9" t="str">
        <f t="shared" si="77"/>
        <v/>
      </c>
      <c r="X543" s="10">
        <f>SUM(V$13:V543)/COUNTA(B$13:B543)</f>
        <v>0</v>
      </c>
      <c r="Z543" s="5"/>
      <c r="AA543" s="5"/>
      <c r="AC543" s="7"/>
      <c r="AE543" s="54" t="e">
        <f t="shared" si="78"/>
        <v>#N/A</v>
      </c>
      <c r="AF543" s="4" t="e">
        <f t="shared" si="74"/>
        <v>#N/A</v>
      </c>
    </row>
    <row r="544" spans="2:32">
      <c r="B544" s="5">
        <f t="shared" si="79"/>
        <v>532</v>
      </c>
      <c r="C544" s="5"/>
      <c r="E544" s="13"/>
      <c r="F544" s="5"/>
      <c r="G544" s="11" t="str">
        <f>IF(ISERROR(AVERAGE(F$13:F544)),"n/a",AVERAGE(F$13:F544))</f>
        <v>n/a</v>
      </c>
      <c r="H544" s="11" t="str">
        <f t="shared" si="75"/>
        <v>n/a</v>
      </c>
      <c r="J544" s="5"/>
      <c r="K544" s="5"/>
      <c r="L544" s="5"/>
      <c r="M544" s="5"/>
      <c r="N544" s="5"/>
      <c r="O544" s="8" t="str">
        <f t="shared" si="73"/>
        <v>n/a</v>
      </c>
      <c r="Q544" s="5"/>
      <c r="R544" s="5"/>
      <c r="S544" s="5"/>
      <c r="U544" s="6"/>
      <c r="V544" s="9" t="str">
        <f t="shared" si="76"/>
        <v/>
      </c>
      <c r="W544" s="9" t="str">
        <f t="shared" si="77"/>
        <v/>
      </c>
      <c r="X544" s="10">
        <f>SUM(V$13:V544)/COUNTA(B$13:B544)</f>
        <v>0</v>
      </c>
      <c r="Z544" s="5"/>
      <c r="AA544" s="5"/>
      <c r="AC544" s="7"/>
      <c r="AE544" s="54" t="e">
        <f t="shared" si="78"/>
        <v>#N/A</v>
      </c>
      <c r="AF544" s="4" t="e">
        <f t="shared" si="74"/>
        <v>#N/A</v>
      </c>
    </row>
    <row r="545" spans="2:32">
      <c r="B545" s="5">
        <f t="shared" si="79"/>
        <v>533</v>
      </c>
      <c r="C545" s="5"/>
      <c r="E545" s="13"/>
      <c r="F545" s="5"/>
      <c r="G545" s="11" t="str">
        <f>IF(ISERROR(AVERAGE(F$13:F545)),"n/a",AVERAGE(F$13:F545))</f>
        <v>n/a</v>
      </c>
      <c r="H545" s="11" t="str">
        <f t="shared" si="75"/>
        <v>n/a</v>
      </c>
      <c r="J545" s="5"/>
      <c r="K545" s="5"/>
      <c r="L545" s="5"/>
      <c r="M545" s="5"/>
      <c r="N545" s="5"/>
      <c r="O545" s="8" t="str">
        <f t="shared" si="73"/>
        <v>n/a</v>
      </c>
      <c r="Q545" s="5"/>
      <c r="R545" s="5"/>
      <c r="S545" s="5"/>
      <c r="U545" s="6"/>
      <c r="V545" s="9" t="str">
        <f t="shared" si="76"/>
        <v/>
      </c>
      <c r="W545" s="9" t="str">
        <f t="shared" si="77"/>
        <v/>
      </c>
      <c r="X545" s="10">
        <f>SUM(V$13:V545)/COUNTA(B$13:B545)</f>
        <v>0</v>
      </c>
      <c r="Z545" s="5"/>
      <c r="AA545" s="5"/>
      <c r="AC545" s="7"/>
      <c r="AE545" s="54" t="e">
        <f t="shared" si="78"/>
        <v>#N/A</v>
      </c>
      <c r="AF545" s="4" t="e">
        <f t="shared" si="74"/>
        <v>#N/A</v>
      </c>
    </row>
    <row r="546" spans="2:32">
      <c r="B546" s="5">
        <f t="shared" si="79"/>
        <v>534</v>
      </c>
      <c r="C546" s="5"/>
      <c r="E546" s="13"/>
      <c r="F546" s="5"/>
      <c r="G546" s="11" t="str">
        <f>IF(ISERROR(AVERAGE(F$13:F546)),"n/a",AVERAGE(F$13:F546))</f>
        <v>n/a</v>
      </c>
      <c r="H546" s="11" t="str">
        <f t="shared" si="75"/>
        <v>n/a</v>
      </c>
      <c r="J546" s="5"/>
      <c r="K546" s="5"/>
      <c r="L546" s="5"/>
      <c r="M546" s="5"/>
      <c r="N546" s="5"/>
      <c r="O546" s="8" t="str">
        <f t="shared" si="73"/>
        <v>n/a</v>
      </c>
      <c r="Q546" s="5"/>
      <c r="R546" s="5"/>
      <c r="S546" s="5"/>
      <c r="U546" s="6"/>
      <c r="V546" s="9" t="str">
        <f t="shared" si="76"/>
        <v/>
      </c>
      <c r="W546" s="9" t="str">
        <f t="shared" si="77"/>
        <v/>
      </c>
      <c r="X546" s="10">
        <f>SUM(V$13:V546)/COUNTA(B$13:B546)</f>
        <v>0</v>
      </c>
      <c r="Z546" s="5"/>
      <c r="AA546" s="5"/>
      <c r="AC546" s="7"/>
      <c r="AE546" s="54" t="e">
        <f t="shared" si="78"/>
        <v>#N/A</v>
      </c>
      <c r="AF546" s="4" t="e">
        <f t="shared" si="74"/>
        <v>#N/A</v>
      </c>
    </row>
    <row r="547" spans="2:32">
      <c r="B547" s="5">
        <f t="shared" si="79"/>
        <v>535</v>
      </c>
      <c r="C547" s="5"/>
      <c r="E547" s="13"/>
      <c r="F547" s="5"/>
      <c r="G547" s="11" t="str">
        <f>IF(ISERROR(AVERAGE(F$13:F547)),"n/a",AVERAGE(F$13:F547))</f>
        <v>n/a</v>
      </c>
      <c r="H547" s="11" t="str">
        <f t="shared" si="75"/>
        <v>n/a</v>
      </c>
      <c r="J547" s="5"/>
      <c r="K547" s="5"/>
      <c r="L547" s="5"/>
      <c r="M547" s="5"/>
      <c r="N547" s="5"/>
      <c r="O547" s="8" t="str">
        <f t="shared" si="73"/>
        <v>n/a</v>
      </c>
      <c r="Q547" s="5"/>
      <c r="R547" s="5"/>
      <c r="S547" s="5"/>
      <c r="U547" s="6"/>
      <c r="V547" s="9" t="str">
        <f t="shared" si="76"/>
        <v/>
      </c>
      <c r="W547" s="9" t="str">
        <f t="shared" si="77"/>
        <v/>
      </c>
      <c r="X547" s="10">
        <f>SUM(V$13:V547)/COUNTA(B$13:B547)</f>
        <v>0</v>
      </c>
      <c r="Z547" s="5"/>
      <c r="AA547" s="5"/>
      <c r="AC547" s="7"/>
      <c r="AE547" s="54" t="e">
        <f t="shared" si="78"/>
        <v>#N/A</v>
      </c>
      <c r="AF547" s="4" t="e">
        <f t="shared" si="74"/>
        <v>#N/A</v>
      </c>
    </row>
    <row r="548" spans="2:32">
      <c r="B548" s="5">
        <f t="shared" si="79"/>
        <v>536</v>
      </c>
      <c r="C548" s="5"/>
      <c r="E548" s="13"/>
      <c r="F548" s="5"/>
      <c r="G548" s="11" t="str">
        <f>IF(ISERROR(AVERAGE(F$13:F548)),"n/a",AVERAGE(F$13:F548))</f>
        <v>n/a</v>
      </c>
      <c r="H548" s="11" t="str">
        <f t="shared" si="75"/>
        <v>n/a</v>
      </c>
      <c r="J548" s="5"/>
      <c r="K548" s="5"/>
      <c r="L548" s="5"/>
      <c r="M548" s="5"/>
      <c r="N548" s="5"/>
      <c r="O548" s="8" t="str">
        <f t="shared" si="73"/>
        <v>n/a</v>
      </c>
      <c r="Q548" s="5"/>
      <c r="R548" s="5"/>
      <c r="S548" s="5"/>
      <c r="U548" s="6"/>
      <c r="V548" s="9" t="str">
        <f t="shared" si="76"/>
        <v/>
      </c>
      <c r="W548" s="9" t="str">
        <f t="shared" si="77"/>
        <v/>
      </c>
      <c r="X548" s="10">
        <f>SUM(V$13:V548)/COUNTA(B$13:B548)</f>
        <v>0</v>
      </c>
      <c r="Z548" s="5"/>
      <c r="AA548" s="5"/>
      <c r="AC548" s="7"/>
      <c r="AE548" s="54" t="e">
        <f t="shared" si="78"/>
        <v>#N/A</v>
      </c>
      <c r="AF548" s="4" t="e">
        <f t="shared" si="74"/>
        <v>#N/A</v>
      </c>
    </row>
    <row r="549" spans="2:32">
      <c r="B549" s="5">
        <f t="shared" si="79"/>
        <v>537</v>
      </c>
      <c r="C549" s="5"/>
      <c r="E549" s="13"/>
      <c r="F549" s="5"/>
      <c r="G549" s="11" t="str">
        <f>IF(ISERROR(AVERAGE(F$13:F549)),"n/a",AVERAGE(F$13:F549))</f>
        <v>n/a</v>
      </c>
      <c r="H549" s="11" t="str">
        <f t="shared" si="75"/>
        <v>n/a</v>
      </c>
      <c r="J549" s="5"/>
      <c r="K549" s="5"/>
      <c r="L549" s="5"/>
      <c r="M549" s="5"/>
      <c r="N549" s="5"/>
      <c r="O549" s="8" t="str">
        <f t="shared" si="73"/>
        <v>n/a</v>
      </c>
      <c r="Q549" s="5"/>
      <c r="R549" s="5"/>
      <c r="S549" s="5"/>
      <c r="U549" s="6"/>
      <c r="V549" s="9" t="str">
        <f t="shared" si="76"/>
        <v/>
      </c>
      <c r="W549" s="9" t="str">
        <f t="shared" si="77"/>
        <v/>
      </c>
      <c r="X549" s="10">
        <f>SUM(V$13:V549)/COUNTA(B$13:B549)</f>
        <v>0</v>
      </c>
      <c r="Z549" s="5"/>
      <c r="AA549" s="5"/>
      <c r="AC549" s="7"/>
      <c r="AE549" s="54" t="e">
        <f t="shared" si="78"/>
        <v>#N/A</v>
      </c>
      <c r="AF549" s="4" t="e">
        <f t="shared" si="74"/>
        <v>#N/A</v>
      </c>
    </row>
    <row r="550" spans="2:32">
      <c r="B550" s="5">
        <f t="shared" si="79"/>
        <v>538</v>
      </c>
      <c r="C550" s="5"/>
      <c r="E550" s="13"/>
      <c r="F550" s="5"/>
      <c r="G550" s="11" t="str">
        <f>IF(ISERROR(AVERAGE(F$13:F550)),"n/a",AVERAGE(F$13:F550))</f>
        <v>n/a</v>
      </c>
      <c r="H550" s="11" t="str">
        <f t="shared" si="75"/>
        <v>n/a</v>
      </c>
      <c r="J550" s="5"/>
      <c r="K550" s="5"/>
      <c r="L550" s="5"/>
      <c r="M550" s="5"/>
      <c r="N550" s="5"/>
      <c r="O550" s="8" t="str">
        <f t="shared" si="73"/>
        <v>n/a</v>
      </c>
      <c r="Q550" s="5"/>
      <c r="R550" s="5"/>
      <c r="S550" s="5"/>
      <c r="U550" s="6"/>
      <c r="V550" s="9" t="str">
        <f t="shared" si="76"/>
        <v/>
      </c>
      <c r="W550" s="9" t="str">
        <f t="shared" si="77"/>
        <v/>
      </c>
      <c r="X550" s="10">
        <f>SUM(V$13:V550)/COUNTA(B$13:B550)</f>
        <v>0</v>
      </c>
      <c r="Z550" s="5"/>
      <c r="AA550" s="5"/>
      <c r="AC550" s="7"/>
      <c r="AE550" s="54" t="e">
        <f t="shared" si="78"/>
        <v>#N/A</v>
      </c>
      <c r="AF550" s="4" t="e">
        <f t="shared" si="74"/>
        <v>#N/A</v>
      </c>
    </row>
    <row r="551" spans="2:32">
      <c r="B551" s="5">
        <f t="shared" si="79"/>
        <v>539</v>
      </c>
      <c r="C551" s="5"/>
      <c r="E551" s="13"/>
      <c r="F551" s="5"/>
      <c r="G551" s="11" t="str">
        <f>IF(ISERROR(AVERAGE(F$13:F551)),"n/a",AVERAGE(F$13:F551))</f>
        <v>n/a</v>
      </c>
      <c r="H551" s="11" t="str">
        <f t="shared" si="75"/>
        <v>n/a</v>
      </c>
      <c r="J551" s="5"/>
      <c r="K551" s="5"/>
      <c r="L551" s="5"/>
      <c r="M551" s="5"/>
      <c r="N551" s="5"/>
      <c r="O551" s="8" t="str">
        <f t="shared" si="73"/>
        <v>n/a</v>
      </c>
      <c r="Q551" s="5"/>
      <c r="R551" s="5"/>
      <c r="S551" s="5"/>
      <c r="U551" s="6"/>
      <c r="V551" s="9" t="str">
        <f t="shared" si="76"/>
        <v/>
      </c>
      <c r="W551" s="9" t="str">
        <f t="shared" si="77"/>
        <v/>
      </c>
      <c r="X551" s="10">
        <f>SUM(V$13:V551)/COUNTA(B$13:B551)</f>
        <v>0</v>
      </c>
      <c r="Z551" s="5"/>
      <c r="AA551" s="5"/>
      <c r="AC551" s="7"/>
      <c r="AE551" s="54" t="e">
        <f t="shared" si="78"/>
        <v>#N/A</v>
      </c>
      <c r="AF551" s="4" t="e">
        <f t="shared" si="74"/>
        <v>#N/A</v>
      </c>
    </row>
    <row r="552" spans="2:32">
      <c r="B552" s="5">
        <f t="shared" si="79"/>
        <v>540</v>
      </c>
      <c r="C552" s="5"/>
      <c r="E552" s="13"/>
      <c r="F552" s="5"/>
      <c r="G552" s="11" t="str">
        <f>IF(ISERROR(AVERAGE(F$13:F552)),"n/a",AVERAGE(F$13:F552))</f>
        <v>n/a</v>
      </c>
      <c r="H552" s="11" t="str">
        <f t="shared" si="75"/>
        <v>n/a</v>
      </c>
      <c r="J552" s="5"/>
      <c r="K552" s="5"/>
      <c r="L552" s="5"/>
      <c r="M552" s="5"/>
      <c r="N552" s="5"/>
      <c r="O552" s="8" t="str">
        <f t="shared" si="73"/>
        <v>n/a</v>
      </c>
      <c r="Q552" s="5"/>
      <c r="R552" s="5"/>
      <c r="S552" s="5"/>
      <c r="U552" s="6"/>
      <c r="V552" s="9" t="str">
        <f t="shared" si="76"/>
        <v/>
      </c>
      <c r="W552" s="9" t="str">
        <f t="shared" si="77"/>
        <v/>
      </c>
      <c r="X552" s="10">
        <f>SUM(V$13:V552)/COUNTA(B$13:B552)</f>
        <v>0</v>
      </c>
      <c r="Z552" s="5"/>
      <c r="AA552" s="5"/>
      <c r="AC552" s="7"/>
      <c r="AE552" s="54" t="e">
        <f t="shared" si="78"/>
        <v>#N/A</v>
      </c>
      <c r="AF552" s="4" t="e">
        <f t="shared" si="74"/>
        <v>#N/A</v>
      </c>
    </row>
    <row r="553" spans="2:32">
      <c r="B553" s="5">
        <f t="shared" si="79"/>
        <v>541</v>
      </c>
      <c r="C553" s="5"/>
      <c r="E553" s="13"/>
      <c r="F553" s="5"/>
      <c r="G553" s="11" t="str">
        <f>IF(ISERROR(AVERAGE(F$13:F553)),"n/a",AVERAGE(F$13:F553))</f>
        <v>n/a</v>
      </c>
      <c r="H553" s="11" t="str">
        <f t="shared" si="75"/>
        <v>n/a</v>
      </c>
      <c r="J553" s="5"/>
      <c r="K553" s="5"/>
      <c r="L553" s="5"/>
      <c r="M553" s="5"/>
      <c r="N553" s="5"/>
      <c r="O553" s="8" t="str">
        <f t="shared" si="73"/>
        <v>n/a</v>
      </c>
      <c r="Q553" s="5"/>
      <c r="R553" s="5"/>
      <c r="S553" s="5"/>
      <c r="U553" s="6"/>
      <c r="V553" s="9" t="str">
        <f t="shared" si="76"/>
        <v/>
      </c>
      <c r="W553" s="9" t="str">
        <f t="shared" si="77"/>
        <v/>
      </c>
      <c r="X553" s="10">
        <f>SUM(V$13:V553)/COUNTA(B$13:B553)</f>
        <v>0</v>
      </c>
      <c r="Z553" s="5"/>
      <c r="AA553" s="5"/>
      <c r="AC553" s="7"/>
      <c r="AE553" s="54" t="e">
        <f t="shared" si="78"/>
        <v>#N/A</v>
      </c>
      <c r="AF553" s="4" t="e">
        <f t="shared" si="74"/>
        <v>#N/A</v>
      </c>
    </row>
    <row r="554" spans="2:32">
      <c r="B554" s="5">
        <f t="shared" si="79"/>
        <v>542</v>
      </c>
      <c r="C554" s="5"/>
      <c r="E554" s="13"/>
      <c r="F554" s="5"/>
      <c r="G554" s="11" t="str">
        <f>IF(ISERROR(AVERAGE(F$13:F554)),"n/a",AVERAGE(F$13:F554))</f>
        <v>n/a</v>
      </c>
      <c r="H554" s="11" t="str">
        <f t="shared" si="75"/>
        <v>n/a</v>
      </c>
      <c r="J554" s="5"/>
      <c r="K554" s="5"/>
      <c r="L554" s="5"/>
      <c r="M554" s="5"/>
      <c r="N554" s="5"/>
      <c r="O554" s="8" t="str">
        <f t="shared" si="73"/>
        <v>n/a</v>
      </c>
      <c r="Q554" s="5"/>
      <c r="R554" s="5"/>
      <c r="S554" s="5"/>
      <c r="U554" s="6"/>
      <c r="V554" s="9" t="str">
        <f t="shared" si="76"/>
        <v/>
      </c>
      <c r="W554" s="9" t="str">
        <f t="shared" si="77"/>
        <v/>
      </c>
      <c r="X554" s="10">
        <f>SUM(V$13:V554)/COUNTA(B$13:B554)</f>
        <v>0</v>
      </c>
      <c r="Z554" s="5"/>
      <c r="AA554" s="5"/>
      <c r="AC554" s="7"/>
      <c r="AE554" s="54" t="e">
        <f t="shared" si="78"/>
        <v>#N/A</v>
      </c>
      <c r="AF554" s="4" t="e">
        <f t="shared" si="74"/>
        <v>#N/A</v>
      </c>
    </row>
    <row r="555" spans="2:32">
      <c r="B555" s="5">
        <f t="shared" si="79"/>
        <v>543</v>
      </c>
      <c r="C555" s="5"/>
      <c r="E555" s="13"/>
      <c r="F555" s="5"/>
      <c r="G555" s="11" t="str">
        <f>IF(ISERROR(AVERAGE(F$13:F555)),"n/a",AVERAGE(F$13:F555))</f>
        <v>n/a</v>
      </c>
      <c r="H555" s="11" t="str">
        <f t="shared" si="75"/>
        <v>n/a</v>
      </c>
      <c r="J555" s="5"/>
      <c r="K555" s="5"/>
      <c r="L555" s="5"/>
      <c r="M555" s="5"/>
      <c r="N555" s="5"/>
      <c r="O555" s="8" t="str">
        <f t="shared" si="73"/>
        <v>n/a</v>
      </c>
      <c r="Q555" s="5"/>
      <c r="R555" s="5"/>
      <c r="S555" s="5"/>
      <c r="U555" s="6"/>
      <c r="V555" s="9" t="str">
        <f t="shared" si="76"/>
        <v/>
      </c>
      <c r="W555" s="9" t="str">
        <f t="shared" si="77"/>
        <v/>
      </c>
      <c r="X555" s="10">
        <f>SUM(V$13:V555)/COUNTA(B$13:B555)</f>
        <v>0</v>
      </c>
      <c r="Z555" s="5"/>
      <c r="AA555" s="5"/>
      <c r="AC555" s="7"/>
      <c r="AE555" s="54" t="e">
        <f t="shared" si="78"/>
        <v>#N/A</v>
      </c>
      <c r="AF555" s="4" t="e">
        <f t="shared" si="74"/>
        <v>#N/A</v>
      </c>
    </row>
    <row r="556" spans="2:32">
      <c r="B556" s="5">
        <f t="shared" si="79"/>
        <v>544</v>
      </c>
      <c r="C556" s="5"/>
      <c r="E556" s="13"/>
      <c r="F556" s="5"/>
      <c r="G556" s="11" t="str">
        <f>IF(ISERROR(AVERAGE(F$13:F556)),"n/a",AVERAGE(F$13:F556))</f>
        <v>n/a</v>
      </c>
      <c r="H556" s="11" t="str">
        <f t="shared" si="75"/>
        <v>n/a</v>
      </c>
      <c r="J556" s="5"/>
      <c r="K556" s="5"/>
      <c r="L556" s="5"/>
      <c r="M556" s="5"/>
      <c r="N556" s="5"/>
      <c r="O556" s="8" t="str">
        <f t="shared" si="73"/>
        <v>n/a</v>
      </c>
      <c r="Q556" s="5"/>
      <c r="R556" s="5"/>
      <c r="S556" s="5"/>
      <c r="U556" s="6"/>
      <c r="V556" s="9" t="str">
        <f t="shared" si="76"/>
        <v/>
      </c>
      <c r="W556" s="9" t="str">
        <f t="shared" si="77"/>
        <v/>
      </c>
      <c r="X556" s="10">
        <f>SUM(V$13:V556)/COUNTA(B$13:B556)</f>
        <v>0</v>
      </c>
      <c r="Z556" s="5"/>
      <c r="AA556" s="5"/>
      <c r="AC556" s="7"/>
      <c r="AE556" s="54" t="e">
        <f t="shared" si="78"/>
        <v>#N/A</v>
      </c>
      <c r="AF556" s="4" t="e">
        <f t="shared" si="74"/>
        <v>#N/A</v>
      </c>
    </row>
    <row r="557" spans="2:32">
      <c r="B557" s="5">
        <f t="shared" si="79"/>
        <v>545</v>
      </c>
      <c r="C557" s="5"/>
      <c r="E557" s="13"/>
      <c r="F557" s="5"/>
      <c r="G557" s="11" t="str">
        <f>IF(ISERROR(AVERAGE(F$13:F557)),"n/a",AVERAGE(F$13:F557))</f>
        <v>n/a</v>
      </c>
      <c r="H557" s="11" t="str">
        <f t="shared" si="75"/>
        <v>n/a</v>
      </c>
      <c r="J557" s="5"/>
      <c r="K557" s="5"/>
      <c r="L557" s="5"/>
      <c r="M557" s="5"/>
      <c r="N557" s="5"/>
      <c r="O557" s="8" t="str">
        <f t="shared" si="73"/>
        <v>n/a</v>
      </c>
      <c r="Q557" s="5"/>
      <c r="R557" s="5"/>
      <c r="S557" s="5"/>
      <c r="U557" s="6"/>
      <c r="V557" s="9" t="str">
        <f t="shared" si="76"/>
        <v/>
      </c>
      <c r="W557" s="9" t="str">
        <f t="shared" si="77"/>
        <v/>
      </c>
      <c r="X557" s="10">
        <f>SUM(V$13:V557)/COUNTA(B$13:B557)</f>
        <v>0</v>
      </c>
      <c r="Z557" s="5"/>
      <c r="AA557" s="5"/>
      <c r="AC557" s="7"/>
      <c r="AE557" s="54" t="e">
        <f t="shared" si="78"/>
        <v>#N/A</v>
      </c>
      <c r="AF557" s="4" t="e">
        <f t="shared" si="74"/>
        <v>#N/A</v>
      </c>
    </row>
    <row r="558" spans="2:32">
      <c r="B558" s="5">
        <f t="shared" si="79"/>
        <v>546</v>
      </c>
      <c r="C558" s="5"/>
      <c r="E558" s="13"/>
      <c r="F558" s="5"/>
      <c r="G558" s="11" t="str">
        <f>IF(ISERROR(AVERAGE(F$13:F558)),"n/a",AVERAGE(F$13:F558))</f>
        <v>n/a</v>
      </c>
      <c r="H558" s="11" t="str">
        <f t="shared" si="75"/>
        <v>n/a</v>
      </c>
      <c r="J558" s="5"/>
      <c r="K558" s="5"/>
      <c r="L558" s="5"/>
      <c r="M558" s="5"/>
      <c r="N558" s="5"/>
      <c r="O558" s="8" t="str">
        <f t="shared" si="73"/>
        <v>n/a</v>
      </c>
      <c r="Q558" s="5"/>
      <c r="R558" s="5"/>
      <c r="S558" s="5"/>
      <c r="U558" s="6"/>
      <c r="V558" s="9" t="str">
        <f t="shared" si="76"/>
        <v/>
      </c>
      <c r="W558" s="9" t="str">
        <f t="shared" si="77"/>
        <v/>
      </c>
      <c r="X558" s="10">
        <f>SUM(V$13:V558)/COUNTA(B$13:B558)</f>
        <v>0</v>
      </c>
      <c r="Z558" s="5"/>
      <c r="AA558" s="5"/>
      <c r="AC558" s="7"/>
      <c r="AE558" s="54" t="e">
        <f t="shared" si="78"/>
        <v>#N/A</v>
      </c>
      <c r="AF558" s="4" t="e">
        <f t="shared" si="74"/>
        <v>#N/A</v>
      </c>
    </row>
    <row r="559" spans="2:32">
      <c r="B559" s="5">
        <f t="shared" si="79"/>
        <v>547</v>
      </c>
      <c r="C559" s="5"/>
      <c r="E559" s="13"/>
      <c r="F559" s="5"/>
      <c r="G559" s="11" t="str">
        <f>IF(ISERROR(AVERAGE(F$13:F559)),"n/a",AVERAGE(F$13:F559))</f>
        <v>n/a</v>
      </c>
      <c r="H559" s="11" t="str">
        <f t="shared" si="75"/>
        <v>n/a</v>
      </c>
      <c r="J559" s="5"/>
      <c r="K559" s="5"/>
      <c r="L559" s="5"/>
      <c r="M559" s="5"/>
      <c r="N559" s="5"/>
      <c r="O559" s="8" t="str">
        <f t="shared" si="73"/>
        <v>n/a</v>
      </c>
      <c r="Q559" s="5"/>
      <c r="R559" s="5"/>
      <c r="S559" s="5"/>
      <c r="U559" s="6"/>
      <c r="V559" s="9" t="str">
        <f t="shared" si="76"/>
        <v/>
      </c>
      <c r="W559" s="9" t="str">
        <f t="shared" si="77"/>
        <v/>
      </c>
      <c r="X559" s="10">
        <f>SUM(V$13:V559)/COUNTA(B$13:B559)</f>
        <v>0</v>
      </c>
      <c r="Z559" s="5"/>
      <c r="AA559" s="5"/>
      <c r="AC559" s="7"/>
      <c r="AE559" s="54" t="e">
        <f t="shared" si="78"/>
        <v>#N/A</v>
      </c>
      <c r="AF559" s="4" t="e">
        <f t="shared" si="74"/>
        <v>#N/A</v>
      </c>
    </row>
    <row r="560" spans="2:32">
      <c r="B560" s="5">
        <f t="shared" si="79"/>
        <v>548</v>
      </c>
      <c r="C560" s="5"/>
      <c r="E560" s="13"/>
      <c r="F560" s="5"/>
      <c r="G560" s="11" t="str">
        <f>IF(ISERROR(AVERAGE(F$13:F560)),"n/a",AVERAGE(F$13:F560))</f>
        <v>n/a</v>
      </c>
      <c r="H560" s="11" t="str">
        <f t="shared" si="75"/>
        <v>n/a</v>
      </c>
      <c r="J560" s="5"/>
      <c r="K560" s="5"/>
      <c r="L560" s="5"/>
      <c r="M560" s="5"/>
      <c r="N560" s="5"/>
      <c r="O560" s="8" t="str">
        <f t="shared" si="73"/>
        <v>n/a</v>
      </c>
      <c r="Q560" s="5"/>
      <c r="R560" s="5"/>
      <c r="S560" s="5"/>
      <c r="U560" s="6"/>
      <c r="V560" s="9" t="str">
        <f t="shared" si="76"/>
        <v/>
      </c>
      <c r="W560" s="9" t="str">
        <f t="shared" si="77"/>
        <v/>
      </c>
      <c r="X560" s="10">
        <f>SUM(V$13:V560)/COUNTA(B$13:B560)</f>
        <v>0</v>
      </c>
      <c r="Z560" s="5"/>
      <c r="AA560" s="5"/>
      <c r="AC560" s="7"/>
      <c r="AE560" s="54" t="e">
        <f t="shared" si="78"/>
        <v>#N/A</v>
      </c>
      <c r="AF560" s="4" t="e">
        <f t="shared" si="74"/>
        <v>#N/A</v>
      </c>
    </row>
    <row r="561" spans="2:32">
      <c r="B561" s="5">
        <f t="shared" si="79"/>
        <v>549</v>
      </c>
      <c r="C561" s="5"/>
      <c r="E561" s="13"/>
      <c r="F561" s="5"/>
      <c r="G561" s="11" t="str">
        <f>IF(ISERROR(AVERAGE(F$13:F561)),"n/a",AVERAGE(F$13:F561))</f>
        <v>n/a</v>
      </c>
      <c r="H561" s="11" t="str">
        <f t="shared" si="75"/>
        <v>n/a</v>
      </c>
      <c r="J561" s="5"/>
      <c r="K561" s="5"/>
      <c r="L561" s="5"/>
      <c r="M561" s="5"/>
      <c r="N561" s="5"/>
      <c r="O561" s="8" t="str">
        <f t="shared" si="73"/>
        <v>n/a</v>
      </c>
      <c r="Q561" s="5"/>
      <c r="R561" s="5"/>
      <c r="S561" s="5"/>
      <c r="U561" s="6"/>
      <c r="V561" s="9" t="str">
        <f t="shared" si="76"/>
        <v/>
      </c>
      <c r="W561" s="9" t="str">
        <f t="shared" si="77"/>
        <v/>
      </c>
      <c r="X561" s="10">
        <f>SUM(V$13:V561)/COUNTA(B$13:B561)</f>
        <v>0</v>
      </c>
      <c r="Z561" s="5"/>
      <c r="AA561" s="5"/>
      <c r="AC561" s="7"/>
      <c r="AE561" s="54" t="e">
        <f t="shared" si="78"/>
        <v>#N/A</v>
      </c>
      <c r="AF561" s="4" t="e">
        <f t="shared" si="74"/>
        <v>#N/A</v>
      </c>
    </row>
    <row r="562" spans="2:32">
      <c r="B562" s="5">
        <f t="shared" si="79"/>
        <v>550</v>
      </c>
      <c r="C562" s="5"/>
      <c r="E562" s="13"/>
      <c r="F562" s="5"/>
      <c r="G562" s="11" t="str">
        <f>IF(ISERROR(AVERAGE(F$13:F562)),"n/a",AVERAGE(F$13:F562))</f>
        <v>n/a</v>
      </c>
      <c r="H562" s="11" t="str">
        <f t="shared" si="75"/>
        <v>n/a</v>
      </c>
      <c r="J562" s="5"/>
      <c r="K562" s="5"/>
      <c r="L562" s="5"/>
      <c r="M562" s="5"/>
      <c r="N562" s="5"/>
      <c r="O562" s="8" t="str">
        <f t="shared" si="73"/>
        <v>n/a</v>
      </c>
      <c r="Q562" s="5"/>
      <c r="R562" s="5"/>
      <c r="S562" s="5"/>
      <c r="U562" s="6"/>
      <c r="V562" s="9" t="str">
        <f t="shared" si="76"/>
        <v/>
      </c>
      <c r="W562" s="9" t="str">
        <f t="shared" si="77"/>
        <v/>
      </c>
      <c r="X562" s="10">
        <f>SUM(V$13:V562)/COUNTA(B$13:B562)</f>
        <v>0</v>
      </c>
      <c r="Z562" s="5"/>
      <c r="AA562" s="5"/>
      <c r="AC562" s="7"/>
      <c r="AE562" s="54" t="e">
        <f t="shared" si="78"/>
        <v>#N/A</v>
      </c>
      <c r="AF562" s="4" t="e">
        <f t="shared" si="74"/>
        <v>#N/A</v>
      </c>
    </row>
    <row r="563" spans="2:32">
      <c r="B563" s="5">
        <f t="shared" si="79"/>
        <v>551</v>
      </c>
      <c r="C563" s="5"/>
      <c r="E563" s="13"/>
      <c r="F563" s="5"/>
      <c r="G563" s="11" t="str">
        <f>IF(ISERROR(AVERAGE(F$13:F563)),"n/a",AVERAGE(F$13:F563))</f>
        <v>n/a</v>
      </c>
      <c r="H563" s="11" t="str">
        <f t="shared" si="75"/>
        <v>n/a</v>
      </c>
      <c r="J563" s="5"/>
      <c r="K563" s="5"/>
      <c r="L563" s="5"/>
      <c r="M563" s="5"/>
      <c r="N563" s="5"/>
      <c r="O563" s="8" t="str">
        <f t="shared" si="73"/>
        <v>n/a</v>
      </c>
      <c r="Q563" s="5"/>
      <c r="R563" s="5"/>
      <c r="S563" s="5"/>
      <c r="U563" s="6"/>
      <c r="V563" s="9" t="str">
        <f t="shared" si="76"/>
        <v/>
      </c>
      <c r="W563" s="9" t="str">
        <f t="shared" si="77"/>
        <v/>
      </c>
      <c r="X563" s="10">
        <f>SUM(V$13:V563)/COUNTA(B$13:B563)</f>
        <v>0</v>
      </c>
      <c r="Z563" s="5"/>
      <c r="AA563" s="5"/>
      <c r="AC563" s="7"/>
      <c r="AE563" s="54" t="e">
        <f t="shared" si="78"/>
        <v>#N/A</v>
      </c>
      <c r="AF563" s="4" t="e">
        <f t="shared" si="74"/>
        <v>#N/A</v>
      </c>
    </row>
    <row r="564" spans="2:32">
      <c r="B564" s="5">
        <f t="shared" si="79"/>
        <v>552</v>
      </c>
      <c r="C564" s="5"/>
      <c r="E564" s="13"/>
      <c r="F564" s="5"/>
      <c r="G564" s="11" t="str">
        <f>IF(ISERROR(AVERAGE(F$13:F564)),"n/a",AVERAGE(F$13:F564))</f>
        <v>n/a</v>
      </c>
      <c r="H564" s="11" t="str">
        <f t="shared" si="75"/>
        <v>n/a</v>
      </c>
      <c r="J564" s="5"/>
      <c r="K564" s="5"/>
      <c r="L564" s="5"/>
      <c r="M564" s="5"/>
      <c r="N564" s="5"/>
      <c r="O564" s="8" t="str">
        <f t="shared" si="73"/>
        <v>n/a</v>
      </c>
      <c r="Q564" s="5"/>
      <c r="R564" s="5"/>
      <c r="S564" s="5"/>
      <c r="U564" s="6"/>
      <c r="V564" s="9" t="str">
        <f t="shared" si="76"/>
        <v/>
      </c>
      <c r="W564" s="9" t="str">
        <f t="shared" si="77"/>
        <v/>
      </c>
      <c r="X564" s="10">
        <f>SUM(V$13:V564)/COUNTA(B$13:B564)</f>
        <v>0</v>
      </c>
      <c r="Z564" s="5"/>
      <c r="AA564" s="5"/>
      <c r="AC564" s="7"/>
      <c r="AE564" s="54" t="e">
        <f t="shared" si="78"/>
        <v>#N/A</v>
      </c>
      <c r="AF564" s="4" t="e">
        <f t="shared" si="74"/>
        <v>#N/A</v>
      </c>
    </row>
    <row r="565" spans="2:32">
      <c r="B565" s="5">
        <f t="shared" si="79"/>
        <v>553</v>
      </c>
      <c r="C565" s="5"/>
      <c r="E565" s="13"/>
      <c r="F565" s="5"/>
      <c r="G565" s="11" t="str">
        <f>IF(ISERROR(AVERAGE(F$13:F565)),"n/a",AVERAGE(F$13:F565))</f>
        <v>n/a</v>
      </c>
      <c r="H565" s="11" t="str">
        <f t="shared" si="75"/>
        <v>n/a</v>
      </c>
      <c r="J565" s="5"/>
      <c r="K565" s="5"/>
      <c r="L565" s="5"/>
      <c r="M565" s="5"/>
      <c r="N565" s="5"/>
      <c r="O565" s="8" t="str">
        <f t="shared" si="73"/>
        <v>n/a</v>
      </c>
      <c r="Q565" s="5"/>
      <c r="R565" s="5"/>
      <c r="S565" s="5"/>
      <c r="U565" s="6"/>
      <c r="V565" s="9" t="str">
        <f t="shared" si="76"/>
        <v/>
      </c>
      <c r="W565" s="9" t="str">
        <f t="shared" si="77"/>
        <v/>
      </c>
      <c r="X565" s="10">
        <f>SUM(V$13:V565)/COUNTA(B$13:B565)</f>
        <v>0</v>
      </c>
      <c r="Z565" s="5"/>
      <c r="AA565" s="5"/>
      <c r="AC565" s="7"/>
      <c r="AE565" s="54" t="e">
        <f t="shared" si="78"/>
        <v>#N/A</v>
      </c>
      <c r="AF565" s="4" t="e">
        <f t="shared" si="74"/>
        <v>#N/A</v>
      </c>
    </row>
    <row r="566" spans="2:32">
      <c r="B566" s="5">
        <f t="shared" si="79"/>
        <v>554</v>
      </c>
      <c r="C566" s="5"/>
      <c r="E566" s="13"/>
      <c r="F566" s="5"/>
      <c r="G566" s="11" t="str">
        <f>IF(ISERROR(AVERAGE(F$13:F566)),"n/a",AVERAGE(F$13:F566))</f>
        <v>n/a</v>
      </c>
      <c r="H566" s="11" t="str">
        <f t="shared" si="75"/>
        <v>n/a</v>
      </c>
      <c r="J566" s="5"/>
      <c r="K566" s="5"/>
      <c r="L566" s="5"/>
      <c r="M566" s="5"/>
      <c r="N566" s="5"/>
      <c r="O566" s="8" t="str">
        <f t="shared" si="73"/>
        <v>n/a</v>
      </c>
      <c r="Q566" s="5"/>
      <c r="R566" s="5"/>
      <c r="S566" s="5"/>
      <c r="U566" s="6"/>
      <c r="V566" s="9" t="str">
        <f t="shared" si="76"/>
        <v/>
      </c>
      <c r="W566" s="9" t="str">
        <f t="shared" si="77"/>
        <v/>
      </c>
      <c r="X566" s="10">
        <f>SUM(V$13:V566)/COUNTA(B$13:B566)</f>
        <v>0</v>
      </c>
      <c r="Z566" s="5"/>
      <c r="AA566" s="5"/>
      <c r="AC566" s="7"/>
      <c r="AE566" s="54" t="e">
        <f t="shared" si="78"/>
        <v>#N/A</v>
      </c>
      <c r="AF566" s="4" t="e">
        <f t="shared" si="74"/>
        <v>#N/A</v>
      </c>
    </row>
    <row r="567" spans="2:32">
      <c r="B567" s="5">
        <f t="shared" si="79"/>
        <v>555</v>
      </c>
      <c r="C567" s="5"/>
      <c r="E567" s="13"/>
      <c r="F567" s="5"/>
      <c r="G567" s="11" t="str">
        <f>IF(ISERROR(AVERAGE(F$13:F567)),"n/a",AVERAGE(F$13:F567))</f>
        <v>n/a</v>
      </c>
      <c r="H567" s="11" t="str">
        <f t="shared" si="75"/>
        <v>n/a</v>
      </c>
      <c r="J567" s="5"/>
      <c r="K567" s="5"/>
      <c r="L567" s="5"/>
      <c r="M567" s="5"/>
      <c r="N567" s="5"/>
      <c r="O567" s="8" t="str">
        <f t="shared" si="73"/>
        <v>n/a</v>
      </c>
      <c r="Q567" s="5"/>
      <c r="R567" s="5"/>
      <c r="S567" s="5"/>
      <c r="U567" s="6"/>
      <c r="V567" s="9" t="str">
        <f t="shared" si="76"/>
        <v/>
      </c>
      <c r="W567" s="9" t="str">
        <f t="shared" si="77"/>
        <v/>
      </c>
      <c r="X567" s="10">
        <f>SUM(V$13:V567)/COUNTA(B$13:B567)</f>
        <v>0</v>
      </c>
      <c r="Z567" s="5"/>
      <c r="AA567" s="5"/>
      <c r="AC567" s="7"/>
      <c r="AE567" s="54" t="e">
        <f t="shared" si="78"/>
        <v>#N/A</v>
      </c>
      <c r="AF567" s="4" t="e">
        <f t="shared" si="74"/>
        <v>#N/A</v>
      </c>
    </row>
    <row r="568" spans="2:32">
      <c r="B568" s="5">
        <f t="shared" si="79"/>
        <v>556</v>
      </c>
      <c r="C568" s="5"/>
      <c r="E568" s="13"/>
      <c r="F568" s="5"/>
      <c r="G568" s="11" t="str">
        <f>IF(ISERROR(AVERAGE(F$13:F568)),"n/a",AVERAGE(F$13:F568))</f>
        <v>n/a</v>
      </c>
      <c r="H568" s="11" t="str">
        <f t="shared" si="75"/>
        <v>n/a</v>
      </c>
      <c r="J568" s="5"/>
      <c r="K568" s="5"/>
      <c r="L568" s="5"/>
      <c r="M568" s="5"/>
      <c r="N568" s="5"/>
      <c r="O568" s="8" t="str">
        <f t="shared" si="73"/>
        <v>n/a</v>
      </c>
      <c r="Q568" s="5"/>
      <c r="R568" s="5"/>
      <c r="S568" s="5"/>
      <c r="U568" s="6"/>
      <c r="V568" s="9" t="str">
        <f t="shared" si="76"/>
        <v/>
      </c>
      <c r="W568" s="9" t="str">
        <f t="shared" si="77"/>
        <v/>
      </c>
      <c r="X568" s="10">
        <f>SUM(V$13:V568)/COUNTA(B$13:B568)</f>
        <v>0</v>
      </c>
      <c r="Z568" s="5"/>
      <c r="AA568" s="5"/>
      <c r="AC568" s="7"/>
      <c r="AE568" s="54" t="e">
        <f t="shared" si="78"/>
        <v>#N/A</v>
      </c>
      <c r="AF568" s="4" t="e">
        <f t="shared" si="74"/>
        <v>#N/A</v>
      </c>
    </row>
    <row r="569" spans="2:32">
      <c r="B569" s="5">
        <f t="shared" si="79"/>
        <v>557</v>
      </c>
      <c r="C569" s="5"/>
      <c r="E569" s="13"/>
      <c r="F569" s="5"/>
      <c r="G569" s="11" t="str">
        <f>IF(ISERROR(AVERAGE(F$13:F569)),"n/a",AVERAGE(F$13:F569))</f>
        <v>n/a</v>
      </c>
      <c r="H569" s="11" t="str">
        <f t="shared" si="75"/>
        <v>n/a</v>
      </c>
      <c r="J569" s="5"/>
      <c r="K569" s="5"/>
      <c r="L569" s="5"/>
      <c r="M569" s="5"/>
      <c r="N569" s="5"/>
      <c r="O569" s="8" t="str">
        <f t="shared" si="73"/>
        <v>n/a</v>
      </c>
      <c r="Q569" s="5"/>
      <c r="R569" s="5"/>
      <c r="S569" s="5"/>
      <c r="U569" s="6"/>
      <c r="V569" s="9" t="str">
        <f t="shared" si="76"/>
        <v/>
      </c>
      <c r="W569" s="9" t="str">
        <f t="shared" si="77"/>
        <v/>
      </c>
      <c r="X569" s="10">
        <f>SUM(V$13:V569)/COUNTA(B$13:B569)</f>
        <v>0</v>
      </c>
      <c r="Z569" s="5"/>
      <c r="AA569" s="5"/>
      <c r="AC569" s="7"/>
      <c r="AE569" s="54" t="e">
        <f t="shared" si="78"/>
        <v>#N/A</v>
      </c>
      <c r="AF569" s="4" t="e">
        <f t="shared" si="74"/>
        <v>#N/A</v>
      </c>
    </row>
    <row r="570" spans="2:32">
      <c r="B570" s="5">
        <f t="shared" si="79"/>
        <v>558</v>
      </c>
      <c r="C570" s="5"/>
      <c r="E570" s="13"/>
      <c r="F570" s="5"/>
      <c r="G570" s="11" t="str">
        <f>IF(ISERROR(AVERAGE(F$13:F570)),"n/a",AVERAGE(F$13:F570))</f>
        <v>n/a</v>
      </c>
      <c r="H570" s="11" t="str">
        <f t="shared" si="75"/>
        <v>n/a</v>
      </c>
      <c r="J570" s="5"/>
      <c r="K570" s="5"/>
      <c r="L570" s="5"/>
      <c r="M570" s="5"/>
      <c r="N570" s="5"/>
      <c r="O570" s="8" t="str">
        <f t="shared" si="73"/>
        <v>n/a</v>
      </c>
      <c r="Q570" s="5"/>
      <c r="R570" s="5"/>
      <c r="S570" s="5"/>
      <c r="U570" s="6"/>
      <c r="V570" s="9" t="str">
        <f t="shared" si="76"/>
        <v/>
      </c>
      <c r="W570" s="9" t="str">
        <f t="shared" si="77"/>
        <v/>
      </c>
      <c r="X570" s="10">
        <f>SUM(V$13:V570)/COUNTA(B$13:B570)</f>
        <v>0</v>
      </c>
      <c r="Z570" s="5"/>
      <c r="AA570" s="5"/>
      <c r="AC570" s="7"/>
      <c r="AE570" s="54" t="e">
        <f t="shared" si="78"/>
        <v>#N/A</v>
      </c>
      <c r="AF570" s="4" t="e">
        <f t="shared" si="74"/>
        <v>#N/A</v>
      </c>
    </row>
    <row r="571" spans="2:32">
      <c r="B571" s="5">
        <f t="shared" si="79"/>
        <v>559</v>
      </c>
      <c r="C571" s="5"/>
      <c r="E571" s="13"/>
      <c r="F571" s="5"/>
      <c r="G571" s="11" t="str">
        <f>IF(ISERROR(AVERAGE(F$13:F571)),"n/a",AVERAGE(F$13:F571))</f>
        <v>n/a</v>
      </c>
      <c r="H571" s="11" t="str">
        <f t="shared" si="75"/>
        <v>n/a</v>
      </c>
      <c r="J571" s="5"/>
      <c r="K571" s="5"/>
      <c r="L571" s="5"/>
      <c r="M571" s="5"/>
      <c r="N571" s="5"/>
      <c r="O571" s="8" t="str">
        <f t="shared" si="73"/>
        <v>n/a</v>
      </c>
      <c r="Q571" s="5"/>
      <c r="R571" s="5"/>
      <c r="S571" s="5"/>
      <c r="U571" s="6"/>
      <c r="V571" s="9" t="str">
        <f t="shared" si="76"/>
        <v/>
      </c>
      <c r="W571" s="9" t="str">
        <f t="shared" si="77"/>
        <v/>
      </c>
      <c r="X571" s="10">
        <f>SUM(V$13:V571)/COUNTA(B$13:B571)</f>
        <v>0</v>
      </c>
      <c r="Z571" s="5"/>
      <c r="AA571" s="5"/>
      <c r="AC571" s="7"/>
      <c r="AE571" s="54" t="e">
        <f t="shared" si="78"/>
        <v>#N/A</v>
      </c>
      <c r="AF571" s="4" t="e">
        <f t="shared" si="74"/>
        <v>#N/A</v>
      </c>
    </row>
    <row r="572" spans="2:32">
      <c r="B572" s="5">
        <f t="shared" si="79"/>
        <v>560</v>
      </c>
      <c r="C572" s="5"/>
      <c r="E572" s="13"/>
      <c r="F572" s="5"/>
      <c r="G572" s="11" t="str">
        <f>IF(ISERROR(AVERAGE(F$13:F572)),"n/a",AVERAGE(F$13:F572))</f>
        <v>n/a</v>
      </c>
      <c r="H572" s="11" t="str">
        <f t="shared" si="75"/>
        <v>n/a</v>
      </c>
      <c r="J572" s="5"/>
      <c r="K572" s="5"/>
      <c r="L572" s="5"/>
      <c r="M572" s="5"/>
      <c r="N572" s="5"/>
      <c r="O572" s="8" t="str">
        <f t="shared" si="73"/>
        <v>n/a</v>
      </c>
      <c r="Q572" s="5"/>
      <c r="R572" s="5"/>
      <c r="S572" s="5"/>
      <c r="U572" s="6"/>
      <c r="V572" s="9" t="str">
        <f t="shared" si="76"/>
        <v/>
      </c>
      <c r="W572" s="9" t="str">
        <f t="shared" si="77"/>
        <v/>
      </c>
      <c r="X572" s="10">
        <f>SUM(V$13:V572)/COUNTA(B$13:B572)</f>
        <v>0</v>
      </c>
      <c r="Z572" s="5"/>
      <c r="AA572" s="5"/>
      <c r="AC572" s="7"/>
      <c r="AE572" s="54" t="e">
        <f t="shared" si="78"/>
        <v>#N/A</v>
      </c>
      <c r="AF572" s="4" t="e">
        <f t="shared" si="74"/>
        <v>#N/A</v>
      </c>
    </row>
    <row r="573" spans="2:32">
      <c r="B573" s="5">
        <f t="shared" si="79"/>
        <v>561</v>
      </c>
      <c r="C573" s="5"/>
      <c r="E573" s="13"/>
      <c r="F573" s="5"/>
      <c r="G573" s="11" t="str">
        <f>IF(ISERROR(AVERAGE(F$13:F573)),"n/a",AVERAGE(F$13:F573))</f>
        <v>n/a</v>
      </c>
      <c r="H573" s="11" t="str">
        <f t="shared" si="75"/>
        <v>n/a</v>
      </c>
      <c r="J573" s="5"/>
      <c r="K573" s="5"/>
      <c r="L573" s="5"/>
      <c r="M573" s="5"/>
      <c r="N573" s="5"/>
      <c r="O573" s="8" t="str">
        <f t="shared" si="73"/>
        <v>n/a</v>
      </c>
      <c r="Q573" s="5"/>
      <c r="R573" s="5"/>
      <c r="S573" s="5"/>
      <c r="U573" s="6"/>
      <c r="V573" s="9" t="str">
        <f t="shared" si="76"/>
        <v/>
      </c>
      <c r="W573" s="9" t="str">
        <f t="shared" si="77"/>
        <v/>
      </c>
      <c r="X573" s="10">
        <f>SUM(V$13:V573)/COUNTA(B$13:B573)</f>
        <v>0</v>
      </c>
      <c r="Z573" s="5"/>
      <c r="AA573" s="5"/>
      <c r="AC573" s="7"/>
      <c r="AE573" s="54" t="e">
        <f t="shared" si="78"/>
        <v>#N/A</v>
      </c>
      <c r="AF573" s="4" t="e">
        <f t="shared" si="74"/>
        <v>#N/A</v>
      </c>
    </row>
    <row r="574" spans="2:32">
      <c r="B574" s="5">
        <f t="shared" si="79"/>
        <v>562</v>
      </c>
      <c r="C574" s="5"/>
      <c r="E574" s="13"/>
      <c r="F574" s="5"/>
      <c r="G574" s="11" t="str">
        <f>IF(ISERROR(AVERAGE(F$13:F574)),"n/a",AVERAGE(F$13:F574))</f>
        <v>n/a</v>
      </c>
      <c r="H574" s="11" t="str">
        <f t="shared" si="75"/>
        <v>n/a</v>
      </c>
      <c r="J574" s="5"/>
      <c r="K574" s="5"/>
      <c r="L574" s="5"/>
      <c r="M574" s="5"/>
      <c r="N574" s="5"/>
      <c r="O574" s="8" t="str">
        <f t="shared" si="73"/>
        <v>n/a</v>
      </c>
      <c r="Q574" s="5"/>
      <c r="R574" s="5"/>
      <c r="S574" s="5"/>
      <c r="U574" s="6"/>
      <c r="V574" s="9" t="str">
        <f t="shared" si="76"/>
        <v/>
      </c>
      <c r="W574" s="9" t="str">
        <f t="shared" si="77"/>
        <v/>
      </c>
      <c r="X574" s="10">
        <f>SUM(V$13:V574)/COUNTA(B$13:B574)</f>
        <v>0</v>
      </c>
      <c r="Z574" s="5"/>
      <c r="AA574" s="5"/>
      <c r="AC574" s="7"/>
      <c r="AE574" s="54" t="e">
        <f t="shared" si="78"/>
        <v>#N/A</v>
      </c>
      <c r="AF574" s="4" t="e">
        <f t="shared" si="74"/>
        <v>#N/A</v>
      </c>
    </row>
    <row r="575" spans="2:32">
      <c r="B575" s="5">
        <f t="shared" si="79"/>
        <v>563</v>
      </c>
      <c r="C575" s="5"/>
      <c r="E575" s="13"/>
      <c r="F575" s="5"/>
      <c r="G575" s="11" t="str">
        <f>IF(ISERROR(AVERAGE(F$13:F575)),"n/a",AVERAGE(F$13:F575))</f>
        <v>n/a</v>
      </c>
      <c r="H575" s="11" t="str">
        <f t="shared" si="75"/>
        <v>n/a</v>
      </c>
      <c r="J575" s="5"/>
      <c r="K575" s="5"/>
      <c r="L575" s="5"/>
      <c r="M575" s="5"/>
      <c r="N575" s="5"/>
      <c r="O575" s="8" t="str">
        <f t="shared" si="73"/>
        <v>n/a</v>
      </c>
      <c r="Q575" s="5"/>
      <c r="R575" s="5"/>
      <c r="S575" s="5"/>
      <c r="U575" s="6"/>
      <c r="V575" s="9" t="str">
        <f t="shared" si="76"/>
        <v/>
      </c>
      <c r="W575" s="9" t="str">
        <f t="shared" si="77"/>
        <v/>
      </c>
      <c r="X575" s="10">
        <f>SUM(V$13:V575)/COUNTA(B$13:B575)</f>
        <v>0</v>
      </c>
      <c r="Z575" s="5"/>
      <c r="AA575" s="5"/>
      <c r="AC575" s="7"/>
      <c r="AE575" s="54" t="e">
        <f t="shared" si="78"/>
        <v>#N/A</v>
      </c>
      <c r="AF575" s="4" t="e">
        <f t="shared" si="74"/>
        <v>#N/A</v>
      </c>
    </row>
    <row r="576" spans="2:32">
      <c r="B576" s="5">
        <f t="shared" si="79"/>
        <v>564</v>
      </c>
      <c r="C576" s="5"/>
      <c r="E576" s="13"/>
      <c r="F576" s="5"/>
      <c r="G576" s="11" t="str">
        <f>IF(ISERROR(AVERAGE(F$13:F576)),"n/a",AVERAGE(F$13:F576))</f>
        <v>n/a</v>
      </c>
      <c r="H576" s="11" t="str">
        <f t="shared" si="75"/>
        <v>n/a</v>
      </c>
      <c r="J576" s="5"/>
      <c r="K576" s="5"/>
      <c r="L576" s="5"/>
      <c r="M576" s="5"/>
      <c r="N576" s="5"/>
      <c r="O576" s="8" t="str">
        <f t="shared" si="73"/>
        <v>n/a</v>
      </c>
      <c r="Q576" s="5"/>
      <c r="R576" s="5"/>
      <c r="S576" s="5"/>
      <c r="U576" s="6"/>
      <c r="V576" s="9" t="str">
        <f t="shared" si="76"/>
        <v/>
      </c>
      <c r="W576" s="9" t="str">
        <f t="shared" si="77"/>
        <v/>
      </c>
      <c r="X576" s="10">
        <f>SUM(V$13:V576)/COUNTA(B$13:B576)</f>
        <v>0</v>
      </c>
      <c r="Z576" s="5"/>
      <c r="AA576" s="5"/>
      <c r="AC576" s="7"/>
      <c r="AE576" s="54" t="e">
        <f t="shared" si="78"/>
        <v>#N/A</v>
      </c>
      <c r="AF576" s="4" t="e">
        <f t="shared" si="74"/>
        <v>#N/A</v>
      </c>
    </row>
    <row r="577" spans="2:32">
      <c r="B577" s="5">
        <f t="shared" si="79"/>
        <v>565</v>
      </c>
      <c r="C577" s="5"/>
      <c r="E577" s="13"/>
      <c r="F577" s="5"/>
      <c r="G577" s="11" t="str">
        <f>IF(ISERROR(AVERAGE(F$13:F577)),"n/a",AVERAGE(F$13:F577))</f>
        <v>n/a</v>
      </c>
      <c r="H577" s="11" t="str">
        <f t="shared" si="75"/>
        <v>n/a</v>
      </c>
      <c r="J577" s="5"/>
      <c r="K577" s="5"/>
      <c r="L577" s="5"/>
      <c r="M577" s="5"/>
      <c r="N577" s="5"/>
      <c r="O577" s="8" t="str">
        <f t="shared" si="73"/>
        <v>n/a</v>
      </c>
      <c r="Q577" s="5"/>
      <c r="R577" s="5"/>
      <c r="S577" s="5"/>
      <c r="U577" s="6"/>
      <c r="V577" s="9" t="str">
        <f t="shared" si="76"/>
        <v/>
      </c>
      <c r="W577" s="9" t="str">
        <f t="shared" si="77"/>
        <v/>
      </c>
      <c r="X577" s="10">
        <f>SUM(V$13:V577)/COUNTA(B$13:B577)</f>
        <v>0</v>
      </c>
      <c r="Z577" s="5"/>
      <c r="AA577" s="5"/>
      <c r="AC577" s="7"/>
      <c r="AE577" s="54" t="e">
        <f t="shared" si="78"/>
        <v>#N/A</v>
      </c>
      <c r="AF577" s="4" t="e">
        <f t="shared" si="74"/>
        <v>#N/A</v>
      </c>
    </row>
    <row r="578" spans="2:32">
      <c r="B578" s="5">
        <f t="shared" si="79"/>
        <v>566</v>
      </c>
      <c r="C578" s="5"/>
      <c r="E578" s="13"/>
      <c r="F578" s="5"/>
      <c r="G578" s="11" t="str">
        <f>IF(ISERROR(AVERAGE(F$13:F578)),"n/a",AVERAGE(F$13:F578))</f>
        <v>n/a</v>
      </c>
      <c r="H578" s="11" t="str">
        <f t="shared" si="75"/>
        <v>n/a</v>
      </c>
      <c r="J578" s="5"/>
      <c r="K578" s="5"/>
      <c r="L578" s="5"/>
      <c r="M578" s="5"/>
      <c r="N578" s="5"/>
      <c r="O578" s="8" t="str">
        <f t="shared" si="73"/>
        <v>n/a</v>
      </c>
      <c r="Q578" s="5"/>
      <c r="R578" s="5"/>
      <c r="S578" s="5"/>
      <c r="U578" s="6"/>
      <c r="V578" s="9" t="str">
        <f t="shared" si="76"/>
        <v/>
      </c>
      <c r="W578" s="9" t="str">
        <f t="shared" si="77"/>
        <v/>
      </c>
      <c r="X578" s="10">
        <f>SUM(V$13:V578)/COUNTA(B$13:B578)</f>
        <v>0</v>
      </c>
      <c r="Z578" s="5"/>
      <c r="AA578" s="5"/>
      <c r="AC578" s="7"/>
      <c r="AE578" s="54" t="e">
        <f t="shared" si="78"/>
        <v>#N/A</v>
      </c>
      <c r="AF578" s="4" t="e">
        <f t="shared" si="74"/>
        <v>#N/A</v>
      </c>
    </row>
    <row r="579" spans="2:32">
      <c r="B579" s="5">
        <f t="shared" si="79"/>
        <v>567</v>
      </c>
      <c r="C579" s="5"/>
      <c r="E579" s="13"/>
      <c r="F579" s="5"/>
      <c r="G579" s="11" t="str">
        <f>IF(ISERROR(AVERAGE(F$13:F579)),"n/a",AVERAGE(F$13:F579))</f>
        <v>n/a</v>
      </c>
      <c r="H579" s="11" t="str">
        <f t="shared" si="75"/>
        <v>n/a</v>
      </c>
      <c r="J579" s="5"/>
      <c r="K579" s="5"/>
      <c r="L579" s="5"/>
      <c r="M579" s="5"/>
      <c r="N579" s="5"/>
      <c r="O579" s="8" t="str">
        <f t="shared" si="73"/>
        <v>n/a</v>
      </c>
      <c r="Q579" s="5"/>
      <c r="R579" s="5"/>
      <c r="S579" s="5"/>
      <c r="U579" s="6"/>
      <c r="V579" s="9" t="str">
        <f t="shared" si="76"/>
        <v/>
      </c>
      <c r="W579" s="9" t="str">
        <f t="shared" si="77"/>
        <v/>
      </c>
      <c r="X579" s="10">
        <f>SUM(V$13:V579)/COUNTA(B$13:B579)</f>
        <v>0</v>
      </c>
      <c r="Z579" s="5"/>
      <c r="AA579" s="5"/>
      <c r="AC579" s="7"/>
      <c r="AE579" s="54" t="e">
        <f t="shared" si="78"/>
        <v>#N/A</v>
      </c>
      <c r="AF579" s="4" t="e">
        <f t="shared" si="74"/>
        <v>#N/A</v>
      </c>
    </row>
    <row r="580" spans="2:32">
      <c r="B580" s="5">
        <f t="shared" si="79"/>
        <v>568</v>
      </c>
      <c r="C580" s="5"/>
      <c r="E580" s="13"/>
      <c r="F580" s="5"/>
      <c r="G580" s="11" t="str">
        <f>IF(ISERROR(AVERAGE(F$13:F580)),"n/a",AVERAGE(F$13:F580))</f>
        <v>n/a</v>
      </c>
      <c r="H580" s="11" t="str">
        <f t="shared" si="75"/>
        <v>n/a</v>
      </c>
      <c r="J580" s="5"/>
      <c r="K580" s="5"/>
      <c r="L580" s="5"/>
      <c r="M580" s="5"/>
      <c r="N580" s="5"/>
      <c r="O580" s="8" t="str">
        <f t="shared" si="73"/>
        <v>n/a</v>
      </c>
      <c r="Q580" s="5"/>
      <c r="R580" s="5"/>
      <c r="S580" s="5"/>
      <c r="U580" s="6"/>
      <c r="V580" s="9" t="str">
        <f t="shared" si="76"/>
        <v/>
      </c>
      <c r="W580" s="9" t="str">
        <f t="shared" si="77"/>
        <v/>
      </c>
      <c r="X580" s="10">
        <f>SUM(V$13:V580)/COUNTA(B$13:B580)</f>
        <v>0</v>
      </c>
      <c r="Z580" s="5"/>
      <c r="AA580" s="5"/>
      <c r="AC580" s="7"/>
      <c r="AE580" s="54" t="e">
        <f t="shared" si="78"/>
        <v>#N/A</v>
      </c>
      <c r="AF580" s="4" t="e">
        <f t="shared" si="74"/>
        <v>#N/A</v>
      </c>
    </row>
    <row r="581" spans="2:32">
      <c r="B581" s="5">
        <f t="shared" si="79"/>
        <v>569</v>
      </c>
      <c r="C581" s="5"/>
      <c r="E581" s="13"/>
      <c r="F581" s="5"/>
      <c r="G581" s="11" t="str">
        <f>IF(ISERROR(AVERAGE(F$13:F581)),"n/a",AVERAGE(F$13:F581))</f>
        <v>n/a</v>
      </c>
      <c r="H581" s="11" t="str">
        <f t="shared" si="75"/>
        <v>n/a</v>
      </c>
      <c r="J581" s="5"/>
      <c r="K581" s="5"/>
      <c r="L581" s="5"/>
      <c r="M581" s="5"/>
      <c r="N581" s="5"/>
      <c r="O581" s="8" t="str">
        <f t="shared" si="73"/>
        <v>n/a</v>
      </c>
      <c r="Q581" s="5"/>
      <c r="R581" s="5"/>
      <c r="S581" s="5"/>
      <c r="U581" s="6"/>
      <c r="V581" s="9" t="str">
        <f t="shared" si="76"/>
        <v/>
      </c>
      <c r="W581" s="9" t="str">
        <f t="shared" si="77"/>
        <v/>
      </c>
      <c r="X581" s="10">
        <f>SUM(V$13:V581)/COUNTA(B$13:B581)</f>
        <v>0</v>
      </c>
      <c r="Z581" s="5"/>
      <c r="AA581" s="5"/>
      <c r="AC581" s="7"/>
      <c r="AE581" s="54" t="e">
        <f t="shared" si="78"/>
        <v>#N/A</v>
      </c>
      <c r="AF581" s="4" t="e">
        <f t="shared" si="74"/>
        <v>#N/A</v>
      </c>
    </row>
    <row r="582" spans="2:32">
      <c r="B582" s="5">
        <f t="shared" si="79"/>
        <v>570</v>
      </c>
      <c r="C582" s="5"/>
      <c r="E582" s="13"/>
      <c r="F582" s="5"/>
      <c r="G582" s="11" t="str">
        <f>IF(ISERROR(AVERAGE(F$13:F582)),"n/a",AVERAGE(F$13:F582))</f>
        <v>n/a</v>
      </c>
      <c r="H582" s="11" t="str">
        <f t="shared" si="75"/>
        <v>n/a</v>
      </c>
      <c r="J582" s="5"/>
      <c r="K582" s="5"/>
      <c r="L582" s="5"/>
      <c r="M582" s="5"/>
      <c r="N582" s="5"/>
      <c r="O582" s="8" t="str">
        <f t="shared" si="73"/>
        <v>n/a</v>
      </c>
      <c r="Q582" s="5"/>
      <c r="R582" s="5"/>
      <c r="S582" s="5"/>
      <c r="U582" s="6"/>
      <c r="V582" s="9" t="str">
        <f t="shared" si="76"/>
        <v/>
      </c>
      <c r="W582" s="9" t="str">
        <f t="shared" si="77"/>
        <v/>
      </c>
      <c r="X582" s="10">
        <f>SUM(V$13:V582)/COUNTA(B$13:B582)</f>
        <v>0</v>
      </c>
      <c r="Z582" s="5"/>
      <c r="AA582" s="5"/>
      <c r="AC582" s="7"/>
      <c r="AE582" s="54" t="e">
        <f t="shared" si="78"/>
        <v>#N/A</v>
      </c>
      <c r="AF582" s="4" t="e">
        <f t="shared" si="74"/>
        <v>#N/A</v>
      </c>
    </row>
    <row r="583" spans="2:32">
      <c r="B583" s="5">
        <f t="shared" si="79"/>
        <v>571</v>
      </c>
      <c r="C583" s="5"/>
      <c r="E583" s="13"/>
      <c r="F583" s="5"/>
      <c r="G583" s="11" t="str">
        <f>IF(ISERROR(AVERAGE(F$13:F583)),"n/a",AVERAGE(F$13:F583))</f>
        <v>n/a</v>
      </c>
      <c r="H583" s="11" t="str">
        <f t="shared" si="75"/>
        <v>n/a</v>
      </c>
      <c r="J583" s="5"/>
      <c r="K583" s="5"/>
      <c r="L583" s="5"/>
      <c r="M583" s="5"/>
      <c r="N583" s="5"/>
      <c r="O583" s="8" t="str">
        <f t="shared" si="73"/>
        <v>n/a</v>
      </c>
      <c r="Q583" s="5"/>
      <c r="R583" s="5"/>
      <c r="S583" s="5"/>
      <c r="U583" s="6"/>
      <c r="V583" s="9" t="str">
        <f t="shared" si="76"/>
        <v/>
      </c>
      <c r="W583" s="9" t="str">
        <f t="shared" si="77"/>
        <v/>
      </c>
      <c r="X583" s="10">
        <f>SUM(V$13:V583)/COUNTA(B$13:B583)</f>
        <v>0</v>
      </c>
      <c r="Z583" s="5"/>
      <c r="AA583" s="5"/>
      <c r="AC583" s="7"/>
      <c r="AE583" s="54" t="e">
        <f t="shared" si="78"/>
        <v>#N/A</v>
      </c>
      <c r="AF583" s="4" t="e">
        <f t="shared" si="74"/>
        <v>#N/A</v>
      </c>
    </row>
    <row r="584" spans="2:32">
      <c r="B584" s="5">
        <f t="shared" si="79"/>
        <v>572</v>
      </c>
      <c r="C584" s="5"/>
      <c r="E584" s="13"/>
      <c r="F584" s="5"/>
      <c r="G584" s="11" t="str">
        <f>IF(ISERROR(AVERAGE(F$13:F584)),"n/a",AVERAGE(F$13:F584))</f>
        <v>n/a</v>
      </c>
      <c r="H584" s="11" t="str">
        <f t="shared" si="75"/>
        <v>n/a</v>
      </c>
      <c r="J584" s="5"/>
      <c r="K584" s="5"/>
      <c r="L584" s="5"/>
      <c r="M584" s="5"/>
      <c r="N584" s="5"/>
      <c r="O584" s="8" t="str">
        <f t="shared" si="73"/>
        <v>n/a</v>
      </c>
      <c r="Q584" s="5"/>
      <c r="R584" s="5"/>
      <c r="S584" s="5"/>
      <c r="U584" s="6"/>
      <c r="V584" s="9" t="str">
        <f t="shared" si="76"/>
        <v/>
      </c>
      <c r="W584" s="9" t="str">
        <f t="shared" si="77"/>
        <v/>
      </c>
      <c r="X584" s="10">
        <f>SUM(V$13:V584)/COUNTA(B$13:B584)</f>
        <v>0</v>
      </c>
      <c r="Z584" s="5"/>
      <c r="AA584" s="5"/>
      <c r="AC584" s="7"/>
      <c r="AE584" s="54" t="e">
        <f t="shared" si="78"/>
        <v>#N/A</v>
      </c>
      <c r="AF584" s="4" t="e">
        <f t="shared" si="74"/>
        <v>#N/A</v>
      </c>
    </row>
    <row r="585" spans="2:32">
      <c r="B585" s="5">
        <f t="shared" si="79"/>
        <v>573</v>
      </c>
      <c r="C585" s="5"/>
      <c r="E585" s="13"/>
      <c r="F585" s="5"/>
      <c r="G585" s="11" t="str">
        <f>IF(ISERROR(AVERAGE(F$13:F585)),"n/a",AVERAGE(F$13:F585))</f>
        <v>n/a</v>
      </c>
      <c r="H585" s="11" t="str">
        <f t="shared" si="75"/>
        <v>n/a</v>
      </c>
      <c r="J585" s="5"/>
      <c r="K585" s="5"/>
      <c r="L585" s="5"/>
      <c r="M585" s="5"/>
      <c r="N585" s="5"/>
      <c r="O585" s="8" t="str">
        <f t="shared" si="73"/>
        <v>n/a</v>
      </c>
      <c r="Q585" s="5"/>
      <c r="R585" s="5"/>
      <c r="S585" s="5"/>
      <c r="U585" s="6"/>
      <c r="V585" s="9" t="str">
        <f t="shared" si="76"/>
        <v/>
      </c>
      <c r="W585" s="9" t="str">
        <f t="shared" si="77"/>
        <v/>
      </c>
      <c r="X585" s="10">
        <f>SUM(V$13:V585)/COUNTA(B$13:B585)</f>
        <v>0</v>
      </c>
      <c r="Z585" s="5"/>
      <c r="AA585" s="5"/>
      <c r="AC585" s="7"/>
      <c r="AE585" s="54" t="e">
        <f t="shared" si="78"/>
        <v>#N/A</v>
      </c>
      <c r="AF585" s="4" t="e">
        <f t="shared" si="74"/>
        <v>#N/A</v>
      </c>
    </row>
    <row r="586" spans="2:32">
      <c r="B586" s="5">
        <f t="shared" si="79"/>
        <v>574</v>
      </c>
      <c r="C586" s="5"/>
      <c r="E586" s="13"/>
      <c r="F586" s="5"/>
      <c r="G586" s="11" t="str">
        <f>IF(ISERROR(AVERAGE(F$13:F586)),"n/a",AVERAGE(F$13:F586))</f>
        <v>n/a</v>
      </c>
      <c r="H586" s="11" t="str">
        <f t="shared" si="75"/>
        <v>n/a</v>
      </c>
      <c r="J586" s="5"/>
      <c r="K586" s="5"/>
      <c r="L586" s="5"/>
      <c r="M586" s="5"/>
      <c r="N586" s="5"/>
      <c r="O586" s="8" t="str">
        <f t="shared" si="73"/>
        <v>n/a</v>
      </c>
      <c r="Q586" s="5"/>
      <c r="R586" s="5"/>
      <c r="S586" s="5"/>
      <c r="U586" s="6"/>
      <c r="V586" s="9" t="str">
        <f t="shared" si="76"/>
        <v/>
      </c>
      <c r="W586" s="9" t="str">
        <f t="shared" si="77"/>
        <v/>
      </c>
      <c r="X586" s="10">
        <f>SUM(V$13:V586)/COUNTA(B$13:B586)</f>
        <v>0</v>
      </c>
      <c r="Z586" s="5"/>
      <c r="AA586" s="5"/>
      <c r="AC586" s="7"/>
      <c r="AE586" s="54" t="e">
        <f t="shared" si="78"/>
        <v>#N/A</v>
      </c>
      <c r="AF586" s="4" t="e">
        <f t="shared" si="74"/>
        <v>#N/A</v>
      </c>
    </row>
    <row r="587" spans="2:32">
      <c r="B587" s="5">
        <f t="shared" si="79"/>
        <v>575</v>
      </c>
      <c r="C587" s="5"/>
      <c r="E587" s="13"/>
      <c r="F587" s="5"/>
      <c r="G587" s="11" t="str">
        <f>IF(ISERROR(AVERAGE(F$13:F587)),"n/a",AVERAGE(F$13:F587))</f>
        <v>n/a</v>
      </c>
      <c r="H587" s="11" t="str">
        <f t="shared" si="75"/>
        <v>n/a</v>
      </c>
      <c r="J587" s="5"/>
      <c r="K587" s="5"/>
      <c r="L587" s="5"/>
      <c r="M587" s="5"/>
      <c r="N587" s="5"/>
      <c r="O587" s="8" t="str">
        <f t="shared" si="73"/>
        <v>n/a</v>
      </c>
      <c r="Q587" s="5"/>
      <c r="R587" s="5"/>
      <c r="S587" s="5"/>
      <c r="U587" s="6"/>
      <c r="V587" s="9" t="str">
        <f t="shared" si="76"/>
        <v/>
      </c>
      <c r="W587" s="9" t="str">
        <f t="shared" si="77"/>
        <v/>
      </c>
      <c r="X587" s="10">
        <f>SUM(V$13:V587)/COUNTA(B$13:B587)</f>
        <v>0</v>
      </c>
      <c r="Z587" s="5"/>
      <c r="AA587" s="5"/>
      <c r="AC587" s="7"/>
      <c r="AE587" s="54" t="e">
        <f t="shared" si="78"/>
        <v>#N/A</v>
      </c>
      <c r="AF587" s="4" t="e">
        <f t="shared" si="74"/>
        <v>#N/A</v>
      </c>
    </row>
    <row r="588" spans="2:32">
      <c r="B588" s="5">
        <f t="shared" si="79"/>
        <v>576</v>
      </c>
      <c r="C588" s="5"/>
      <c r="E588" s="13"/>
      <c r="F588" s="5"/>
      <c r="G588" s="11" t="str">
        <f>IF(ISERROR(AVERAGE(F$13:F588)),"n/a",AVERAGE(F$13:F588))</f>
        <v>n/a</v>
      </c>
      <c r="H588" s="11" t="str">
        <f t="shared" si="75"/>
        <v>n/a</v>
      </c>
      <c r="J588" s="5"/>
      <c r="K588" s="5"/>
      <c r="L588" s="5"/>
      <c r="M588" s="5"/>
      <c r="N588" s="5"/>
      <c r="O588" s="8" t="str">
        <f t="shared" si="73"/>
        <v>n/a</v>
      </c>
      <c r="Q588" s="5"/>
      <c r="R588" s="5"/>
      <c r="S588" s="5"/>
      <c r="U588" s="6"/>
      <c r="V588" s="9" t="str">
        <f t="shared" si="76"/>
        <v/>
      </c>
      <c r="W588" s="9" t="str">
        <f t="shared" si="77"/>
        <v/>
      </c>
      <c r="X588" s="10">
        <f>SUM(V$13:V588)/COUNTA(B$13:B588)</f>
        <v>0</v>
      </c>
      <c r="Z588" s="5"/>
      <c r="AA588" s="5"/>
      <c r="AC588" s="7"/>
      <c r="AE588" s="54" t="e">
        <f t="shared" si="78"/>
        <v>#N/A</v>
      </c>
      <c r="AF588" s="4" t="e">
        <f t="shared" si="74"/>
        <v>#N/A</v>
      </c>
    </row>
    <row r="589" spans="2:32">
      <c r="B589" s="5">
        <f t="shared" si="79"/>
        <v>577</v>
      </c>
      <c r="C589" s="5"/>
      <c r="E589" s="13"/>
      <c r="F589" s="5"/>
      <c r="G589" s="11" t="str">
        <f>IF(ISERROR(AVERAGE(F$13:F589)),"n/a",AVERAGE(F$13:F589))</f>
        <v>n/a</v>
      </c>
      <c r="H589" s="11" t="str">
        <f t="shared" si="75"/>
        <v>n/a</v>
      </c>
      <c r="J589" s="5"/>
      <c r="K589" s="5"/>
      <c r="L589" s="5"/>
      <c r="M589" s="5"/>
      <c r="N589" s="5"/>
      <c r="O589" s="8" t="str">
        <f t="shared" ref="O589:O652" si="80">IF(J589=1,"A",IF(K589=1,"B",IF(L589=1,"C",IF(M589=1,"D",IF(N589=1,"E","n/a")))))</f>
        <v>n/a</v>
      </c>
      <c r="Q589" s="5"/>
      <c r="R589" s="5"/>
      <c r="S589" s="5"/>
      <c r="U589" s="6"/>
      <c r="V589" s="9" t="str">
        <f t="shared" si="76"/>
        <v/>
      </c>
      <c r="W589" s="9" t="str">
        <f t="shared" si="77"/>
        <v/>
      </c>
      <c r="X589" s="10">
        <f>SUM(V$13:V589)/COUNTA(B$13:B589)</f>
        <v>0</v>
      </c>
      <c r="Z589" s="5"/>
      <c r="AA589" s="5"/>
      <c r="AC589" s="7"/>
      <c r="AE589" s="54" t="e">
        <f t="shared" si="78"/>
        <v>#N/A</v>
      </c>
      <c r="AF589" s="4" t="e">
        <f t="shared" ref="AF589:AF652" si="81">HLOOKUP(C589,$K$6:$O$7,2,FALSE)</f>
        <v>#N/A</v>
      </c>
    </row>
    <row r="590" spans="2:32">
      <c r="B590" s="5">
        <f t="shared" si="79"/>
        <v>578</v>
      </c>
      <c r="C590" s="5"/>
      <c r="E590" s="13"/>
      <c r="F590" s="5"/>
      <c r="G590" s="11" t="str">
        <f>IF(ISERROR(AVERAGE(F$13:F590)),"n/a",AVERAGE(F$13:F590))</f>
        <v>n/a</v>
      </c>
      <c r="H590" s="11" t="str">
        <f t="shared" ref="H590:H653" si="82">G590</f>
        <v>n/a</v>
      </c>
      <c r="J590" s="5"/>
      <c r="K590" s="5"/>
      <c r="L590" s="5"/>
      <c r="M590" s="5"/>
      <c r="N590" s="5"/>
      <c r="O590" s="8" t="str">
        <f t="shared" si="80"/>
        <v>n/a</v>
      </c>
      <c r="Q590" s="5"/>
      <c r="R590" s="5"/>
      <c r="S590" s="5"/>
      <c r="U590" s="6"/>
      <c r="V590" s="9" t="str">
        <f t="shared" ref="V590:V653" si="83">IF(O590="n/a","",IF(O590=U590,1,""))</f>
        <v/>
      </c>
      <c r="W590" s="9" t="str">
        <f t="shared" ref="W590:W653" si="84">IF(O590="n/a","",IF(O590&lt;&gt;U590,1,""))</f>
        <v/>
      </c>
      <c r="X590" s="10">
        <f>SUM(V$13:V590)/COUNTA(B$13:B590)</f>
        <v>0</v>
      </c>
      <c r="Z590" s="5"/>
      <c r="AA590" s="5"/>
      <c r="AC590" s="7"/>
      <c r="AE590" s="54" t="e">
        <f t="shared" ref="AE590:AE653" si="85">+IF($F$4=0,0,IF(W590=1,1,IF(OR(R590*$F$8=1,S590*$F$9=1,F590&gt;=AF590),2,0)))</f>
        <v>#N/A</v>
      </c>
      <c r="AF590" s="4" t="e">
        <f t="shared" si="81"/>
        <v>#N/A</v>
      </c>
    </row>
    <row r="591" spans="2:32">
      <c r="B591" s="5">
        <f t="shared" si="79"/>
        <v>579</v>
      </c>
      <c r="C591" s="5"/>
      <c r="E591" s="13"/>
      <c r="F591" s="5"/>
      <c r="G591" s="11" t="str">
        <f>IF(ISERROR(AVERAGE(F$13:F591)),"n/a",AVERAGE(F$13:F591))</f>
        <v>n/a</v>
      </c>
      <c r="H591" s="11" t="str">
        <f t="shared" si="82"/>
        <v>n/a</v>
      </c>
      <c r="J591" s="5"/>
      <c r="K591" s="5"/>
      <c r="L591" s="5"/>
      <c r="M591" s="5"/>
      <c r="N591" s="5"/>
      <c r="O591" s="8" t="str">
        <f t="shared" si="80"/>
        <v>n/a</v>
      </c>
      <c r="Q591" s="5"/>
      <c r="R591" s="5"/>
      <c r="S591" s="5"/>
      <c r="U591" s="6"/>
      <c r="V591" s="9" t="str">
        <f t="shared" si="83"/>
        <v/>
      </c>
      <c r="W591" s="9" t="str">
        <f t="shared" si="84"/>
        <v/>
      </c>
      <c r="X591" s="10">
        <f>SUM(V$13:V591)/COUNTA(B$13:B591)</f>
        <v>0</v>
      </c>
      <c r="Z591" s="5"/>
      <c r="AA591" s="5"/>
      <c r="AC591" s="7"/>
      <c r="AE591" s="54" t="e">
        <f t="shared" si="85"/>
        <v>#N/A</v>
      </c>
      <c r="AF591" s="4" t="e">
        <f t="shared" si="81"/>
        <v>#N/A</v>
      </c>
    </row>
    <row r="592" spans="2:32">
      <c r="B592" s="5">
        <f t="shared" si="79"/>
        <v>580</v>
      </c>
      <c r="C592" s="5"/>
      <c r="E592" s="13"/>
      <c r="F592" s="5"/>
      <c r="G592" s="11" t="str">
        <f>IF(ISERROR(AVERAGE(F$13:F592)),"n/a",AVERAGE(F$13:F592))</f>
        <v>n/a</v>
      </c>
      <c r="H592" s="11" t="str">
        <f t="shared" si="82"/>
        <v>n/a</v>
      </c>
      <c r="J592" s="5"/>
      <c r="K592" s="5"/>
      <c r="L592" s="5"/>
      <c r="M592" s="5"/>
      <c r="N592" s="5"/>
      <c r="O592" s="8" t="str">
        <f t="shared" si="80"/>
        <v>n/a</v>
      </c>
      <c r="Q592" s="5"/>
      <c r="R592" s="5"/>
      <c r="S592" s="5"/>
      <c r="U592" s="6"/>
      <c r="V592" s="9" t="str">
        <f t="shared" si="83"/>
        <v/>
      </c>
      <c r="W592" s="9" t="str">
        <f t="shared" si="84"/>
        <v/>
      </c>
      <c r="X592" s="10">
        <f>SUM(V$13:V592)/COUNTA(B$13:B592)</f>
        <v>0</v>
      </c>
      <c r="Z592" s="5"/>
      <c r="AA592" s="5"/>
      <c r="AC592" s="7"/>
      <c r="AE592" s="54" t="e">
        <f t="shared" si="85"/>
        <v>#N/A</v>
      </c>
      <c r="AF592" s="4" t="e">
        <f t="shared" si="81"/>
        <v>#N/A</v>
      </c>
    </row>
    <row r="593" spans="2:32">
      <c r="B593" s="5">
        <f t="shared" si="79"/>
        <v>581</v>
      </c>
      <c r="C593" s="5"/>
      <c r="E593" s="13"/>
      <c r="F593" s="5"/>
      <c r="G593" s="11" t="str">
        <f>IF(ISERROR(AVERAGE(F$13:F593)),"n/a",AVERAGE(F$13:F593))</f>
        <v>n/a</v>
      </c>
      <c r="H593" s="11" t="str">
        <f t="shared" si="82"/>
        <v>n/a</v>
      </c>
      <c r="J593" s="5"/>
      <c r="K593" s="5"/>
      <c r="L593" s="5"/>
      <c r="M593" s="5"/>
      <c r="N593" s="5"/>
      <c r="O593" s="8" t="str">
        <f t="shared" si="80"/>
        <v>n/a</v>
      </c>
      <c r="Q593" s="5"/>
      <c r="R593" s="5"/>
      <c r="S593" s="5"/>
      <c r="U593" s="6"/>
      <c r="V593" s="9" t="str">
        <f t="shared" si="83"/>
        <v/>
      </c>
      <c r="W593" s="9" t="str">
        <f t="shared" si="84"/>
        <v/>
      </c>
      <c r="X593" s="10">
        <f>SUM(V$13:V593)/COUNTA(B$13:B593)</f>
        <v>0</v>
      </c>
      <c r="Z593" s="5"/>
      <c r="AA593" s="5"/>
      <c r="AC593" s="7"/>
      <c r="AE593" s="54" t="e">
        <f t="shared" si="85"/>
        <v>#N/A</v>
      </c>
      <c r="AF593" s="4" t="e">
        <f t="shared" si="81"/>
        <v>#N/A</v>
      </c>
    </row>
    <row r="594" spans="2:32">
      <c r="B594" s="5">
        <f t="shared" si="79"/>
        <v>582</v>
      </c>
      <c r="C594" s="5"/>
      <c r="E594" s="13"/>
      <c r="F594" s="5"/>
      <c r="G594" s="11" t="str">
        <f>IF(ISERROR(AVERAGE(F$13:F594)),"n/a",AVERAGE(F$13:F594))</f>
        <v>n/a</v>
      </c>
      <c r="H594" s="11" t="str">
        <f t="shared" si="82"/>
        <v>n/a</v>
      </c>
      <c r="J594" s="5"/>
      <c r="K594" s="5"/>
      <c r="L594" s="5"/>
      <c r="M594" s="5"/>
      <c r="N594" s="5"/>
      <c r="O594" s="8" t="str">
        <f t="shared" si="80"/>
        <v>n/a</v>
      </c>
      <c r="Q594" s="5"/>
      <c r="R594" s="5"/>
      <c r="S594" s="5"/>
      <c r="U594" s="6"/>
      <c r="V594" s="9" t="str">
        <f t="shared" si="83"/>
        <v/>
      </c>
      <c r="W594" s="9" t="str">
        <f t="shared" si="84"/>
        <v/>
      </c>
      <c r="X594" s="10">
        <f>SUM(V$13:V594)/COUNTA(B$13:B594)</f>
        <v>0</v>
      </c>
      <c r="Z594" s="5"/>
      <c r="AA594" s="5"/>
      <c r="AC594" s="7"/>
      <c r="AE594" s="54" t="e">
        <f t="shared" si="85"/>
        <v>#N/A</v>
      </c>
      <c r="AF594" s="4" t="e">
        <f t="shared" si="81"/>
        <v>#N/A</v>
      </c>
    </row>
    <row r="595" spans="2:32">
      <c r="B595" s="5">
        <f t="shared" ref="B595:B658" si="86">+B594+1</f>
        <v>583</v>
      </c>
      <c r="C595" s="5"/>
      <c r="E595" s="13"/>
      <c r="F595" s="5"/>
      <c r="G595" s="11" t="str">
        <f>IF(ISERROR(AVERAGE(F$13:F595)),"n/a",AVERAGE(F$13:F595))</f>
        <v>n/a</v>
      </c>
      <c r="H595" s="11" t="str">
        <f t="shared" si="82"/>
        <v>n/a</v>
      </c>
      <c r="J595" s="5"/>
      <c r="K595" s="5"/>
      <c r="L595" s="5"/>
      <c r="M595" s="5"/>
      <c r="N595" s="5"/>
      <c r="O595" s="8" t="str">
        <f t="shared" si="80"/>
        <v>n/a</v>
      </c>
      <c r="Q595" s="5"/>
      <c r="R595" s="5"/>
      <c r="S595" s="5"/>
      <c r="U595" s="6"/>
      <c r="V595" s="9" t="str">
        <f t="shared" si="83"/>
        <v/>
      </c>
      <c r="W595" s="9" t="str">
        <f t="shared" si="84"/>
        <v/>
      </c>
      <c r="X595" s="10">
        <f>SUM(V$13:V595)/COUNTA(B$13:B595)</f>
        <v>0</v>
      </c>
      <c r="Z595" s="5"/>
      <c r="AA595" s="5"/>
      <c r="AC595" s="7"/>
      <c r="AE595" s="54" t="e">
        <f t="shared" si="85"/>
        <v>#N/A</v>
      </c>
      <c r="AF595" s="4" t="e">
        <f t="shared" si="81"/>
        <v>#N/A</v>
      </c>
    </row>
    <row r="596" spans="2:32">
      <c r="B596" s="5">
        <f t="shared" si="86"/>
        <v>584</v>
      </c>
      <c r="C596" s="5"/>
      <c r="E596" s="13"/>
      <c r="F596" s="5"/>
      <c r="G596" s="11" t="str">
        <f>IF(ISERROR(AVERAGE(F$13:F596)),"n/a",AVERAGE(F$13:F596))</f>
        <v>n/a</v>
      </c>
      <c r="H596" s="11" t="str">
        <f t="shared" si="82"/>
        <v>n/a</v>
      </c>
      <c r="J596" s="5"/>
      <c r="K596" s="5"/>
      <c r="L596" s="5"/>
      <c r="M596" s="5"/>
      <c r="N596" s="5"/>
      <c r="O596" s="8" t="str">
        <f t="shared" si="80"/>
        <v>n/a</v>
      </c>
      <c r="Q596" s="5"/>
      <c r="R596" s="5"/>
      <c r="S596" s="5"/>
      <c r="U596" s="6"/>
      <c r="V596" s="9" t="str">
        <f t="shared" si="83"/>
        <v/>
      </c>
      <c r="W596" s="9" t="str">
        <f t="shared" si="84"/>
        <v/>
      </c>
      <c r="X596" s="10">
        <f>SUM(V$13:V596)/COUNTA(B$13:B596)</f>
        <v>0</v>
      </c>
      <c r="Z596" s="5"/>
      <c r="AA596" s="5"/>
      <c r="AC596" s="7"/>
      <c r="AE596" s="54" t="e">
        <f t="shared" si="85"/>
        <v>#N/A</v>
      </c>
      <c r="AF596" s="4" t="e">
        <f t="shared" si="81"/>
        <v>#N/A</v>
      </c>
    </row>
    <row r="597" spans="2:32">
      <c r="B597" s="5">
        <f t="shared" si="86"/>
        <v>585</v>
      </c>
      <c r="C597" s="5"/>
      <c r="E597" s="13"/>
      <c r="F597" s="5"/>
      <c r="G597" s="11" t="str">
        <f>IF(ISERROR(AVERAGE(F$13:F597)),"n/a",AVERAGE(F$13:F597))</f>
        <v>n/a</v>
      </c>
      <c r="H597" s="11" t="str">
        <f t="shared" si="82"/>
        <v>n/a</v>
      </c>
      <c r="J597" s="5"/>
      <c r="K597" s="5"/>
      <c r="L597" s="5"/>
      <c r="M597" s="5"/>
      <c r="N597" s="5"/>
      <c r="O597" s="8" t="str">
        <f t="shared" si="80"/>
        <v>n/a</v>
      </c>
      <c r="Q597" s="5"/>
      <c r="R597" s="5"/>
      <c r="S597" s="5"/>
      <c r="U597" s="6"/>
      <c r="V597" s="9" t="str">
        <f t="shared" si="83"/>
        <v/>
      </c>
      <c r="W597" s="9" t="str">
        <f t="shared" si="84"/>
        <v/>
      </c>
      <c r="X597" s="10">
        <f>SUM(V$13:V597)/COUNTA(B$13:B597)</f>
        <v>0</v>
      </c>
      <c r="Z597" s="5"/>
      <c r="AA597" s="5"/>
      <c r="AC597" s="7"/>
      <c r="AE597" s="54" t="e">
        <f t="shared" si="85"/>
        <v>#N/A</v>
      </c>
      <c r="AF597" s="4" t="e">
        <f t="shared" si="81"/>
        <v>#N/A</v>
      </c>
    </row>
    <row r="598" spans="2:32">
      <c r="B598" s="5">
        <f t="shared" si="86"/>
        <v>586</v>
      </c>
      <c r="C598" s="5"/>
      <c r="E598" s="13"/>
      <c r="F598" s="5"/>
      <c r="G598" s="11" t="str">
        <f>IF(ISERROR(AVERAGE(F$13:F598)),"n/a",AVERAGE(F$13:F598))</f>
        <v>n/a</v>
      </c>
      <c r="H598" s="11" t="str">
        <f t="shared" si="82"/>
        <v>n/a</v>
      </c>
      <c r="J598" s="5"/>
      <c r="K598" s="5"/>
      <c r="L598" s="5"/>
      <c r="M598" s="5"/>
      <c r="N598" s="5"/>
      <c r="O598" s="8" t="str">
        <f t="shared" si="80"/>
        <v>n/a</v>
      </c>
      <c r="Q598" s="5"/>
      <c r="R598" s="5"/>
      <c r="S598" s="5"/>
      <c r="U598" s="6"/>
      <c r="V598" s="9" t="str">
        <f t="shared" si="83"/>
        <v/>
      </c>
      <c r="W598" s="9" t="str">
        <f t="shared" si="84"/>
        <v/>
      </c>
      <c r="X598" s="10">
        <f>SUM(V$13:V598)/COUNTA(B$13:B598)</f>
        <v>0</v>
      </c>
      <c r="Z598" s="5"/>
      <c r="AA598" s="5"/>
      <c r="AC598" s="7"/>
      <c r="AE598" s="54" t="e">
        <f t="shared" si="85"/>
        <v>#N/A</v>
      </c>
      <c r="AF598" s="4" t="e">
        <f t="shared" si="81"/>
        <v>#N/A</v>
      </c>
    </row>
    <row r="599" spans="2:32">
      <c r="B599" s="5">
        <f t="shared" si="86"/>
        <v>587</v>
      </c>
      <c r="C599" s="5"/>
      <c r="E599" s="13"/>
      <c r="F599" s="5"/>
      <c r="G599" s="11" t="str">
        <f>IF(ISERROR(AVERAGE(F$13:F599)),"n/a",AVERAGE(F$13:F599))</f>
        <v>n/a</v>
      </c>
      <c r="H599" s="11" t="str">
        <f t="shared" si="82"/>
        <v>n/a</v>
      </c>
      <c r="J599" s="5"/>
      <c r="K599" s="5"/>
      <c r="L599" s="5"/>
      <c r="M599" s="5"/>
      <c r="N599" s="5"/>
      <c r="O599" s="8" t="str">
        <f t="shared" si="80"/>
        <v>n/a</v>
      </c>
      <c r="Q599" s="5"/>
      <c r="R599" s="5"/>
      <c r="S599" s="5"/>
      <c r="U599" s="6"/>
      <c r="V599" s="9" t="str">
        <f t="shared" si="83"/>
        <v/>
      </c>
      <c r="W599" s="9" t="str">
        <f t="shared" si="84"/>
        <v/>
      </c>
      <c r="X599" s="10">
        <f>SUM(V$13:V599)/COUNTA(B$13:B599)</f>
        <v>0</v>
      </c>
      <c r="Z599" s="5"/>
      <c r="AA599" s="5"/>
      <c r="AC599" s="7"/>
      <c r="AE599" s="54" t="e">
        <f t="shared" si="85"/>
        <v>#N/A</v>
      </c>
      <c r="AF599" s="4" t="e">
        <f t="shared" si="81"/>
        <v>#N/A</v>
      </c>
    </row>
    <row r="600" spans="2:32">
      <c r="B600" s="5">
        <f t="shared" si="86"/>
        <v>588</v>
      </c>
      <c r="C600" s="5"/>
      <c r="E600" s="13"/>
      <c r="F600" s="5"/>
      <c r="G600" s="11" t="str">
        <f>IF(ISERROR(AVERAGE(F$13:F600)),"n/a",AVERAGE(F$13:F600))</f>
        <v>n/a</v>
      </c>
      <c r="H600" s="11" t="str">
        <f t="shared" si="82"/>
        <v>n/a</v>
      </c>
      <c r="J600" s="5"/>
      <c r="K600" s="5"/>
      <c r="L600" s="5"/>
      <c r="M600" s="5"/>
      <c r="N600" s="5"/>
      <c r="O600" s="8" t="str">
        <f t="shared" si="80"/>
        <v>n/a</v>
      </c>
      <c r="Q600" s="5"/>
      <c r="R600" s="5"/>
      <c r="S600" s="5"/>
      <c r="U600" s="6"/>
      <c r="V600" s="9" t="str">
        <f t="shared" si="83"/>
        <v/>
      </c>
      <c r="W600" s="9" t="str">
        <f t="shared" si="84"/>
        <v/>
      </c>
      <c r="X600" s="10">
        <f>SUM(V$13:V600)/COUNTA(B$13:B600)</f>
        <v>0</v>
      </c>
      <c r="Z600" s="5"/>
      <c r="AA600" s="5"/>
      <c r="AC600" s="7"/>
      <c r="AE600" s="54" t="e">
        <f t="shared" si="85"/>
        <v>#N/A</v>
      </c>
      <c r="AF600" s="4" t="e">
        <f t="shared" si="81"/>
        <v>#N/A</v>
      </c>
    </row>
    <row r="601" spans="2:32">
      <c r="B601" s="5">
        <f t="shared" si="86"/>
        <v>589</v>
      </c>
      <c r="C601" s="5"/>
      <c r="E601" s="13"/>
      <c r="F601" s="5"/>
      <c r="G601" s="11" t="str">
        <f>IF(ISERROR(AVERAGE(F$13:F601)),"n/a",AVERAGE(F$13:F601))</f>
        <v>n/a</v>
      </c>
      <c r="H601" s="11" t="str">
        <f t="shared" si="82"/>
        <v>n/a</v>
      </c>
      <c r="J601" s="5"/>
      <c r="K601" s="5"/>
      <c r="L601" s="5"/>
      <c r="M601" s="5"/>
      <c r="N601" s="5"/>
      <c r="O601" s="8" t="str">
        <f t="shared" si="80"/>
        <v>n/a</v>
      </c>
      <c r="Q601" s="5"/>
      <c r="R601" s="5"/>
      <c r="S601" s="5"/>
      <c r="U601" s="6"/>
      <c r="V601" s="9" t="str">
        <f t="shared" si="83"/>
        <v/>
      </c>
      <c r="W601" s="9" t="str">
        <f t="shared" si="84"/>
        <v/>
      </c>
      <c r="X601" s="10">
        <f>SUM(V$13:V601)/COUNTA(B$13:B601)</f>
        <v>0</v>
      </c>
      <c r="Z601" s="5"/>
      <c r="AA601" s="5"/>
      <c r="AC601" s="7"/>
      <c r="AE601" s="54" t="e">
        <f t="shared" si="85"/>
        <v>#N/A</v>
      </c>
      <c r="AF601" s="4" t="e">
        <f t="shared" si="81"/>
        <v>#N/A</v>
      </c>
    </row>
    <row r="602" spans="2:32">
      <c r="B602" s="5">
        <f t="shared" si="86"/>
        <v>590</v>
      </c>
      <c r="C602" s="5"/>
      <c r="E602" s="13"/>
      <c r="F602" s="5"/>
      <c r="G602" s="11" t="str">
        <f>IF(ISERROR(AVERAGE(F$13:F602)),"n/a",AVERAGE(F$13:F602))</f>
        <v>n/a</v>
      </c>
      <c r="H602" s="11" t="str">
        <f t="shared" si="82"/>
        <v>n/a</v>
      </c>
      <c r="J602" s="5"/>
      <c r="K602" s="5"/>
      <c r="L602" s="5"/>
      <c r="M602" s="5"/>
      <c r="N602" s="5"/>
      <c r="O602" s="8" t="str">
        <f t="shared" si="80"/>
        <v>n/a</v>
      </c>
      <c r="Q602" s="5"/>
      <c r="R602" s="5"/>
      <c r="S602" s="5"/>
      <c r="U602" s="6"/>
      <c r="V602" s="9" t="str">
        <f t="shared" si="83"/>
        <v/>
      </c>
      <c r="W602" s="9" t="str">
        <f t="shared" si="84"/>
        <v/>
      </c>
      <c r="X602" s="10">
        <f>SUM(V$13:V602)/COUNTA(B$13:B602)</f>
        <v>0</v>
      </c>
      <c r="Z602" s="5"/>
      <c r="AA602" s="5"/>
      <c r="AC602" s="7"/>
      <c r="AE602" s="54" t="e">
        <f t="shared" si="85"/>
        <v>#N/A</v>
      </c>
      <c r="AF602" s="4" t="e">
        <f t="shared" si="81"/>
        <v>#N/A</v>
      </c>
    </row>
    <row r="603" spans="2:32">
      <c r="B603" s="5">
        <f t="shared" si="86"/>
        <v>591</v>
      </c>
      <c r="C603" s="5"/>
      <c r="E603" s="13"/>
      <c r="F603" s="5"/>
      <c r="G603" s="11" t="str">
        <f>IF(ISERROR(AVERAGE(F$13:F603)),"n/a",AVERAGE(F$13:F603))</f>
        <v>n/a</v>
      </c>
      <c r="H603" s="11" t="str">
        <f t="shared" si="82"/>
        <v>n/a</v>
      </c>
      <c r="J603" s="5"/>
      <c r="K603" s="5"/>
      <c r="L603" s="5"/>
      <c r="M603" s="5"/>
      <c r="N603" s="5"/>
      <c r="O603" s="8" t="str">
        <f t="shared" si="80"/>
        <v>n/a</v>
      </c>
      <c r="Q603" s="5"/>
      <c r="R603" s="5"/>
      <c r="S603" s="5"/>
      <c r="U603" s="6"/>
      <c r="V603" s="9" t="str">
        <f t="shared" si="83"/>
        <v/>
      </c>
      <c r="W603" s="9" t="str">
        <f t="shared" si="84"/>
        <v/>
      </c>
      <c r="X603" s="10">
        <f>SUM(V$13:V603)/COUNTA(B$13:B603)</f>
        <v>0</v>
      </c>
      <c r="Z603" s="5"/>
      <c r="AA603" s="5"/>
      <c r="AC603" s="7"/>
      <c r="AE603" s="54" t="e">
        <f t="shared" si="85"/>
        <v>#N/A</v>
      </c>
      <c r="AF603" s="4" t="e">
        <f t="shared" si="81"/>
        <v>#N/A</v>
      </c>
    </row>
    <row r="604" spans="2:32">
      <c r="B604" s="5">
        <f t="shared" si="86"/>
        <v>592</v>
      </c>
      <c r="C604" s="5"/>
      <c r="E604" s="13"/>
      <c r="F604" s="5"/>
      <c r="G604" s="11" t="str">
        <f>IF(ISERROR(AVERAGE(F$13:F604)),"n/a",AVERAGE(F$13:F604))</f>
        <v>n/a</v>
      </c>
      <c r="H604" s="11" t="str">
        <f t="shared" si="82"/>
        <v>n/a</v>
      </c>
      <c r="J604" s="5"/>
      <c r="K604" s="5"/>
      <c r="L604" s="5"/>
      <c r="M604" s="5"/>
      <c r="N604" s="5"/>
      <c r="O604" s="8" t="str">
        <f t="shared" si="80"/>
        <v>n/a</v>
      </c>
      <c r="Q604" s="5"/>
      <c r="R604" s="5"/>
      <c r="S604" s="5"/>
      <c r="U604" s="6"/>
      <c r="V604" s="9" t="str">
        <f t="shared" si="83"/>
        <v/>
      </c>
      <c r="W604" s="9" t="str">
        <f t="shared" si="84"/>
        <v/>
      </c>
      <c r="X604" s="10">
        <f>SUM(V$13:V604)/COUNTA(B$13:B604)</f>
        <v>0</v>
      </c>
      <c r="Z604" s="5"/>
      <c r="AA604" s="5"/>
      <c r="AC604" s="7"/>
      <c r="AE604" s="54" t="e">
        <f t="shared" si="85"/>
        <v>#N/A</v>
      </c>
      <c r="AF604" s="4" t="e">
        <f t="shared" si="81"/>
        <v>#N/A</v>
      </c>
    </row>
    <row r="605" spans="2:32">
      <c r="B605" s="5">
        <f t="shared" si="86"/>
        <v>593</v>
      </c>
      <c r="C605" s="5"/>
      <c r="E605" s="13"/>
      <c r="F605" s="5"/>
      <c r="G605" s="11" t="str">
        <f>IF(ISERROR(AVERAGE(F$13:F605)),"n/a",AVERAGE(F$13:F605))</f>
        <v>n/a</v>
      </c>
      <c r="H605" s="11" t="str">
        <f t="shared" si="82"/>
        <v>n/a</v>
      </c>
      <c r="J605" s="5"/>
      <c r="K605" s="5"/>
      <c r="L605" s="5"/>
      <c r="M605" s="5"/>
      <c r="N605" s="5"/>
      <c r="O605" s="8" t="str">
        <f t="shared" si="80"/>
        <v>n/a</v>
      </c>
      <c r="Q605" s="5"/>
      <c r="R605" s="5"/>
      <c r="S605" s="5"/>
      <c r="U605" s="6"/>
      <c r="V605" s="9" t="str">
        <f t="shared" si="83"/>
        <v/>
      </c>
      <c r="W605" s="9" t="str">
        <f t="shared" si="84"/>
        <v/>
      </c>
      <c r="X605" s="10">
        <f>SUM(V$13:V605)/COUNTA(B$13:B605)</f>
        <v>0</v>
      </c>
      <c r="Z605" s="5"/>
      <c r="AA605" s="5"/>
      <c r="AC605" s="7"/>
      <c r="AE605" s="54" t="e">
        <f t="shared" si="85"/>
        <v>#N/A</v>
      </c>
      <c r="AF605" s="4" t="e">
        <f t="shared" si="81"/>
        <v>#N/A</v>
      </c>
    </row>
    <row r="606" spans="2:32">
      <c r="B606" s="5">
        <f t="shared" si="86"/>
        <v>594</v>
      </c>
      <c r="C606" s="5"/>
      <c r="E606" s="13"/>
      <c r="F606" s="5"/>
      <c r="G606" s="11" t="str">
        <f>IF(ISERROR(AVERAGE(F$13:F606)),"n/a",AVERAGE(F$13:F606))</f>
        <v>n/a</v>
      </c>
      <c r="H606" s="11" t="str">
        <f t="shared" si="82"/>
        <v>n/a</v>
      </c>
      <c r="J606" s="5"/>
      <c r="K606" s="5"/>
      <c r="L606" s="5"/>
      <c r="M606" s="5"/>
      <c r="N606" s="5"/>
      <c r="O606" s="8" t="str">
        <f t="shared" si="80"/>
        <v>n/a</v>
      </c>
      <c r="Q606" s="5"/>
      <c r="R606" s="5"/>
      <c r="S606" s="5"/>
      <c r="U606" s="6"/>
      <c r="V606" s="9" t="str">
        <f t="shared" si="83"/>
        <v/>
      </c>
      <c r="W606" s="9" t="str">
        <f t="shared" si="84"/>
        <v/>
      </c>
      <c r="X606" s="10">
        <f>SUM(V$13:V606)/COUNTA(B$13:B606)</f>
        <v>0</v>
      </c>
      <c r="Z606" s="5"/>
      <c r="AA606" s="5"/>
      <c r="AC606" s="7"/>
      <c r="AE606" s="54" t="e">
        <f t="shared" si="85"/>
        <v>#N/A</v>
      </c>
      <c r="AF606" s="4" t="e">
        <f t="shared" si="81"/>
        <v>#N/A</v>
      </c>
    </row>
    <row r="607" spans="2:32">
      <c r="B607" s="5">
        <f t="shared" si="86"/>
        <v>595</v>
      </c>
      <c r="C607" s="5"/>
      <c r="E607" s="13"/>
      <c r="F607" s="5"/>
      <c r="G607" s="11" t="str">
        <f>IF(ISERROR(AVERAGE(F$13:F607)),"n/a",AVERAGE(F$13:F607))</f>
        <v>n/a</v>
      </c>
      <c r="H607" s="11" t="str">
        <f t="shared" si="82"/>
        <v>n/a</v>
      </c>
      <c r="J607" s="5"/>
      <c r="K607" s="5"/>
      <c r="L607" s="5"/>
      <c r="M607" s="5"/>
      <c r="N607" s="5"/>
      <c r="O607" s="8" t="str">
        <f t="shared" si="80"/>
        <v>n/a</v>
      </c>
      <c r="Q607" s="5"/>
      <c r="R607" s="5"/>
      <c r="S607" s="5"/>
      <c r="U607" s="6"/>
      <c r="V607" s="9" t="str">
        <f t="shared" si="83"/>
        <v/>
      </c>
      <c r="W607" s="9" t="str">
        <f t="shared" si="84"/>
        <v/>
      </c>
      <c r="X607" s="10">
        <f>SUM(V$13:V607)/COUNTA(B$13:B607)</f>
        <v>0</v>
      </c>
      <c r="Z607" s="5"/>
      <c r="AA607" s="5"/>
      <c r="AC607" s="7"/>
      <c r="AE607" s="54" t="e">
        <f t="shared" si="85"/>
        <v>#N/A</v>
      </c>
      <c r="AF607" s="4" t="e">
        <f t="shared" si="81"/>
        <v>#N/A</v>
      </c>
    </row>
    <row r="608" spans="2:32">
      <c r="B608" s="5">
        <f t="shared" si="86"/>
        <v>596</v>
      </c>
      <c r="C608" s="5"/>
      <c r="E608" s="13"/>
      <c r="F608" s="5"/>
      <c r="G608" s="11" t="str">
        <f>IF(ISERROR(AVERAGE(F$13:F608)),"n/a",AVERAGE(F$13:F608))</f>
        <v>n/a</v>
      </c>
      <c r="H608" s="11" t="str">
        <f t="shared" si="82"/>
        <v>n/a</v>
      </c>
      <c r="J608" s="5"/>
      <c r="K608" s="5"/>
      <c r="L608" s="5"/>
      <c r="M608" s="5"/>
      <c r="N608" s="5"/>
      <c r="O608" s="8" t="str">
        <f t="shared" si="80"/>
        <v>n/a</v>
      </c>
      <c r="Q608" s="5"/>
      <c r="R608" s="5"/>
      <c r="S608" s="5"/>
      <c r="U608" s="6"/>
      <c r="V608" s="9" t="str">
        <f t="shared" si="83"/>
        <v/>
      </c>
      <c r="W608" s="9" t="str">
        <f t="shared" si="84"/>
        <v/>
      </c>
      <c r="X608" s="10">
        <f>SUM(V$13:V608)/COUNTA(B$13:B608)</f>
        <v>0</v>
      </c>
      <c r="Z608" s="5"/>
      <c r="AA608" s="5"/>
      <c r="AC608" s="7"/>
      <c r="AE608" s="54" t="e">
        <f t="shared" si="85"/>
        <v>#N/A</v>
      </c>
      <c r="AF608" s="4" t="e">
        <f t="shared" si="81"/>
        <v>#N/A</v>
      </c>
    </row>
    <row r="609" spans="2:32">
      <c r="B609" s="5">
        <f t="shared" si="86"/>
        <v>597</v>
      </c>
      <c r="C609" s="5"/>
      <c r="E609" s="13"/>
      <c r="F609" s="5"/>
      <c r="G609" s="11" t="str">
        <f>IF(ISERROR(AVERAGE(F$13:F609)),"n/a",AVERAGE(F$13:F609))</f>
        <v>n/a</v>
      </c>
      <c r="H609" s="11" t="str">
        <f t="shared" si="82"/>
        <v>n/a</v>
      </c>
      <c r="J609" s="5"/>
      <c r="K609" s="5"/>
      <c r="L609" s="5"/>
      <c r="M609" s="5"/>
      <c r="N609" s="5"/>
      <c r="O609" s="8" t="str">
        <f t="shared" si="80"/>
        <v>n/a</v>
      </c>
      <c r="Q609" s="5"/>
      <c r="R609" s="5"/>
      <c r="S609" s="5"/>
      <c r="U609" s="6"/>
      <c r="V609" s="9" t="str">
        <f t="shared" si="83"/>
        <v/>
      </c>
      <c r="W609" s="9" t="str">
        <f t="shared" si="84"/>
        <v/>
      </c>
      <c r="X609" s="10">
        <f>SUM(V$13:V609)/COUNTA(B$13:B609)</f>
        <v>0</v>
      </c>
      <c r="Z609" s="5"/>
      <c r="AA609" s="5"/>
      <c r="AC609" s="7"/>
      <c r="AE609" s="54" t="e">
        <f t="shared" si="85"/>
        <v>#N/A</v>
      </c>
      <c r="AF609" s="4" t="e">
        <f t="shared" si="81"/>
        <v>#N/A</v>
      </c>
    </row>
    <row r="610" spans="2:32">
      <c r="B610" s="5">
        <f t="shared" si="86"/>
        <v>598</v>
      </c>
      <c r="C610" s="5"/>
      <c r="E610" s="13"/>
      <c r="F610" s="5"/>
      <c r="G610" s="11" t="str">
        <f>IF(ISERROR(AVERAGE(F$13:F610)),"n/a",AVERAGE(F$13:F610))</f>
        <v>n/a</v>
      </c>
      <c r="H610" s="11" t="str">
        <f t="shared" si="82"/>
        <v>n/a</v>
      </c>
      <c r="J610" s="5"/>
      <c r="K610" s="5"/>
      <c r="L610" s="5"/>
      <c r="M610" s="5"/>
      <c r="N610" s="5"/>
      <c r="O610" s="8" t="str">
        <f t="shared" si="80"/>
        <v>n/a</v>
      </c>
      <c r="Q610" s="5"/>
      <c r="R610" s="5"/>
      <c r="S610" s="5"/>
      <c r="U610" s="6"/>
      <c r="V610" s="9" t="str">
        <f t="shared" si="83"/>
        <v/>
      </c>
      <c r="W610" s="9" t="str">
        <f t="shared" si="84"/>
        <v/>
      </c>
      <c r="X610" s="10">
        <f>SUM(V$13:V610)/COUNTA(B$13:B610)</f>
        <v>0</v>
      </c>
      <c r="Z610" s="5"/>
      <c r="AA610" s="5"/>
      <c r="AC610" s="7"/>
      <c r="AE610" s="54" t="e">
        <f t="shared" si="85"/>
        <v>#N/A</v>
      </c>
      <c r="AF610" s="4" t="e">
        <f t="shared" si="81"/>
        <v>#N/A</v>
      </c>
    </row>
    <row r="611" spans="2:32">
      <c r="B611" s="5">
        <f t="shared" si="86"/>
        <v>599</v>
      </c>
      <c r="C611" s="5"/>
      <c r="E611" s="13"/>
      <c r="F611" s="5"/>
      <c r="G611" s="11" t="str">
        <f>IF(ISERROR(AVERAGE(F$13:F611)),"n/a",AVERAGE(F$13:F611))</f>
        <v>n/a</v>
      </c>
      <c r="H611" s="11" t="str">
        <f t="shared" si="82"/>
        <v>n/a</v>
      </c>
      <c r="J611" s="5"/>
      <c r="K611" s="5"/>
      <c r="L611" s="5"/>
      <c r="M611" s="5"/>
      <c r="N611" s="5"/>
      <c r="O611" s="8" t="str">
        <f t="shared" si="80"/>
        <v>n/a</v>
      </c>
      <c r="Q611" s="5"/>
      <c r="R611" s="5"/>
      <c r="S611" s="5"/>
      <c r="U611" s="6"/>
      <c r="V611" s="9" t="str">
        <f t="shared" si="83"/>
        <v/>
      </c>
      <c r="W611" s="9" t="str">
        <f t="shared" si="84"/>
        <v/>
      </c>
      <c r="X611" s="10">
        <f>SUM(V$13:V611)/COUNTA(B$13:B611)</f>
        <v>0</v>
      </c>
      <c r="Z611" s="5"/>
      <c r="AA611" s="5"/>
      <c r="AC611" s="7"/>
      <c r="AE611" s="54" t="e">
        <f t="shared" si="85"/>
        <v>#N/A</v>
      </c>
      <c r="AF611" s="4" t="e">
        <f t="shared" si="81"/>
        <v>#N/A</v>
      </c>
    </row>
    <row r="612" spans="2:32">
      <c r="B612" s="5">
        <f t="shared" si="86"/>
        <v>600</v>
      </c>
      <c r="C612" s="5"/>
      <c r="E612" s="13"/>
      <c r="F612" s="5"/>
      <c r="G612" s="11" t="str">
        <f>IF(ISERROR(AVERAGE(F$13:F612)),"n/a",AVERAGE(F$13:F612))</f>
        <v>n/a</v>
      </c>
      <c r="H612" s="11" t="str">
        <f t="shared" si="82"/>
        <v>n/a</v>
      </c>
      <c r="J612" s="5"/>
      <c r="K612" s="5"/>
      <c r="L612" s="5"/>
      <c r="M612" s="5"/>
      <c r="N612" s="5"/>
      <c r="O612" s="8" t="str">
        <f t="shared" si="80"/>
        <v>n/a</v>
      </c>
      <c r="Q612" s="5"/>
      <c r="R612" s="5"/>
      <c r="S612" s="5"/>
      <c r="U612" s="6"/>
      <c r="V612" s="9" t="str">
        <f t="shared" si="83"/>
        <v/>
      </c>
      <c r="W612" s="9" t="str">
        <f t="shared" si="84"/>
        <v/>
      </c>
      <c r="X612" s="10">
        <f>SUM(V$13:V612)/COUNTA(B$13:B612)</f>
        <v>0</v>
      </c>
      <c r="Z612" s="5"/>
      <c r="AA612" s="5"/>
      <c r="AC612" s="7"/>
      <c r="AE612" s="54" t="e">
        <f t="shared" si="85"/>
        <v>#N/A</v>
      </c>
      <c r="AF612" s="4" t="e">
        <f t="shared" si="81"/>
        <v>#N/A</v>
      </c>
    </row>
    <row r="613" spans="2:32">
      <c r="B613" s="5">
        <f t="shared" si="86"/>
        <v>601</v>
      </c>
      <c r="C613" s="5"/>
      <c r="E613" s="13"/>
      <c r="F613" s="5"/>
      <c r="G613" s="11" t="str">
        <f>IF(ISERROR(AVERAGE(F$13:F613)),"n/a",AVERAGE(F$13:F613))</f>
        <v>n/a</v>
      </c>
      <c r="H613" s="11" t="str">
        <f t="shared" si="82"/>
        <v>n/a</v>
      </c>
      <c r="J613" s="5"/>
      <c r="K613" s="5"/>
      <c r="L613" s="5"/>
      <c r="M613" s="5"/>
      <c r="N613" s="5"/>
      <c r="O613" s="8" t="str">
        <f t="shared" si="80"/>
        <v>n/a</v>
      </c>
      <c r="Q613" s="5"/>
      <c r="R613" s="5"/>
      <c r="S613" s="5"/>
      <c r="U613" s="6"/>
      <c r="V613" s="9" t="str">
        <f t="shared" si="83"/>
        <v/>
      </c>
      <c r="W613" s="9" t="str">
        <f t="shared" si="84"/>
        <v/>
      </c>
      <c r="X613" s="10">
        <f>SUM(V$13:V613)/COUNTA(B$13:B613)</f>
        <v>0</v>
      </c>
      <c r="Z613" s="5"/>
      <c r="AA613" s="5"/>
      <c r="AC613" s="7"/>
      <c r="AE613" s="54" t="e">
        <f t="shared" si="85"/>
        <v>#N/A</v>
      </c>
      <c r="AF613" s="4" t="e">
        <f t="shared" si="81"/>
        <v>#N/A</v>
      </c>
    </row>
    <row r="614" spans="2:32">
      <c r="B614" s="5">
        <f t="shared" si="86"/>
        <v>602</v>
      </c>
      <c r="C614" s="5"/>
      <c r="E614" s="13"/>
      <c r="F614" s="5"/>
      <c r="G614" s="11" t="str">
        <f>IF(ISERROR(AVERAGE(F$13:F614)),"n/a",AVERAGE(F$13:F614))</f>
        <v>n/a</v>
      </c>
      <c r="H614" s="11" t="str">
        <f t="shared" si="82"/>
        <v>n/a</v>
      </c>
      <c r="J614" s="5"/>
      <c r="K614" s="5"/>
      <c r="L614" s="5"/>
      <c r="M614" s="5"/>
      <c r="N614" s="5"/>
      <c r="O614" s="8" t="str">
        <f t="shared" si="80"/>
        <v>n/a</v>
      </c>
      <c r="Q614" s="5"/>
      <c r="R614" s="5"/>
      <c r="S614" s="5"/>
      <c r="U614" s="6"/>
      <c r="V614" s="9" t="str">
        <f t="shared" si="83"/>
        <v/>
      </c>
      <c r="W614" s="9" t="str">
        <f t="shared" si="84"/>
        <v/>
      </c>
      <c r="X614" s="10">
        <f>SUM(V$13:V614)/COUNTA(B$13:B614)</f>
        <v>0</v>
      </c>
      <c r="Z614" s="5"/>
      <c r="AA614" s="5"/>
      <c r="AC614" s="7"/>
      <c r="AE614" s="54" t="e">
        <f t="shared" si="85"/>
        <v>#N/A</v>
      </c>
      <c r="AF614" s="4" t="e">
        <f t="shared" si="81"/>
        <v>#N/A</v>
      </c>
    </row>
    <row r="615" spans="2:32">
      <c r="B615" s="5">
        <f t="shared" si="86"/>
        <v>603</v>
      </c>
      <c r="C615" s="5"/>
      <c r="E615" s="13"/>
      <c r="F615" s="5"/>
      <c r="G615" s="11" t="str">
        <f>IF(ISERROR(AVERAGE(F$13:F615)),"n/a",AVERAGE(F$13:F615))</f>
        <v>n/a</v>
      </c>
      <c r="H615" s="11" t="str">
        <f t="shared" si="82"/>
        <v>n/a</v>
      </c>
      <c r="J615" s="5"/>
      <c r="K615" s="5"/>
      <c r="L615" s="5"/>
      <c r="M615" s="5"/>
      <c r="N615" s="5"/>
      <c r="O615" s="8" t="str">
        <f t="shared" si="80"/>
        <v>n/a</v>
      </c>
      <c r="Q615" s="5"/>
      <c r="R615" s="5"/>
      <c r="S615" s="5"/>
      <c r="U615" s="6"/>
      <c r="V615" s="9" t="str">
        <f t="shared" si="83"/>
        <v/>
      </c>
      <c r="W615" s="9" t="str">
        <f t="shared" si="84"/>
        <v/>
      </c>
      <c r="X615" s="10">
        <f>SUM(V$13:V615)/COUNTA(B$13:B615)</f>
        <v>0</v>
      </c>
      <c r="Z615" s="5"/>
      <c r="AA615" s="5"/>
      <c r="AC615" s="7"/>
      <c r="AE615" s="54" t="e">
        <f t="shared" si="85"/>
        <v>#N/A</v>
      </c>
      <c r="AF615" s="4" t="e">
        <f t="shared" si="81"/>
        <v>#N/A</v>
      </c>
    </row>
    <row r="616" spans="2:32">
      <c r="B616" s="5">
        <f t="shared" si="86"/>
        <v>604</v>
      </c>
      <c r="C616" s="5"/>
      <c r="E616" s="13"/>
      <c r="F616" s="5"/>
      <c r="G616" s="11" t="str">
        <f>IF(ISERROR(AVERAGE(F$13:F616)),"n/a",AVERAGE(F$13:F616))</f>
        <v>n/a</v>
      </c>
      <c r="H616" s="11" t="str">
        <f t="shared" si="82"/>
        <v>n/a</v>
      </c>
      <c r="J616" s="5"/>
      <c r="K616" s="5"/>
      <c r="L616" s="5"/>
      <c r="M616" s="5"/>
      <c r="N616" s="5"/>
      <c r="O616" s="8" t="str">
        <f t="shared" si="80"/>
        <v>n/a</v>
      </c>
      <c r="Q616" s="5"/>
      <c r="R616" s="5"/>
      <c r="S616" s="5"/>
      <c r="U616" s="6"/>
      <c r="V616" s="9" t="str">
        <f t="shared" si="83"/>
        <v/>
      </c>
      <c r="W616" s="9" t="str">
        <f t="shared" si="84"/>
        <v/>
      </c>
      <c r="X616" s="10">
        <f>SUM(V$13:V616)/COUNTA(B$13:B616)</f>
        <v>0</v>
      </c>
      <c r="Z616" s="5"/>
      <c r="AA616" s="5"/>
      <c r="AC616" s="7"/>
      <c r="AE616" s="54" t="e">
        <f t="shared" si="85"/>
        <v>#N/A</v>
      </c>
      <c r="AF616" s="4" t="e">
        <f t="shared" si="81"/>
        <v>#N/A</v>
      </c>
    </row>
    <row r="617" spans="2:32">
      <c r="B617" s="5">
        <f t="shared" si="86"/>
        <v>605</v>
      </c>
      <c r="C617" s="5"/>
      <c r="E617" s="13"/>
      <c r="F617" s="5"/>
      <c r="G617" s="11" t="str">
        <f>IF(ISERROR(AVERAGE(F$13:F617)),"n/a",AVERAGE(F$13:F617))</f>
        <v>n/a</v>
      </c>
      <c r="H617" s="11" t="str">
        <f t="shared" si="82"/>
        <v>n/a</v>
      </c>
      <c r="J617" s="5"/>
      <c r="K617" s="5"/>
      <c r="L617" s="5"/>
      <c r="M617" s="5"/>
      <c r="N617" s="5"/>
      <c r="O617" s="8" t="str">
        <f t="shared" si="80"/>
        <v>n/a</v>
      </c>
      <c r="Q617" s="5"/>
      <c r="R617" s="5"/>
      <c r="S617" s="5"/>
      <c r="U617" s="6"/>
      <c r="V617" s="9" t="str">
        <f t="shared" si="83"/>
        <v/>
      </c>
      <c r="W617" s="9" t="str">
        <f t="shared" si="84"/>
        <v/>
      </c>
      <c r="X617" s="10">
        <f>SUM(V$13:V617)/COUNTA(B$13:B617)</f>
        <v>0</v>
      </c>
      <c r="Z617" s="5"/>
      <c r="AA617" s="5"/>
      <c r="AC617" s="7"/>
      <c r="AE617" s="54" t="e">
        <f t="shared" si="85"/>
        <v>#N/A</v>
      </c>
      <c r="AF617" s="4" t="e">
        <f t="shared" si="81"/>
        <v>#N/A</v>
      </c>
    </row>
    <row r="618" spans="2:32">
      <c r="B618" s="5">
        <f t="shared" si="86"/>
        <v>606</v>
      </c>
      <c r="C618" s="5"/>
      <c r="E618" s="13"/>
      <c r="F618" s="5"/>
      <c r="G618" s="11" t="str">
        <f>IF(ISERROR(AVERAGE(F$13:F618)),"n/a",AVERAGE(F$13:F618))</f>
        <v>n/a</v>
      </c>
      <c r="H618" s="11" t="str">
        <f t="shared" si="82"/>
        <v>n/a</v>
      </c>
      <c r="J618" s="5"/>
      <c r="K618" s="5"/>
      <c r="L618" s="5"/>
      <c r="M618" s="5"/>
      <c r="N618" s="5"/>
      <c r="O618" s="8" t="str">
        <f t="shared" si="80"/>
        <v>n/a</v>
      </c>
      <c r="Q618" s="5"/>
      <c r="R618" s="5"/>
      <c r="S618" s="5"/>
      <c r="U618" s="6"/>
      <c r="V618" s="9" t="str">
        <f t="shared" si="83"/>
        <v/>
      </c>
      <c r="W618" s="9" t="str">
        <f t="shared" si="84"/>
        <v/>
      </c>
      <c r="X618" s="10">
        <f>SUM(V$13:V618)/COUNTA(B$13:B618)</f>
        <v>0</v>
      </c>
      <c r="Z618" s="5"/>
      <c r="AA618" s="5"/>
      <c r="AC618" s="7"/>
      <c r="AE618" s="54" t="e">
        <f t="shared" si="85"/>
        <v>#N/A</v>
      </c>
      <c r="AF618" s="4" t="e">
        <f t="shared" si="81"/>
        <v>#N/A</v>
      </c>
    </row>
    <row r="619" spans="2:32">
      <c r="B619" s="5">
        <f t="shared" si="86"/>
        <v>607</v>
      </c>
      <c r="C619" s="5"/>
      <c r="E619" s="13"/>
      <c r="F619" s="5"/>
      <c r="G619" s="11" t="str">
        <f>IF(ISERROR(AVERAGE(F$13:F619)),"n/a",AVERAGE(F$13:F619))</f>
        <v>n/a</v>
      </c>
      <c r="H619" s="11" t="str">
        <f t="shared" si="82"/>
        <v>n/a</v>
      </c>
      <c r="J619" s="5"/>
      <c r="K619" s="5"/>
      <c r="L619" s="5"/>
      <c r="M619" s="5"/>
      <c r="N619" s="5"/>
      <c r="O619" s="8" t="str">
        <f t="shared" si="80"/>
        <v>n/a</v>
      </c>
      <c r="Q619" s="5"/>
      <c r="R619" s="5"/>
      <c r="S619" s="5"/>
      <c r="U619" s="6"/>
      <c r="V619" s="9" t="str">
        <f t="shared" si="83"/>
        <v/>
      </c>
      <c r="W619" s="9" t="str">
        <f t="shared" si="84"/>
        <v/>
      </c>
      <c r="X619" s="10">
        <f>SUM(V$13:V619)/COUNTA(B$13:B619)</f>
        <v>0</v>
      </c>
      <c r="Z619" s="5"/>
      <c r="AA619" s="5"/>
      <c r="AC619" s="7"/>
      <c r="AE619" s="54" t="e">
        <f t="shared" si="85"/>
        <v>#N/A</v>
      </c>
      <c r="AF619" s="4" t="e">
        <f t="shared" si="81"/>
        <v>#N/A</v>
      </c>
    </row>
    <row r="620" spans="2:32">
      <c r="B620" s="5">
        <f t="shared" si="86"/>
        <v>608</v>
      </c>
      <c r="C620" s="5"/>
      <c r="E620" s="13"/>
      <c r="F620" s="5"/>
      <c r="G620" s="11" t="str">
        <f>IF(ISERROR(AVERAGE(F$13:F620)),"n/a",AVERAGE(F$13:F620))</f>
        <v>n/a</v>
      </c>
      <c r="H620" s="11" t="str">
        <f t="shared" si="82"/>
        <v>n/a</v>
      </c>
      <c r="J620" s="5"/>
      <c r="K620" s="5"/>
      <c r="L620" s="5"/>
      <c r="M620" s="5"/>
      <c r="N620" s="5"/>
      <c r="O620" s="8" t="str">
        <f t="shared" si="80"/>
        <v>n/a</v>
      </c>
      <c r="Q620" s="5"/>
      <c r="R620" s="5"/>
      <c r="S620" s="5"/>
      <c r="U620" s="6"/>
      <c r="V620" s="9" t="str">
        <f t="shared" si="83"/>
        <v/>
      </c>
      <c r="W620" s="9" t="str">
        <f t="shared" si="84"/>
        <v/>
      </c>
      <c r="X620" s="10">
        <f>SUM(V$13:V620)/COUNTA(B$13:B620)</f>
        <v>0</v>
      </c>
      <c r="Z620" s="5"/>
      <c r="AA620" s="5"/>
      <c r="AC620" s="7"/>
      <c r="AE620" s="54" t="e">
        <f t="shared" si="85"/>
        <v>#N/A</v>
      </c>
      <c r="AF620" s="4" t="e">
        <f t="shared" si="81"/>
        <v>#N/A</v>
      </c>
    </row>
    <row r="621" spans="2:32">
      <c r="B621" s="5">
        <f t="shared" si="86"/>
        <v>609</v>
      </c>
      <c r="C621" s="5"/>
      <c r="E621" s="13"/>
      <c r="F621" s="5"/>
      <c r="G621" s="11" t="str">
        <f>IF(ISERROR(AVERAGE(F$13:F621)),"n/a",AVERAGE(F$13:F621))</f>
        <v>n/a</v>
      </c>
      <c r="H621" s="11" t="str">
        <f t="shared" si="82"/>
        <v>n/a</v>
      </c>
      <c r="J621" s="5"/>
      <c r="K621" s="5"/>
      <c r="L621" s="5"/>
      <c r="M621" s="5"/>
      <c r="N621" s="5"/>
      <c r="O621" s="8" t="str">
        <f t="shared" si="80"/>
        <v>n/a</v>
      </c>
      <c r="Q621" s="5"/>
      <c r="R621" s="5"/>
      <c r="S621" s="5"/>
      <c r="U621" s="6"/>
      <c r="V621" s="9" t="str">
        <f t="shared" si="83"/>
        <v/>
      </c>
      <c r="W621" s="9" t="str">
        <f t="shared" si="84"/>
        <v/>
      </c>
      <c r="X621" s="10">
        <f>SUM(V$13:V621)/COUNTA(B$13:B621)</f>
        <v>0</v>
      </c>
      <c r="Z621" s="5"/>
      <c r="AA621" s="5"/>
      <c r="AC621" s="7"/>
      <c r="AE621" s="54" t="e">
        <f t="shared" si="85"/>
        <v>#N/A</v>
      </c>
      <c r="AF621" s="4" t="e">
        <f t="shared" si="81"/>
        <v>#N/A</v>
      </c>
    </row>
    <row r="622" spans="2:32">
      <c r="B622" s="5">
        <f t="shared" si="86"/>
        <v>610</v>
      </c>
      <c r="C622" s="5"/>
      <c r="E622" s="13"/>
      <c r="F622" s="5"/>
      <c r="G622" s="11" t="str">
        <f>IF(ISERROR(AVERAGE(F$13:F622)),"n/a",AVERAGE(F$13:F622))</f>
        <v>n/a</v>
      </c>
      <c r="H622" s="11" t="str">
        <f t="shared" si="82"/>
        <v>n/a</v>
      </c>
      <c r="J622" s="5"/>
      <c r="K622" s="5"/>
      <c r="L622" s="5"/>
      <c r="M622" s="5"/>
      <c r="N622" s="5"/>
      <c r="O622" s="8" t="str">
        <f t="shared" si="80"/>
        <v>n/a</v>
      </c>
      <c r="Q622" s="5"/>
      <c r="R622" s="5"/>
      <c r="S622" s="5"/>
      <c r="U622" s="6"/>
      <c r="V622" s="9" t="str">
        <f t="shared" si="83"/>
        <v/>
      </c>
      <c r="W622" s="9" t="str">
        <f t="shared" si="84"/>
        <v/>
      </c>
      <c r="X622" s="10">
        <f>SUM(V$13:V622)/COUNTA(B$13:B622)</f>
        <v>0</v>
      </c>
      <c r="Z622" s="5"/>
      <c r="AA622" s="5"/>
      <c r="AC622" s="7"/>
      <c r="AE622" s="54" t="e">
        <f t="shared" si="85"/>
        <v>#N/A</v>
      </c>
      <c r="AF622" s="4" t="e">
        <f t="shared" si="81"/>
        <v>#N/A</v>
      </c>
    </row>
    <row r="623" spans="2:32">
      <c r="B623" s="5">
        <f t="shared" si="86"/>
        <v>611</v>
      </c>
      <c r="C623" s="5"/>
      <c r="E623" s="13"/>
      <c r="F623" s="5"/>
      <c r="G623" s="11" t="str">
        <f>IF(ISERROR(AVERAGE(F$13:F623)),"n/a",AVERAGE(F$13:F623))</f>
        <v>n/a</v>
      </c>
      <c r="H623" s="11" t="str">
        <f t="shared" si="82"/>
        <v>n/a</v>
      </c>
      <c r="J623" s="5"/>
      <c r="K623" s="5"/>
      <c r="L623" s="5"/>
      <c r="M623" s="5"/>
      <c r="N623" s="5"/>
      <c r="O623" s="8" t="str">
        <f t="shared" si="80"/>
        <v>n/a</v>
      </c>
      <c r="Q623" s="5"/>
      <c r="R623" s="5"/>
      <c r="S623" s="5"/>
      <c r="U623" s="6"/>
      <c r="V623" s="9" t="str">
        <f t="shared" si="83"/>
        <v/>
      </c>
      <c r="W623" s="9" t="str">
        <f t="shared" si="84"/>
        <v/>
      </c>
      <c r="X623" s="10">
        <f>SUM(V$13:V623)/COUNTA(B$13:B623)</f>
        <v>0</v>
      </c>
      <c r="Z623" s="5"/>
      <c r="AA623" s="5"/>
      <c r="AC623" s="7"/>
      <c r="AE623" s="54" t="e">
        <f t="shared" si="85"/>
        <v>#N/A</v>
      </c>
      <c r="AF623" s="4" t="e">
        <f t="shared" si="81"/>
        <v>#N/A</v>
      </c>
    </row>
    <row r="624" spans="2:32">
      <c r="B624" s="5">
        <f t="shared" si="86"/>
        <v>612</v>
      </c>
      <c r="C624" s="5"/>
      <c r="E624" s="13"/>
      <c r="F624" s="5"/>
      <c r="G624" s="11" t="str">
        <f>IF(ISERROR(AVERAGE(F$13:F624)),"n/a",AVERAGE(F$13:F624))</f>
        <v>n/a</v>
      </c>
      <c r="H624" s="11" t="str">
        <f t="shared" si="82"/>
        <v>n/a</v>
      </c>
      <c r="J624" s="5"/>
      <c r="K624" s="5"/>
      <c r="L624" s="5"/>
      <c r="M624" s="5"/>
      <c r="N624" s="5"/>
      <c r="O624" s="8" t="str">
        <f t="shared" si="80"/>
        <v>n/a</v>
      </c>
      <c r="Q624" s="5"/>
      <c r="R624" s="5"/>
      <c r="S624" s="5"/>
      <c r="U624" s="6"/>
      <c r="V624" s="9" t="str">
        <f t="shared" si="83"/>
        <v/>
      </c>
      <c r="W624" s="9" t="str">
        <f t="shared" si="84"/>
        <v/>
      </c>
      <c r="X624" s="10">
        <f>SUM(V$13:V624)/COUNTA(B$13:B624)</f>
        <v>0</v>
      </c>
      <c r="Z624" s="5"/>
      <c r="AA624" s="5"/>
      <c r="AC624" s="7"/>
      <c r="AE624" s="54" t="e">
        <f t="shared" si="85"/>
        <v>#N/A</v>
      </c>
      <c r="AF624" s="4" t="e">
        <f t="shared" si="81"/>
        <v>#N/A</v>
      </c>
    </row>
    <row r="625" spans="2:32">
      <c r="B625" s="5">
        <f t="shared" si="86"/>
        <v>613</v>
      </c>
      <c r="C625" s="5"/>
      <c r="E625" s="13"/>
      <c r="F625" s="5"/>
      <c r="G625" s="11" t="str">
        <f>IF(ISERROR(AVERAGE(F$13:F625)),"n/a",AVERAGE(F$13:F625))</f>
        <v>n/a</v>
      </c>
      <c r="H625" s="11" t="str">
        <f t="shared" si="82"/>
        <v>n/a</v>
      </c>
      <c r="J625" s="5"/>
      <c r="K625" s="5"/>
      <c r="L625" s="5"/>
      <c r="M625" s="5"/>
      <c r="N625" s="5"/>
      <c r="O625" s="8" t="str">
        <f t="shared" si="80"/>
        <v>n/a</v>
      </c>
      <c r="Q625" s="5"/>
      <c r="R625" s="5"/>
      <c r="S625" s="5"/>
      <c r="U625" s="6"/>
      <c r="V625" s="9" t="str">
        <f t="shared" si="83"/>
        <v/>
      </c>
      <c r="W625" s="9" t="str">
        <f t="shared" si="84"/>
        <v/>
      </c>
      <c r="X625" s="10">
        <f>SUM(V$13:V625)/COUNTA(B$13:B625)</f>
        <v>0</v>
      </c>
      <c r="Z625" s="5"/>
      <c r="AA625" s="5"/>
      <c r="AC625" s="7"/>
      <c r="AE625" s="54" t="e">
        <f t="shared" si="85"/>
        <v>#N/A</v>
      </c>
      <c r="AF625" s="4" t="e">
        <f t="shared" si="81"/>
        <v>#N/A</v>
      </c>
    </row>
    <row r="626" spans="2:32">
      <c r="B626" s="5">
        <f t="shared" si="86"/>
        <v>614</v>
      </c>
      <c r="C626" s="5"/>
      <c r="E626" s="13"/>
      <c r="F626" s="5"/>
      <c r="G626" s="11" t="str">
        <f>IF(ISERROR(AVERAGE(F$13:F626)),"n/a",AVERAGE(F$13:F626))</f>
        <v>n/a</v>
      </c>
      <c r="H626" s="11" t="str">
        <f t="shared" si="82"/>
        <v>n/a</v>
      </c>
      <c r="J626" s="5"/>
      <c r="K626" s="5"/>
      <c r="L626" s="5"/>
      <c r="M626" s="5"/>
      <c r="N626" s="5"/>
      <c r="O626" s="8" t="str">
        <f t="shared" si="80"/>
        <v>n/a</v>
      </c>
      <c r="Q626" s="5"/>
      <c r="R626" s="5"/>
      <c r="S626" s="5"/>
      <c r="U626" s="6"/>
      <c r="V626" s="9" t="str">
        <f t="shared" si="83"/>
        <v/>
      </c>
      <c r="W626" s="9" t="str">
        <f t="shared" si="84"/>
        <v/>
      </c>
      <c r="X626" s="10">
        <f>SUM(V$13:V626)/COUNTA(B$13:B626)</f>
        <v>0</v>
      </c>
      <c r="Z626" s="5"/>
      <c r="AA626" s="5"/>
      <c r="AC626" s="7"/>
      <c r="AE626" s="54" t="e">
        <f t="shared" si="85"/>
        <v>#N/A</v>
      </c>
      <c r="AF626" s="4" t="e">
        <f t="shared" si="81"/>
        <v>#N/A</v>
      </c>
    </row>
    <row r="627" spans="2:32">
      <c r="B627" s="5">
        <f t="shared" si="86"/>
        <v>615</v>
      </c>
      <c r="C627" s="5"/>
      <c r="E627" s="13"/>
      <c r="F627" s="5"/>
      <c r="G627" s="11" t="str">
        <f>IF(ISERROR(AVERAGE(F$13:F627)),"n/a",AVERAGE(F$13:F627))</f>
        <v>n/a</v>
      </c>
      <c r="H627" s="11" t="str">
        <f t="shared" si="82"/>
        <v>n/a</v>
      </c>
      <c r="J627" s="5"/>
      <c r="K627" s="5"/>
      <c r="L627" s="5"/>
      <c r="M627" s="5"/>
      <c r="N627" s="5"/>
      <c r="O627" s="8" t="str">
        <f t="shared" si="80"/>
        <v>n/a</v>
      </c>
      <c r="Q627" s="5"/>
      <c r="R627" s="5"/>
      <c r="S627" s="5"/>
      <c r="U627" s="6"/>
      <c r="V627" s="9" t="str">
        <f t="shared" si="83"/>
        <v/>
      </c>
      <c r="W627" s="9" t="str">
        <f t="shared" si="84"/>
        <v/>
      </c>
      <c r="X627" s="10">
        <f>SUM(V$13:V627)/COUNTA(B$13:B627)</f>
        <v>0</v>
      </c>
      <c r="Z627" s="5"/>
      <c r="AA627" s="5"/>
      <c r="AC627" s="7"/>
      <c r="AE627" s="54" t="e">
        <f t="shared" si="85"/>
        <v>#N/A</v>
      </c>
      <c r="AF627" s="4" t="e">
        <f t="shared" si="81"/>
        <v>#N/A</v>
      </c>
    </row>
    <row r="628" spans="2:32">
      <c r="B628" s="5">
        <f t="shared" si="86"/>
        <v>616</v>
      </c>
      <c r="C628" s="5"/>
      <c r="E628" s="13"/>
      <c r="F628" s="5"/>
      <c r="G628" s="11" t="str">
        <f>IF(ISERROR(AVERAGE(F$13:F628)),"n/a",AVERAGE(F$13:F628))</f>
        <v>n/a</v>
      </c>
      <c r="H628" s="11" t="str">
        <f t="shared" si="82"/>
        <v>n/a</v>
      </c>
      <c r="J628" s="5"/>
      <c r="K628" s="5"/>
      <c r="L628" s="5"/>
      <c r="M628" s="5"/>
      <c r="N628" s="5"/>
      <c r="O628" s="8" t="str">
        <f t="shared" si="80"/>
        <v>n/a</v>
      </c>
      <c r="Q628" s="5"/>
      <c r="R628" s="5"/>
      <c r="S628" s="5"/>
      <c r="U628" s="6"/>
      <c r="V628" s="9" t="str">
        <f t="shared" si="83"/>
        <v/>
      </c>
      <c r="W628" s="9" t="str">
        <f t="shared" si="84"/>
        <v/>
      </c>
      <c r="X628" s="10">
        <f>SUM(V$13:V628)/COUNTA(B$13:B628)</f>
        <v>0</v>
      </c>
      <c r="Z628" s="5"/>
      <c r="AA628" s="5"/>
      <c r="AC628" s="7"/>
      <c r="AE628" s="54" t="e">
        <f t="shared" si="85"/>
        <v>#N/A</v>
      </c>
      <c r="AF628" s="4" t="e">
        <f t="shared" si="81"/>
        <v>#N/A</v>
      </c>
    </row>
    <row r="629" spans="2:32">
      <c r="B629" s="5">
        <f t="shared" si="86"/>
        <v>617</v>
      </c>
      <c r="C629" s="5"/>
      <c r="E629" s="13"/>
      <c r="F629" s="5"/>
      <c r="G629" s="11" t="str">
        <f>IF(ISERROR(AVERAGE(F$13:F629)),"n/a",AVERAGE(F$13:F629))</f>
        <v>n/a</v>
      </c>
      <c r="H629" s="11" t="str">
        <f t="shared" si="82"/>
        <v>n/a</v>
      </c>
      <c r="J629" s="5"/>
      <c r="K629" s="5"/>
      <c r="L629" s="5"/>
      <c r="M629" s="5"/>
      <c r="N629" s="5"/>
      <c r="O629" s="8" t="str">
        <f t="shared" si="80"/>
        <v>n/a</v>
      </c>
      <c r="Q629" s="5"/>
      <c r="R629" s="5"/>
      <c r="S629" s="5"/>
      <c r="U629" s="6"/>
      <c r="V629" s="9" t="str">
        <f t="shared" si="83"/>
        <v/>
      </c>
      <c r="W629" s="9" t="str">
        <f t="shared" si="84"/>
        <v/>
      </c>
      <c r="X629" s="10">
        <f>SUM(V$13:V629)/COUNTA(B$13:B629)</f>
        <v>0</v>
      </c>
      <c r="Z629" s="5"/>
      <c r="AA629" s="5"/>
      <c r="AC629" s="7"/>
      <c r="AE629" s="54" t="e">
        <f t="shared" si="85"/>
        <v>#N/A</v>
      </c>
      <c r="AF629" s="4" t="e">
        <f t="shared" si="81"/>
        <v>#N/A</v>
      </c>
    </row>
    <row r="630" spans="2:32">
      <c r="B630" s="5">
        <f t="shared" si="86"/>
        <v>618</v>
      </c>
      <c r="C630" s="5"/>
      <c r="E630" s="13"/>
      <c r="F630" s="5"/>
      <c r="G630" s="11" t="str">
        <f>IF(ISERROR(AVERAGE(F$13:F630)),"n/a",AVERAGE(F$13:F630))</f>
        <v>n/a</v>
      </c>
      <c r="H630" s="11" t="str">
        <f t="shared" si="82"/>
        <v>n/a</v>
      </c>
      <c r="J630" s="5"/>
      <c r="K630" s="5"/>
      <c r="L630" s="5"/>
      <c r="M630" s="5"/>
      <c r="N630" s="5"/>
      <c r="O630" s="8" t="str">
        <f t="shared" si="80"/>
        <v>n/a</v>
      </c>
      <c r="Q630" s="5"/>
      <c r="R630" s="5"/>
      <c r="S630" s="5"/>
      <c r="U630" s="6"/>
      <c r="V630" s="9" t="str">
        <f t="shared" si="83"/>
        <v/>
      </c>
      <c r="W630" s="9" t="str">
        <f t="shared" si="84"/>
        <v/>
      </c>
      <c r="X630" s="10">
        <f>SUM(V$13:V630)/COUNTA(B$13:B630)</f>
        <v>0</v>
      </c>
      <c r="Z630" s="5"/>
      <c r="AA630" s="5"/>
      <c r="AC630" s="7"/>
      <c r="AE630" s="54" t="e">
        <f t="shared" si="85"/>
        <v>#N/A</v>
      </c>
      <c r="AF630" s="4" t="e">
        <f t="shared" si="81"/>
        <v>#N/A</v>
      </c>
    </row>
    <row r="631" spans="2:32">
      <c r="B631" s="5">
        <f t="shared" si="86"/>
        <v>619</v>
      </c>
      <c r="C631" s="5"/>
      <c r="E631" s="13"/>
      <c r="F631" s="5"/>
      <c r="G631" s="11" t="str">
        <f>IF(ISERROR(AVERAGE(F$13:F631)),"n/a",AVERAGE(F$13:F631))</f>
        <v>n/a</v>
      </c>
      <c r="H631" s="11" t="str">
        <f t="shared" si="82"/>
        <v>n/a</v>
      </c>
      <c r="J631" s="5"/>
      <c r="K631" s="5"/>
      <c r="L631" s="5"/>
      <c r="M631" s="5"/>
      <c r="N631" s="5"/>
      <c r="O631" s="8" t="str">
        <f t="shared" si="80"/>
        <v>n/a</v>
      </c>
      <c r="Q631" s="5"/>
      <c r="R631" s="5"/>
      <c r="S631" s="5"/>
      <c r="U631" s="6"/>
      <c r="V631" s="9" t="str">
        <f t="shared" si="83"/>
        <v/>
      </c>
      <c r="W631" s="9" t="str">
        <f t="shared" si="84"/>
        <v/>
      </c>
      <c r="X631" s="10">
        <f>SUM(V$13:V631)/COUNTA(B$13:B631)</f>
        <v>0</v>
      </c>
      <c r="Z631" s="5"/>
      <c r="AA631" s="5"/>
      <c r="AC631" s="7"/>
      <c r="AE631" s="54" t="e">
        <f t="shared" si="85"/>
        <v>#N/A</v>
      </c>
      <c r="AF631" s="4" t="e">
        <f t="shared" si="81"/>
        <v>#N/A</v>
      </c>
    </row>
    <row r="632" spans="2:32">
      <c r="B632" s="5">
        <f t="shared" si="86"/>
        <v>620</v>
      </c>
      <c r="C632" s="5"/>
      <c r="E632" s="13"/>
      <c r="F632" s="5"/>
      <c r="G632" s="11" t="str">
        <f>IF(ISERROR(AVERAGE(F$13:F632)),"n/a",AVERAGE(F$13:F632))</f>
        <v>n/a</v>
      </c>
      <c r="H632" s="11" t="str">
        <f t="shared" si="82"/>
        <v>n/a</v>
      </c>
      <c r="J632" s="5"/>
      <c r="K632" s="5"/>
      <c r="L632" s="5"/>
      <c r="M632" s="5"/>
      <c r="N632" s="5"/>
      <c r="O632" s="8" t="str">
        <f t="shared" si="80"/>
        <v>n/a</v>
      </c>
      <c r="Q632" s="5"/>
      <c r="R632" s="5"/>
      <c r="S632" s="5"/>
      <c r="U632" s="6"/>
      <c r="V632" s="9" t="str">
        <f t="shared" si="83"/>
        <v/>
      </c>
      <c r="W632" s="9" t="str">
        <f t="shared" si="84"/>
        <v/>
      </c>
      <c r="X632" s="10">
        <f>SUM(V$13:V632)/COUNTA(B$13:B632)</f>
        <v>0</v>
      </c>
      <c r="Z632" s="5"/>
      <c r="AA632" s="5"/>
      <c r="AC632" s="7"/>
      <c r="AE632" s="54" t="e">
        <f t="shared" si="85"/>
        <v>#N/A</v>
      </c>
      <c r="AF632" s="4" t="e">
        <f t="shared" si="81"/>
        <v>#N/A</v>
      </c>
    </row>
    <row r="633" spans="2:32">
      <c r="B633" s="5">
        <f t="shared" si="86"/>
        <v>621</v>
      </c>
      <c r="C633" s="5"/>
      <c r="E633" s="13"/>
      <c r="F633" s="5"/>
      <c r="G633" s="11" t="str">
        <f>IF(ISERROR(AVERAGE(F$13:F633)),"n/a",AVERAGE(F$13:F633))</f>
        <v>n/a</v>
      </c>
      <c r="H633" s="11" t="str">
        <f t="shared" si="82"/>
        <v>n/a</v>
      </c>
      <c r="J633" s="5"/>
      <c r="K633" s="5"/>
      <c r="L633" s="5"/>
      <c r="M633" s="5"/>
      <c r="N633" s="5"/>
      <c r="O633" s="8" t="str">
        <f t="shared" si="80"/>
        <v>n/a</v>
      </c>
      <c r="Q633" s="5"/>
      <c r="R633" s="5"/>
      <c r="S633" s="5"/>
      <c r="U633" s="6"/>
      <c r="V633" s="9" t="str">
        <f t="shared" si="83"/>
        <v/>
      </c>
      <c r="W633" s="9" t="str">
        <f t="shared" si="84"/>
        <v/>
      </c>
      <c r="X633" s="10">
        <f>SUM(V$13:V633)/COUNTA(B$13:B633)</f>
        <v>0</v>
      </c>
      <c r="Z633" s="5"/>
      <c r="AA633" s="5"/>
      <c r="AC633" s="7"/>
      <c r="AE633" s="54" t="e">
        <f t="shared" si="85"/>
        <v>#N/A</v>
      </c>
      <c r="AF633" s="4" t="e">
        <f t="shared" si="81"/>
        <v>#N/A</v>
      </c>
    </row>
    <row r="634" spans="2:32">
      <c r="B634" s="5">
        <f t="shared" si="86"/>
        <v>622</v>
      </c>
      <c r="C634" s="5"/>
      <c r="E634" s="13"/>
      <c r="F634" s="5"/>
      <c r="G634" s="11" t="str">
        <f>IF(ISERROR(AVERAGE(F$13:F634)),"n/a",AVERAGE(F$13:F634))</f>
        <v>n/a</v>
      </c>
      <c r="H634" s="11" t="str">
        <f t="shared" si="82"/>
        <v>n/a</v>
      </c>
      <c r="J634" s="5"/>
      <c r="K634" s="5"/>
      <c r="L634" s="5"/>
      <c r="M634" s="5"/>
      <c r="N634" s="5"/>
      <c r="O634" s="8" t="str">
        <f t="shared" si="80"/>
        <v>n/a</v>
      </c>
      <c r="Q634" s="5"/>
      <c r="R634" s="5"/>
      <c r="S634" s="5"/>
      <c r="U634" s="6"/>
      <c r="V634" s="9" t="str">
        <f t="shared" si="83"/>
        <v/>
      </c>
      <c r="W634" s="9" t="str">
        <f t="shared" si="84"/>
        <v/>
      </c>
      <c r="X634" s="10">
        <f>SUM(V$13:V634)/COUNTA(B$13:B634)</f>
        <v>0</v>
      </c>
      <c r="Z634" s="5"/>
      <c r="AA634" s="5"/>
      <c r="AC634" s="7"/>
      <c r="AE634" s="54" t="e">
        <f t="shared" si="85"/>
        <v>#N/A</v>
      </c>
      <c r="AF634" s="4" t="e">
        <f t="shared" si="81"/>
        <v>#N/A</v>
      </c>
    </row>
    <row r="635" spans="2:32">
      <c r="B635" s="5">
        <f t="shared" si="86"/>
        <v>623</v>
      </c>
      <c r="C635" s="5"/>
      <c r="E635" s="13"/>
      <c r="F635" s="5"/>
      <c r="G635" s="11" t="str">
        <f>IF(ISERROR(AVERAGE(F$13:F635)),"n/a",AVERAGE(F$13:F635))</f>
        <v>n/a</v>
      </c>
      <c r="H635" s="11" t="str">
        <f t="shared" si="82"/>
        <v>n/a</v>
      </c>
      <c r="J635" s="5"/>
      <c r="K635" s="5"/>
      <c r="L635" s="5"/>
      <c r="M635" s="5"/>
      <c r="N635" s="5"/>
      <c r="O635" s="8" t="str">
        <f t="shared" si="80"/>
        <v>n/a</v>
      </c>
      <c r="Q635" s="5"/>
      <c r="R635" s="5"/>
      <c r="S635" s="5"/>
      <c r="U635" s="6"/>
      <c r="V635" s="9" t="str">
        <f t="shared" si="83"/>
        <v/>
      </c>
      <c r="W635" s="9" t="str">
        <f t="shared" si="84"/>
        <v/>
      </c>
      <c r="X635" s="10">
        <f>SUM(V$13:V635)/COUNTA(B$13:B635)</f>
        <v>0</v>
      </c>
      <c r="Z635" s="5"/>
      <c r="AA635" s="5"/>
      <c r="AC635" s="7"/>
      <c r="AE635" s="54" t="e">
        <f t="shared" si="85"/>
        <v>#N/A</v>
      </c>
      <c r="AF635" s="4" t="e">
        <f t="shared" si="81"/>
        <v>#N/A</v>
      </c>
    </row>
    <row r="636" spans="2:32">
      <c r="B636" s="5">
        <f t="shared" si="86"/>
        <v>624</v>
      </c>
      <c r="C636" s="5"/>
      <c r="E636" s="13"/>
      <c r="F636" s="5"/>
      <c r="G636" s="11" t="str">
        <f>IF(ISERROR(AVERAGE(F$13:F636)),"n/a",AVERAGE(F$13:F636))</f>
        <v>n/a</v>
      </c>
      <c r="H636" s="11" t="str">
        <f t="shared" si="82"/>
        <v>n/a</v>
      </c>
      <c r="J636" s="5"/>
      <c r="K636" s="5"/>
      <c r="L636" s="5"/>
      <c r="M636" s="5"/>
      <c r="N636" s="5"/>
      <c r="O636" s="8" t="str">
        <f t="shared" si="80"/>
        <v>n/a</v>
      </c>
      <c r="Q636" s="5"/>
      <c r="R636" s="5"/>
      <c r="S636" s="5"/>
      <c r="U636" s="6"/>
      <c r="V636" s="9" t="str">
        <f t="shared" si="83"/>
        <v/>
      </c>
      <c r="W636" s="9" t="str">
        <f t="shared" si="84"/>
        <v/>
      </c>
      <c r="X636" s="10">
        <f>SUM(V$13:V636)/COUNTA(B$13:B636)</f>
        <v>0</v>
      </c>
      <c r="Z636" s="5"/>
      <c r="AA636" s="5"/>
      <c r="AC636" s="7"/>
      <c r="AE636" s="54" t="e">
        <f t="shared" si="85"/>
        <v>#N/A</v>
      </c>
      <c r="AF636" s="4" t="e">
        <f t="shared" si="81"/>
        <v>#N/A</v>
      </c>
    </row>
    <row r="637" spans="2:32">
      <c r="B637" s="5">
        <f t="shared" si="86"/>
        <v>625</v>
      </c>
      <c r="C637" s="5"/>
      <c r="E637" s="13"/>
      <c r="F637" s="5"/>
      <c r="G637" s="11" t="str">
        <f>IF(ISERROR(AVERAGE(F$13:F637)),"n/a",AVERAGE(F$13:F637))</f>
        <v>n/a</v>
      </c>
      <c r="H637" s="11" t="str">
        <f t="shared" si="82"/>
        <v>n/a</v>
      </c>
      <c r="J637" s="5"/>
      <c r="K637" s="5"/>
      <c r="L637" s="5"/>
      <c r="M637" s="5"/>
      <c r="N637" s="5"/>
      <c r="O637" s="8" t="str">
        <f t="shared" si="80"/>
        <v>n/a</v>
      </c>
      <c r="Q637" s="5"/>
      <c r="R637" s="5"/>
      <c r="S637" s="5"/>
      <c r="U637" s="6"/>
      <c r="V637" s="9" t="str">
        <f t="shared" si="83"/>
        <v/>
      </c>
      <c r="W637" s="9" t="str">
        <f t="shared" si="84"/>
        <v/>
      </c>
      <c r="X637" s="10">
        <f>SUM(V$13:V637)/COUNTA(B$13:B637)</f>
        <v>0</v>
      </c>
      <c r="Z637" s="5"/>
      <c r="AA637" s="5"/>
      <c r="AC637" s="7"/>
      <c r="AE637" s="54" t="e">
        <f t="shared" si="85"/>
        <v>#N/A</v>
      </c>
      <c r="AF637" s="4" t="e">
        <f t="shared" si="81"/>
        <v>#N/A</v>
      </c>
    </row>
    <row r="638" spans="2:32">
      <c r="B638" s="5">
        <f t="shared" si="86"/>
        <v>626</v>
      </c>
      <c r="C638" s="5"/>
      <c r="E638" s="13"/>
      <c r="F638" s="5"/>
      <c r="G638" s="11" t="str">
        <f>IF(ISERROR(AVERAGE(F$13:F638)),"n/a",AVERAGE(F$13:F638))</f>
        <v>n/a</v>
      </c>
      <c r="H638" s="11" t="str">
        <f t="shared" si="82"/>
        <v>n/a</v>
      </c>
      <c r="J638" s="5"/>
      <c r="K638" s="5"/>
      <c r="L638" s="5"/>
      <c r="M638" s="5"/>
      <c r="N638" s="5"/>
      <c r="O638" s="8" t="str">
        <f t="shared" si="80"/>
        <v>n/a</v>
      </c>
      <c r="Q638" s="5"/>
      <c r="R638" s="5"/>
      <c r="S638" s="5"/>
      <c r="U638" s="6"/>
      <c r="V638" s="9" t="str">
        <f t="shared" si="83"/>
        <v/>
      </c>
      <c r="W638" s="9" t="str">
        <f t="shared" si="84"/>
        <v/>
      </c>
      <c r="X638" s="10">
        <f>SUM(V$13:V638)/COUNTA(B$13:B638)</f>
        <v>0</v>
      </c>
      <c r="Z638" s="5"/>
      <c r="AA638" s="5"/>
      <c r="AC638" s="7"/>
      <c r="AE638" s="54" t="e">
        <f t="shared" si="85"/>
        <v>#N/A</v>
      </c>
      <c r="AF638" s="4" t="e">
        <f t="shared" si="81"/>
        <v>#N/A</v>
      </c>
    </row>
    <row r="639" spans="2:32">
      <c r="B639" s="5">
        <f t="shared" si="86"/>
        <v>627</v>
      </c>
      <c r="C639" s="5"/>
      <c r="E639" s="13"/>
      <c r="F639" s="5"/>
      <c r="G639" s="11" t="str">
        <f>IF(ISERROR(AVERAGE(F$13:F639)),"n/a",AVERAGE(F$13:F639))</f>
        <v>n/a</v>
      </c>
      <c r="H639" s="11" t="str">
        <f t="shared" si="82"/>
        <v>n/a</v>
      </c>
      <c r="J639" s="5"/>
      <c r="K639" s="5"/>
      <c r="L639" s="5"/>
      <c r="M639" s="5"/>
      <c r="N639" s="5"/>
      <c r="O639" s="8" t="str">
        <f t="shared" si="80"/>
        <v>n/a</v>
      </c>
      <c r="Q639" s="5"/>
      <c r="R639" s="5"/>
      <c r="S639" s="5"/>
      <c r="U639" s="6"/>
      <c r="V639" s="9" t="str">
        <f t="shared" si="83"/>
        <v/>
      </c>
      <c r="W639" s="9" t="str">
        <f t="shared" si="84"/>
        <v/>
      </c>
      <c r="X639" s="10">
        <f>SUM(V$13:V639)/COUNTA(B$13:B639)</f>
        <v>0</v>
      </c>
      <c r="Z639" s="5"/>
      <c r="AA639" s="5"/>
      <c r="AC639" s="7"/>
      <c r="AE639" s="54" t="e">
        <f t="shared" si="85"/>
        <v>#N/A</v>
      </c>
      <c r="AF639" s="4" t="e">
        <f t="shared" si="81"/>
        <v>#N/A</v>
      </c>
    </row>
    <row r="640" spans="2:32">
      <c r="B640" s="5">
        <f t="shared" si="86"/>
        <v>628</v>
      </c>
      <c r="C640" s="5"/>
      <c r="E640" s="13"/>
      <c r="F640" s="5"/>
      <c r="G640" s="11" t="str">
        <f>IF(ISERROR(AVERAGE(F$13:F640)),"n/a",AVERAGE(F$13:F640))</f>
        <v>n/a</v>
      </c>
      <c r="H640" s="11" t="str">
        <f t="shared" si="82"/>
        <v>n/a</v>
      </c>
      <c r="J640" s="5"/>
      <c r="K640" s="5"/>
      <c r="L640" s="5"/>
      <c r="M640" s="5"/>
      <c r="N640" s="5"/>
      <c r="O640" s="8" t="str">
        <f t="shared" si="80"/>
        <v>n/a</v>
      </c>
      <c r="Q640" s="5"/>
      <c r="R640" s="5"/>
      <c r="S640" s="5"/>
      <c r="U640" s="6"/>
      <c r="V640" s="9" t="str">
        <f t="shared" si="83"/>
        <v/>
      </c>
      <c r="W640" s="9" t="str">
        <f t="shared" si="84"/>
        <v/>
      </c>
      <c r="X640" s="10">
        <f>SUM(V$13:V640)/COUNTA(B$13:B640)</f>
        <v>0</v>
      </c>
      <c r="Z640" s="5"/>
      <c r="AA640" s="5"/>
      <c r="AC640" s="7"/>
      <c r="AE640" s="54" t="e">
        <f t="shared" si="85"/>
        <v>#N/A</v>
      </c>
      <c r="AF640" s="4" t="e">
        <f t="shared" si="81"/>
        <v>#N/A</v>
      </c>
    </row>
    <row r="641" spans="2:32">
      <c r="B641" s="5">
        <f t="shared" si="86"/>
        <v>629</v>
      </c>
      <c r="C641" s="5"/>
      <c r="E641" s="13"/>
      <c r="F641" s="5"/>
      <c r="G641" s="11" t="str">
        <f>IF(ISERROR(AVERAGE(F$13:F641)),"n/a",AVERAGE(F$13:F641))</f>
        <v>n/a</v>
      </c>
      <c r="H641" s="11" t="str">
        <f t="shared" si="82"/>
        <v>n/a</v>
      </c>
      <c r="J641" s="5"/>
      <c r="K641" s="5"/>
      <c r="L641" s="5"/>
      <c r="M641" s="5"/>
      <c r="N641" s="5"/>
      <c r="O641" s="8" t="str">
        <f t="shared" si="80"/>
        <v>n/a</v>
      </c>
      <c r="Q641" s="5"/>
      <c r="R641" s="5"/>
      <c r="S641" s="5"/>
      <c r="U641" s="6"/>
      <c r="V641" s="9" t="str">
        <f t="shared" si="83"/>
        <v/>
      </c>
      <c r="W641" s="9" t="str">
        <f t="shared" si="84"/>
        <v/>
      </c>
      <c r="X641" s="10">
        <f>SUM(V$13:V641)/COUNTA(B$13:B641)</f>
        <v>0</v>
      </c>
      <c r="Z641" s="5"/>
      <c r="AA641" s="5"/>
      <c r="AC641" s="7"/>
      <c r="AE641" s="54" t="e">
        <f t="shared" si="85"/>
        <v>#N/A</v>
      </c>
      <c r="AF641" s="4" t="e">
        <f t="shared" si="81"/>
        <v>#N/A</v>
      </c>
    </row>
    <row r="642" spans="2:32">
      <c r="B642" s="5">
        <f t="shared" si="86"/>
        <v>630</v>
      </c>
      <c r="C642" s="5"/>
      <c r="E642" s="13"/>
      <c r="F642" s="5"/>
      <c r="G642" s="11" t="str">
        <f>IF(ISERROR(AVERAGE(F$13:F642)),"n/a",AVERAGE(F$13:F642))</f>
        <v>n/a</v>
      </c>
      <c r="H642" s="11" t="str">
        <f t="shared" si="82"/>
        <v>n/a</v>
      </c>
      <c r="J642" s="5"/>
      <c r="K642" s="5"/>
      <c r="L642" s="5"/>
      <c r="M642" s="5"/>
      <c r="N642" s="5"/>
      <c r="O642" s="8" t="str">
        <f t="shared" si="80"/>
        <v>n/a</v>
      </c>
      <c r="Q642" s="5"/>
      <c r="R642" s="5"/>
      <c r="S642" s="5"/>
      <c r="U642" s="6"/>
      <c r="V642" s="9" t="str">
        <f t="shared" si="83"/>
        <v/>
      </c>
      <c r="W642" s="9" t="str">
        <f t="shared" si="84"/>
        <v/>
      </c>
      <c r="X642" s="10">
        <f>SUM(V$13:V642)/COUNTA(B$13:B642)</f>
        <v>0</v>
      </c>
      <c r="Z642" s="5"/>
      <c r="AA642" s="5"/>
      <c r="AC642" s="7"/>
      <c r="AE642" s="54" t="e">
        <f t="shared" si="85"/>
        <v>#N/A</v>
      </c>
      <c r="AF642" s="4" t="e">
        <f t="shared" si="81"/>
        <v>#N/A</v>
      </c>
    </row>
    <row r="643" spans="2:32">
      <c r="B643" s="5">
        <f t="shared" si="86"/>
        <v>631</v>
      </c>
      <c r="C643" s="5"/>
      <c r="E643" s="13"/>
      <c r="F643" s="5"/>
      <c r="G643" s="11" t="str">
        <f>IF(ISERROR(AVERAGE(F$13:F643)),"n/a",AVERAGE(F$13:F643))</f>
        <v>n/a</v>
      </c>
      <c r="H643" s="11" t="str">
        <f t="shared" si="82"/>
        <v>n/a</v>
      </c>
      <c r="J643" s="5"/>
      <c r="K643" s="5"/>
      <c r="L643" s="5"/>
      <c r="M643" s="5"/>
      <c r="N643" s="5"/>
      <c r="O643" s="8" t="str">
        <f t="shared" si="80"/>
        <v>n/a</v>
      </c>
      <c r="Q643" s="5"/>
      <c r="R643" s="5"/>
      <c r="S643" s="5"/>
      <c r="U643" s="6"/>
      <c r="V643" s="9" t="str">
        <f t="shared" si="83"/>
        <v/>
      </c>
      <c r="W643" s="9" t="str">
        <f t="shared" si="84"/>
        <v/>
      </c>
      <c r="X643" s="10">
        <f>SUM(V$13:V643)/COUNTA(B$13:B643)</f>
        <v>0</v>
      </c>
      <c r="Z643" s="5"/>
      <c r="AA643" s="5"/>
      <c r="AC643" s="7"/>
      <c r="AE643" s="54" t="e">
        <f t="shared" si="85"/>
        <v>#N/A</v>
      </c>
      <c r="AF643" s="4" t="e">
        <f t="shared" si="81"/>
        <v>#N/A</v>
      </c>
    </row>
    <row r="644" spans="2:32">
      <c r="B644" s="5">
        <f t="shared" si="86"/>
        <v>632</v>
      </c>
      <c r="C644" s="5"/>
      <c r="E644" s="13"/>
      <c r="F644" s="5"/>
      <c r="G644" s="11" t="str">
        <f>IF(ISERROR(AVERAGE(F$13:F644)),"n/a",AVERAGE(F$13:F644))</f>
        <v>n/a</v>
      </c>
      <c r="H644" s="11" t="str">
        <f t="shared" si="82"/>
        <v>n/a</v>
      </c>
      <c r="J644" s="5"/>
      <c r="K644" s="5"/>
      <c r="L644" s="5"/>
      <c r="M644" s="5"/>
      <c r="N644" s="5"/>
      <c r="O644" s="8" t="str">
        <f t="shared" si="80"/>
        <v>n/a</v>
      </c>
      <c r="Q644" s="5"/>
      <c r="R644" s="5"/>
      <c r="S644" s="5"/>
      <c r="U644" s="6"/>
      <c r="V644" s="9" t="str">
        <f t="shared" si="83"/>
        <v/>
      </c>
      <c r="W644" s="9" t="str">
        <f t="shared" si="84"/>
        <v/>
      </c>
      <c r="X644" s="10">
        <f>SUM(V$13:V644)/COUNTA(B$13:B644)</f>
        <v>0</v>
      </c>
      <c r="Z644" s="5"/>
      <c r="AA644" s="5"/>
      <c r="AC644" s="7"/>
      <c r="AE644" s="54" t="e">
        <f t="shared" si="85"/>
        <v>#N/A</v>
      </c>
      <c r="AF644" s="4" t="e">
        <f t="shared" si="81"/>
        <v>#N/A</v>
      </c>
    </row>
    <row r="645" spans="2:32">
      <c r="B645" s="5">
        <f t="shared" si="86"/>
        <v>633</v>
      </c>
      <c r="C645" s="5"/>
      <c r="E645" s="13"/>
      <c r="F645" s="5"/>
      <c r="G645" s="11" t="str">
        <f>IF(ISERROR(AVERAGE(F$13:F645)),"n/a",AVERAGE(F$13:F645))</f>
        <v>n/a</v>
      </c>
      <c r="H645" s="11" t="str">
        <f t="shared" si="82"/>
        <v>n/a</v>
      </c>
      <c r="J645" s="5"/>
      <c r="K645" s="5"/>
      <c r="L645" s="5"/>
      <c r="M645" s="5"/>
      <c r="N645" s="5"/>
      <c r="O645" s="8" t="str">
        <f t="shared" si="80"/>
        <v>n/a</v>
      </c>
      <c r="Q645" s="5"/>
      <c r="R645" s="5"/>
      <c r="S645" s="5"/>
      <c r="U645" s="6"/>
      <c r="V645" s="9" t="str">
        <f t="shared" si="83"/>
        <v/>
      </c>
      <c r="W645" s="9" t="str">
        <f t="shared" si="84"/>
        <v/>
      </c>
      <c r="X645" s="10">
        <f>SUM(V$13:V645)/COUNTA(B$13:B645)</f>
        <v>0</v>
      </c>
      <c r="Z645" s="5"/>
      <c r="AA645" s="5"/>
      <c r="AC645" s="7"/>
      <c r="AE645" s="54" t="e">
        <f t="shared" si="85"/>
        <v>#N/A</v>
      </c>
      <c r="AF645" s="4" t="e">
        <f t="shared" si="81"/>
        <v>#N/A</v>
      </c>
    </row>
    <row r="646" spans="2:32">
      <c r="B646" s="5">
        <f t="shared" si="86"/>
        <v>634</v>
      </c>
      <c r="C646" s="5"/>
      <c r="E646" s="13"/>
      <c r="F646" s="5"/>
      <c r="G646" s="11" t="str">
        <f>IF(ISERROR(AVERAGE(F$13:F646)),"n/a",AVERAGE(F$13:F646))</f>
        <v>n/a</v>
      </c>
      <c r="H646" s="11" t="str">
        <f t="shared" si="82"/>
        <v>n/a</v>
      </c>
      <c r="J646" s="5"/>
      <c r="K646" s="5"/>
      <c r="L646" s="5"/>
      <c r="M646" s="5"/>
      <c r="N646" s="5"/>
      <c r="O646" s="8" t="str">
        <f t="shared" si="80"/>
        <v>n/a</v>
      </c>
      <c r="Q646" s="5"/>
      <c r="R646" s="5"/>
      <c r="S646" s="5"/>
      <c r="U646" s="6"/>
      <c r="V646" s="9" t="str">
        <f t="shared" si="83"/>
        <v/>
      </c>
      <c r="W646" s="9" t="str">
        <f t="shared" si="84"/>
        <v/>
      </c>
      <c r="X646" s="10">
        <f>SUM(V$13:V646)/COUNTA(B$13:B646)</f>
        <v>0</v>
      </c>
      <c r="Z646" s="5"/>
      <c r="AA646" s="5"/>
      <c r="AC646" s="7"/>
      <c r="AE646" s="54" t="e">
        <f t="shared" si="85"/>
        <v>#N/A</v>
      </c>
      <c r="AF646" s="4" t="e">
        <f t="shared" si="81"/>
        <v>#N/A</v>
      </c>
    </row>
    <row r="647" spans="2:32">
      <c r="B647" s="5">
        <f t="shared" si="86"/>
        <v>635</v>
      </c>
      <c r="C647" s="5"/>
      <c r="E647" s="13"/>
      <c r="F647" s="5"/>
      <c r="G647" s="11" t="str">
        <f>IF(ISERROR(AVERAGE(F$13:F647)),"n/a",AVERAGE(F$13:F647))</f>
        <v>n/a</v>
      </c>
      <c r="H647" s="11" t="str">
        <f t="shared" si="82"/>
        <v>n/a</v>
      </c>
      <c r="J647" s="5"/>
      <c r="K647" s="5"/>
      <c r="L647" s="5"/>
      <c r="M647" s="5"/>
      <c r="N647" s="5"/>
      <c r="O647" s="8" t="str">
        <f t="shared" si="80"/>
        <v>n/a</v>
      </c>
      <c r="Q647" s="5"/>
      <c r="R647" s="5"/>
      <c r="S647" s="5"/>
      <c r="U647" s="6"/>
      <c r="V647" s="9" t="str">
        <f t="shared" si="83"/>
        <v/>
      </c>
      <c r="W647" s="9" t="str">
        <f t="shared" si="84"/>
        <v/>
      </c>
      <c r="X647" s="10">
        <f>SUM(V$13:V647)/COUNTA(B$13:B647)</f>
        <v>0</v>
      </c>
      <c r="Z647" s="5"/>
      <c r="AA647" s="5"/>
      <c r="AC647" s="7"/>
      <c r="AE647" s="54" t="e">
        <f t="shared" si="85"/>
        <v>#N/A</v>
      </c>
      <c r="AF647" s="4" t="e">
        <f t="shared" si="81"/>
        <v>#N/A</v>
      </c>
    </row>
    <row r="648" spans="2:32">
      <c r="B648" s="5">
        <f t="shared" si="86"/>
        <v>636</v>
      </c>
      <c r="C648" s="5"/>
      <c r="E648" s="13"/>
      <c r="F648" s="5"/>
      <c r="G648" s="11" t="str">
        <f>IF(ISERROR(AVERAGE(F$13:F648)),"n/a",AVERAGE(F$13:F648))</f>
        <v>n/a</v>
      </c>
      <c r="H648" s="11" t="str">
        <f t="shared" si="82"/>
        <v>n/a</v>
      </c>
      <c r="J648" s="5"/>
      <c r="K648" s="5"/>
      <c r="L648" s="5"/>
      <c r="M648" s="5"/>
      <c r="N648" s="5"/>
      <c r="O648" s="8" t="str">
        <f t="shared" si="80"/>
        <v>n/a</v>
      </c>
      <c r="Q648" s="5"/>
      <c r="R648" s="5"/>
      <c r="S648" s="5"/>
      <c r="U648" s="6"/>
      <c r="V648" s="9" t="str">
        <f t="shared" si="83"/>
        <v/>
      </c>
      <c r="W648" s="9" t="str">
        <f t="shared" si="84"/>
        <v/>
      </c>
      <c r="X648" s="10">
        <f>SUM(V$13:V648)/COUNTA(B$13:B648)</f>
        <v>0</v>
      </c>
      <c r="Z648" s="5"/>
      <c r="AA648" s="5"/>
      <c r="AC648" s="7"/>
      <c r="AE648" s="54" t="e">
        <f t="shared" si="85"/>
        <v>#N/A</v>
      </c>
      <c r="AF648" s="4" t="e">
        <f t="shared" si="81"/>
        <v>#N/A</v>
      </c>
    </row>
    <row r="649" spans="2:32">
      <c r="B649" s="5">
        <f t="shared" si="86"/>
        <v>637</v>
      </c>
      <c r="C649" s="5"/>
      <c r="E649" s="13"/>
      <c r="F649" s="5"/>
      <c r="G649" s="11" t="str">
        <f>IF(ISERROR(AVERAGE(F$13:F649)),"n/a",AVERAGE(F$13:F649))</f>
        <v>n/a</v>
      </c>
      <c r="H649" s="11" t="str">
        <f t="shared" si="82"/>
        <v>n/a</v>
      </c>
      <c r="J649" s="5"/>
      <c r="K649" s="5"/>
      <c r="L649" s="5"/>
      <c r="M649" s="5"/>
      <c r="N649" s="5"/>
      <c r="O649" s="8" t="str">
        <f t="shared" si="80"/>
        <v>n/a</v>
      </c>
      <c r="Q649" s="5"/>
      <c r="R649" s="5"/>
      <c r="S649" s="5"/>
      <c r="U649" s="6"/>
      <c r="V649" s="9" t="str">
        <f t="shared" si="83"/>
        <v/>
      </c>
      <c r="W649" s="9" t="str">
        <f t="shared" si="84"/>
        <v/>
      </c>
      <c r="X649" s="10">
        <f>SUM(V$13:V649)/COUNTA(B$13:B649)</f>
        <v>0</v>
      </c>
      <c r="Z649" s="5"/>
      <c r="AA649" s="5"/>
      <c r="AC649" s="7"/>
      <c r="AE649" s="54" t="e">
        <f t="shared" si="85"/>
        <v>#N/A</v>
      </c>
      <c r="AF649" s="4" t="e">
        <f t="shared" si="81"/>
        <v>#N/A</v>
      </c>
    </row>
    <row r="650" spans="2:32">
      <c r="B650" s="5">
        <f t="shared" si="86"/>
        <v>638</v>
      </c>
      <c r="C650" s="5"/>
      <c r="E650" s="13"/>
      <c r="F650" s="5"/>
      <c r="G650" s="11" t="str">
        <f>IF(ISERROR(AVERAGE(F$13:F650)),"n/a",AVERAGE(F$13:F650))</f>
        <v>n/a</v>
      </c>
      <c r="H650" s="11" t="str">
        <f t="shared" si="82"/>
        <v>n/a</v>
      </c>
      <c r="J650" s="5"/>
      <c r="K650" s="5"/>
      <c r="L650" s="5"/>
      <c r="M650" s="5"/>
      <c r="N650" s="5"/>
      <c r="O650" s="8" t="str">
        <f t="shared" si="80"/>
        <v>n/a</v>
      </c>
      <c r="Q650" s="5"/>
      <c r="R650" s="5"/>
      <c r="S650" s="5"/>
      <c r="U650" s="6"/>
      <c r="V650" s="9" t="str">
        <f t="shared" si="83"/>
        <v/>
      </c>
      <c r="W650" s="9" t="str">
        <f t="shared" si="84"/>
        <v/>
      </c>
      <c r="X650" s="10">
        <f>SUM(V$13:V650)/COUNTA(B$13:B650)</f>
        <v>0</v>
      </c>
      <c r="Z650" s="5"/>
      <c r="AA650" s="5"/>
      <c r="AC650" s="7"/>
      <c r="AE650" s="54" t="e">
        <f t="shared" si="85"/>
        <v>#N/A</v>
      </c>
      <c r="AF650" s="4" t="e">
        <f t="shared" si="81"/>
        <v>#N/A</v>
      </c>
    </row>
    <row r="651" spans="2:32">
      <c r="B651" s="5">
        <f t="shared" si="86"/>
        <v>639</v>
      </c>
      <c r="C651" s="5"/>
      <c r="E651" s="13"/>
      <c r="F651" s="5"/>
      <c r="G651" s="11" t="str">
        <f>IF(ISERROR(AVERAGE(F$13:F651)),"n/a",AVERAGE(F$13:F651))</f>
        <v>n/a</v>
      </c>
      <c r="H651" s="11" t="str">
        <f t="shared" si="82"/>
        <v>n/a</v>
      </c>
      <c r="J651" s="5"/>
      <c r="K651" s="5"/>
      <c r="L651" s="5"/>
      <c r="M651" s="5"/>
      <c r="N651" s="5"/>
      <c r="O651" s="8" t="str">
        <f t="shared" si="80"/>
        <v>n/a</v>
      </c>
      <c r="Q651" s="5"/>
      <c r="R651" s="5"/>
      <c r="S651" s="5"/>
      <c r="U651" s="6"/>
      <c r="V651" s="9" t="str">
        <f t="shared" si="83"/>
        <v/>
      </c>
      <c r="W651" s="9" t="str">
        <f t="shared" si="84"/>
        <v/>
      </c>
      <c r="X651" s="10">
        <f>SUM(V$13:V651)/COUNTA(B$13:B651)</f>
        <v>0</v>
      </c>
      <c r="Z651" s="5"/>
      <c r="AA651" s="5"/>
      <c r="AC651" s="7"/>
      <c r="AE651" s="54" t="e">
        <f t="shared" si="85"/>
        <v>#N/A</v>
      </c>
      <c r="AF651" s="4" t="e">
        <f t="shared" si="81"/>
        <v>#N/A</v>
      </c>
    </row>
    <row r="652" spans="2:32">
      <c r="B652" s="5">
        <f t="shared" si="86"/>
        <v>640</v>
      </c>
      <c r="C652" s="5"/>
      <c r="E652" s="13"/>
      <c r="F652" s="5"/>
      <c r="G652" s="11" t="str">
        <f>IF(ISERROR(AVERAGE(F$13:F652)),"n/a",AVERAGE(F$13:F652))</f>
        <v>n/a</v>
      </c>
      <c r="H652" s="11" t="str">
        <f t="shared" si="82"/>
        <v>n/a</v>
      </c>
      <c r="J652" s="5"/>
      <c r="K652" s="5"/>
      <c r="L652" s="5"/>
      <c r="M652" s="5"/>
      <c r="N652" s="5"/>
      <c r="O652" s="8" t="str">
        <f t="shared" si="80"/>
        <v>n/a</v>
      </c>
      <c r="Q652" s="5"/>
      <c r="R652" s="5"/>
      <c r="S652" s="5"/>
      <c r="U652" s="6"/>
      <c r="V652" s="9" t="str">
        <f t="shared" si="83"/>
        <v/>
      </c>
      <c r="W652" s="9" t="str">
        <f t="shared" si="84"/>
        <v/>
      </c>
      <c r="X652" s="10">
        <f>SUM(V$13:V652)/COUNTA(B$13:B652)</f>
        <v>0</v>
      </c>
      <c r="Z652" s="5"/>
      <c r="AA652" s="5"/>
      <c r="AC652" s="7"/>
      <c r="AE652" s="54" t="e">
        <f t="shared" si="85"/>
        <v>#N/A</v>
      </c>
      <c r="AF652" s="4" t="e">
        <f t="shared" si="81"/>
        <v>#N/A</v>
      </c>
    </row>
    <row r="653" spans="2:32">
      <c r="B653" s="5">
        <f t="shared" si="86"/>
        <v>641</v>
      </c>
      <c r="C653" s="5"/>
      <c r="E653" s="13"/>
      <c r="F653" s="5"/>
      <c r="G653" s="11" t="str">
        <f>IF(ISERROR(AVERAGE(F$13:F653)),"n/a",AVERAGE(F$13:F653))</f>
        <v>n/a</v>
      </c>
      <c r="H653" s="11" t="str">
        <f t="shared" si="82"/>
        <v>n/a</v>
      </c>
      <c r="J653" s="5"/>
      <c r="K653" s="5"/>
      <c r="L653" s="5"/>
      <c r="M653" s="5"/>
      <c r="N653" s="5"/>
      <c r="O653" s="8" t="str">
        <f t="shared" ref="O653:O716" si="87">IF(J653=1,"A",IF(K653=1,"B",IF(L653=1,"C",IF(M653=1,"D",IF(N653=1,"E","n/a")))))</f>
        <v>n/a</v>
      </c>
      <c r="Q653" s="5"/>
      <c r="R653" s="5"/>
      <c r="S653" s="5"/>
      <c r="U653" s="6"/>
      <c r="V653" s="9" t="str">
        <f t="shared" si="83"/>
        <v/>
      </c>
      <c r="W653" s="9" t="str">
        <f t="shared" si="84"/>
        <v/>
      </c>
      <c r="X653" s="10">
        <f>SUM(V$13:V653)/COUNTA(B$13:B653)</f>
        <v>0</v>
      </c>
      <c r="Z653" s="5"/>
      <c r="AA653" s="5"/>
      <c r="AC653" s="7"/>
      <c r="AE653" s="54" t="e">
        <f t="shared" si="85"/>
        <v>#N/A</v>
      </c>
      <c r="AF653" s="4" t="e">
        <f t="shared" ref="AF653:AF716" si="88">HLOOKUP(C653,$K$6:$O$7,2,FALSE)</f>
        <v>#N/A</v>
      </c>
    </row>
    <row r="654" spans="2:32">
      <c r="B654" s="5">
        <f t="shared" si="86"/>
        <v>642</v>
      </c>
      <c r="C654" s="5"/>
      <c r="E654" s="13"/>
      <c r="F654" s="5"/>
      <c r="G654" s="11" t="str">
        <f>IF(ISERROR(AVERAGE(F$13:F654)),"n/a",AVERAGE(F$13:F654))</f>
        <v>n/a</v>
      </c>
      <c r="H654" s="11" t="str">
        <f t="shared" ref="H654:H717" si="89">G654</f>
        <v>n/a</v>
      </c>
      <c r="J654" s="5"/>
      <c r="K654" s="5"/>
      <c r="L654" s="5"/>
      <c r="M654" s="5"/>
      <c r="N654" s="5"/>
      <c r="O654" s="8" t="str">
        <f t="shared" si="87"/>
        <v>n/a</v>
      </c>
      <c r="Q654" s="5"/>
      <c r="R654" s="5"/>
      <c r="S654" s="5"/>
      <c r="U654" s="6"/>
      <c r="V654" s="9" t="str">
        <f t="shared" ref="V654:V717" si="90">IF(O654="n/a","",IF(O654=U654,1,""))</f>
        <v/>
      </c>
      <c r="W654" s="9" t="str">
        <f t="shared" ref="W654:W717" si="91">IF(O654="n/a","",IF(O654&lt;&gt;U654,1,""))</f>
        <v/>
      </c>
      <c r="X654" s="10">
        <f>SUM(V$13:V654)/COUNTA(B$13:B654)</f>
        <v>0</v>
      </c>
      <c r="Z654" s="5"/>
      <c r="AA654" s="5"/>
      <c r="AC654" s="7"/>
      <c r="AE654" s="54" t="e">
        <f t="shared" ref="AE654:AE717" si="92">+IF($F$4=0,0,IF(W654=1,1,IF(OR(R654*$F$8=1,S654*$F$9=1,F654&gt;=AF654),2,0)))</f>
        <v>#N/A</v>
      </c>
      <c r="AF654" s="4" t="e">
        <f t="shared" si="88"/>
        <v>#N/A</v>
      </c>
    </row>
    <row r="655" spans="2:32">
      <c r="B655" s="5">
        <f t="shared" si="86"/>
        <v>643</v>
      </c>
      <c r="C655" s="5"/>
      <c r="E655" s="13"/>
      <c r="F655" s="5"/>
      <c r="G655" s="11" t="str">
        <f>IF(ISERROR(AVERAGE(F$13:F655)),"n/a",AVERAGE(F$13:F655))</f>
        <v>n/a</v>
      </c>
      <c r="H655" s="11" t="str">
        <f t="shared" si="89"/>
        <v>n/a</v>
      </c>
      <c r="J655" s="5"/>
      <c r="K655" s="5"/>
      <c r="L655" s="5"/>
      <c r="M655" s="5"/>
      <c r="N655" s="5"/>
      <c r="O655" s="8" t="str">
        <f t="shared" si="87"/>
        <v>n/a</v>
      </c>
      <c r="Q655" s="5"/>
      <c r="R655" s="5"/>
      <c r="S655" s="5"/>
      <c r="U655" s="6"/>
      <c r="V655" s="9" t="str">
        <f t="shared" si="90"/>
        <v/>
      </c>
      <c r="W655" s="9" t="str">
        <f t="shared" si="91"/>
        <v/>
      </c>
      <c r="X655" s="10">
        <f>SUM(V$13:V655)/COUNTA(B$13:B655)</f>
        <v>0</v>
      </c>
      <c r="Z655" s="5"/>
      <c r="AA655" s="5"/>
      <c r="AC655" s="7"/>
      <c r="AE655" s="54" t="e">
        <f t="shared" si="92"/>
        <v>#N/A</v>
      </c>
      <c r="AF655" s="4" t="e">
        <f t="shared" si="88"/>
        <v>#N/A</v>
      </c>
    </row>
    <row r="656" spans="2:32">
      <c r="B656" s="5">
        <f t="shared" si="86"/>
        <v>644</v>
      </c>
      <c r="C656" s="5"/>
      <c r="E656" s="13"/>
      <c r="F656" s="5"/>
      <c r="G656" s="11" t="str">
        <f>IF(ISERROR(AVERAGE(F$13:F656)),"n/a",AVERAGE(F$13:F656))</f>
        <v>n/a</v>
      </c>
      <c r="H656" s="11" t="str">
        <f t="shared" si="89"/>
        <v>n/a</v>
      </c>
      <c r="J656" s="5"/>
      <c r="K656" s="5"/>
      <c r="L656" s="5"/>
      <c r="M656" s="5"/>
      <c r="N656" s="5"/>
      <c r="O656" s="8" t="str">
        <f t="shared" si="87"/>
        <v>n/a</v>
      </c>
      <c r="Q656" s="5"/>
      <c r="R656" s="5"/>
      <c r="S656" s="5"/>
      <c r="U656" s="6"/>
      <c r="V656" s="9" t="str">
        <f t="shared" si="90"/>
        <v/>
      </c>
      <c r="W656" s="9" t="str">
        <f t="shared" si="91"/>
        <v/>
      </c>
      <c r="X656" s="10">
        <f>SUM(V$13:V656)/COUNTA(B$13:B656)</f>
        <v>0</v>
      </c>
      <c r="Z656" s="5"/>
      <c r="AA656" s="5"/>
      <c r="AC656" s="7"/>
      <c r="AE656" s="54" t="e">
        <f t="shared" si="92"/>
        <v>#N/A</v>
      </c>
      <c r="AF656" s="4" t="e">
        <f t="shared" si="88"/>
        <v>#N/A</v>
      </c>
    </row>
    <row r="657" spans="2:32">
      <c r="B657" s="5">
        <f t="shared" si="86"/>
        <v>645</v>
      </c>
      <c r="C657" s="5"/>
      <c r="E657" s="13"/>
      <c r="F657" s="5"/>
      <c r="G657" s="11" t="str">
        <f>IF(ISERROR(AVERAGE(F$13:F657)),"n/a",AVERAGE(F$13:F657))</f>
        <v>n/a</v>
      </c>
      <c r="H657" s="11" t="str">
        <f t="shared" si="89"/>
        <v>n/a</v>
      </c>
      <c r="J657" s="5"/>
      <c r="K657" s="5"/>
      <c r="L657" s="5"/>
      <c r="M657" s="5"/>
      <c r="N657" s="5"/>
      <c r="O657" s="8" t="str">
        <f t="shared" si="87"/>
        <v>n/a</v>
      </c>
      <c r="Q657" s="5"/>
      <c r="R657" s="5"/>
      <c r="S657" s="5"/>
      <c r="U657" s="6"/>
      <c r="V657" s="9" t="str">
        <f t="shared" si="90"/>
        <v/>
      </c>
      <c r="W657" s="9" t="str">
        <f t="shared" si="91"/>
        <v/>
      </c>
      <c r="X657" s="10">
        <f>SUM(V$13:V657)/COUNTA(B$13:B657)</f>
        <v>0</v>
      </c>
      <c r="Z657" s="5"/>
      <c r="AA657" s="5"/>
      <c r="AC657" s="7"/>
      <c r="AE657" s="54" t="e">
        <f t="shared" si="92"/>
        <v>#N/A</v>
      </c>
      <c r="AF657" s="4" t="e">
        <f t="shared" si="88"/>
        <v>#N/A</v>
      </c>
    </row>
    <row r="658" spans="2:32">
      <c r="B658" s="5">
        <f t="shared" si="86"/>
        <v>646</v>
      </c>
      <c r="C658" s="5"/>
      <c r="E658" s="13"/>
      <c r="F658" s="5"/>
      <c r="G658" s="11" t="str">
        <f>IF(ISERROR(AVERAGE(F$13:F658)),"n/a",AVERAGE(F$13:F658))</f>
        <v>n/a</v>
      </c>
      <c r="H658" s="11" t="str">
        <f t="shared" si="89"/>
        <v>n/a</v>
      </c>
      <c r="J658" s="5"/>
      <c r="K658" s="5"/>
      <c r="L658" s="5"/>
      <c r="M658" s="5"/>
      <c r="N658" s="5"/>
      <c r="O658" s="8" t="str">
        <f t="shared" si="87"/>
        <v>n/a</v>
      </c>
      <c r="Q658" s="5"/>
      <c r="R658" s="5"/>
      <c r="S658" s="5"/>
      <c r="U658" s="6"/>
      <c r="V658" s="9" t="str">
        <f t="shared" si="90"/>
        <v/>
      </c>
      <c r="W658" s="9" t="str">
        <f t="shared" si="91"/>
        <v/>
      </c>
      <c r="X658" s="10">
        <f>SUM(V$13:V658)/COUNTA(B$13:B658)</f>
        <v>0</v>
      </c>
      <c r="Z658" s="5"/>
      <c r="AA658" s="5"/>
      <c r="AC658" s="7"/>
      <c r="AE658" s="54" t="e">
        <f t="shared" si="92"/>
        <v>#N/A</v>
      </c>
      <c r="AF658" s="4" t="e">
        <f t="shared" si="88"/>
        <v>#N/A</v>
      </c>
    </row>
    <row r="659" spans="2:32">
      <c r="B659" s="5">
        <f t="shared" ref="B659:B722" si="93">+B658+1</f>
        <v>647</v>
      </c>
      <c r="C659" s="5"/>
      <c r="E659" s="13"/>
      <c r="F659" s="5"/>
      <c r="G659" s="11" t="str">
        <f>IF(ISERROR(AVERAGE(F$13:F659)),"n/a",AVERAGE(F$13:F659))</f>
        <v>n/a</v>
      </c>
      <c r="H659" s="11" t="str">
        <f t="shared" si="89"/>
        <v>n/a</v>
      </c>
      <c r="J659" s="5"/>
      <c r="K659" s="5"/>
      <c r="L659" s="5"/>
      <c r="M659" s="5"/>
      <c r="N659" s="5"/>
      <c r="O659" s="8" t="str">
        <f t="shared" si="87"/>
        <v>n/a</v>
      </c>
      <c r="Q659" s="5"/>
      <c r="R659" s="5"/>
      <c r="S659" s="5"/>
      <c r="U659" s="6"/>
      <c r="V659" s="9" t="str">
        <f t="shared" si="90"/>
        <v/>
      </c>
      <c r="W659" s="9" t="str">
        <f t="shared" si="91"/>
        <v/>
      </c>
      <c r="X659" s="10">
        <f>SUM(V$13:V659)/COUNTA(B$13:B659)</f>
        <v>0</v>
      </c>
      <c r="Z659" s="5"/>
      <c r="AA659" s="5"/>
      <c r="AC659" s="7"/>
      <c r="AE659" s="54" t="e">
        <f t="shared" si="92"/>
        <v>#N/A</v>
      </c>
      <c r="AF659" s="4" t="e">
        <f t="shared" si="88"/>
        <v>#N/A</v>
      </c>
    </row>
    <row r="660" spans="2:32">
      <c r="B660" s="5">
        <f t="shared" si="93"/>
        <v>648</v>
      </c>
      <c r="C660" s="5"/>
      <c r="E660" s="13"/>
      <c r="F660" s="5"/>
      <c r="G660" s="11" t="str">
        <f>IF(ISERROR(AVERAGE(F$13:F660)),"n/a",AVERAGE(F$13:F660))</f>
        <v>n/a</v>
      </c>
      <c r="H660" s="11" t="str">
        <f t="shared" si="89"/>
        <v>n/a</v>
      </c>
      <c r="J660" s="5"/>
      <c r="K660" s="5"/>
      <c r="L660" s="5"/>
      <c r="M660" s="5"/>
      <c r="N660" s="5"/>
      <c r="O660" s="8" t="str">
        <f t="shared" si="87"/>
        <v>n/a</v>
      </c>
      <c r="Q660" s="5"/>
      <c r="R660" s="5"/>
      <c r="S660" s="5"/>
      <c r="U660" s="6"/>
      <c r="V660" s="9" t="str">
        <f t="shared" si="90"/>
        <v/>
      </c>
      <c r="W660" s="9" t="str">
        <f t="shared" si="91"/>
        <v/>
      </c>
      <c r="X660" s="10">
        <f>SUM(V$13:V660)/COUNTA(B$13:B660)</f>
        <v>0</v>
      </c>
      <c r="Z660" s="5"/>
      <c r="AA660" s="5"/>
      <c r="AC660" s="7"/>
      <c r="AE660" s="54" t="e">
        <f t="shared" si="92"/>
        <v>#N/A</v>
      </c>
      <c r="AF660" s="4" t="e">
        <f t="shared" si="88"/>
        <v>#N/A</v>
      </c>
    </row>
    <row r="661" spans="2:32">
      <c r="B661" s="5">
        <f t="shared" si="93"/>
        <v>649</v>
      </c>
      <c r="C661" s="5"/>
      <c r="E661" s="13"/>
      <c r="F661" s="5"/>
      <c r="G661" s="11" t="str">
        <f>IF(ISERROR(AVERAGE(F$13:F661)),"n/a",AVERAGE(F$13:F661))</f>
        <v>n/a</v>
      </c>
      <c r="H661" s="11" t="str">
        <f t="shared" si="89"/>
        <v>n/a</v>
      </c>
      <c r="J661" s="5"/>
      <c r="K661" s="5"/>
      <c r="L661" s="5"/>
      <c r="M661" s="5"/>
      <c r="N661" s="5"/>
      <c r="O661" s="8" t="str">
        <f t="shared" si="87"/>
        <v>n/a</v>
      </c>
      <c r="Q661" s="5"/>
      <c r="R661" s="5"/>
      <c r="S661" s="5"/>
      <c r="U661" s="6"/>
      <c r="V661" s="9" t="str">
        <f t="shared" si="90"/>
        <v/>
      </c>
      <c r="W661" s="9" t="str">
        <f t="shared" si="91"/>
        <v/>
      </c>
      <c r="X661" s="10">
        <f>SUM(V$13:V661)/COUNTA(B$13:B661)</f>
        <v>0</v>
      </c>
      <c r="Z661" s="5"/>
      <c r="AA661" s="5"/>
      <c r="AC661" s="7"/>
      <c r="AE661" s="54" t="e">
        <f t="shared" si="92"/>
        <v>#N/A</v>
      </c>
      <c r="AF661" s="4" t="e">
        <f t="shared" si="88"/>
        <v>#N/A</v>
      </c>
    </row>
    <row r="662" spans="2:32">
      <c r="B662" s="5">
        <f t="shared" si="93"/>
        <v>650</v>
      </c>
      <c r="C662" s="5"/>
      <c r="E662" s="13"/>
      <c r="F662" s="5"/>
      <c r="G662" s="11" t="str">
        <f>IF(ISERROR(AVERAGE(F$13:F662)),"n/a",AVERAGE(F$13:F662))</f>
        <v>n/a</v>
      </c>
      <c r="H662" s="11" t="str">
        <f t="shared" si="89"/>
        <v>n/a</v>
      </c>
      <c r="J662" s="5"/>
      <c r="K662" s="5"/>
      <c r="L662" s="5"/>
      <c r="M662" s="5"/>
      <c r="N662" s="5"/>
      <c r="O662" s="8" t="str">
        <f t="shared" si="87"/>
        <v>n/a</v>
      </c>
      <c r="Q662" s="5"/>
      <c r="R662" s="5"/>
      <c r="S662" s="5"/>
      <c r="U662" s="6"/>
      <c r="V662" s="9" t="str">
        <f t="shared" si="90"/>
        <v/>
      </c>
      <c r="W662" s="9" t="str">
        <f t="shared" si="91"/>
        <v/>
      </c>
      <c r="X662" s="10">
        <f>SUM(V$13:V662)/COUNTA(B$13:B662)</f>
        <v>0</v>
      </c>
      <c r="Z662" s="5"/>
      <c r="AA662" s="5"/>
      <c r="AC662" s="7"/>
      <c r="AE662" s="54" t="e">
        <f t="shared" si="92"/>
        <v>#N/A</v>
      </c>
      <c r="AF662" s="4" t="e">
        <f t="shared" si="88"/>
        <v>#N/A</v>
      </c>
    </row>
    <row r="663" spans="2:32">
      <c r="B663" s="5">
        <f t="shared" si="93"/>
        <v>651</v>
      </c>
      <c r="C663" s="5"/>
      <c r="E663" s="13"/>
      <c r="F663" s="5"/>
      <c r="G663" s="11" t="str">
        <f>IF(ISERROR(AVERAGE(F$13:F663)),"n/a",AVERAGE(F$13:F663))</f>
        <v>n/a</v>
      </c>
      <c r="H663" s="11" t="str">
        <f t="shared" si="89"/>
        <v>n/a</v>
      </c>
      <c r="J663" s="5"/>
      <c r="K663" s="5"/>
      <c r="L663" s="5"/>
      <c r="M663" s="5"/>
      <c r="N663" s="5"/>
      <c r="O663" s="8" t="str">
        <f t="shared" si="87"/>
        <v>n/a</v>
      </c>
      <c r="Q663" s="5"/>
      <c r="R663" s="5"/>
      <c r="S663" s="5"/>
      <c r="U663" s="6"/>
      <c r="V663" s="9" t="str">
        <f t="shared" si="90"/>
        <v/>
      </c>
      <c r="W663" s="9" t="str">
        <f t="shared" si="91"/>
        <v/>
      </c>
      <c r="X663" s="10">
        <f>SUM(V$13:V663)/COUNTA(B$13:B663)</f>
        <v>0</v>
      </c>
      <c r="Z663" s="5"/>
      <c r="AA663" s="5"/>
      <c r="AC663" s="7"/>
      <c r="AE663" s="54" t="e">
        <f t="shared" si="92"/>
        <v>#N/A</v>
      </c>
      <c r="AF663" s="4" t="e">
        <f t="shared" si="88"/>
        <v>#N/A</v>
      </c>
    </row>
    <row r="664" spans="2:32">
      <c r="B664" s="5">
        <f t="shared" si="93"/>
        <v>652</v>
      </c>
      <c r="C664" s="5"/>
      <c r="E664" s="13"/>
      <c r="F664" s="5"/>
      <c r="G664" s="11" t="str">
        <f>IF(ISERROR(AVERAGE(F$13:F664)),"n/a",AVERAGE(F$13:F664))</f>
        <v>n/a</v>
      </c>
      <c r="H664" s="11" t="str">
        <f t="shared" si="89"/>
        <v>n/a</v>
      </c>
      <c r="J664" s="5"/>
      <c r="K664" s="5"/>
      <c r="L664" s="5"/>
      <c r="M664" s="5"/>
      <c r="N664" s="5"/>
      <c r="O664" s="8" t="str">
        <f t="shared" si="87"/>
        <v>n/a</v>
      </c>
      <c r="Q664" s="5"/>
      <c r="R664" s="5"/>
      <c r="S664" s="5"/>
      <c r="U664" s="6"/>
      <c r="V664" s="9" t="str">
        <f t="shared" si="90"/>
        <v/>
      </c>
      <c r="W664" s="9" t="str">
        <f t="shared" si="91"/>
        <v/>
      </c>
      <c r="X664" s="10">
        <f>SUM(V$13:V664)/COUNTA(B$13:B664)</f>
        <v>0</v>
      </c>
      <c r="Z664" s="5"/>
      <c r="AA664" s="5"/>
      <c r="AC664" s="7"/>
      <c r="AE664" s="54" t="e">
        <f t="shared" si="92"/>
        <v>#N/A</v>
      </c>
      <c r="AF664" s="4" t="e">
        <f t="shared" si="88"/>
        <v>#N/A</v>
      </c>
    </row>
    <row r="665" spans="2:32">
      <c r="B665" s="5">
        <f t="shared" si="93"/>
        <v>653</v>
      </c>
      <c r="C665" s="5"/>
      <c r="E665" s="13"/>
      <c r="F665" s="5"/>
      <c r="G665" s="11" t="str">
        <f>IF(ISERROR(AVERAGE(F$13:F665)),"n/a",AVERAGE(F$13:F665))</f>
        <v>n/a</v>
      </c>
      <c r="H665" s="11" t="str">
        <f t="shared" si="89"/>
        <v>n/a</v>
      </c>
      <c r="J665" s="5"/>
      <c r="K665" s="5"/>
      <c r="L665" s="5"/>
      <c r="M665" s="5"/>
      <c r="N665" s="5"/>
      <c r="O665" s="8" t="str">
        <f t="shared" si="87"/>
        <v>n/a</v>
      </c>
      <c r="Q665" s="5"/>
      <c r="R665" s="5"/>
      <c r="S665" s="5"/>
      <c r="U665" s="6"/>
      <c r="V665" s="9" t="str">
        <f t="shared" si="90"/>
        <v/>
      </c>
      <c r="W665" s="9" t="str">
        <f t="shared" si="91"/>
        <v/>
      </c>
      <c r="X665" s="10">
        <f>SUM(V$13:V665)/COUNTA(B$13:B665)</f>
        <v>0</v>
      </c>
      <c r="Z665" s="5"/>
      <c r="AA665" s="5"/>
      <c r="AC665" s="7"/>
      <c r="AE665" s="54" t="e">
        <f t="shared" si="92"/>
        <v>#N/A</v>
      </c>
      <c r="AF665" s="4" t="e">
        <f t="shared" si="88"/>
        <v>#N/A</v>
      </c>
    </row>
    <row r="666" spans="2:32">
      <c r="B666" s="5">
        <f t="shared" si="93"/>
        <v>654</v>
      </c>
      <c r="C666" s="5"/>
      <c r="E666" s="13"/>
      <c r="F666" s="5"/>
      <c r="G666" s="11" t="str">
        <f>IF(ISERROR(AVERAGE(F$13:F666)),"n/a",AVERAGE(F$13:F666))</f>
        <v>n/a</v>
      </c>
      <c r="H666" s="11" t="str">
        <f t="shared" si="89"/>
        <v>n/a</v>
      </c>
      <c r="J666" s="5"/>
      <c r="K666" s="5"/>
      <c r="L666" s="5"/>
      <c r="M666" s="5"/>
      <c r="N666" s="5"/>
      <c r="O666" s="8" t="str">
        <f t="shared" si="87"/>
        <v>n/a</v>
      </c>
      <c r="Q666" s="5"/>
      <c r="R666" s="5"/>
      <c r="S666" s="5"/>
      <c r="U666" s="6"/>
      <c r="V666" s="9" t="str">
        <f t="shared" si="90"/>
        <v/>
      </c>
      <c r="W666" s="9" t="str">
        <f t="shared" si="91"/>
        <v/>
      </c>
      <c r="X666" s="10">
        <f>SUM(V$13:V666)/COUNTA(B$13:B666)</f>
        <v>0</v>
      </c>
      <c r="Z666" s="5"/>
      <c r="AA666" s="5"/>
      <c r="AC666" s="7"/>
      <c r="AE666" s="54" t="e">
        <f t="shared" si="92"/>
        <v>#N/A</v>
      </c>
      <c r="AF666" s="4" t="e">
        <f t="shared" si="88"/>
        <v>#N/A</v>
      </c>
    </row>
    <row r="667" spans="2:32">
      <c r="B667" s="5">
        <f t="shared" si="93"/>
        <v>655</v>
      </c>
      <c r="C667" s="5"/>
      <c r="E667" s="13"/>
      <c r="F667" s="5"/>
      <c r="G667" s="11" t="str">
        <f>IF(ISERROR(AVERAGE(F$13:F667)),"n/a",AVERAGE(F$13:F667))</f>
        <v>n/a</v>
      </c>
      <c r="H667" s="11" t="str">
        <f t="shared" si="89"/>
        <v>n/a</v>
      </c>
      <c r="J667" s="5"/>
      <c r="K667" s="5"/>
      <c r="L667" s="5"/>
      <c r="M667" s="5"/>
      <c r="N667" s="5"/>
      <c r="O667" s="8" t="str">
        <f t="shared" si="87"/>
        <v>n/a</v>
      </c>
      <c r="Q667" s="5"/>
      <c r="R667" s="5"/>
      <c r="S667" s="5"/>
      <c r="U667" s="6"/>
      <c r="V667" s="9" t="str">
        <f t="shared" si="90"/>
        <v/>
      </c>
      <c r="W667" s="9" t="str">
        <f t="shared" si="91"/>
        <v/>
      </c>
      <c r="X667" s="10">
        <f>SUM(V$13:V667)/COUNTA(B$13:B667)</f>
        <v>0</v>
      </c>
      <c r="Z667" s="5"/>
      <c r="AA667" s="5"/>
      <c r="AC667" s="7"/>
      <c r="AE667" s="54" t="e">
        <f t="shared" si="92"/>
        <v>#N/A</v>
      </c>
      <c r="AF667" s="4" t="e">
        <f t="shared" si="88"/>
        <v>#N/A</v>
      </c>
    </row>
    <row r="668" spans="2:32">
      <c r="B668" s="5">
        <f t="shared" si="93"/>
        <v>656</v>
      </c>
      <c r="C668" s="5"/>
      <c r="E668" s="13"/>
      <c r="F668" s="5"/>
      <c r="G668" s="11" t="str">
        <f>IF(ISERROR(AVERAGE(F$13:F668)),"n/a",AVERAGE(F$13:F668))</f>
        <v>n/a</v>
      </c>
      <c r="H668" s="11" t="str">
        <f t="shared" si="89"/>
        <v>n/a</v>
      </c>
      <c r="J668" s="5"/>
      <c r="K668" s="5"/>
      <c r="L668" s="5"/>
      <c r="M668" s="5"/>
      <c r="N668" s="5"/>
      <c r="O668" s="8" t="str">
        <f t="shared" si="87"/>
        <v>n/a</v>
      </c>
      <c r="Q668" s="5"/>
      <c r="R668" s="5"/>
      <c r="S668" s="5"/>
      <c r="U668" s="6"/>
      <c r="V668" s="9" t="str">
        <f t="shared" si="90"/>
        <v/>
      </c>
      <c r="W668" s="9" t="str">
        <f t="shared" si="91"/>
        <v/>
      </c>
      <c r="X668" s="10">
        <f>SUM(V$13:V668)/COUNTA(B$13:B668)</f>
        <v>0</v>
      </c>
      <c r="Z668" s="5"/>
      <c r="AA668" s="5"/>
      <c r="AC668" s="7"/>
      <c r="AE668" s="54" t="e">
        <f t="shared" si="92"/>
        <v>#N/A</v>
      </c>
      <c r="AF668" s="4" t="e">
        <f t="shared" si="88"/>
        <v>#N/A</v>
      </c>
    </row>
    <row r="669" spans="2:32">
      <c r="B669" s="5">
        <f t="shared" si="93"/>
        <v>657</v>
      </c>
      <c r="C669" s="5"/>
      <c r="E669" s="13"/>
      <c r="F669" s="5"/>
      <c r="G669" s="11" t="str">
        <f>IF(ISERROR(AVERAGE(F$13:F669)),"n/a",AVERAGE(F$13:F669))</f>
        <v>n/a</v>
      </c>
      <c r="H669" s="11" t="str">
        <f t="shared" si="89"/>
        <v>n/a</v>
      </c>
      <c r="J669" s="5"/>
      <c r="K669" s="5"/>
      <c r="L669" s="5"/>
      <c r="M669" s="5"/>
      <c r="N669" s="5"/>
      <c r="O669" s="8" t="str">
        <f t="shared" si="87"/>
        <v>n/a</v>
      </c>
      <c r="Q669" s="5"/>
      <c r="R669" s="5"/>
      <c r="S669" s="5"/>
      <c r="U669" s="6"/>
      <c r="V669" s="9" t="str">
        <f t="shared" si="90"/>
        <v/>
      </c>
      <c r="W669" s="9" t="str">
        <f t="shared" si="91"/>
        <v/>
      </c>
      <c r="X669" s="10">
        <f>SUM(V$13:V669)/COUNTA(B$13:B669)</f>
        <v>0</v>
      </c>
      <c r="Z669" s="5"/>
      <c r="AA669" s="5"/>
      <c r="AC669" s="7"/>
      <c r="AE669" s="54" t="e">
        <f t="shared" si="92"/>
        <v>#N/A</v>
      </c>
      <c r="AF669" s="4" t="e">
        <f t="shared" si="88"/>
        <v>#N/A</v>
      </c>
    </row>
    <row r="670" spans="2:32">
      <c r="B670" s="5">
        <f t="shared" si="93"/>
        <v>658</v>
      </c>
      <c r="C670" s="5"/>
      <c r="E670" s="13"/>
      <c r="F670" s="5"/>
      <c r="G670" s="11" t="str">
        <f>IF(ISERROR(AVERAGE(F$13:F670)),"n/a",AVERAGE(F$13:F670))</f>
        <v>n/a</v>
      </c>
      <c r="H670" s="11" t="str">
        <f t="shared" si="89"/>
        <v>n/a</v>
      </c>
      <c r="J670" s="5"/>
      <c r="K670" s="5"/>
      <c r="L670" s="5"/>
      <c r="M670" s="5"/>
      <c r="N670" s="5"/>
      <c r="O670" s="8" t="str">
        <f t="shared" si="87"/>
        <v>n/a</v>
      </c>
      <c r="Q670" s="5"/>
      <c r="R670" s="5"/>
      <c r="S670" s="5"/>
      <c r="U670" s="6"/>
      <c r="V670" s="9" t="str">
        <f t="shared" si="90"/>
        <v/>
      </c>
      <c r="W670" s="9" t="str">
        <f t="shared" si="91"/>
        <v/>
      </c>
      <c r="X670" s="10">
        <f>SUM(V$13:V670)/COUNTA(B$13:B670)</f>
        <v>0</v>
      </c>
      <c r="Z670" s="5"/>
      <c r="AA670" s="5"/>
      <c r="AC670" s="7"/>
      <c r="AE670" s="54" t="e">
        <f t="shared" si="92"/>
        <v>#N/A</v>
      </c>
      <c r="AF670" s="4" t="e">
        <f t="shared" si="88"/>
        <v>#N/A</v>
      </c>
    </row>
    <row r="671" spans="2:32">
      <c r="B671" s="5">
        <f t="shared" si="93"/>
        <v>659</v>
      </c>
      <c r="C671" s="5"/>
      <c r="E671" s="13"/>
      <c r="F671" s="5"/>
      <c r="G671" s="11" t="str">
        <f>IF(ISERROR(AVERAGE(F$13:F671)),"n/a",AVERAGE(F$13:F671))</f>
        <v>n/a</v>
      </c>
      <c r="H671" s="11" t="str">
        <f t="shared" si="89"/>
        <v>n/a</v>
      </c>
      <c r="J671" s="5"/>
      <c r="K671" s="5"/>
      <c r="L671" s="5"/>
      <c r="M671" s="5"/>
      <c r="N671" s="5"/>
      <c r="O671" s="8" t="str">
        <f t="shared" si="87"/>
        <v>n/a</v>
      </c>
      <c r="Q671" s="5"/>
      <c r="R671" s="5"/>
      <c r="S671" s="5"/>
      <c r="U671" s="6"/>
      <c r="V671" s="9" t="str">
        <f t="shared" si="90"/>
        <v/>
      </c>
      <c r="W671" s="9" t="str">
        <f t="shared" si="91"/>
        <v/>
      </c>
      <c r="X671" s="10">
        <f>SUM(V$13:V671)/COUNTA(B$13:B671)</f>
        <v>0</v>
      </c>
      <c r="Z671" s="5"/>
      <c r="AA671" s="5"/>
      <c r="AC671" s="7"/>
      <c r="AE671" s="54" t="e">
        <f t="shared" si="92"/>
        <v>#N/A</v>
      </c>
      <c r="AF671" s="4" t="e">
        <f t="shared" si="88"/>
        <v>#N/A</v>
      </c>
    </row>
    <row r="672" spans="2:32">
      <c r="B672" s="5">
        <f t="shared" si="93"/>
        <v>660</v>
      </c>
      <c r="C672" s="5"/>
      <c r="E672" s="13"/>
      <c r="F672" s="5"/>
      <c r="G672" s="11" t="str">
        <f>IF(ISERROR(AVERAGE(F$13:F672)),"n/a",AVERAGE(F$13:F672))</f>
        <v>n/a</v>
      </c>
      <c r="H672" s="11" t="str">
        <f t="shared" si="89"/>
        <v>n/a</v>
      </c>
      <c r="J672" s="5"/>
      <c r="K672" s="5"/>
      <c r="L672" s="5"/>
      <c r="M672" s="5"/>
      <c r="N672" s="5"/>
      <c r="O672" s="8" t="str">
        <f t="shared" si="87"/>
        <v>n/a</v>
      </c>
      <c r="Q672" s="5"/>
      <c r="R672" s="5"/>
      <c r="S672" s="5"/>
      <c r="U672" s="6"/>
      <c r="V672" s="9" t="str">
        <f t="shared" si="90"/>
        <v/>
      </c>
      <c r="W672" s="9" t="str">
        <f t="shared" si="91"/>
        <v/>
      </c>
      <c r="X672" s="10">
        <f>SUM(V$13:V672)/COUNTA(B$13:B672)</f>
        <v>0</v>
      </c>
      <c r="Z672" s="5"/>
      <c r="AA672" s="5"/>
      <c r="AC672" s="7"/>
      <c r="AE672" s="54" t="e">
        <f t="shared" si="92"/>
        <v>#N/A</v>
      </c>
      <c r="AF672" s="4" t="e">
        <f t="shared" si="88"/>
        <v>#N/A</v>
      </c>
    </row>
    <row r="673" spans="2:32">
      <c r="B673" s="5">
        <f t="shared" si="93"/>
        <v>661</v>
      </c>
      <c r="C673" s="5"/>
      <c r="E673" s="13"/>
      <c r="F673" s="5"/>
      <c r="G673" s="11" t="str">
        <f>IF(ISERROR(AVERAGE(F$13:F673)),"n/a",AVERAGE(F$13:F673))</f>
        <v>n/a</v>
      </c>
      <c r="H673" s="11" t="str">
        <f t="shared" si="89"/>
        <v>n/a</v>
      </c>
      <c r="J673" s="5"/>
      <c r="K673" s="5"/>
      <c r="L673" s="5"/>
      <c r="M673" s="5"/>
      <c r="N673" s="5"/>
      <c r="O673" s="8" t="str">
        <f t="shared" si="87"/>
        <v>n/a</v>
      </c>
      <c r="Q673" s="5"/>
      <c r="R673" s="5"/>
      <c r="S673" s="5"/>
      <c r="U673" s="6"/>
      <c r="V673" s="9" t="str">
        <f t="shared" si="90"/>
        <v/>
      </c>
      <c r="W673" s="9" t="str">
        <f t="shared" si="91"/>
        <v/>
      </c>
      <c r="X673" s="10">
        <f>SUM(V$13:V673)/COUNTA(B$13:B673)</f>
        <v>0</v>
      </c>
      <c r="Z673" s="5"/>
      <c r="AA673" s="5"/>
      <c r="AC673" s="7"/>
      <c r="AE673" s="54" t="e">
        <f t="shared" si="92"/>
        <v>#N/A</v>
      </c>
      <c r="AF673" s="4" t="e">
        <f t="shared" si="88"/>
        <v>#N/A</v>
      </c>
    </row>
    <row r="674" spans="2:32">
      <c r="B674" s="5">
        <f t="shared" si="93"/>
        <v>662</v>
      </c>
      <c r="C674" s="5"/>
      <c r="E674" s="13"/>
      <c r="F674" s="5"/>
      <c r="G674" s="11" t="str">
        <f>IF(ISERROR(AVERAGE(F$13:F674)),"n/a",AVERAGE(F$13:F674))</f>
        <v>n/a</v>
      </c>
      <c r="H674" s="11" t="str">
        <f t="shared" si="89"/>
        <v>n/a</v>
      </c>
      <c r="J674" s="5"/>
      <c r="K674" s="5"/>
      <c r="L674" s="5"/>
      <c r="M674" s="5"/>
      <c r="N674" s="5"/>
      <c r="O674" s="8" t="str">
        <f t="shared" si="87"/>
        <v>n/a</v>
      </c>
      <c r="Q674" s="5"/>
      <c r="R674" s="5"/>
      <c r="S674" s="5"/>
      <c r="U674" s="6"/>
      <c r="V674" s="9" t="str">
        <f t="shared" si="90"/>
        <v/>
      </c>
      <c r="W674" s="9" t="str">
        <f t="shared" si="91"/>
        <v/>
      </c>
      <c r="X674" s="10">
        <f>SUM(V$13:V674)/COUNTA(B$13:B674)</f>
        <v>0</v>
      </c>
      <c r="Z674" s="5"/>
      <c r="AA674" s="5"/>
      <c r="AC674" s="7"/>
      <c r="AE674" s="54" t="e">
        <f t="shared" si="92"/>
        <v>#N/A</v>
      </c>
      <c r="AF674" s="4" t="e">
        <f t="shared" si="88"/>
        <v>#N/A</v>
      </c>
    </row>
    <row r="675" spans="2:32">
      <c r="B675" s="5">
        <f t="shared" si="93"/>
        <v>663</v>
      </c>
      <c r="C675" s="5"/>
      <c r="E675" s="13"/>
      <c r="F675" s="5"/>
      <c r="G675" s="11" t="str">
        <f>IF(ISERROR(AVERAGE(F$13:F675)),"n/a",AVERAGE(F$13:F675))</f>
        <v>n/a</v>
      </c>
      <c r="H675" s="11" t="str">
        <f t="shared" si="89"/>
        <v>n/a</v>
      </c>
      <c r="J675" s="5"/>
      <c r="K675" s="5"/>
      <c r="L675" s="5"/>
      <c r="M675" s="5"/>
      <c r="N675" s="5"/>
      <c r="O675" s="8" t="str">
        <f t="shared" si="87"/>
        <v>n/a</v>
      </c>
      <c r="Q675" s="5"/>
      <c r="R675" s="5"/>
      <c r="S675" s="5"/>
      <c r="U675" s="6"/>
      <c r="V675" s="9" t="str">
        <f t="shared" si="90"/>
        <v/>
      </c>
      <c r="W675" s="9" t="str">
        <f t="shared" si="91"/>
        <v/>
      </c>
      <c r="X675" s="10">
        <f>SUM(V$13:V675)/COUNTA(B$13:B675)</f>
        <v>0</v>
      </c>
      <c r="Z675" s="5"/>
      <c r="AA675" s="5"/>
      <c r="AC675" s="7"/>
      <c r="AE675" s="54" t="e">
        <f t="shared" si="92"/>
        <v>#N/A</v>
      </c>
      <c r="AF675" s="4" t="e">
        <f t="shared" si="88"/>
        <v>#N/A</v>
      </c>
    </row>
    <row r="676" spans="2:32">
      <c r="B676" s="5">
        <f t="shared" si="93"/>
        <v>664</v>
      </c>
      <c r="C676" s="5"/>
      <c r="E676" s="13"/>
      <c r="F676" s="5"/>
      <c r="G676" s="11" t="str">
        <f>IF(ISERROR(AVERAGE(F$13:F676)),"n/a",AVERAGE(F$13:F676))</f>
        <v>n/a</v>
      </c>
      <c r="H676" s="11" t="str">
        <f t="shared" si="89"/>
        <v>n/a</v>
      </c>
      <c r="J676" s="5"/>
      <c r="K676" s="5"/>
      <c r="L676" s="5"/>
      <c r="M676" s="5"/>
      <c r="N676" s="5"/>
      <c r="O676" s="8" t="str">
        <f t="shared" si="87"/>
        <v>n/a</v>
      </c>
      <c r="Q676" s="5"/>
      <c r="R676" s="5"/>
      <c r="S676" s="5"/>
      <c r="U676" s="6"/>
      <c r="V676" s="9" t="str">
        <f t="shared" si="90"/>
        <v/>
      </c>
      <c r="W676" s="9" t="str">
        <f t="shared" si="91"/>
        <v/>
      </c>
      <c r="X676" s="10">
        <f>SUM(V$13:V676)/COUNTA(B$13:B676)</f>
        <v>0</v>
      </c>
      <c r="Z676" s="5"/>
      <c r="AA676" s="5"/>
      <c r="AC676" s="7"/>
      <c r="AE676" s="54" t="e">
        <f t="shared" si="92"/>
        <v>#N/A</v>
      </c>
      <c r="AF676" s="4" t="e">
        <f t="shared" si="88"/>
        <v>#N/A</v>
      </c>
    </row>
    <row r="677" spans="2:32">
      <c r="B677" s="5">
        <f t="shared" si="93"/>
        <v>665</v>
      </c>
      <c r="C677" s="5"/>
      <c r="E677" s="13"/>
      <c r="F677" s="5"/>
      <c r="G677" s="11" t="str">
        <f>IF(ISERROR(AVERAGE(F$13:F677)),"n/a",AVERAGE(F$13:F677))</f>
        <v>n/a</v>
      </c>
      <c r="H677" s="11" t="str">
        <f t="shared" si="89"/>
        <v>n/a</v>
      </c>
      <c r="J677" s="5"/>
      <c r="K677" s="5"/>
      <c r="L677" s="5"/>
      <c r="M677" s="5"/>
      <c r="N677" s="5"/>
      <c r="O677" s="8" t="str">
        <f t="shared" si="87"/>
        <v>n/a</v>
      </c>
      <c r="Q677" s="5"/>
      <c r="R677" s="5"/>
      <c r="S677" s="5"/>
      <c r="U677" s="6"/>
      <c r="V677" s="9" t="str">
        <f t="shared" si="90"/>
        <v/>
      </c>
      <c r="W677" s="9" t="str">
        <f t="shared" si="91"/>
        <v/>
      </c>
      <c r="X677" s="10">
        <f>SUM(V$13:V677)/COUNTA(B$13:B677)</f>
        <v>0</v>
      </c>
      <c r="Z677" s="5"/>
      <c r="AA677" s="5"/>
      <c r="AC677" s="7"/>
      <c r="AE677" s="54" t="e">
        <f t="shared" si="92"/>
        <v>#N/A</v>
      </c>
      <c r="AF677" s="4" t="e">
        <f t="shared" si="88"/>
        <v>#N/A</v>
      </c>
    </row>
    <row r="678" spans="2:32">
      <c r="B678" s="5">
        <f t="shared" si="93"/>
        <v>666</v>
      </c>
      <c r="C678" s="5"/>
      <c r="E678" s="13"/>
      <c r="F678" s="5"/>
      <c r="G678" s="11" t="str">
        <f>IF(ISERROR(AVERAGE(F$13:F678)),"n/a",AVERAGE(F$13:F678))</f>
        <v>n/a</v>
      </c>
      <c r="H678" s="11" t="str">
        <f t="shared" si="89"/>
        <v>n/a</v>
      </c>
      <c r="J678" s="5"/>
      <c r="K678" s="5"/>
      <c r="L678" s="5"/>
      <c r="M678" s="5"/>
      <c r="N678" s="5"/>
      <c r="O678" s="8" t="str">
        <f t="shared" si="87"/>
        <v>n/a</v>
      </c>
      <c r="Q678" s="5"/>
      <c r="R678" s="5"/>
      <c r="S678" s="5"/>
      <c r="U678" s="6"/>
      <c r="V678" s="9" t="str">
        <f t="shared" si="90"/>
        <v/>
      </c>
      <c r="W678" s="9" t="str">
        <f t="shared" si="91"/>
        <v/>
      </c>
      <c r="X678" s="10">
        <f>SUM(V$13:V678)/COUNTA(B$13:B678)</f>
        <v>0</v>
      </c>
      <c r="Z678" s="5"/>
      <c r="AA678" s="5"/>
      <c r="AC678" s="7"/>
      <c r="AE678" s="54" t="e">
        <f t="shared" si="92"/>
        <v>#N/A</v>
      </c>
      <c r="AF678" s="4" t="e">
        <f t="shared" si="88"/>
        <v>#N/A</v>
      </c>
    </row>
    <row r="679" spans="2:32">
      <c r="B679" s="5">
        <f t="shared" si="93"/>
        <v>667</v>
      </c>
      <c r="C679" s="5"/>
      <c r="E679" s="13"/>
      <c r="F679" s="5"/>
      <c r="G679" s="11" t="str">
        <f>IF(ISERROR(AVERAGE(F$13:F679)),"n/a",AVERAGE(F$13:F679))</f>
        <v>n/a</v>
      </c>
      <c r="H679" s="11" t="str">
        <f t="shared" si="89"/>
        <v>n/a</v>
      </c>
      <c r="J679" s="5"/>
      <c r="K679" s="5"/>
      <c r="L679" s="5"/>
      <c r="M679" s="5"/>
      <c r="N679" s="5"/>
      <c r="O679" s="8" t="str">
        <f t="shared" si="87"/>
        <v>n/a</v>
      </c>
      <c r="Q679" s="5"/>
      <c r="R679" s="5"/>
      <c r="S679" s="5"/>
      <c r="U679" s="6"/>
      <c r="V679" s="9" t="str">
        <f t="shared" si="90"/>
        <v/>
      </c>
      <c r="W679" s="9" t="str">
        <f t="shared" si="91"/>
        <v/>
      </c>
      <c r="X679" s="10">
        <f>SUM(V$13:V679)/COUNTA(B$13:B679)</f>
        <v>0</v>
      </c>
      <c r="Z679" s="5"/>
      <c r="AA679" s="5"/>
      <c r="AC679" s="7"/>
      <c r="AE679" s="54" t="e">
        <f t="shared" si="92"/>
        <v>#N/A</v>
      </c>
      <c r="AF679" s="4" t="e">
        <f t="shared" si="88"/>
        <v>#N/A</v>
      </c>
    </row>
    <row r="680" spans="2:32">
      <c r="B680" s="5">
        <f t="shared" si="93"/>
        <v>668</v>
      </c>
      <c r="C680" s="5"/>
      <c r="E680" s="13"/>
      <c r="F680" s="5"/>
      <c r="G680" s="11" t="str">
        <f>IF(ISERROR(AVERAGE(F$13:F680)),"n/a",AVERAGE(F$13:F680))</f>
        <v>n/a</v>
      </c>
      <c r="H680" s="11" t="str">
        <f t="shared" si="89"/>
        <v>n/a</v>
      </c>
      <c r="J680" s="5"/>
      <c r="K680" s="5"/>
      <c r="L680" s="5"/>
      <c r="M680" s="5"/>
      <c r="N680" s="5"/>
      <c r="O680" s="8" t="str">
        <f t="shared" si="87"/>
        <v>n/a</v>
      </c>
      <c r="Q680" s="5"/>
      <c r="R680" s="5"/>
      <c r="S680" s="5"/>
      <c r="U680" s="6"/>
      <c r="V680" s="9" t="str">
        <f t="shared" si="90"/>
        <v/>
      </c>
      <c r="W680" s="9" t="str">
        <f t="shared" si="91"/>
        <v/>
      </c>
      <c r="X680" s="10">
        <f>SUM(V$13:V680)/COUNTA(B$13:B680)</f>
        <v>0</v>
      </c>
      <c r="Z680" s="5"/>
      <c r="AA680" s="5"/>
      <c r="AC680" s="7"/>
      <c r="AE680" s="54" t="e">
        <f t="shared" si="92"/>
        <v>#N/A</v>
      </c>
      <c r="AF680" s="4" t="e">
        <f t="shared" si="88"/>
        <v>#N/A</v>
      </c>
    </row>
    <row r="681" spans="2:32">
      <c r="B681" s="5">
        <f t="shared" si="93"/>
        <v>669</v>
      </c>
      <c r="C681" s="5"/>
      <c r="E681" s="13"/>
      <c r="F681" s="5"/>
      <c r="G681" s="11" t="str">
        <f>IF(ISERROR(AVERAGE(F$13:F681)),"n/a",AVERAGE(F$13:F681))</f>
        <v>n/a</v>
      </c>
      <c r="H681" s="11" t="str">
        <f t="shared" si="89"/>
        <v>n/a</v>
      </c>
      <c r="J681" s="5"/>
      <c r="K681" s="5"/>
      <c r="L681" s="5"/>
      <c r="M681" s="5"/>
      <c r="N681" s="5"/>
      <c r="O681" s="8" t="str">
        <f t="shared" si="87"/>
        <v>n/a</v>
      </c>
      <c r="Q681" s="5"/>
      <c r="R681" s="5"/>
      <c r="S681" s="5"/>
      <c r="U681" s="6"/>
      <c r="V681" s="9" t="str">
        <f t="shared" si="90"/>
        <v/>
      </c>
      <c r="W681" s="9" t="str">
        <f t="shared" si="91"/>
        <v/>
      </c>
      <c r="X681" s="10">
        <f>SUM(V$13:V681)/COUNTA(B$13:B681)</f>
        <v>0</v>
      </c>
      <c r="Z681" s="5"/>
      <c r="AA681" s="5"/>
      <c r="AC681" s="7"/>
      <c r="AE681" s="54" t="e">
        <f t="shared" si="92"/>
        <v>#N/A</v>
      </c>
      <c r="AF681" s="4" t="e">
        <f t="shared" si="88"/>
        <v>#N/A</v>
      </c>
    </row>
    <row r="682" spans="2:32">
      <c r="B682" s="5">
        <f t="shared" si="93"/>
        <v>670</v>
      </c>
      <c r="C682" s="5"/>
      <c r="E682" s="13"/>
      <c r="F682" s="5"/>
      <c r="G682" s="11" t="str">
        <f>IF(ISERROR(AVERAGE(F$13:F682)),"n/a",AVERAGE(F$13:F682))</f>
        <v>n/a</v>
      </c>
      <c r="H682" s="11" t="str">
        <f t="shared" si="89"/>
        <v>n/a</v>
      </c>
      <c r="J682" s="5"/>
      <c r="K682" s="5"/>
      <c r="L682" s="5"/>
      <c r="M682" s="5"/>
      <c r="N682" s="5"/>
      <c r="O682" s="8" t="str">
        <f t="shared" si="87"/>
        <v>n/a</v>
      </c>
      <c r="Q682" s="5"/>
      <c r="R682" s="5"/>
      <c r="S682" s="5"/>
      <c r="U682" s="6"/>
      <c r="V682" s="9" t="str">
        <f t="shared" si="90"/>
        <v/>
      </c>
      <c r="W682" s="9" t="str">
        <f t="shared" si="91"/>
        <v/>
      </c>
      <c r="X682" s="10">
        <f>SUM(V$13:V682)/COUNTA(B$13:B682)</f>
        <v>0</v>
      </c>
      <c r="Z682" s="5"/>
      <c r="AA682" s="5"/>
      <c r="AC682" s="7"/>
      <c r="AE682" s="54" t="e">
        <f t="shared" si="92"/>
        <v>#N/A</v>
      </c>
      <c r="AF682" s="4" t="e">
        <f t="shared" si="88"/>
        <v>#N/A</v>
      </c>
    </row>
    <row r="683" spans="2:32">
      <c r="B683" s="5">
        <f t="shared" si="93"/>
        <v>671</v>
      </c>
      <c r="C683" s="5"/>
      <c r="E683" s="13"/>
      <c r="F683" s="5"/>
      <c r="G683" s="11" t="str">
        <f>IF(ISERROR(AVERAGE(F$13:F683)),"n/a",AVERAGE(F$13:F683))</f>
        <v>n/a</v>
      </c>
      <c r="H683" s="11" t="str">
        <f t="shared" si="89"/>
        <v>n/a</v>
      </c>
      <c r="J683" s="5"/>
      <c r="K683" s="5"/>
      <c r="L683" s="5"/>
      <c r="M683" s="5"/>
      <c r="N683" s="5"/>
      <c r="O683" s="8" t="str">
        <f t="shared" si="87"/>
        <v>n/a</v>
      </c>
      <c r="Q683" s="5"/>
      <c r="R683" s="5"/>
      <c r="S683" s="5"/>
      <c r="U683" s="6"/>
      <c r="V683" s="9" t="str">
        <f t="shared" si="90"/>
        <v/>
      </c>
      <c r="W683" s="9" t="str">
        <f t="shared" si="91"/>
        <v/>
      </c>
      <c r="X683" s="10">
        <f>SUM(V$13:V683)/COUNTA(B$13:B683)</f>
        <v>0</v>
      </c>
      <c r="Z683" s="5"/>
      <c r="AA683" s="5"/>
      <c r="AC683" s="7"/>
      <c r="AE683" s="54" t="e">
        <f t="shared" si="92"/>
        <v>#N/A</v>
      </c>
      <c r="AF683" s="4" t="e">
        <f t="shared" si="88"/>
        <v>#N/A</v>
      </c>
    </row>
    <row r="684" spans="2:32">
      <c r="B684" s="5">
        <f t="shared" si="93"/>
        <v>672</v>
      </c>
      <c r="C684" s="5"/>
      <c r="E684" s="13"/>
      <c r="F684" s="5"/>
      <c r="G684" s="11" t="str">
        <f>IF(ISERROR(AVERAGE(F$13:F684)),"n/a",AVERAGE(F$13:F684))</f>
        <v>n/a</v>
      </c>
      <c r="H684" s="11" t="str">
        <f t="shared" si="89"/>
        <v>n/a</v>
      </c>
      <c r="J684" s="5"/>
      <c r="K684" s="5"/>
      <c r="L684" s="5"/>
      <c r="M684" s="5"/>
      <c r="N684" s="5"/>
      <c r="O684" s="8" t="str">
        <f t="shared" si="87"/>
        <v>n/a</v>
      </c>
      <c r="Q684" s="5"/>
      <c r="R684" s="5"/>
      <c r="S684" s="5"/>
      <c r="U684" s="6"/>
      <c r="V684" s="9" t="str">
        <f t="shared" si="90"/>
        <v/>
      </c>
      <c r="W684" s="9" t="str">
        <f t="shared" si="91"/>
        <v/>
      </c>
      <c r="X684" s="10">
        <f>SUM(V$13:V684)/COUNTA(B$13:B684)</f>
        <v>0</v>
      </c>
      <c r="Z684" s="5"/>
      <c r="AA684" s="5"/>
      <c r="AC684" s="7"/>
      <c r="AE684" s="54" t="e">
        <f t="shared" si="92"/>
        <v>#N/A</v>
      </c>
      <c r="AF684" s="4" t="e">
        <f t="shared" si="88"/>
        <v>#N/A</v>
      </c>
    </row>
    <row r="685" spans="2:32">
      <c r="B685" s="5">
        <f t="shared" si="93"/>
        <v>673</v>
      </c>
      <c r="C685" s="5"/>
      <c r="E685" s="13"/>
      <c r="F685" s="5"/>
      <c r="G685" s="11" t="str">
        <f>IF(ISERROR(AVERAGE(F$13:F685)),"n/a",AVERAGE(F$13:F685))</f>
        <v>n/a</v>
      </c>
      <c r="H685" s="11" t="str">
        <f t="shared" si="89"/>
        <v>n/a</v>
      </c>
      <c r="J685" s="5"/>
      <c r="K685" s="5"/>
      <c r="L685" s="5"/>
      <c r="M685" s="5"/>
      <c r="N685" s="5"/>
      <c r="O685" s="8" t="str">
        <f t="shared" si="87"/>
        <v>n/a</v>
      </c>
      <c r="Q685" s="5"/>
      <c r="R685" s="5"/>
      <c r="S685" s="5"/>
      <c r="U685" s="6"/>
      <c r="V685" s="9" t="str">
        <f t="shared" si="90"/>
        <v/>
      </c>
      <c r="W685" s="9" t="str">
        <f t="shared" si="91"/>
        <v/>
      </c>
      <c r="X685" s="10">
        <f>SUM(V$13:V685)/COUNTA(B$13:B685)</f>
        <v>0</v>
      </c>
      <c r="Z685" s="5"/>
      <c r="AA685" s="5"/>
      <c r="AC685" s="7"/>
      <c r="AE685" s="54" t="e">
        <f t="shared" si="92"/>
        <v>#N/A</v>
      </c>
      <c r="AF685" s="4" t="e">
        <f t="shared" si="88"/>
        <v>#N/A</v>
      </c>
    </row>
    <row r="686" spans="2:32">
      <c r="B686" s="5">
        <f t="shared" si="93"/>
        <v>674</v>
      </c>
      <c r="C686" s="5"/>
      <c r="E686" s="13"/>
      <c r="F686" s="5"/>
      <c r="G686" s="11" t="str">
        <f>IF(ISERROR(AVERAGE(F$13:F686)),"n/a",AVERAGE(F$13:F686))</f>
        <v>n/a</v>
      </c>
      <c r="H686" s="11" t="str">
        <f t="shared" si="89"/>
        <v>n/a</v>
      </c>
      <c r="J686" s="5"/>
      <c r="K686" s="5"/>
      <c r="L686" s="5"/>
      <c r="M686" s="5"/>
      <c r="N686" s="5"/>
      <c r="O686" s="8" t="str">
        <f t="shared" si="87"/>
        <v>n/a</v>
      </c>
      <c r="Q686" s="5"/>
      <c r="R686" s="5"/>
      <c r="S686" s="5"/>
      <c r="U686" s="6"/>
      <c r="V686" s="9" t="str">
        <f t="shared" si="90"/>
        <v/>
      </c>
      <c r="W686" s="9" t="str">
        <f t="shared" si="91"/>
        <v/>
      </c>
      <c r="X686" s="10">
        <f>SUM(V$13:V686)/COUNTA(B$13:B686)</f>
        <v>0</v>
      </c>
      <c r="Z686" s="5"/>
      <c r="AA686" s="5"/>
      <c r="AC686" s="7"/>
      <c r="AE686" s="54" t="e">
        <f t="shared" si="92"/>
        <v>#N/A</v>
      </c>
      <c r="AF686" s="4" t="e">
        <f t="shared" si="88"/>
        <v>#N/A</v>
      </c>
    </row>
    <row r="687" spans="2:32">
      <c r="B687" s="5">
        <f t="shared" si="93"/>
        <v>675</v>
      </c>
      <c r="C687" s="5"/>
      <c r="E687" s="13"/>
      <c r="F687" s="5"/>
      <c r="G687" s="11" t="str">
        <f>IF(ISERROR(AVERAGE(F$13:F687)),"n/a",AVERAGE(F$13:F687))</f>
        <v>n/a</v>
      </c>
      <c r="H687" s="11" t="str">
        <f t="shared" si="89"/>
        <v>n/a</v>
      </c>
      <c r="J687" s="5"/>
      <c r="K687" s="5"/>
      <c r="L687" s="5"/>
      <c r="M687" s="5"/>
      <c r="N687" s="5"/>
      <c r="O687" s="8" t="str">
        <f t="shared" si="87"/>
        <v>n/a</v>
      </c>
      <c r="Q687" s="5"/>
      <c r="R687" s="5"/>
      <c r="S687" s="5"/>
      <c r="U687" s="6"/>
      <c r="V687" s="9" t="str">
        <f t="shared" si="90"/>
        <v/>
      </c>
      <c r="W687" s="9" t="str">
        <f t="shared" si="91"/>
        <v/>
      </c>
      <c r="X687" s="10">
        <f>SUM(V$13:V687)/COUNTA(B$13:B687)</f>
        <v>0</v>
      </c>
      <c r="Z687" s="5"/>
      <c r="AA687" s="5"/>
      <c r="AC687" s="7"/>
      <c r="AE687" s="54" t="e">
        <f t="shared" si="92"/>
        <v>#N/A</v>
      </c>
      <c r="AF687" s="4" t="e">
        <f t="shared" si="88"/>
        <v>#N/A</v>
      </c>
    </row>
    <row r="688" spans="2:32">
      <c r="B688" s="5">
        <f t="shared" si="93"/>
        <v>676</v>
      </c>
      <c r="C688" s="5"/>
      <c r="E688" s="13"/>
      <c r="F688" s="5"/>
      <c r="G688" s="11" t="str">
        <f>IF(ISERROR(AVERAGE(F$13:F688)),"n/a",AVERAGE(F$13:F688))</f>
        <v>n/a</v>
      </c>
      <c r="H688" s="11" t="str">
        <f t="shared" si="89"/>
        <v>n/a</v>
      </c>
      <c r="J688" s="5"/>
      <c r="K688" s="5"/>
      <c r="L688" s="5"/>
      <c r="M688" s="5"/>
      <c r="N688" s="5"/>
      <c r="O688" s="8" t="str">
        <f t="shared" si="87"/>
        <v>n/a</v>
      </c>
      <c r="Q688" s="5"/>
      <c r="R688" s="5"/>
      <c r="S688" s="5"/>
      <c r="U688" s="6"/>
      <c r="V688" s="9" t="str">
        <f t="shared" si="90"/>
        <v/>
      </c>
      <c r="W688" s="9" t="str">
        <f t="shared" si="91"/>
        <v/>
      </c>
      <c r="X688" s="10">
        <f>SUM(V$13:V688)/COUNTA(B$13:B688)</f>
        <v>0</v>
      </c>
      <c r="Z688" s="5"/>
      <c r="AA688" s="5"/>
      <c r="AC688" s="7"/>
      <c r="AE688" s="54" t="e">
        <f t="shared" si="92"/>
        <v>#N/A</v>
      </c>
      <c r="AF688" s="4" t="e">
        <f t="shared" si="88"/>
        <v>#N/A</v>
      </c>
    </row>
    <row r="689" spans="2:32">
      <c r="B689" s="5">
        <f t="shared" si="93"/>
        <v>677</v>
      </c>
      <c r="C689" s="5"/>
      <c r="E689" s="13"/>
      <c r="F689" s="5"/>
      <c r="G689" s="11" t="str">
        <f>IF(ISERROR(AVERAGE(F$13:F689)),"n/a",AVERAGE(F$13:F689))</f>
        <v>n/a</v>
      </c>
      <c r="H689" s="11" t="str">
        <f t="shared" si="89"/>
        <v>n/a</v>
      </c>
      <c r="J689" s="5"/>
      <c r="K689" s="5"/>
      <c r="L689" s="5"/>
      <c r="M689" s="5"/>
      <c r="N689" s="5"/>
      <c r="O689" s="8" t="str">
        <f t="shared" si="87"/>
        <v>n/a</v>
      </c>
      <c r="Q689" s="5"/>
      <c r="R689" s="5"/>
      <c r="S689" s="5"/>
      <c r="U689" s="6"/>
      <c r="V689" s="9" t="str">
        <f t="shared" si="90"/>
        <v/>
      </c>
      <c r="W689" s="9" t="str">
        <f t="shared" si="91"/>
        <v/>
      </c>
      <c r="X689" s="10">
        <f>SUM(V$13:V689)/COUNTA(B$13:B689)</f>
        <v>0</v>
      </c>
      <c r="Z689" s="5"/>
      <c r="AA689" s="5"/>
      <c r="AC689" s="7"/>
      <c r="AE689" s="54" t="e">
        <f t="shared" si="92"/>
        <v>#N/A</v>
      </c>
      <c r="AF689" s="4" t="e">
        <f t="shared" si="88"/>
        <v>#N/A</v>
      </c>
    </row>
    <row r="690" spans="2:32">
      <c r="B690" s="5">
        <f t="shared" si="93"/>
        <v>678</v>
      </c>
      <c r="C690" s="5"/>
      <c r="E690" s="13"/>
      <c r="F690" s="5"/>
      <c r="G690" s="11" t="str">
        <f>IF(ISERROR(AVERAGE(F$13:F690)),"n/a",AVERAGE(F$13:F690))</f>
        <v>n/a</v>
      </c>
      <c r="H690" s="11" t="str">
        <f t="shared" si="89"/>
        <v>n/a</v>
      </c>
      <c r="J690" s="5"/>
      <c r="K690" s="5"/>
      <c r="L690" s="5"/>
      <c r="M690" s="5"/>
      <c r="N690" s="5"/>
      <c r="O690" s="8" t="str">
        <f t="shared" si="87"/>
        <v>n/a</v>
      </c>
      <c r="Q690" s="5"/>
      <c r="R690" s="5"/>
      <c r="S690" s="5"/>
      <c r="U690" s="6"/>
      <c r="V690" s="9" t="str">
        <f t="shared" si="90"/>
        <v/>
      </c>
      <c r="W690" s="9" t="str">
        <f t="shared" si="91"/>
        <v/>
      </c>
      <c r="X690" s="10">
        <f>SUM(V$13:V690)/COUNTA(B$13:B690)</f>
        <v>0</v>
      </c>
      <c r="Z690" s="5"/>
      <c r="AA690" s="5"/>
      <c r="AC690" s="7"/>
      <c r="AE690" s="54" t="e">
        <f t="shared" si="92"/>
        <v>#N/A</v>
      </c>
      <c r="AF690" s="4" t="e">
        <f t="shared" si="88"/>
        <v>#N/A</v>
      </c>
    </row>
    <row r="691" spans="2:32">
      <c r="B691" s="5">
        <f t="shared" si="93"/>
        <v>679</v>
      </c>
      <c r="C691" s="5"/>
      <c r="E691" s="13"/>
      <c r="F691" s="5"/>
      <c r="G691" s="11" t="str">
        <f>IF(ISERROR(AVERAGE(F$13:F691)),"n/a",AVERAGE(F$13:F691))</f>
        <v>n/a</v>
      </c>
      <c r="H691" s="11" t="str">
        <f t="shared" si="89"/>
        <v>n/a</v>
      </c>
      <c r="J691" s="5"/>
      <c r="K691" s="5"/>
      <c r="L691" s="5"/>
      <c r="M691" s="5"/>
      <c r="N691" s="5"/>
      <c r="O691" s="8" t="str">
        <f t="shared" si="87"/>
        <v>n/a</v>
      </c>
      <c r="Q691" s="5"/>
      <c r="R691" s="5"/>
      <c r="S691" s="5"/>
      <c r="U691" s="6"/>
      <c r="V691" s="9" t="str">
        <f t="shared" si="90"/>
        <v/>
      </c>
      <c r="W691" s="9" t="str">
        <f t="shared" si="91"/>
        <v/>
      </c>
      <c r="X691" s="10">
        <f>SUM(V$13:V691)/COUNTA(B$13:B691)</f>
        <v>0</v>
      </c>
      <c r="Z691" s="5"/>
      <c r="AA691" s="5"/>
      <c r="AC691" s="7"/>
      <c r="AE691" s="54" t="e">
        <f t="shared" si="92"/>
        <v>#N/A</v>
      </c>
      <c r="AF691" s="4" t="e">
        <f t="shared" si="88"/>
        <v>#N/A</v>
      </c>
    </row>
    <row r="692" spans="2:32">
      <c r="B692" s="5">
        <f t="shared" si="93"/>
        <v>680</v>
      </c>
      <c r="C692" s="5"/>
      <c r="E692" s="13"/>
      <c r="F692" s="5"/>
      <c r="G692" s="11" t="str">
        <f>IF(ISERROR(AVERAGE(F$13:F692)),"n/a",AVERAGE(F$13:F692))</f>
        <v>n/a</v>
      </c>
      <c r="H692" s="11" t="str">
        <f t="shared" si="89"/>
        <v>n/a</v>
      </c>
      <c r="J692" s="5"/>
      <c r="K692" s="5"/>
      <c r="L692" s="5"/>
      <c r="M692" s="5"/>
      <c r="N692" s="5"/>
      <c r="O692" s="8" t="str">
        <f t="shared" si="87"/>
        <v>n/a</v>
      </c>
      <c r="Q692" s="5"/>
      <c r="R692" s="5"/>
      <c r="S692" s="5"/>
      <c r="U692" s="6"/>
      <c r="V692" s="9" t="str">
        <f t="shared" si="90"/>
        <v/>
      </c>
      <c r="W692" s="9" t="str">
        <f t="shared" si="91"/>
        <v/>
      </c>
      <c r="X692" s="10">
        <f>SUM(V$13:V692)/COUNTA(B$13:B692)</f>
        <v>0</v>
      </c>
      <c r="Z692" s="5"/>
      <c r="AA692" s="5"/>
      <c r="AC692" s="7"/>
      <c r="AE692" s="54" t="e">
        <f t="shared" si="92"/>
        <v>#N/A</v>
      </c>
      <c r="AF692" s="4" t="e">
        <f t="shared" si="88"/>
        <v>#N/A</v>
      </c>
    </row>
    <row r="693" spans="2:32">
      <c r="B693" s="5">
        <f t="shared" si="93"/>
        <v>681</v>
      </c>
      <c r="C693" s="5"/>
      <c r="E693" s="13"/>
      <c r="F693" s="5"/>
      <c r="G693" s="11" t="str">
        <f>IF(ISERROR(AVERAGE(F$13:F693)),"n/a",AVERAGE(F$13:F693))</f>
        <v>n/a</v>
      </c>
      <c r="H693" s="11" t="str">
        <f t="shared" si="89"/>
        <v>n/a</v>
      </c>
      <c r="J693" s="5"/>
      <c r="K693" s="5"/>
      <c r="L693" s="5"/>
      <c r="M693" s="5"/>
      <c r="N693" s="5"/>
      <c r="O693" s="8" t="str">
        <f t="shared" si="87"/>
        <v>n/a</v>
      </c>
      <c r="Q693" s="5"/>
      <c r="R693" s="5"/>
      <c r="S693" s="5"/>
      <c r="U693" s="6"/>
      <c r="V693" s="9" t="str">
        <f t="shared" si="90"/>
        <v/>
      </c>
      <c r="W693" s="9" t="str">
        <f t="shared" si="91"/>
        <v/>
      </c>
      <c r="X693" s="10">
        <f>SUM(V$13:V693)/COUNTA(B$13:B693)</f>
        <v>0</v>
      </c>
      <c r="Z693" s="5"/>
      <c r="AA693" s="5"/>
      <c r="AC693" s="7"/>
      <c r="AE693" s="54" t="e">
        <f t="shared" si="92"/>
        <v>#N/A</v>
      </c>
      <c r="AF693" s="4" t="e">
        <f t="shared" si="88"/>
        <v>#N/A</v>
      </c>
    </row>
    <row r="694" spans="2:32">
      <c r="B694" s="5">
        <f t="shared" si="93"/>
        <v>682</v>
      </c>
      <c r="C694" s="5"/>
      <c r="E694" s="13"/>
      <c r="F694" s="5"/>
      <c r="G694" s="11" t="str">
        <f>IF(ISERROR(AVERAGE(F$13:F694)),"n/a",AVERAGE(F$13:F694))</f>
        <v>n/a</v>
      </c>
      <c r="H694" s="11" t="str">
        <f t="shared" si="89"/>
        <v>n/a</v>
      </c>
      <c r="J694" s="5"/>
      <c r="K694" s="5"/>
      <c r="L694" s="5"/>
      <c r="M694" s="5"/>
      <c r="N694" s="5"/>
      <c r="O694" s="8" t="str">
        <f t="shared" si="87"/>
        <v>n/a</v>
      </c>
      <c r="Q694" s="5"/>
      <c r="R694" s="5"/>
      <c r="S694" s="5"/>
      <c r="U694" s="6"/>
      <c r="V694" s="9" t="str">
        <f t="shared" si="90"/>
        <v/>
      </c>
      <c r="W694" s="9" t="str">
        <f t="shared" si="91"/>
        <v/>
      </c>
      <c r="X694" s="10">
        <f>SUM(V$13:V694)/COUNTA(B$13:B694)</f>
        <v>0</v>
      </c>
      <c r="Z694" s="5"/>
      <c r="AA694" s="5"/>
      <c r="AC694" s="7"/>
      <c r="AE694" s="54" t="e">
        <f t="shared" si="92"/>
        <v>#N/A</v>
      </c>
      <c r="AF694" s="4" t="e">
        <f t="shared" si="88"/>
        <v>#N/A</v>
      </c>
    </row>
    <row r="695" spans="2:32">
      <c r="B695" s="5">
        <f t="shared" si="93"/>
        <v>683</v>
      </c>
      <c r="C695" s="5"/>
      <c r="E695" s="13"/>
      <c r="F695" s="5"/>
      <c r="G695" s="11" t="str">
        <f>IF(ISERROR(AVERAGE(F$13:F695)),"n/a",AVERAGE(F$13:F695))</f>
        <v>n/a</v>
      </c>
      <c r="H695" s="11" t="str">
        <f t="shared" si="89"/>
        <v>n/a</v>
      </c>
      <c r="J695" s="5"/>
      <c r="K695" s="5"/>
      <c r="L695" s="5"/>
      <c r="M695" s="5"/>
      <c r="N695" s="5"/>
      <c r="O695" s="8" t="str">
        <f t="shared" si="87"/>
        <v>n/a</v>
      </c>
      <c r="Q695" s="5"/>
      <c r="R695" s="5"/>
      <c r="S695" s="5"/>
      <c r="U695" s="6"/>
      <c r="V695" s="9" t="str">
        <f t="shared" si="90"/>
        <v/>
      </c>
      <c r="W695" s="9" t="str">
        <f t="shared" si="91"/>
        <v/>
      </c>
      <c r="X695" s="10">
        <f>SUM(V$13:V695)/COUNTA(B$13:B695)</f>
        <v>0</v>
      </c>
      <c r="Z695" s="5"/>
      <c r="AA695" s="5"/>
      <c r="AC695" s="7"/>
      <c r="AE695" s="54" t="e">
        <f t="shared" si="92"/>
        <v>#N/A</v>
      </c>
      <c r="AF695" s="4" t="e">
        <f t="shared" si="88"/>
        <v>#N/A</v>
      </c>
    </row>
    <row r="696" spans="2:32">
      <c r="B696" s="5">
        <f t="shared" si="93"/>
        <v>684</v>
      </c>
      <c r="C696" s="5"/>
      <c r="E696" s="13"/>
      <c r="F696" s="5"/>
      <c r="G696" s="11" t="str">
        <f>IF(ISERROR(AVERAGE(F$13:F696)),"n/a",AVERAGE(F$13:F696))</f>
        <v>n/a</v>
      </c>
      <c r="H696" s="11" t="str">
        <f t="shared" si="89"/>
        <v>n/a</v>
      </c>
      <c r="J696" s="5"/>
      <c r="K696" s="5"/>
      <c r="L696" s="5"/>
      <c r="M696" s="5"/>
      <c r="N696" s="5"/>
      <c r="O696" s="8" t="str">
        <f t="shared" si="87"/>
        <v>n/a</v>
      </c>
      <c r="Q696" s="5"/>
      <c r="R696" s="5"/>
      <c r="S696" s="5"/>
      <c r="U696" s="6"/>
      <c r="V696" s="9" t="str">
        <f t="shared" si="90"/>
        <v/>
      </c>
      <c r="W696" s="9" t="str">
        <f t="shared" si="91"/>
        <v/>
      </c>
      <c r="X696" s="10">
        <f>SUM(V$13:V696)/COUNTA(B$13:B696)</f>
        <v>0</v>
      </c>
      <c r="Z696" s="5"/>
      <c r="AA696" s="5"/>
      <c r="AC696" s="7"/>
      <c r="AE696" s="54" t="e">
        <f t="shared" si="92"/>
        <v>#N/A</v>
      </c>
      <c r="AF696" s="4" t="e">
        <f t="shared" si="88"/>
        <v>#N/A</v>
      </c>
    </row>
    <row r="697" spans="2:32">
      <c r="B697" s="5">
        <f t="shared" si="93"/>
        <v>685</v>
      </c>
      <c r="C697" s="5"/>
      <c r="E697" s="13"/>
      <c r="F697" s="5"/>
      <c r="G697" s="11" t="str">
        <f>IF(ISERROR(AVERAGE(F$13:F697)),"n/a",AVERAGE(F$13:F697))</f>
        <v>n/a</v>
      </c>
      <c r="H697" s="11" t="str">
        <f t="shared" si="89"/>
        <v>n/a</v>
      </c>
      <c r="J697" s="5"/>
      <c r="K697" s="5"/>
      <c r="L697" s="5"/>
      <c r="M697" s="5"/>
      <c r="N697" s="5"/>
      <c r="O697" s="8" t="str">
        <f t="shared" si="87"/>
        <v>n/a</v>
      </c>
      <c r="Q697" s="5"/>
      <c r="R697" s="5"/>
      <c r="S697" s="5"/>
      <c r="U697" s="6"/>
      <c r="V697" s="9" t="str">
        <f t="shared" si="90"/>
        <v/>
      </c>
      <c r="W697" s="9" t="str">
        <f t="shared" si="91"/>
        <v/>
      </c>
      <c r="X697" s="10">
        <f>SUM(V$13:V697)/COUNTA(B$13:B697)</f>
        <v>0</v>
      </c>
      <c r="Z697" s="5"/>
      <c r="AA697" s="5"/>
      <c r="AC697" s="7"/>
      <c r="AE697" s="54" t="e">
        <f t="shared" si="92"/>
        <v>#N/A</v>
      </c>
      <c r="AF697" s="4" t="e">
        <f t="shared" si="88"/>
        <v>#N/A</v>
      </c>
    </row>
    <row r="698" spans="2:32">
      <c r="B698" s="5">
        <f t="shared" si="93"/>
        <v>686</v>
      </c>
      <c r="C698" s="5"/>
      <c r="E698" s="13"/>
      <c r="F698" s="5"/>
      <c r="G698" s="11" t="str">
        <f>IF(ISERROR(AVERAGE(F$13:F698)),"n/a",AVERAGE(F$13:F698))</f>
        <v>n/a</v>
      </c>
      <c r="H698" s="11" t="str">
        <f t="shared" si="89"/>
        <v>n/a</v>
      </c>
      <c r="J698" s="5"/>
      <c r="K698" s="5"/>
      <c r="L698" s="5"/>
      <c r="M698" s="5"/>
      <c r="N698" s="5"/>
      <c r="O698" s="8" t="str">
        <f t="shared" si="87"/>
        <v>n/a</v>
      </c>
      <c r="Q698" s="5"/>
      <c r="R698" s="5"/>
      <c r="S698" s="5"/>
      <c r="U698" s="6"/>
      <c r="V698" s="9" t="str">
        <f t="shared" si="90"/>
        <v/>
      </c>
      <c r="W698" s="9" t="str">
        <f t="shared" si="91"/>
        <v/>
      </c>
      <c r="X698" s="10">
        <f>SUM(V$13:V698)/COUNTA(B$13:B698)</f>
        <v>0</v>
      </c>
      <c r="Z698" s="5"/>
      <c r="AA698" s="5"/>
      <c r="AC698" s="7"/>
      <c r="AE698" s="54" t="e">
        <f t="shared" si="92"/>
        <v>#N/A</v>
      </c>
      <c r="AF698" s="4" t="e">
        <f t="shared" si="88"/>
        <v>#N/A</v>
      </c>
    </row>
    <row r="699" spans="2:32">
      <c r="B699" s="5">
        <f t="shared" si="93"/>
        <v>687</v>
      </c>
      <c r="C699" s="5"/>
      <c r="E699" s="13"/>
      <c r="F699" s="5"/>
      <c r="G699" s="11" t="str">
        <f>IF(ISERROR(AVERAGE(F$13:F699)),"n/a",AVERAGE(F$13:F699))</f>
        <v>n/a</v>
      </c>
      <c r="H699" s="11" t="str">
        <f t="shared" si="89"/>
        <v>n/a</v>
      </c>
      <c r="J699" s="5"/>
      <c r="K699" s="5"/>
      <c r="L699" s="5"/>
      <c r="M699" s="5"/>
      <c r="N699" s="5"/>
      <c r="O699" s="8" t="str">
        <f t="shared" si="87"/>
        <v>n/a</v>
      </c>
      <c r="Q699" s="5"/>
      <c r="R699" s="5"/>
      <c r="S699" s="5"/>
      <c r="U699" s="6"/>
      <c r="V699" s="9" t="str">
        <f t="shared" si="90"/>
        <v/>
      </c>
      <c r="W699" s="9" t="str">
        <f t="shared" si="91"/>
        <v/>
      </c>
      <c r="X699" s="10">
        <f>SUM(V$13:V699)/COUNTA(B$13:B699)</f>
        <v>0</v>
      </c>
      <c r="Z699" s="5"/>
      <c r="AA699" s="5"/>
      <c r="AC699" s="7"/>
      <c r="AE699" s="54" t="e">
        <f t="shared" si="92"/>
        <v>#N/A</v>
      </c>
      <c r="AF699" s="4" t="e">
        <f t="shared" si="88"/>
        <v>#N/A</v>
      </c>
    </row>
    <row r="700" spans="2:32">
      <c r="B700" s="5">
        <f t="shared" si="93"/>
        <v>688</v>
      </c>
      <c r="C700" s="5"/>
      <c r="E700" s="13"/>
      <c r="F700" s="5"/>
      <c r="G700" s="11" t="str">
        <f>IF(ISERROR(AVERAGE(F$13:F700)),"n/a",AVERAGE(F$13:F700))</f>
        <v>n/a</v>
      </c>
      <c r="H700" s="11" t="str">
        <f t="shared" si="89"/>
        <v>n/a</v>
      </c>
      <c r="J700" s="5"/>
      <c r="K700" s="5"/>
      <c r="L700" s="5"/>
      <c r="M700" s="5"/>
      <c r="N700" s="5"/>
      <c r="O700" s="8" t="str">
        <f t="shared" si="87"/>
        <v>n/a</v>
      </c>
      <c r="Q700" s="5"/>
      <c r="R700" s="5"/>
      <c r="S700" s="5"/>
      <c r="U700" s="6"/>
      <c r="V700" s="9" t="str">
        <f t="shared" si="90"/>
        <v/>
      </c>
      <c r="W700" s="9" t="str">
        <f t="shared" si="91"/>
        <v/>
      </c>
      <c r="X700" s="10">
        <f>SUM(V$13:V700)/COUNTA(B$13:B700)</f>
        <v>0</v>
      </c>
      <c r="Z700" s="5"/>
      <c r="AA700" s="5"/>
      <c r="AC700" s="7"/>
      <c r="AE700" s="54" t="e">
        <f t="shared" si="92"/>
        <v>#N/A</v>
      </c>
      <c r="AF700" s="4" t="e">
        <f t="shared" si="88"/>
        <v>#N/A</v>
      </c>
    </row>
    <row r="701" spans="2:32">
      <c r="B701" s="5">
        <f t="shared" si="93"/>
        <v>689</v>
      </c>
      <c r="C701" s="5"/>
      <c r="E701" s="13"/>
      <c r="F701" s="5"/>
      <c r="G701" s="11" t="str">
        <f>IF(ISERROR(AVERAGE(F$13:F701)),"n/a",AVERAGE(F$13:F701))</f>
        <v>n/a</v>
      </c>
      <c r="H701" s="11" t="str">
        <f t="shared" si="89"/>
        <v>n/a</v>
      </c>
      <c r="J701" s="5"/>
      <c r="K701" s="5"/>
      <c r="L701" s="5"/>
      <c r="M701" s="5"/>
      <c r="N701" s="5"/>
      <c r="O701" s="8" t="str">
        <f t="shared" si="87"/>
        <v>n/a</v>
      </c>
      <c r="Q701" s="5"/>
      <c r="R701" s="5"/>
      <c r="S701" s="5"/>
      <c r="U701" s="6"/>
      <c r="V701" s="9" t="str">
        <f t="shared" si="90"/>
        <v/>
      </c>
      <c r="W701" s="9" t="str">
        <f t="shared" si="91"/>
        <v/>
      </c>
      <c r="X701" s="10">
        <f>SUM(V$13:V701)/COUNTA(B$13:B701)</f>
        <v>0</v>
      </c>
      <c r="Z701" s="5"/>
      <c r="AA701" s="5"/>
      <c r="AC701" s="7"/>
      <c r="AE701" s="54" t="e">
        <f t="shared" si="92"/>
        <v>#N/A</v>
      </c>
      <c r="AF701" s="4" t="e">
        <f t="shared" si="88"/>
        <v>#N/A</v>
      </c>
    </row>
    <row r="702" spans="2:32">
      <c r="B702" s="5">
        <f t="shared" si="93"/>
        <v>690</v>
      </c>
      <c r="C702" s="5"/>
      <c r="E702" s="13"/>
      <c r="F702" s="5"/>
      <c r="G702" s="11" t="str">
        <f>IF(ISERROR(AVERAGE(F$13:F702)),"n/a",AVERAGE(F$13:F702))</f>
        <v>n/a</v>
      </c>
      <c r="H702" s="11" t="str">
        <f t="shared" si="89"/>
        <v>n/a</v>
      </c>
      <c r="J702" s="5"/>
      <c r="K702" s="5"/>
      <c r="L702" s="5"/>
      <c r="M702" s="5"/>
      <c r="N702" s="5"/>
      <c r="O702" s="8" t="str">
        <f t="shared" si="87"/>
        <v>n/a</v>
      </c>
      <c r="Q702" s="5"/>
      <c r="R702" s="5"/>
      <c r="S702" s="5"/>
      <c r="U702" s="6"/>
      <c r="V702" s="9" t="str">
        <f t="shared" si="90"/>
        <v/>
      </c>
      <c r="W702" s="9" t="str">
        <f t="shared" si="91"/>
        <v/>
      </c>
      <c r="X702" s="10">
        <f>SUM(V$13:V702)/COUNTA(B$13:B702)</f>
        <v>0</v>
      </c>
      <c r="Z702" s="5"/>
      <c r="AA702" s="5"/>
      <c r="AC702" s="7"/>
      <c r="AE702" s="54" t="e">
        <f t="shared" si="92"/>
        <v>#N/A</v>
      </c>
      <c r="AF702" s="4" t="e">
        <f t="shared" si="88"/>
        <v>#N/A</v>
      </c>
    </row>
    <row r="703" spans="2:32">
      <c r="B703" s="5">
        <f t="shared" si="93"/>
        <v>691</v>
      </c>
      <c r="C703" s="5"/>
      <c r="E703" s="13"/>
      <c r="F703" s="5"/>
      <c r="G703" s="11" t="str">
        <f>IF(ISERROR(AVERAGE(F$13:F703)),"n/a",AVERAGE(F$13:F703))</f>
        <v>n/a</v>
      </c>
      <c r="H703" s="11" t="str">
        <f t="shared" si="89"/>
        <v>n/a</v>
      </c>
      <c r="J703" s="5"/>
      <c r="K703" s="5"/>
      <c r="L703" s="5"/>
      <c r="M703" s="5"/>
      <c r="N703" s="5"/>
      <c r="O703" s="8" t="str">
        <f t="shared" si="87"/>
        <v>n/a</v>
      </c>
      <c r="Q703" s="5"/>
      <c r="R703" s="5"/>
      <c r="S703" s="5"/>
      <c r="U703" s="6"/>
      <c r="V703" s="9" t="str">
        <f t="shared" si="90"/>
        <v/>
      </c>
      <c r="W703" s="9" t="str">
        <f t="shared" si="91"/>
        <v/>
      </c>
      <c r="X703" s="10">
        <f>SUM(V$13:V703)/COUNTA(B$13:B703)</f>
        <v>0</v>
      </c>
      <c r="Z703" s="5"/>
      <c r="AA703" s="5"/>
      <c r="AC703" s="7"/>
      <c r="AE703" s="54" t="e">
        <f t="shared" si="92"/>
        <v>#N/A</v>
      </c>
      <c r="AF703" s="4" t="e">
        <f t="shared" si="88"/>
        <v>#N/A</v>
      </c>
    </row>
    <row r="704" spans="2:32">
      <c r="B704" s="5">
        <f t="shared" si="93"/>
        <v>692</v>
      </c>
      <c r="C704" s="5"/>
      <c r="E704" s="13"/>
      <c r="F704" s="5"/>
      <c r="G704" s="11" t="str">
        <f>IF(ISERROR(AVERAGE(F$13:F704)),"n/a",AVERAGE(F$13:F704))</f>
        <v>n/a</v>
      </c>
      <c r="H704" s="11" t="str">
        <f t="shared" si="89"/>
        <v>n/a</v>
      </c>
      <c r="J704" s="5"/>
      <c r="K704" s="5"/>
      <c r="L704" s="5"/>
      <c r="M704" s="5"/>
      <c r="N704" s="5"/>
      <c r="O704" s="8" t="str">
        <f t="shared" si="87"/>
        <v>n/a</v>
      </c>
      <c r="Q704" s="5"/>
      <c r="R704" s="5"/>
      <c r="S704" s="5"/>
      <c r="U704" s="6"/>
      <c r="V704" s="9" t="str">
        <f t="shared" si="90"/>
        <v/>
      </c>
      <c r="W704" s="9" t="str">
        <f t="shared" si="91"/>
        <v/>
      </c>
      <c r="X704" s="10">
        <f>SUM(V$13:V704)/COUNTA(B$13:B704)</f>
        <v>0</v>
      </c>
      <c r="Z704" s="5"/>
      <c r="AA704" s="5"/>
      <c r="AC704" s="7"/>
      <c r="AE704" s="54" t="e">
        <f t="shared" si="92"/>
        <v>#N/A</v>
      </c>
      <c r="AF704" s="4" t="e">
        <f t="shared" si="88"/>
        <v>#N/A</v>
      </c>
    </row>
    <row r="705" spans="2:32">
      <c r="B705" s="5">
        <f t="shared" si="93"/>
        <v>693</v>
      </c>
      <c r="C705" s="5"/>
      <c r="E705" s="13"/>
      <c r="F705" s="5"/>
      <c r="G705" s="11" t="str">
        <f>IF(ISERROR(AVERAGE(F$13:F705)),"n/a",AVERAGE(F$13:F705))</f>
        <v>n/a</v>
      </c>
      <c r="H705" s="11" t="str">
        <f t="shared" si="89"/>
        <v>n/a</v>
      </c>
      <c r="J705" s="5"/>
      <c r="K705" s="5"/>
      <c r="L705" s="5"/>
      <c r="M705" s="5"/>
      <c r="N705" s="5"/>
      <c r="O705" s="8" t="str">
        <f t="shared" si="87"/>
        <v>n/a</v>
      </c>
      <c r="Q705" s="5"/>
      <c r="R705" s="5"/>
      <c r="S705" s="5"/>
      <c r="U705" s="6"/>
      <c r="V705" s="9" t="str">
        <f t="shared" si="90"/>
        <v/>
      </c>
      <c r="W705" s="9" t="str">
        <f t="shared" si="91"/>
        <v/>
      </c>
      <c r="X705" s="10">
        <f>SUM(V$13:V705)/COUNTA(B$13:B705)</f>
        <v>0</v>
      </c>
      <c r="Z705" s="5"/>
      <c r="AA705" s="5"/>
      <c r="AC705" s="7"/>
      <c r="AE705" s="54" t="e">
        <f t="shared" si="92"/>
        <v>#N/A</v>
      </c>
      <c r="AF705" s="4" t="e">
        <f t="shared" si="88"/>
        <v>#N/A</v>
      </c>
    </row>
    <row r="706" spans="2:32">
      <c r="B706" s="5">
        <f t="shared" si="93"/>
        <v>694</v>
      </c>
      <c r="C706" s="5"/>
      <c r="E706" s="13"/>
      <c r="F706" s="5"/>
      <c r="G706" s="11" t="str">
        <f>IF(ISERROR(AVERAGE(F$13:F706)),"n/a",AVERAGE(F$13:F706))</f>
        <v>n/a</v>
      </c>
      <c r="H706" s="11" t="str">
        <f t="shared" si="89"/>
        <v>n/a</v>
      </c>
      <c r="J706" s="5"/>
      <c r="K706" s="5"/>
      <c r="L706" s="5"/>
      <c r="M706" s="5"/>
      <c r="N706" s="5"/>
      <c r="O706" s="8" t="str">
        <f t="shared" si="87"/>
        <v>n/a</v>
      </c>
      <c r="Q706" s="5"/>
      <c r="R706" s="5"/>
      <c r="S706" s="5"/>
      <c r="U706" s="6"/>
      <c r="V706" s="9" t="str">
        <f t="shared" si="90"/>
        <v/>
      </c>
      <c r="W706" s="9" t="str">
        <f t="shared" si="91"/>
        <v/>
      </c>
      <c r="X706" s="10">
        <f>SUM(V$13:V706)/COUNTA(B$13:B706)</f>
        <v>0</v>
      </c>
      <c r="Z706" s="5"/>
      <c r="AA706" s="5"/>
      <c r="AC706" s="7"/>
      <c r="AE706" s="54" t="e">
        <f t="shared" si="92"/>
        <v>#N/A</v>
      </c>
      <c r="AF706" s="4" t="e">
        <f t="shared" si="88"/>
        <v>#N/A</v>
      </c>
    </row>
    <row r="707" spans="2:32">
      <c r="B707" s="5">
        <f t="shared" si="93"/>
        <v>695</v>
      </c>
      <c r="C707" s="5"/>
      <c r="E707" s="13"/>
      <c r="F707" s="5"/>
      <c r="G707" s="11" t="str">
        <f>IF(ISERROR(AVERAGE(F$13:F707)),"n/a",AVERAGE(F$13:F707))</f>
        <v>n/a</v>
      </c>
      <c r="H707" s="11" t="str">
        <f t="shared" si="89"/>
        <v>n/a</v>
      </c>
      <c r="J707" s="5"/>
      <c r="K707" s="5"/>
      <c r="L707" s="5"/>
      <c r="M707" s="5"/>
      <c r="N707" s="5"/>
      <c r="O707" s="8" t="str">
        <f t="shared" si="87"/>
        <v>n/a</v>
      </c>
      <c r="Q707" s="5"/>
      <c r="R707" s="5"/>
      <c r="S707" s="5"/>
      <c r="U707" s="6"/>
      <c r="V707" s="9" t="str">
        <f t="shared" si="90"/>
        <v/>
      </c>
      <c r="W707" s="9" t="str">
        <f t="shared" si="91"/>
        <v/>
      </c>
      <c r="X707" s="10">
        <f>SUM(V$13:V707)/COUNTA(B$13:B707)</f>
        <v>0</v>
      </c>
      <c r="Z707" s="5"/>
      <c r="AA707" s="5"/>
      <c r="AC707" s="7"/>
      <c r="AE707" s="54" t="e">
        <f t="shared" si="92"/>
        <v>#N/A</v>
      </c>
      <c r="AF707" s="4" t="e">
        <f t="shared" si="88"/>
        <v>#N/A</v>
      </c>
    </row>
    <row r="708" spans="2:32">
      <c r="B708" s="5">
        <f t="shared" si="93"/>
        <v>696</v>
      </c>
      <c r="C708" s="5"/>
      <c r="E708" s="13"/>
      <c r="F708" s="5"/>
      <c r="G708" s="11" t="str">
        <f>IF(ISERROR(AVERAGE(F$13:F708)),"n/a",AVERAGE(F$13:F708))</f>
        <v>n/a</v>
      </c>
      <c r="H708" s="11" t="str">
        <f t="shared" si="89"/>
        <v>n/a</v>
      </c>
      <c r="J708" s="5"/>
      <c r="K708" s="5"/>
      <c r="L708" s="5"/>
      <c r="M708" s="5"/>
      <c r="N708" s="5"/>
      <c r="O708" s="8" t="str">
        <f t="shared" si="87"/>
        <v>n/a</v>
      </c>
      <c r="Q708" s="5"/>
      <c r="R708" s="5"/>
      <c r="S708" s="5"/>
      <c r="U708" s="6"/>
      <c r="V708" s="9" t="str">
        <f t="shared" si="90"/>
        <v/>
      </c>
      <c r="W708" s="9" t="str">
        <f t="shared" si="91"/>
        <v/>
      </c>
      <c r="X708" s="10">
        <f>SUM(V$13:V708)/COUNTA(B$13:B708)</f>
        <v>0</v>
      </c>
      <c r="Z708" s="5"/>
      <c r="AA708" s="5"/>
      <c r="AC708" s="7"/>
      <c r="AE708" s="54" t="e">
        <f t="shared" si="92"/>
        <v>#N/A</v>
      </c>
      <c r="AF708" s="4" t="e">
        <f t="shared" si="88"/>
        <v>#N/A</v>
      </c>
    </row>
    <row r="709" spans="2:32">
      <c r="B709" s="5">
        <f t="shared" si="93"/>
        <v>697</v>
      </c>
      <c r="C709" s="5"/>
      <c r="E709" s="13"/>
      <c r="F709" s="5"/>
      <c r="G709" s="11" t="str">
        <f>IF(ISERROR(AVERAGE(F$13:F709)),"n/a",AVERAGE(F$13:F709))</f>
        <v>n/a</v>
      </c>
      <c r="H709" s="11" t="str">
        <f t="shared" si="89"/>
        <v>n/a</v>
      </c>
      <c r="J709" s="5"/>
      <c r="K709" s="5"/>
      <c r="L709" s="5"/>
      <c r="M709" s="5"/>
      <c r="N709" s="5"/>
      <c r="O709" s="8" t="str">
        <f t="shared" si="87"/>
        <v>n/a</v>
      </c>
      <c r="Q709" s="5"/>
      <c r="R709" s="5"/>
      <c r="S709" s="5"/>
      <c r="U709" s="6"/>
      <c r="V709" s="9" t="str">
        <f t="shared" si="90"/>
        <v/>
      </c>
      <c r="W709" s="9" t="str">
        <f t="shared" si="91"/>
        <v/>
      </c>
      <c r="X709" s="10">
        <f>SUM(V$13:V709)/COUNTA(B$13:B709)</f>
        <v>0</v>
      </c>
      <c r="Z709" s="5"/>
      <c r="AA709" s="5"/>
      <c r="AC709" s="7"/>
      <c r="AE709" s="54" t="e">
        <f t="shared" si="92"/>
        <v>#N/A</v>
      </c>
      <c r="AF709" s="4" t="e">
        <f t="shared" si="88"/>
        <v>#N/A</v>
      </c>
    </row>
    <row r="710" spans="2:32">
      <c r="B710" s="5">
        <f t="shared" si="93"/>
        <v>698</v>
      </c>
      <c r="C710" s="5"/>
      <c r="E710" s="13"/>
      <c r="F710" s="5"/>
      <c r="G710" s="11" t="str">
        <f>IF(ISERROR(AVERAGE(F$13:F710)),"n/a",AVERAGE(F$13:F710))</f>
        <v>n/a</v>
      </c>
      <c r="H710" s="11" t="str">
        <f t="shared" si="89"/>
        <v>n/a</v>
      </c>
      <c r="J710" s="5"/>
      <c r="K710" s="5"/>
      <c r="L710" s="5"/>
      <c r="M710" s="5"/>
      <c r="N710" s="5"/>
      <c r="O710" s="8" t="str">
        <f t="shared" si="87"/>
        <v>n/a</v>
      </c>
      <c r="Q710" s="5"/>
      <c r="R710" s="5"/>
      <c r="S710" s="5"/>
      <c r="U710" s="6"/>
      <c r="V710" s="9" t="str">
        <f t="shared" si="90"/>
        <v/>
      </c>
      <c r="W710" s="9" t="str">
        <f t="shared" si="91"/>
        <v/>
      </c>
      <c r="X710" s="10">
        <f>SUM(V$13:V710)/COUNTA(B$13:B710)</f>
        <v>0</v>
      </c>
      <c r="Z710" s="5"/>
      <c r="AA710" s="5"/>
      <c r="AC710" s="7"/>
      <c r="AE710" s="54" t="e">
        <f t="shared" si="92"/>
        <v>#N/A</v>
      </c>
      <c r="AF710" s="4" t="e">
        <f t="shared" si="88"/>
        <v>#N/A</v>
      </c>
    </row>
    <row r="711" spans="2:32">
      <c r="B711" s="5">
        <f t="shared" si="93"/>
        <v>699</v>
      </c>
      <c r="C711" s="5"/>
      <c r="E711" s="13"/>
      <c r="F711" s="5"/>
      <c r="G711" s="11" t="str">
        <f>IF(ISERROR(AVERAGE(F$13:F711)),"n/a",AVERAGE(F$13:F711))</f>
        <v>n/a</v>
      </c>
      <c r="H711" s="11" t="str">
        <f t="shared" si="89"/>
        <v>n/a</v>
      </c>
      <c r="J711" s="5"/>
      <c r="K711" s="5"/>
      <c r="L711" s="5"/>
      <c r="M711" s="5"/>
      <c r="N711" s="5"/>
      <c r="O711" s="8" t="str">
        <f t="shared" si="87"/>
        <v>n/a</v>
      </c>
      <c r="Q711" s="5"/>
      <c r="R711" s="5"/>
      <c r="S711" s="5"/>
      <c r="U711" s="6"/>
      <c r="V711" s="9" t="str">
        <f t="shared" si="90"/>
        <v/>
      </c>
      <c r="W711" s="9" t="str">
        <f t="shared" si="91"/>
        <v/>
      </c>
      <c r="X711" s="10">
        <f>SUM(V$13:V711)/COUNTA(B$13:B711)</f>
        <v>0</v>
      </c>
      <c r="Z711" s="5"/>
      <c r="AA711" s="5"/>
      <c r="AC711" s="7"/>
      <c r="AE711" s="54" t="e">
        <f t="shared" si="92"/>
        <v>#N/A</v>
      </c>
      <c r="AF711" s="4" t="e">
        <f t="shared" si="88"/>
        <v>#N/A</v>
      </c>
    </row>
    <row r="712" spans="2:32">
      <c r="B712" s="5">
        <f t="shared" si="93"/>
        <v>700</v>
      </c>
      <c r="C712" s="5"/>
      <c r="E712" s="13"/>
      <c r="F712" s="5"/>
      <c r="G712" s="11" t="str">
        <f>IF(ISERROR(AVERAGE(F$13:F712)),"n/a",AVERAGE(F$13:F712))</f>
        <v>n/a</v>
      </c>
      <c r="H712" s="11" t="str">
        <f t="shared" si="89"/>
        <v>n/a</v>
      </c>
      <c r="J712" s="5"/>
      <c r="K712" s="5"/>
      <c r="L712" s="5"/>
      <c r="M712" s="5"/>
      <c r="N712" s="5"/>
      <c r="O712" s="8" t="str">
        <f t="shared" si="87"/>
        <v>n/a</v>
      </c>
      <c r="Q712" s="5"/>
      <c r="R712" s="5"/>
      <c r="S712" s="5"/>
      <c r="U712" s="6"/>
      <c r="V712" s="9" t="str">
        <f t="shared" si="90"/>
        <v/>
      </c>
      <c r="W712" s="9" t="str">
        <f t="shared" si="91"/>
        <v/>
      </c>
      <c r="X712" s="10">
        <f>SUM(V$13:V712)/COUNTA(B$13:B712)</f>
        <v>0</v>
      </c>
      <c r="Z712" s="5"/>
      <c r="AA712" s="5"/>
      <c r="AC712" s="7"/>
      <c r="AE712" s="54" t="e">
        <f t="shared" si="92"/>
        <v>#N/A</v>
      </c>
      <c r="AF712" s="4" t="e">
        <f t="shared" si="88"/>
        <v>#N/A</v>
      </c>
    </row>
    <row r="713" spans="2:32">
      <c r="B713" s="5">
        <f t="shared" si="93"/>
        <v>701</v>
      </c>
      <c r="C713" s="5"/>
      <c r="E713" s="13"/>
      <c r="F713" s="5"/>
      <c r="G713" s="11" t="str">
        <f>IF(ISERROR(AVERAGE(F$13:F713)),"n/a",AVERAGE(F$13:F713))</f>
        <v>n/a</v>
      </c>
      <c r="H713" s="11" t="str">
        <f t="shared" si="89"/>
        <v>n/a</v>
      </c>
      <c r="J713" s="5"/>
      <c r="K713" s="5"/>
      <c r="L713" s="5"/>
      <c r="M713" s="5"/>
      <c r="N713" s="5"/>
      <c r="O713" s="8" t="str">
        <f t="shared" si="87"/>
        <v>n/a</v>
      </c>
      <c r="Q713" s="5"/>
      <c r="R713" s="5"/>
      <c r="S713" s="5"/>
      <c r="U713" s="6"/>
      <c r="V713" s="9" t="str">
        <f t="shared" si="90"/>
        <v/>
      </c>
      <c r="W713" s="9" t="str">
        <f t="shared" si="91"/>
        <v/>
      </c>
      <c r="X713" s="10">
        <f>SUM(V$13:V713)/COUNTA(B$13:B713)</f>
        <v>0</v>
      </c>
      <c r="Z713" s="5"/>
      <c r="AA713" s="5"/>
      <c r="AC713" s="7"/>
      <c r="AE713" s="54" t="e">
        <f t="shared" si="92"/>
        <v>#N/A</v>
      </c>
      <c r="AF713" s="4" t="e">
        <f t="shared" si="88"/>
        <v>#N/A</v>
      </c>
    </row>
    <row r="714" spans="2:32">
      <c r="B714" s="5">
        <f t="shared" si="93"/>
        <v>702</v>
      </c>
      <c r="C714" s="5"/>
      <c r="E714" s="13"/>
      <c r="F714" s="5"/>
      <c r="G714" s="11" t="str">
        <f>IF(ISERROR(AVERAGE(F$13:F714)),"n/a",AVERAGE(F$13:F714))</f>
        <v>n/a</v>
      </c>
      <c r="H714" s="11" t="str">
        <f t="shared" si="89"/>
        <v>n/a</v>
      </c>
      <c r="J714" s="5"/>
      <c r="K714" s="5"/>
      <c r="L714" s="5"/>
      <c r="M714" s="5"/>
      <c r="N714" s="5"/>
      <c r="O714" s="8" t="str">
        <f t="shared" si="87"/>
        <v>n/a</v>
      </c>
      <c r="Q714" s="5"/>
      <c r="R714" s="5"/>
      <c r="S714" s="5"/>
      <c r="U714" s="6"/>
      <c r="V714" s="9" t="str">
        <f t="shared" si="90"/>
        <v/>
      </c>
      <c r="W714" s="9" t="str">
        <f t="shared" si="91"/>
        <v/>
      </c>
      <c r="X714" s="10">
        <f>SUM(V$13:V714)/COUNTA(B$13:B714)</f>
        <v>0</v>
      </c>
      <c r="Z714" s="5"/>
      <c r="AA714" s="5"/>
      <c r="AC714" s="7"/>
      <c r="AE714" s="54" t="e">
        <f t="shared" si="92"/>
        <v>#N/A</v>
      </c>
      <c r="AF714" s="4" t="e">
        <f t="shared" si="88"/>
        <v>#N/A</v>
      </c>
    </row>
    <row r="715" spans="2:32">
      <c r="B715" s="5">
        <f t="shared" si="93"/>
        <v>703</v>
      </c>
      <c r="C715" s="5"/>
      <c r="E715" s="13"/>
      <c r="F715" s="5"/>
      <c r="G715" s="11" t="str">
        <f>IF(ISERROR(AVERAGE(F$13:F715)),"n/a",AVERAGE(F$13:F715))</f>
        <v>n/a</v>
      </c>
      <c r="H715" s="11" t="str">
        <f t="shared" si="89"/>
        <v>n/a</v>
      </c>
      <c r="J715" s="5"/>
      <c r="K715" s="5"/>
      <c r="L715" s="5"/>
      <c r="M715" s="5"/>
      <c r="N715" s="5"/>
      <c r="O715" s="8" t="str">
        <f t="shared" si="87"/>
        <v>n/a</v>
      </c>
      <c r="Q715" s="5"/>
      <c r="R715" s="5"/>
      <c r="S715" s="5"/>
      <c r="U715" s="6"/>
      <c r="V715" s="9" t="str">
        <f t="shared" si="90"/>
        <v/>
      </c>
      <c r="W715" s="9" t="str">
        <f t="shared" si="91"/>
        <v/>
      </c>
      <c r="X715" s="10">
        <f>SUM(V$13:V715)/COUNTA(B$13:B715)</f>
        <v>0</v>
      </c>
      <c r="Z715" s="5"/>
      <c r="AA715" s="5"/>
      <c r="AC715" s="7"/>
      <c r="AE715" s="54" t="e">
        <f t="shared" si="92"/>
        <v>#N/A</v>
      </c>
      <c r="AF715" s="4" t="e">
        <f t="shared" si="88"/>
        <v>#N/A</v>
      </c>
    </row>
    <row r="716" spans="2:32">
      <c r="B716" s="5">
        <f t="shared" si="93"/>
        <v>704</v>
      </c>
      <c r="C716" s="5"/>
      <c r="E716" s="13"/>
      <c r="F716" s="5"/>
      <c r="G716" s="11" t="str">
        <f>IF(ISERROR(AVERAGE(F$13:F716)),"n/a",AVERAGE(F$13:F716))</f>
        <v>n/a</v>
      </c>
      <c r="H716" s="11" t="str">
        <f t="shared" si="89"/>
        <v>n/a</v>
      </c>
      <c r="J716" s="5"/>
      <c r="K716" s="5"/>
      <c r="L716" s="5"/>
      <c r="M716" s="5"/>
      <c r="N716" s="5"/>
      <c r="O716" s="8" t="str">
        <f t="shared" si="87"/>
        <v>n/a</v>
      </c>
      <c r="Q716" s="5"/>
      <c r="R716" s="5"/>
      <c r="S716" s="5"/>
      <c r="U716" s="6"/>
      <c r="V716" s="9" t="str">
        <f t="shared" si="90"/>
        <v/>
      </c>
      <c r="W716" s="9" t="str">
        <f t="shared" si="91"/>
        <v/>
      </c>
      <c r="X716" s="10">
        <f>SUM(V$13:V716)/COUNTA(B$13:B716)</f>
        <v>0</v>
      </c>
      <c r="Z716" s="5"/>
      <c r="AA716" s="5"/>
      <c r="AC716" s="7"/>
      <c r="AE716" s="54" t="e">
        <f t="shared" si="92"/>
        <v>#N/A</v>
      </c>
      <c r="AF716" s="4" t="e">
        <f t="shared" si="88"/>
        <v>#N/A</v>
      </c>
    </row>
    <row r="717" spans="2:32">
      <c r="B717" s="5">
        <f t="shared" si="93"/>
        <v>705</v>
      </c>
      <c r="C717" s="5"/>
      <c r="E717" s="13"/>
      <c r="F717" s="5"/>
      <c r="G717" s="11" t="str">
        <f>IF(ISERROR(AVERAGE(F$13:F717)),"n/a",AVERAGE(F$13:F717))</f>
        <v>n/a</v>
      </c>
      <c r="H717" s="11" t="str">
        <f t="shared" si="89"/>
        <v>n/a</v>
      </c>
      <c r="J717" s="5"/>
      <c r="K717" s="5"/>
      <c r="L717" s="5"/>
      <c r="M717" s="5"/>
      <c r="N717" s="5"/>
      <c r="O717" s="8" t="str">
        <f t="shared" ref="O717:O780" si="94">IF(J717=1,"A",IF(K717=1,"B",IF(L717=1,"C",IF(M717=1,"D",IF(N717=1,"E","n/a")))))</f>
        <v>n/a</v>
      </c>
      <c r="Q717" s="5"/>
      <c r="R717" s="5"/>
      <c r="S717" s="5"/>
      <c r="U717" s="6"/>
      <c r="V717" s="9" t="str">
        <f t="shared" si="90"/>
        <v/>
      </c>
      <c r="W717" s="9" t="str">
        <f t="shared" si="91"/>
        <v/>
      </c>
      <c r="X717" s="10">
        <f>SUM(V$13:V717)/COUNTA(B$13:B717)</f>
        <v>0</v>
      </c>
      <c r="Z717" s="5"/>
      <c r="AA717" s="5"/>
      <c r="AC717" s="7"/>
      <c r="AE717" s="54" t="e">
        <f t="shared" si="92"/>
        <v>#N/A</v>
      </c>
      <c r="AF717" s="4" t="e">
        <f t="shared" ref="AF717:AF780" si="95">HLOOKUP(C717,$K$6:$O$7,2,FALSE)</f>
        <v>#N/A</v>
      </c>
    </row>
    <row r="718" spans="2:32">
      <c r="B718" s="5">
        <f t="shared" si="93"/>
        <v>706</v>
      </c>
      <c r="C718" s="5"/>
      <c r="E718" s="13"/>
      <c r="F718" s="5"/>
      <c r="G718" s="11" t="str">
        <f>IF(ISERROR(AVERAGE(F$13:F718)),"n/a",AVERAGE(F$13:F718))</f>
        <v>n/a</v>
      </c>
      <c r="H718" s="11" t="str">
        <f t="shared" ref="H718:H781" si="96">G718</f>
        <v>n/a</v>
      </c>
      <c r="J718" s="5"/>
      <c r="K718" s="5"/>
      <c r="L718" s="5"/>
      <c r="M718" s="5"/>
      <c r="N718" s="5"/>
      <c r="O718" s="8" t="str">
        <f t="shared" si="94"/>
        <v>n/a</v>
      </c>
      <c r="Q718" s="5"/>
      <c r="R718" s="5"/>
      <c r="S718" s="5"/>
      <c r="U718" s="6"/>
      <c r="V718" s="9" t="str">
        <f t="shared" ref="V718:V781" si="97">IF(O718="n/a","",IF(O718=U718,1,""))</f>
        <v/>
      </c>
      <c r="W718" s="9" t="str">
        <f t="shared" ref="W718:W781" si="98">IF(O718="n/a","",IF(O718&lt;&gt;U718,1,""))</f>
        <v/>
      </c>
      <c r="X718" s="10">
        <f>SUM(V$13:V718)/COUNTA(B$13:B718)</f>
        <v>0</v>
      </c>
      <c r="Z718" s="5"/>
      <c r="AA718" s="5"/>
      <c r="AC718" s="7"/>
      <c r="AE718" s="54" t="e">
        <f t="shared" ref="AE718:AE781" si="99">+IF($F$4=0,0,IF(W718=1,1,IF(OR(R718*$F$8=1,S718*$F$9=1,F718&gt;=AF718),2,0)))</f>
        <v>#N/A</v>
      </c>
      <c r="AF718" s="4" t="e">
        <f t="shared" si="95"/>
        <v>#N/A</v>
      </c>
    </row>
    <row r="719" spans="2:32">
      <c r="B719" s="5">
        <f t="shared" si="93"/>
        <v>707</v>
      </c>
      <c r="C719" s="5"/>
      <c r="E719" s="13"/>
      <c r="F719" s="5"/>
      <c r="G719" s="11" t="str">
        <f>IF(ISERROR(AVERAGE(F$13:F719)),"n/a",AVERAGE(F$13:F719))</f>
        <v>n/a</v>
      </c>
      <c r="H719" s="11" t="str">
        <f t="shared" si="96"/>
        <v>n/a</v>
      </c>
      <c r="J719" s="5"/>
      <c r="K719" s="5"/>
      <c r="L719" s="5"/>
      <c r="M719" s="5"/>
      <c r="N719" s="5"/>
      <c r="O719" s="8" t="str">
        <f t="shared" si="94"/>
        <v>n/a</v>
      </c>
      <c r="Q719" s="5"/>
      <c r="R719" s="5"/>
      <c r="S719" s="5"/>
      <c r="U719" s="6"/>
      <c r="V719" s="9" t="str">
        <f t="shared" si="97"/>
        <v/>
      </c>
      <c r="W719" s="9" t="str">
        <f t="shared" si="98"/>
        <v/>
      </c>
      <c r="X719" s="10">
        <f>SUM(V$13:V719)/COUNTA(B$13:B719)</f>
        <v>0</v>
      </c>
      <c r="Z719" s="5"/>
      <c r="AA719" s="5"/>
      <c r="AC719" s="7"/>
      <c r="AE719" s="54" t="e">
        <f t="shared" si="99"/>
        <v>#N/A</v>
      </c>
      <c r="AF719" s="4" t="e">
        <f t="shared" si="95"/>
        <v>#N/A</v>
      </c>
    </row>
    <row r="720" spans="2:32">
      <c r="B720" s="5">
        <f t="shared" si="93"/>
        <v>708</v>
      </c>
      <c r="C720" s="5"/>
      <c r="E720" s="13"/>
      <c r="F720" s="5"/>
      <c r="G720" s="11" t="str">
        <f>IF(ISERROR(AVERAGE(F$13:F720)),"n/a",AVERAGE(F$13:F720))</f>
        <v>n/a</v>
      </c>
      <c r="H720" s="11" t="str">
        <f t="shared" si="96"/>
        <v>n/a</v>
      </c>
      <c r="J720" s="5"/>
      <c r="K720" s="5"/>
      <c r="L720" s="5"/>
      <c r="M720" s="5"/>
      <c r="N720" s="5"/>
      <c r="O720" s="8" t="str">
        <f t="shared" si="94"/>
        <v>n/a</v>
      </c>
      <c r="Q720" s="5"/>
      <c r="R720" s="5"/>
      <c r="S720" s="5"/>
      <c r="U720" s="6"/>
      <c r="V720" s="9" t="str">
        <f t="shared" si="97"/>
        <v/>
      </c>
      <c r="W720" s="9" t="str">
        <f t="shared" si="98"/>
        <v/>
      </c>
      <c r="X720" s="10">
        <f>SUM(V$13:V720)/COUNTA(B$13:B720)</f>
        <v>0</v>
      </c>
      <c r="Z720" s="5"/>
      <c r="AA720" s="5"/>
      <c r="AC720" s="7"/>
      <c r="AE720" s="54" t="e">
        <f t="shared" si="99"/>
        <v>#N/A</v>
      </c>
      <c r="AF720" s="4" t="e">
        <f t="shared" si="95"/>
        <v>#N/A</v>
      </c>
    </row>
    <row r="721" spans="2:32">
      <c r="B721" s="5">
        <f t="shared" si="93"/>
        <v>709</v>
      </c>
      <c r="C721" s="5"/>
      <c r="E721" s="13"/>
      <c r="F721" s="5"/>
      <c r="G721" s="11" t="str">
        <f>IF(ISERROR(AVERAGE(F$13:F721)),"n/a",AVERAGE(F$13:F721))</f>
        <v>n/a</v>
      </c>
      <c r="H721" s="11" t="str">
        <f t="shared" si="96"/>
        <v>n/a</v>
      </c>
      <c r="J721" s="5"/>
      <c r="K721" s="5"/>
      <c r="L721" s="5"/>
      <c r="M721" s="5"/>
      <c r="N721" s="5"/>
      <c r="O721" s="8" t="str">
        <f t="shared" si="94"/>
        <v>n/a</v>
      </c>
      <c r="Q721" s="5"/>
      <c r="R721" s="5"/>
      <c r="S721" s="5"/>
      <c r="U721" s="6"/>
      <c r="V721" s="9" t="str">
        <f t="shared" si="97"/>
        <v/>
      </c>
      <c r="W721" s="9" t="str">
        <f t="shared" si="98"/>
        <v/>
      </c>
      <c r="X721" s="10">
        <f>SUM(V$13:V721)/COUNTA(B$13:B721)</f>
        <v>0</v>
      </c>
      <c r="Z721" s="5"/>
      <c r="AA721" s="5"/>
      <c r="AC721" s="7"/>
      <c r="AE721" s="54" t="e">
        <f t="shared" si="99"/>
        <v>#N/A</v>
      </c>
      <c r="AF721" s="4" t="e">
        <f t="shared" si="95"/>
        <v>#N/A</v>
      </c>
    </row>
    <row r="722" spans="2:32">
      <c r="B722" s="5">
        <f t="shared" si="93"/>
        <v>710</v>
      </c>
      <c r="C722" s="5"/>
      <c r="E722" s="13"/>
      <c r="F722" s="5"/>
      <c r="G722" s="11" t="str">
        <f>IF(ISERROR(AVERAGE(F$13:F722)),"n/a",AVERAGE(F$13:F722))</f>
        <v>n/a</v>
      </c>
      <c r="H722" s="11" t="str">
        <f t="shared" si="96"/>
        <v>n/a</v>
      </c>
      <c r="J722" s="5"/>
      <c r="K722" s="5"/>
      <c r="L722" s="5"/>
      <c r="M722" s="5"/>
      <c r="N722" s="5"/>
      <c r="O722" s="8" t="str">
        <f t="shared" si="94"/>
        <v>n/a</v>
      </c>
      <c r="Q722" s="5"/>
      <c r="R722" s="5"/>
      <c r="S722" s="5"/>
      <c r="U722" s="6"/>
      <c r="V722" s="9" t="str">
        <f t="shared" si="97"/>
        <v/>
      </c>
      <c r="W722" s="9" t="str">
        <f t="shared" si="98"/>
        <v/>
      </c>
      <c r="X722" s="10">
        <f>SUM(V$13:V722)/COUNTA(B$13:B722)</f>
        <v>0</v>
      </c>
      <c r="Z722" s="5"/>
      <c r="AA722" s="5"/>
      <c r="AC722" s="7"/>
      <c r="AE722" s="54" t="e">
        <f t="shared" si="99"/>
        <v>#N/A</v>
      </c>
      <c r="AF722" s="4" t="e">
        <f t="shared" si="95"/>
        <v>#N/A</v>
      </c>
    </row>
    <row r="723" spans="2:32">
      <c r="B723" s="5">
        <f t="shared" ref="B723:B786" si="100">+B722+1</f>
        <v>711</v>
      </c>
      <c r="C723" s="5"/>
      <c r="E723" s="13"/>
      <c r="F723" s="5"/>
      <c r="G723" s="11" t="str">
        <f>IF(ISERROR(AVERAGE(F$13:F723)),"n/a",AVERAGE(F$13:F723))</f>
        <v>n/a</v>
      </c>
      <c r="H723" s="11" t="str">
        <f t="shared" si="96"/>
        <v>n/a</v>
      </c>
      <c r="J723" s="5"/>
      <c r="K723" s="5"/>
      <c r="L723" s="5"/>
      <c r="M723" s="5"/>
      <c r="N723" s="5"/>
      <c r="O723" s="8" t="str">
        <f t="shared" si="94"/>
        <v>n/a</v>
      </c>
      <c r="Q723" s="5"/>
      <c r="R723" s="5"/>
      <c r="S723" s="5"/>
      <c r="U723" s="6"/>
      <c r="V723" s="9" t="str">
        <f t="shared" si="97"/>
        <v/>
      </c>
      <c r="W723" s="9" t="str">
        <f t="shared" si="98"/>
        <v/>
      </c>
      <c r="X723" s="10">
        <f>SUM(V$13:V723)/COUNTA(B$13:B723)</f>
        <v>0</v>
      </c>
      <c r="Z723" s="5"/>
      <c r="AA723" s="5"/>
      <c r="AC723" s="7"/>
      <c r="AE723" s="54" t="e">
        <f t="shared" si="99"/>
        <v>#N/A</v>
      </c>
      <c r="AF723" s="4" t="e">
        <f t="shared" si="95"/>
        <v>#N/A</v>
      </c>
    </row>
    <row r="724" spans="2:32">
      <c r="B724" s="5">
        <f t="shared" si="100"/>
        <v>712</v>
      </c>
      <c r="C724" s="5"/>
      <c r="E724" s="13"/>
      <c r="F724" s="5"/>
      <c r="G724" s="11" t="str">
        <f>IF(ISERROR(AVERAGE(F$13:F724)),"n/a",AVERAGE(F$13:F724))</f>
        <v>n/a</v>
      </c>
      <c r="H724" s="11" t="str">
        <f t="shared" si="96"/>
        <v>n/a</v>
      </c>
      <c r="J724" s="5"/>
      <c r="K724" s="5"/>
      <c r="L724" s="5"/>
      <c r="M724" s="5"/>
      <c r="N724" s="5"/>
      <c r="O724" s="8" t="str">
        <f t="shared" si="94"/>
        <v>n/a</v>
      </c>
      <c r="Q724" s="5"/>
      <c r="R724" s="5"/>
      <c r="S724" s="5"/>
      <c r="U724" s="6"/>
      <c r="V724" s="9" t="str">
        <f t="shared" si="97"/>
        <v/>
      </c>
      <c r="W724" s="9" t="str">
        <f t="shared" si="98"/>
        <v/>
      </c>
      <c r="X724" s="10">
        <f>SUM(V$13:V724)/COUNTA(B$13:B724)</f>
        <v>0</v>
      </c>
      <c r="Z724" s="5"/>
      <c r="AA724" s="5"/>
      <c r="AC724" s="7"/>
      <c r="AE724" s="54" t="e">
        <f t="shared" si="99"/>
        <v>#N/A</v>
      </c>
      <c r="AF724" s="4" t="e">
        <f t="shared" si="95"/>
        <v>#N/A</v>
      </c>
    </row>
    <row r="725" spans="2:32">
      <c r="B725" s="5">
        <f t="shared" si="100"/>
        <v>713</v>
      </c>
      <c r="C725" s="5"/>
      <c r="E725" s="13"/>
      <c r="F725" s="5"/>
      <c r="G725" s="11" t="str">
        <f>IF(ISERROR(AVERAGE(F$13:F725)),"n/a",AVERAGE(F$13:F725))</f>
        <v>n/a</v>
      </c>
      <c r="H725" s="11" t="str">
        <f t="shared" si="96"/>
        <v>n/a</v>
      </c>
      <c r="J725" s="5"/>
      <c r="K725" s="5"/>
      <c r="L725" s="5"/>
      <c r="M725" s="5"/>
      <c r="N725" s="5"/>
      <c r="O725" s="8" t="str">
        <f t="shared" si="94"/>
        <v>n/a</v>
      </c>
      <c r="Q725" s="5"/>
      <c r="R725" s="5"/>
      <c r="S725" s="5"/>
      <c r="U725" s="6"/>
      <c r="V725" s="9" t="str">
        <f t="shared" si="97"/>
        <v/>
      </c>
      <c r="W725" s="9" t="str">
        <f t="shared" si="98"/>
        <v/>
      </c>
      <c r="X725" s="10">
        <f>SUM(V$13:V725)/COUNTA(B$13:B725)</f>
        <v>0</v>
      </c>
      <c r="Z725" s="5"/>
      <c r="AA725" s="5"/>
      <c r="AC725" s="7"/>
      <c r="AE725" s="54" t="e">
        <f t="shared" si="99"/>
        <v>#N/A</v>
      </c>
      <c r="AF725" s="4" t="e">
        <f t="shared" si="95"/>
        <v>#N/A</v>
      </c>
    </row>
    <row r="726" spans="2:32">
      <c r="B726" s="5">
        <f t="shared" si="100"/>
        <v>714</v>
      </c>
      <c r="C726" s="5"/>
      <c r="E726" s="13"/>
      <c r="F726" s="5"/>
      <c r="G726" s="11" t="str">
        <f>IF(ISERROR(AVERAGE(F$13:F726)),"n/a",AVERAGE(F$13:F726))</f>
        <v>n/a</v>
      </c>
      <c r="H726" s="11" t="str">
        <f t="shared" si="96"/>
        <v>n/a</v>
      </c>
      <c r="J726" s="5"/>
      <c r="K726" s="5"/>
      <c r="L726" s="5"/>
      <c r="M726" s="5"/>
      <c r="N726" s="5"/>
      <c r="O726" s="8" t="str">
        <f t="shared" si="94"/>
        <v>n/a</v>
      </c>
      <c r="Q726" s="5"/>
      <c r="R726" s="5"/>
      <c r="S726" s="5"/>
      <c r="U726" s="6"/>
      <c r="V726" s="9" t="str">
        <f t="shared" si="97"/>
        <v/>
      </c>
      <c r="W726" s="9" t="str">
        <f t="shared" si="98"/>
        <v/>
      </c>
      <c r="X726" s="10">
        <f>SUM(V$13:V726)/COUNTA(B$13:B726)</f>
        <v>0</v>
      </c>
      <c r="Z726" s="5"/>
      <c r="AA726" s="5"/>
      <c r="AC726" s="7"/>
      <c r="AE726" s="54" t="e">
        <f t="shared" si="99"/>
        <v>#N/A</v>
      </c>
      <c r="AF726" s="4" t="e">
        <f t="shared" si="95"/>
        <v>#N/A</v>
      </c>
    </row>
    <row r="727" spans="2:32">
      <c r="B727" s="5">
        <f t="shared" si="100"/>
        <v>715</v>
      </c>
      <c r="C727" s="5"/>
      <c r="E727" s="13"/>
      <c r="F727" s="5"/>
      <c r="G727" s="11" t="str">
        <f>IF(ISERROR(AVERAGE(F$13:F727)),"n/a",AVERAGE(F$13:F727))</f>
        <v>n/a</v>
      </c>
      <c r="H727" s="11" t="str">
        <f t="shared" si="96"/>
        <v>n/a</v>
      </c>
      <c r="J727" s="5"/>
      <c r="K727" s="5"/>
      <c r="L727" s="5"/>
      <c r="M727" s="5"/>
      <c r="N727" s="5"/>
      <c r="O727" s="8" t="str">
        <f t="shared" si="94"/>
        <v>n/a</v>
      </c>
      <c r="Q727" s="5"/>
      <c r="R727" s="5"/>
      <c r="S727" s="5"/>
      <c r="U727" s="6"/>
      <c r="V727" s="9" t="str">
        <f t="shared" si="97"/>
        <v/>
      </c>
      <c r="W727" s="9" t="str">
        <f t="shared" si="98"/>
        <v/>
      </c>
      <c r="X727" s="10">
        <f>SUM(V$13:V727)/COUNTA(B$13:B727)</f>
        <v>0</v>
      </c>
      <c r="Z727" s="5"/>
      <c r="AA727" s="5"/>
      <c r="AC727" s="7"/>
      <c r="AE727" s="54" t="e">
        <f t="shared" si="99"/>
        <v>#N/A</v>
      </c>
      <c r="AF727" s="4" t="e">
        <f t="shared" si="95"/>
        <v>#N/A</v>
      </c>
    </row>
    <row r="728" spans="2:32">
      <c r="B728" s="5">
        <f t="shared" si="100"/>
        <v>716</v>
      </c>
      <c r="C728" s="5"/>
      <c r="E728" s="13"/>
      <c r="F728" s="5"/>
      <c r="G728" s="11" t="str">
        <f>IF(ISERROR(AVERAGE(F$13:F728)),"n/a",AVERAGE(F$13:F728))</f>
        <v>n/a</v>
      </c>
      <c r="H728" s="11" t="str">
        <f t="shared" si="96"/>
        <v>n/a</v>
      </c>
      <c r="J728" s="5"/>
      <c r="K728" s="5"/>
      <c r="L728" s="5"/>
      <c r="M728" s="5"/>
      <c r="N728" s="5"/>
      <c r="O728" s="8" t="str">
        <f t="shared" si="94"/>
        <v>n/a</v>
      </c>
      <c r="Q728" s="5"/>
      <c r="R728" s="5"/>
      <c r="S728" s="5"/>
      <c r="U728" s="6"/>
      <c r="V728" s="9" t="str">
        <f t="shared" si="97"/>
        <v/>
      </c>
      <c r="W728" s="9" t="str">
        <f t="shared" si="98"/>
        <v/>
      </c>
      <c r="X728" s="10">
        <f>SUM(V$13:V728)/COUNTA(B$13:B728)</f>
        <v>0</v>
      </c>
      <c r="Z728" s="5"/>
      <c r="AA728" s="5"/>
      <c r="AC728" s="7"/>
      <c r="AE728" s="54" t="e">
        <f t="shared" si="99"/>
        <v>#N/A</v>
      </c>
      <c r="AF728" s="4" t="e">
        <f t="shared" si="95"/>
        <v>#N/A</v>
      </c>
    </row>
    <row r="729" spans="2:32">
      <c r="B729" s="5">
        <f t="shared" si="100"/>
        <v>717</v>
      </c>
      <c r="C729" s="5"/>
      <c r="E729" s="13"/>
      <c r="F729" s="5"/>
      <c r="G729" s="11" t="str">
        <f>IF(ISERROR(AVERAGE(F$13:F729)),"n/a",AVERAGE(F$13:F729))</f>
        <v>n/a</v>
      </c>
      <c r="H729" s="11" t="str">
        <f t="shared" si="96"/>
        <v>n/a</v>
      </c>
      <c r="J729" s="5"/>
      <c r="K729" s="5"/>
      <c r="L729" s="5"/>
      <c r="M729" s="5"/>
      <c r="N729" s="5"/>
      <c r="O729" s="8" t="str">
        <f t="shared" si="94"/>
        <v>n/a</v>
      </c>
      <c r="Q729" s="5"/>
      <c r="R729" s="5"/>
      <c r="S729" s="5"/>
      <c r="U729" s="6"/>
      <c r="V729" s="9" t="str">
        <f t="shared" si="97"/>
        <v/>
      </c>
      <c r="W729" s="9" t="str">
        <f t="shared" si="98"/>
        <v/>
      </c>
      <c r="X729" s="10">
        <f>SUM(V$13:V729)/COUNTA(B$13:B729)</f>
        <v>0</v>
      </c>
      <c r="Z729" s="5"/>
      <c r="AA729" s="5"/>
      <c r="AC729" s="7"/>
      <c r="AE729" s="54" t="e">
        <f t="shared" si="99"/>
        <v>#N/A</v>
      </c>
      <c r="AF729" s="4" t="e">
        <f t="shared" si="95"/>
        <v>#N/A</v>
      </c>
    </row>
    <row r="730" spans="2:32">
      <c r="B730" s="5">
        <f t="shared" si="100"/>
        <v>718</v>
      </c>
      <c r="C730" s="5"/>
      <c r="E730" s="13"/>
      <c r="F730" s="5"/>
      <c r="G730" s="11" t="str">
        <f>IF(ISERROR(AVERAGE(F$13:F730)),"n/a",AVERAGE(F$13:F730))</f>
        <v>n/a</v>
      </c>
      <c r="H730" s="11" t="str">
        <f t="shared" si="96"/>
        <v>n/a</v>
      </c>
      <c r="J730" s="5"/>
      <c r="K730" s="5"/>
      <c r="L730" s="5"/>
      <c r="M730" s="5"/>
      <c r="N730" s="5"/>
      <c r="O730" s="8" t="str">
        <f t="shared" si="94"/>
        <v>n/a</v>
      </c>
      <c r="Q730" s="5"/>
      <c r="R730" s="5"/>
      <c r="S730" s="5"/>
      <c r="U730" s="6"/>
      <c r="V730" s="9" t="str">
        <f t="shared" si="97"/>
        <v/>
      </c>
      <c r="W730" s="9" t="str">
        <f t="shared" si="98"/>
        <v/>
      </c>
      <c r="X730" s="10">
        <f>SUM(V$13:V730)/COUNTA(B$13:B730)</f>
        <v>0</v>
      </c>
      <c r="Z730" s="5"/>
      <c r="AA730" s="5"/>
      <c r="AC730" s="7"/>
      <c r="AE730" s="54" t="e">
        <f t="shared" si="99"/>
        <v>#N/A</v>
      </c>
      <c r="AF730" s="4" t="e">
        <f t="shared" si="95"/>
        <v>#N/A</v>
      </c>
    </row>
    <row r="731" spans="2:32">
      <c r="B731" s="5">
        <f t="shared" si="100"/>
        <v>719</v>
      </c>
      <c r="C731" s="5"/>
      <c r="E731" s="13"/>
      <c r="F731" s="5"/>
      <c r="G731" s="11" t="str">
        <f>IF(ISERROR(AVERAGE(F$13:F731)),"n/a",AVERAGE(F$13:F731))</f>
        <v>n/a</v>
      </c>
      <c r="H731" s="11" t="str">
        <f t="shared" si="96"/>
        <v>n/a</v>
      </c>
      <c r="J731" s="5"/>
      <c r="K731" s="5"/>
      <c r="L731" s="5"/>
      <c r="M731" s="5"/>
      <c r="N731" s="5"/>
      <c r="O731" s="8" t="str">
        <f t="shared" si="94"/>
        <v>n/a</v>
      </c>
      <c r="Q731" s="5"/>
      <c r="R731" s="5"/>
      <c r="S731" s="5"/>
      <c r="U731" s="6"/>
      <c r="V731" s="9" t="str">
        <f t="shared" si="97"/>
        <v/>
      </c>
      <c r="W731" s="9" t="str">
        <f t="shared" si="98"/>
        <v/>
      </c>
      <c r="X731" s="10">
        <f>SUM(V$13:V731)/COUNTA(B$13:B731)</f>
        <v>0</v>
      </c>
      <c r="Z731" s="5"/>
      <c r="AA731" s="5"/>
      <c r="AC731" s="7"/>
      <c r="AE731" s="54" t="e">
        <f t="shared" si="99"/>
        <v>#N/A</v>
      </c>
      <c r="AF731" s="4" t="e">
        <f t="shared" si="95"/>
        <v>#N/A</v>
      </c>
    </row>
    <row r="732" spans="2:32">
      <c r="B732" s="5">
        <f t="shared" si="100"/>
        <v>720</v>
      </c>
      <c r="C732" s="5"/>
      <c r="E732" s="13"/>
      <c r="F732" s="5"/>
      <c r="G732" s="11" t="str">
        <f>IF(ISERROR(AVERAGE(F$13:F732)),"n/a",AVERAGE(F$13:F732))</f>
        <v>n/a</v>
      </c>
      <c r="H732" s="11" t="str">
        <f t="shared" si="96"/>
        <v>n/a</v>
      </c>
      <c r="J732" s="5"/>
      <c r="K732" s="5"/>
      <c r="L732" s="5"/>
      <c r="M732" s="5"/>
      <c r="N732" s="5"/>
      <c r="O732" s="8" t="str">
        <f t="shared" si="94"/>
        <v>n/a</v>
      </c>
      <c r="Q732" s="5"/>
      <c r="R732" s="5"/>
      <c r="S732" s="5"/>
      <c r="U732" s="6"/>
      <c r="V732" s="9" t="str">
        <f t="shared" si="97"/>
        <v/>
      </c>
      <c r="W732" s="9" t="str">
        <f t="shared" si="98"/>
        <v/>
      </c>
      <c r="X732" s="10">
        <f>SUM(V$13:V732)/COUNTA(B$13:B732)</f>
        <v>0</v>
      </c>
      <c r="Z732" s="5"/>
      <c r="AA732" s="5"/>
      <c r="AC732" s="7"/>
      <c r="AE732" s="54" t="e">
        <f t="shared" si="99"/>
        <v>#N/A</v>
      </c>
      <c r="AF732" s="4" t="e">
        <f t="shared" si="95"/>
        <v>#N/A</v>
      </c>
    </row>
    <row r="733" spans="2:32">
      <c r="B733" s="5">
        <f t="shared" si="100"/>
        <v>721</v>
      </c>
      <c r="C733" s="5"/>
      <c r="E733" s="13"/>
      <c r="F733" s="5"/>
      <c r="G733" s="11" t="str">
        <f>IF(ISERROR(AVERAGE(F$13:F733)),"n/a",AVERAGE(F$13:F733))</f>
        <v>n/a</v>
      </c>
      <c r="H733" s="11" t="str">
        <f t="shared" si="96"/>
        <v>n/a</v>
      </c>
      <c r="J733" s="5"/>
      <c r="K733" s="5"/>
      <c r="L733" s="5"/>
      <c r="M733" s="5"/>
      <c r="N733" s="5"/>
      <c r="O733" s="8" t="str">
        <f t="shared" si="94"/>
        <v>n/a</v>
      </c>
      <c r="Q733" s="5"/>
      <c r="R733" s="5"/>
      <c r="S733" s="5"/>
      <c r="U733" s="6"/>
      <c r="V733" s="9" t="str">
        <f t="shared" si="97"/>
        <v/>
      </c>
      <c r="W733" s="9" t="str">
        <f t="shared" si="98"/>
        <v/>
      </c>
      <c r="X733" s="10">
        <f>SUM(V$13:V733)/COUNTA(B$13:B733)</f>
        <v>0</v>
      </c>
      <c r="Z733" s="5"/>
      <c r="AA733" s="5"/>
      <c r="AC733" s="7"/>
      <c r="AE733" s="54" t="e">
        <f t="shared" si="99"/>
        <v>#N/A</v>
      </c>
      <c r="AF733" s="4" t="e">
        <f t="shared" si="95"/>
        <v>#N/A</v>
      </c>
    </row>
    <row r="734" spans="2:32">
      <c r="B734" s="5">
        <f t="shared" si="100"/>
        <v>722</v>
      </c>
      <c r="C734" s="5"/>
      <c r="E734" s="13"/>
      <c r="F734" s="5"/>
      <c r="G734" s="11" t="str">
        <f>IF(ISERROR(AVERAGE(F$13:F734)),"n/a",AVERAGE(F$13:F734))</f>
        <v>n/a</v>
      </c>
      <c r="H734" s="11" t="str">
        <f t="shared" si="96"/>
        <v>n/a</v>
      </c>
      <c r="J734" s="5"/>
      <c r="K734" s="5"/>
      <c r="L734" s="5"/>
      <c r="M734" s="5"/>
      <c r="N734" s="5"/>
      <c r="O734" s="8" t="str">
        <f t="shared" si="94"/>
        <v>n/a</v>
      </c>
      <c r="Q734" s="5"/>
      <c r="R734" s="5"/>
      <c r="S734" s="5"/>
      <c r="U734" s="6"/>
      <c r="V734" s="9" t="str">
        <f t="shared" si="97"/>
        <v/>
      </c>
      <c r="W734" s="9" t="str">
        <f t="shared" si="98"/>
        <v/>
      </c>
      <c r="X734" s="10">
        <f>SUM(V$13:V734)/COUNTA(B$13:B734)</f>
        <v>0</v>
      </c>
      <c r="Z734" s="5"/>
      <c r="AA734" s="5"/>
      <c r="AC734" s="7"/>
      <c r="AE734" s="54" t="e">
        <f t="shared" si="99"/>
        <v>#N/A</v>
      </c>
      <c r="AF734" s="4" t="e">
        <f t="shared" si="95"/>
        <v>#N/A</v>
      </c>
    </row>
    <row r="735" spans="2:32">
      <c r="B735" s="5">
        <f t="shared" si="100"/>
        <v>723</v>
      </c>
      <c r="C735" s="5"/>
      <c r="E735" s="13"/>
      <c r="F735" s="5"/>
      <c r="G735" s="11" t="str">
        <f>IF(ISERROR(AVERAGE(F$13:F735)),"n/a",AVERAGE(F$13:F735))</f>
        <v>n/a</v>
      </c>
      <c r="H735" s="11" t="str">
        <f t="shared" si="96"/>
        <v>n/a</v>
      </c>
      <c r="J735" s="5"/>
      <c r="K735" s="5"/>
      <c r="L735" s="5"/>
      <c r="M735" s="5"/>
      <c r="N735" s="5"/>
      <c r="O735" s="8" t="str">
        <f t="shared" si="94"/>
        <v>n/a</v>
      </c>
      <c r="Q735" s="5"/>
      <c r="R735" s="5"/>
      <c r="S735" s="5"/>
      <c r="U735" s="6"/>
      <c r="V735" s="9" t="str">
        <f t="shared" si="97"/>
        <v/>
      </c>
      <c r="W735" s="9" t="str">
        <f t="shared" si="98"/>
        <v/>
      </c>
      <c r="X735" s="10">
        <f>SUM(V$13:V735)/COUNTA(B$13:B735)</f>
        <v>0</v>
      </c>
      <c r="Z735" s="5"/>
      <c r="AA735" s="5"/>
      <c r="AC735" s="7"/>
      <c r="AE735" s="54" t="e">
        <f t="shared" si="99"/>
        <v>#N/A</v>
      </c>
      <c r="AF735" s="4" t="e">
        <f t="shared" si="95"/>
        <v>#N/A</v>
      </c>
    </row>
    <row r="736" spans="2:32">
      <c r="B736" s="5">
        <f t="shared" si="100"/>
        <v>724</v>
      </c>
      <c r="C736" s="5"/>
      <c r="E736" s="13"/>
      <c r="F736" s="5"/>
      <c r="G736" s="11" t="str">
        <f>IF(ISERROR(AVERAGE(F$13:F736)),"n/a",AVERAGE(F$13:F736))</f>
        <v>n/a</v>
      </c>
      <c r="H736" s="11" t="str">
        <f t="shared" si="96"/>
        <v>n/a</v>
      </c>
      <c r="J736" s="5"/>
      <c r="K736" s="5"/>
      <c r="L736" s="5"/>
      <c r="M736" s="5"/>
      <c r="N736" s="5"/>
      <c r="O736" s="8" t="str">
        <f t="shared" si="94"/>
        <v>n/a</v>
      </c>
      <c r="Q736" s="5"/>
      <c r="R736" s="5"/>
      <c r="S736" s="5"/>
      <c r="U736" s="6"/>
      <c r="V736" s="9" t="str">
        <f t="shared" si="97"/>
        <v/>
      </c>
      <c r="W736" s="9" t="str">
        <f t="shared" si="98"/>
        <v/>
      </c>
      <c r="X736" s="10">
        <f>SUM(V$13:V736)/COUNTA(B$13:B736)</f>
        <v>0</v>
      </c>
      <c r="Z736" s="5"/>
      <c r="AA736" s="5"/>
      <c r="AC736" s="7"/>
      <c r="AE736" s="54" t="e">
        <f t="shared" si="99"/>
        <v>#N/A</v>
      </c>
      <c r="AF736" s="4" t="e">
        <f t="shared" si="95"/>
        <v>#N/A</v>
      </c>
    </row>
    <row r="737" spans="2:32">
      <c r="B737" s="5">
        <f t="shared" si="100"/>
        <v>725</v>
      </c>
      <c r="C737" s="5"/>
      <c r="E737" s="13"/>
      <c r="F737" s="5"/>
      <c r="G737" s="11" t="str">
        <f>IF(ISERROR(AVERAGE(F$13:F737)),"n/a",AVERAGE(F$13:F737))</f>
        <v>n/a</v>
      </c>
      <c r="H737" s="11" t="str">
        <f t="shared" si="96"/>
        <v>n/a</v>
      </c>
      <c r="J737" s="5"/>
      <c r="K737" s="5"/>
      <c r="L737" s="5"/>
      <c r="M737" s="5"/>
      <c r="N737" s="5"/>
      <c r="O737" s="8" t="str">
        <f t="shared" si="94"/>
        <v>n/a</v>
      </c>
      <c r="Q737" s="5"/>
      <c r="R737" s="5"/>
      <c r="S737" s="5"/>
      <c r="U737" s="6"/>
      <c r="V737" s="9" t="str">
        <f t="shared" si="97"/>
        <v/>
      </c>
      <c r="W737" s="9" t="str">
        <f t="shared" si="98"/>
        <v/>
      </c>
      <c r="X737" s="10">
        <f>SUM(V$13:V737)/COUNTA(B$13:B737)</f>
        <v>0</v>
      </c>
      <c r="Z737" s="5"/>
      <c r="AA737" s="5"/>
      <c r="AC737" s="7"/>
      <c r="AE737" s="54" t="e">
        <f t="shared" si="99"/>
        <v>#N/A</v>
      </c>
      <c r="AF737" s="4" t="e">
        <f t="shared" si="95"/>
        <v>#N/A</v>
      </c>
    </row>
    <row r="738" spans="2:32">
      <c r="B738" s="5">
        <f t="shared" si="100"/>
        <v>726</v>
      </c>
      <c r="C738" s="5"/>
      <c r="E738" s="13"/>
      <c r="F738" s="5"/>
      <c r="G738" s="11" t="str">
        <f>IF(ISERROR(AVERAGE(F$13:F738)),"n/a",AVERAGE(F$13:F738))</f>
        <v>n/a</v>
      </c>
      <c r="H738" s="11" t="str">
        <f t="shared" si="96"/>
        <v>n/a</v>
      </c>
      <c r="J738" s="5"/>
      <c r="K738" s="5"/>
      <c r="L738" s="5"/>
      <c r="M738" s="5"/>
      <c r="N738" s="5"/>
      <c r="O738" s="8" t="str">
        <f t="shared" si="94"/>
        <v>n/a</v>
      </c>
      <c r="Q738" s="5"/>
      <c r="R738" s="5"/>
      <c r="S738" s="5"/>
      <c r="U738" s="6"/>
      <c r="V738" s="9" t="str">
        <f t="shared" si="97"/>
        <v/>
      </c>
      <c r="W738" s="9" t="str">
        <f t="shared" si="98"/>
        <v/>
      </c>
      <c r="X738" s="10">
        <f>SUM(V$13:V738)/COUNTA(B$13:B738)</f>
        <v>0</v>
      </c>
      <c r="Z738" s="5"/>
      <c r="AA738" s="5"/>
      <c r="AC738" s="7"/>
      <c r="AE738" s="54" t="e">
        <f t="shared" si="99"/>
        <v>#N/A</v>
      </c>
      <c r="AF738" s="4" t="e">
        <f t="shared" si="95"/>
        <v>#N/A</v>
      </c>
    </row>
    <row r="739" spans="2:32">
      <c r="B739" s="5">
        <f t="shared" si="100"/>
        <v>727</v>
      </c>
      <c r="C739" s="5"/>
      <c r="E739" s="13"/>
      <c r="F739" s="5"/>
      <c r="G739" s="11" t="str">
        <f>IF(ISERROR(AVERAGE(F$13:F739)),"n/a",AVERAGE(F$13:F739))</f>
        <v>n/a</v>
      </c>
      <c r="H739" s="11" t="str">
        <f t="shared" si="96"/>
        <v>n/a</v>
      </c>
      <c r="J739" s="5"/>
      <c r="K739" s="5"/>
      <c r="L739" s="5"/>
      <c r="M739" s="5"/>
      <c r="N739" s="5"/>
      <c r="O739" s="8" t="str">
        <f t="shared" si="94"/>
        <v>n/a</v>
      </c>
      <c r="Q739" s="5"/>
      <c r="R739" s="5"/>
      <c r="S739" s="5"/>
      <c r="U739" s="6"/>
      <c r="V739" s="9" t="str">
        <f t="shared" si="97"/>
        <v/>
      </c>
      <c r="W739" s="9" t="str">
        <f t="shared" si="98"/>
        <v/>
      </c>
      <c r="X739" s="10">
        <f>SUM(V$13:V739)/COUNTA(B$13:B739)</f>
        <v>0</v>
      </c>
      <c r="Z739" s="5"/>
      <c r="AA739" s="5"/>
      <c r="AC739" s="7"/>
      <c r="AE739" s="54" t="e">
        <f t="shared" si="99"/>
        <v>#N/A</v>
      </c>
      <c r="AF739" s="4" t="e">
        <f t="shared" si="95"/>
        <v>#N/A</v>
      </c>
    </row>
    <row r="740" spans="2:32">
      <c r="B740" s="5">
        <f t="shared" si="100"/>
        <v>728</v>
      </c>
      <c r="C740" s="5"/>
      <c r="E740" s="13"/>
      <c r="F740" s="5"/>
      <c r="G740" s="11" t="str">
        <f>IF(ISERROR(AVERAGE(F$13:F740)),"n/a",AVERAGE(F$13:F740))</f>
        <v>n/a</v>
      </c>
      <c r="H740" s="11" t="str">
        <f t="shared" si="96"/>
        <v>n/a</v>
      </c>
      <c r="J740" s="5"/>
      <c r="K740" s="5"/>
      <c r="L740" s="5"/>
      <c r="M740" s="5"/>
      <c r="N740" s="5"/>
      <c r="O740" s="8" t="str">
        <f t="shared" si="94"/>
        <v>n/a</v>
      </c>
      <c r="Q740" s="5"/>
      <c r="R740" s="5"/>
      <c r="S740" s="5"/>
      <c r="U740" s="6"/>
      <c r="V740" s="9" t="str">
        <f t="shared" si="97"/>
        <v/>
      </c>
      <c r="W740" s="9" t="str">
        <f t="shared" si="98"/>
        <v/>
      </c>
      <c r="X740" s="10">
        <f>SUM(V$13:V740)/COUNTA(B$13:B740)</f>
        <v>0</v>
      </c>
      <c r="Z740" s="5"/>
      <c r="AA740" s="5"/>
      <c r="AC740" s="7"/>
      <c r="AE740" s="54" t="e">
        <f t="shared" si="99"/>
        <v>#N/A</v>
      </c>
      <c r="AF740" s="4" t="e">
        <f t="shared" si="95"/>
        <v>#N/A</v>
      </c>
    </row>
    <row r="741" spans="2:32">
      <c r="B741" s="5">
        <f t="shared" si="100"/>
        <v>729</v>
      </c>
      <c r="C741" s="5"/>
      <c r="E741" s="13"/>
      <c r="F741" s="5"/>
      <c r="G741" s="11" t="str">
        <f>IF(ISERROR(AVERAGE(F$13:F741)),"n/a",AVERAGE(F$13:F741))</f>
        <v>n/a</v>
      </c>
      <c r="H741" s="11" t="str">
        <f t="shared" si="96"/>
        <v>n/a</v>
      </c>
      <c r="J741" s="5"/>
      <c r="K741" s="5"/>
      <c r="L741" s="5"/>
      <c r="M741" s="5"/>
      <c r="N741" s="5"/>
      <c r="O741" s="8" t="str">
        <f t="shared" si="94"/>
        <v>n/a</v>
      </c>
      <c r="Q741" s="5"/>
      <c r="R741" s="5"/>
      <c r="S741" s="5"/>
      <c r="U741" s="6"/>
      <c r="V741" s="9" t="str">
        <f t="shared" si="97"/>
        <v/>
      </c>
      <c r="W741" s="9" t="str">
        <f t="shared" si="98"/>
        <v/>
      </c>
      <c r="X741" s="10">
        <f>SUM(V$13:V741)/COUNTA(B$13:B741)</f>
        <v>0</v>
      </c>
      <c r="Z741" s="5"/>
      <c r="AA741" s="5"/>
      <c r="AC741" s="7"/>
      <c r="AE741" s="54" t="e">
        <f t="shared" si="99"/>
        <v>#N/A</v>
      </c>
      <c r="AF741" s="4" t="e">
        <f t="shared" si="95"/>
        <v>#N/A</v>
      </c>
    </row>
    <row r="742" spans="2:32">
      <c r="B742" s="5">
        <f t="shared" si="100"/>
        <v>730</v>
      </c>
      <c r="C742" s="5"/>
      <c r="E742" s="13"/>
      <c r="F742" s="5"/>
      <c r="G742" s="11" t="str">
        <f>IF(ISERROR(AVERAGE(F$13:F742)),"n/a",AVERAGE(F$13:F742))</f>
        <v>n/a</v>
      </c>
      <c r="H742" s="11" t="str">
        <f t="shared" si="96"/>
        <v>n/a</v>
      </c>
      <c r="J742" s="5"/>
      <c r="K742" s="5"/>
      <c r="L742" s="5"/>
      <c r="M742" s="5"/>
      <c r="N742" s="5"/>
      <c r="O742" s="8" t="str">
        <f t="shared" si="94"/>
        <v>n/a</v>
      </c>
      <c r="Q742" s="5"/>
      <c r="R742" s="5"/>
      <c r="S742" s="5"/>
      <c r="U742" s="6"/>
      <c r="V742" s="9" t="str">
        <f t="shared" si="97"/>
        <v/>
      </c>
      <c r="W742" s="9" t="str">
        <f t="shared" si="98"/>
        <v/>
      </c>
      <c r="X742" s="10">
        <f>SUM(V$13:V742)/COUNTA(B$13:B742)</f>
        <v>0</v>
      </c>
      <c r="Z742" s="5"/>
      <c r="AA742" s="5"/>
      <c r="AC742" s="7"/>
      <c r="AE742" s="54" t="e">
        <f t="shared" si="99"/>
        <v>#N/A</v>
      </c>
      <c r="AF742" s="4" t="e">
        <f t="shared" si="95"/>
        <v>#N/A</v>
      </c>
    </row>
    <row r="743" spans="2:32">
      <c r="B743" s="5">
        <f t="shared" si="100"/>
        <v>731</v>
      </c>
      <c r="C743" s="5"/>
      <c r="E743" s="13"/>
      <c r="F743" s="5"/>
      <c r="G743" s="11" t="str">
        <f>IF(ISERROR(AVERAGE(F$13:F743)),"n/a",AVERAGE(F$13:F743))</f>
        <v>n/a</v>
      </c>
      <c r="H743" s="11" t="str">
        <f t="shared" si="96"/>
        <v>n/a</v>
      </c>
      <c r="J743" s="5"/>
      <c r="K743" s="5"/>
      <c r="L743" s="5"/>
      <c r="M743" s="5"/>
      <c r="N743" s="5"/>
      <c r="O743" s="8" t="str">
        <f t="shared" si="94"/>
        <v>n/a</v>
      </c>
      <c r="Q743" s="5"/>
      <c r="R743" s="5"/>
      <c r="S743" s="5"/>
      <c r="U743" s="6"/>
      <c r="V743" s="9" t="str">
        <f t="shared" si="97"/>
        <v/>
      </c>
      <c r="W743" s="9" t="str">
        <f t="shared" si="98"/>
        <v/>
      </c>
      <c r="X743" s="10">
        <f>SUM(V$13:V743)/COUNTA(B$13:B743)</f>
        <v>0</v>
      </c>
      <c r="Z743" s="5"/>
      <c r="AA743" s="5"/>
      <c r="AC743" s="7"/>
      <c r="AE743" s="54" t="e">
        <f t="shared" si="99"/>
        <v>#N/A</v>
      </c>
      <c r="AF743" s="4" t="e">
        <f t="shared" si="95"/>
        <v>#N/A</v>
      </c>
    </row>
    <row r="744" spans="2:32">
      <c r="B744" s="5">
        <f t="shared" si="100"/>
        <v>732</v>
      </c>
      <c r="C744" s="5"/>
      <c r="E744" s="13"/>
      <c r="F744" s="5"/>
      <c r="G744" s="11" t="str">
        <f>IF(ISERROR(AVERAGE(F$13:F744)),"n/a",AVERAGE(F$13:F744))</f>
        <v>n/a</v>
      </c>
      <c r="H744" s="11" t="str">
        <f t="shared" si="96"/>
        <v>n/a</v>
      </c>
      <c r="J744" s="5"/>
      <c r="K744" s="5"/>
      <c r="L744" s="5"/>
      <c r="M744" s="5"/>
      <c r="N744" s="5"/>
      <c r="O744" s="8" t="str">
        <f t="shared" si="94"/>
        <v>n/a</v>
      </c>
      <c r="Q744" s="5"/>
      <c r="R744" s="5"/>
      <c r="S744" s="5"/>
      <c r="U744" s="6"/>
      <c r="V744" s="9" t="str">
        <f t="shared" si="97"/>
        <v/>
      </c>
      <c r="W744" s="9" t="str">
        <f t="shared" si="98"/>
        <v/>
      </c>
      <c r="X744" s="10">
        <f>SUM(V$13:V744)/COUNTA(B$13:B744)</f>
        <v>0</v>
      </c>
      <c r="Z744" s="5"/>
      <c r="AA744" s="5"/>
      <c r="AC744" s="7"/>
      <c r="AE744" s="54" t="e">
        <f t="shared" si="99"/>
        <v>#N/A</v>
      </c>
      <c r="AF744" s="4" t="e">
        <f t="shared" si="95"/>
        <v>#N/A</v>
      </c>
    </row>
    <row r="745" spans="2:32">
      <c r="B745" s="5">
        <f t="shared" si="100"/>
        <v>733</v>
      </c>
      <c r="C745" s="5"/>
      <c r="E745" s="13"/>
      <c r="F745" s="5"/>
      <c r="G745" s="11" t="str">
        <f>IF(ISERROR(AVERAGE(F$13:F745)),"n/a",AVERAGE(F$13:F745))</f>
        <v>n/a</v>
      </c>
      <c r="H745" s="11" t="str">
        <f t="shared" si="96"/>
        <v>n/a</v>
      </c>
      <c r="J745" s="5"/>
      <c r="K745" s="5"/>
      <c r="L745" s="5"/>
      <c r="M745" s="5"/>
      <c r="N745" s="5"/>
      <c r="O745" s="8" t="str">
        <f t="shared" si="94"/>
        <v>n/a</v>
      </c>
      <c r="Q745" s="5"/>
      <c r="R745" s="5"/>
      <c r="S745" s="5"/>
      <c r="U745" s="6"/>
      <c r="V745" s="9" t="str">
        <f t="shared" si="97"/>
        <v/>
      </c>
      <c r="W745" s="9" t="str">
        <f t="shared" si="98"/>
        <v/>
      </c>
      <c r="X745" s="10">
        <f>SUM(V$13:V745)/COUNTA(B$13:B745)</f>
        <v>0</v>
      </c>
      <c r="Z745" s="5"/>
      <c r="AA745" s="5"/>
      <c r="AC745" s="7"/>
      <c r="AE745" s="54" t="e">
        <f t="shared" si="99"/>
        <v>#N/A</v>
      </c>
      <c r="AF745" s="4" t="e">
        <f t="shared" si="95"/>
        <v>#N/A</v>
      </c>
    </row>
    <row r="746" spans="2:32">
      <c r="B746" s="5">
        <f t="shared" si="100"/>
        <v>734</v>
      </c>
      <c r="C746" s="5"/>
      <c r="E746" s="13"/>
      <c r="F746" s="5"/>
      <c r="G746" s="11" t="str">
        <f>IF(ISERROR(AVERAGE(F$13:F746)),"n/a",AVERAGE(F$13:F746))</f>
        <v>n/a</v>
      </c>
      <c r="H746" s="11" t="str">
        <f t="shared" si="96"/>
        <v>n/a</v>
      </c>
      <c r="J746" s="5"/>
      <c r="K746" s="5"/>
      <c r="L746" s="5"/>
      <c r="M746" s="5"/>
      <c r="N746" s="5"/>
      <c r="O746" s="8" t="str">
        <f t="shared" si="94"/>
        <v>n/a</v>
      </c>
      <c r="Q746" s="5"/>
      <c r="R746" s="5"/>
      <c r="S746" s="5"/>
      <c r="U746" s="6"/>
      <c r="V746" s="9" t="str">
        <f t="shared" si="97"/>
        <v/>
      </c>
      <c r="W746" s="9" t="str">
        <f t="shared" si="98"/>
        <v/>
      </c>
      <c r="X746" s="10">
        <f>SUM(V$13:V746)/COUNTA(B$13:B746)</f>
        <v>0</v>
      </c>
      <c r="Z746" s="5"/>
      <c r="AA746" s="5"/>
      <c r="AC746" s="7"/>
      <c r="AE746" s="54" t="e">
        <f t="shared" si="99"/>
        <v>#N/A</v>
      </c>
      <c r="AF746" s="4" t="e">
        <f t="shared" si="95"/>
        <v>#N/A</v>
      </c>
    </row>
    <row r="747" spans="2:32">
      <c r="B747" s="5">
        <f t="shared" si="100"/>
        <v>735</v>
      </c>
      <c r="C747" s="5"/>
      <c r="E747" s="13"/>
      <c r="F747" s="5"/>
      <c r="G747" s="11" t="str">
        <f>IF(ISERROR(AVERAGE(F$13:F747)),"n/a",AVERAGE(F$13:F747))</f>
        <v>n/a</v>
      </c>
      <c r="H747" s="11" t="str">
        <f t="shared" si="96"/>
        <v>n/a</v>
      </c>
      <c r="J747" s="5"/>
      <c r="K747" s="5"/>
      <c r="L747" s="5"/>
      <c r="M747" s="5"/>
      <c r="N747" s="5"/>
      <c r="O747" s="8" t="str">
        <f t="shared" si="94"/>
        <v>n/a</v>
      </c>
      <c r="Q747" s="5"/>
      <c r="R747" s="5"/>
      <c r="S747" s="5"/>
      <c r="U747" s="6"/>
      <c r="V747" s="9" t="str">
        <f t="shared" si="97"/>
        <v/>
      </c>
      <c r="W747" s="9" t="str">
        <f t="shared" si="98"/>
        <v/>
      </c>
      <c r="X747" s="10">
        <f>SUM(V$13:V747)/COUNTA(B$13:B747)</f>
        <v>0</v>
      </c>
      <c r="Z747" s="5"/>
      <c r="AA747" s="5"/>
      <c r="AC747" s="7"/>
      <c r="AE747" s="54" t="e">
        <f t="shared" si="99"/>
        <v>#N/A</v>
      </c>
      <c r="AF747" s="4" t="e">
        <f t="shared" si="95"/>
        <v>#N/A</v>
      </c>
    </row>
    <row r="748" spans="2:32">
      <c r="B748" s="5">
        <f t="shared" si="100"/>
        <v>736</v>
      </c>
      <c r="C748" s="5"/>
      <c r="E748" s="13"/>
      <c r="F748" s="5"/>
      <c r="G748" s="11" t="str">
        <f>IF(ISERROR(AVERAGE(F$13:F748)),"n/a",AVERAGE(F$13:F748))</f>
        <v>n/a</v>
      </c>
      <c r="H748" s="11" t="str">
        <f t="shared" si="96"/>
        <v>n/a</v>
      </c>
      <c r="J748" s="5"/>
      <c r="K748" s="5"/>
      <c r="L748" s="5"/>
      <c r="M748" s="5"/>
      <c r="N748" s="5"/>
      <c r="O748" s="8" t="str">
        <f t="shared" si="94"/>
        <v>n/a</v>
      </c>
      <c r="Q748" s="5"/>
      <c r="R748" s="5"/>
      <c r="S748" s="5"/>
      <c r="U748" s="6"/>
      <c r="V748" s="9" t="str">
        <f t="shared" si="97"/>
        <v/>
      </c>
      <c r="W748" s="9" t="str">
        <f t="shared" si="98"/>
        <v/>
      </c>
      <c r="X748" s="10">
        <f>SUM(V$13:V748)/COUNTA(B$13:B748)</f>
        <v>0</v>
      </c>
      <c r="Z748" s="5"/>
      <c r="AA748" s="5"/>
      <c r="AC748" s="7"/>
      <c r="AE748" s="54" t="e">
        <f t="shared" si="99"/>
        <v>#N/A</v>
      </c>
      <c r="AF748" s="4" t="e">
        <f t="shared" si="95"/>
        <v>#N/A</v>
      </c>
    </row>
    <row r="749" spans="2:32">
      <c r="B749" s="5">
        <f t="shared" si="100"/>
        <v>737</v>
      </c>
      <c r="C749" s="5"/>
      <c r="E749" s="13"/>
      <c r="F749" s="5"/>
      <c r="G749" s="11" t="str">
        <f>IF(ISERROR(AVERAGE(F$13:F749)),"n/a",AVERAGE(F$13:F749))</f>
        <v>n/a</v>
      </c>
      <c r="H749" s="11" t="str">
        <f t="shared" si="96"/>
        <v>n/a</v>
      </c>
      <c r="J749" s="5"/>
      <c r="K749" s="5"/>
      <c r="L749" s="5"/>
      <c r="M749" s="5"/>
      <c r="N749" s="5"/>
      <c r="O749" s="8" t="str">
        <f t="shared" si="94"/>
        <v>n/a</v>
      </c>
      <c r="Q749" s="5"/>
      <c r="R749" s="5"/>
      <c r="S749" s="5"/>
      <c r="U749" s="6"/>
      <c r="V749" s="9" t="str">
        <f t="shared" si="97"/>
        <v/>
      </c>
      <c r="W749" s="9" t="str">
        <f t="shared" si="98"/>
        <v/>
      </c>
      <c r="X749" s="10">
        <f>SUM(V$13:V749)/COUNTA(B$13:B749)</f>
        <v>0</v>
      </c>
      <c r="Z749" s="5"/>
      <c r="AA749" s="5"/>
      <c r="AC749" s="7"/>
      <c r="AE749" s="54" t="e">
        <f t="shared" si="99"/>
        <v>#N/A</v>
      </c>
      <c r="AF749" s="4" t="e">
        <f t="shared" si="95"/>
        <v>#N/A</v>
      </c>
    </row>
    <row r="750" spans="2:32">
      <c r="B750" s="5">
        <f t="shared" si="100"/>
        <v>738</v>
      </c>
      <c r="C750" s="5"/>
      <c r="E750" s="13"/>
      <c r="F750" s="5"/>
      <c r="G750" s="11" t="str">
        <f>IF(ISERROR(AVERAGE(F$13:F750)),"n/a",AVERAGE(F$13:F750))</f>
        <v>n/a</v>
      </c>
      <c r="H750" s="11" t="str">
        <f t="shared" si="96"/>
        <v>n/a</v>
      </c>
      <c r="J750" s="5"/>
      <c r="K750" s="5"/>
      <c r="L750" s="5"/>
      <c r="M750" s="5"/>
      <c r="N750" s="5"/>
      <c r="O750" s="8" t="str">
        <f t="shared" si="94"/>
        <v>n/a</v>
      </c>
      <c r="Q750" s="5"/>
      <c r="R750" s="5"/>
      <c r="S750" s="5"/>
      <c r="U750" s="6"/>
      <c r="V750" s="9" t="str">
        <f t="shared" si="97"/>
        <v/>
      </c>
      <c r="W750" s="9" t="str">
        <f t="shared" si="98"/>
        <v/>
      </c>
      <c r="X750" s="10">
        <f>SUM(V$13:V750)/COUNTA(B$13:B750)</f>
        <v>0</v>
      </c>
      <c r="Z750" s="5"/>
      <c r="AA750" s="5"/>
      <c r="AC750" s="7"/>
      <c r="AE750" s="54" t="e">
        <f t="shared" si="99"/>
        <v>#N/A</v>
      </c>
      <c r="AF750" s="4" t="e">
        <f t="shared" si="95"/>
        <v>#N/A</v>
      </c>
    </row>
    <row r="751" spans="2:32">
      <c r="B751" s="5">
        <f t="shared" si="100"/>
        <v>739</v>
      </c>
      <c r="C751" s="5"/>
      <c r="E751" s="13"/>
      <c r="F751" s="5"/>
      <c r="G751" s="11" t="str">
        <f>IF(ISERROR(AVERAGE(F$13:F751)),"n/a",AVERAGE(F$13:F751))</f>
        <v>n/a</v>
      </c>
      <c r="H751" s="11" t="str">
        <f t="shared" si="96"/>
        <v>n/a</v>
      </c>
      <c r="J751" s="5"/>
      <c r="K751" s="5"/>
      <c r="L751" s="5"/>
      <c r="M751" s="5"/>
      <c r="N751" s="5"/>
      <c r="O751" s="8" t="str">
        <f t="shared" si="94"/>
        <v>n/a</v>
      </c>
      <c r="Q751" s="5"/>
      <c r="R751" s="5"/>
      <c r="S751" s="5"/>
      <c r="U751" s="6"/>
      <c r="V751" s="9" t="str">
        <f t="shared" si="97"/>
        <v/>
      </c>
      <c r="W751" s="9" t="str">
        <f t="shared" si="98"/>
        <v/>
      </c>
      <c r="X751" s="10">
        <f>SUM(V$13:V751)/COUNTA(B$13:B751)</f>
        <v>0</v>
      </c>
      <c r="Z751" s="5"/>
      <c r="AA751" s="5"/>
      <c r="AC751" s="7"/>
      <c r="AE751" s="54" t="e">
        <f t="shared" si="99"/>
        <v>#N/A</v>
      </c>
      <c r="AF751" s="4" t="e">
        <f t="shared" si="95"/>
        <v>#N/A</v>
      </c>
    </row>
    <row r="752" spans="2:32">
      <c r="B752" s="5">
        <f t="shared" si="100"/>
        <v>740</v>
      </c>
      <c r="C752" s="5"/>
      <c r="E752" s="13"/>
      <c r="F752" s="5"/>
      <c r="G752" s="11" t="str">
        <f>IF(ISERROR(AVERAGE(F$13:F752)),"n/a",AVERAGE(F$13:F752))</f>
        <v>n/a</v>
      </c>
      <c r="H752" s="11" t="str">
        <f t="shared" si="96"/>
        <v>n/a</v>
      </c>
      <c r="J752" s="5"/>
      <c r="K752" s="5"/>
      <c r="L752" s="5"/>
      <c r="M752" s="5"/>
      <c r="N752" s="5"/>
      <c r="O752" s="8" t="str">
        <f t="shared" si="94"/>
        <v>n/a</v>
      </c>
      <c r="Q752" s="5"/>
      <c r="R752" s="5"/>
      <c r="S752" s="5"/>
      <c r="U752" s="6"/>
      <c r="V752" s="9" t="str">
        <f t="shared" si="97"/>
        <v/>
      </c>
      <c r="W752" s="9" t="str">
        <f t="shared" si="98"/>
        <v/>
      </c>
      <c r="X752" s="10">
        <f>SUM(V$13:V752)/COUNTA(B$13:B752)</f>
        <v>0</v>
      </c>
      <c r="Z752" s="5"/>
      <c r="AA752" s="5"/>
      <c r="AC752" s="7"/>
      <c r="AE752" s="54" t="e">
        <f t="shared" si="99"/>
        <v>#N/A</v>
      </c>
      <c r="AF752" s="4" t="e">
        <f t="shared" si="95"/>
        <v>#N/A</v>
      </c>
    </row>
    <row r="753" spans="2:32">
      <c r="B753" s="5">
        <f t="shared" si="100"/>
        <v>741</v>
      </c>
      <c r="C753" s="5"/>
      <c r="E753" s="13"/>
      <c r="F753" s="5"/>
      <c r="G753" s="11" t="str">
        <f>IF(ISERROR(AVERAGE(F$13:F753)),"n/a",AVERAGE(F$13:F753))</f>
        <v>n/a</v>
      </c>
      <c r="H753" s="11" t="str">
        <f t="shared" si="96"/>
        <v>n/a</v>
      </c>
      <c r="J753" s="5"/>
      <c r="K753" s="5"/>
      <c r="L753" s="5"/>
      <c r="M753" s="5"/>
      <c r="N753" s="5"/>
      <c r="O753" s="8" t="str">
        <f t="shared" si="94"/>
        <v>n/a</v>
      </c>
      <c r="Q753" s="5"/>
      <c r="R753" s="5"/>
      <c r="S753" s="5"/>
      <c r="U753" s="6"/>
      <c r="V753" s="9" t="str">
        <f t="shared" si="97"/>
        <v/>
      </c>
      <c r="W753" s="9" t="str">
        <f t="shared" si="98"/>
        <v/>
      </c>
      <c r="X753" s="10">
        <f>SUM(V$13:V753)/COUNTA(B$13:B753)</f>
        <v>0</v>
      </c>
      <c r="Z753" s="5"/>
      <c r="AA753" s="5"/>
      <c r="AC753" s="7"/>
      <c r="AE753" s="54" t="e">
        <f t="shared" si="99"/>
        <v>#N/A</v>
      </c>
      <c r="AF753" s="4" t="e">
        <f t="shared" si="95"/>
        <v>#N/A</v>
      </c>
    </row>
    <row r="754" spans="2:32">
      <c r="B754" s="5">
        <f t="shared" si="100"/>
        <v>742</v>
      </c>
      <c r="C754" s="5"/>
      <c r="E754" s="13"/>
      <c r="F754" s="5"/>
      <c r="G754" s="11" t="str">
        <f>IF(ISERROR(AVERAGE(F$13:F754)),"n/a",AVERAGE(F$13:F754))</f>
        <v>n/a</v>
      </c>
      <c r="H754" s="11" t="str">
        <f t="shared" si="96"/>
        <v>n/a</v>
      </c>
      <c r="J754" s="5"/>
      <c r="K754" s="5"/>
      <c r="L754" s="5"/>
      <c r="M754" s="5"/>
      <c r="N754" s="5"/>
      <c r="O754" s="8" t="str">
        <f t="shared" si="94"/>
        <v>n/a</v>
      </c>
      <c r="Q754" s="5"/>
      <c r="R754" s="5"/>
      <c r="S754" s="5"/>
      <c r="U754" s="6"/>
      <c r="V754" s="9" t="str">
        <f t="shared" si="97"/>
        <v/>
      </c>
      <c r="W754" s="9" t="str">
        <f t="shared" si="98"/>
        <v/>
      </c>
      <c r="X754" s="10">
        <f>SUM(V$13:V754)/COUNTA(B$13:B754)</f>
        <v>0</v>
      </c>
      <c r="Z754" s="5"/>
      <c r="AA754" s="5"/>
      <c r="AC754" s="7"/>
      <c r="AE754" s="54" t="e">
        <f t="shared" si="99"/>
        <v>#N/A</v>
      </c>
      <c r="AF754" s="4" t="e">
        <f t="shared" si="95"/>
        <v>#N/A</v>
      </c>
    </row>
    <row r="755" spans="2:32">
      <c r="B755" s="5">
        <f t="shared" si="100"/>
        <v>743</v>
      </c>
      <c r="C755" s="5"/>
      <c r="E755" s="13"/>
      <c r="F755" s="5"/>
      <c r="G755" s="11" t="str">
        <f>IF(ISERROR(AVERAGE(F$13:F755)),"n/a",AVERAGE(F$13:F755))</f>
        <v>n/a</v>
      </c>
      <c r="H755" s="11" t="str">
        <f t="shared" si="96"/>
        <v>n/a</v>
      </c>
      <c r="J755" s="5"/>
      <c r="K755" s="5"/>
      <c r="L755" s="5"/>
      <c r="M755" s="5"/>
      <c r="N755" s="5"/>
      <c r="O755" s="8" t="str">
        <f t="shared" si="94"/>
        <v>n/a</v>
      </c>
      <c r="Q755" s="5"/>
      <c r="R755" s="5"/>
      <c r="S755" s="5"/>
      <c r="U755" s="6"/>
      <c r="V755" s="9" t="str">
        <f t="shared" si="97"/>
        <v/>
      </c>
      <c r="W755" s="9" t="str">
        <f t="shared" si="98"/>
        <v/>
      </c>
      <c r="X755" s="10">
        <f>SUM(V$13:V755)/COUNTA(B$13:B755)</f>
        <v>0</v>
      </c>
      <c r="Z755" s="5"/>
      <c r="AA755" s="5"/>
      <c r="AC755" s="7"/>
      <c r="AE755" s="54" t="e">
        <f t="shared" si="99"/>
        <v>#N/A</v>
      </c>
      <c r="AF755" s="4" t="e">
        <f t="shared" si="95"/>
        <v>#N/A</v>
      </c>
    </row>
    <row r="756" spans="2:32">
      <c r="B756" s="5">
        <f t="shared" si="100"/>
        <v>744</v>
      </c>
      <c r="C756" s="5"/>
      <c r="E756" s="13"/>
      <c r="F756" s="5"/>
      <c r="G756" s="11" t="str">
        <f>IF(ISERROR(AVERAGE(F$13:F756)),"n/a",AVERAGE(F$13:F756))</f>
        <v>n/a</v>
      </c>
      <c r="H756" s="11" t="str">
        <f t="shared" si="96"/>
        <v>n/a</v>
      </c>
      <c r="J756" s="5"/>
      <c r="K756" s="5"/>
      <c r="L756" s="5"/>
      <c r="M756" s="5"/>
      <c r="N756" s="5"/>
      <c r="O756" s="8" t="str">
        <f t="shared" si="94"/>
        <v>n/a</v>
      </c>
      <c r="Q756" s="5"/>
      <c r="R756" s="5"/>
      <c r="S756" s="5"/>
      <c r="U756" s="6"/>
      <c r="V756" s="9" t="str">
        <f t="shared" si="97"/>
        <v/>
      </c>
      <c r="W756" s="9" t="str">
        <f t="shared" si="98"/>
        <v/>
      </c>
      <c r="X756" s="10">
        <f>SUM(V$13:V756)/COUNTA(B$13:B756)</f>
        <v>0</v>
      </c>
      <c r="Z756" s="5"/>
      <c r="AA756" s="5"/>
      <c r="AC756" s="7"/>
      <c r="AE756" s="54" t="e">
        <f t="shared" si="99"/>
        <v>#N/A</v>
      </c>
      <c r="AF756" s="4" t="e">
        <f t="shared" si="95"/>
        <v>#N/A</v>
      </c>
    </row>
    <row r="757" spans="2:32">
      <c r="B757" s="5">
        <f t="shared" si="100"/>
        <v>745</v>
      </c>
      <c r="C757" s="5"/>
      <c r="E757" s="13"/>
      <c r="F757" s="5"/>
      <c r="G757" s="11" t="str">
        <f>IF(ISERROR(AVERAGE(F$13:F757)),"n/a",AVERAGE(F$13:F757))</f>
        <v>n/a</v>
      </c>
      <c r="H757" s="11" t="str">
        <f t="shared" si="96"/>
        <v>n/a</v>
      </c>
      <c r="J757" s="5"/>
      <c r="K757" s="5"/>
      <c r="L757" s="5"/>
      <c r="M757" s="5"/>
      <c r="N757" s="5"/>
      <c r="O757" s="8" t="str">
        <f t="shared" si="94"/>
        <v>n/a</v>
      </c>
      <c r="Q757" s="5"/>
      <c r="R757" s="5"/>
      <c r="S757" s="5"/>
      <c r="U757" s="6"/>
      <c r="V757" s="9" t="str">
        <f t="shared" si="97"/>
        <v/>
      </c>
      <c r="W757" s="9" t="str">
        <f t="shared" si="98"/>
        <v/>
      </c>
      <c r="X757" s="10">
        <f>SUM(V$13:V757)/COUNTA(B$13:B757)</f>
        <v>0</v>
      </c>
      <c r="Z757" s="5"/>
      <c r="AA757" s="5"/>
      <c r="AC757" s="7"/>
      <c r="AE757" s="54" t="e">
        <f t="shared" si="99"/>
        <v>#N/A</v>
      </c>
      <c r="AF757" s="4" t="e">
        <f t="shared" si="95"/>
        <v>#N/A</v>
      </c>
    </row>
    <row r="758" spans="2:32">
      <c r="B758" s="5">
        <f t="shared" si="100"/>
        <v>746</v>
      </c>
      <c r="C758" s="5"/>
      <c r="E758" s="13"/>
      <c r="F758" s="5"/>
      <c r="G758" s="11" t="str">
        <f>IF(ISERROR(AVERAGE(F$13:F758)),"n/a",AVERAGE(F$13:F758))</f>
        <v>n/a</v>
      </c>
      <c r="H758" s="11" t="str">
        <f t="shared" si="96"/>
        <v>n/a</v>
      </c>
      <c r="J758" s="5"/>
      <c r="K758" s="5"/>
      <c r="L758" s="5"/>
      <c r="M758" s="5"/>
      <c r="N758" s="5"/>
      <c r="O758" s="8" t="str">
        <f t="shared" si="94"/>
        <v>n/a</v>
      </c>
      <c r="Q758" s="5"/>
      <c r="R758" s="5"/>
      <c r="S758" s="5"/>
      <c r="U758" s="6"/>
      <c r="V758" s="9" t="str">
        <f t="shared" si="97"/>
        <v/>
      </c>
      <c r="W758" s="9" t="str">
        <f t="shared" si="98"/>
        <v/>
      </c>
      <c r="X758" s="10">
        <f>SUM(V$13:V758)/COUNTA(B$13:B758)</f>
        <v>0</v>
      </c>
      <c r="Z758" s="5"/>
      <c r="AA758" s="5"/>
      <c r="AC758" s="7"/>
      <c r="AE758" s="54" t="e">
        <f t="shared" si="99"/>
        <v>#N/A</v>
      </c>
      <c r="AF758" s="4" t="e">
        <f t="shared" si="95"/>
        <v>#N/A</v>
      </c>
    </row>
    <row r="759" spans="2:32">
      <c r="B759" s="5">
        <f t="shared" si="100"/>
        <v>747</v>
      </c>
      <c r="C759" s="5"/>
      <c r="E759" s="13"/>
      <c r="F759" s="5"/>
      <c r="G759" s="11" t="str">
        <f>IF(ISERROR(AVERAGE(F$13:F759)),"n/a",AVERAGE(F$13:F759))</f>
        <v>n/a</v>
      </c>
      <c r="H759" s="11" t="str">
        <f t="shared" si="96"/>
        <v>n/a</v>
      </c>
      <c r="J759" s="5"/>
      <c r="K759" s="5"/>
      <c r="L759" s="5"/>
      <c r="M759" s="5"/>
      <c r="N759" s="5"/>
      <c r="O759" s="8" t="str">
        <f t="shared" si="94"/>
        <v>n/a</v>
      </c>
      <c r="Q759" s="5"/>
      <c r="R759" s="5"/>
      <c r="S759" s="5"/>
      <c r="U759" s="6"/>
      <c r="V759" s="9" t="str">
        <f t="shared" si="97"/>
        <v/>
      </c>
      <c r="W759" s="9" t="str">
        <f t="shared" si="98"/>
        <v/>
      </c>
      <c r="X759" s="10">
        <f>SUM(V$13:V759)/COUNTA(B$13:B759)</f>
        <v>0</v>
      </c>
      <c r="Z759" s="5"/>
      <c r="AA759" s="5"/>
      <c r="AC759" s="7"/>
      <c r="AE759" s="54" t="e">
        <f t="shared" si="99"/>
        <v>#N/A</v>
      </c>
      <c r="AF759" s="4" t="e">
        <f t="shared" si="95"/>
        <v>#N/A</v>
      </c>
    </row>
    <row r="760" spans="2:32">
      <c r="B760" s="5">
        <f t="shared" si="100"/>
        <v>748</v>
      </c>
      <c r="C760" s="5"/>
      <c r="E760" s="13"/>
      <c r="F760" s="5"/>
      <c r="G760" s="11" t="str">
        <f>IF(ISERROR(AVERAGE(F$13:F760)),"n/a",AVERAGE(F$13:F760))</f>
        <v>n/a</v>
      </c>
      <c r="H760" s="11" t="str">
        <f t="shared" si="96"/>
        <v>n/a</v>
      </c>
      <c r="J760" s="5"/>
      <c r="K760" s="5"/>
      <c r="L760" s="5"/>
      <c r="M760" s="5"/>
      <c r="N760" s="5"/>
      <c r="O760" s="8" t="str">
        <f t="shared" si="94"/>
        <v>n/a</v>
      </c>
      <c r="Q760" s="5"/>
      <c r="R760" s="5"/>
      <c r="S760" s="5"/>
      <c r="U760" s="6"/>
      <c r="V760" s="9" t="str">
        <f t="shared" si="97"/>
        <v/>
      </c>
      <c r="W760" s="9" t="str">
        <f t="shared" si="98"/>
        <v/>
      </c>
      <c r="X760" s="10">
        <f>SUM(V$13:V760)/COUNTA(B$13:B760)</f>
        <v>0</v>
      </c>
      <c r="Z760" s="5"/>
      <c r="AA760" s="5"/>
      <c r="AC760" s="7"/>
      <c r="AE760" s="54" t="e">
        <f t="shared" si="99"/>
        <v>#N/A</v>
      </c>
      <c r="AF760" s="4" t="e">
        <f t="shared" si="95"/>
        <v>#N/A</v>
      </c>
    </row>
    <row r="761" spans="2:32">
      <c r="B761" s="5">
        <f t="shared" si="100"/>
        <v>749</v>
      </c>
      <c r="C761" s="5"/>
      <c r="E761" s="13"/>
      <c r="F761" s="5"/>
      <c r="G761" s="11" t="str">
        <f>IF(ISERROR(AVERAGE(F$13:F761)),"n/a",AVERAGE(F$13:F761))</f>
        <v>n/a</v>
      </c>
      <c r="H761" s="11" t="str">
        <f t="shared" si="96"/>
        <v>n/a</v>
      </c>
      <c r="J761" s="5"/>
      <c r="K761" s="5"/>
      <c r="L761" s="5"/>
      <c r="M761" s="5"/>
      <c r="N761" s="5"/>
      <c r="O761" s="8" t="str">
        <f t="shared" si="94"/>
        <v>n/a</v>
      </c>
      <c r="Q761" s="5"/>
      <c r="R761" s="5"/>
      <c r="S761" s="5"/>
      <c r="U761" s="6"/>
      <c r="V761" s="9" t="str">
        <f t="shared" si="97"/>
        <v/>
      </c>
      <c r="W761" s="9" t="str">
        <f t="shared" si="98"/>
        <v/>
      </c>
      <c r="X761" s="10">
        <f>SUM(V$13:V761)/COUNTA(B$13:B761)</f>
        <v>0</v>
      </c>
      <c r="Z761" s="5"/>
      <c r="AA761" s="5"/>
      <c r="AC761" s="7"/>
      <c r="AE761" s="54" t="e">
        <f t="shared" si="99"/>
        <v>#N/A</v>
      </c>
      <c r="AF761" s="4" t="e">
        <f t="shared" si="95"/>
        <v>#N/A</v>
      </c>
    </row>
    <row r="762" spans="2:32">
      <c r="B762" s="5">
        <f t="shared" si="100"/>
        <v>750</v>
      </c>
      <c r="C762" s="5"/>
      <c r="E762" s="13"/>
      <c r="F762" s="5"/>
      <c r="G762" s="11" t="str">
        <f>IF(ISERROR(AVERAGE(F$13:F762)),"n/a",AVERAGE(F$13:F762))</f>
        <v>n/a</v>
      </c>
      <c r="H762" s="11" t="str">
        <f t="shared" si="96"/>
        <v>n/a</v>
      </c>
      <c r="J762" s="5"/>
      <c r="K762" s="5"/>
      <c r="L762" s="5"/>
      <c r="M762" s="5"/>
      <c r="N762" s="5"/>
      <c r="O762" s="8" t="str">
        <f t="shared" si="94"/>
        <v>n/a</v>
      </c>
      <c r="Q762" s="5"/>
      <c r="R762" s="5"/>
      <c r="S762" s="5"/>
      <c r="U762" s="6"/>
      <c r="V762" s="9" t="str">
        <f t="shared" si="97"/>
        <v/>
      </c>
      <c r="W762" s="9" t="str">
        <f t="shared" si="98"/>
        <v/>
      </c>
      <c r="X762" s="10">
        <f>SUM(V$13:V762)/COUNTA(B$13:B762)</f>
        <v>0</v>
      </c>
      <c r="Z762" s="5"/>
      <c r="AA762" s="5"/>
      <c r="AC762" s="7"/>
      <c r="AE762" s="54" t="e">
        <f t="shared" si="99"/>
        <v>#N/A</v>
      </c>
      <c r="AF762" s="4" t="e">
        <f t="shared" si="95"/>
        <v>#N/A</v>
      </c>
    </row>
    <row r="763" spans="2:32">
      <c r="B763" s="5">
        <f t="shared" si="100"/>
        <v>751</v>
      </c>
      <c r="C763" s="5"/>
      <c r="E763" s="13"/>
      <c r="F763" s="5"/>
      <c r="G763" s="11" t="str">
        <f>IF(ISERROR(AVERAGE(F$13:F763)),"n/a",AVERAGE(F$13:F763))</f>
        <v>n/a</v>
      </c>
      <c r="H763" s="11" t="str">
        <f t="shared" si="96"/>
        <v>n/a</v>
      </c>
      <c r="J763" s="5"/>
      <c r="K763" s="5"/>
      <c r="L763" s="5"/>
      <c r="M763" s="5"/>
      <c r="N763" s="5"/>
      <c r="O763" s="8" t="str">
        <f t="shared" si="94"/>
        <v>n/a</v>
      </c>
      <c r="Q763" s="5"/>
      <c r="R763" s="5"/>
      <c r="S763" s="5"/>
      <c r="U763" s="6"/>
      <c r="V763" s="9" t="str">
        <f t="shared" si="97"/>
        <v/>
      </c>
      <c r="W763" s="9" t="str">
        <f t="shared" si="98"/>
        <v/>
      </c>
      <c r="X763" s="10">
        <f>SUM(V$13:V763)/COUNTA(B$13:B763)</f>
        <v>0</v>
      </c>
      <c r="Z763" s="5"/>
      <c r="AA763" s="5"/>
      <c r="AC763" s="7"/>
      <c r="AE763" s="54" t="e">
        <f t="shared" si="99"/>
        <v>#N/A</v>
      </c>
      <c r="AF763" s="4" t="e">
        <f t="shared" si="95"/>
        <v>#N/A</v>
      </c>
    </row>
    <row r="764" spans="2:32">
      <c r="B764" s="5">
        <f t="shared" si="100"/>
        <v>752</v>
      </c>
      <c r="C764" s="5"/>
      <c r="E764" s="13"/>
      <c r="F764" s="5"/>
      <c r="G764" s="11" t="str">
        <f>IF(ISERROR(AVERAGE(F$13:F764)),"n/a",AVERAGE(F$13:F764))</f>
        <v>n/a</v>
      </c>
      <c r="H764" s="11" t="str">
        <f t="shared" si="96"/>
        <v>n/a</v>
      </c>
      <c r="J764" s="5"/>
      <c r="K764" s="5"/>
      <c r="L764" s="5"/>
      <c r="M764" s="5"/>
      <c r="N764" s="5"/>
      <c r="O764" s="8" t="str">
        <f t="shared" si="94"/>
        <v>n/a</v>
      </c>
      <c r="Q764" s="5"/>
      <c r="R764" s="5"/>
      <c r="S764" s="5"/>
      <c r="U764" s="6"/>
      <c r="V764" s="9" t="str">
        <f t="shared" si="97"/>
        <v/>
      </c>
      <c r="W764" s="9" t="str">
        <f t="shared" si="98"/>
        <v/>
      </c>
      <c r="X764" s="10">
        <f>SUM(V$13:V764)/COUNTA(B$13:B764)</f>
        <v>0</v>
      </c>
      <c r="Z764" s="5"/>
      <c r="AA764" s="5"/>
      <c r="AC764" s="7"/>
      <c r="AE764" s="54" t="e">
        <f t="shared" si="99"/>
        <v>#N/A</v>
      </c>
      <c r="AF764" s="4" t="e">
        <f t="shared" si="95"/>
        <v>#N/A</v>
      </c>
    </row>
    <row r="765" spans="2:32">
      <c r="B765" s="5">
        <f t="shared" si="100"/>
        <v>753</v>
      </c>
      <c r="C765" s="5"/>
      <c r="E765" s="13"/>
      <c r="F765" s="5"/>
      <c r="G765" s="11" t="str">
        <f>IF(ISERROR(AVERAGE(F$13:F765)),"n/a",AVERAGE(F$13:F765))</f>
        <v>n/a</v>
      </c>
      <c r="H765" s="11" t="str">
        <f t="shared" si="96"/>
        <v>n/a</v>
      </c>
      <c r="J765" s="5"/>
      <c r="K765" s="5"/>
      <c r="L765" s="5"/>
      <c r="M765" s="5"/>
      <c r="N765" s="5"/>
      <c r="O765" s="8" t="str">
        <f t="shared" si="94"/>
        <v>n/a</v>
      </c>
      <c r="Q765" s="5"/>
      <c r="R765" s="5"/>
      <c r="S765" s="5"/>
      <c r="U765" s="6"/>
      <c r="V765" s="9" t="str">
        <f t="shared" si="97"/>
        <v/>
      </c>
      <c r="W765" s="9" t="str">
        <f t="shared" si="98"/>
        <v/>
      </c>
      <c r="X765" s="10">
        <f>SUM(V$13:V765)/COUNTA(B$13:B765)</f>
        <v>0</v>
      </c>
      <c r="Z765" s="5"/>
      <c r="AA765" s="5"/>
      <c r="AC765" s="7"/>
      <c r="AE765" s="54" t="e">
        <f t="shared" si="99"/>
        <v>#N/A</v>
      </c>
      <c r="AF765" s="4" t="e">
        <f t="shared" si="95"/>
        <v>#N/A</v>
      </c>
    </row>
    <row r="766" spans="2:32">
      <c r="B766" s="5">
        <f t="shared" si="100"/>
        <v>754</v>
      </c>
      <c r="C766" s="5"/>
      <c r="E766" s="13"/>
      <c r="F766" s="5"/>
      <c r="G766" s="11" t="str">
        <f>IF(ISERROR(AVERAGE(F$13:F766)),"n/a",AVERAGE(F$13:F766))</f>
        <v>n/a</v>
      </c>
      <c r="H766" s="11" t="str">
        <f t="shared" si="96"/>
        <v>n/a</v>
      </c>
      <c r="J766" s="5"/>
      <c r="K766" s="5"/>
      <c r="L766" s="5"/>
      <c r="M766" s="5"/>
      <c r="N766" s="5"/>
      <c r="O766" s="8" t="str">
        <f t="shared" si="94"/>
        <v>n/a</v>
      </c>
      <c r="Q766" s="5"/>
      <c r="R766" s="5"/>
      <c r="S766" s="5"/>
      <c r="U766" s="6"/>
      <c r="V766" s="9" t="str">
        <f t="shared" si="97"/>
        <v/>
      </c>
      <c r="W766" s="9" t="str">
        <f t="shared" si="98"/>
        <v/>
      </c>
      <c r="X766" s="10">
        <f>SUM(V$13:V766)/COUNTA(B$13:B766)</f>
        <v>0</v>
      </c>
      <c r="Z766" s="5"/>
      <c r="AA766" s="5"/>
      <c r="AC766" s="7"/>
      <c r="AE766" s="54" t="e">
        <f t="shared" si="99"/>
        <v>#N/A</v>
      </c>
      <c r="AF766" s="4" t="e">
        <f t="shared" si="95"/>
        <v>#N/A</v>
      </c>
    </row>
    <row r="767" spans="2:32">
      <c r="B767" s="5">
        <f t="shared" si="100"/>
        <v>755</v>
      </c>
      <c r="C767" s="5"/>
      <c r="E767" s="13"/>
      <c r="F767" s="5"/>
      <c r="G767" s="11" t="str">
        <f>IF(ISERROR(AVERAGE(F$13:F767)),"n/a",AVERAGE(F$13:F767))</f>
        <v>n/a</v>
      </c>
      <c r="H767" s="11" t="str">
        <f t="shared" si="96"/>
        <v>n/a</v>
      </c>
      <c r="J767" s="5"/>
      <c r="K767" s="5"/>
      <c r="L767" s="5"/>
      <c r="M767" s="5"/>
      <c r="N767" s="5"/>
      <c r="O767" s="8" t="str">
        <f t="shared" si="94"/>
        <v>n/a</v>
      </c>
      <c r="Q767" s="5"/>
      <c r="R767" s="5"/>
      <c r="S767" s="5"/>
      <c r="U767" s="6"/>
      <c r="V767" s="9" t="str">
        <f t="shared" si="97"/>
        <v/>
      </c>
      <c r="W767" s="9" t="str">
        <f t="shared" si="98"/>
        <v/>
      </c>
      <c r="X767" s="10">
        <f>SUM(V$13:V767)/COUNTA(B$13:B767)</f>
        <v>0</v>
      </c>
      <c r="Z767" s="5"/>
      <c r="AA767" s="5"/>
      <c r="AC767" s="7"/>
      <c r="AE767" s="54" t="e">
        <f t="shared" si="99"/>
        <v>#N/A</v>
      </c>
      <c r="AF767" s="4" t="e">
        <f t="shared" si="95"/>
        <v>#N/A</v>
      </c>
    </row>
    <row r="768" spans="2:32">
      <c r="B768" s="5">
        <f t="shared" si="100"/>
        <v>756</v>
      </c>
      <c r="C768" s="5"/>
      <c r="E768" s="13"/>
      <c r="F768" s="5"/>
      <c r="G768" s="11" t="str">
        <f>IF(ISERROR(AVERAGE(F$13:F768)),"n/a",AVERAGE(F$13:F768))</f>
        <v>n/a</v>
      </c>
      <c r="H768" s="11" t="str">
        <f t="shared" si="96"/>
        <v>n/a</v>
      </c>
      <c r="J768" s="5"/>
      <c r="K768" s="5"/>
      <c r="L768" s="5"/>
      <c r="M768" s="5"/>
      <c r="N768" s="5"/>
      <c r="O768" s="8" t="str">
        <f t="shared" si="94"/>
        <v>n/a</v>
      </c>
      <c r="Q768" s="5"/>
      <c r="R768" s="5"/>
      <c r="S768" s="5"/>
      <c r="U768" s="6"/>
      <c r="V768" s="9" t="str">
        <f t="shared" si="97"/>
        <v/>
      </c>
      <c r="W768" s="9" t="str">
        <f t="shared" si="98"/>
        <v/>
      </c>
      <c r="X768" s="10">
        <f>SUM(V$13:V768)/COUNTA(B$13:B768)</f>
        <v>0</v>
      </c>
      <c r="Z768" s="5"/>
      <c r="AA768" s="5"/>
      <c r="AC768" s="7"/>
      <c r="AE768" s="54" t="e">
        <f t="shared" si="99"/>
        <v>#N/A</v>
      </c>
      <c r="AF768" s="4" t="e">
        <f t="shared" si="95"/>
        <v>#N/A</v>
      </c>
    </row>
    <row r="769" spans="2:32">
      <c r="B769" s="5">
        <f t="shared" si="100"/>
        <v>757</v>
      </c>
      <c r="C769" s="5"/>
      <c r="E769" s="13"/>
      <c r="F769" s="5"/>
      <c r="G769" s="11" t="str">
        <f>IF(ISERROR(AVERAGE(F$13:F769)),"n/a",AVERAGE(F$13:F769))</f>
        <v>n/a</v>
      </c>
      <c r="H769" s="11" t="str">
        <f t="shared" si="96"/>
        <v>n/a</v>
      </c>
      <c r="J769" s="5"/>
      <c r="K769" s="5"/>
      <c r="L769" s="5"/>
      <c r="M769" s="5"/>
      <c r="N769" s="5"/>
      <c r="O769" s="8" t="str">
        <f t="shared" si="94"/>
        <v>n/a</v>
      </c>
      <c r="Q769" s="5"/>
      <c r="R769" s="5"/>
      <c r="S769" s="5"/>
      <c r="U769" s="6"/>
      <c r="V769" s="9" t="str">
        <f t="shared" si="97"/>
        <v/>
      </c>
      <c r="W769" s="9" t="str">
        <f t="shared" si="98"/>
        <v/>
      </c>
      <c r="X769" s="10">
        <f>SUM(V$13:V769)/COUNTA(B$13:B769)</f>
        <v>0</v>
      </c>
      <c r="Z769" s="5"/>
      <c r="AA769" s="5"/>
      <c r="AC769" s="7"/>
      <c r="AE769" s="54" t="e">
        <f t="shared" si="99"/>
        <v>#N/A</v>
      </c>
      <c r="AF769" s="4" t="e">
        <f t="shared" si="95"/>
        <v>#N/A</v>
      </c>
    </row>
    <row r="770" spans="2:32">
      <c r="B770" s="5">
        <f t="shared" si="100"/>
        <v>758</v>
      </c>
      <c r="C770" s="5"/>
      <c r="E770" s="13"/>
      <c r="F770" s="5"/>
      <c r="G770" s="11" t="str">
        <f>IF(ISERROR(AVERAGE(F$13:F770)),"n/a",AVERAGE(F$13:F770))</f>
        <v>n/a</v>
      </c>
      <c r="H770" s="11" t="str">
        <f t="shared" si="96"/>
        <v>n/a</v>
      </c>
      <c r="J770" s="5"/>
      <c r="K770" s="5"/>
      <c r="L770" s="5"/>
      <c r="M770" s="5"/>
      <c r="N770" s="5"/>
      <c r="O770" s="8" t="str">
        <f t="shared" si="94"/>
        <v>n/a</v>
      </c>
      <c r="Q770" s="5"/>
      <c r="R770" s="5"/>
      <c r="S770" s="5"/>
      <c r="U770" s="6"/>
      <c r="V770" s="9" t="str">
        <f t="shared" si="97"/>
        <v/>
      </c>
      <c r="W770" s="9" t="str">
        <f t="shared" si="98"/>
        <v/>
      </c>
      <c r="X770" s="10">
        <f>SUM(V$13:V770)/COUNTA(B$13:B770)</f>
        <v>0</v>
      </c>
      <c r="Z770" s="5"/>
      <c r="AA770" s="5"/>
      <c r="AC770" s="7"/>
      <c r="AE770" s="54" t="e">
        <f t="shared" si="99"/>
        <v>#N/A</v>
      </c>
      <c r="AF770" s="4" t="e">
        <f t="shared" si="95"/>
        <v>#N/A</v>
      </c>
    </row>
    <row r="771" spans="2:32">
      <c r="B771" s="5">
        <f t="shared" si="100"/>
        <v>759</v>
      </c>
      <c r="C771" s="5"/>
      <c r="E771" s="13"/>
      <c r="F771" s="5"/>
      <c r="G771" s="11" t="str">
        <f>IF(ISERROR(AVERAGE(F$13:F771)),"n/a",AVERAGE(F$13:F771))</f>
        <v>n/a</v>
      </c>
      <c r="H771" s="11" t="str">
        <f t="shared" si="96"/>
        <v>n/a</v>
      </c>
      <c r="J771" s="5"/>
      <c r="K771" s="5"/>
      <c r="L771" s="5"/>
      <c r="M771" s="5"/>
      <c r="N771" s="5"/>
      <c r="O771" s="8" t="str">
        <f t="shared" si="94"/>
        <v>n/a</v>
      </c>
      <c r="Q771" s="5"/>
      <c r="R771" s="5"/>
      <c r="S771" s="5"/>
      <c r="U771" s="6"/>
      <c r="V771" s="9" t="str">
        <f t="shared" si="97"/>
        <v/>
      </c>
      <c r="W771" s="9" t="str">
        <f t="shared" si="98"/>
        <v/>
      </c>
      <c r="X771" s="10">
        <f>SUM(V$13:V771)/COUNTA(B$13:B771)</f>
        <v>0</v>
      </c>
      <c r="Z771" s="5"/>
      <c r="AA771" s="5"/>
      <c r="AC771" s="7"/>
      <c r="AE771" s="54" t="e">
        <f t="shared" si="99"/>
        <v>#N/A</v>
      </c>
      <c r="AF771" s="4" t="e">
        <f t="shared" si="95"/>
        <v>#N/A</v>
      </c>
    </row>
    <row r="772" spans="2:32">
      <c r="B772" s="5">
        <f t="shared" si="100"/>
        <v>760</v>
      </c>
      <c r="C772" s="5"/>
      <c r="E772" s="13"/>
      <c r="F772" s="5"/>
      <c r="G772" s="11" t="str">
        <f>IF(ISERROR(AVERAGE(F$13:F772)),"n/a",AVERAGE(F$13:F772))</f>
        <v>n/a</v>
      </c>
      <c r="H772" s="11" t="str">
        <f t="shared" si="96"/>
        <v>n/a</v>
      </c>
      <c r="J772" s="5"/>
      <c r="K772" s="5"/>
      <c r="L772" s="5"/>
      <c r="M772" s="5"/>
      <c r="N772" s="5"/>
      <c r="O772" s="8" t="str">
        <f t="shared" si="94"/>
        <v>n/a</v>
      </c>
      <c r="Q772" s="5"/>
      <c r="R772" s="5"/>
      <c r="S772" s="5"/>
      <c r="U772" s="6"/>
      <c r="V772" s="9" t="str">
        <f t="shared" si="97"/>
        <v/>
      </c>
      <c r="W772" s="9" t="str">
        <f t="shared" si="98"/>
        <v/>
      </c>
      <c r="X772" s="10">
        <f>SUM(V$13:V772)/COUNTA(B$13:B772)</f>
        <v>0</v>
      </c>
      <c r="Z772" s="5"/>
      <c r="AA772" s="5"/>
      <c r="AC772" s="7"/>
      <c r="AE772" s="54" t="e">
        <f t="shared" si="99"/>
        <v>#N/A</v>
      </c>
      <c r="AF772" s="4" t="e">
        <f t="shared" si="95"/>
        <v>#N/A</v>
      </c>
    </row>
    <row r="773" spans="2:32">
      <c r="B773" s="5">
        <f t="shared" si="100"/>
        <v>761</v>
      </c>
      <c r="C773" s="5"/>
      <c r="E773" s="13"/>
      <c r="F773" s="5"/>
      <c r="G773" s="11" t="str">
        <f>IF(ISERROR(AVERAGE(F$13:F773)),"n/a",AVERAGE(F$13:F773))</f>
        <v>n/a</v>
      </c>
      <c r="H773" s="11" t="str">
        <f t="shared" si="96"/>
        <v>n/a</v>
      </c>
      <c r="J773" s="5"/>
      <c r="K773" s="5"/>
      <c r="L773" s="5"/>
      <c r="M773" s="5"/>
      <c r="N773" s="5"/>
      <c r="O773" s="8" t="str">
        <f t="shared" si="94"/>
        <v>n/a</v>
      </c>
      <c r="Q773" s="5"/>
      <c r="R773" s="5"/>
      <c r="S773" s="5"/>
      <c r="U773" s="6"/>
      <c r="V773" s="9" t="str">
        <f t="shared" si="97"/>
        <v/>
      </c>
      <c r="W773" s="9" t="str">
        <f t="shared" si="98"/>
        <v/>
      </c>
      <c r="X773" s="10">
        <f>SUM(V$13:V773)/COUNTA(B$13:B773)</f>
        <v>0</v>
      </c>
      <c r="Z773" s="5"/>
      <c r="AA773" s="5"/>
      <c r="AC773" s="7"/>
      <c r="AE773" s="54" t="e">
        <f t="shared" si="99"/>
        <v>#N/A</v>
      </c>
      <c r="AF773" s="4" t="e">
        <f t="shared" si="95"/>
        <v>#N/A</v>
      </c>
    </row>
    <row r="774" spans="2:32">
      <c r="B774" s="5">
        <f t="shared" si="100"/>
        <v>762</v>
      </c>
      <c r="C774" s="5"/>
      <c r="E774" s="13"/>
      <c r="F774" s="5"/>
      <c r="G774" s="11" t="str">
        <f>IF(ISERROR(AVERAGE(F$13:F774)),"n/a",AVERAGE(F$13:F774))</f>
        <v>n/a</v>
      </c>
      <c r="H774" s="11" t="str">
        <f t="shared" si="96"/>
        <v>n/a</v>
      </c>
      <c r="J774" s="5"/>
      <c r="K774" s="5"/>
      <c r="L774" s="5"/>
      <c r="M774" s="5"/>
      <c r="N774" s="5"/>
      <c r="O774" s="8" t="str">
        <f t="shared" si="94"/>
        <v>n/a</v>
      </c>
      <c r="Q774" s="5"/>
      <c r="R774" s="5"/>
      <c r="S774" s="5"/>
      <c r="U774" s="6"/>
      <c r="V774" s="9" t="str">
        <f t="shared" si="97"/>
        <v/>
      </c>
      <c r="W774" s="9" t="str">
        <f t="shared" si="98"/>
        <v/>
      </c>
      <c r="X774" s="10">
        <f>SUM(V$13:V774)/COUNTA(B$13:B774)</f>
        <v>0</v>
      </c>
      <c r="Z774" s="5"/>
      <c r="AA774" s="5"/>
      <c r="AC774" s="7"/>
      <c r="AE774" s="54" t="e">
        <f t="shared" si="99"/>
        <v>#N/A</v>
      </c>
      <c r="AF774" s="4" t="e">
        <f t="shared" si="95"/>
        <v>#N/A</v>
      </c>
    </row>
    <row r="775" spans="2:32">
      <c r="B775" s="5">
        <f t="shared" si="100"/>
        <v>763</v>
      </c>
      <c r="C775" s="5"/>
      <c r="E775" s="13"/>
      <c r="F775" s="5"/>
      <c r="G775" s="11" t="str">
        <f>IF(ISERROR(AVERAGE(F$13:F775)),"n/a",AVERAGE(F$13:F775))</f>
        <v>n/a</v>
      </c>
      <c r="H775" s="11" t="str">
        <f t="shared" si="96"/>
        <v>n/a</v>
      </c>
      <c r="J775" s="5"/>
      <c r="K775" s="5"/>
      <c r="L775" s="5"/>
      <c r="M775" s="5"/>
      <c r="N775" s="5"/>
      <c r="O775" s="8" t="str">
        <f t="shared" si="94"/>
        <v>n/a</v>
      </c>
      <c r="Q775" s="5"/>
      <c r="R775" s="5"/>
      <c r="S775" s="5"/>
      <c r="U775" s="6"/>
      <c r="V775" s="9" t="str">
        <f t="shared" si="97"/>
        <v/>
      </c>
      <c r="W775" s="9" t="str">
        <f t="shared" si="98"/>
        <v/>
      </c>
      <c r="X775" s="10">
        <f>SUM(V$13:V775)/COUNTA(B$13:B775)</f>
        <v>0</v>
      </c>
      <c r="Z775" s="5"/>
      <c r="AA775" s="5"/>
      <c r="AC775" s="7"/>
      <c r="AE775" s="54" t="e">
        <f t="shared" si="99"/>
        <v>#N/A</v>
      </c>
      <c r="AF775" s="4" t="e">
        <f t="shared" si="95"/>
        <v>#N/A</v>
      </c>
    </row>
    <row r="776" spans="2:32">
      <c r="B776" s="5">
        <f t="shared" si="100"/>
        <v>764</v>
      </c>
      <c r="C776" s="5"/>
      <c r="E776" s="13"/>
      <c r="F776" s="5"/>
      <c r="G776" s="11" t="str">
        <f>IF(ISERROR(AVERAGE(F$13:F776)),"n/a",AVERAGE(F$13:F776))</f>
        <v>n/a</v>
      </c>
      <c r="H776" s="11" t="str">
        <f t="shared" si="96"/>
        <v>n/a</v>
      </c>
      <c r="J776" s="5"/>
      <c r="K776" s="5"/>
      <c r="L776" s="5"/>
      <c r="M776" s="5"/>
      <c r="N776" s="5"/>
      <c r="O776" s="8" t="str">
        <f t="shared" si="94"/>
        <v>n/a</v>
      </c>
      <c r="Q776" s="5"/>
      <c r="R776" s="5"/>
      <c r="S776" s="5"/>
      <c r="U776" s="6"/>
      <c r="V776" s="9" t="str">
        <f t="shared" si="97"/>
        <v/>
      </c>
      <c r="W776" s="9" t="str">
        <f t="shared" si="98"/>
        <v/>
      </c>
      <c r="X776" s="10">
        <f>SUM(V$13:V776)/COUNTA(B$13:B776)</f>
        <v>0</v>
      </c>
      <c r="Z776" s="5"/>
      <c r="AA776" s="5"/>
      <c r="AC776" s="7"/>
      <c r="AE776" s="54" t="e">
        <f t="shared" si="99"/>
        <v>#N/A</v>
      </c>
      <c r="AF776" s="4" t="e">
        <f t="shared" si="95"/>
        <v>#N/A</v>
      </c>
    </row>
    <row r="777" spans="2:32">
      <c r="B777" s="5">
        <f t="shared" si="100"/>
        <v>765</v>
      </c>
      <c r="C777" s="5"/>
      <c r="E777" s="13"/>
      <c r="F777" s="5"/>
      <c r="G777" s="11" t="str">
        <f>IF(ISERROR(AVERAGE(F$13:F777)),"n/a",AVERAGE(F$13:F777))</f>
        <v>n/a</v>
      </c>
      <c r="H777" s="11" t="str">
        <f t="shared" si="96"/>
        <v>n/a</v>
      </c>
      <c r="J777" s="5"/>
      <c r="K777" s="5"/>
      <c r="L777" s="5"/>
      <c r="M777" s="5"/>
      <c r="N777" s="5"/>
      <c r="O777" s="8" t="str">
        <f t="shared" si="94"/>
        <v>n/a</v>
      </c>
      <c r="Q777" s="5"/>
      <c r="R777" s="5"/>
      <c r="S777" s="5"/>
      <c r="U777" s="6"/>
      <c r="V777" s="9" t="str">
        <f t="shared" si="97"/>
        <v/>
      </c>
      <c r="W777" s="9" t="str">
        <f t="shared" si="98"/>
        <v/>
      </c>
      <c r="X777" s="10">
        <f>SUM(V$13:V777)/COUNTA(B$13:B777)</f>
        <v>0</v>
      </c>
      <c r="Z777" s="5"/>
      <c r="AA777" s="5"/>
      <c r="AC777" s="7"/>
      <c r="AE777" s="54" t="e">
        <f t="shared" si="99"/>
        <v>#N/A</v>
      </c>
      <c r="AF777" s="4" t="e">
        <f t="shared" si="95"/>
        <v>#N/A</v>
      </c>
    </row>
    <row r="778" spans="2:32">
      <c r="B778" s="5">
        <f t="shared" si="100"/>
        <v>766</v>
      </c>
      <c r="C778" s="5"/>
      <c r="E778" s="13"/>
      <c r="F778" s="5"/>
      <c r="G778" s="11" t="str">
        <f>IF(ISERROR(AVERAGE(F$13:F778)),"n/a",AVERAGE(F$13:F778))</f>
        <v>n/a</v>
      </c>
      <c r="H778" s="11" t="str">
        <f t="shared" si="96"/>
        <v>n/a</v>
      </c>
      <c r="J778" s="5"/>
      <c r="K778" s="5"/>
      <c r="L778" s="5"/>
      <c r="M778" s="5"/>
      <c r="N778" s="5"/>
      <c r="O778" s="8" t="str">
        <f t="shared" si="94"/>
        <v>n/a</v>
      </c>
      <c r="Q778" s="5"/>
      <c r="R778" s="5"/>
      <c r="S778" s="5"/>
      <c r="U778" s="6"/>
      <c r="V778" s="9" t="str">
        <f t="shared" si="97"/>
        <v/>
      </c>
      <c r="W778" s="9" t="str">
        <f t="shared" si="98"/>
        <v/>
      </c>
      <c r="X778" s="10">
        <f>SUM(V$13:V778)/COUNTA(B$13:B778)</f>
        <v>0</v>
      </c>
      <c r="Z778" s="5"/>
      <c r="AA778" s="5"/>
      <c r="AC778" s="7"/>
      <c r="AE778" s="54" t="e">
        <f t="shared" si="99"/>
        <v>#N/A</v>
      </c>
      <c r="AF778" s="4" t="e">
        <f t="shared" si="95"/>
        <v>#N/A</v>
      </c>
    </row>
    <row r="779" spans="2:32">
      <c r="B779" s="5">
        <f t="shared" si="100"/>
        <v>767</v>
      </c>
      <c r="C779" s="5"/>
      <c r="E779" s="13"/>
      <c r="F779" s="5"/>
      <c r="G779" s="11" t="str">
        <f>IF(ISERROR(AVERAGE(F$13:F779)),"n/a",AVERAGE(F$13:F779))</f>
        <v>n/a</v>
      </c>
      <c r="H779" s="11" t="str">
        <f t="shared" si="96"/>
        <v>n/a</v>
      </c>
      <c r="J779" s="5"/>
      <c r="K779" s="5"/>
      <c r="L779" s="5"/>
      <c r="M779" s="5"/>
      <c r="N779" s="5"/>
      <c r="O779" s="8" t="str">
        <f t="shared" si="94"/>
        <v>n/a</v>
      </c>
      <c r="Q779" s="5"/>
      <c r="R779" s="5"/>
      <c r="S779" s="5"/>
      <c r="U779" s="6"/>
      <c r="V779" s="9" t="str">
        <f t="shared" si="97"/>
        <v/>
      </c>
      <c r="W779" s="9" t="str">
        <f t="shared" si="98"/>
        <v/>
      </c>
      <c r="X779" s="10">
        <f>SUM(V$13:V779)/COUNTA(B$13:B779)</f>
        <v>0</v>
      </c>
      <c r="Z779" s="5"/>
      <c r="AA779" s="5"/>
      <c r="AC779" s="7"/>
      <c r="AE779" s="54" t="e">
        <f t="shared" si="99"/>
        <v>#N/A</v>
      </c>
      <c r="AF779" s="4" t="e">
        <f t="shared" si="95"/>
        <v>#N/A</v>
      </c>
    </row>
    <row r="780" spans="2:32">
      <c r="B780" s="5">
        <f t="shared" si="100"/>
        <v>768</v>
      </c>
      <c r="C780" s="5"/>
      <c r="E780" s="13"/>
      <c r="F780" s="5"/>
      <c r="G780" s="11" t="str">
        <f>IF(ISERROR(AVERAGE(F$13:F780)),"n/a",AVERAGE(F$13:F780))</f>
        <v>n/a</v>
      </c>
      <c r="H780" s="11" t="str">
        <f t="shared" si="96"/>
        <v>n/a</v>
      </c>
      <c r="J780" s="5"/>
      <c r="K780" s="5"/>
      <c r="L780" s="5"/>
      <c r="M780" s="5"/>
      <c r="N780" s="5"/>
      <c r="O780" s="8" t="str">
        <f t="shared" si="94"/>
        <v>n/a</v>
      </c>
      <c r="Q780" s="5"/>
      <c r="R780" s="5"/>
      <c r="S780" s="5"/>
      <c r="U780" s="6"/>
      <c r="V780" s="9" t="str">
        <f t="shared" si="97"/>
        <v/>
      </c>
      <c r="W780" s="9" t="str">
        <f t="shared" si="98"/>
        <v/>
      </c>
      <c r="X780" s="10">
        <f>SUM(V$13:V780)/COUNTA(B$13:B780)</f>
        <v>0</v>
      </c>
      <c r="Z780" s="5"/>
      <c r="AA780" s="5"/>
      <c r="AC780" s="7"/>
      <c r="AE780" s="54" t="e">
        <f t="shared" si="99"/>
        <v>#N/A</v>
      </c>
      <c r="AF780" s="4" t="e">
        <f t="shared" si="95"/>
        <v>#N/A</v>
      </c>
    </row>
    <row r="781" spans="2:32">
      <c r="B781" s="5">
        <f t="shared" si="100"/>
        <v>769</v>
      </c>
      <c r="C781" s="5"/>
      <c r="E781" s="13"/>
      <c r="F781" s="5"/>
      <c r="G781" s="11" t="str">
        <f>IF(ISERROR(AVERAGE(F$13:F781)),"n/a",AVERAGE(F$13:F781))</f>
        <v>n/a</v>
      </c>
      <c r="H781" s="11" t="str">
        <f t="shared" si="96"/>
        <v>n/a</v>
      </c>
      <c r="J781" s="5"/>
      <c r="K781" s="5"/>
      <c r="L781" s="5"/>
      <c r="M781" s="5"/>
      <c r="N781" s="5"/>
      <c r="O781" s="8" t="str">
        <f t="shared" ref="O781:O844" si="101">IF(J781=1,"A",IF(K781=1,"B",IF(L781=1,"C",IF(M781=1,"D",IF(N781=1,"E","n/a")))))</f>
        <v>n/a</v>
      </c>
      <c r="Q781" s="5"/>
      <c r="R781" s="5"/>
      <c r="S781" s="5"/>
      <c r="U781" s="6"/>
      <c r="V781" s="9" t="str">
        <f t="shared" si="97"/>
        <v/>
      </c>
      <c r="W781" s="9" t="str">
        <f t="shared" si="98"/>
        <v/>
      </c>
      <c r="X781" s="10">
        <f>SUM(V$13:V781)/COUNTA(B$13:B781)</f>
        <v>0</v>
      </c>
      <c r="Z781" s="5"/>
      <c r="AA781" s="5"/>
      <c r="AC781" s="7"/>
      <c r="AE781" s="54" t="e">
        <f t="shared" si="99"/>
        <v>#N/A</v>
      </c>
      <c r="AF781" s="4" t="e">
        <f t="shared" ref="AF781:AF844" si="102">HLOOKUP(C781,$K$6:$O$7,2,FALSE)</f>
        <v>#N/A</v>
      </c>
    </row>
    <row r="782" spans="2:32">
      <c r="B782" s="5">
        <f t="shared" si="100"/>
        <v>770</v>
      </c>
      <c r="C782" s="5"/>
      <c r="E782" s="13"/>
      <c r="F782" s="5"/>
      <c r="G782" s="11" t="str">
        <f>IF(ISERROR(AVERAGE(F$13:F782)),"n/a",AVERAGE(F$13:F782))</f>
        <v>n/a</v>
      </c>
      <c r="H782" s="11" t="str">
        <f t="shared" ref="H782:H845" si="103">G782</f>
        <v>n/a</v>
      </c>
      <c r="J782" s="5"/>
      <c r="K782" s="5"/>
      <c r="L782" s="5"/>
      <c r="M782" s="5"/>
      <c r="N782" s="5"/>
      <c r="O782" s="8" t="str">
        <f t="shared" si="101"/>
        <v>n/a</v>
      </c>
      <c r="Q782" s="5"/>
      <c r="R782" s="5"/>
      <c r="S782" s="5"/>
      <c r="U782" s="6"/>
      <c r="V782" s="9" t="str">
        <f t="shared" ref="V782:V845" si="104">IF(O782="n/a","",IF(O782=U782,1,""))</f>
        <v/>
      </c>
      <c r="W782" s="9" t="str">
        <f t="shared" ref="W782:W845" si="105">IF(O782="n/a","",IF(O782&lt;&gt;U782,1,""))</f>
        <v/>
      </c>
      <c r="X782" s="10">
        <f>SUM(V$13:V782)/COUNTA(B$13:B782)</f>
        <v>0</v>
      </c>
      <c r="Z782" s="5"/>
      <c r="AA782" s="5"/>
      <c r="AC782" s="7"/>
      <c r="AE782" s="54" t="e">
        <f t="shared" ref="AE782:AE845" si="106">+IF($F$4=0,0,IF(W782=1,1,IF(OR(R782*$F$8=1,S782*$F$9=1,F782&gt;=AF782),2,0)))</f>
        <v>#N/A</v>
      </c>
      <c r="AF782" s="4" t="e">
        <f t="shared" si="102"/>
        <v>#N/A</v>
      </c>
    </row>
    <row r="783" spans="2:32">
      <c r="B783" s="5">
        <f t="shared" si="100"/>
        <v>771</v>
      </c>
      <c r="C783" s="5"/>
      <c r="E783" s="13"/>
      <c r="F783" s="5"/>
      <c r="G783" s="11" t="str">
        <f>IF(ISERROR(AVERAGE(F$13:F783)),"n/a",AVERAGE(F$13:F783))</f>
        <v>n/a</v>
      </c>
      <c r="H783" s="11" t="str">
        <f t="shared" si="103"/>
        <v>n/a</v>
      </c>
      <c r="J783" s="5"/>
      <c r="K783" s="5"/>
      <c r="L783" s="5"/>
      <c r="M783" s="5"/>
      <c r="N783" s="5"/>
      <c r="O783" s="8" t="str">
        <f t="shared" si="101"/>
        <v>n/a</v>
      </c>
      <c r="Q783" s="5"/>
      <c r="R783" s="5"/>
      <c r="S783" s="5"/>
      <c r="U783" s="6"/>
      <c r="V783" s="9" t="str">
        <f t="shared" si="104"/>
        <v/>
      </c>
      <c r="W783" s="9" t="str">
        <f t="shared" si="105"/>
        <v/>
      </c>
      <c r="X783" s="10">
        <f>SUM(V$13:V783)/COUNTA(B$13:B783)</f>
        <v>0</v>
      </c>
      <c r="Z783" s="5"/>
      <c r="AA783" s="5"/>
      <c r="AC783" s="7"/>
      <c r="AE783" s="54" t="e">
        <f t="shared" si="106"/>
        <v>#N/A</v>
      </c>
      <c r="AF783" s="4" t="e">
        <f t="shared" si="102"/>
        <v>#N/A</v>
      </c>
    </row>
    <row r="784" spans="2:32">
      <c r="B784" s="5">
        <f t="shared" si="100"/>
        <v>772</v>
      </c>
      <c r="C784" s="5"/>
      <c r="E784" s="13"/>
      <c r="F784" s="5"/>
      <c r="G784" s="11" t="str">
        <f>IF(ISERROR(AVERAGE(F$13:F784)),"n/a",AVERAGE(F$13:F784))</f>
        <v>n/a</v>
      </c>
      <c r="H784" s="11" t="str">
        <f t="shared" si="103"/>
        <v>n/a</v>
      </c>
      <c r="J784" s="5"/>
      <c r="K784" s="5"/>
      <c r="L784" s="5"/>
      <c r="M784" s="5"/>
      <c r="N784" s="5"/>
      <c r="O784" s="8" t="str">
        <f t="shared" si="101"/>
        <v>n/a</v>
      </c>
      <c r="Q784" s="5"/>
      <c r="R784" s="5"/>
      <c r="S784" s="5"/>
      <c r="U784" s="6"/>
      <c r="V784" s="9" t="str">
        <f t="shared" si="104"/>
        <v/>
      </c>
      <c r="W784" s="9" t="str">
        <f t="shared" si="105"/>
        <v/>
      </c>
      <c r="X784" s="10">
        <f>SUM(V$13:V784)/COUNTA(B$13:B784)</f>
        <v>0</v>
      </c>
      <c r="Z784" s="5"/>
      <c r="AA784" s="5"/>
      <c r="AC784" s="7"/>
      <c r="AE784" s="54" t="e">
        <f t="shared" si="106"/>
        <v>#N/A</v>
      </c>
      <c r="AF784" s="4" t="e">
        <f t="shared" si="102"/>
        <v>#N/A</v>
      </c>
    </row>
    <row r="785" spans="2:32">
      <c r="B785" s="5">
        <f t="shared" si="100"/>
        <v>773</v>
      </c>
      <c r="C785" s="5"/>
      <c r="E785" s="13"/>
      <c r="F785" s="5"/>
      <c r="G785" s="11" t="str">
        <f>IF(ISERROR(AVERAGE(F$13:F785)),"n/a",AVERAGE(F$13:F785))</f>
        <v>n/a</v>
      </c>
      <c r="H785" s="11" t="str">
        <f t="shared" si="103"/>
        <v>n/a</v>
      </c>
      <c r="J785" s="5"/>
      <c r="K785" s="5"/>
      <c r="L785" s="5"/>
      <c r="M785" s="5"/>
      <c r="N785" s="5"/>
      <c r="O785" s="8" t="str">
        <f t="shared" si="101"/>
        <v>n/a</v>
      </c>
      <c r="Q785" s="5"/>
      <c r="R785" s="5"/>
      <c r="S785" s="5"/>
      <c r="U785" s="6"/>
      <c r="V785" s="9" t="str">
        <f t="shared" si="104"/>
        <v/>
      </c>
      <c r="W785" s="9" t="str">
        <f t="shared" si="105"/>
        <v/>
      </c>
      <c r="X785" s="10">
        <f>SUM(V$13:V785)/COUNTA(B$13:B785)</f>
        <v>0</v>
      </c>
      <c r="Z785" s="5"/>
      <c r="AA785" s="5"/>
      <c r="AC785" s="7"/>
      <c r="AE785" s="54" t="e">
        <f t="shared" si="106"/>
        <v>#N/A</v>
      </c>
      <c r="AF785" s="4" t="e">
        <f t="shared" si="102"/>
        <v>#N/A</v>
      </c>
    </row>
    <row r="786" spans="2:32">
      <c r="B786" s="5">
        <f t="shared" si="100"/>
        <v>774</v>
      </c>
      <c r="C786" s="5"/>
      <c r="E786" s="13"/>
      <c r="F786" s="5"/>
      <c r="G786" s="11" t="str">
        <f>IF(ISERROR(AVERAGE(F$13:F786)),"n/a",AVERAGE(F$13:F786))</f>
        <v>n/a</v>
      </c>
      <c r="H786" s="11" t="str">
        <f t="shared" si="103"/>
        <v>n/a</v>
      </c>
      <c r="J786" s="5"/>
      <c r="K786" s="5"/>
      <c r="L786" s="5"/>
      <c r="M786" s="5"/>
      <c r="N786" s="5"/>
      <c r="O786" s="8" t="str">
        <f t="shared" si="101"/>
        <v>n/a</v>
      </c>
      <c r="Q786" s="5"/>
      <c r="R786" s="5"/>
      <c r="S786" s="5"/>
      <c r="U786" s="6"/>
      <c r="V786" s="9" t="str">
        <f t="shared" si="104"/>
        <v/>
      </c>
      <c r="W786" s="9" t="str">
        <f t="shared" si="105"/>
        <v/>
      </c>
      <c r="X786" s="10">
        <f>SUM(V$13:V786)/COUNTA(B$13:B786)</f>
        <v>0</v>
      </c>
      <c r="Z786" s="5"/>
      <c r="AA786" s="5"/>
      <c r="AC786" s="7"/>
      <c r="AE786" s="54" t="e">
        <f t="shared" si="106"/>
        <v>#N/A</v>
      </c>
      <c r="AF786" s="4" t="e">
        <f t="shared" si="102"/>
        <v>#N/A</v>
      </c>
    </row>
    <row r="787" spans="2:32">
      <c r="B787" s="5">
        <f t="shared" ref="B787:B850" si="107">+B786+1</f>
        <v>775</v>
      </c>
      <c r="C787" s="5"/>
      <c r="E787" s="13"/>
      <c r="F787" s="5"/>
      <c r="G787" s="11" t="str">
        <f>IF(ISERROR(AVERAGE(F$13:F787)),"n/a",AVERAGE(F$13:F787))</f>
        <v>n/a</v>
      </c>
      <c r="H787" s="11" t="str">
        <f t="shared" si="103"/>
        <v>n/a</v>
      </c>
      <c r="J787" s="5"/>
      <c r="K787" s="5"/>
      <c r="L787" s="5"/>
      <c r="M787" s="5"/>
      <c r="N787" s="5"/>
      <c r="O787" s="8" t="str">
        <f t="shared" si="101"/>
        <v>n/a</v>
      </c>
      <c r="Q787" s="5"/>
      <c r="R787" s="5"/>
      <c r="S787" s="5"/>
      <c r="U787" s="6"/>
      <c r="V787" s="9" t="str">
        <f t="shared" si="104"/>
        <v/>
      </c>
      <c r="W787" s="9" t="str">
        <f t="shared" si="105"/>
        <v/>
      </c>
      <c r="X787" s="10">
        <f>SUM(V$13:V787)/COUNTA(B$13:B787)</f>
        <v>0</v>
      </c>
      <c r="Z787" s="5"/>
      <c r="AA787" s="5"/>
      <c r="AC787" s="7"/>
      <c r="AE787" s="54" t="e">
        <f t="shared" si="106"/>
        <v>#N/A</v>
      </c>
      <c r="AF787" s="4" t="e">
        <f t="shared" si="102"/>
        <v>#N/A</v>
      </c>
    </row>
    <row r="788" spans="2:32">
      <c r="B788" s="5">
        <f t="shared" si="107"/>
        <v>776</v>
      </c>
      <c r="C788" s="5"/>
      <c r="E788" s="13"/>
      <c r="F788" s="5"/>
      <c r="G788" s="11" t="str">
        <f>IF(ISERROR(AVERAGE(F$13:F788)),"n/a",AVERAGE(F$13:F788))</f>
        <v>n/a</v>
      </c>
      <c r="H788" s="11" t="str">
        <f t="shared" si="103"/>
        <v>n/a</v>
      </c>
      <c r="J788" s="5"/>
      <c r="K788" s="5"/>
      <c r="L788" s="5"/>
      <c r="M788" s="5"/>
      <c r="N788" s="5"/>
      <c r="O788" s="8" t="str">
        <f t="shared" si="101"/>
        <v>n/a</v>
      </c>
      <c r="Q788" s="5"/>
      <c r="R788" s="5"/>
      <c r="S788" s="5"/>
      <c r="U788" s="6"/>
      <c r="V788" s="9" t="str">
        <f t="shared" si="104"/>
        <v/>
      </c>
      <c r="W788" s="9" t="str">
        <f t="shared" si="105"/>
        <v/>
      </c>
      <c r="X788" s="10">
        <f>SUM(V$13:V788)/COUNTA(B$13:B788)</f>
        <v>0</v>
      </c>
      <c r="Z788" s="5"/>
      <c r="AA788" s="5"/>
      <c r="AC788" s="7"/>
      <c r="AE788" s="54" t="e">
        <f t="shared" si="106"/>
        <v>#N/A</v>
      </c>
      <c r="AF788" s="4" t="e">
        <f t="shared" si="102"/>
        <v>#N/A</v>
      </c>
    </row>
    <row r="789" spans="2:32">
      <c r="B789" s="5">
        <f t="shared" si="107"/>
        <v>777</v>
      </c>
      <c r="C789" s="5"/>
      <c r="E789" s="13"/>
      <c r="F789" s="5"/>
      <c r="G789" s="11" t="str">
        <f>IF(ISERROR(AVERAGE(F$13:F789)),"n/a",AVERAGE(F$13:F789))</f>
        <v>n/a</v>
      </c>
      <c r="H789" s="11" t="str">
        <f t="shared" si="103"/>
        <v>n/a</v>
      </c>
      <c r="J789" s="5"/>
      <c r="K789" s="5"/>
      <c r="L789" s="5"/>
      <c r="M789" s="5"/>
      <c r="N789" s="5"/>
      <c r="O789" s="8" t="str">
        <f t="shared" si="101"/>
        <v>n/a</v>
      </c>
      <c r="Q789" s="5"/>
      <c r="R789" s="5"/>
      <c r="S789" s="5"/>
      <c r="U789" s="6"/>
      <c r="V789" s="9" t="str">
        <f t="shared" si="104"/>
        <v/>
      </c>
      <c r="W789" s="9" t="str">
        <f t="shared" si="105"/>
        <v/>
      </c>
      <c r="X789" s="10">
        <f>SUM(V$13:V789)/COUNTA(B$13:B789)</f>
        <v>0</v>
      </c>
      <c r="Z789" s="5"/>
      <c r="AA789" s="5"/>
      <c r="AC789" s="7"/>
      <c r="AE789" s="54" t="e">
        <f t="shared" si="106"/>
        <v>#N/A</v>
      </c>
      <c r="AF789" s="4" t="e">
        <f t="shared" si="102"/>
        <v>#N/A</v>
      </c>
    </row>
    <row r="790" spans="2:32">
      <c r="B790" s="5">
        <f t="shared" si="107"/>
        <v>778</v>
      </c>
      <c r="C790" s="5"/>
      <c r="E790" s="13"/>
      <c r="F790" s="5"/>
      <c r="G790" s="11" t="str">
        <f>IF(ISERROR(AVERAGE(F$13:F790)),"n/a",AVERAGE(F$13:F790))</f>
        <v>n/a</v>
      </c>
      <c r="H790" s="11" t="str">
        <f t="shared" si="103"/>
        <v>n/a</v>
      </c>
      <c r="J790" s="5"/>
      <c r="K790" s="5"/>
      <c r="L790" s="5"/>
      <c r="M790" s="5"/>
      <c r="N790" s="5"/>
      <c r="O790" s="8" t="str">
        <f t="shared" si="101"/>
        <v>n/a</v>
      </c>
      <c r="Q790" s="5"/>
      <c r="R790" s="5"/>
      <c r="S790" s="5"/>
      <c r="U790" s="6"/>
      <c r="V790" s="9" t="str">
        <f t="shared" si="104"/>
        <v/>
      </c>
      <c r="W790" s="9" t="str">
        <f t="shared" si="105"/>
        <v/>
      </c>
      <c r="X790" s="10">
        <f>SUM(V$13:V790)/COUNTA(B$13:B790)</f>
        <v>0</v>
      </c>
      <c r="Z790" s="5"/>
      <c r="AA790" s="5"/>
      <c r="AC790" s="7"/>
      <c r="AE790" s="54" t="e">
        <f t="shared" si="106"/>
        <v>#N/A</v>
      </c>
      <c r="AF790" s="4" t="e">
        <f t="shared" si="102"/>
        <v>#N/A</v>
      </c>
    </row>
    <row r="791" spans="2:32">
      <c r="B791" s="5">
        <f t="shared" si="107"/>
        <v>779</v>
      </c>
      <c r="C791" s="5"/>
      <c r="E791" s="13"/>
      <c r="F791" s="5"/>
      <c r="G791" s="11" t="str">
        <f>IF(ISERROR(AVERAGE(F$13:F791)),"n/a",AVERAGE(F$13:F791))</f>
        <v>n/a</v>
      </c>
      <c r="H791" s="11" t="str">
        <f t="shared" si="103"/>
        <v>n/a</v>
      </c>
      <c r="J791" s="5"/>
      <c r="K791" s="5"/>
      <c r="L791" s="5"/>
      <c r="M791" s="5"/>
      <c r="N791" s="5"/>
      <c r="O791" s="8" t="str">
        <f t="shared" si="101"/>
        <v>n/a</v>
      </c>
      <c r="Q791" s="5"/>
      <c r="R791" s="5"/>
      <c r="S791" s="5"/>
      <c r="U791" s="6"/>
      <c r="V791" s="9" t="str">
        <f t="shared" si="104"/>
        <v/>
      </c>
      <c r="W791" s="9" t="str">
        <f t="shared" si="105"/>
        <v/>
      </c>
      <c r="X791" s="10">
        <f>SUM(V$13:V791)/COUNTA(B$13:B791)</f>
        <v>0</v>
      </c>
      <c r="Z791" s="5"/>
      <c r="AA791" s="5"/>
      <c r="AC791" s="7"/>
      <c r="AE791" s="54" t="e">
        <f t="shared" si="106"/>
        <v>#N/A</v>
      </c>
      <c r="AF791" s="4" t="e">
        <f t="shared" si="102"/>
        <v>#N/A</v>
      </c>
    </row>
    <row r="792" spans="2:32">
      <c r="B792" s="5">
        <f t="shared" si="107"/>
        <v>780</v>
      </c>
      <c r="C792" s="5"/>
      <c r="E792" s="13"/>
      <c r="F792" s="5"/>
      <c r="G792" s="11" t="str">
        <f>IF(ISERROR(AVERAGE(F$13:F792)),"n/a",AVERAGE(F$13:F792))</f>
        <v>n/a</v>
      </c>
      <c r="H792" s="11" t="str">
        <f t="shared" si="103"/>
        <v>n/a</v>
      </c>
      <c r="J792" s="5"/>
      <c r="K792" s="5"/>
      <c r="L792" s="5"/>
      <c r="M792" s="5"/>
      <c r="N792" s="5"/>
      <c r="O792" s="8" t="str">
        <f t="shared" si="101"/>
        <v>n/a</v>
      </c>
      <c r="Q792" s="5"/>
      <c r="R792" s="5"/>
      <c r="S792" s="5"/>
      <c r="U792" s="6"/>
      <c r="V792" s="9" t="str">
        <f t="shared" si="104"/>
        <v/>
      </c>
      <c r="W792" s="9" t="str">
        <f t="shared" si="105"/>
        <v/>
      </c>
      <c r="X792" s="10">
        <f>SUM(V$13:V792)/COUNTA(B$13:B792)</f>
        <v>0</v>
      </c>
      <c r="Z792" s="5"/>
      <c r="AA792" s="5"/>
      <c r="AC792" s="7"/>
      <c r="AE792" s="54" t="e">
        <f t="shared" si="106"/>
        <v>#N/A</v>
      </c>
      <c r="AF792" s="4" t="e">
        <f t="shared" si="102"/>
        <v>#N/A</v>
      </c>
    </row>
    <row r="793" spans="2:32">
      <c r="B793" s="5">
        <f t="shared" si="107"/>
        <v>781</v>
      </c>
      <c r="C793" s="5"/>
      <c r="E793" s="13"/>
      <c r="F793" s="5"/>
      <c r="G793" s="11" t="str">
        <f>IF(ISERROR(AVERAGE(F$13:F793)),"n/a",AVERAGE(F$13:F793))</f>
        <v>n/a</v>
      </c>
      <c r="H793" s="11" t="str">
        <f t="shared" si="103"/>
        <v>n/a</v>
      </c>
      <c r="J793" s="5"/>
      <c r="K793" s="5"/>
      <c r="L793" s="5"/>
      <c r="M793" s="5"/>
      <c r="N793" s="5"/>
      <c r="O793" s="8" t="str">
        <f t="shared" si="101"/>
        <v>n/a</v>
      </c>
      <c r="Q793" s="5"/>
      <c r="R793" s="5"/>
      <c r="S793" s="5"/>
      <c r="U793" s="6"/>
      <c r="V793" s="9" t="str">
        <f t="shared" si="104"/>
        <v/>
      </c>
      <c r="W793" s="9" t="str">
        <f t="shared" si="105"/>
        <v/>
      </c>
      <c r="X793" s="10">
        <f>SUM(V$13:V793)/COUNTA(B$13:B793)</f>
        <v>0</v>
      </c>
      <c r="Z793" s="5"/>
      <c r="AA793" s="5"/>
      <c r="AC793" s="7"/>
      <c r="AE793" s="54" t="e">
        <f t="shared" si="106"/>
        <v>#N/A</v>
      </c>
      <c r="AF793" s="4" t="e">
        <f t="shared" si="102"/>
        <v>#N/A</v>
      </c>
    </row>
    <row r="794" spans="2:32">
      <c r="B794" s="5">
        <f t="shared" si="107"/>
        <v>782</v>
      </c>
      <c r="C794" s="5"/>
      <c r="E794" s="13"/>
      <c r="F794" s="5"/>
      <c r="G794" s="11" t="str">
        <f>IF(ISERROR(AVERAGE(F$13:F794)),"n/a",AVERAGE(F$13:F794))</f>
        <v>n/a</v>
      </c>
      <c r="H794" s="11" t="str">
        <f t="shared" si="103"/>
        <v>n/a</v>
      </c>
      <c r="J794" s="5"/>
      <c r="K794" s="5"/>
      <c r="L794" s="5"/>
      <c r="M794" s="5"/>
      <c r="N794" s="5"/>
      <c r="O794" s="8" t="str">
        <f t="shared" si="101"/>
        <v>n/a</v>
      </c>
      <c r="Q794" s="5"/>
      <c r="R794" s="5"/>
      <c r="S794" s="5"/>
      <c r="U794" s="6"/>
      <c r="V794" s="9" t="str">
        <f t="shared" si="104"/>
        <v/>
      </c>
      <c r="W794" s="9" t="str">
        <f t="shared" si="105"/>
        <v/>
      </c>
      <c r="X794" s="10">
        <f>SUM(V$13:V794)/COUNTA(B$13:B794)</f>
        <v>0</v>
      </c>
      <c r="Z794" s="5"/>
      <c r="AA794" s="5"/>
      <c r="AC794" s="7"/>
      <c r="AE794" s="54" t="e">
        <f t="shared" si="106"/>
        <v>#N/A</v>
      </c>
      <c r="AF794" s="4" t="e">
        <f t="shared" si="102"/>
        <v>#N/A</v>
      </c>
    </row>
    <row r="795" spans="2:32">
      <c r="B795" s="5">
        <f t="shared" si="107"/>
        <v>783</v>
      </c>
      <c r="C795" s="5"/>
      <c r="E795" s="13"/>
      <c r="F795" s="5"/>
      <c r="G795" s="11" t="str">
        <f>IF(ISERROR(AVERAGE(F$13:F795)),"n/a",AVERAGE(F$13:F795))</f>
        <v>n/a</v>
      </c>
      <c r="H795" s="11" t="str">
        <f t="shared" si="103"/>
        <v>n/a</v>
      </c>
      <c r="J795" s="5"/>
      <c r="K795" s="5"/>
      <c r="L795" s="5"/>
      <c r="M795" s="5"/>
      <c r="N795" s="5"/>
      <c r="O795" s="8" t="str">
        <f t="shared" si="101"/>
        <v>n/a</v>
      </c>
      <c r="Q795" s="5"/>
      <c r="R795" s="5"/>
      <c r="S795" s="5"/>
      <c r="U795" s="6"/>
      <c r="V795" s="9" t="str">
        <f t="shared" si="104"/>
        <v/>
      </c>
      <c r="W795" s="9" t="str">
        <f t="shared" si="105"/>
        <v/>
      </c>
      <c r="X795" s="10">
        <f>SUM(V$13:V795)/COUNTA(B$13:B795)</f>
        <v>0</v>
      </c>
      <c r="Z795" s="5"/>
      <c r="AA795" s="5"/>
      <c r="AC795" s="7"/>
      <c r="AE795" s="54" t="e">
        <f t="shared" si="106"/>
        <v>#N/A</v>
      </c>
      <c r="AF795" s="4" t="e">
        <f t="shared" si="102"/>
        <v>#N/A</v>
      </c>
    </row>
    <row r="796" spans="2:32">
      <c r="B796" s="5">
        <f t="shared" si="107"/>
        <v>784</v>
      </c>
      <c r="C796" s="5"/>
      <c r="E796" s="13"/>
      <c r="F796" s="5"/>
      <c r="G796" s="11" t="str">
        <f>IF(ISERROR(AVERAGE(F$13:F796)),"n/a",AVERAGE(F$13:F796))</f>
        <v>n/a</v>
      </c>
      <c r="H796" s="11" t="str">
        <f t="shared" si="103"/>
        <v>n/a</v>
      </c>
      <c r="J796" s="5"/>
      <c r="K796" s="5"/>
      <c r="L796" s="5"/>
      <c r="M796" s="5"/>
      <c r="N796" s="5"/>
      <c r="O796" s="8" t="str">
        <f t="shared" si="101"/>
        <v>n/a</v>
      </c>
      <c r="Q796" s="5"/>
      <c r="R796" s="5"/>
      <c r="S796" s="5"/>
      <c r="U796" s="6"/>
      <c r="V796" s="9" t="str">
        <f t="shared" si="104"/>
        <v/>
      </c>
      <c r="W796" s="9" t="str">
        <f t="shared" si="105"/>
        <v/>
      </c>
      <c r="X796" s="10">
        <f>SUM(V$13:V796)/COUNTA(B$13:B796)</f>
        <v>0</v>
      </c>
      <c r="Z796" s="5"/>
      <c r="AA796" s="5"/>
      <c r="AC796" s="7"/>
      <c r="AE796" s="54" t="e">
        <f t="shared" si="106"/>
        <v>#N/A</v>
      </c>
      <c r="AF796" s="4" t="e">
        <f t="shared" si="102"/>
        <v>#N/A</v>
      </c>
    </row>
    <row r="797" spans="2:32">
      <c r="B797" s="5">
        <f t="shared" si="107"/>
        <v>785</v>
      </c>
      <c r="C797" s="5"/>
      <c r="E797" s="13"/>
      <c r="F797" s="5"/>
      <c r="G797" s="11" t="str">
        <f>IF(ISERROR(AVERAGE(F$13:F797)),"n/a",AVERAGE(F$13:F797))</f>
        <v>n/a</v>
      </c>
      <c r="H797" s="11" t="str">
        <f t="shared" si="103"/>
        <v>n/a</v>
      </c>
      <c r="J797" s="5"/>
      <c r="K797" s="5"/>
      <c r="L797" s="5"/>
      <c r="M797" s="5"/>
      <c r="N797" s="5"/>
      <c r="O797" s="8" t="str">
        <f t="shared" si="101"/>
        <v>n/a</v>
      </c>
      <c r="Q797" s="5"/>
      <c r="R797" s="5"/>
      <c r="S797" s="5"/>
      <c r="U797" s="6"/>
      <c r="V797" s="9" t="str">
        <f t="shared" si="104"/>
        <v/>
      </c>
      <c r="W797" s="9" t="str">
        <f t="shared" si="105"/>
        <v/>
      </c>
      <c r="X797" s="10">
        <f>SUM(V$13:V797)/COUNTA(B$13:B797)</f>
        <v>0</v>
      </c>
      <c r="Z797" s="5"/>
      <c r="AA797" s="5"/>
      <c r="AC797" s="7"/>
      <c r="AE797" s="54" t="e">
        <f t="shared" si="106"/>
        <v>#N/A</v>
      </c>
      <c r="AF797" s="4" t="e">
        <f t="shared" si="102"/>
        <v>#N/A</v>
      </c>
    </row>
    <row r="798" spans="2:32">
      <c r="B798" s="5">
        <f t="shared" si="107"/>
        <v>786</v>
      </c>
      <c r="C798" s="5"/>
      <c r="E798" s="13"/>
      <c r="F798" s="5"/>
      <c r="G798" s="11" t="str">
        <f>IF(ISERROR(AVERAGE(F$13:F798)),"n/a",AVERAGE(F$13:F798))</f>
        <v>n/a</v>
      </c>
      <c r="H798" s="11" t="str">
        <f t="shared" si="103"/>
        <v>n/a</v>
      </c>
      <c r="J798" s="5"/>
      <c r="K798" s="5"/>
      <c r="L798" s="5"/>
      <c r="M798" s="5"/>
      <c r="N798" s="5"/>
      <c r="O798" s="8" t="str">
        <f t="shared" si="101"/>
        <v>n/a</v>
      </c>
      <c r="Q798" s="5"/>
      <c r="R798" s="5"/>
      <c r="S798" s="5"/>
      <c r="U798" s="6"/>
      <c r="V798" s="9" t="str">
        <f t="shared" si="104"/>
        <v/>
      </c>
      <c r="W798" s="9" t="str">
        <f t="shared" si="105"/>
        <v/>
      </c>
      <c r="X798" s="10">
        <f>SUM(V$13:V798)/COUNTA(B$13:B798)</f>
        <v>0</v>
      </c>
      <c r="Z798" s="5"/>
      <c r="AA798" s="5"/>
      <c r="AC798" s="7"/>
      <c r="AE798" s="54" t="e">
        <f t="shared" si="106"/>
        <v>#N/A</v>
      </c>
      <c r="AF798" s="4" t="e">
        <f t="shared" si="102"/>
        <v>#N/A</v>
      </c>
    </row>
    <row r="799" spans="2:32">
      <c r="B799" s="5">
        <f t="shared" si="107"/>
        <v>787</v>
      </c>
      <c r="C799" s="5"/>
      <c r="E799" s="13"/>
      <c r="F799" s="5"/>
      <c r="G799" s="11" t="str">
        <f>IF(ISERROR(AVERAGE(F$13:F799)),"n/a",AVERAGE(F$13:F799))</f>
        <v>n/a</v>
      </c>
      <c r="H799" s="11" t="str">
        <f t="shared" si="103"/>
        <v>n/a</v>
      </c>
      <c r="J799" s="5"/>
      <c r="K799" s="5"/>
      <c r="L799" s="5"/>
      <c r="M799" s="5"/>
      <c r="N799" s="5"/>
      <c r="O799" s="8" t="str">
        <f t="shared" si="101"/>
        <v>n/a</v>
      </c>
      <c r="Q799" s="5"/>
      <c r="R799" s="5"/>
      <c r="S799" s="5"/>
      <c r="U799" s="6"/>
      <c r="V799" s="9" t="str">
        <f t="shared" si="104"/>
        <v/>
      </c>
      <c r="W799" s="9" t="str">
        <f t="shared" si="105"/>
        <v/>
      </c>
      <c r="X799" s="10">
        <f>SUM(V$13:V799)/COUNTA(B$13:B799)</f>
        <v>0</v>
      </c>
      <c r="Z799" s="5"/>
      <c r="AA799" s="5"/>
      <c r="AC799" s="7"/>
      <c r="AE799" s="54" t="e">
        <f t="shared" si="106"/>
        <v>#N/A</v>
      </c>
      <c r="AF799" s="4" t="e">
        <f t="shared" si="102"/>
        <v>#N/A</v>
      </c>
    </row>
    <row r="800" spans="2:32">
      <c r="B800" s="5">
        <f t="shared" si="107"/>
        <v>788</v>
      </c>
      <c r="C800" s="5"/>
      <c r="E800" s="13"/>
      <c r="F800" s="5"/>
      <c r="G800" s="11" t="str">
        <f>IF(ISERROR(AVERAGE(F$13:F800)),"n/a",AVERAGE(F$13:F800))</f>
        <v>n/a</v>
      </c>
      <c r="H800" s="11" t="str">
        <f t="shared" si="103"/>
        <v>n/a</v>
      </c>
      <c r="J800" s="5"/>
      <c r="K800" s="5"/>
      <c r="L800" s="5"/>
      <c r="M800" s="5"/>
      <c r="N800" s="5"/>
      <c r="O800" s="8" t="str">
        <f t="shared" si="101"/>
        <v>n/a</v>
      </c>
      <c r="Q800" s="5"/>
      <c r="R800" s="5"/>
      <c r="S800" s="5"/>
      <c r="U800" s="6"/>
      <c r="V800" s="9" t="str">
        <f t="shared" si="104"/>
        <v/>
      </c>
      <c r="W800" s="9" t="str">
        <f t="shared" si="105"/>
        <v/>
      </c>
      <c r="X800" s="10">
        <f>SUM(V$13:V800)/COUNTA(B$13:B800)</f>
        <v>0</v>
      </c>
      <c r="Z800" s="5"/>
      <c r="AA800" s="5"/>
      <c r="AC800" s="7"/>
      <c r="AE800" s="54" t="e">
        <f t="shared" si="106"/>
        <v>#N/A</v>
      </c>
      <c r="AF800" s="4" t="e">
        <f t="shared" si="102"/>
        <v>#N/A</v>
      </c>
    </row>
    <row r="801" spans="2:32">
      <c r="B801" s="5">
        <f t="shared" si="107"/>
        <v>789</v>
      </c>
      <c r="C801" s="5"/>
      <c r="E801" s="13"/>
      <c r="F801" s="5"/>
      <c r="G801" s="11" t="str">
        <f>IF(ISERROR(AVERAGE(F$13:F801)),"n/a",AVERAGE(F$13:F801))</f>
        <v>n/a</v>
      </c>
      <c r="H801" s="11" t="str">
        <f t="shared" si="103"/>
        <v>n/a</v>
      </c>
      <c r="J801" s="5"/>
      <c r="K801" s="5"/>
      <c r="L801" s="5"/>
      <c r="M801" s="5"/>
      <c r="N801" s="5"/>
      <c r="O801" s="8" t="str">
        <f t="shared" si="101"/>
        <v>n/a</v>
      </c>
      <c r="Q801" s="5"/>
      <c r="R801" s="5"/>
      <c r="S801" s="5"/>
      <c r="U801" s="6"/>
      <c r="V801" s="9" t="str">
        <f t="shared" si="104"/>
        <v/>
      </c>
      <c r="W801" s="9" t="str">
        <f t="shared" si="105"/>
        <v/>
      </c>
      <c r="X801" s="10">
        <f>SUM(V$13:V801)/COUNTA(B$13:B801)</f>
        <v>0</v>
      </c>
      <c r="Z801" s="5"/>
      <c r="AA801" s="5"/>
      <c r="AC801" s="7"/>
      <c r="AE801" s="54" t="e">
        <f t="shared" si="106"/>
        <v>#N/A</v>
      </c>
      <c r="AF801" s="4" t="e">
        <f t="shared" si="102"/>
        <v>#N/A</v>
      </c>
    </row>
    <row r="802" spans="2:32">
      <c r="B802" s="5">
        <f t="shared" si="107"/>
        <v>790</v>
      </c>
      <c r="C802" s="5"/>
      <c r="E802" s="13"/>
      <c r="F802" s="5"/>
      <c r="G802" s="11" t="str">
        <f>IF(ISERROR(AVERAGE(F$13:F802)),"n/a",AVERAGE(F$13:F802))</f>
        <v>n/a</v>
      </c>
      <c r="H802" s="11" t="str">
        <f t="shared" si="103"/>
        <v>n/a</v>
      </c>
      <c r="J802" s="5"/>
      <c r="K802" s="5"/>
      <c r="L802" s="5"/>
      <c r="M802" s="5"/>
      <c r="N802" s="5"/>
      <c r="O802" s="8" t="str">
        <f t="shared" si="101"/>
        <v>n/a</v>
      </c>
      <c r="Q802" s="5"/>
      <c r="R802" s="5"/>
      <c r="S802" s="5"/>
      <c r="U802" s="6"/>
      <c r="V802" s="9" t="str">
        <f t="shared" si="104"/>
        <v/>
      </c>
      <c r="W802" s="9" t="str">
        <f t="shared" si="105"/>
        <v/>
      </c>
      <c r="X802" s="10">
        <f>SUM(V$13:V802)/COUNTA(B$13:B802)</f>
        <v>0</v>
      </c>
      <c r="Z802" s="5"/>
      <c r="AA802" s="5"/>
      <c r="AC802" s="7"/>
      <c r="AE802" s="54" t="e">
        <f t="shared" si="106"/>
        <v>#N/A</v>
      </c>
      <c r="AF802" s="4" t="e">
        <f t="shared" si="102"/>
        <v>#N/A</v>
      </c>
    </row>
    <row r="803" spans="2:32">
      <c r="B803" s="5">
        <f t="shared" si="107"/>
        <v>791</v>
      </c>
      <c r="C803" s="5"/>
      <c r="E803" s="13"/>
      <c r="F803" s="5"/>
      <c r="G803" s="11" t="str">
        <f>IF(ISERROR(AVERAGE(F$13:F803)),"n/a",AVERAGE(F$13:F803))</f>
        <v>n/a</v>
      </c>
      <c r="H803" s="11" t="str">
        <f t="shared" si="103"/>
        <v>n/a</v>
      </c>
      <c r="J803" s="5"/>
      <c r="K803" s="5"/>
      <c r="L803" s="5"/>
      <c r="M803" s="5"/>
      <c r="N803" s="5"/>
      <c r="O803" s="8" t="str">
        <f t="shared" si="101"/>
        <v>n/a</v>
      </c>
      <c r="Q803" s="5"/>
      <c r="R803" s="5"/>
      <c r="S803" s="5"/>
      <c r="U803" s="6"/>
      <c r="V803" s="9" t="str">
        <f t="shared" si="104"/>
        <v/>
      </c>
      <c r="W803" s="9" t="str">
        <f t="shared" si="105"/>
        <v/>
      </c>
      <c r="X803" s="10">
        <f>SUM(V$13:V803)/COUNTA(B$13:B803)</f>
        <v>0</v>
      </c>
      <c r="Z803" s="5"/>
      <c r="AA803" s="5"/>
      <c r="AC803" s="7"/>
      <c r="AE803" s="54" t="e">
        <f t="shared" si="106"/>
        <v>#N/A</v>
      </c>
      <c r="AF803" s="4" t="e">
        <f t="shared" si="102"/>
        <v>#N/A</v>
      </c>
    </row>
    <row r="804" spans="2:32">
      <c r="B804" s="5">
        <f t="shared" si="107"/>
        <v>792</v>
      </c>
      <c r="C804" s="5"/>
      <c r="E804" s="13"/>
      <c r="F804" s="5"/>
      <c r="G804" s="11" t="str">
        <f>IF(ISERROR(AVERAGE(F$13:F804)),"n/a",AVERAGE(F$13:F804))</f>
        <v>n/a</v>
      </c>
      <c r="H804" s="11" t="str">
        <f t="shared" si="103"/>
        <v>n/a</v>
      </c>
      <c r="J804" s="5"/>
      <c r="K804" s="5"/>
      <c r="L804" s="5"/>
      <c r="M804" s="5"/>
      <c r="N804" s="5"/>
      <c r="O804" s="8" t="str">
        <f t="shared" si="101"/>
        <v>n/a</v>
      </c>
      <c r="Q804" s="5"/>
      <c r="R804" s="5"/>
      <c r="S804" s="5"/>
      <c r="U804" s="6"/>
      <c r="V804" s="9" t="str">
        <f t="shared" si="104"/>
        <v/>
      </c>
      <c r="W804" s="9" t="str">
        <f t="shared" si="105"/>
        <v/>
      </c>
      <c r="X804" s="10">
        <f>SUM(V$13:V804)/COUNTA(B$13:B804)</f>
        <v>0</v>
      </c>
      <c r="Z804" s="5"/>
      <c r="AA804" s="5"/>
      <c r="AC804" s="7"/>
      <c r="AE804" s="54" t="e">
        <f t="shared" si="106"/>
        <v>#N/A</v>
      </c>
      <c r="AF804" s="4" t="e">
        <f t="shared" si="102"/>
        <v>#N/A</v>
      </c>
    </row>
    <row r="805" spans="2:32">
      <c r="B805" s="5">
        <f t="shared" si="107"/>
        <v>793</v>
      </c>
      <c r="C805" s="5"/>
      <c r="E805" s="13"/>
      <c r="F805" s="5"/>
      <c r="G805" s="11" t="str">
        <f>IF(ISERROR(AVERAGE(F$13:F805)),"n/a",AVERAGE(F$13:F805))</f>
        <v>n/a</v>
      </c>
      <c r="H805" s="11" t="str">
        <f t="shared" si="103"/>
        <v>n/a</v>
      </c>
      <c r="J805" s="5"/>
      <c r="K805" s="5"/>
      <c r="L805" s="5"/>
      <c r="M805" s="5"/>
      <c r="N805" s="5"/>
      <c r="O805" s="8" t="str">
        <f t="shared" si="101"/>
        <v>n/a</v>
      </c>
      <c r="Q805" s="5"/>
      <c r="R805" s="5"/>
      <c r="S805" s="5"/>
      <c r="U805" s="6"/>
      <c r="V805" s="9" t="str">
        <f t="shared" si="104"/>
        <v/>
      </c>
      <c r="W805" s="9" t="str">
        <f t="shared" si="105"/>
        <v/>
      </c>
      <c r="X805" s="10">
        <f>SUM(V$13:V805)/COUNTA(B$13:B805)</f>
        <v>0</v>
      </c>
      <c r="Z805" s="5"/>
      <c r="AA805" s="5"/>
      <c r="AC805" s="7"/>
      <c r="AE805" s="54" t="e">
        <f t="shared" si="106"/>
        <v>#N/A</v>
      </c>
      <c r="AF805" s="4" t="e">
        <f t="shared" si="102"/>
        <v>#N/A</v>
      </c>
    </row>
    <row r="806" spans="2:32">
      <c r="B806" s="5">
        <f t="shared" si="107"/>
        <v>794</v>
      </c>
      <c r="C806" s="5"/>
      <c r="E806" s="13"/>
      <c r="F806" s="5"/>
      <c r="G806" s="11" t="str">
        <f>IF(ISERROR(AVERAGE(F$13:F806)),"n/a",AVERAGE(F$13:F806))</f>
        <v>n/a</v>
      </c>
      <c r="H806" s="11" t="str">
        <f t="shared" si="103"/>
        <v>n/a</v>
      </c>
      <c r="J806" s="5"/>
      <c r="K806" s="5"/>
      <c r="L806" s="5"/>
      <c r="M806" s="5"/>
      <c r="N806" s="5"/>
      <c r="O806" s="8" t="str">
        <f t="shared" si="101"/>
        <v>n/a</v>
      </c>
      <c r="Q806" s="5"/>
      <c r="R806" s="5"/>
      <c r="S806" s="5"/>
      <c r="U806" s="6"/>
      <c r="V806" s="9" t="str">
        <f t="shared" si="104"/>
        <v/>
      </c>
      <c r="W806" s="9" t="str">
        <f t="shared" si="105"/>
        <v/>
      </c>
      <c r="X806" s="10">
        <f>SUM(V$13:V806)/COUNTA(B$13:B806)</f>
        <v>0</v>
      </c>
      <c r="Z806" s="5"/>
      <c r="AA806" s="5"/>
      <c r="AC806" s="7"/>
      <c r="AE806" s="54" t="e">
        <f t="shared" si="106"/>
        <v>#N/A</v>
      </c>
      <c r="AF806" s="4" t="e">
        <f t="shared" si="102"/>
        <v>#N/A</v>
      </c>
    </row>
    <row r="807" spans="2:32">
      <c r="B807" s="5">
        <f t="shared" si="107"/>
        <v>795</v>
      </c>
      <c r="C807" s="5"/>
      <c r="E807" s="13"/>
      <c r="F807" s="5"/>
      <c r="G807" s="11" t="str">
        <f>IF(ISERROR(AVERAGE(F$13:F807)),"n/a",AVERAGE(F$13:F807))</f>
        <v>n/a</v>
      </c>
      <c r="H807" s="11" t="str">
        <f t="shared" si="103"/>
        <v>n/a</v>
      </c>
      <c r="J807" s="5"/>
      <c r="K807" s="5"/>
      <c r="L807" s="5"/>
      <c r="M807" s="5"/>
      <c r="N807" s="5"/>
      <c r="O807" s="8" t="str">
        <f t="shared" si="101"/>
        <v>n/a</v>
      </c>
      <c r="Q807" s="5"/>
      <c r="R807" s="5"/>
      <c r="S807" s="5"/>
      <c r="U807" s="6"/>
      <c r="V807" s="9" t="str">
        <f t="shared" si="104"/>
        <v/>
      </c>
      <c r="W807" s="9" t="str">
        <f t="shared" si="105"/>
        <v/>
      </c>
      <c r="X807" s="10">
        <f>SUM(V$13:V807)/COUNTA(B$13:B807)</f>
        <v>0</v>
      </c>
      <c r="Z807" s="5"/>
      <c r="AA807" s="5"/>
      <c r="AC807" s="7"/>
      <c r="AE807" s="54" t="e">
        <f t="shared" si="106"/>
        <v>#N/A</v>
      </c>
      <c r="AF807" s="4" t="e">
        <f t="shared" si="102"/>
        <v>#N/A</v>
      </c>
    </row>
    <row r="808" spans="2:32">
      <c r="B808" s="5">
        <f t="shared" si="107"/>
        <v>796</v>
      </c>
      <c r="C808" s="5"/>
      <c r="E808" s="13"/>
      <c r="F808" s="5"/>
      <c r="G808" s="11" t="str">
        <f>IF(ISERROR(AVERAGE(F$13:F808)),"n/a",AVERAGE(F$13:F808))</f>
        <v>n/a</v>
      </c>
      <c r="H808" s="11" t="str">
        <f t="shared" si="103"/>
        <v>n/a</v>
      </c>
      <c r="J808" s="5"/>
      <c r="K808" s="5"/>
      <c r="L808" s="5"/>
      <c r="M808" s="5"/>
      <c r="N808" s="5"/>
      <c r="O808" s="8" t="str">
        <f t="shared" si="101"/>
        <v>n/a</v>
      </c>
      <c r="Q808" s="5"/>
      <c r="R808" s="5"/>
      <c r="S808" s="5"/>
      <c r="U808" s="6"/>
      <c r="V808" s="9" t="str">
        <f t="shared" si="104"/>
        <v/>
      </c>
      <c r="W808" s="9" t="str">
        <f t="shared" si="105"/>
        <v/>
      </c>
      <c r="X808" s="10">
        <f>SUM(V$13:V808)/COUNTA(B$13:B808)</f>
        <v>0</v>
      </c>
      <c r="Z808" s="5"/>
      <c r="AA808" s="5"/>
      <c r="AC808" s="7"/>
      <c r="AE808" s="54" t="e">
        <f t="shared" si="106"/>
        <v>#N/A</v>
      </c>
      <c r="AF808" s="4" t="e">
        <f t="shared" si="102"/>
        <v>#N/A</v>
      </c>
    </row>
    <row r="809" spans="2:32">
      <c r="B809" s="5">
        <f t="shared" si="107"/>
        <v>797</v>
      </c>
      <c r="C809" s="5"/>
      <c r="E809" s="13"/>
      <c r="F809" s="5"/>
      <c r="G809" s="11" t="str">
        <f>IF(ISERROR(AVERAGE(F$13:F809)),"n/a",AVERAGE(F$13:F809))</f>
        <v>n/a</v>
      </c>
      <c r="H809" s="11" t="str">
        <f t="shared" si="103"/>
        <v>n/a</v>
      </c>
      <c r="J809" s="5"/>
      <c r="K809" s="5"/>
      <c r="L809" s="5"/>
      <c r="M809" s="5"/>
      <c r="N809" s="5"/>
      <c r="O809" s="8" t="str">
        <f t="shared" si="101"/>
        <v>n/a</v>
      </c>
      <c r="Q809" s="5"/>
      <c r="R809" s="5"/>
      <c r="S809" s="5"/>
      <c r="U809" s="6"/>
      <c r="V809" s="9" t="str">
        <f t="shared" si="104"/>
        <v/>
      </c>
      <c r="W809" s="9" t="str">
        <f t="shared" si="105"/>
        <v/>
      </c>
      <c r="X809" s="10">
        <f>SUM(V$13:V809)/COUNTA(B$13:B809)</f>
        <v>0</v>
      </c>
      <c r="Z809" s="5"/>
      <c r="AA809" s="5"/>
      <c r="AC809" s="7"/>
      <c r="AE809" s="54" t="e">
        <f t="shared" si="106"/>
        <v>#N/A</v>
      </c>
      <c r="AF809" s="4" t="e">
        <f t="shared" si="102"/>
        <v>#N/A</v>
      </c>
    </row>
    <row r="810" spans="2:32">
      <c r="B810" s="5">
        <f t="shared" si="107"/>
        <v>798</v>
      </c>
      <c r="C810" s="5"/>
      <c r="E810" s="13"/>
      <c r="F810" s="5"/>
      <c r="G810" s="11" t="str">
        <f>IF(ISERROR(AVERAGE(F$13:F810)),"n/a",AVERAGE(F$13:F810))</f>
        <v>n/a</v>
      </c>
      <c r="H810" s="11" t="str">
        <f t="shared" si="103"/>
        <v>n/a</v>
      </c>
      <c r="J810" s="5"/>
      <c r="K810" s="5"/>
      <c r="L810" s="5"/>
      <c r="M810" s="5"/>
      <c r="N810" s="5"/>
      <c r="O810" s="8" t="str">
        <f t="shared" si="101"/>
        <v>n/a</v>
      </c>
      <c r="Q810" s="5"/>
      <c r="R810" s="5"/>
      <c r="S810" s="5"/>
      <c r="U810" s="6"/>
      <c r="V810" s="9" t="str">
        <f t="shared" si="104"/>
        <v/>
      </c>
      <c r="W810" s="9" t="str">
        <f t="shared" si="105"/>
        <v/>
      </c>
      <c r="X810" s="10">
        <f>SUM(V$13:V810)/COUNTA(B$13:B810)</f>
        <v>0</v>
      </c>
      <c r="Z810" s="5"/>
      <c r="AA810" s="5"/>
      <c r="AC810" s="7"/>
      <c r="AE810" s="54" t="e">
        <f t="shared" si="106"/>
        <v>#N/A</v>
      </c>
      <c r="AF810" s="4" t="e">
        <f t="shared" si="102"/>
        <v>#N/A</v>
      </c>
    </row>
    <row r="811" spans="2:32">
      <c r="B811" s="5">
        <f t="shared" si="107"/>
        <v>799</v>
      </c>
      <c r="C811" s="5"/>
      <c r="E811" s="13"/>
      <c r="F811" s="5"/>
      <c r="G811" s="11" t="str">
        <f>IF(ISERROR(AVERAGE(F$13:F811)),"n/a",AVERAGE(F$13:F811))</f>
        <v>n/a</v>
      </c>
      <c r="H811" s="11" t="str">
        <f t="shared" si="103"/>
        <v>n/a</v>
      </c>
      <c r="J811" s="5"/>
      <c r="K811" s="5"/>
      <c r="L811" s="5"/>
      <c r="M811" s="5"/>
      <c r="N811" s="5"/>
      <c r="O811" s="8" t="str">
        <f t="shared" si="101"/>
        <v>n/a</v>
      </c>
      <c r="Q811" s="5"/>
      <c r="R811" s="5"/>
      <c r="S811" s="5"/>
      <c r="U811" s="6"/>
      <c r="V811" s="9" t="str">
        <f t="shared" si="104"/>
        <v/>
      </c>
      <c r="W811" s="9" t="str">
        <f t="shared" si="105"/>
        <v/>
      </c>
      <c r="X811" s="10">
        <f>SUM(V$13:V811)/COUNTA(B$13:B811)</f>
        <v>0</v>
      </c>
      <c r="Z811" s="5"/>
      <c r="AA811" s="5"/>
      <c r="AC811" s="7"/>
      <c r="AE811" s="54" t="e">
        <f t="shared" si="106"/>
        <v>#N/A</v>
      </c>
      <c r="AF811" s="4" t="e">
        <f t="shared" si="102"/>
        <v>#N/A</v>
      </c>
    </row>
    <row r="812" spans="2:32">
      <c r="B812" s="5">
        <f t="shared" si="107"/>
        <v>800</v>
      </c>
      <c r="C812" s="5"/>
      <c r="E812" s="13"/>
      <c r="F812" s="5"/>
      <c r="G812" s="11" t="str">
        <f>IF(ISERROR(AVERAGE(F$13:F812)),"n/a",AVERAGE(F$13:F812))</f>
        <v>n/a</v>
      </c>
      <c r="H812" s="11" t="str">
        <f t="shared" si="103"/>
        <v>n/a</v>
      </c>
      <c r="J812" s="5"/>
      <c r="K812" s="5"/>
      <c r="L812" s="5"/>
      <c r="M812" s="5"/>
      <c r="N812" s="5"/>
      <c r="O812" s="8" t="str">
        <f t="shared" si="101"/>
        <v>n/a</v>
      </c>
      <c r="Q812" s="5"/>
      <c r="R812" s="5"/>
      <c r="S812" s="5"/>
      <c r="U812" s="6"/>
      <c r="V812" s="9" t="str">
        <f t="shared" si="104"/>
        <v/>
      </c>
      <c r="W812" s="9" t="str">
        <f t="shared" si="105"/>
        <v/>
      </c>
      <c r="X812" s="10">
        <f>SUM(V$13:V812)/COUNTA(B$13:B812)</f>
        <v>0</v>
      </c>
      <c r="Z812" s="5"/>
      <c r="AA812" s="5"/>
      <c r="AC812" s="7"/>
      <c r="AE812" s="54" t="e">
        <f t="shared" si="106"/>
        <v>#N/A</v>
      </c>
      <c r="AF812" s="4" t="e">
        <f t="shared" si="102"/>
        <v>#N/A</v>
      </c>
    </row>
    <row r="813" spans="2:32">
      <c r="B813" s="5">
        <f t="shared" si="107"/>
        <v>801</v>
      </c>
      <c r="C813" s="5"/>
      <c r="E813" s="13"/>
      <c r="F813" s="5"/>
      <c r="G813" s="11" t="str">
        <f>IF(ISERROR(AVERAGE(F$13:F813)),"n/a",AVERAGE(F$13:F813))</f>
        <v>n/a</v>
      </c>
      <c r="H813" s="11" t="str">
        <f t="shared" si="103"/>
        <v>n/a</v>
      </c>
      <c r="J813" s="5"/>
      <c r="K813" s="5"/>
      <c r="L813" s="5"/>
      <c r="M813" s="5"/>
      <c r="N813" s="5"/>
      <c r="O813" s="8" t="str">
        <f t="shared" si="101"/>
        <v>n/a</v>
      </c>
      <c r="Q813" s="5"/>
      <c r="R813" s="5"/>
      <c r="S813" s="5"/>
      <c r="U813" s="6"/>
      <c r="V813" s="9" t="str">
        <f t="shared" si="104"/>
        <v/>
      </c>
      <c r="W813" s="9" t="str">
        <f t="shared" si="105"/>
        <v/>
      </c>
      <c r="X813" s="10">
        <f>SUM(V$13:V813)/COUNTA(B$13:B813)</f>
        <v>0</v>
      </c>
      <c r="Z813" s="5"/>
      <c r="AA813" s="5"/>
      <c r="AC813" s="7"/>
      <c r="AE813" s="54" t="e">
        <f t="shared" si="106"/>
        <v>#N/A</v>
      </c>
      <c r="AF813" s="4" t="e">
        <f t="shared" si="102"/>
        <v>#N/A</v>
      </c>
    </row>
    <row r="814" spans="2:32">
      <c r="B814" s="5">
        <f t="shared" si="107"/>
        <v>802</v>
      </c>
      <c r="C814" s="5"/>
      <c r="E814" s="13"/>
      <c r="F814" s="5"/>
      <c r="G814" s="11" t="str">
        <f>IF(ISERROR(AVERAGE(F$13:F814)),"n/a",AVERAGE(F$13:F814))</f>
        <v>n/a</v>
      </c>
      <c r="H814" s="11" t="str">
        <f t="shared" si="103"/>
        <v>n/a</v>
      </c>
      <c r="J814" s="5"/>
      <c r="K814" s="5"/>
      <c r="L814" s="5"/>
      <c r="M814" s="5"/>
      <c r="N814" s="5"/>
      <c r="O814" s="8" t="str">
        <f t="shared" si="101"/>
        <v>n/a</v>
      </c>
      <c r="Q814" s="5"/>
      <c r="R814" s="5"/>
      <c r="S814" s="5"/>
      <c r="U814" s="6"/>
      <c r="V814" s="9" t="str">
        <f t="shared" si="104"/>
        <v/>
      </c>
      <c r="W814" s="9" t="str">
        <f t="shared" si="105"/>
        <v/>
      </c>
      <c r="X814" s="10">
        <f>SUM(V$13:V814)/COUNTA(B$13:B814)</f>
        <v>0</v>
      </c>
      <c r="Z814" s="5"/>
      <c r="AA814" s="5"/>
      <c r="AC814" s="7"/>
      <c r="AE814" s="54" t="e">
        <f t="shared" si="106"/>
        <v>#N/A</v>
      </c>
      <c r="AF814" s="4" t="e">
        <f t="shared" si="102"/>
        <v>#N/A</v>
      </c>
    </row>
    <row r="815" spans="2:32">
      <c r="B815" s="5">
        <f t="shared" si="107"/>
        <v>803</v>
      </c>
      <c r="C815" s="5"/>
      <c r="E815" s="13"/>
      <c r="F815" s="5"/>
      <c r="G815" s="11" t="str">
        <f>IF(ISERROR(AVERAGE(F$13:F815)),"n/a",AVERAGE(F$13:F815))</f>
        <v>n/a</v>
      </c>
      <c r="H815" s="11" t="str">
        <f t="shared" si="103"/>
        <v>n/a</v>
      </c>
      <c r="J815" s="5"/>
      <c r="K815" s="5"/>
      <c r="L815" s="5"/>
      <c r="M815" s="5"/>
      <c r="N815" s="5"/>
      <c r="O815" s="8" t="str">
        <f t="shared" si="101"/>
        <v>n/a</v>
      </c>
      <c r="Q815" s="5"/>
      <c r="R815" s="5"/>
      <c r="S815" s="5"/>
      <c r="U815" s="6"/>
      <c r="V815" s="9" t="str">
        <f t="shared" si="104"/>
        <v/>
      </c>
      <c r="W815" s="9" t="str">
        <f t="shared" si="105"/>
        <v/>
      </c>
      <c r="X815" s="10">
        <f>SUM(V$13:V815)/COUNTA(B$13:B815)</f>
        <v>0</v>
      </c>
      <c r="Z815" s="5"/>
      <c r="AA815" s="5"/>
      <c r="AC815" s="7"/>
      <c r="AE815" s="54" t="e">
        <f t="shared" si="106"/>
        <v>#N/A</v>
      </c>
      <c r="AF815" s="4" t="e">
        <f t="shared" si="102"/>
        <v>#N/A</v>
      </c>
    </row>
    <row r="816" spans="2:32">
      <c r="B816" s="5">
        <f t="shared" si="107"/>
        <v>804</v>
      </c>
      <c r="C816" s="5"/>
      <c r="E816" s="13"/>
      <c r="F816" s="5"/>
      <c r="G816" s="11" t="str">
        <f>IF(ISERROR(AVERAGE(F$13:F816)),"n/a",AVERAGE(F$13:F816))</f>
        <v>n/a</v>
      </c>
      <c r="H816" s="11" t="str">
        <f t="shared" si="103"/>
        <v>n/a</v>
      </c>
      <c r="J816" s="5"/>
      <c r="K816" s="5"/>
      <c r="L816" s="5"/>
      <c r="M816" s="5"/>
      <c r="N816" s="5"/>
      <c r="O816" s="8" t="str">
        <f t="shared" si="101"/>
        <v>n/a</v>
      </c>
      <c r="Q816" s="5"/>
      <c r="R816" s="5"/>
      <c r="S816" s="5"/>
      <c r="U816" s="6"/>
      <c r="V816" s="9" t="str">
        <f t="shared" si="104"/>
        <v/>
      </c>
      <c r="W816" s="9" t="str">
        <f t="shared" si="105"/>
        <v/>
      </c>
      <c r="X816" s="10">
        <f>SUM(V$13:V816)/COUNTA(B$13:B816)</f>
        <v>0</v>
      </c>
      <c r="Z816" s="5"/>
      <c r="AA816" s="5"/>
      <c r="AC816" s="7"/>
      <c r="AE816" s="54" t="e">
        <f t="shared" si="106"/>
        <v>#N/A</v>
      </c>
      <c r="AF816" s="4" t="e">
        <f t="shared" si="102"/>
        <v>#N/A</v>
      </c>
    </row>
    <row r="817" spans="2:32">
      <c r="B817" s="5">
        <f t="shared" si="107"/>
        <v>805</v>
      </c>
      <c r="C817" s="5"/>
      <c r="E817" s="13"/>
      <c r="F817" s="5"/>
      <c r="G817" s="11" t="str">
        <f>IF(ISERROR(AVERAGE(F$13:F817)),"n/a",AVERAGE(F$13:F817))</f>
        <v>n/a</v>
      </c>
      <c r="H817" s="11" t="str">
        <f t="shared" si="103"/>
        <v>n/a</v>
      </c>
      <c r="J817" s="5"/>
      <c r="K817" s="5"/>
      <c r="L817" s="5"/>
      <c r="M817" s="5"/>
      <c r="N817" s="5"/>
      <c r="O817" s="8" t="str">
        <f t="shared" si="101"/>
        <v>n/a</v>
      </c>
      <c r="Q817" s="5"/>
      <c r="R817" s="5"/>
      <c r="S817" s="5"/>
      <c r="U817" s="6"/>
      <c r="V817" s="9" t="str">
        <f t="shared" si="104"/>
        <v/>
      </c>
      <c r="W817" s="9" t="str">
        <f t="shared" si="105"/>
        <v/>
      </c>
      <c r="X817" s="10">
        <f>SUM(V$13:V817)/COUNTA(B$13:B817)</f>
        <v>0</v>
      </c>
      <c r="Z817" s="5"/>
      <c r="AA817" s="5"/>
      <c r="AC817" s="7"/>
      <c r="AE817" s="54" t="e">
        <f t="shared" si="106"/>
        <v>#N/A</v>
      </c>
      <c r="AF817" s="4" t="e">
        <f t="shared" si="102"/>
        <v>#N/A</v>
      </c>
    </row>
    <row r="818" spans="2:32">
      <c r="B818" s="5">
        <f t="shared" si="107"/>
        <v>806</v>
      </c>
      <c r="C818" s="5"/>
      <c r="E818" s="13"/>
      <c r="F818" s="5"/>
      <c r="G818" s="11" t="str">
        <f>IF(ISERROR(AVERAGE(F$13:F818)),"n/a",AVERAGE(F$13:F818))</f>
        <v>n/a</v>
      </c>
      <c r="H818" s="11" t="str">
        <f t="shared" si="103"/>
        <v>n/a</v>
      </c>
      <c r="J818" s="5"/>
      <c r="K818" s="5"/>
      <c r="L818" s="5"/>
      <c r="M818" s="5"/>
      <c r="N818" s="5"/>
      <c r="O818" s="8" t="str">
        <f t="shared" si="101"/>
        <v>n/a</v>
      </c>
      <c r="Q818" s="5"/>
      <c r="R818" s="5"/>
      <c r="S818" s="5"/>
      <c r="U818" s="6"/>
      <c r="V818" s="9" t="str">
        <f t="shared" si="104"/>
        <v/>
      </c>
      <c r="W818" s="9" t="str">
        <f t="shared" si="105"/>
        <v/>
      </c>
      <c r="X818" s="10">
        <f>SUM(V$13:V818)/COUNTA(B$13:B818)</f>
        <v>0</v>
      </c>
      <c r="Z818" s="5"/>
      <c r="AA818" s="5"/>
      <c r="AC818" s="7"/>
      <c r="AE818" s="54" t="e">
        <f t="shared" si="106"/>
        <v>#N/A</v>
      </c>
      <c r="AF818" s="4" t="e">
        <f t="shared" si="102"/>
        <v>#N/A</v>
      </c>
    </row>
    <row r="819" spans="2:32">
      <c r="B819" s="5">
        <f t="shared" si="107"/>
        <v>807</v>
      </c>
      <c r="C819" s="5"/>
      <c r="E819" s="13"/>
      <c r="F819" s="5"/>
      <c r="G819" s="11" t="str">
        <f>IF(ISERROR(AVERAGE(F$13:F819)),"n/a",AVERAGE(F$13:F819))</f>
        <v>n/a</v>
      </c>
      <c r="H819" s="11" t="str">
        <f t="shared" si="103"/>
        <v>n/a</v>
      </c>
      <c r="J819" s="5"/>
      <c r="K819" s="5"/>
      <c r="L819" s="5"/>
      <c r="M819" s="5"/>
      <c r="N819" s="5"/>
      <c r="O819" s="8" t="str">
        <f t="shared" si="101"/>
        <v>n/a</v>
      </c>
      <c r="Q819" s="5"/>
      <c r="R819" s="5"/>
      <c r="S819" s="5"/>
      <c r="U819" s="6"/>
      <c r="V819" s="9" t="str">
        <f t="shared" si="104"/>
        <v/>
      </c>
      <c r="W819" s="9" t="str">
        <f t="shared" si="105"/>
        <v/>
      </c>
      <c r="X819" s="10">
        <f>SUM(V$13:V819)/COUNTA(B$13:B819)</f>
        <v>0</v>
      </c>
      <c r="Z819" s="5"/>
      <c r="AA819" s="5"/>
      <c r="AC819" s="7"/>
      <c r="AE819" s="54" t="e">
        <f t="shared" si="106"/>
        <v>#N/A</v>
      </c>
      <c r="AF819" s="4" t="e">
        <f t="shared" si="102"/>
        <v>#N/A</v>
      </c>
    </row>
    <row r="820" spans="2:32">
      <c r="B820" s="5">
        <f t="shared" si="107"/>
        <v>808</v>
      </c>
      <c r="C820" s="5"/>
      <c r="E820" s="13"/>
      <c r="F820" s="5"/>
      <c r="G820" s="11" t="str">
        <f>IF(ISERROR(AVERAGE(F$13:F820)),"n/a",AVERAGE(F$13:F820))</f>
        <v>n/a</v>
      </c>
      <c r="H820" s="11" t="str">
        <f t="shared" si="103"/>
        <v>n/a</v>
      </c>
      <c r="J820" s="5"/>
      <c r="K820" s="5"/>
      <c r="L820" s="5"/>
      <c r="M820" s="5"/>
      <c r="N820" s="5"/>
      <c r="O820" s="8" t="str">
        <f t="shared" si="101"/>
        <v>n/a</v>
      </c>
      <c r="Q820" s="5"/>
      <c r="R820" s="5"/>
      <c r="S820" s="5"/>
      <c r="U820" s="6"/>
      <c r="V820" s="9" t="str">
        <f t="shared" si="104"/>
        <v/>
      </c>
      <c r="W820" s="9" t="str">
        <f t="shared" si="105"/>
        <v/>
      </c>
      <c r="X820" s="10">
        <f>SUM(V$13:V820)/COUNTA(B$13:B820)</f>
        <v>0</v>
      </c>
      <c r="Z820" s="5"/>
      <c r="AA820" s="5"/>
      <c r="AC820" s="7"/>
      <c r="AE820" s="54" t="e">
        <f t="shared" si="106"/>
        <v>#N/A</v>
      </c>
      <c r="AF820" s="4" t="e">
        <f t="shared" si="102"/>
        <v>#N/A</v>
      </c>
    </row>
    <row r="821" spans="2:32">
      <c r="B821" s="5">
        <f t="shared" si="107"/>
        <v>809</v>
      </c>
      <c r="C821" s="5"/>
      <c r="E821" s="13"/>
      <c r="F821" s="5"/>
      <c r="G821" s="11" t="str">
        <f>IF(ISERROR(AVERAGE(F$13:F821)),"n/a",AVERAGE(F$13:F821))</f>
        <v>n/a</v>
      </c>
      <c r="H821" s="11" t="str">
        <f t="shared" si="103"/>
        <v>n/a</v>
      </c>
      <c r="J821" s="5"/>
      <c r="K821" s="5"/>
      <c r="L821" s="5"/>
      <c r="M821" s="5"/>
      <c r="N821" s="5"/>
      <c r="O821" s="8" t="str">
        <f t="shared" si="101"/>
        <v>n/a</v>
      </c>
      <c r="Q821" s="5"/>
      <c r="R821" s="5"/>
      <c r="S821" s="5"/>
      <c r="U821" s="6"/>
      <c r="V821" s="9" t="str">
        <f t="shared" si="104"/>
        <v/>
      </c>
      <c r="W821" s="9" t="str">
        <f t="shared" si="105"/>
        <v/>
      </c>
      <c r="X821" s="10">
        <f>SUM(V$13:V821)/COUNTA(B$13:B821)</f>
        <v>0</v>
      </c>
      <c r="Z821" s="5"/>
      <c r="AA821" s="5"/>
      <c r="AC821" s="7"/>
      <c r="AE821" s="54" t="e">
        <f t="shared" si="106"/>
        <v>#N/A</v>
      </c>
      <c r="AF821" s="4" t="e">
        <f t="shared" si="102"/>
        <v>#N/A</v>
      </c>
    </row>
    <row r="822" spans="2:32">
      <c r="B822" s="5">
        <f t="shared" si="107"/>
        <v>810</v>
      </c>
      <c r="C822" s="5"/>
      <c r="E822" s="13"/>
      <c r="F822" s="5"/>
      <c r="G822" s="11" t="str">
        <f>IF(ISERROR(AVERAGE(F$13:F822)),"n/a",AVERAGE(F$13:F822))</f>
        <v>n/a</v>
      </c>
      <c r="H822" s="11" t="str">
        <f t="shared" si="103"/>
        <v>n/a</v>
      </c>
      <c r="J822" s="5"/>
      <c r="K822" s="5"/>
      <c r="L822" s="5"/>
      <c r="M822" s="5"/>
      <c r="N822" s="5"/>
      <c r="O822" s="8" t="str">
        <f t="shared" si="101"/>
        <v>n/a</v>
      </c>
      <c r="Q822" s="5"/>
      <c r="R822" s="5"/>
      <c r="S822" s="5"/>
      <c r="U822" s="6"/>
      <c r="V822" s="9" t="str">
        <f t="shared" si="104"/>
        <v/>
      </c>
      <c r="W822" s="9" t="str">
        <f t="shared" si="105"/>
        <v/>
      </c>
      <c r="X822" s="10">
        <f>SUM(V$13:V822)/COUNTA(B$13:B822)</f>
        <v>0</v>
      </c>
      <c r="Z822" s="5"/>
      <c r="AA822" s="5"/>
      <c r="AC822" s="7"/>
      <c r="AE822" s="54" t="e">
        <f t="shared" si="106"/>
        <v>#N/A</v>
      </c>
      <c r="AF822" s="4" t="e">
        <f t="shared" si="102"/>
        <v>#N/A</v>
      </c>
    </row>
    <row r="823" spans="2:32">
      <c r="B823" s="5">
        <f t="shared" si="107"/>
        <v>811</v>
      </c>
      <c r="C823" s="5"/>
      <c r="E823" s="13"/>
      <c r="F823" s="5"/>
      <c r="G823" s="11" t="str">
        <f>IF(ISERROR(AVERAGE(F$13:F823)),"n/a",AVERAGE(F$13:F823))</f>
        <v>n/a</v>
      </c>
      <c r="H823" s="11" t="str">
        <f t="shared" si="103"/>
        <v>n/a</v>
      </c>
      <c r="J823" s="5"/>
      <c r="K823" s="5"/>
      <c r="L823" s="5"/>
      <c r="M823" s="5"/>
      <c r="N823" s="5"/>
      <c r="O823" s="8" t="str">
        <f t="shared" si="101"/>
        <v>n/a</v>
      </c>
      <c r="Q823" s="5"/>
      <c r="R823" s="5"/>
      <c r="S823" s="5"/>
      <c r="U823" s="6"/>
      <c r="V823" s="9" t="str">
        <f t="shared" si="104"/>
        <v/>
      </c>
      <c r="W823" s="9" t="str">
        <f t="shared" si="105"/>
        <v/>
      </c>
      <c r="X823" s="10">
        <f>SUM(V$13:V823)/COUNTA(B$13:B823)</f>
        <v>0</v>
      </c>
      <c r="Z823" s="5"/>
      <c r="AA823" s="5"/>
      <c r="AC823" s="7"/>
      <c r="AE823" s="54" t="e">
        <f t="shared" si="106"/>
        <v>#N/A</v>
      </c>
      <c r="AF823" s="4" t="e">
        <f t="shared" si="102"/>
        <v>#N/A</v>
      </c>
    </row>
    <row r="824" spans="2:32">
      <c r="B824" s="5">
        <f t="shared" si="107"/>
        <v>812</v>
      </c>
      <c r="C824" s="5"/>
      <c r="E824" s="13"/>
      <c r="F824" s="5"/>
      <c r="G824" s="11" t="str">
        <f>IF(ISERROR(AVERAGE(F$13:F824)),"n/a",AVERAGE(F$13:F824))</f>
        <v>n/a</v>
      </c>
      <c r="H824" s="11" t="str">
        <f t="shared" si="103"/>
        <v>n/a</v>
      </c>
      <c r="J824" s="5"/>
      <c r="K824" s="5"/>
      <c r="L824" s="5"/>
      <c r="M824" s="5"/>
      <c r="N824" s="5"/>
      <c r="O824" s="8" t="str">
        <f t="shared" si="101"/>
        <v>n/a</v>
      </c>
      <c r="Q824" s="5"/>
      <c r="R824" s="5"/>
      <c r="S824" s="5"/>
      <c r="U824" s="6"/>
      <c r="V824" s="9" t="str">
        <f t="shared" si="104"/>
        <v/>
      </c>
      <c r="W824" s="9" t="str">
        <f t="shared" si="105"/>
        <v/>
      </c>
      <c r="X824" s="10">
        <f>SUM(V$13:V824)/COUNTA(B$13:B824)</f>
        <v>0</v>
      </c>
      <c r="Z824" s="5"/>
      <c r="AA824" s="5"/>
      <c r="AC824" s="7"/>
      <c r="AE824" s="54" t="e">
        <f t="shared" si="106"/>
        <v>#N/A</v>
      </c>
      <c r="AF824" s="4" t="e">
        <f t="shared" si="102"/>
        <v>#N/A</v>
      </c>
    </row>
    <row r="825" spans="2:32">
      <c r="B825" s="5">
        <f t="shared" si="107"/>
        <v>813</v>
      </c>
      <c r="C825" s="5"/>
      <c r="E825" s="13"/>
      <c r="F825" s="5"/>
      <c r="G825" s="11" t="str">
        <f>IF(ISERROR(AVERAGE(F$13:F825)),"n/a",AVERAGE(F$13:F825))</f>
        <v>n/a</v>
      </c>
      <c r="H825" s="11" t="str">
        <f t="shared" si="103"/>
        <v>n/a</v>
      </c>
      <c r="J825" s="5"/>
      <c r="K825" s="5"/>
      <c r="L825" s="5"/>
      <c r="M825" s="5"/>
      <c r="N825" s="5"/>
      <c r="O825" s="8" t="str">
        <f t="shared" si="101"/>
        <v>n/a</v>
      </c>
      <c r="Q825" s="5"/>
      <c r="R825" s="5"/>
      <c r="S825" s="5"/>
      <c r="U825" s="6"/>
      <c r="V825" s="9" t="str">
        <f t="shared" si="104"/>
        <v/>
      </c>
      <c r="W825" s="9" t="str">
        <f t="shared" si="105"/>
        <v/>
      </c>
      <c r="X825" s="10">
        <f>SUM(V$13:V825)/COUNTA(B$13:B825)</f>
        <v>0</v>
      </c>
      <c r="Z825" s="5"/>
      <c r="AA825" s="5"/>
      <c r="AC825" s="7"/>
      <c r="AE825" s="54" t="e">
        <f t="shared" si="106"/>
        <v>#N/A</v>
      </c>
      <c r="AF825" s="4" t="e">
        <f t="shared" si="102"/>
        <v>#N/A</v>
      </c>
    </row>
    <row r="826" spans="2:32">
      <c r="B826" s="5">
        <f t="shared" si="107"/>
        <v>814</v>
      </c>
      <c r="C826" s="5"/>
      <c r="E826" s="13"/>
      <c r="F826" s="5"/>
      <c r="G826" s="11" t="str">
        <f>IF(ISERROR(AVERAGE(F$13:F826)),"n/a",AVERAGE(F$13:F826))</f>
        <v>n/a</v>
      </c>
      <c r="H826" s="11" t="str">
        <f t="shared" si="103"/>
        <v>n/a</v>
      </c>
      <c r="J826" s="5"/>
      <c r="K826" s="5"/>
      <c r="L826" s="5"/>
      <c r="M826" s="5"/>
      <c r="N826" s="5"/>
      <c r="O826" s="8" t="str">
        <f t="shared" si="101"/>
        <v>n/a</v>
      </c>
      <c r="Q826" s="5"/>
      <c r="R826" s="5"/>
      <c r="S826" s="5"/>
      <c r="U826" s="6"/>
      <c r="V826" s="9" t="str">
        <f t="shared" si="104"/>
        <v/>
      </c>
      <c r="W826" s="9" t="str">
        <f t="shared" si="105"/>
        <v/>
      </c>
      <c r="X826" s="10">
        <f>SUM(V$13:V826)/COUNTA(B$13:B826)</f>
        <v>0</v>
      </c>
      <c r="Z826" s="5"/>
      <c r="AA826" s="5"/>
      <c r="AC826" s="7"/>
      <c r="AE826" s="54" t="e">
        <f t="shared" si="106"/>
        <v>#N/A</v>
      </c>
      <c r="AF826" s="4" t="e">
        <f t="shared" si="102"/>
        <v>#N/A</v>
      </c>
    </row>
    <row r="827" spans="2:32">
      <c r="B827" s="5">
        <f t="shared" si="107"/>
        <v>815</v>
      </c>
      <c r="C827" s="5"/>
      <c r="E827" s="13"/>
      <c r="F827" s="5"/>
      <c r="G827" s="11" t="str">
        <f>IF(ISERROR(AVERAGE(F$13:F827)),"n/a",AVERAGE(F$13:F827))</f>
        <v>n/a</v>
      </c>
      <c r="H827" s="11" t="str">
        <f t="shared" si="103"/>
        <v>n/a</v>
      </c>
      <c r="J827" s="5"/>
      <c r="K827" s="5"/>
      <c r="L827" s="5"/>
      <c r="M827" s="5"/>
      <c r="N827" s="5"/>
      <c r="O827" s="8" t="str">
        <f t="shared" si="101"/>
        <v>n/a</v>
      </c>
      <c r="Q827" s="5"/>
      <c r="R827" s="5"/>
      <c r="S827" s="5"/>
      <c r="U827" s="6"/>
      <c r="V827" s="9" t="str">
        <f t="shared" si="104"/>
        <v/>
      </c>
      <c r="W827" s="9" t="str">
        <f t="shared" si="105"/>
        <v/>
      </c>
      <c r="X827" s="10">
        <f>SUM(V$13:V827)/COUNTA(B$13:B827)</f>
        <v>0</v>
      </c>
      <c r="Z827" s="5"/>
      <c r="AA827" s="5"/>
      <c r="AC827" s="7"/>
      <c r="AE827" s="54" t="e">
        <f t="shared" si="106"/>
        <v>#N/A</v>
      </c>
      <c r="AF827" s="4" t="e">
        <f t="shared" si="102"/>
        <v>#N/A</v>
      </c>
    </row>
    <row r="828" spans="2:32">
      <c r="B828" s="5">
        <f t="shared" si="107"/>
        <v>816</v>
      </c>
      <c r="C828" s="5"/>
      <c r="E828" s="13"/>
      <c r="F828" s="5"/>
      <c r="G828" s="11" t="str">
        <f>IF(ISERROR(AVERAGE(F$13:F828)),"n/a",AVERAGE(F$13:F828))</f>
        <v>n/a</v>
      </c>
      <c r="H828" s="11" t="str">
        <f t="shared" si="103"/>
        <v>n/a</v>
      </c>
      <c r="J828" s="5"/>
      <c r="K828" s="5"/>
      <c r="L828" s="5"/>
      <c r="M828" s="5"/>
      <c r="N828" s="5"/>
      <c r="O828" s="8" t="str">
        <f t="shared" si="101"/>
        <v>n/a</v>
      </c>
      <c r="Q828" s="5"/>
      <c r="R828" s="5"/>
      <c r="S828" s="5"/>
      <c r="U828" s="6"/>
      <c r="V828" s="9" t="str">
        <f t="shared" si="104"/>
        <v/>
      </c>
      <c r="W828" s="9" t="str">
        <f t="shared" si="105"/>
        <v/>
      </c>
      <c r="X828" s="10">
        <f>SUM(V$13:V828)/COUNTA(B$13:B828)</f>
        <v>0</v>
      </c>
      <c r="Z828" s="5"/>
      <c r="AA828" s="5"/>
      <c r="AC828" s="7"/>
      <c r="AE828" s="54" t="e">
        <f t="shared" si="106"/>
        <v>#N/A</v>
      </c>
      <c r="AF828" s="4" t="e">
        <f t="shared" si="102"/>
        <v>#N/A</v>
      </c>
    </row>
    <row r="829" spans="2:32">
      <c r="B829" s="5">
        <f t="shared" si="107"/>
        <v>817</v>
      </c>
      <c r="C829" s="5"/>
      <c r="E829" s="13"/>
      <c r="F829" s="5"/>
      <c r="G829" s="11" t="str">
        <f>IF(ISERROR(AVERAGE(F$13:F829)),"n/a",AVERAGE(F$13:F829))</f>
        <v>n/a</v>
      </c>
      <c r="H829" s="11" t="str">
        <f t="shared" si="103"/>
        <v>n/a</v>
      </c>
      <c r="J829" s="5"/>
      <c r="K829" s="5"/>
      <c r="L829" s="5"/>
      <c r="M829" s="5"/>
      <c r="N829" s="5"/>
      <c r="O829" s="8" t="str">
        <f t="shared" si="101"/>
        <v>n/a</v>
      </c>
      <c r="Q829" s="5"/>
      <c r="R829" s="5"/>
      <c r="S829" s="5"/>
      <c r="U829" s="6"/>
      <c r="V829" s="9" t="str">
        <f t="shared" si="104"/>
        <v/>
      </c>
      <c r="W829" s="9" t="str">
        <f t="shared" si="105"/>
        <v/>
      </c>
      <c r="X829" s="10">
        <f>SUM(V$13:V829)/COUNTA(B$13:B829)</f>
        <v>0</v>
      </c>
      <c r="Z829" s="5"/>
      <c r="AA829" s="5"/>
      <c r="AC829" s="7"/>
      <c r="AE829" s="54" t="e">
        <f t="shared" si="106"/>
        <v>#N/A</v>
      </c>
      <c r="AF829" s="4" t="e">
        <f t="shared" si="102"/>
        <v>#N/A</v>
      </c>
    </row>
    <row r="830" spans="2:32">
      <c r="B830" s="5">
        <f t="shared" si="107"/>
        <v>818</v>
      </c>
      <c r="C830" s="5"/>
      <c r="E830" s="13"/>
      <c r="F830" s="5"/>
      <c r="G830" s="11" t="str">
        <f>IF(ISERROR(AVERAGE(F$13:F830)),"n/a",AVERAGE(F$13:F830))</f>
        <v>n/a</v>
      </c>
      <c r="H830" s="11" t="str">
        <f t="shared" si="103"/>
        <v>n/a</v>
      </c>
      <c r="J830" s="5"/>
      <c r="K830" s="5"/>
      <c r="L830" s="5"/>
      <c r="M830" s="5"/>
      <c r="N830" s="5"/>
      <c r="O830" s="8" t="str">
        <f t="shared" si="101"/>
        <v>n/a</v>
      </c>
      <c r="Q830" s="5"/>
      <c r="R830" s="5"/>
      <c r="S830" s="5"/>
      <c r="U830" s="6"/>
      <c r="V830" s="9" t="str">
        <f t="shared" si="104"/>
        <v/>
      </c>
      <c r="W830" s="9" t="str">
        <f t="shared" si="105"/>
        <v/>
      </c>
      <c r="X830" s="10">
        <f>SUM(V$13:V830)/COUNTA(B$13:B830)</f>
        <v>0</v>
      </c>
      <c r="Z830" s="5"/>
      <c r="AA830" s="5"/>
      <c r="AC830" s="7"/>
      <c r="AE830" s="54" t="e">
        <f t="shared" si="106"/>
        <v>#N/A</v>
      </c>
      <c r="AF830" s="4" t="e">
        <f t="shared" si="102"/>
        <v>#N/A</v>
      </c>
    </row>
    <row r="831" spans="2:32">
      <c r="B831" s="5">
        <f t="shared" si="107"/>
        <v>819</v>
      </c>
      <c r="C831" s="5"/>
      <c r="E831" s="13"/>
      <c r="F831" s="5"/>
      <c r="G831" s="11" t="str">
        <f>IF(ISERROR(AVERAGE(F$13:F831)),"n/a",AVERAGE(F$13:F831))</f>
        <v>n/a</v>
      </c>
      <c r="H831" s="11" t="str">
        <f t="shared" si="103"/>
        <v>n/a</v>
      </c>
      <c r="J831" s="5"/>
      <c r="K831" s="5"/>
      <c r="L831" s="5"/>
      <c r="M831" s="5"/>
      <c r="N831" s="5"/>
      <c r="O831" s="8" t="str">
        <f t="shared" si="101"/>
        <v>n/a</v>
      </c>
      <c r="Q831" s="5"/>
      <c r="R831" s="5"/>
      <c r="S831" s="5"/>
      <c r="U831" s="6"/>
      <c r="V831" s="9" t="str">
        <f t="shared" si="104"/>
        <v/>
      </c>
      <c r="W831" s="9" t="str">
        <f t="shared" si="105"/>
        <v/>
      </c>
      <c r="X831" s="10">
        <f>SUM(V$13:V831)/COUNTA(B$13:B831)</f>
        <v>0</v>
      </c>
      <c r="Z831" s="5"/>
      <c r="AA831" s="5"/>
      <c r="AC831" s="7"/>
      <c r="AE831" s="54" t="e">
        <f t="shared" si="106"/>
        <v>#N/A</v>
      </c>
      <c r="AF831" s="4" t="e">
        <f t="shared" si="102"/>
        <v>#N/A</v>
      </c>
    </row>
    <row r="832" spans="2:32">
      <c r="B832" s="5">
        <f t="shared" si="107"/>
        <v>820</v>
      </c>
      <c r="C832" s="5"/>
      <c r="E832" s="13"/>
      <c r="F832" s="5"/>
      <c r="G832" s="11" t="str">
        <f>IF(ISERROR(AVERAGE(F$13:F832)),"n/a",AVERAGE(F$13:F832))</f>
        <v>n/a</v>
      </c>
      <c r="H832" s="11" t="str">
        <f t="shared" si="103"/>
        <v>n/a</v>
      </c>
      <c r="J832" s="5"/>
      <c r="K832" s="5"/>
      <c r="L832" s="5"/>
      <c r="M832" s="5"/>
      <c r="N832" s="5"/>
      <c r="O832" s="8" t="str">
        <f t="shared" si="101"/>
        <v>n/a</v>
      </c>
      <c r="Q832" s="5"/>
      <c r="R832" s="5"/>
      <c r="S832" s="5"/>
      <c r="U832" s="6"/>
      <c r="V832" s="9" t="str">
        <f t="shared" si="104"/>
        <v/>
      </c>
      <c r="W832" s="9" t="str">
        <f t="shared" si="105"/>
        <v/>
      </c>
      <c r="X832" s="10">
        <f>SUM(V$13:V832)/COUNTA(B$13:B832)</f>
        <v>0</v>
      </c>
      <c r="Z832" s="5"/>
      <c r="AA832" s="5"/>
      <c r="AC832" s="7"/>
      <c r="AE832" s="54" t="e">
        <f t="shared" si="106"/>
        <v>#N/A</v>
      </c>
      <c r="AF832" s="4" t="e">
        <f t="shared" si="102"/>
        <v>#N/A</v>
      </c>
    </row>
    <row r="833" spans="2:32">
      <c r="B833" s="5">
        <f t="shared" si="107"/>
        <v>821</v>
      </c>
      <c r="C833" s="5"/>
      <c r="E833" s="13"/>
      <c r="F833" s="5"/>
      <c r="G833" s="11" t="str">
        <f>IF(ISERROR(AVERAGE(F$13:F833)),"n/a",AVERAGE(F$13:F833))</f>
        <v>n/a</v>
      </c>
      <c r="H833" s="11" t="str">
        <f t="shared" si="103"/>
        <v>n/a</v>
      </c>
      <c r="J833" s="5"/>
      <c r="K833" s="5"/>
      <c r="L833" s="5"/>
      <c r="M833" s="5"/>
      <c r="N833" s="5"/>
      <c r="O833" s="8" t="str">
        <f t="shared" si="101"/>
        <v>n/a</v>
      </c>
      <c r="Q833" s="5"/>
      <c r="R833" s="5"/>
      <c r="S833" s="5"/>
      <c r="U833" s="6"/>
      <c r="V833" s="9" t="str">
        <f t="shared" si="104"/>
        <v/>
      </c>
      <c r="W833" s="9" t="str">
        <f t="shared" si="105"/>
        <v/>
      </c>
      <c r="X833" s="10">
        <f>SUM(V$13:V833)/COUNTA(B$13:B833)</f>
        <v>0</v>
      </c>
      <c r="Z833" s="5"/>
      <c r="AA833" s="5"/>
      <c r="AC833" s="7"/>
      <c r="AE833" s="54" t="e">
        <f t="shared" si="106"/>
        <v>#N/A</v>
      </c>
      <c r="AF833" s="4" t="e">
        <f t="shared" si="102"/>
        <v>#N/A</v>
      </c>
    </row>
    <row r="834" spans="2:32">
      <c r="B834" s="5">
        <f t="shared" si="107"/>
        <v>822</v>
      </c>
      <c r="C834" s="5"/>
      <c r="E834" s="13"/>
      <c r="F834" s="5"/>
      <c r="G834" s="11" t="str">
        <f>IF(ISERROR(AVERAGE(F$13:F834)),"n/a",AVERAGE(F$13:F834))</f>
        <v>n/a</v>
      </c>
      <c r="H834" s="11" t="str">
        <f t="shared" si="103"/>
        <v>n/a</v>
      </c>
      <c r="J834" s="5"/>
      <c r="K834" s="5"/>
      <c r="L834" s="5"/>
      <c r="M834" s="5"/>
      <c r="N834" s="5"/>
      <c r="O834" s="8" t="str">
        <f t="shared" si="101"/>
        <v>n/a</v>
      </c>
      <c r="Q834" s="5"/>
      <c r="R834" s="5"/>
      <c r="S834" s="5"/>
      <c r="U834" s="6"/>
      <c r="V834" s="9" t="str">
        <f t="shared" si="104"/>
        <v/>
      </c>
      <c r="W834" s="9" t="str">
        <f t="shared" si="105"/>
        <v/>
      </c>
      <c r="X834" s="10">
        <f>SUM(V$13:V834)/COUNTA(B$13:B834)</f>
        <v>0</v>
      </c>
      <c r="Z834" s="5"/>
      <c r="AA834" s="5"/>
      <c r="AC834" s="7"/>
      <c r="AE834" s="54" t="e">
        <f t="shared" si="106"/>
        <v>#N/A</v>
      </c>
      <c r="AF834" s="4" t="e">
        <f t="shared" si="102"/>
        <v>#N/A</v>
      </c>
    </row>
    <row r="835" spans="2:32">
      <c r="B835" s="5">
        <f t="shared" si="107"/>
        <v>823</v>
      </c>
      <c r="C835" s="5"/>
      <c r="E835" s="13"/>
      <c r="F835" s="5"/>
      <c r="G835" s="11" t="str">
        <f>IF(ISERROR(AVERAGE(F$13:F835)),"n/a",AVERAGE(F$13:F835))</f>
        <v>n/a</v>
      </c>
      <c r="H835" s="11" t="str">
        <f t="shared" si="103"/>
        <v>n/a</v>
      </c>
      <c r="J835" s="5"/>
      <c r="K835" s="5"/>
      <c r="L835" s="5"/>
      <c r="M835" s="5"/>
      <c r="N835" s="5"/>
      <c r="O835" s="8" t="str">
        <f t="shared" si="101"/>
        <v>n/a</v>
      </c>
      <c r="Q835" s="5"/>
      <c r="R835" s="5"/>
      <c r="S835" s="5"/>
      <c r="U835" s="6"/>
      <c r="V835" s="9" t="str">
        <f t="shared" si="104"/>
        <v/>
      </c>
      <c r="W835" s="9" t="str">
        <f t="shared" si="105"/>
        <v/>
      </c>
      <c r="X835" s="10">
        <f>SUM(V$13:V835)/COUNTA(B$13:B835)</f>
        <v>0</v>
      </c>
      <c r="Z835" s="5"/>
      <c r="AA835" s="5"/>
      <c r="AC835" s="7"/>
      <c r="AE835" s="54" t="e">
        <f t="shared" si="106"/>
        <v>#N/A</v>
      </c>
      <c r="AF835" s="4" t="e">
        <f t="shared" si="102"/>
        <v>#N/A</v>
      </c>
    </row>
    <row r="836" spans="2:32">
      <c r="B836" s="5">
        <f t="shared" si="107"/>
        <v>824</v>
      </c>
      <c r="C836" s="5"/>
      <c r="E836" s="13"/>
      <c r="F836" s="5"/>
      <c r="G836" s="11" t="str">
        <f>IF(ISERROR(AVERAGE(F$13:F836)),"n/a",AVERAGE(F$13:F836))</f>
        <v>n/a</v>
      </c>
      <c r="H836" s="11" t="str">
        <f t="shared" si="103"/>
        <v>n/a</v>
      </c>
      <c r="J836" s="5"/>
      <c r="K836" s="5"/>
      <c r="L836" s="5"/>
      <c r="M836" s="5"/>
      <c r="N836" s="5"/>
      <c r="O836" s="8" t="str">
        <f t="shared" si="101"/>
        <v>n/a</v>
      </c>
      <c r="Q836" s="5"/>
      <c r="R836" s="5"/>
      <c r="S836" s="5"/>
      <c r="U836" s="6"/>
      <c r="V836" s="9" t="str">
        <f t="shared" si="104"/>
        <v/>
      </c>
      <c r="W836" s="9" t="str">
        <f t="shared" si="105"/>
        <v/>
      </c>
      <c r="X836" s="10">
        <f>SUM(V$13:V836)/COUNTA(B$13:B836)</f>
        <v>0</v>
      </c>
      <c r="Z836" s="5"/>
      <c r="AA836" s="5"/>
      <c r="AC836" s="7"/>
      <c r="AE836" s="54" t="e">
        <f t="shared" si="106"/>
        <v>#N/A</v>
      </c>
      <c r="AF836" s="4" t="e">
        <f t="shared" si="102"/>
        <v>#N/A</v>
      </c>
    </row>
    <row r="837" spans="2:32">
      <c r="B837" s="5">
        <f t="shared" si="107"/>
        <v>825</v>
      </c>
      <c r="C837" s="5"/>
      <c r="E837" s="13"/>
      <c r="F837" s="5"/>
      <c r="G837" s="11" t="str">
        <f>IF(ISERROR(AVERAGE(F$13:F837)),"n/a",AVERAGE(F$13:F837))</f>
        <v>n/a</v>
      </c>
      <c r="H837" s="11" t="str">
        <f t="shared" si="103"/>
        <v>n/a</v>
      </c>
      <c r="J837" s="5"/>
      <c r="K837" s="5"/>
      <c r="L837" s="5"/>
      <c r="M837" s="5"/>
      <c r="N837" s="5"/>
      <c r="O837" s="8" t="str">
        <f t="shared" si="101"/>
        <v>n/a</v>
      </c>
      <c r="Q837" s="5"/>
      <c r="R837" s="5"/>
      <c r="S837" s="5"/>
      <c r="U837" s="6"/>
      <c r="V837" s="9" t="str">
        <f t="shared" si="104"/>
        <v/>
      </c>
      <c r="W837" s="9" t="str">
        <f t="shared" si="105"/>
        <v/>
      </c>
      <c r="X837" s="10">
        <f>SUM(V$13:V837)/COUNTA(B$13:B837)</f>
        <v>0</v>
      </c>
      <c r="Z837" s="5"/>
      <c r="AA837" s="5"/>
      <c r="AC837" s="7"/>
      <c r="AE837" s="54" t="e">
        <f t="shared" si="106"/>
        <v>#N/A</v>
      </c>
      <c r="AF837" s="4" t="e">
        <f t="shared" si="102"/>
        <v>#N/A</v>
      </c>
    </row>
    <row r="838" spans="2:32">
      <c r="B838" s="5">
        <f t="shared" si="107"/>
        <v>826</v>
      </c>
      <c r="C838" s="5"/>
      <c r="E838" s="13"/>
      <c r="F838" s="5"/>
      <c r="G838" s="11" t="str">
        <f>IF(ISERROR(AVERAGE(F$13:F838)),"n/a",AVERAGE(F$13:F838))</f>
        <v>n/a</v>
      </c>
      <c r="H838" s="11" t="str">
        <f t="shared" si="103"/>
        <v>n/a</v>
      </c>
      <c r="J838" s="5"/>
      <c r="K838" s="5"/>
      <c r="L838" s="5"/>
      <c r="M838" s="5"/>
      <c r="N838" s="5"/>
      <c r="O838" s="8" t="str">
        <f t="shared" si="101"/>
        <v>n/a</v>
      </c>
      <c r="Q838" s="5"/>
      <c r="R838" s="5"/>
      <c r="S838" s="5"/>
      <c r="U838" s="6"/>
      <c r="V838" s="9" t="str">
        <f t="shared" si="104"/>
        <v/>
      </c>
      <c r="W838" s="9" t="str">
        <f t="shared" si="105"/>
        <v/>
      </c>
      <c r="X838" s="10">
        <f>SUM(V$13:V838)/COUNTA(B$13:B838)</f>
        <v>0</v>
      </c>
      <c r="Z838" s="5"/>
      <c r="AA838" s="5"/>
      <c r="AC838" s="7"/>
      <c r="AE838" s="54" t="e">
        <f t="shared" si="106"/>
        <v>#N/A</v>
      </c>
      <c r="AF838" s="4" t="e">
        <f t="shared" si="102"/>
        <v>#N/A</v>
      </c>
    </row>
    <row r="839" spans="2:32">
      <c r="B839" s="5">
        <f t="shared" si="107"/>
        <v>827</v>
      </c>
      <c r="C839" s="5"/>
      <c r="E839" s="13"/>
      <c r="F839" s="5"/>
      <c r="G839" s="11" t="str">
        <f>IF(ISERROR(AVERAGE(F$13:F839)),"n/a",AVERAGE(F$13:F839))</f>
        <v>n/a</v>
      </c>
      <c r="H839" s="11" t="str">
        <f t="shared" si="103"/>
        <v>n/a</v>
      </c>
      <c r="J839" s="5"/>
      <c r="K839" s="5"/>
      <c r="L839" s="5"/>
      <c r="M839" s="5"/>
      <c r="N839" s="5"/>
      <c r="O839" s="8" t="str">
        <f t="shared" si="101"/>
        <v>n/a</v>
      </c>
      <c r="Q839" s="5"/>
      <c r="R839" s="5"/>
      <c r="S839" s="5"/>
      <c r="U839" s="6"/>
      <c r="V839" s="9" t="str">
        <f t="shared" si="104"/>
        <v/>
      </c>
      <c r="W839" s="9" t="str">
        <f t="shared" si="105"/>
        <v/>
      </c>
      <c r="X839" s="10">
        <f>SUM(V$13:V839)/COUNTA(B$13:B839)</f>
        <v>0</v>
      </c>
      <c r="Z839" s="5"/>
      <c r="AA839" s="5"/>
      <c r="AC839" s="7"/>
      <c r="AE839" s="54" t="e">
        <f t="shared" si="106"/>
        <v>#N/A</v>
      </c>
      <c r="AF839" s="4" t="e">
        <f t="shared" si="102"/>
        <v>#N/A</v>
      </c>
    </row>
    <row r="840" spans="2:32">
      <c r="B840" s="5">
        <f t="shared" si="107"/>
        <v>828</v>
      </c>
      <c r="C840" s="5"/>
      <c r="E840" s="13"/>
      <c r="F840" s="5"/>
      <c r="G840" s="11" t="str">
        <f>IF(ISERROR(AVERAGE(F$13:F840)),"n/a",AVERAGE(F$13:F840))</f>
        <v>n/a</v>
      </c>
      <c r="H840" s="11" t="str">
        <f t="shared" si="103"/>
        <v>n/a</v>
      </c>
      <c r="J840" s="5"/>
      <c r="K840" s="5"/>
      <c r="L840" s="5"/>
      <c r="M840" s="5"/>
      <c r="N840" s="5"/>
      <c r="O840" s="8" t="str">
        <f t="shared" si="101"/>
        <v>n/a</v>
      </c>
      <c r="Q840" s="5"/>
      <c r="R840" s="5"/>
      <c r="S840" s="5"/>
      <c r="U840" s="6"/>
      <c r="V840" s="9" t="str">
        <f t="shared" si="104"/>
        <v/>
      </c>
      <c r="W840" s="9" t="str">
        <f t="shared" si="105"/>
        <v/>
      </c>
      <c r="X840" s="10">
        <f>SUM(V$13:V840)/COUNTA(B$13:B840)</f>
        <v>0</v>
      </c>
      <c r="Z840" s="5"/>
      <c r="AA840" s="5"/>
      <c r="AC840" s="7"/>
      <c r="AE840" s="54" t="e">
        <f t="shared" si="106"/>
        <v>#N/A</v>
      </c>
      <c r="AF840" s="4" t="e">
        <f t="shared" si="102"/>
        <v>#N/A</v>
      </c>
    </row>
    <row r="841" spans="2:32">
      <c r="B841" s="5">
        <f t="shared" si="107"/>
        <v>829</v>
      </c>
      <c r="C841" s="5"/>
      <c r="E841" s="13"/>
      <c r="F841" s="5"/>
      <c r="G841" s="11" t="str">
        <f>IF(ISERROR(AVERAGE(F$13:F841)),"n/a",AVERAGE(F$13:F841))</f>
        <v>n/a</v>
      </c>
      <c r="H841" s="11" t="str">
        <f t="shared" si="103"/>
        <v>n/a</v>
      </c>
      <c r="J841" s="5"/>
      <c r="K841" s="5"/>
      <c r="L841" s="5"/>
      <c r="M841" s="5"/>
      <c r="N841" s="5"/>
      <c r="O841" s="8" t="str">
        <f t="shared" si="101"/>
        <v>n/a</v>
      </c>
      <c r="Q841" s="5"/>
      <c r="R841" s="5"/>
      <c r="S841" s="5"/>
      <c r="U841" s="6"/>
      <c r="V841" s="9" t="str">
        <f t="shared" si="104"/>
        <v/>
      </c>
      <c r="W841" s="9" t="str">
        <f t="shared" si="105"/>
        <v/>
      </c>
      <c r="X841" s="10">
        <f>SUM(V$13:V841)/COUNTA(B$13:B841)</f>
        <v>0</v>
      </c>
      <c r="Z841" s="5"/>
      <c r="AA841" s="5"/>
      <c r="AC841" s="7"/>
      <c r="AE841" s="54" t="e">
        <f t="shared" si="106"/>
        <v>#N/A</v>
      </c>
      <c r="AF841" s="4" t="e">
        <f t="shared" si="102"/>
        <v>#N/A</v>
      </c>
    </row>
    <row r="842" spans="2:32">
      <c r="B842" s="5">
        <f t="shared" si="107"/>
        <v>830</v>
      </c>
      <c r="C842" s="5"/>
      <c r="E842" s="13"/>
      <c r="F842" s="5"/>
      <c r="G842" s="11" t="str">
        <f>IF(ISERROR(AVERAGE(F$13:F842)),"n/a",AVERAGE(F$13:F842))</f>
        <v>n/a</v>
      </c>
      <c r="H842" s="11" t="str">
        <f t="shared" si="103"/>
        <v>n/a</v>
      </c>
      <c r="J842" s="5"/>
      <c r="K842" s="5"/>
      <c r="L842" s="5"/>
      <c r="M842" s="5"/>
      <c r="N842" s="5"/>
      <c r="O842" s="8" t="str">
        <f t="shared" si="101"/>
        <v>n/a</v>
      </c>
      <c r="Q842" s="5"/>
      <c r="R842" s="5"/>
      <c r="S842" s="5"/>
      <c r="U842" s="6"/>
      <c r="V842" s="9" t="str">
        <f t="shared" si="104"/>
        <v/>
      </c>
      <c r="W842" s="9" t="str">
        <f t="shared" si="105"/>
        <v/>
      </c>
      <c r="X842" s="10">
        <f>SUM(V$13:V842)/COUNTA(B$13:B842)</f>
        <v>0</v>
      </c>
      <c r="Z842" s="5"/>
      <c r="AA842" s="5"/>
      <c r="AC842" s="7"/>
      <c r="AE842" s="54" t="e">
        <f t="shared" si="106"/>
        <v>#N/A</v>
      </c>
      <c r="AF842" s="4" t="e">
        <f t="shared" si="102"/>
        <v>#N/A</v>
      </c>
    </row>
    <row r="843" spans="2:32">
      <c r="B843" s="5">
        <f t="shared" si="107"/>
        <v>831</v>
      </c>
      <c r="C843" s="5"/>
      <c r="E843" s="13"/>
      <c r="F843" s="5"/>
      <c r="G843" s="11" t="str">
        <f>IF(ISERROR(AVERAGE(F$13:F843)),"n/a",AVERAGE(F$13:F843))</f>
        <v>n/a</v>
      </c>
      <c r="H843" s="11" t="str">
        <f t="shared" si="103"/>
        <v>n/a</v>
      </c>
      <c r="J843" s="5"/>
      <c r="K843" s="5"/>
      <c r="L843" s="5"/>
      <c r="M843" s="5"/>
      <c r="N843" s="5"/>
      <c r="O843" s="8" t="str">
        <f t="shared" si="101"/>
        <v>n/a</v>
      </c>
      <c r="Q843" s="5"/>
      <c r="R843" s="5"/>
      <c r="S843" s="5"/>
      <c r="U843" s="6"/>
      <c r="V843" s="9" t="str">
        <f t="shared" si="104"/>
        <v/>
      </c>
      <c r="W843" s="9" t="str">
        <f t="shared" si="105"/>
        <v/>
      </c>
      <c r="X843" s="10">
        <f>SUM(V$13:V843)/COUNTA(B$13:B843)</f>
        <v>0</v>
      </c>
      <c r="Z843" s="5"/>
      <c r="AA843" s="5"/>
      <c r="AC843" s="7"/>
      <c r="AE843" s="54" t="e">
        <f t="shared" si="106"/>
        <v>#N/A</v>
      </c>
      <c r="AF843" s="4" t="e">
        <f t="shared" si="102"/>
        <v>#N/A</v>
      </c>
    </row>
    <row r="844" spans="2:32">
      <c r="B844" s="5">
        <f t="shared" si="107"/>
        <v>832</v>
      </c>
      <c r="C844" s="5"/>
      <c r="E844" s="13"/>
      <c r="F844" s="5"/>
      <c r="G844" s="11" t="str">
        <f>IF(ISERROR(AVERAGE(F$13:F844)),"n/a",AVERAGE(F$13:F844))</f>
        <v>n/a</v>
      </c>
      <c r="H844" s="11" t="str">
        <f t="shared" si="103"/>
        <v>n/a</v>
      </c>
      <c r="J844" s="5"/>
      <c r="K844" s="5"/>
      <c r="L844" s="5"/>
      <c r="M844" s="5"/>
      <c r="N844" s="5"/>
      <c r="O844" s="8" t="str">
        <f t="shared" si="101"/>
        <v>n/a</v>
      </c>
      <c r="Q844" s="5"/>
      <c r="R844" s="5"/>
      <c r="S844" s="5"/>
      <c r="U844" s="6"/>
      <c r="V844" s="9" t="str">
        <f t="shared" si="104"/>
        <v/>
      </c>
      <c r="W844" s="9" t="str">
        <f t="shared" si="105"/>
        <v/>
      </c>
      <c r="X844" s="10">
        <f>SUM(V$13:V844)/COUNTA(B$13:B844)</f>
        <v>0</v>
      </c>
      <c r="Z844" s="5"/>
      <c r="AA844" s="5"/>
      <c r="AC844" s="7"/>
      <c r="AE844" s="54" t="e">
        <f t="shared" si="106"/>
        <v>#N/A</v>
      </c>
      <c r="AF844" s="4" t="e">
        <f t="shared" si="102"/>
        <v>#N/A</v>
      </c>
    </row>
    <row r="845" spans="2:32">
      <c r="B845" s="5">
        <f t="shared" si="107"/>
        <v>833</v>
      </c>
      <c r="C845" s="5"/>
      <c r="E845" s="13"/>
      <c r="F845" s="5"/>
      <c r="G845" s="11" t="str">
        <f>IF(ISERROR(AVERAGE(F$13:F845)),"n/a",AVERAGE(F$13:F845))</f>
        <v>n/a</v>
      </c>
      <c r="H845" s="11" t="str">
        <f t="shared" si="103"/>
        <v>n/a</v>
      </c>
      <c r="J845" s="5"/>
      <c r="K845" s="5"/>
      <c r="L845" s="5"/>
      <c r="M845" s="5"/>
      <c r="N845" s="5"/>
      <c r="O845" s="8" t="str">
        <f t="shared" ref="O845:O908" si="108">IF(J845=1,"A",IF(K845=1,"B",IF(L845=1,"C",IF(M845=1,"D",IF(N845=1,"E","n/a")))))</f>
        <v>n/a</v>
      </c>
      <c r="Q845" s="5"/>
      <c r="R845" s="5"/>
      <c r="S845" s="5"/>
      <c r="U845" s="6"/>
      <c r="V845" s="9" t="str">
        <f t="shared" si="104"/>
        <v/>
      </c>
      <c r="W845" s="9" t="str">
        <f t="shared" si="105"/>
        <v/>
      </c>
      <c r="X845" s="10">
        <f>SUM(V$13:V845)/COUNTA(B$13:B845)</f>
        <v>0</v>
      </c>
      <c r="Z845" s="5"/>
      <c r="AA845" s="5"/>
      <c r="AC845" s="7"/>
      <c r="AE845" s="54" t="e">
        <f t="shared" si="106"/>
        <v>#N/A</v>
      </c>
      <c r="AF845" s="4" t="e">
        <f t="shared" ref="AF845:AF908" si="109">HLOOKUP(C845,$K$6:$O$7,2,FALSE)</f>
        <v>#N/A</v>
      </c>
    </row>
    <row r="846" spans="2:32">
      <c r="B846" s="5">
        <f t="shared" si="107"/>
        <v>834</v>
      </c>
      <c r="C846" s="5"/>
      <c r="E846" s="13"/>
      <c r="F846" s="5"/>
      <c r="G846" s="11" t="str">
        <f>IF(ISERROR(AVERAGE(F$13:F846)),"n/a",AVERAGE(F$13:F846))</f>
        <v>n/a</v>
      </c>
      <c r="H846" s="11" t="str">
        <f t="shared" ref="H846:H909" si="110">G846</f>
        <v>n/a</v>
      </c>
      <c r="J846" s="5"/>
      <c r="K846" s="5"/>
      <c r="L846" s="5"/>
      <c r="M846" s="5"/>
      <c r="N846" s="5"/>
      <c r="O846" s="8" t="str">
        <f t="shared" si="108"/>
        <v>n/a</v>
      </c>
      <c r="Q846" s="5"/>
      <c r="R846" s="5"/>
      <c r="S846" s="5"/>
      <c r="U846" s="6"/>
      <c r="V846" s="9" t="str">
        <f t="shared" ref="V846:V909" si="111">IF(O846="n/a","",IF(O846=U846,1,""))</f>
        <v/>
      </c>
      <c r="W846" s="9" t="str">
        <f t="shared" ref="W846:W909" si="112">IF(O846="n/a","",IF(O846&lt;&gt;U846,1,""))</f>
        <v/>
      </c>
      <c r="X846" s="10">
        <f>SUM(V$13:V846)/COUNTA(B$13:B846)</f>
        <v>0</v>
      </c>
      <c r="Z846" s="5"/>
      <c r="AA846" s="5"/>
      <c r="AC846" s="7"/>
      <c r="AE846" s="54" t="e">
        <f t="shared" ref="AE846:AE909" si="113">+IF($F$4=0,0,IF(W846=1,1,IF(OR(R846*$F$8=1,S846*$F$9=1,F846&gt;=AF846),2,0)))</f>
        <v>#N/A</v>
      </c>
      <c r="AF846" s="4" t="e">
        <f t="shared" si="109"/>
        <v>#N/A</v>
      </c>
    </row>
    <row r="847" spans="2:32">
      <c r="B847" s="5">
        <f t="shared" si="107"/>
        <v>835</v>
      </c>
      <c r="C847" s="5"/>
      <c r="E847" s="13"/>
      <c r="F847" s="5"/>
      <c r="G847" s="11" t="str">
        <f>IF(ISERROR(AVERAGE(F$13:F847)),"n/a",AVERAGE(F$13:F847))</f>
        <v>n/a</v>
      </c>
      <c r="H847" s="11" t="str">
        <f t="shared" si="110"/>
        <v>n/a</v>
      </c>
      <c r="J847" s="5"/>
      <c r="K847" s="5"/>
      <c r="L847" s="5"/>
      <c r="M847" s="5"/>
      <c r="N847" s="5"/>
      <c r="O847" s="8" t="str">
        <f t="shared" si="108"/>
        <v>n/a</v>
      </c>
      <c r="Q847" s="5"/>
      <c r="R847" s="5"/>
      <c r="S847" s="5"/>
      <c r="U847" s="6"/>
      <c r="V847" s="9" t="str">
        <f t="shared" si="111"/>
        <v/>
      </c>
      <c r="W847" s="9" t="str">
        <f t="shared" si="112"/>
        <v/>
      </c>
      <c r="X847" s="10">
        <f>SUM(V$13:V847)/COUNTA(B$13:B847)</f>
        <v>0</v>
      </c>
      <c r="Z847" s="5"/>
      <c r="AA847" s="5"/>
      <c r="AC847" s="7"/>
      <c r="AE847" s="54" t="e">
        <f t="shared" si="113"/>
        <v>#N/A</v>
      </c>
      <c r="AF847" s="4" t="e">
        <f t="shared" si="109"/>
        <v>#N/A</v>
      </c>
    </row>
    <row r="848" spans="2:32">
      <c r="B848" s="5">
        <f t="shared" si="107"/>
        <v>836</v>
      </c>
      <c r="C848" s="5"/>
      <c r="E848" s="13"/>
      <c r="F848" s="5"/>
      <c r="G848" s="11" t="str">
        <f>IF(ISERROR(AVERAGE(F$13:F848)),"n/a",AVERAGE(F$13:F848))</f>
        <v>n/a</v>
      </c>
      <c r="H848" s="11" t="str">
        <f t="shared" si="110"/>
        <v>n/a</v>
      </c>
      <c r="J848" s="5"/>
      <c r="K848" s="5"/>
      <c r="L848" s="5"/>
      <c r="M848" s="5"/>
      <c r="N848" s="5"/>
      <c r="O848" s="8" t="str">
        <f t="shared" si="108"/>
        <v>n/a</v>
      </c>
      <c r="Q848" s="5"/>
      <c r="R848" s="5"/>
      <c r="S848" s="5"/>
      <c r="U848" s="6"/>
      <c r="V848" s="9" t="str">
        <f t="shared" si="111"/>
        <v/>
      </c>
      <c r="W848" s="9" t="str">
        <f t="shared" si="112"/>
        <v/>
      </c>
      <c r="X848" s="10">
        <f>SUM(V$13:V848)/COUNTA(B$13:B848)</f>
        <v>0</v>
      </c>
      <c r="Z848" s="5"/>
      <c r="AA848" s="5"/>
      <c r="AC848" s="7"/>
      <c r="AE848" s="54" t="e">
        <f t="shared" si="113"/>
        <v>#N/A</v>
      </c>
      <c r="AF848" s="4" t="e">
        <f t="shared" si="109"/>
        <v>#N/A</v>
      </c>
    </row>
    <row r="849" spans="2:32">
      <c r="B849" s="5">
        <f t="shared" si="107"/>
        <v>837</v>
      </c>
      <c r="C849" s="5"/>
      <c r="E849" s="13"/>
      <c r="F849" s="5"/>
      <c r="G849" s="11" t="str">
        <f>IF(ISERROR(AVERAGE(F$13:F849)),"n/a",AVERAGE(F$13:F849))</f>
        <v>n/a</v>
      </c>
      <c r="H849" s="11" t="str">
        <f t="shared" si="110"/>
        <v>n/a</v>
      </c>
      <c r="J849" s="5"/>
      <c r="K849" s="5"/>
      <c r="L849" s="5"/>
      <c r="M849" s="5"/>
      <c r="N849" s="5"/>
      <c r="O849" s="8" t="str">
        <f t="shared" si="108"/>
        <v>n/a</v>
      </c>
      <c r="Q849" s="5"/>
      <c r="R849" s="5"/>
      <c r="S849" s="5"/>
      <c r="U849" s="6"/>
      <c r="V849" s="9" t="str">
        <f t="shared" si="111"/>
        <v/>
      </c>
      <c r="W849" s="9" t="str">
        <f t="shared" si="112"/>
        <v/>
      </c>
      <c r="X849" s="10">
        <f>SUM(V$13:V849)/COUNTA(B$13:B849)</f>
        <v>0</v>
      </c>
      <c r="Z849" s="5"/>
      <c r="AA849" s="5"/>
      <c r="AC849" s="7"/>
      <c r="AE849" s="54" t="e">
        <f t="shared" si="113"/>
        <v>#N/A</v>
      </c>
      <c r="AF849" s="4" t="e">
        <f t="shared" si="109"/>
        <v>#N/A</v>
      </c>
    </row>
    <row r="850" spans="2:32">
      <c r="B850" s="5">
        <f t="shared" si="107"/>
        <v>838</v>
      </c>
      <c r="C850" s="5"/>
      <c r="E850" s="13"/>
      <c r="F850" s="5"/>
      <c r="G850" s="11" t="str">
        <f>IF(ISERROR(AVERAGE(F$13:F850)),"n/a",AVERAGE(F$13:F850))</f>
        <v>n/a</v>
      </c>
      <c r="H850" s="11" t="str">
        <f t="shared" si="110"/>
        <v>n/a</v>
      </c>
      <c r="J850" s="5"/>
      <c r="K850" s="5"/>
      <c r="L850" s="5"/>
      <c r="M850" s="5"/>
      <c r="N850" s="5"/>
      <c r="O850" s="8" t="str">
        <f t="shared" si="108"/>
        <v>n/a</v>
      </c>
      <c r="Q850" s="5"/>
      <c r="R850" s="5"/>
      <c r="S850" s="5"/>
      <c r="U850" s="6"/>
      <c r="V850" s="9" t="str">
        <f t="shared" si="111"/>
        <v/>
      </c>
      <c r="W850" s="9" t="str">
        <f t="shared" si="112"/>
        <v/>
      </c>
      <c r="X850" s="10">
        <f>SUM(V$13:V850)/COUNTA(B$13:B850)</f>
        <v>0</v>
      </c>
      <c r="Z850" s="5"/>
      <c r="AA850" s="5"/>
      <c r="AC850" s="7"/>
      <c r="AE850" s="54" t="e">
        <f t="shared" si="113"/>
        <v>#N/A</v>
      </c>
      <c r="AF850" s="4" t="e">
        <f t="shared" si="109"/>
        <v>#N/A</v>
      </c>
    </row>
    <row r="851" spans="2:32">
      <c r="B851" s="5">
        <f t="shared" ref="B851:B914" si="114">+B850+1</f>
        <v>839</v>
      </c>
      <c r="C851" s="5"/>
      <c r="E851" s="13"/>
      <c r="F851" s="5"/>
      <c r="G851" s="11" t="str">
        <f>IF(ISERROR(AVERAGE(F$13:F851)),"n/a",AVERAGE(F$13:F851))</f>
        <v>n/a</v>
      </c>
      <c r="H851" s="11" t="str">
        <f t="shared" si="110"/>
        <v>n/a</v>
      </c>
      <c r="J851" s="5"/>
      <c r="K851" s="5"/>
      <c r="L851" s="5"/>
      <c r="M851" s="5"/>
      <c r="N851" s="5"/>
      <c r="O851" s="8" t="str">
        <f t="shared" si="108"/>
        <v>n/a</v>
      </c>
      <c r="Q851" s="5"/>
      <c r="R851" s="5"/>
      <c r="S851" s="5"/>
      <c r="U851" s="6"/>
      <c r="V851" s="9" t="str">
        <f t="shared" si="111"/>
        <v/>
      </c>
      <c r="W851" s="9" t="str">
        <f t="shared" si="112"/>
        <v/>
      </c>
      <c r="X851" s="10">
        <f>SUM(V$13:V851)/COUNTA(B$13:B851)</f>
        <v>0</v>
      </c>
      <c r="Z851" s="5"/>
      <c r="AA851" s="5"/>
      <c r="AC851" s="7"/>
      <c r="AE851" s="54" t="e">
        <f t="shared" si="113"/>
        <v>#N/A</v>
      </c>
      <c r="AF851" s="4" t="e">
        <f t="shared" si="109"/>
        <v>#N/A</v>
      </c>
    </row>
    <row r="852" spans="2:32">
      <c r="B852" s="5">
        <f t="shared" si="114"/>
        <v>840</v>
      </c>
      <c r="C852" s="5"/>
      <c r="E852" s="13"/>
      <c r="F852" s="5"/>
      <c r="G852" s="11" t="str">
        <f>IF(ISERROR(AVERAGE(F$13:F852)),"n/a",AVERAGE(F$13:F852))</f>
        <v>n/a</v>
      </c>
      <c r="H852" s="11" t="str">
        <f t="shared" si="110"/>
        <v>n/a</v>
      </c>
      <c r="J852" s="5"/>
      <c r="K852" s="5"/>
      <c r="L852" s="5"/>
      <c r="M852" s="5"/>
      <c r="N852" s="5"/>
      <c r="O852" s="8" t="str">
        <f t="shared" si="108"/>
        <v>n/a</v>
      </c>
      <c r="Q852" s="5"/>
      <c r="R852" s="5"/>
      <c r="S852" s="5"/>
      <c r="U852" s="6"/>
      <c r="V852" s="9" t="str">
        <f t="shared" si="111"/>
        <v/>
      </c>
      <c r="W852" s="9" t="str">
        <f t="shared" si="112"/>
        <v/>
      </c>
      <c r="X852" s="10">
        <f>SUM(V$13:V852)/COUNTA(B$13:B852)</f>
        <v>0</v>
      </c>
      <c r="Z852" s="5"/>
      <c r="AA852" s="5"/>
      <c r="AC852" s="7"/>
      <c r="AE852" s="54" t="e">
        <f t="shared" si="113"/>
        <v>#N/A</v>
      </c>
      <c r="AF852" s="4" t="e">
        <f t="shared" si="109"/>
        <v>#N/A</v>
      </c>
    </row>
    <row r="853" spans="2:32">
      <c r="B853" s="5">
        <f t="shared" si="114"/>
        <v>841</v>
      </c>
      <c r="C853" s="5"/>
      <c r="E853" s="13"/>
      <c r="F853" s="5"/>
      <c r="G853" s="11" t="str">
        <f>IF(ISERROR(AVERAGE(F$13:F853)),"n/a",AVERAGE(F$13:F853))</f>
        <v>n/a</v>
      </c>
      <c r="H853" s="11" t="str">
        <f t="shared" si="110"/>
        <v>n/a</v>
      </c>
      <c r="J853" s="5"/>
      <c r="K853" s="5"/>
      <c r="L853" s="5"/>
      <c r="M853" s="5"/>
      <c r="N853" s="5"/>
      <c r="O853" s="8" t="str">
        <f t="shared" si="108"/>
        <v>n/a</v>
      </c>
      <c r="Q853" s="5"/>
      <c r="R853" s="5"/>
      <c r="S853" s="5"/>
      <c r="U853" s="6"/>
      <c r="V853" s="9" t="str">
        <f t="shared" si="111"/>
        <v/>
      </c>
      <c r="W853" s="9" t="str">
        <f t="shared" si="112"/>
        <v/>
      </c>
      <c r="X853" s="10">
        <f>SUM(V$13:V853)/COUNTA(B$13:B853)</f>
        <v>0</v>
      </c>
      <c r="Z853" s="5"/>
      <c r="AA853" s="5"/>
      <c r="AC853" s="7"/>
      <c r="AE853" s="54" t="e">
        <f t="shared" si="113"/>
        <v>#N/A</v>
      </c>
      <c r="AF853" s="4" t="e">
        <f t="shared" si="109"/>
        <v>#N/A</v>
      </c>
    </row>
    <row r="854" spans="2:32">
      <c r="B854" s="5">
        <f t="shared" si="114"/>
        <v>842</v>
      </c>
      <c r="C854" s="5"/>
      <c r="E854" s="13"/>
      <c r="F854" s="5"/>
      <c r="G854" s="11" t="str">
        <f>IF(ISERROR(AVERAGE(F$13:F854)),"n/a",AVERAGE(F$13:F854))</f>
        <v>n/a</v>
      </c>
      <c r="H854" s="11" t="str">
        <f t="shared" si="110"/>
        <v>n/a</v>
      </c>
      <c r="J854" s="5"/>
      <c r="K854" s="5"/>
      <c r="L854" s="5"/>
      <c r="M854" s="5"/>
      <c r="N854" s="5"/>
      <c r="O854" s="8" t="str">
        <f t="shared" si="108"/>
        <v>n/a</v>
      </c>
      <c r="Q854" s="5"/>
      <c r="R854" s="5"/>
      <c r="S854" s="5"/>
      <c r="U854" s="6"/>
      <c r="V854" s="9" t="str">
        <f t="shared" si="111"/>
        <v/>
      </c>
      <c r="W854" s="9" t="str">
        <f t="shared" si="112"/>
        <v/>
      </c>
      <c r="X854" s="10">
        <f>SUM(V$13:V854)/COUNTA(B$13:B854)</f>
        <v>0</v>
      </c>
      <c r="Z854" s="5"/>
      <c r="AA854" s="5"/>
      <c r="AC854" s="7"/>
      <c r="AE854" s="54" t="e">
        <f t="shared" si="113"/>
        <v>#N/A</v>
      </c>
      <c r="AF854" s="4" t="e">
        <f t="shared" si="109"/>
        <v>#N/A</v>
      </c>
    </row>
    <row r="855" spans="2:32">
      <c r="B855" s="5">
        <f t="shared" si="114"/>
        <v>843</v>
      </c>
      <c r="C855" s="5"/>
      <c r="E855" s="13"/>
      <c r="F855" s="5"/>
      <c r="G855" s="11" t="str">
        <f>IF(ISERROR(AVERAGE(F$13:F855)),"n/a",AVERAGE(F$13:F855))</f>
        <v>n/a</v>
      </c>
      <c r="H855" s="11" t="str">
        <f t="shared" si="110"/>
        <v>n/a</v>
      </c>
      <c r="J855" s="5"/>
      <c r="K855" s="5"/>
      <c r="L855" s="5"/>
      <c r="M855" s="5"/>
      <c r="N855" s="5"/>
      <c r="O855" s="8" t="str">
        <f t="shared" si="108"/>
        <v>n/a</v>
      </c>
      <c r="Q855" s="5"/>
      <c r="R855" s="5"/>
      <c r="S855" s="5"/>
      <c r="U855" s="6"/>
      <c r="V855" s="9" t="str">
        <f t="shared" si="111"/>
        <v/>
      </c>
      <c r="W855" s="9" t="str">
        <f t="shared" si="112"/>
        <v/>
      </c>
      <c r="X855" s="10">
        <f>SUM(V$13:V855)/COUNTA(B$13:B855)</f>
        <v>0</v>
      </c>
      <c r="Z855" s="5"/>
      <c r="AA855" s="5"/>
      <c r="AC855" s="7"/>
      <c r="AE855" s="54" t="e">
        <f t="shared" si="113"/>
        <v>#N/A</v>
      </c>
      <c r="AF855" s="4" t="e">
        <f t="shared" si="109"/>
        <v>#N/A</v>
      </c>
    </row>
    <row r="856" spans="2:32">
      <c r="B856" s="5">
        <f t="shared" si="114"/>
        <v>844</v>
      </c>
      <c r="C856" s="5"/>
      <c r="E856" s="13"/>
      <c r="F856" s="5"/>
      <c r="G856" s="11" t="str">
        <f>IF(ISERROR(AVERAGE(F$13:F856)),"n/a",AVERAGE(F$13:F856))</f>
        <v>n/a</v>
      </c>
      <c r="H856" s="11" t="str">
        <f t="shared" si="110"/>
        <v>n/a</v>
      </c>
      <c r="J856" s="5"/>
      <c r="K856" s="5"/>
      <c r="L856" s="5"/>
      <c r="M856" s="5"/>
      <c r="N856" s="5"/>
      <c r="O856" s="8" t="str">
        <f t="shared" si="108"/>
        <v>n/a</v>
      </c>
      <c r="Q856" s="5"/>
      <c r="R856" s="5"/>
      <c r="S856" s="5"/>
      <c r="U856" s="6"/>
      <c r="V856" s="9" t="str">
        <f t="shared" si="111"/>
        <v/>
      </c>
      <c r="W856" s="9" t="str">
        <f t="shared" si="112"/>
        <v/>
      </c>
      <c r="X856" s="10">
        <f>SUM(V$13:V856)/COUNTA(B$13:B856)</f>
        <v>0</v>
      </c>
      <c r="Z856" s="5"/>
      <c r="AA856" s="5"/>
      <c r="AC856" s="7"/>
      <c r="AE856" s="54" t="e">
        <f t="shared" si="113"/>
        <v>#N/A</v>
      </c>
      <c r="AF856" s="4" t="e">
        <f t="shared" si="109"/>
        <v>#N/A</v>
      </c>
    </row>
    <row r="857" spans="2:32">
      <c r="B857" s="5">
        <f t="shared" si="114"/>
        <v>845</v>
      </c>
      <c r="C857" s="5"/>
      <c r="E857" s="13"/>
      <c r="F857" s="5"/>
      <c r="G857" s="11" t="str">
        <f>IF(ISERROR(AVERAGE(F$13:F857)),"n/a",AVERAGE(F$13:F857))</f>
        <v>n/a</v>
      </c>
      <c r="H857" s="11" t="str">
        <f t="shared" si="110"/>
        <v>n/a</v>
      </c>
      <c r="J857" s="5"/>
      <c r="K857" s="5"/>
      <c r="L857" s="5"/>
      <c r="M857" s="5"/>
      <c r="N857" s="5"/>
      <c r="O857" s="8" t="str">
        <f t="shared" si="108"/>
        <v>n/a</v>
      </c>
      <c r="Q857" s="5"/>
      <c r="R857" s="5"/>
      <c r="S857" s="5"/>
      <c r="U857" s="6"/>
      <c r="V857" s="9" t="str">
        <f t="shared" si="111"/>
        <v/>
      </c>
      <c r="W857" s="9" t="str">
        <f t="shared" si="112"/>
        <v/>
      </c>
      <c r="X857" s="10">
        <f>SUM(V$13:V857)/COUNTA(B$13:B857)</f>
        <v>0</v>
      </c>
      <c r="Z857" s="5"/>
      <c r="AA857" s="5"/>
      <c r="AC857" s="7"/>
      <c r="AE857" s="54" t="e">
        <f t="shared" si="113"/>
        <v>#N/A</v>
      </c>
      <c r="AF857" s="4" t="e">
        <f t="shared" si="109"/>
        <v>#N/A</v>
      </c>
    </row>
    <row r="858" spans="2:32">
      <c r="B858" s="5">
        <f t="shared" si="114"/>
        <v>846</v>
      </c>
      <c r="C858" s="5"/>
      <c r="E858" s="13"/>
      <c r="F858" s="5"/>
      <c r="G858" s="11" t="str">
        <f>IF(ISERROR(AVERAGE(F$13:F858)),"n/a",AVERAGE(F$13:F858))</f>
        <v>n/a</v>
      </c>
      <c r="H858" s="11" t="str">
        <f t="shared" si="110"/>
        <v>n/a</v>
      </c>
      <c r="J858" s="5"/>
      <c r="K858" s="5"/>
      <c r="L858" s="5"/>
      <c r="M858" s="5"/>
      <c r="N858" s="5"/>
      <c r="O858" s="8" t="str">
        <f t="shared" si="108"/>
        <v>n/a</v>
      </c>
      <c r="Q858" s="5"/>
      <c r="R858" s="5"/>
      <c r="S858" s="5"/>
      <c r="U858" s="6"/>
      <c r="V858" s="9" t="str">
        <f t="shared" si="111"/>
        <v/>
      </c>
      <c r="W858" s="9" t="str">
        <f t="shared" si="112"/>
        <v/>
      </c>
      <c r="X858" s="10">
        <f>SUM(V$13:V858)/COUNTA(B$13:B858)</f>
        <v>0</v>
      </c>
      <c r="Z858" s="5"/>
      <c r="AA858" s="5"/>
      <c r="AC858" s="7"/>
      <c r="AE858" s="54" t="e">
        <f t="shared" si="113"/>
        <v>#N/A</v>
      </c>
      <c r="AF858" s="4" t="e">
        <f t="shared" si="109"/>
        <v>#N/A</v>
      </c>
    </row>
    <row r="859" spans="2:32">
      <c r="B859" s="5">
        <f t="shared" si="114"/>
        <v>847</v>
      </c>
      <c r="C859" s="5"/>
      <c r="E859" s="13"/>
      <c r="F859" s="5"/>
      <c r="G859" s="11" t="str">
        <f>IF(ISERROR(AVERAGE(F$13:F859)),"n/a",AVERAGE(F$13:F859))</f>
        <v>n/a</v>
      </c>
      <c r="H859" s="11" t="str">
        <f t="shared" si="110"/>
        <v>n/a</v>
      </c>
      <c r="J859" s="5"/>
      <c r="K859" s="5"/>
      <c r="L859" s="5"/>
      <c r="M859" s="5"/>
      <c r="N859" s="5"/>
      <c r="O859" s="8" t="str">
        <f t="shared" si="108"/>
        <v>n/a</v>
      </c>
      <c r="Q859" s="5"/>
      <c r="R859" s="5"/>
      <c r="S859" s="5"/>
      <c r="U859" s="6"/>
      <c r="V859" s="9" t="str">
        <f t="shared" si="111"/>
        <v/>
      </c>
      <c r="W859" s="9" t="str">
        <f t="shared" si="112"/>
        <v/>
      </c>
      <c r="X859" s="10">
        <f>SUM(V$13:V859)/COUNTA(B$13:B859)</f>
        <v>0</v>
      </c>
      <c r="Z859" s="5"/>
      <c r="AA859" s="5"/>
      <c r="AC859" s="7"/>
      <c r="AE859" s="54" t="e">
        <f t="shared" si="113"/>
        <v>#N/A</v>
      </c>
      <c r="AF859" s="4" t="e">
        <f t="shared" si="109"/>
        <v>#N/A</v>
      </c>
    </row>
    <row r="860" spans="2:32">
      <c r="B860" s="5">
        <f t="shared" si="114"/>
        <v>848</v>
      </c>
      <c r="C860" s="5"/>
      <c r="E860" s="13"/>
      <c r="F860" s="5"/>
      <c r="G860" s="11" t="str">
        <f>IF(ISERROR(AVERAGE(F$13:F860)),"n/a",AVERAGE(F$13:F860))</f>
        <v>n/a</v>
      </c>
      <c r="H860" s="11" t="str">
        <f t="shared" si="110"/>
        <v>n/a</v>
      </c>
      <c r="J860" s="5"/>
      <c r="K860" s="5"/>
      <c r="L860" s="5"/>
      <c r="M860" s="5"/>
      <c r="N860" s="5"/>
      <c r="O860" s="8" t="str">
        <f t="shared" si="108"/>
        <v>n/a</v>
      </c>
      <c r="Q860" s="5"/>
      <c r="R860" s="5"/>
      <c r="S860" s="5"/>
      <c r="U860" s="6"/>
      <c r="V860" s="9" t="str">
        <f t="shared" si="111"/>
        <v/>
      </c>
      <c r="W860" s="9" t="str">
        <f t="shared" si="112"/>
        <v/>
      </c>
      <c r="X860" s="10">
        <f>SUM(V$13:V860)/COUNTA(B$13:B860)</f>
        <v>0</v>
      </c>
      <c r="Z860" s="5"/>
      <c r="AA860" s="5"/>
      <c r="AC860" s="7"/>
      <c r="AE860" s="54" t="e">
        <f t="shared" si="113"/>
        <v>#N/A</v>
      </c>
      <c r="AF860" s="4" t="e">
        <f t="shared" si="109"/>
        <v>#N/A</v>
      </c>
    </row>
    <row r="861" spans="2:32">
      <c r="B861" s="5">
        <f t="shared" si="114"/>
        <v>849</v>
      </c>
      <c r="C861" s="5"/>
      <c r="E861" s="13"/>
      <c r="F861" s="5"/>
      <c r="G861" s="11" t="str">
        <f>IF(ISERROR(AVERAGE(F$13:F861)),"n/a",AVERAGE(F$13:F861))</f>
        <v>n/a</v>
      </c>
      <c r="H861" s="11" t="str">
        <f t="shared" si="110"/>
        <v>n/a</v>
      </c>
      <c r="J861" s="5"/>
      <c r="K861" s="5"/>
      <c r="L861" s="5"/>
      <c r="M861" s="5"/>
      <c r="N861" s="5"/>
      <c r="O861" s="8" t="str">
        <f t="shared" si="108"/>
        <v>n/a</v>
      </c>
      <c r="Q861" s="5"/>
      <c r="R861" s="5"/>
      <c r="S861" s="5"/>
      <c r="U861" s="6"/>
      <c r="V861" s="9" t="str">
        <f t="shared" si="111"/>
        <v/>
      </c>
      <c r="W861" s="9" t="str">
        <f t="shared" si="112"/>
        <v/>
      </c>
      <c r="X861" s="10">
        <f>SUM(V$13:V861)/COUNTA(B$13:B861)</f>
        <v>0</v>
      </c>
      <c r="Z861" s="5"/>
      <c r="AA861" s="5"/>
      <c r="AC861" s="7"/>
      <c r="AE861" s="54" t="e">
        <f t="shared" si="113"/>
        <v>#N/A</v>
      </c>
      <c r="AF861" s="4" t="e">
        <f t="shared" si="109"/>
        <v>#N/A</v>
      </c>
    </row>
    <row r="862" spans="2:32">
      <c r="B862" s="5">
        <f t="shared" si="114"/>
        <v>850</v>
      </c>
      <c r="C862" s="5"/>
      <c r="E862" s="13"/>
      <c r="F862" s="5"/>
      <c r="G862" s="11" t="str">
        <f>IF(ISERROR(AVERAGE(F$13:F862)),"n/a",AVERAGE(F$13:F862))</f>
        <v>n/a</v>
      </c>
      <c r="H862" s="11" t="str">
        <f t="shared" si="110"/>
        <v>n/a</v>
      </c>
      <c r="J862" s="5"/>
      <c r="K862" s="5"/>
      <c r="L862" s="5"/>
      <c r="M862" s="5"/>
      <c r="N862" s="5"/>
      <c r="O862" s="8" t="str">
        <f t="shared" si="108"/>
        <v>n/a</v>
      </c>
      <c r="Q862" s="5"/>
      <c r="R862" s="5"/>
      <c r="S862" s="5"/>
      <c r="U862" s="6"/>
      <c r="V862" s="9" t="str">
        <f t="shared" si="111"/>
        <v/>
      </c>
      <c r="W862" s="9" t="str">
        <f t="shared" si="112"/>
        <v/>
      </c>
      <c r="X862" s="10">
        <f>SUM(V$13:V862)/COUNTA(B$13:B862)</f>
        <v>0</v>
      </c>
      <c r="Z862" s="5"/>
      <c r="AA862" s="5"/>
      <c r="AC862" s="7"/>
      <c r="AE862" s="54" t="e">
        <f t="shared" si="113"/>
        <v>#N/A</v>
      </c>
      <c r="AF862" s="4" t="e">
        <f t="shared" si="109"/>
        <v>#N/A</v>
      </c>
    </row>
    <row r="863" spans="2:32">
      <c r="B863" s="5">
        <f t="shared" si="114"/>
        <v>851</v>
      </c>
      <c r="C863" s="5"/>
      <c r="E863" s="13"/>
      <c r="F863" s="5"/>
      <c r="G863" s="11" t="str">
        <f>IF(ISERROR(AVERAGE(F$13:F863)),"n/a",AVERAGE(F$13:F863))</f>
        <v>n/a</v>
      </c>
      <c r="H863" s="11" t="str">
        <f t="shared" si="110"/>
        <v>n/a</v>
      </c>
      <c r="J863" s="5"/>
      <c r="K863" s="5"/>
      <c r="L863" s="5"/>
      <c r="M863" s="5"/>
      <c r="N863" s="5"/>
      <c r="O863" s="8" t="str">
        <f t="shared" si="108"/>
        <v>n/a</v>
      </c>
      <c r="Q863" s="5"/>
      <c r="R863" s="5"/>
      <c r="S863" s="5"/>
      <c r="U863" s="6"/>
      <c r="V863" s="9" t="str">
        <f t="shared" si="111"/>
        <v/>
      </c>
      <c r="W863" s="9" t="str">
        <f t="shared" si="112"/>
        <v/>
      </c>
      <c r="X863" s="10">
        <f>SUM(V$13:V863)/COUNTA(B$13:B863)</f>
        <v>0</v>
      </c>
      <c r="Z863" s="5"/>
      <c r="AA863" s="5"/>
      <c r="AC863" s="7"/>
      <c r="AE863" s="54" t="e">
        <f t="shared" si="113"/>
        <v>#N/A</v>
      </c>
      <c r="AF863" s="4" t="e">
        <f t="shared" si="109"/>
        <v>#N/A</v>
      </c>
    </row>
    <row r="864" spans="2:32">
      <c r="B864" s="5">
        <f t="shared" si="114"/>
        <v>852</v>
      </c>
      <c r="C864" s="5"/>
      <c r="E864" s="13"/>
      <c r="F864" s="5"/>
      <c r="G864" s="11" t="str">
        <f>IF(ISERROR(AVERAGE(F$13:F864)),"n/a",AVERAGE(F$13:F864))</f>
        <v>n/a</v>
      </c>
      <c r="H864" s="11" t="str">
        <f t="shared" si="110"/>
        <v>n/a</v>
      </c>
      <c r="J864" s="5"/>
      <c r="K864" s="5"/>
      <c r="L864" s="5"/>
      <c r="M864" s="5"/>
      <c r="N864" s="5"/>
      <c r="O864" s="8" t="str">
        <f t="shared" si="108"/>
        <v>n/a</v>
      </c>
      <c r="Q864" s="5"/>
      <c r="R864" s="5"/>
      <c r="S864" s="5"/>
      <c r="U864" s="6"/>
      <c r="V864" s="9" t="str">
        <f t="shared" si="111"/>
        <v/>
      </c>
      <c r="W864" s="9" t="str">
        <f t="shared" si="112"/>
        <v/>
      </c>
      <c r="X864" s="10">
        <f>SUM(V$13:V864)/COUNTA(B$13:B864)</f>
        <v>0</v>
      </c>
      <c r="Z864" s="5"/>
      <c r="AA864" s="5"/>
      <c r="AC864" s="7"/>
      <c r="AE864" s="54" t="e">
        <f t="shared" si="113"/>
        <v>#N/A</v>
      </c>
      <c r="AF864" s="4" t="e">
        <f t="shared" si="109"/>
        <v>#N/A</v>
      </c>
    </row>
    <row r="865" spans="2:32">
      <c r="B865" s="5">
        <f t="shared" si="114"/>
        <v>853</v>
      </c>
      <c r="C865" s="5"/>
      <c r="E865" s="13"/>
      <c r="F865" s="5"/>
      <c r="G865" s="11" t="str">
        <f>IF(ISERROR(AVERAGE(F$13:F865)),"n/a",AVERAGE(F$13:F865))</f>
        <v>n/a</v>
      </c>
      <c r="H865" s="11" t="str">
        <f t="shared" si="110"/>
        <v>n/a</v>
      </c>
      <c r="J865" s="5"/>
      <c r="K865" s="5"/>
      <c r="L865" s="5"/>
      <c r="M865" s="5"/>
      <c r="N865" s="5"/>
      <c r="O865" s="8" t="str">
        <f t="shared" si="108"/>
        <v>n/a</v>
      </c>
      <c r="Q865" s="5"/>
      <c r="R865" s="5"/>
      <c r="S865" s="5"/>
      <c r="U865" s="6"/>
      <c r="V865" s="9" t="str">
        <f t="shared" si="111"/>
        <v/>
      </c>
      <c r="W865" s="9" t="str">
        <f t="shared" si="112"/>
        <v/>
      </c>
      <c r="X865" s="10">
        <f>SUM(V$13:V865)/COUNTA(B$13:B865)</f>
        <v>0</v>
      </c>
      <c r="Z865" s="5"/>
      <c r="AA865" s="5"/>
      <c r="AC865" s="7"/>
      <c r="AE865" s="54" t="e">
        <f t="shared" si="113"/>
        <v>#N/A</v>
      </c>
      <c r="AF865" s="4" t="e">
        <f t="shared" si="109"/>
        <v>#N/A</v>
      </c>
    </row>
    <row r="866" spans="2:32">
      <c r="B866" s="5">
        <f t="shared" si="114"/>
        <v>854</v>
      </c>
      <c r="C866" s="5"/>
      <c r="E866" s="13"/>
      <c r="F866" s="5"/>
      <c r="G866" s="11" t="str">
        <f>IF(ISERROR(AVERAGE(F$13:F866)),"n/a",AVERAGE(F$13:F866))</f>
        <v>n/a</v>
      </c>
      <c r="H866" s="11" t="str">
        <f t="shared" si="110"/>
        <v>n/a</v>
      </c>
      <c r="J866" s="5"/>
      <c r="K866" s="5"/>
      <c r="L866" s="5"/>
      <c r="M866" s="5"/>
      <c r="N866" s="5"/>
      <c r="O866" s="8" t="str">
        <f t="shared" si="108"/>
        <v>n/a</v>
      </c>
      <c r="Q866" s="5"/>
      <c r="R866" s="5"/>
      <c r="S866" s="5"/>
      <c r="U866" s="6"/>
      <c r="V866" s="9" t="str">
        <f t="shared" si="111"/>
        <v/>
      </c>
      <c r="W866" s="9" t="str">
        <f t="shared" si="112"/>
        <v/>
      </c>
      <c r="X866" s="10">
        <f>SUM(V$13:V866)/COUNTA(B$13:B866)</f>
        <v>0</v>
      </c>
      <c r="Z866" s="5"/>
      <c r="AA866" s="5"/>
      <c r="AC866" s="7"/>
      <c r="AE866" s="54" t="e">
        <f t="shared" si="113"/>
        <v>#N/A</v>
      </c>
      <c r="AF866" s="4" t="e">
        <f t="shared" si="109"/>
        <v>#N/A</v>
      </c>
    </row>
    <row r="867" spans="2:32">
      <c r="B867" s="5">
        <f t="shared" si="114"/>
        <v>855</v>
      </c>
      <c r="C867" s="5"/>
      <c r="E867" s="13"/>
      <c r="F867" s="5"/>
      <c r="G867" s="11" t="str">
        <f>IF(ISERROR(AVERAGE(F$13:F867)),"n/a",AVERAGE(F$13:F867))</f>
        <v>n/a</v>
      </c>
      <c r="H867" s="11" t="str">
        <f t="shared" si="110"/>
        <v>n/a</v>
      </c>
      <c r="J867" s="5"/>
      <c r="K867" s="5"/>
      <c r="L867" s="5"/>
      <c r="M867" s="5"/>
      <c r="N867" s="5"/>
      <c r="O867" s="8" t="str">
        <f t="shared" si="108"/>
        <v>n/a</v>
      </c>
      <c r="Q867" s="5"/>
      <c r="R867" s="5"/>
      <c r="S867" s="5"/>
      <c r="U867" s="6"/>
      <c r="V867" s="9" t="str">
        <f t="shared" si="111"/>
        <v/>
      </c>
      <c r="W867" s="9" t="str">
        <f t="shared" si="112"/>
        <v/>
      </c>
      <c r="X867" s="10">
        <f>SUM(V$13:V867)/COUNTA(B$13:B867)</f>
        <v>0</v>
      </c>
      <c r="Z867" s="5"/>
      <c r="AA867" s="5"/>
      <c r="AC867" s="7"/>
      <c r="AE867" s="54" t="e">
        <f t="shared" si="113"/>
        <v>#N/A</v>
      </c>
      <c r="AF867" s="4" t="e">
        <f t="shared" si="109"/>
        <v>#N/A</v>
      </c>
    </row>
    <row r="868" spans="2:32">
      <c r="B868" s="5">
        <f t="shared" si="114"/>
        <v>856</v>
      </c>
      <c r="C868" s="5"/>
      <c r="E868" s="13"/>
      <c r="F868" s="5"/>
      <c r="G868" s="11" t="str">
        <f>IF(ISERROR(AVERAGE(F$13:F868)),"n/a",AVERAGE(F$13:F868))</f>
        <v>n/a</v>
      </c>
      <c r="H868" s="11" t="str">
        <f t="shared" si="110"/>
        <v>n/a</v>
      </c>
      <c r="J868" s="5"/>
      <c r="K868" s="5"/>
      <c r="L868" s="5"/>
      <c r="M868" s="5"/>
      <c r="N868" s="5"/>
      <c r="O868" s="8" t="str">
        <f t="shared" si="108"/>
        <v>n/a</v>
      </c>
      <c r="Q868" s="5"/>
      <c r="R868" s="5"/>
      <c r="S868" s="5"/>
      <c r="U868" s="6"/>
      <c r="V868" s="9" t="str">
        <f t="shared" si="111"/>
        <v/>
      </c>
      <c r="W868" s="9" t="str">
        <f t="shared" si="112"/>
        <v/>
      </c>
      <c r="X868" s="10">
        <f>SUM(V$13:V868)/COUNTA(B$13:B868)</f>
        <v>0</v>
      </c>
      <c r="Z868" s="5"/>
      <c r="AA868" s="5"/>
      <c r="AC868" s="7"/>
      <c r="AE868" s="54" t="e">
        <f t="shared" si="113"/>
        <v>#N/A</v>
      </c>
      <c r="AF868" s="4" t="e">
        <f t="shared" si="109"/>
        <v>#N/A</v>
      </c>
    </row>
    <row r="869" spans="2:32">
      <c r="B869" s="5">
        <f t="shared" si="114"/>
        <v>857</v>
      </c>
      <c r="C869" s="5"/>
      <c r="E869" s="13"/>
      <c r="F869" s="5"/>
      <c r="G869" s="11" t="str">
        <f>IF(ISERROR(AVERAGE(F$13:F869)),"n/a",AVERAGE(F$13:F869))</f>
        <v>n/a</v>
      </c>
      <c r="H869" s="11" t="str">
        <f t="shared" si="110"/>
        <v>n/a</v>
      </c>
      <c r="J869" s="5"/>
      <c r="K869" s="5"/>
      <c r="L869" s="5"/>
      <c r="M869" s="5"/>
      <c r="N869" s="5"/>
      <c r="O869" s="8" t="str">
        <f t="shared" si="108"/>
        <v>n/a</v>
      </c>
      <c r="Q869" s="5"/>
      <c r="R869" s="5"/>
      <c r="S869" s="5"/>
      <c r="U869" s="6"/>
      <c r="V869" s="9" t="str">
        <f t="shared" si="111"/>
        <v/>
      </c>
      <c r="W869" s="9" t="str">
        <f t="shared" si="112"/>
        <v/>
      </c>
      <c r="X869" s="10">
        <f>SUM(V$13:V869)/COUNTA(B$13:B869)</f>
        <v>0</v>
      </c>
      <c r="Z869" s="5"/>
      <c r="AA869" s="5"/>
      <c r="AC869" s="7"/>
      <c r="AE869" s="54" t="e">
        <f t="shared" si="113"/>
        <v>#N/A</v>
      </c>
      <c r="AF869" s="4" t="e">
        <f t="shared" si="109"/>
        <v>#N/A</v>
      </c>
    </row>
    <row r="870" spans="2:32">
      <c r="B870" s="5">
        <f t="shared" si="114"/>
        <v>858</v>
      </c>
      <c r="C870" s="5"/>
      <c r="E870" s="13"/>
      <c r="F870" s="5"/>
      <c r="G870" s="11" t="str">
        <f>IF(ISERROR(AVERAGE(F$13:F870)),"n/a",AVERAGE(F$13:F870))</f>
        <v>n/a</v>
      </c>
      <c r="H870" s="11" t="str">
        <f t="shared" si="110"/>
        <v>n/a</v>
      </c>
      <c r="J870" s="5"/>
      <c r="K870" s="5"/>
      <c r="L870" s="5"/>
      <c r="M870" s="5"/>
      <c r="N870" s="5"/>
      <c r="O870" s="8" t="str">
        <f t="shared" si="108"/>
        <v>n/a</v>
      </c>
      <c r="Q870" s="5"/>
      <c r="R870" s="5"/>
      <c r="S870" s="5"/>
      <c r="U870" s="6"/>
      <c r="V870" s="9" t="str">
        <f t="shared" si="111"/>
        <v/>
      </c>
      <c r="W870" s="9" t="str">
        <f t="shared" si="112"/>
        <v/>
      </c>
      <c r="X870" s="10">
        <f>SUM(V$13:V870)/COUNTA(B$13:B870)</f>
        <v>0</v>
      </c>
      <c r="Z870" s="5"/>
      <c r="AA870" s="5"/>
      <c r="AC870" s="7"/>
      <c r="AE870" s="54" t="e">
        <f t="shared" si="113"/>
        <v>#N/A</v>
      </c>
      <c r="AF870" s="4" t="e">
        <f t="shared" si="109"/>
        <v>#N/A</v>
      </c>
    </row>
    <row r="871" spans="2:32">
      <c r="B871" s="5">
        <f t="shared" si="114"/>
        <v>859</v>
      </c>
      <c r="C871" s="5"/>
      <c r="E871" s="13"/>
      <c r="F871" s="5"/>
      <c r="G871" s="11" t="str">
        <f>IF(ISERROR(AVERAGE(F$13:F871)),"n/a",AVERAGE(F$13:F871))</f>
        <v>n/a</v>
      </c>
      <c r="H871" s="11" t="str">
        <f t="shared" si="110"/>
        <v>n/a</v>
      </c>
      <c r="J871" s="5"/>
      <c r="K871" s="5"/>
      <c r="L871" s="5"/>
      <c r="M871" s="5"/>
      <c r="N871" s="5"/>
      <c r="O871" s="8" t="str">
        <f t="shared" si="108"/>
        <v>n/a</v>
      </c>
      <c r="Q871" s="5"/>
      <c r="R871" s="5"/>
      <c r="S871" s="5"/>
      <c r="U871" s="6"/>
      <c r="V871" s="9" t="str">
        <f t="shared" si="111"/>
        <v/>
      </c>
      <c r="W871" s="9" t="str">
        <f t="shared" si="112"/>
        <v/>
      </c>
      <c r="X871" s="10">
        <f>SUM(V$13:V871)/COUNTA(B$13:B871)</f>
        <v>0</v>
      </c>
      <c r="Z871" s="5"/>
      <c r="AA871" s="5"/>
      <c r="AC871" s="7"/>
      <c r="AE871" s="54" t="e">
        <f t="shared" si="113"/>
        <v>#N/A</v>
      </c>
      <c r="AF871" s="4" t="e">
        <f t="shared" si="109"/>
        <v>#N/A</v>
      </c>
    </row>
    <row r="872" spans="2:32">
      <c r="B872" s="5">
        <f t="shared" si="114"/>
        <v>860</v>
      </c>
      <c r="C872" s="5"/>
      <c r="E872" s="13"/>
      <c r="F872" s="5"/>
      <c r="G872" s="11" t="str">
        <f>IF(ISERROR(AVERAGE(F$13:F872)),"n/a",AVERAGE(F$13:F872))</f>
        <v>n/a</v>
      </c>
      <c r="H872" s="11" t="str">
        <f t="shared" si="110"/>
        <v>n/a</v>
      </c>
      <c r="J872" s="5"/>
      <c r="K872" s="5"/>
      <c r="L872" s="5"/>
      <c r="M872" s="5"/>
      <c r="N872" s="5"/>
      <c r="O872" s="8" t="str">
        <f t="shared" si="108"/>
        <v>n/a</v>
      </c>
      <c r="Q872" s="5"/>
      <c r="R872" s="5"/>
      <c r="S872" s="5"/>
      <c r="U872" s="6"/>
      <c r="V872" s="9" t="str">
        <f t="shared" si="111"/>
        <v/>
      </c>
      <c r="W872" s="9" t="str">
        <f t="shared" si="112"/>
        <v/>
      </c>
      <c r="X872" s="10">
        <f>SUM(V$13:V872)/COUNTA(B$13:B872)</f>
        <v>0</v>
      </c>
      <c r="Z872" s="5"/>
      <c r="AA872" s="5"/>
      <c r="AC872" s="7"/>
      <c r="AE872" s="54" t="e">
        <f t="shared" si="113"/>
        <v>#N/A</v>
      </c>
      <c r="AF872" s="4" t="e">
        <f t="shared" si="109"/>
        <v>#N/A</v>
      </c>
    </row>
    <row r="873" spans="2:32">
      <c r="B873" s="5">
        <f t="shared" si="114"/>
        <v>861</v>
      </c>
      <c r="C873" s="5"/>
      <c r="E873" s="13"/>
      <c r="F873" s="5"/>
      <c r="G873" s="11" t="str">
        <f>IF(ISERROR(AVERAGE(F$13:F873)),"n/a",AVERAGE(F$13:F873))</f>
        <v>n/a</v>
      </c>
      <c r="H873" s="11" t="str">
        <f t="shared" si="110"/>
        <v>n/a</v>
      </c>
      <c r="J873" s="5"/>
      <c r="K873" s="5"/>
      <c r="L873" s="5"/>
      <c r="M873" s="5"/>
      <c r="N873" s="5"/>
      <c r="O873" s="8" t="str">
        <f t="shared" si="108"/>
        <v>n/a</v>
      </c>
      <c r="Q873" s="5"/>
      <c r="R873" s="5"/>
      <c r="S873" s="5"/>
      <c r="U873" s="6"/>
      <c r="V873" s="9" t="str">
        <f t="shared" si="111"/>
        <v/>
      </c>
      <c r="W873" s="9" t="str">
        <f t="shared" si="112"/>
        <v/>
      </c>
      <c r="X873" s="10">
        <f>SUM(V$13:V873)/COUNTA(B$13:B873)</f>
        <v>0</v>
      </c>
      <c r="Z873" s="5"/>
      <c r="AA873" s="5"/>
      <c r="AC873" s="7"/>
      <c r="AE873" s="54" t="e">
        <f t="shared" si="113"/>
        <v>#N/A</v>
      </c>
      <c r="AF873" s="4" t="e">
        <f t="shared" si="109"/>
        <v>#N/A</v>
      </c>
    </row>
    <row r="874" spans="2:32">
      <c r="B874" s="5">
        <f t="shared" si="114"/>
        <v>862</v>
      </c>
      <c r="C874" s="5"/>
      <c r="E874" s="13"/>
      <c r="F874" s="5"/>
      <c r="G874" s="11" t="str">
        <f>IF(ISERROR(AVERAGE(F$13:F874)),"n/a",AVERAGE(F$13:F874))</f>
        <v>n/a</v>
      </c>
      <c r="H874" s="11" t="str">
        <f t="shared" si="110"/>
        <v>n/a</v>
      </c>
      <c r="J874" s="5"/>
      <c r="K874" s="5"/>
      <c r="L874" s="5"/>
      <c r="M874" s="5"/>
      <c r="N874" s="5"/>
      <c r="O874" s="8" t="str">
        <f t="shared" si="108"/>
        <v>n/a</v>
      </c>
      <c r="Q874" s="5"/>
      <c r="R874" s="5"/>
      <c r="S874" s="5"/>
      <c r="U874" s="6"/>
      <c r="V874" s="9" t="str">
        <f t="shared" si="111"/>
        <v/>
      </c>
      <c r="W874" s="9" t="str">
        <f t="shared" si="112"/>
        <v/>
      </c>
      <c r="X874" s="10">
        <f>SUM(V$13:V874)/COUNTA(B$13:B874)</f>
        <v>0</v>
      </c>
      <c r="Z874" s="5"/>
      <c r="AA874" s="5"/>
      <c r="AC874" s="7"/>
      <c r="AE874" s="54" t="e">
        <f t="shared" si="113"/>
        <v>#N/A</v>
      </c>
      <c r="AF874" s="4" t="e">
        <f t="shared" si="109"/>
        <v>#N/A</v>
      </c>
    </row>
    <row r="875" spans="2:32">
      <c r="B875" s="5">
        <f t="shared" si="114"/>
        <v>863</v>
      </c>
      <c r="C875" s="5"/>
      <c r="E875" s="13"/>
      <c r="F875" s="5"/>
      <c r="G875" s="11" t="str">
        <f>IF(ISERROR(AVERAGE(F$13:F875)),"n/a",AVERAGE(F$13:F875))</f>
        <v>n/a</v>
      </c>
      <c r="H875" s="11" t="str">
        <f t="shared" si="110"/>
        <v>n/a</v>
      </c>
      <c r="J875" s="5"/>
      <c r="K875" s="5"/>
      <c r="L875" s="5"/>
      <c r="M875" s="5"/>
      <c r="N875" s="5"/>
      <c r="O875" s="8" t="str">
        <f t="shared" si="108"/>
        <v>n/a</v>
      </c>
      <c r="Q875" s="5"/>
      <c r="R875" s="5"/>
      <c r="S875" s="5"/>
      <c r="U875" s="6"/>
      <c r="V875" s="9" t="str">
        <f t="shared" si="111"/>
        <v/>
      </c>
      <c r="W875" s="9" t="str">
        <f t="shared" si="112"/>
        <v/>
      </c>
      <c r="X875" s="10">
        <f>SUM(V$13:V875)/COUNTA(B$13:B875)</f>
        <v>0</v>
      </c>
      <c r="Z875" s="5"/>
      <c r="AA875" s="5"/>
      <c r="AC875" s="7"/>
      <c r="AE875" s="54" t="e">
        <f t="shared" si="113"/>
        <v>#N/A</v>
      </c>
      <c r="AF875" s="4" t="e">
        <f t="shared" si="109"/>
        <v>#N/A</v>
      </c>
    </row>
    <row r="876" spans="2:32">
      <c r="B876" s="5">
        <f t="shared" si="114"/>
        <v>864</v>
      </c>
      <c r="C876" s="5"/>
      <c r="E876" s="13"/>
      <c r="F876" s="5"/>
      <c r="G876" s="11" t="str">
        <f>IF(ISERROR(AVERAGE(F$13:F876)),"n/a",AVERAGE(F$13:F876))</f>
        <v>n/a</v>
      </c>
      <c r="H876" s="11" t="str">
        <f t="shared" si="110"/>
        <v>n/a</v>
      </c>
      <c r="J876" s="5"/>
      <c r="K876" s="5"/>
      <c r="L876" s="5"/>
      <c r="M876" s="5"/>
      <c r="N876" s="5"/>
      <c r="O876" s="8" t="str">
        <f t="shared" si="108"/>
        <v>n/a</v>
      </c>
      <c r="Q876" s="5"/>
      <c r="R876" s="5"/>
      <c r="S876" s="5"/>
      <c r="U876" s="6"/>
      <c r="V876" s="9" t="str">
        <f t="shared" si="111"/>
        <v/>
      </c>
      <c r="W876" s="9" t="str">
        <f t="shared" si="112"/>
        <v/>
      </c>
      <c r="X876" s="10">
        <f>SUM(V$13:V876)/COUNTA(B$13:B876)</f>
        <v>0</v>
      </c>
      <c r="Z876" s="5"/>
      <c r="AA876" s="5"/>
      <c r="AC876" s="7"/>
      <c r="AE876" s="54" t="e">
        <f t="shared" si="113"/>
        <v>#N/A</v>
      </c>
      <c r="AF876" s="4" t="e">
        <f t="shared" si="109"/>
        <v>#N/A</v>
      </c>
    </row>
    <row r="877" spans="2:32">
      <c r="B877" s="5">
        <f t="shared" si="114"/>
        <v>865</v>
      </c>
      <c r="C877" s="5"/>
      <c r="E877" s="13"/>
      <c r="F877" s="5"/>
      <c r="G877" s="11" t="str">
        <f>IF(ISERROR(AVERAGE(F$13:F877)),"n/a",AVERAGE(F$13:F877))</f>
        <v>n/a</v>
      </c>
      <c r="H877" s="11" t="str">
        <f t="shared" si="110"/>
        <v>n/a</v>
      </c>
      <c r="J877" s="5"/>
      <c r="K877" s="5"/>
      <c r="L877" s="5"/>
      <c r="M877" s="5"/>
      <c r="N877" s="5"/>
      <c r="O877" s="8" t="str">
        <f t="shared" si="108"/>
        <v>n/a</v>
      </c>
      <c r="Q877" s="5"/>
      <c r="R877" s="5"/>
      <c r="S877" s="5"/>
      <c r="U877" s="6"/>
      <c r="V877" s="9" t="str">
        <f t="shared" si="111"/>
        <v/>
      </c>
      <c r="W877" s="9" t="str">
        <f t="shared" si="112"/>
        <v/>
      </c>
      <c r="X877" s="10">
        <f>SUM(V$13:V877)/COUNTA(B$13:B877)</f>
        <v>0</v>
      </c>
      <c r="Z877" s="5"/>
      <c r="AA877" s="5"/>
      <c r="AC877" s="7"/>
      <c r="AE877" s="54" t="e">
        <f t="shared" si="113"/>
        <v>#N/A</v>
      </c>
      <c r="AF877" s="4" t="e">
        <f t="shared" si="109"/>
        <v>#N/A</v>
      </c>
    </row>
    <row r="878" spans="2:32">
      <c r="B878" s="5">
        <f t="shared" si="114"/>
        <v>866</v>
      </c>
      <c r="C878" s="5"/>
      <c r="E878" s="13"/>
      <c r="F878" s="5"/>
      <c r="G878" s="11" t="str">
        <f>IF(ISERROR(AVERAGE(F$13:F878)),"n/a",AVERAGE(F$13:F878))</f>
        <v>n/a</v>
      </c>
      <c r="H878" s="11" t="str">
        <f t="shared" si="110"/>
        <v>n/a</v>
      </c>
      <c r="J878" s="5"/>
      <c r="K878" s="5"/>
      <c r="L878" s="5"/>
      <c r="M878" s="5"/>
      <c r="N878" s="5"/>
      <c r="O878" s="8" t="str">
        <f t="shared" si="108"/>
        <v>n/a</v>
      </c>
      <c r="Q878" s="5"/>
      <c r="R878" s="5"/>
      <c r="S878" s="5"/>
      <c r="U878" s="6"/>
      <c r="V878" s="9" t="str">
        <f t="shared" si="111"/>
        <v/>
      </c>
      <c r="W878" s="9" t="str">
        <f t="shared" si="112"/>
        <v/>
      </c>
      <c r="X878" s="10">
        <f>SUM(V$13:V878)/COUNTA(B$13:B878)</f>
        <v>0</v>
      </c>
      <c r="Z878" s="5"/>
      <c r="AA878" s="5"/>
      <c r="AC878" s="7"/>
      <c r="AE878" s="54" t="e">
        <f t="shared" si="113"/>
        <v>#N/A</v>
      </c>
      <c r="AF878" s="4" t="e">
        <f t="shared" si="109"/>
        <v>#N/A</v>
      </c>
    </row>
    <row r="879" spans="2:32">
      <c r="B879" s="5">
        <f t="shared" si="114"/>
        <v>867</v>
      </c>
      <c r="C879" s="5"/>
      <c r="E879" s="13"/>
      <c r="F879" s="5"/>
      <c r="G879" s="11" t="str">
        <f>IF(ISERROR(AVERAGE(F$13:F879)),"n/a",AVERAGE(F$13:F879))</f>
        <v>n/a</v>
      </c>
      <c r="H879" s="11" t="str">
        <f t="shared" si="110"/>
        <v>n/a</v>
      </c>
      <c r="J879" s="5"/>
      <c r="K879" s="5"/>
      <c r="L879" s="5"/>
      <c r="M879" s="5"/>
      <c r="N879" s="5"/>
      <c r="O879" s="8" t="str">
        <f t="shared" si="108"/>
        <v>n/a</v>
      </c>
      <c r="Q879" s="5"/>
      <c r="R879" s="5"/>
      <c r="S879" s="5"/>
      <c r="U879" s="6"/>
      <c r="V879" s="9" t="str">
        <f t="shared" si="111"/>
        <v/>
      </c>
      <c r="W879" s="9" t="str">
        <f t="shared" si="112"/>
        <v/>
      </c>
      <c r="X879" s="10">
        <f>SUM(V$13:V879)/COUNTA(B$13:B879)</f>
        <v>0</v>
      </c>
      <c r="Z879" s="5"/>
      <c r="AA879" s="5"/>
      <c r="AC879" s="7"/>
      <c r="AE879" s="54" t="e">
        <f t="shared" si="113"/>
        <v>#N/A</v>
      </c>
      <c r="AF879" s="4" t="e">
        <f t="shared" si="109"/>
        <v>#N/A</v>
      </c>
    </row>
    <row r="880" spans="2:32">
      <c r="B880" s="5">
        <f t="shared" si="114"/>
        <v>868</v>
      </c>
      <c r="C880" s="5"/>
      <c r="E880" s="13"/>
      <c r="F880" s="5"/>
      <c r="G880" s="11" t="str">
        <f>IF(ISERROR(AVERAGE(F$13:F880)),"n/a",AVERAGE(F$13:F880))</f>
        <v>n/a</v>
      </c>
      <c r="H880" s="11" t="str">
        <f t="shared" si="110"/>
        <v>n/a</v>
      </c>
      <c r="J880" s="5"/>
      <c r="K880" s="5"/>
      <c r="L880" s="5"/>
      <c r="M880" s="5"/>
      <c r="N880" s="5"/>
      <c r="O880" s="8" t="str">
        <f t="shared" si="108"/>
        <v>n/a</v>
      </c>
      <c r="Q880" s="5"/>
      <c r="R880" s="5"/>
      <c r="S880" s="5"/>
      <c r="U880" s="6"/>
      <c r="V880" s="9" t="str">
        <f t="shared" si="111"/>
        <v/>
      </c>
      <c r="W880" s="9" t="str">
        <f t="shared" si="112"/>
        <v/>
      </c>
      <c r="X880" s="10">
        <f>SUM(V$13:V880)/COUNTA(B$13:B880)</f>
        <v>0</v>
      </c>
      <c r="Z880" s="5"/>
      <c r="AA880" s="5"/>
      <c r="AC880" s="7"/>
      <c r="AE880" s="54" t="e">
        <f t="shared" si="113"/>
        <v>#N/A</v>
      </c>
      <c r="AF880" s="4" t="e">
        <f t="shared" si="109"/>
        <v>#N/A</v>
      </c>
    </row>
    <row r="881" spans="2:32">
      <c r="B881" s="5">
        <f t="shared" si="114"/>
        <v>869</v>
      </c>
      <c r="C881" s="5"/>
      <c r="E881" s="13"/>
      <c r="F881" s="5"/>
      <c r="G881" s="11" t="str">
        <f>IF(ISERROR(AVERAGE(F$13:F881)),"n/a",AVERAGE(F$13:F881))</f>
        <v>n/a</v>
      </c>
      <c r="H881" s="11" t="str">
        <f t="shared" si="110"/>
        <v>n/a</v>
      </c>
      <c r="J881" s="5"/>
      <c r="K881" s="5"/>
      <c r="L881" s="5"/>
      <c r="M881" s="5"/>
      <c r="N881" s="5"/>
      <c r="O881" s="8" t="str">
        <f t="shared" si="108"/>
        <v>n/a</v>
      </c>
      <c r="Q881" s="5"/>
      <c r="R881" s="5"/>
      <c r="S881" s="5"/>
      <c r="U881" s="6"/>
      <c r="V881" s="9" t="str">
        <f t="shared" si="111"/>
        <v/>
      </c>
      <c r="W881" s="9" t="str">
        <f t="shared" si="112"/>
        <v/>
      </c>
      <c r="X881" s="10">
        <f>SUM(V$13:V881)/COUNTA(B$13:B881)</f>
        <v>0</v>
      </c>
      <c r="Z881" s="5"/>
      <c r="AA881" s="5"/>
      <c r="AC881" s="7"/>
      <c r="AE881" s="54" t="e">
        <f t="shared" si="113"/>
        <v>#N/A</v>
      </c>
      <c r="AF881" s="4" t="e">
        <f t="shared" si="109"/>
        <v>#N/A</v>
      </c>
    </row>
    <row r="882" spans="2:32">
      <c r="B882" s="5">
        <f t="shared" si="114"/>
        <v>870</v>
      </c>
      <c r="C882" s="5"/>
      <c r="E882" s="13"/>
      <c r="F882" s="5"/>
      <c r="G882" s="11" t="str">
        <f>IF(ISERROR(AVERAGE(F$13:F882)),"n/a",AVERAGE(F$13:F882))</f>
        <v>n/a</v>
      </c>
      <c r="H882" s="11" t="str">
        <f t="shared" si="110"/>
        <v>n/a</v>
      </c>
      <c r="J882" s="5"/>
      <c r="K882" s="5"/>
      <c r="L882" s="5"/>
      <c r="M882" s="5"/>
      <c r="N882" s="5"/>
      <c r="O882" s="8" t="str">
        <f t="shared" si="108"/>
        <v>n/a</v>
      </c>
      <c r="Q882" s="5"/>
      <c r="R882" s="5"/>
      <c r="S882" s="5"/>
      <c r="U882" s="6"/>
      <c r="V882" s="9" t="str">
        <f t="shared" si="111"/>
        <v/>
      </c>
      <c r="W882" s="9" t="str">
        <f t="shared" si="112"/>
        <v/>
      </c>
      <c r="X882" s="10">
        <f>SUM(V$13:V882)/COUNTA(B$13:B882)</f>
        <v>0</v>
      </c>
      <c r="Z882" s="5"/>
      <c r="AA882" s="5"/>
      <c r="AC882" s="7"/>
      <c r="AE882" s="54" t="e">
        <f t="shared" si="113"/>
        <v>#N/A</v>
      </c>
      <c r="AF882" s="4" t="e">
        <f t="shared" si="109"/>
        <v>#N/A</v>
      </c>
    </row>
    <row r="883" spans="2:32">
      <c r="B883" s="5">
        <f t="shared" si="114"/>
        <v>871</v>
      </c>
      <c r="C883" s="5"/>
      <c r="E883" s="13"/>
      <c r="F883" s="5"/>
      <c r="G883" s="11" t="str">
        <f>IF(ISERROR(AVERAGE(F$13:F883)),"n/a",AVERAGE(F$13:F883))</f>
        <v>n/a</v>
      </c>
      <c r="H883" s="11" t="str">
        <f t="shared" si="110"/>
        <v>n/a</v>
      </c>
      <c r="J883" s="5"/>
      <c r="K883" s="5"/>
      <c r="L883" s="5"/>
      <c r="M883" s="5"/>
      <c r="N883" s="5"/>
      <c r="O883" s="8" t="str">
        <f t="shared" si="108"/>
        <v>n/a</v>
      </c>
      <c r="Q883" s="5"/>
      <c r="R883" s="5"/>
      <c r="S883" s="5"/>
      <c r="U883" s="6"/>
      <c r="V883" s="9" t="str">
        <f t="shared" si="111"/>
        <v/>
      </c>
      <c r="W883" s="9" t="str">
        <f t="shared" si="112"/>
        <v/>
      </c>
      <c r="X883" s="10">
        <f>SUM(V$13:V883)/COUNTA(B$13:B883)</f>
        <v>0</v>
      </c>
      <c r="Z883" s="5"/>
      <c r="AA883" s="5"/>
      <c r="AC883" s="7"/>
      <c r="AE883" s="54" t="e">
        <f t="shared" si="113"/>
        <v>#N/A</v>
      </c>
      <c r="AF883" s="4" t="e">
        <f t="shared" si="109"/>
        <v>#N/A</v>
      </c>
    </row>
    <row r="884" spans="2:32">
      <c r="B884" s="5">
        <f t="shared" si="114"/>
        <v>872</v>
      </c>
      <c r="C884" s="5"/>
      <c r="E884" s="13"/>
      <c r="F884" s="5"/>
      <c r="G884" s="11" t="str">
        <f>IF(ISERROR(AVERAGE(F$13:F884)),"n/a",AVERAGE(F$13:F884))</f>
        <v>n/a</v>
      </c>
      <c r="H884" s="11" t="str">
        <f t="shared" si="110"/>
        <v>n/a</v>
      </c>
      <c r="J884" s="5"/>
      <c r="K884" s="5"/>
      <c r="L884" s="5"/>
      <c r="M884" s="5"/>
      <c r="N884" s="5"/>
      <c r="O884" s="8" t="str">
        <f t="shared" si="108"/>
        <v>n/a</v>
      </c>
      <c r="Q884" s="5"/>
      <c r="R884" s="5"/>
      <c r="S884" s="5"/>
      <c r="U884" s="6"/>
      <c r="V884" s="9" t="str">
        <f t="shared" si="111"/>
        <v/>
      </c>
      <c r="W884" s="9" t="str">
        <f t="shared" si="112"/>
        <v/>
      </c>
      <c r="X884" s="10">
        <f>SUM(V$13:V884)/COUNTA(B$13:B884)</f>
        <v>0</v>
      </c>
      <c r="Z884" s="5"/>
      <c r="AA884" s="5"/>
      <c r="AC884" s="7"/>
      <c r="AE884" s="54" t="e">
        <f t="shared" si="113"/>
        <v>#N/A</v>
      </c>
      <c r="AF884" s="4" t="e">
        <f t="shared" si="109"/>
        <v>#N/A</v>
      </c>
    </row>
    <row r="885" spans="2:32">
      <c r="B885" s="5">
        <f t="shared" si="114"/>
        <v>873</v>
      </c>
      <c r="C885" s="5"/>
      <c r="E885" s="13"/>
      <c r="F885" s="5"/>
      <c r="G885" s="11" t="str">
        <f>IF(ISERROR(AVERAGE(F$13:F885)),"n/a",AVERAGE(F$13:F885))</f>
        <v>n/a</v>
      </c>
      <c r="H885" s="11" t="str">
        <f t="shared" si="110"/>
        <v>n/a</v>
      </c>
      <c r="J885" s="5"/>
      <c r="K885" s="5"/>
      <c r="L885" s="5"/>
      <c r="M885" s="5"/>
      <c r="N885" s="5"/>
      <c r="O885" s="8" t="str">
        <f t="shared" si="108"/>
        <v>n/a</v>
      </c>
      <c r="Q885" s="5"/>
      <c r="R885" s="5"/>
      <c r="S885" s="5"/>
      <c r="U885" s="6"/>
      <c r="V885" s="9" t="str">
        <f t="shared" si="111"/>
        <v/>
      </c>
      <c r="W885" s="9" t="str">
        <f t="shared" si="112"/>
        <v/>
      </c>
      <c r="X885" s="10">
        <f>SUM(V$13:V885)/COUNTA(B$13:B885)</f>
        <v>0</v>
      </c>
      <c r="Z885" s="5"/>
      <c r="AA885" s="5"/>
      <c r="AC885" s="7"/>
      <c r="AE885" s="54" t="e">
        <f t="shared" si="113"/>
        <v>#N/A</v>
      </c>
      <c r="AF885" s="4" t="e">
        <f t="shared" si="109"/>
        <v>#N/A</v>
      </c>
    </row>
    <row r="886" spans="2:32">
      <c r="B886" s="5">
        <f t="shared" si="114"/>
        <v>874</v>
      </c>
      <c r="C886" s="5"/>
      <c r="E886" s="13"/>
      <c r="F886" s="5"/>
      <c r="G886" s="11" t="str">
        <f>IF(ISERROR(AVERAGE(F$13:F886)),"n/a",AVERAGE(F$13:F886))</f>
        <v>n/a</v>
      </c>
      <c r="H886" s="11" t="str">
        <f t="shared" si="110"/>
        <v>n/a</v>
      </c>
      <c r="J886" s="5"/>
      <c r="K886" s="5"/>
      <c r="L886" s="5"/>
      <c r="M886" s="5"/>
      <c r="N886" s="5"/>
      <c r="O886" s="8" t="str">
        <f t="shared" si="108"/>
        <v>n/a</v>
      </c>
      <c r="Q886" s="5"/>
      <c r="R886" s="5"/>
      <c r="S886" s="5"/>
      <c r="U886" s="6"/>
      <c r="V886" s="9" t="str">
        <f t="shared" si="111"/>
        <v/>
      </c>
      <c r="W886" s="9" t="str">
        <f t="shared" si="112"/>
        <v/>
      </c>
      <c r="X886" s="10">
        <f>SUM(V$13:V886)/COUNTA(B$13:B886)</f>
        <v>0</v>
      </c>
      <c r="Z886" s="5"/>
      <c r="AA886" s="5"/>
      <c r="AC886" s="7"/>
      <c r="AE886" s="54" t="e">
        <f t="shared" si="113"/>
        <v>#N/A</v>
      </c>
      <c r="AF886" s="4" t="e">
        <f t="shared" si="109"/>
        <v>#N/A</v>
      </c>
    </row>
    <row r="887" spans="2:32">
      <c r="B887" s="5">
        <f t="shared" si="114"/>
        <v>875</v>
      </c>
      <c r="C887" s="5"/>
      <c r="E887" s="13"/>
      <c r="F887" s="5"/>
      <c r="G887" s="11" t="str">
        <f>IF(ISERROR(AVERAGE(F$13:F887)),"n/a",AVERAGE(F$13:F887))</f>
        <v>n/a</v>
      </c>
      <c r="H887" s="11" t="str">
        <f t="shared" si="110"/>
        <v>n/a</v>
      </c>
      <c r="J887" s="5"/>
      <c r="K887" s="5"/>
      <c r="L887" s="5"/>
      <c r="M887" s="5"/>
      <c r="N887" s="5"/>
      <c r="O887" s="8" t="str">
        <f t="shared" si="108"/>
        <v>n/a</v>
      </c>
      <c r="Q887" s="5"/>
      <c r="R887" s="5"/>
      <c r="S887" s="5"/>
      <c r="U887" s="6"/>
      <c r="V887" s="9" t="str">
        <f t="shared" si="111"/>
        <v/>
      </c>
      <c r="W887" s="9" t="str">
        <f t="shared" si="112"/>
        <v/>
      </c>
      <c r="X887" s="10">
        <f>SUM(V$13:V887)/COUNTA(B$13:B887)</f>
        <v>0</v>
      </c>
      <c r="Z887" s="5"/>
      <c r="AA887" s="5"/>
      <c r="AC887" s="7"/>
      <c r="AE887" s="54" t="e">
        <f t="shared" si="113"/>
        <v>#N/A</v>
      </c>
      <c r="AF887" s="4" t="e">
        <f t="shared" si="109"/>
        <v>#N/A</v>
      </c>
    </row>
    <row r="888" spans="2:32">
      <c r="B888" s="5">
        <f t="shared" si="114"/>
        <v>876</v>
      </c>
      <c r="C888" s="5"/>
      <c r="E888" s="13"/>
      <c r="F888" s="5"/>
      <c r="G888" s="11" t="str">
        <f>IF(ISERROR(AVERAGE(F$13:F888)),"n/a",AVERAGE(F$13:F888))</f>
        <v>n/a</v>
      </c>
      <c r="H888" s="11" t="str">
        <f t="shared" si="110"/>
        <v>n/a</v>
      </c>
      <c r="J888" s="5"/>
      <c r="K888" s="5"/>
      <c r="L888" s="5"/>
      <c r="M888" s="5"/>
      <c r="N888" s="5"/>
      <c r="O888" s="8" t="str">
        <f t="shared" si="108"/>
        <v>n/a</v>
      </c>
      <c r="Q888" s="5"/>
      <c r="R888" s="5"/>
      <c r="S888" s="5"/>
      <c r="U888" s="6"/>
      <c r="V888" s="9" t="str">
        <f t="shared" si="111"/>
        <v/>
      </c>
      <c r="W888" s="9" t="str">
        <f t="shared" si="112"/>
        <v/>
      </c>
      <c r="X888" s="10">
        <f>SUM(V$13:V888)/COUNTA(B$13:B888)</f>
        <v>0</v>
      </c>
      <c r="Z888" s="5"/>
      <c r="AA888" s="5"/>
      <c r="AC888" s="7"/>
      <c r="AE888" s="54" t="e">
        <f t="shared" si="113"/>
        <v>#N/A</v>
      </c>
      <c r="AF888" s="4" t="e">
        <f t="shared" si="109"/>
        <v>#N/A</v>
      </c>
    </row>
    <row r="889" spans="2:32">
      <c r="B889" s="5">
        <f t="shared" si="114"/>
        <v>877</v>
      </c>
      <c r="C889" s="5"/>
      <c r="E889" s="13"/>
      <c r="F889" s="5"/>
      <c r="G889" s="11" t="str">
        <f>IF(ISERROR(AVERAGE(F$13:F889)),"n/a",AVERAGE(F$13:F889))</f>
        <v>n/a</v>
      </c>
      <c r="H889" s="11" t="str">
        <f t="shared" si="110"/>
        <v>n/a</v>
      </c>
      <c r="J889" s="5"/>
      <c r="K889" s="5"/>
      <c r="L889" s="5"/>
      <c r="M889" s="5"/>
      <c r="N889" s="5"/>
      <c r="O889" s="8" t="str">
        <f t="shared" si="108"/>
        <v>n/a</v>
      </c>
      <c r="Q889" s="5"/>
      <c r="R889" s="5"/>
      <c r="S889" s="5"/>
      <c r="U889" s="6"/>
      <c r="V889" s="9" t="str">
        <f t="shared" si="111"/>
        <v/>
      </c>
      <c r="W889" s="9" t="str">
        <f t="shared" si="112"/>
        <v/>
      </c>
      <c r="X889" s="10">
        <f>SUM(V$13:V889)/COUNTA(B$13:B889)</f>
        <v>0</v>
      </c>
      <c r="Z889" s="5"/>
      <c r="AA889" s="5"/>
      <c r="AC889" s="7"/>
      <c r="AE889" s="54" t="e">
        <f t="shared" si="113"/>
        <v>#N/A</v>
      </c>
      <c r="AF889" s="4" t="e">
        <f t="shared" si="109"/>
        <v>#N/A</v>
      </c>
    </row>
    <row r="890" spans="2:32">
      <c r="B890" s="5">
        <f t="shared" si="114"/>
        <v>878</v>
      </c>
      <c r="C890" s="5"/>
      <c r="E890" s="13"/>
      <c r="F890" s="5"/>
      <c r="G890" s="11" t="str">
        <f>IF(ISERROR(AVERAGE(F$13:F890)),"n/a",AVERAGE(F$13:F890))</f>
        <v>n/a</v>
      </c>
      <c r="H890" s="11" t="str">
        <f t="shared" si="110"/>
        <v>n/a</v>
      </c>
      <c r="J890" s="5"/>
      <c r="K890" s="5"/>
      <c r="L890" s="5"/>
      <c r="M890" s="5"/>
      <c r="N890" s="5"/>
      <c r="O890" s="8" t="str">
        <f t="shared" si="108"/>
        <v>n/a</v>
      </c>
      <c r="Q890" s="5"/>
      <c r="R890" s="5"/>
      <c r="S890" s="5"/>
      <c r="U890" s="6"/>
      <c r="V890" s="9" t="str">
        <f t="shared" si="111"/>
        <v/>
      </c>
      <c r="W890" s="9" t="str">
        <f t="shared" si="112"/>
        <v/>
      </c>
      <c r="X890" s="10">
        <f>SUM(V$13:V890)/COUNTA(B$13:B890)</f>
        <v>0</v>
      </c>
      <c r="Z890" s="5"/>
      <c r="AA890" s="5"/>
      <c r="AC890" s="7"/>
      <c r="AE890" s="54" t="e">
        <f t="shared" si="113"/>
        <v>#N/A</v>
      </c>
      <c r="AF890" s="4" t="e">
        <f t="shared" si="109"/>
        <v>#N/A</v>
      </c>
    </row>
    <row r="891" spans="2:32">
      <c r="B891" s="5">
        <f t="shared" si="114"/>
        <v>879</v>
      </c>
      <c r="C891" s="5"/>
      <c r="E891" s="13"/>
      <c r="F891" s="5"/>
      <c r="G891" s="11" t="str">
        <f>IF(ISERROR(AVERAGE(F$13:F891)),"n/a",AVERAGE(F$13:F891))</f>
        <v>n/a</v>
      </c>
      <c r="H891" s="11" t="str">
        <f t="shared" si="110"/>
        <v>n/a</v>
      </c>
      <c r="J891" s="5"/>
      <c r="K891" s="5"/>
      <c r="L891" s="5"/>
      <c r="M891" s="5"/>
      <c r="N891" s="5"/>
      <c r="O891" s="8" t="str">
        <f t="shared" si="108"/>
        <v>n/a</v>
      </c>
      <c r="Q891" s="5"/>
      <c r="R891" s="5"/>
      <c r="S891" s="5"/>
      <c r="U891" s="6"/>
      <c r="V891" s="9" t="str">
        <f t="shared" si="111"/>
        <v/>
      </c>
      <c r="W891" s="9" t="str">
        <f t="shared" si="112"/>
        <v/>
      </c>
      <c r="X891" s="10">
        <f>SUM(V$13:V891)/COUNTA(B$13:B891)</f>
        <v>0</v>
      </c>
      <c r="Z891" s="5"/>
      <c r="AA891" s="5"/>
      <c r="AC891" s="7"/>
      <c r="AE891" s="54" t="e">
        <f t="shared" si="113"/>
        <v>#N/A</v>
      </c>
      <c r="AF891" s="4" t="e">
        <f t="shared" si="109"/>
        <v>#N/A</v>
      </c>
    </row>
    <row r="892" spans="2:32">
      <c r="B892" s="5">
        <f t="shared" si="114"/>
        <v>880</v>
      </c>
      <c r="C892" s="5"/>
      <c r="E892" s="13"/>
      <c r="F892" s="5"/>
      <c r="G892" s="11" t="str">
        <f>IF(ISERROR(AVERAGE(F$13:F892)),"n/a",AVERAGE(F$13:F892))</f>
        <v>n/a</v>
      </c>
      <c r="H892" s="11" t="str">
        <f t="shared" si="110"/>
        <v>n/a</v>
      </c>
      <c r="J892" s="5"/>
      <c r="K892" s="5"/>
      <c r="L892" s="5"/>
      <c r="M892" s="5"/>
      <c r="N892" s="5"/>
      <c r="O892" s="8" t="str">
        <f t="shared" si="108"/>
        <v>n/a</v>
      </c>
      <c r="Q892" s="5"/>
      <c r="R892" s="5"/>
      <c r="S892" s="5"/>
      <c r="U892" s="6"/>
      <c r="V892" s="9" t="str">
        <f t="shared" si="111"/>
        <v/>
      </c>
      <c r="W892" s="9" t="str">
        <f t="shared" si="112"/>
        <v/>
      </c>
      <c r="X892" s="10">
        <f>SUM(V$13:V892)/COUNTA(B$13:B892)</f>
        <v>0</v>
      </c>
      <c r="Z892" s="5"/>
      <c r="AA892" s="5"/>
      <c r="AC892" s="7"/>
      <c r="AE892" s="54" t="e">
        <f t="shared" si="113"/>
        <v>#N/A</v>
      </c>
      <c r="AF892" s="4" t="e">
        <f t="shared" si="109"/>
        <v>#N/A</v>
      </c>
    </row>
    <row r="893" spans="2:32">
      <c r="B893" s="5">
        <f t="shared" si="114"/>
        <v>881</v>
      </c>
      <c r="C893" s="5"/>
      <c r="E893" s="13"/>
      <c r="F893" s="5"/>
      <c r="G893" s="11" t="str">
        <f>IF(ISERROR(AVERAGE(F$13:F893)),"n/a",AVERAGE(F$13:F893))</f>
        <v>n/a</v>
      </c>
      <c r="H893" s="11" t="str">
        <f t="shared" si="110"/>
        <v>n/a</v>
      </c>
      <c r="J893" s="5"/>
      <c r="K893" s="5"/>
      <c r="L893" s="5"/>
      <c r="M893" s="5"/>
      <c r="N893" s="5"/>
      <c r="O893" s="8" t="str">
        <f t="shared" si="108"/>
        <v>n/a</v>
      </c>
      <c r="Q893" s="5"/>
      <c r="R893" s="5"/>
      <c r="S893" s="5"/>
      <c r="U893" s="6"/>
      <c r="V893" s="9" t="str">
        <f t="shared" si="111"/>
        <v/>
      </c>
      <c r="W893" s="9" t="str">
        <f t="shared" si="112"/>
        <v/>
      </c>
      <c r="X893" s="10">
        <f>SUM(V$13:V893)/COUNTA(B$13:B893)</f>
        <v>0</v>
      </c>
      <c r="Z893" s="5"/>
      <c r="AA893" s="5"/>
      <c r="AC893" s="7"/>
      <c r="AE893" s="54" t="e">
        <f t="shared" si="113"/>
        <v>#N/A</v>
      </c>
      <c r="AF893" s="4" t="e">
        <f t="shared" si="109"/>
        <v>#N/A</v>
      </c>
    </row>
    <row r="894" spans="2:32">
      <c r="B894" s="5">
        <f t="shared" si="114"/>
        <v>882</v>
      </c>
      <c r="C894" s="5"/>
      <c r="E894" s="13"/>
      <c r="F894" s="5"/>
      <c r="G894" s="11" t="str">
        <f>IF(ISERROR(AVERAGE(F$13:F894)),"n/a",AVERAGE(F$13:F894))</f>
        <v>n/a</v>
      </c>
      <c r="H894" s="11" t="str">
        <f t="shared" si="110"/>
        <v>n/a</v>
      </c>
      <c r="J894" s="5"/>
      <c r="K894" s="5"/>
      <c r="L894" s="5"/>
      <c r="M894" s="5"/>
      <c r="N894" s="5"/>
      <c r="O894" s="8" t="str">
        <f t="shared" si="108"/>
        <v>n/a</v>
      </c>
      <c r="Q894" s="5"/>
      <c r="R894" s="5"/>
      <c r="S894" s="5"/>
      <c r="U894" s="6"/>
      <c r="V894" s="9" t="str">
        <f t="shared" si="111"/>
        <v/>
      </c>
      <c r="W894" s="9" t="str">
        <f t="shared" si="112"/>
        <v/>
      </c>
      <c r="X894" s="10">
        <f>SUM(V$13:V894)/COUNTA(B$13:B894)</f>
        <v>0</v>
      </c>
      <c r="Z894" s="5"/>
      <c r="AA894" s="5"/>
      <c r="AC894" s="7"/>
      <c r="AE894" s="54" t="e">
        <f t="shared" si="113"/>
        <v>#N/A</v>
      </c>
      <c r="AF894" s="4" t="e">
        <f t="shared" si="109"/>
        <v>#N/A</v>
      </c>
    </row>
    <row r="895" spans="2:32">
      <c r="B895" s="5">
        <f t="shared" si="114"/>
        <v>883</v>
      </c>
      <c r="C895" s="5"/>
      <c r="E895" s="13"/>
      <c r="F895" s="5"/>
      <c r="G895" s="11" t="str">
        <f>IF(ISERROR(AVERAGE(F$13:F895)),"n/a",AVERAGE(F$13:F895))</f>
        <v>n/a</v>
      </c>
      <c r="H895" s="11" t="str">
        <f t="shared" si="110"/>
        <v>n/a</v>
      </c>
      <c r="J895" s="5"/>
      <c r="K895" s="5"/>
      <c r="L895" s="5"/>
      <c r="M895" s="5"/>
      <c r="N895" s="5"/>
      <c r="O895" s="8" t="str">
        <f t="shared" si="108"/>
        <v>n/a</v>
      </c>
      <c r="Q895" s="5"/>
      <c r="R895" s="5"/>
      <c r="S895" s="5"/>
      <c r="U895" s="6"/>
      <c r="V895" s="9" t="str">
        <f t="shared" si="111"/>
        <v/>
      </c>
      <c r="W895" s="9" t="str">
        <f t="shared" si="112"/>
        <v/>
      </c>
      <c r="X895" s="10">
        <f>SUM(V$13:V895)/COUNTA(B$13:B895)</f>
        <v>0</v>
      </c>
      <c r="Z895" s="5"/>
      <c r="AA895" s="5"/>
      <c r="AC895" s="7"/>
      <c r="AE895" s="54" t="e">
        <f t="shared" si="113"/>
        <v>#N/A</v>
      </c>
      <c r="AF895" s="4" t="e">
        <f t="shared" si="109"/>
        <v>#N/A</v>
      </c>
    </row>
    <row r="896" spans="2:32">
      <c r="B896" s="5">
        <f t="shared" si="114"/>
        <v>884</v>
      </c>
      <c r="C896" s="5"/>
      <c r="E896" s="13"/>
      <c r="F896" s="5"/>
      <c r="G896" s="11" t="str">
        <f>IF(ISERROR(AVERAGE(F$13:F896)),"n/a",AVERAGE(F$13:F896))</f>
        <v>n/a</v>
      </c>
      <c r="H896" s="11" t="str">
        <f t="shared" si="110"/>
        <v>n/a</v>
      </c>
      <c r="J896" s="5"/>
      <c r="K896" s="5"/>
      <c r="L896" s="5"/>
      <c r="M896" s="5"/>
      <c r="N896" s="5"/>
      <c r="O896" s="8" t="str">
        <f t="shared" si="108"/>
        <v>n/a</v>
      </c>
      <c r="Q896" s="5"/>
      <c r="R896" s="5"/>
      <c r="S896" s="5"/>
      <c r="U896" s="6"/>
      <c r="V896" s="9" t="str">
        <f t="shared" si="111"/>
        <v/>
      </c>
      <c r="W896" s="9" t="str">
        <f t="shared" si="112"/>
        <v/>
      </c>
      <c r="X896" s="10">
        <f>SUM(V$13:V896)/COUNTA(B$13:B896)</f>
        <v>0</v>
      </c>
      <c r="Z896" s="5"/>
      <c r="AA896" s="5"/>
      <c r="AC896" s="7"/>
      <c r="AE896" s="54" t="e">
        <f t="shared" si="113"/>
        <v>#N/A</v>
      </c>
      <c r="AF896" s="4" t="e">
        <f t="shared" si="109"/>
        <v>#N/A</v>
      </c>
    </row>
    <row r="897" spans="2:32">
      <c r="B897" s="5">
        <f t="shared" si="114"/>
        <v>885</v>
      </c>
      <c r="C897" s="5"/>
      <c r="E897" s="13"/>
      <c r="F897" s="5"/>
      <c r="G897" s="11" t="str">
        <f>IF(ISERROR(AVERAGE(F$13:F897)),"n/a",AVERAGE(F$13:F897))</f>
        <v>n/a</v>
      </c>
      <c r="H897" s="11" t="str">
        <f t="shared" si="110"/>
        <v>n/a</v>
      </c>
      <c r="J897" s="5"/>
      <c r="K897" s="5"/>
      <c r="L897" s="5"/>
      <c r="M897" s="5"/>
      <c r="N897" s="5"/>
      <c r="O897" s="8" t="str">
        <f t="shared" si="108"/>
        <v>n/a</v>
      </c>
      <c r="Q897" s="5"/>
      <c r="R897" s="5"/>
      <c r="S897" s="5"/>
      <c r="U897" s="6"/>
      <c r="V897" s="9" t="str">
        <f t="shared" si="111"/>
        <v/>
      </c>
      <c r="W897" s="9" t="str">
        <f t="shared" si="112"/>
        <v/>
      </c>
      <c r="X897" s="10">
        <f>SUM(V$13:V897)/COUNTA(B$13:B897)</f>
        <v>0</v>
      </c>
      <c r="Z897" s="5"/>
      <c r="AA897" s="5"/>
      <c r="AC897" s="7"/>
      <c r="AE897" s="54" t="e">
        <f t="shared" si="113"/>
        <v>#N/A</v>
      </c>
      <c r="AF897" s="4" t="e">
        <f t="shared" si="109"/>
        <v>#N/A</v>
      </c>
    </row>
    <row r="898" spans="2:32">
      <c r="B898" s="5">
        <f t="shared" si="114"/>
        <v>886</v>
      </c>
      <c r="C898" s="5"/>
      <c r="E898" s="13"/>
      <c r="F898" s="5"/>
      <c r="G898" s="11" t="str">
        <f>IF(ISERROR(AVERAGE(F$13:F898)),"n/a",AVERAGE(F$13:F898))</f>
        <v>n/a</v>
      </c>
      <c r="H898" s="11" t="str">
        <f t="shared" si="110"/>
        <v>n/a</v>
      </c>
      <c r="J898" s="5"/>
      <c r="K898" s="5"/>
      <c r="L898" s="5"/>
      <c r="M898" s="5"/>
      <c r="N898" s="5"/>
      <c r="O898" s="8" t="str">
        <f t="shared" si="108"/>
        <v>n/a</v>
      </c>
      <c r="Q898" s="5"/>
      <c r="R898" s="5"/>
      <c r="S898" s="5"/>
      <c r="U898" s="6"/>
      <c r="V898" s="9" t="str">
        <f t="shared" si="111"/>
        <v/>
      </c>
      <c r="W898" s="9" t="str">
        <f t="shared" si="112"/>
        <v/>
      </c>
      <c r="X898" s="10">
        <f>SUM(V$13:V898)/COUNTA(B$13:B898)</f>
        <v>0</v>
      </c>
      <c r="Z898" s="5"/>
      <c r="AA898" s="5"/>
      <c r="AC898" s="7"/>
      <c r="AE898" s="54" t="e">
        <f t="shared" si="113"/>
        <v>#N/A</v>
      </c>
      <c r="AF898" s="4" t="e">
        <f t="shared" si="109"/>
        <v>#N/A</v>
      </c>
    </row>
    <row r="899" spans="2:32">
      <c r="B899" s="5">
        <f t="shared" si="114"/>
        <v>887</v>
      </c>
      <c r="C899" s="5"/>
      <c r="E899" s="13"/>
      <c r="F899" s="5"/>
      <c r="G899" s="11" t="str">
        <f>IF(ISERROR(AVERAGE(F$13:F899)),"n/a",AVERAGE(F$13:F899))</f>
        <v>n/a</v>
      </c>
      <c r="H899" s="11" t="str">
        <f t="shared" si="110"/>
        <v>n/a</v>
      </c>
      <c r="J899" s="5"/>
      <c r="K899" s="5"/>
      <c r="L899" s="5"/>
      <c r="M899" s="5"/>
      <c r="N899" s="5"/>
      <c r="O899" s="8" t="str">
        <f t="shared" si="108"/>
        <v>n/a</v>
      </c>
      <c r="Q899" s="5"/>
      <c r="R899" s="5"/>
      <c r="S899" s="5"/>
      <c r="U899" s="6"/>
      <c r="V899" s="9" t="str">
        <f t="shared" si="111"/>
        <v/>
      </c>
      <c r="W899" s="9" t="str">
        <f t="shared" si="112"/>
        <v/>
      </c>
      <c r="X899" s="10">
        <f>SUM(V$13:V899)/COUNTA(B$13:B899)</f>
        <v>0</v>
      </c>
      <c r="Z899" s="5"/>
      <c r="AA899" s="5"/>
      <c r="AC899" s="7"/>
      <c r="AE899" s="54" t="e">
        <f t="shared" si="113"/>
        <v>#N/A</v>
      </c>
      <c r="AF899" s="4" t="e">
        <f t="shared" si="109"/>
        <v>#N/A</v>
      </c>
    </row>
    <row r="900" spans="2:32">
      <c r="B900" s="5">
        <f t="shared" si="114"/>
        <v>888</v>
      </c>
      <c r="C900" s="5"/>
      <c r="E900" s="13"/>
      <c r="F900" s="5"/>
      <c r="G900" s="11" t="str">
        <f>IF(ISERROR(AVERAGE(F$13:F900)),"n/a",AVERAGE(F$13:F900))</f>
        <v>n/a</v>
      </c>
      <c r="H900" s="11" t="str">
        <f t="shared" si="110"/>
        <v>n/a</v>
      </c>
      <c r="J900" s="5"/>
      <c r="K900" s="5"/>
      <c r="L900" s="5"/>
      <c r="M900" s="5"/>
      <c r="N900" s="5"/>
      <c r="O900" s="8" t="str">
        <f t="shared" si="108"/>
        <v>n/a</v>
      </c>
      <c r="Q900" s="5"/>
      <c r="R900" s="5"/>
      <c r="S900" s="5"/>
      <c r="U900" s="6"/>
      <c r="V900" s="9" t="str">
        <f t="shared" si="111"/>
        <v/>
      </c>
      <c r="W900" s="9" t="str">
        <f t="shared" si="112"/>
        <v/>
      </c>
      <c r="X900" s="10">
        <f>SUM(V$13:V900)/COUNTA(B$13:B900)</f>
        <v>0</v>
      </c>
      <c r="Z900" s="5"/>
      <c r="AA900" s="5"/>
      <c r="AC900" s="7"/>
      <c r="AE900" s="54" t="e">
        <f t="shared" si="113"/>
        <v>#N/A</v>
      </c>
      <c r="AF900" s="4" t="e">
        <f t="shared" si="109"/>
        <v>#N/A</v>
      </c>
    </row>
    <row r="901" spans="2:32">
      <c r="B901" s="5">
        <f t="shared" si="114"/>
        <v>889</v>
      </c>
      <c r="C901" s="5"/>
      <c r="E901" s="13"/>
      <c r="F901" s="5"/>
      <c r="G901" s="11" t="str">
        <f>IF(ISERROR(AVERAGE(F$13:F901)),"n/a",AVERAGE(F$13:F901))</f>
        <v>n/a</v>
      </c>
      <c r="H901" s="11" t="str">
        <f t="shared" si="110"/>
        <v>n/a</v>
      </c>
      <c r="J901" s="5"/>
      <c r="K901" s="5"/>
      <c r="L901" s="5"/>
      <c r="M901" s="5"/>
      <c r="N901" s="5"/>
      <c r="O901" s="8" t="str">
        <f t="shared" si="108"/>
        <v>n/a</v>
      </c>
      <c r="Q901" s="5"/>
      <c r="R901" s="5"/>
      <c r="S901" s="5"/>
      <c r="U901" s="6"/>
      <c r="V901" s="9" t="str">
        <f t="shared" si="111"/>
        <v/>
      </c>
      <c r="W901" s="9" t="str">
        <f t="shared" si="112"/>
        <v/>
      </c>
      <c r="X901" s="10">
        <f>SUM(V$13:V901)/COUNTA(B$13:B901)</f>
        <v>0</v>
      </c>
      <c r="Z901" s="5"/>
      <c r="AA901" s="5"/>
      <c r="AC901" s="7"/>
      <c r="AE901" s="54" t="e">
        <f t="shared" si="113"/>
        <v>#N/A</v>
      </c>
      <c r="AF901" s="4" t="e">
        <f t="shared" si="109"/>
        <v>#N/A</v>
      </c>
    </row>
    <row r="902" spans="2:32">
      <c r="B902" s="5">
        <f t="shared" si="114"/>
        <v>890</v>
      </c>
      <c r="C902" s="5"/>
      <c r="E902" s="13"/>
      <c r="F902" s="5"/>
      <c r="G902" s="11" t="str">
        <f>IF(ISERROR(AVERAGE(F$13:F902)),"n/a",AVERAGE(F$13:F902))</f>
        <v>n/a</v>
      </c>
      <c r="H902" s="11" t="str">
        <f t="shared" si="110"/>
        <v>n/a</v>
      </c>
      <c r="J902" s="5"/>
      <c r="K902" s="5"/>
      <c r="L902" s="5"/>
      <c r="M902" s="5"/>
      <c r="N902" s="5"/>
      <c r="O902" s="8" t="str">
        <f t="shared" si="108"/>
        <v>n/a</v>
      </c>
      <c r="Q902" s="5"/>
      <c r="R902" s="5"/>
      <c r="S902" s="5"/>
      <c r="U902" s="6"/>
      <c r="V902" s="9" t="str">
        <f t="shared" si="111"/>
        <v/>
      </c>
      <c r="W902" s="9" t="str">
        <f t="shared" si="112"/>
        <v/>
      </c>
      <c r="X902" s="10">
        <f>SUM(V$13:V902)/COUNTA(B$13:B902)</f>
        <v>0</v>
      </c>
      <c r="Z902" s="5"/>
      <c r="AA902" s="5"/>
      <c r="AC902" s="7"/>
      <c r="AE902" s="54" t="e">
        <f t="shared" si="113"/>
        <v>#N/A</v>
      </c>
      <c r="AF902" s="4" t="e">
        <f t="shared" si="109"/>
        <v>#N/A</v>
      </c>
    </row>
    <row r="903" spans="2:32">
      <c r="B903" s="5">
        <f t="shared" si="114"/>
        <v>891</v>
      </c>
      <c r="C903" s="5"/>
      <c r="E903" s="13"/>
      <c r="F903" s="5"/>
      <c r="G903" s="11" t="str">
        <f>IF(ISERROR(AVERAGE(F$13:F903)),"n/a",AVERAGE(F$13:F903))</f>
        <v>n/a</v>
      </c>
      <c r="H903" s="11" t="str">
        <f t="shared" si="110"/>
        <v>n/a</v>
      </c>
      <c r="J903" s="5"/>
      <c r="K903" s="5"/>
      <c r="L903" s="5"/>
      <c r="M903" s="5"/>
      <c r="N903" s="5"/>
      <c r="O903" s="8" t="str">
        <f t="shared" si="108"/>
        <v>n/a</v>
      </c>
      <c r="Q903" s="5"/>
      <c r="R903" s="5"/>
      <c r="S903" s="5"/>
      <c r="U903" s="6"/>
      <c r="V903" s="9" t="str">
        <f t="shared" si="111"/>
        <v/>
      </c>
      <c r="W903" s="9" t="str">
        <f t="shared" si="112"/>
        <v/>
      </c>
      <c r="X903" s="10">
        <f>SUM(V$13:V903)/COUNTA(B$13:B903)</f>
        <v>0</v>
      </c>
      <c r="Z903" s="5"/>
      <c r="AA903" s="5"/>
      <c r="AC903" s="7"/>
      <c r="AE903" s="54" t="e">
        <f t="shared" si="113"/>
        <v>#N/A</v>
      </c>
      <c r="AF903" s="4" t="e">
        <f t="shared" si="109"/>
        <v>#N/A</v>
      </c>
    </row>
    <row r="904" spans="2:32">
      <c r="B904" s="5">
        <f t="shared" si="114"/>
        <v>892</v>
      </c>
      <c r="C904" s="5"/>
      <c r="E904" s="13"/>
      <c r="F904" s="5"/>
      <c r="G904" s="11" t="str">
        <f>IF(ISERROR(AVERAGE(F$13:F904)),"n/a",AVERAGE(F$13:F904))</f>
        <v>n/a</v>
      </c>
      <c r="H904" s="11" t="str">
        <f t="shared" si="110"/>
        <v>n/a</v>
      </c>
      <c r="J904" s="5"/>
      <c r="K904" s="5"/>
      <c r="L904" s="5"/>
      <c r="M904" s="5"/>
      <c r="N904" s="5"/>
      <c r="O904" s="8" t="str">
        <f t="shared" si="108"/>
        <v>n/a</v>
      </c>
      <c r="Q904" s="5"/>
      <c r="R904" s="5"/>
      <c r="S904" s="5"/>
      <c r="U904" s="6"/>
      <c r="V904" s="9" t="str">
        <f t="shared" si="111"/>
        <v/>
      </c>
      <c r="W904" s="9" t="str">
        <f t="shared" si="112"/>
        <v/>
      </c>
      <c r="X904" s="10">
        <f>SUM(V$13:V904)/COUNTA(B$13:B904)</f>
        <v>0</v>
      </c>
      <c r="Z904" s="5"/>
      <c r="AA904" s="5"/>
      <c r="AC904" s="7"/>
      <c r="AE904" s="54" t="e">
        <f t="shared" si="113"/>
        <v>#N/A</v>
      </c>
      <c r="AF904" s="4" t="e">
        <f t="shared" si="109"/>
        <v>#N/A</v>
      </c>
    </row>
    <row r="905" spans="2:32">
      <c r="B905" s="5">
        <f t="shared" si="114"/>
        <v>893</v>
      </c>
      <c r="C905" s="5"/>
      <c r="E905" s="13"/>
      <c r="F905" s="5"/>
      <c r="G905" s="11" t="str">
        <f>IF(ISERROR(AVERAGE(F$13:F905)),"n/a",AVERAGE(F$13:F905))</f>
        <v>n/a</v>
      </c>
      <c r="H905" s="11" t="str">
        <f t="shared" si="110"/>
        <v>n/a</v>
      </c>
      <c r="J905" s="5"/>
      <c r="K905" s="5"/>
      <c r="L905" s="5"/>
      <c r="M905" s="5"/>
      <c r="N905" s="5"/>
      <c r="O905" s="8" t="str">
        <f t="shared" si="108"/>
        <v>n/a</v>
      </c>
      <c r="Q905" s="5"/>
      <c r="R905" s="5"/>
      <c r="S905" s="5"/>
      <c r="U905" s="6"/>
      <c r="V905" s="9" t="str">
        <f t="shared" si="111"/>
        <v/>
      </c>
      <c r="W905" s="9" t="str">
        <f t="shared" si="112"/>
        <v/>
      </c>
      <c r="X905" s="10">
        <f>SUM(V$13:V905)/COUNTA(B$13:B905)</f>
        <v>0</v>
      </c>
      <c r="Z905" s="5"/>
      <c r="AA905" s="5"/>
      <c r="AC905" s="7"/>
      <c r="AE905" s="54" t="e">
        <f t="shared" si="113"/>
        <v>#N/A</v>
      </c>
      <c r="AF905" s="4" t="e">
        <f t="shared" si="109"/>
        <v>#N/A</v>
      </c>
    </row>
    <row r="906" spans="2:32">
      <c r="B906" s="5">
        <f t="shared" si="114"/>
        <v>894</v>
      </c>
      <c r="C906" s="5"/>
      <c r="E906" s="13"/>
      <c r="F906" s="5"/>
      <c r="G906" s="11" t="str">
        <f>IF(ISERROR(AVERAGE(F$13:F906)),"n/a",AVERAGE(F$13:F906))</f>
        <v>n/a</v>
      </c>
      <c r="H906" s="11" t="str">
        <f t="shared" si="110"/>
        <v>n/a</v>
      </c>
      <c r="J906" s="5"/>
      <c r="K906" s="5"/>
      <c r="L906" s="5"/>
      <c r="M906" s="5"/>
      <c r="N906" s="5"/>
      <c r="O906" s="8" t="str">
        <f t="shared" si="108"/>
        <v>n/a</v>
      </c>
      <c r="Q906" s="5"/>
      <c r="R906" s="5"/>
      <c r="S906" s="5"/>
      <c r="U906" s="6"/>
      <c r="V906" s="9" t="str">
        <f t="shared" si="111"/>
        <v/>
      </c>
      <c r="W906" s="9" t="str">
        <f t="shared" si="112"/>
        <v/>
      </c>
      <c r="X906" s="10">
        <f>SUM(V$13:V906)/COUNTA(B$13:B906)</f>
        <v>0</v>
      </c>
      <c r="Z906" s="5"/>
      <c r="AA906" s="5"/>
      <c r="AC906" s="7"/>
      <c r="AE906" s="54" t="e">
        <f t="shared" si="113"/>
        <v>#N/A</v>
      </c>
      <c r="AF906" s="4" t="e">
        <f t="shared" si="109"/>
        <v>#N/A</v>
      </c>
    </row>
    <row r="907" spans="2:32">
      <c r="B907" s="5">
        <f t="shared" si="114"/>
        <v>895</v>
      </c>
      <c r="C907" s="5"/>
      <c r="E907" s="13"/>
      <c r="F907" s="5"/>
      <c r="G907" s="11" t="str">
        <f>IF(ISERROR(AVERAGE(F$13:F907)),"n/a",AVERAGE(F$13:F907))</f>
        <v>n/a</v>
      </c>
      <c r="H907" s="11" t="str">
        <f t="shared" si="110"/>
        <v>n/a</v>
      </c>
      <c r="J907" s="5"/>
      <c r="K907" s="5"/>
      <c r="L907" s="5"/>
      <c r="M907" s="5"/>
      <c r="N907" s="5"/>
      <c r="O907" s="8" t="str">
        <f t="shared" si="108"/>
        <v>n/a</v>
      </c>
      <c r="Q907" s="5"/>
      <c r="R907" s="5"/>
      <c r="S907" s="5"/>
      <c r="U907" s="6"/>
      <c r="V907" s="9" t="str">
        <f t="shared" si="111"/>
        <v/>
      </c>
      <c r="W907" s="9" t="str">
        <f t="shared" si="112"/>
        <v/>
      </c>
      <c r="X907" s="10">
        <f>SUM(V$13:V907)/COUNTA(B$13:B907)</f>
        <v>0</v>
      </c>
      <c r="Z907" s="5"/>
      <c r="AA907" s="5"/>
      <c r="AC907" s="7"/>
      <c r="AE907" s="54" t="e">
        <f t="shared" si="113"/>
        <v>#N/A</v>
      </c>
      <c r="AF907" s="4" t="e">
        <f t="shared" si="109"/>
        <v>#N/A</v>
      </c>
    </row>
    <row r="908" spans="2:32">
      <c r="B908" s="5">
        <f t="shared" si="114"/>
        <v>896</v>
      </c>
      <c r="C908" s="5"/>
      <c r="E908" s="13"/>
      <c r="F908" s="5"/>
      <c r="G908" s="11" t="str">
        <f>IF(ISERROR(AVERAGE(F$13:F908)),"n/a",AVERAGE(F$13:F908))</f>
        <v>n/a</v>
      </c>
      <c r="H908" s="11" t="str">
        <f t="shared" si="110"/>
        <v>n/a</v>
      </c>
      <c r="J908" s="5"/>
      <c r="K908" s="5"/>
      <c r="L908" s="5"/>
      <c r="M908" s="5"/>
      <c r="N908" s="5"/>
      <c r="O908" s="8" t="str">
        <f t="shared" si="108"/>
        <v>n/a</v>
      </c>
      <c r="Q908" s="5"/>
      <c r="R908" s="5"/>
      <c r="S908" s="5"/>
      <c r="U908" s="6"/>
      <c r="V908" s="9" t="str">
        <f t="shared" si="111"/>
        <v/>
      </c>
      <c r="W908" s="9" t="str">
        <f t="shared" si="112"/>
        <v/>
      </c>
      <c r="X908" s="10">
        <f>SUM(V$13:V908)/COUNTA(B$13:B908)</f>
        <v>0</v>
      </c>
      <c r="Z908" s="5"/>
      <c r="AA908" s="5"/>
      <c r="AC908" s="7"/>
      <c r="AE908" s="54" t="e">
        <f t="shared" si="113"/>
        <v>#N/A</v>
      </c>
      <c r="AF908" s="4" t="e">
        <f t="shared" si="109"/>
        <v>#N/A</v>
      </c>
    </row>
    <row r="909" spans="2:32">
      <c r="B909" s="5">
        <f t="shared" si="114"/>
        <v>897</v>
      </c>
      <c r="C909" s="5"/>
      <c r="E909" s="13"/>
      <c r="F909" s="5"/>
      <c r="G909" s="11" t="str">
        <f>IF(ISERROR(AVERAGE(F$13:F909)),"n/a",AVERAGE(F$13:F909))</f>
        <v>n/a</v>
      </c>
      <c r="H909" s="11" t="str">
        <f t="shared" si="110"/>
        <v>n/a</v>
      </c>
      <c r="J909" s="5"/>
      <c r="K909" s="5"/>
      <c r="L909" s="5"/>
      <c r="M909" s="5"/>
      <c r="N909" s="5"/>
      <c r="O909" s="8" t="str">
        <f t="shared" ref="O909:O972" si="115">IF(J909=1,"A",IF(K909=1,"B",IF(L909=1,"C",IF(M909=1,"D",IF(N909=1,"E","n/a")))))</f>
        <v>n/a</v>
      </c>
      <c r="Q909" s="5"/>
      <c r="R909" s="5"/>
      <c r="S909" s="5"/>
      <c r="U909" s="6"/>
      <c r="V909" s="9" t="str">
        <f t="shared" si="111"/>
        <v/>
      </c>
      <c r="W909" s="9" t="str">
        <f t="shared" si="112"/>
        <v/>
      </c>
      <c r="X909" s="10">
        <f>SUM(V$13:V909)/COUNTA(B$13:B909)</f>
        <v>0</v>
      </c>
      <c r="Z909" s="5"/>
      <c r="AA909" s="5"/>
      <c r="AC909" s="7"/>
      <c r="AE909" s="54" t="e">
        <f t="shared" si="113"/>
        <v>#N/A</v>
      </c>
      <c r="AF909" s="4" t="e">
        <f t="shared" ref="AF909:AF972" si="116">HLOOKUP(C909,$K$6:$O$7,2,FALSE)</f>
        <v>#N/A</v>
      </c>
    </row>
    <row r="910" spans="2:32">
      <c r="B910" s="5">
        <f t="shared" si="114"/>
        <v>898</v>
      </c>
      <c r="C910" s="5"/>
      <c r="E910" s="13"/>
      <c r="F910" s="5"/>
      <c r="G910" s="11" t="str">
        <f>IF(ISERROR(AVERAGE(F$13:F910)),"n/a",AVERAGE(F$13:F910))</f>
        <v>n/a</v>
      </c>
      <c r="H910" s="11" t="str">
        <f t="shared" ref="H910:H973" si="117">G910</f>
        <v>n/a</v>
      </c>
      <c r="J910" s="5"/>
      <c r="K910" s="5"/>
      <c r="L910" s="5"/>
      <c r="M910" s="5"/>
      <c r="N910" s="5"/>
      <c r="O910" s="8" t="str">
        <f t="shared" si="115"/>
        <v>n/a</v>
      </c>
      <c r="Q910" s="5"/>
      <c r="R910" s="5"/>
      <c r="S910" s="5"/>
      <c r="U910" s="6"/>
      <c r="V910" s="9" t="str">
        <f t="shared" ref="V910:V973" si="118">IF(O910="n/a","",IF(O910=U910,1,""))</f>
        <v/>
      </c>
      <c r="W910" s="9" t="str">
        <f t="shared" ref="W910:W973" si="119">IF(O910="n/a","",IF(O910&lt;&gt;U910,1,""))</f>
        <v/>
      </c>
      <c r="X910" s="10">
        <f>SUM(V$13:V910)/COUNTA(B$13:B910)</f>
        <v>0</v>
      </c>
      <c r="Z910" s="5"/>
      <c r="AA910" s="5"/>
      <c r="AC910" s="7"/>
      <c r="AE910" s="54" t="e">
        <f t="shared" ref="AE910:AE973" si="120">+IF($F$4=0,0,IF(W910=1,1,IF(OR(R910*$F$8=1,S910*$F$9=1,F910&gt;=AF910),2,0)))</f>
        <v>#N/A</v>
      </c>
      <c r="AF910" s="4" t="e">
        <f t="shared" si="116"/>
        <v>#N/A</v>
      </c>
    </row>
    <row r="911" spans="2:32">
      <c r="B911" s="5">
        <f t="shared" si="114"/>
        <v>899</v>
      </c>
      <c r="C911" s="5"/>
      <c r="E911" s="13"/>
      <c r="F911" s="5"/>
      <c r="G911" s="11" t="str">
        <f>IF(ISERROR(AVERAGE(F$13:F911)),"n/a",AVERAGE(F$13:F911))</f>
        <v>n/a</v>
      </c>
      <c r="H911" s="11" t="str">
        <f t="shared" si="117"/>
        <v>n/a</v>
      </c>
      <c r="J911" s="5"/>
      <c r="K911" s="5"/>
      <c r="L911" s="5"/>
      <c r="M911" s="5"/>
      <c r="N911" s="5"/>
      <c r="O911" s="8" t="str">
        <f t="shared" si="115"/>
        <v>n/a</v>
      </c>
      <c r="Q911" s="5"/>
      <c r="R911" s="5"/>
      <c r="S911" s="5"/>
      <c r="U911" s="6"/>
      <c r="V911" s="9" t="str">
        <f t="shared" si="118"/>
        <v/>
      </c>
      <c r="W911" s="9" t="str">
        <f t="shared" si="119"/>
        <v/>
      </c>
      <c r="X911" s="10">
        <f>SUM(V$13:V911)/COUNTA(B$13:B911)</f>
        <v>0</v>
      </c>
      <c r="Z911" s="5"/>
      <c r="AA911" s="5"/>
      <c r="AC911" s="7"/>
      <c r="AE911" s="54" t="e">
        <f t="shared" si="120"/>
        <v>#N/A</v>
      </c>
      <c r="AF911" s="4" t="e">
        <f t="shared" si="116"/>
        <v>#N/A</v>
      </c>
    </row>
    <row r="912" spans="2:32">
      <c r="B912" s="5">
        <f t="shared" si="114"/>
        <v>900</v>
      </c>
      <c r="C912" s="5"/>
      <c r="E912" s="13"/>
      <c r="F912" s="5"/>
      <c r="G912" s="11" t="str">
        <f>IF(ISERROR(AVERAGE(F$13:F912)),"n/a",AVERAGE(F$13:F912))</f>
        <v>n/a</v>
      </c>
      <c r="H912" s="11" t="str">
        <f t="shared" si="117"/>
        <v>n/a</v>
      </c>
      <c r="J912" s="5"/>
      <c r="K912" s="5"/>
      <c r="L912" s="5"/>
      <c r="M912" s="5"/>
      <c r="N912" s="5"/>
      <c r="O912" s="8" t="str">
        <f t="shared" si="115"/>
        <v>n/a</v>
      </c>
      <c r="Q912" s="5"/>
      <c r="R912" s="5"/>
      <c r="S912" s="5"/>
      <c r="U912" s="6"/>
      <c r="V912" s="9" t="str">
        <f t="shared" si="118"/>
        <v/>
      </c>
      <c r="W912" s="9" t="str">
        <f t="shared" si="119"/>
        <v/>
      </c>
      <c r="X912" s="10">
        <f>SUM(V$13:V912)/COUNTA(B$13:B912)</f>
        <v>0</v>
      </c>
      <c r="Z912" s="5"/>
      <c r="AA912" s="5"/>
      <c r="AC912" s="7"/>
      <c r="AE912" s="54" t="e">
        <f t="shared" si="120"/>
        <v>#N/A</v>
      </c>
      <c r="AF912" s="4" t="e">
        <f t="shared" si="116"/>
        <v>#N/A</v>
      </c>
    </row>
    <row r="913" spans="2:32">
      <c r="B913" s="5">
        <f t="shared" si="114"/>
        <v>901</v>
      </c>
      <c r="C913" s="5"/>
      <c r="E913" s="13"/>
      <c r="F913" s="5"/>
      <c r="G913" s="11" t="str">
        <f>IF(ISERROR(AVERAGE(F$13:F913)),"n/a",AVERAGE(F$13:F913))</f>
        <v>n/a</v>
      </c>
      <c r="H913" s="11" t="str">
        <f t="shared" si="117"/>
        <v>n/a</v>
      </c>
      <c r="J913" s="5"/>
      <c r="K913" s="5"/>
      <c r="L913" s="5"/>
      <c r="M913" s="5"/>
      <c r="N913" s="5"/>
      <c r="O913" s="8" t="str">
        <f t="shared" si="115"/>
        <v>n/a</v>
      </c>
      <c r="Q913" s="5"/>
      <c r="R913" s="5"/>
      <c r="S913" s="5"/>
      <c r="U913" s="6"/>
      <c r="V913" s="9" t="str">
        <f t="shared" si="118"/>
        <v/>
      </c>
      <c r="W913" s="9" t="str">
        <f t="shared" si="119"/>
        <v/>
      </c>
      <c r="X913" s="10">
        <f>SUM(V$13:V913)/COUNTA(B$13:B913)</f>
        <v>0</v>
      </c>
      <c r="Z913" s="5"/>
      <c r="AA913" s="5"/>
      <c r="AC913" s="7"/>
      <c r="AE913" s="54" t="e">
        <f t="shared" si="120"/>
        <v>#N/A</v>
      </c>
      <c r="AF913" s="4" t="e">
        <f t="shared" si="116"/>
        <v>#N/A</v>
      </c>
    </row>
    <row r="914" spans="2:32">
      <c r="B914" s="5">
        <f t="shared" si="114"/>
        <v>902</v>
      </c>
      <c r="C914" s="5"/>
      <c r="E914" s="13"/>
      <c r="F914" s="5"/>
      <c r="G914" s="11" t="str">
        <f>IF(ISERROR(AVERAGE(F$13:F914)),"n/a",AVERAGE(F$13:F914))</f>
        <v>n/a</v>
      </c>
      <c r="H914" s="11" t="str">
        <f t="shared" si="117"/>
        <v>n/a</v>
      </c>
      <c r="J914" s="5"/>
      <c r="K914" s="5"/>
      <c r="L914" s="5"/>
      <c r="M914" s="5"/>
      <c r="N914" s="5"/>
      <c r="O914" s="8" t="str">
        <f t="shared" si="115"/>
        <v>n/a</v>
      </c>
      <c r="Q914" s="5"/>
      <c r="R914" s="5"/>
      <c r="S914" s="5"/>
      <c r="U914" s="6"/>
      <c r="V914" s="9" t="str">
        <f t="shared" si="118"/>
        <v/>
      </c>
      <c r="W914" s="9" t="str">
        <f t="shared" si="119"/>
        <v/>
      </c>
      <c r="X914" s="10">
        <f>SUM(V$13:V914)/COUNTA(B$13:B914)</f>
        <v>0</v>
      </c>
      <c r="Z914" s="5"/>
      <c r="AA914" s="5"/>
      <c r="AC914" s="7"/>
      <c r="AE914" s="54" t="e">
        <f t="shared" si="120"/>
        <v>#N/A</v>
      </c>
      <c r="AF914" s="4" t="e">
        <f t="shared" si="116"/>
        <v>#N/A</v>
      </c>
    </row>
    <row r="915" spans="2:32">
      <c r="B915" s="5">
        <f t="shared" ref="B915:B978" si="121">+B914+1</f>
        <v>903</v>
      </c>
      <c r="C915" s="5"/>
      <c r="E915" s="13"/>
      <c r="F915" s="5"/>
      <c r="G915" s="11" t="str">
        <f>IF(ISERROR(AVERAGE(F$13:F915)),"n/a",AVERAGE(F$13:F915))</f>
        <v>n/a</v>
      </c>
      <c r="H915" s="11" t="str">
        <f t="shared" si="117"/>
        <v>n/a</v>
      </c>
      <c r="J915" s="5"/>
      <c r="K915" s="5"/>
      <c r="L915" s="5"/>
      <c r="M915" s="5"/>
      <c r="N915" s="5"/>
      <c r="O915" s="8" t="str">
        <f t="shared" si="115"/>
        <v>n/a</v>
      </c>
      <c r="Q915" s="5"/>
      <c r="R915" s="5"/>
      <c r="S915" s="5"/>
      <c r="U915" s="6"/>
      <c r="V915" s="9" t="str">
        <f t="shared" si="118"/>
        <v/>
      </c>
      <c r="W915" s="9" t="str">
        <f t="shared" si="119"/>
        <v/>
      </c>
      <c r="X915" s="10">
        <f>SUM(V$13:V915)/COUNTA(B$13:B915)</f>
        <v>0</v>
      </c>
      <c r="Z915" s="5"/>
      <c r="AA915" s="5"/>
      <c r="AC915" s="7"/>
      <c r="AE915" s="54" t="e">
        <f t="shared" si="120"/>
        <v>#N/A</v>
      </c>
      <c r="AF915" s="4" t="e">
        <f t="shared" si="116"/>
        <v>#N/A</v>
      </c>
    </row>
    <row r="916" spans="2:32">
      <c r="B916" s="5">
        <f t="shared" si="121"/>
        <v>904</v>
      </c>
      <c r="C916" s="5"/>
      <c r="E916" s="13"/>
      <c r="F916" s="5"/>
      <c r="G916" s="11" t="str">
        <f>IF(ISERROR(AVERAGE(F$13:F916)),"n/a",AVERAGE(F$13:F916))</f>
        <v>n/a</v>
      </c>
      <c r="H916" s="11" t="str">
        <f t="shared" si="117"/>
        <v>n/a</v>
      </c>
      <c r="J916" s="5"/>
      <c r="K916" s="5"/>
      <c r="L916" s="5"/>
      <c r="M916" s="5"/>
      <c r="N916" s="5"/>
      <c r="O916" s="8" t="str">
        <f t="shared" si="115"/>
        <v>n/a</v>
      </c>
      <c r="Q916" s="5"/>
      <c r="R916" s="5"/>
      <c r="S916" s="5"/>
      <c r="U916" s="6"/>
      <c r="V916" s="9" t="str">
        <f t="shared" si="118"/>
        <v/>
      </c>
      <c r="W916" s="9" t="str">
        <f t="shared" si="119"/>
        <v/>
      </c>
      <c r="X916" s="10">
        <f>SUM(V$13:V916)/COUNTA(B$13:B916)</f>
        <v>0</v>
      </c>
      <c r="Z916" s="5"/>
      <c r="AA916" s="5"/>
      <c r="AC916" s="7"/>
      <c r="AE916" s="54" t="e">
        <f t="shared" si="120"/>
        <v>#N/A</v>
      </c>
      <c r="AF916" s="4" t="e">
        <f t="shared" si="116"/>
        <v>#N/A</v>
      </c>
    </row>
    <row r="917" spans="2:32">
      <c r="B917" s="5">
        <f t="shared" si="121"/>
        <v>905</v>
      </c>
      <c r="C917" s="5"/>
      <c r="E917" s="13"/>
      <c r="F917" s="5"/>
      <c r="G917" s="11" t="str">
        <f>IF(ISERROR(AVERAGE(F$13:F917)),"n/a",AVERAGE(F$13:F917))</f>
        <v>n/a</v>
      </c>
      <c r="H917" s="11" t="str">
        <f t="shared" si="117"/>
        <v>n/a</v>
      </c>
      <c r="J917" s="5"/>
      <c r="K917" s="5"/>
      <c r="L917" s="5"/>
      <c r="M917" s="5"/>
      <c r="N917" s="5"/>
      <c r="O917" s="8" t="str">
        <f t="shared" si="115"/>
        <v>n/a</v>
      </c>
      <c r="Q917" s="5"/>
      <c r="R917" s="5"/>
      <c r="S917" s="5"/>
      <c r="U917" s="6"/>
      <c r="V917" s="9" t="str">
        <f t="shared" si="118"/>
        <v/>
      </c>
      <c r="W917" s="9" t="str">
        <f t="shared" si="119"/>
        <v/>
      </c>
      <c r="X917" s="10">
        <f>SUM(V$13:V917)/COUNTA(B$13:B917)</f>
        <v>0</v>
      </c>
      <c r="Z917" s="5"/>
      <c r="AA917" s="5"/>
      <c r="AC917" s="7"/>
      <c r="AE917" s="54" t="e">
        <f t="shared" si="120"/>
        <v>#N/A</v>
      </c>
      <c r="AF917" s="4" t="e">
        <f t="shared" si="116"/>
        <v>#N/A</v>
      </c>
    </row>
    <row r="918" spans="2:32">
      <c r="B918" s="5">
        <f t="shared" si="121"/>
        <v>906</v>
      </c>
      <c r="C918" s="5"/>
      <c r="E918" s="13"/>
      <c r="F918" s="5"/>
      <c r="G918" s="11" t="str">
        <f>IF(ISERROR(AVERAGE(F$13:F918)),"n/a",AVERAGE(F$13:F918))</f>
        <v>n/a</v>
      </c>
      <c r="H918" s="11" t="str">
        <f t="shared" si="117"/>
        <v>n/a</v>
      </c>
      <c r="J918" s="5"/>
      <c r="K918" s="5"/>
      <c r="L918" s="5"/>
      <c r="M918" s="5"/>
      <c r="N918" s="5"/>
      <c r="O918" s="8" t="str">
        <f t="shared" si="115"/>
        <v>n/a</v>
      </c>
      <c r="Q918" s="5"/>
      <c r="R918" s="5"/>
      <c r="S918" s="5"/>
      <c r="U918" s="6"/>
      <c r="V918" s="9" t="str">
        <f t="shared" si="118"/>
        <v/>
      </c>
      <c r="W918" s="9" t="str">
        <f t="shared" si="119"/>
        <v/>
      </c>
      <c r="X918" s="10">
        <f>SUM(V$13:V918)/COUNTA(B$13:B918)</f>
        <v>0</v>
      </c>
      <c r="Z918" s="5"/>
      <c r="AA918" s="5"/>
      <c r="AC918" s="7"/>
      <c r="AE918" s="54" t="e">
        <f t="shared" si="120"/>
        <v>#N/A</v>
      </c>
      <c r="AF918" s="4" t="e">
        <f t="shared" si="116"/>
        <v>#N/A</v>
      </c>
    </row>
    <row r="919" spans="2:32">
      <c r="B919" s="5">
        <f t="shared" si="121"/>
        <v>907</v>
      </c>
      <c r="C919" s="5"/>
      <c r="E919" s="13"/>
      <c r="F919" s="5"/>
      <c r="G919" s="11" t="str">
        <f>IF(ISERROR(AVERAGE(F$13:F919)),"n/a",AVERAGE(F$13:F919))</f>
        <v>n/a</v>
      </c>
      <c r="H919" s="11" t="str">
        <f t="shared" si="117"/>
        <v>n/a</v>
      </c>
      <c r="J919" s="5"/>
      <c r="K919" s="5"/>
      <c r="L919" s="5"/>
      <c r="M919" s="5"/>
      <c r="N919" s="5"/>
      <c r="O919" s="8" t="str">
        <f t="shared" si="115"/>
        <v>n/a</v>
      </c>
      <c r="Q919" s="5"/>
      <c r="R919" s="5"/>
      <c r="S919" s="5"/>
      <c r="U919" s="6"/>
      <c r="V919" s="9" t="str">
        <f t="shared" si="118"/>
        <v/>
      </c>
      <c r="W919" s="9" t="str">
        <f t="shared" si="119"/>
        <v/>
      </c>
      <c r="X919" s="10">
        <f>SUM(V$13:V919)/COUNTA(B$13:B919)</f>
        <v>0</v>
      </c>
      <c r="Z919" s="5"/>
      <c r="AA919" s="5"/>
      <c r="AC919" s="7"/>
      <c r="AE919" s="54" t="e">
        <f t="shared" si="120"/>
        <v>#N/A</v>
      </c>
      <c r="AF919" s="4" t="e">
        <f t="shared" si="116"/>
        <v>#N/A</v>
      </c>
    </row>
    <row r="920" spans="2:32">
      <c r="B920" s="5">
        <f t="shared" si="121"/>
        <v>908</v>
      </c>
      <c r="C920" s="5"/>
      <c r="E920" s="13"/>
      <c r="F920" s="5"/>
      <c r="G920" s="11" t="str">
        <f>IF(ISERROR(AVERAGE(F$13:F920)),"n/a",AVERAGE(F$13:F920))</f>
        <v>n/a</v>
      </c>
      <c r="H920" s="11" t="str">
        <f t="shared" si="117"/>
        <v>n/a</v>
      </c>
      <c r="J920" s="5"/>
      <c r="K920" s="5"/>
      <c r="L920" s="5"/>
      <c r="M920" s="5"/>
      <c r="N920" s="5"/>
      <c r="O920" s="8" t="str">
        <f t="shared" si="115"/>
        <v>n/a</v>
      </c>
      <c r="Q920" s="5"/>
      <c r="R920" s="5"/>
      <c r="S920" s="5"/>
      <c r="U920" s="6"/>
      <c r="V920" s="9" t="str">
        <f t="shared" si="118"/>
        <v/>
      </c>
      <c r="W920" s="9" t="str">
        <f t="shared" si="119"/>
        <v/>
      </c>
      <c r="X920" s="10">
        <f>SUM(V$13:V920)/COUNTA(B$13:B920)</f>
        <v>0</v>
      </c>
      <c r="Z920" s="5"/>
      <c r="AA920" s="5"/>
      <c r="AC920" s="7"/>
      <c r="AE920" s="54" t="e">
        <f t="shared" si="120"/>
        <v>#N/A</v>
      </c>
      <c r="AF920" s="4" t="e">
        <f t="shared" si="116"/>
        <v>#N/A</v>
      </c>
    </row>
    <row r="921" spans="2:32">
      <c r="B921" s="5">
        <f t="shared" si="121"/>
        <v>909</v>
      </c>
      <c r="C921" s="5"/>
      <c r="E921" s="13"/>
      <c r="F921" s="5"/>
      <c r="G921" s="11" t="str">
        <f>IF(ISERROR(AVERAGE(F$13:F921)),"n/a",AVERAGE(F$13:F921))</f>
        <v>n/a</v>
      </c>
      <c r="H921" s="11" t="str">
        <f t="shared" si="117"/>
        <v>n/a</v>
      </c>
      <c r="J921" s="5"/>
      <c r="K921" s="5"/>
      <c r="L921" s="5"/>
      <c r="M921" s="5"/>
      <c r="N921" s="5"/>
      <c r="O921" s="8" t="str">
        <f t="shared" si="115"/>
        <v>n/a</v>
      </c>
      <c r="Q921" s="5"/>
      <c r="R921" s="5"/>
      <c r="S921" s="5"/>
      <c r="U921" s="6"/>
      <c r="V921" s="9" t="str">
        <f t="shared" si="118"/>
        <v/>
      </c>
      <c r="W921" s="9" t="str">
        <f t="shared" si="119"/>
        <v/>
      </c>
      <c r="X921" s="10">
        <f>SUM(V$13:V921)/COUNTA(B$13:B921)</f>
        <v>0</v>
      </c>
      <c r="Z921" s="5"/>
      <c r="AA921" s="5"/>
      <c r="AC921" s="7"/>
      <c r="AE921" s="54" t="e">
        <f t="shared" si="120"/>
        <v>#N/A</v>
      </c>
      <c r="AF921" s="4" t="e">
        <f t="shared" si="116"/>
        <v>#N/A</v>
      </c>
    </row>
    <row r="922" spans="2:32">
      <c r="B922" s="5">
        <f t="shared" si="121"/>
        <v>910</v>
      </c>
      <c r="C922" s="5"/>
      <c r="E922" s="13"/>
      <c r="F922" s="5"/>
      <c r="G922" s="11" t="str">
        <f>IF(ISERROR(AVERAGE(F$13:F922)),"n/a",AVERAGE(F$13:F922))</f>
        <v>n/a</v>
      </c>
      <c r="H922" s="11" t="str">
        <f t="shared" si="117"/>
        <v>n/a</v>
      </c>
      <c r="J922" s="5"/>
      <c r="K922" s="5"/>
      <c r="L922" s="5"/>
      <c r="M922" s="5"/>
      <c r="N922" s="5"/>
      <c r="O922" s="8" t="str">
        <f t="shared" si="115"/>
        <v>n/a</v>
      </c>
      <c r="Q922" s="5"/>
      <c r="R922" s="5"/>
      <c r="S922" s="5"/>
      <c r="U922" s="6"/>
      <c r="V922" s="9" t="str">
        <f t="shared" si="118"/>
        <v/>
      </c>
      <c r="W922" s="9" t="str">
        <f t="shared" si="119"/>
        <v/>
      </c>
      <c r="X922" s="10">
        <f>SUM(V$13:V922)/COUNTA(B$13:B922)</f>
        <v>0</v>
      </c>
      <c r="Z922" s="5"/>
      <c r="AA922" s="5"/>
      <c r="AC922" s="7"/>
      <c r="AE922" s="54" t="e">
        <f t="shared" si="120"/>
        <v>#N/A</v>
      </c>
      <c r="AF922" s="4" t="e">
        <f t="shared" si="116"/>
        <v>#N/A</v>
      </c>
    </row>
    <row r="923" spans="2:32">
      <c r="B923" s="5">
        <f t="shared" si="121"/>
        <v>911</v>
      </c>
      <c r="C923" s="5"/>
      <c r="E923" s="13"/>
      <c r="F923" s="5"/>
      <c r="G923" s="11" t="str">
        <f>IF(ISERROR(AVERAGE(F$13:F923)),"n/a",AVERAGE(F$13:F923))</f>
        <v>n/a</v>
      </c>
      <c r="H923" s="11" t="str">
        <f t="shared" si="117"/>
        <v>n/a</v>
      </c>
      <c r="J923" s="5"/>
      <c r="K923" s="5"/>
      <c r="L923" s="5"/>
      <c r="M923" s="5"/>
      <c r="N923" s="5"/>
      <c r="O923" s="8" t="str">
        <f t="shared" si="115"/>
        <v>n/a</v>
      </c>
      <c r="Q923" s="5"/>
      <c r="R923" s="5"/>
      <c r="S923" s="5"/>
      <c r="U923" s="6"/>
      <c r="V923" s="9" t="str">
        <f t="shared" si="118"/>
        <v/>
      </c>
      <c r="W923" s="9" t="str">
        <f t="shared" si="119"/>
        <v/>
      </c>
      <c r="X923" s="10">
        <f>SUM(V$13:V923)/COUNTA(B$13:B923)</f>
        <v>0</v>
      </c>
      <c r="Z923" s="5"/>
      <c r="AA923" s="5"/>
      <c r="AC923" s="7"/>
      <c r="AE923" s="54" t="e">
        <f t="shared" si="120"/>
        <v>#N/A</v>
      </c>
      <c r="AF923" s="4" t="e">
        <f t="shared" si="116"/>
        <v>#N/A</v>
      </c>
    </row>
    <row r="924" spans="2:32">
      <c r="B924" s="5">
        <f t="shared" si="121"/>
        <v>912</v>
      </c>
      <c r="C924" s="5"/>
      <c r="E924" s="13"/>
      <c r="F924" s="5"/>
      <c r="G924" s="11" t="str">
        <f>IF(ISERROR(AVERAGE(F$13:F924)),"n/a",AVERAGE(F$13:F924))</f>
        <v>n/a</v>
      </c>
      <c r="H924" s="11" t="str">
        <f t="shared" si="117"/>
        <v>n/a</v>
      </c>
      <c r="J924" s="5"/>
      <c r="K924" s="5"/>
      <c r="L924" s="5"/>
      <c r="M924" s="5"/>
      <c r="N924" s="5"/>
      <c r="O924" s="8" t="str">
        <f t="shared" si="115"/>
        <v>n/a</v>
      </c>
      <c r="Q924" s="5"/>
      <c r="R924" s="5"/>
      <c r="S924" s="5"/>
      <c r="U924" s="6"/>
      <c r="V924" s="9" t="str">
        <f t="shared" si="118"/>
        <v/>
      </c>
      <c r="W924" s="9" t="str">
        <f t="shared" si="119"/>
        <v/>
      </c>
      <c r="X924" s="10">
        <f>SUM(V$13:V924)/COUNTA(B$13:B924)</f>
        <v>0</v>
      </c>
      <c r="Z924" s="5"/>
      <c r="AA924" s="5"/>
      <c r="AC924" s="7"/>
      <c r="AE924" s="54" t="e">
        <f t="shared" si="120"/>
        <v>#N/A</v>
      </c>
      <c r="AF924" s="4" t="e">
        <f t="shared" si="116"/>
        <v>#N/A</v>
      </c>
    </row>
    <row r="925" spans="2:32">
      <c r="B925" s="5">
        <f t="shared" si="121"/>
        <v>913</v>
      </c>
      <c r="C925" s="5"/>
      <c r="E925" s="13"/>
      <c r="F925" s="5"/>
      <c r="G925" s="11" t="str">
        <f>IF(ISERROR(AVERAGE(F$13:F925)),"n/a",AVERAGE(F$13:F925))</f>
        <v>n/a</v>
      </c>
      <c r="H925" s="11" t="str">
        <f t="shared" si="117"/>
        <v>n/a</v>
      </c>
      <c r="J925" s="5"/>
      <c r="K925" s="5"/>
      <c r="L925" s="5"/>
      <c r="M925" s="5"/>
      <c r="N925" s="5"/>
      <c r="O925" s="8" t="str">
        <f t="shared" si="115"/>
        <v>n/a</v>
      </c>
      <c r="Q925" s="5"/>
      <c r="R925" s="5"/>
      <c r="S925" s="5"/>
      <c r="U925" s="6"/>
      <c r="V925" s="9" t="str">
        <f t="shared" si="118"/>
        <v/>
      </c>
      <c r="W925" s="9" t="str">
        <f t="shared" si="119"/>
        <v/>
      </c>
      <c r="X925" s="10">
        <f>SUM(V$13:V925)/COUNTA(B$13:B925)</f>
        <v>0</v>
      </c>
      <c r="Z925" s="5"/>
      <c r="AA925" s="5"/>
      <c r="AC925" s="7"/>
      <c r="AE925" s="54" t="e">
        <f t="shared" si="120"/>
        <v>#N/A</v>
      </c>
      <c r="AF925" s="4" t="e">
        <f t="shared" si="116"/>
        <v>#N/A</v>
      </c>
    </row>
    <row r="926" spans="2:32">
      <c r="B926" s="5">
        <f t="shared" si="121"/>
        <v>914</v>
      </c>
      <c r="C926" s="5"/>
      <c r="E926" s="13"/>
      <c r="F926" s="5"/>
      <c r="G926" s="11" t="str">
        <f>IF(ISERROR(AVERAGE(F$13:F926)),"n/a",AVERAGE(F$13:F926))</f>
        <v>n/a</v>
      </c>
      <c r="H926" s="11" t="str">
        <f t="shared" si="117"/>
        <v>n/a</v>
      </c>
      <c r="J926" s="5"/>
      <c r="K926" s="5"/>
      <c r="L926" s="5"/>
      <c r="M926" s="5"/>
      <c r="N926" s="5"/>
      <c r="O926" s="8" t="str">
        <f t="shared" si="115"/>
        <v>n/a</v>
      </c>
      <c r="Q926" s="5"/>
      <c r="R926" s="5"/>
      <c r="S926" s="5"/>
      <c r="U926" s="6"/>
      <c r="V926" s="9" t="str">
        <f t="shared" si="118"/>
        <v/>
      </c>
      <c r="W926" s="9" t="str">
        <f t="shared" si="119"/>
        <v/>
      </c>
      <c r="X926" s="10">
        <f>SUM(V$13:V926)/COUNTA(B$13:B926)</f>
        <v>0</v>
      </c>
      <c r="Z926" s="5"/>
      <c r="AA926" s="5"/>
      <c r="AC926" s="7"/>
      <c r="AE926" s="54" t="e">
        <f t="shared" si="120"/>
        <v>#N/A</v>
      </c>
      <c r="AF926" s="4" t="e">
        <f t="shared" si="116"/>
        <v>#N/A</v>
      </c>
    </row>
    <row r="927" spans="2:32">
      <c r="B927" s="5">
        <f t="shared" si="121"/>
        <v>915</v>
      </c>
      <c r="C927" s="5"/>
      <c r="E927" s="13"/>
      <c r="F927" s="5"/>
      <c r="G927" s="11" t="str">
        <f>IF(ISERROR(AVERAGE(F$13:F927)),"n/a",AVERAGE(F$13:F927))</f>
        <v>n/a</v>
      </c>
      <c r="H927" s="11" t="str">
        <f t="shared" si="117"/>
        <v>n/a</v>
      </c>
      <c r="J927" s="5"/>
      <c r="K927" s="5"/>
      <c r="L927" s="5"/>
      <c r="M927" s="5"/>
      <c r="N927" s="5"/>
      <c r="O927" s="8" t="str">
        <f t="shared" si="115"/>
        <v>n/a</v>
      </c>
      <c r="Q927" s="5"/>
      <c r="R927" s="5"/>
      <c r="S927" s="5"/>
      <c r="U927" s="6"/>
      <c r="V927" s="9" t="str">
        <f t="shared" si="118"/>
        <v/>
      </c>
      <c r="W927" s="9" t="str">
        <f t="shared" si="119"/>
        <v/>
      </c>
      <c r="X927" s="10">
        <f>SUM(V$13:V927)/COUNTA(B$13:B927)</f>
        <v>0</v>
      </c>
      <c r="Z927" s="5"/>
      <c r="AA927" s="5"/>
      <c r="AC927" s="7"/>
      <c r="AE927" s="54" t="e">
        <f t="shared" si="120"/>
        <v>#N/A</v>
      </c>
      <c r="AF927" s="4" t="e">
        <f t="shared" si="116"/>
        <v>#N/A</v>
      </c>
    </row>
    <row r="928" spans="2:32">
      <c r="B928" s="5">
        <f t="shared" si="121"/>
        <v>916</v>
      </c>
      <c r="C928" s="5"/>
      <c r="E928" s="13"/>
      <c r="F928" s="5"/>
      <c r="G928" s="11" t="str">
        <f>IF(ISERROR(AVERAGE(F$13:F928)),"n/a",AVERAGE(F$13:F928))</f>
        <v>n/a</v>
      </c>
      <c r="H928" s="11" t="str">
        <f t="shared" si="117"/>
        <v>n/a</v>
      </c>
      <c r="J928" s="5"/>
      <c r="K928" s="5"/>
      <c r="L928" s="5"/>
      <c r="M928" s="5"/>
      <c r="N928" s="5"/>
      <c r="O928" s="8" t="str">
        <f t="shared" si="115"/>
        <v>n/a</v>
      </c>
      <c r="Q928" s="5"/>
      <c r="R928" s="5"/>
      <c r="S928" s="5"/>
      <c r="U928" s="6"/>
      <c r="V928" s="9" t="str">
        <f t="shared" si="118"/>
        <v/>
      </c>
      <c r="W928" s="9" t="str">
        <f t="shared" si="119"/>
        <v/>
      </c>
      <c r="X928" s="10">
        <f>SUM(V$13:V928)/COUNTA(B$13:B928)</f>
        <v>0</v>
      </c>
      <c r="Z928" s="5"/>
      <c r="AA928" s="5"/>
      <c r="AC928" s="7"/>
      <c r="AE928" s="54" t="e">
        <f t="shared" si="120"/>
        <v>#N/A</v>
      </c>
      <c r="AF928" s="4" t="e">
        <f t="shared" si="116"/>
        <v>#N/A</v>
      </c>
    </row>
    <row r="929" spans="2:32">
      <c r="B929" s="5">
        <f t="shared" si="121"/>
        <v>917</v>
      </c>
      <c r="C929" s="5"/>
      <c r="E929" s="13"/>
      <c r="F929" s="5"/>
      <c r="G929" s="11" t="str">
        <f>IF(ISERROR(AVERAGE(F$13:F929)),"n/a",AVERAGE(F$13:F929))</f>
        <v>n/a</v>
      </c>
      <c r="H929" s="11" t="str">
        <f t="shared" si="117"/>
        <v>n/a</v>
      </c>
      <c r="J929" s="5"/>
      <c r="K929" s="5"/>
      <c r="L929" s="5"/>
      <c r="M929" s="5"/>
      <c r="N929" s="5"/>
      <c r="O929" s="8" t="str">
        <f t="shared" si="115"/>
        <v>n/a</v>
      </c>
      <c r="Q929" s="5"/>
      <c r="R929" s="5"/>
      <c r="S929" s="5"/>
      <c r="U929" s="6"/>
      <c r="V929" s="9" t="str">
        <f t="shared" si="118"/>
        <v/>
      </c>
      <c r="W929" s="9" t="str">
        <f t="shared" si="119"/>
        <v/>
      </c>
      <c r="X929" s="10">
        <f>SUM(V$13:V929)/COUNTA(B$13:B929)</f>
        <v>0</v>
      </c>
      <c r="Z929" s="5"/>
      <c r="AA929" s="5"/>
      <c r="AC929" s="7"/>
      <c r="AE929" s="54" t="e">
        <f t="shared" si="120"/>
        <v>#N/A</v>
      </c>
      <c r="AF929" s="4" t="e">
        <f t="shared" si="116"/>
        <v>#N/A</v>
      </c>
    </row>
    <row r="930" spans="2:32">
      <c r="B930" s="5">
        <f t="shared" si="121"/>
        <v>918</v>
      </c>
      <c r="C930" s="5"/>
      <c r="E930" s="13"/>
      <c r="F930" s="5"/>
      <c r="G930" s="11" t="str">
        <f>IF(ISERROR(AVERAGE(F$13:F930)),"n/a",AVERAGE(F$13:F930))</f>
        <v>n/a</v>
      </c>
      <c r="H930" s="11" t="str">
        <f t="shared" si="117"/>
        <v>n/a</v>
      </c>
      <c r="J930" s="5"/>
      <c r="K930" s="5"/>
      <c r="L930" s="5"/>
      <c r="M930" s="5"/>
      <c r="N930" s="5"/>
      <c r="O930" s="8" t="str">
        <f t="shared" si="115"/>
        <v>n/a</v>
      </c>
      <c r="Q930" s="5"/>
      <c r="R930" s="5"/>
      <c r="S930" s="5"/>
      <c r="U930" s="6"/>
      <c r="V930" s="9" t="str">
        <f t="shared" si="118"/>
        <v/>
      </c>
      <c r="W930" s="9" t="str">
        <f t="shared" si="119"/>
        <v/>
      </c>
      <c r="X930" s="10">
        <f>SUM(V$13:V930)/COUNTA(B$13:B930)</f>
        <v>0</v>
      </c>
      <c r="Z930" s="5"/>
      <c r="AA930" s="5"/>
      <c r="AC930" s="7"/>
      <c r="AE930" s="54" t="e">
        <f t="shared" si="120"/>
        <v>#N/A</v>
      </c>
      <c r="AF930" s="4" t="e">
        <f t="shared" si="116"/>
        <v>#N/A</v>
      </c>
    </row>
    <row r="931" spans="2:32">
      <c r="B931" s="5">
        <f t="shared" si="121"/>
        <v>919</v>
      </c>
      <c r="C931" s="5"/>
      <c r="E931" s="13"/>
      <c r="F931" s="5"/>
      <c r="G931" s="11" t="str">
        <f>IF(ISERROR(AVERAGE(F$13:F931)),"n/a",AVERAGE(F$13:F931))</f>
        <v>n/a</v>
      </c>
      <c r="H931" s="11" t="str">
        <f t="shared" si="117"/>
        <v>n/a</v>
      </c>
      <c r="J931" s="5"/>
      <c r="K931" s="5"/>
      <c r="L931" s="5"/>
      <c r="M931" s="5"/>
      <c r="N931" s="5"/>
      <c r="O931" s="8" t="str">
        <f t="shared" si="115"/>
        <v>n/a</v>
      </c>
      <c r="Q931" s="5"/>
      <c r="R931" s="5"/>
      <c r="S931" s="5"/>
      <c r="U931" s="6"/>
      <c r="V931" s="9" t="str">
        <f t="shared" si="118"/>
        <v/>
      </c>
      <c r="W931" s="9" t="str">
        <f t="shared" si="119"/>
        <v/>
      </c>
      <c r="X931" s="10">
        <f>SUM(V$13:V931)/COUNTA(B$13:B931)</f>
        <v>0</v>
      </c>
      <c r="Z931" s="5"/>
      <c r="AA931" s="5"/>
      <c r="AC931" s="7"/>
      <c r="AE931" s="54" t="e">
        <f t="shared" si="120"/>
        <v>#N/A</v>
      </c>
      <c r="AF931" s="4" t="e">
        <f t="shared" si="116"/>
        <v>#N/A</v>
      </c>
    </row>
    <row r="932" spans="2:32">
      <c r="B932" s="5">
        <f t="shared" si="121"/>
        <v>920</v>
      </c>
      <c r="C932" s="5"/>
      <c r="E932" s="13"/>
      <c r="F932" s="5"/>
      <c r="G932" s="11" t="str">
        <f>IF(ISERROR(AVERAGE(F$13:F932)),"n/a",AVERAGE(F$13:F932))</f>
        <v>n/a</v>
      </c>
      <c r="H932" s="11" t="str">
        <f t="shared" si="117"/>
        <v>n/a</v>
      </c>
      <c r="J932" s="5"/>
      <c r="K932" s="5"/>
      <c r="L932" s="5"/>
      <c r="M932" s="5"/>
      <c r="N932" s="5"/>
      <c r="O932" s="8" t="str">
        <f t="shared" si="115"/>
        <v>n/a</v>
      </c>
      <c r="Q932" s="5"/>
      <c r="R932" s="5"/>
      <c r="S932" s="5"/>
      <c r="U932" s="6"/>
      <c r="V932" s="9" t="str">
        <f t="shared" si="118"/>
        <v/>
      </c>
      <c r="W932" s="9" t="str">
        <f t="shared" si="119"/>
        <v/>
      </c>
      <c r="X932" s="10">
        <f>SUM(V$13:V932)/COUNTA(B$13:B932)</f>
        <v>0</v>
      </c>
      <c r="Z932" s="5"/>
      <c r="AA932" s="5"/>
      <c r="AC932" s="7"/>
      <c r="AE932" s="54" t="e">
        <f t="shared" si="120"/>
        <v>#N/A</v>
      </c>
      <c r="AF932" s="4" t="e">
        <f t="shared" si="116"/>
        <v>#N/A</v>
      </c>
    </row>
    <row r="933" spans="2:32">
      <c r="B933" s="5">
        <f t="shared" si="121"/>
        <v>921</v>
      </c>
      <c r="C933" s="5"/>
      <c r="E933" s="13"/>
      <c r="F933" s="5"/>
      <c r="G933" s="11" t="str">
        <f>IF(ISERROR(AVERAGE(F$13:F933)),"n/a",AVERAGE(F$13:F933))</f>
        <v>n/a</v>
      </c>
      <c r="H933" s="11" t="str">
        <f t="shared" si="117"/>
        <v>n/a</v>
      </c>
      <c r="J933" s="5"/>
      <c r="K933" s="5"/>
      <c r="L933" s="5"/>
      <c r="M933" s="5"/>
      <c r="N933" s="5"/>
      <c r="O933" s="8" t="str">
        <f t="shared" si="115"/>
        <v>n/a</v>
      </c>
      <c r="Q933" s="5"/>
      <c r="R933" s="5"/>
      <c r="S933" s="5"/>
      <c r="U933" s="6"/>
      <c r="V933" s="9" t="str">
        <f t="shared" si="118"/>
        <v/>
      </c>
      <c r="W933" s="9" t="str">
        <f t="shared" si="119"/>
        <v/>
      </c>
      <c r="X933" s="10">
        <f>SUM(V$13:V933)/COUNTA(B$13:B933)</f>
        <v>0</v>
      </c>
      <c r="Z933" s="5"/>
      <c r="AA933" s="5"/>
      <c r="AC933" s="7"/>
      <c r="AE933" s="54" t="e">
        <f t="shared" si="120"/>
        <v>#N/A</v>
      </c>
      <c r="AF933" s="4" t="e">
        <f t="shared" si="116"/>
        <v>#N/A</v>
      </c>
    </row>
    <row r="934" spans="2:32">
      <c r="B934" s="5">
        <f t="shared" si="121"/>
        <v>922</v>
      </c>
      <c r="C934" s="5"/>
      <c r="E934" s="13"/>
      <c r="F934" s="5"/>
      <c r="G934" s="11" t="str">
        <f>IF(ISERROR(AVERAGE(F$13:F934)),"n/a",AVERAGE(F$13:F934))</f>
        <v>n/a</v>
      </c>
      <c r="H934" s="11" t="str">
        <f t="shared" si="117"/>
        <v>n/a</v>
      </c>
      <c r="J934" s="5"/>
      <c r="K934" s="5"/>
      <c r="L934" s="5"/>
      <c r="M934" s="5"/>
      <c r="N934" s="5"/>
      <c r="O934" s="8" t="str">
        <f t="shared" si="115"/>
        <v>n/a</v>
      </c>
      <c r="Q934" s="5"/>
      <c r="R934" s="5"/>
      <c r="S934" s="5"/>
      <c r="U934" s="6"/>
      <c r="V934" s="9" t="str">
        <f t="shared" si="118"/>
        <v/>
      </c>
      <c r="W934" s="9" t="str">
        <f t="shared" si="119"/>
        <v/>
      </c>
      <c r="X934" s="10">
        <f>SUM(V$13:V934)/COUNTA(B$13:B934)</f>
        <v>0</v>
      </c>
      <c r="Z934" s="5"/>
      <c r="AA934" s="5"/>
      <c r="AC934" s="7"/>
      <c r="AE934" s="54" t="e">
        <f t="shared" si="120"/>
        <v>#N/A</v>
      </c>
      <c r="AF934" s="4" t="e">
        <f t="shared" si="116"/>
        <v>#N/A</v>
      </c>
    </row>
    <row r="935" spans="2:32">
      <c r="B935" s="5">
        <f t="shared" si="121"/>
        <v>923</v>
      </c>
      <c r="C935" s="5"/>
      <c r="E935" s="13"/>
      <c r="F935" s="5"/>
      <c r="G935" s="11" t="str">
        <f>IF(ISERROR(AVERAGE(F$13:F935)),"n/a",AVERAGE(F$13:F935))</f>
        <v>n/a</v>
      </c>
      <c r="H935" s="11" t="str">
        <f t="shared" si="117"/>
        <v>n/a</v>
      </c>
      <c r="J935" s="5"/>
      <c r="K935" s="5"/>
      <c r="L935" s="5"/>
      <c r="M935" s="5"/>
      <c r="N935" s="5"/>
      <c r="O935" s="8" t="str">
        <f t="shared" si="115"/>
        <v>n/a</v>
      </c>
      <c r="Q935" s="5"/>
      <c r="R935" s="5"/>
      <c r="S935" s="5"/>
      <c r="U935" s="6"/>
      <c r="V935" s="9" t="str">
        <f t="shared" si="118"/>
        <v/>
      </c>
      <c r="W935" s="9" t="str">
        <f t="shared" si="119"/>
        <v/>
      </c>
      <c r="X935" s="10">
        <f>SUM(V$13:V935)/COUNTA(B$13:B935)</f>
        <v>0</v>
      </c>
      <c r="Z935" s="5"/>
      <c r="AA935" s="5"/>
      <c r="AC935" s="7"/>
      <c r="AE935" s="54" t="e">
        <f t="shared" si="120"/>
        <v>#N/A</v>
      </c>
      <c r="AF935" s="4" t="e">
        <f t="shared" si="116"/>
        <v>#N/A</v>
      </c>
    </row>
    <row r="936" spans="2:32">
      <c r="B936" s="5">
        <f t="shared" si="121"/>
        <v>924</v>
      </c>
      <c r="C936" s="5"/>
      <c r="E936" s="13"/>
      <c r="F936" s="5"/>
      <c r="G936" s="11" t="str">
        <f>IF(ISERROR(AVERAGE(F$13:F936)),"n/a",AVERAGE(F$13:F936))</f>
        <v>n/a</v>
      </c>
      <c r="H936" s="11" t="str">
        <f t="shared" si="117"/>
        <v>n/a</v>
      </c>
      <c r="J936" s="5"/>
      <c r="K936" s="5"/>
      <c r="L936" s="5"/>
      <c r="M936" s="5"/>
      <c r="N936" s="5"/>
      <c r="O936" s="8" t="str">
        <f t="shared" si="115"/>
        <v>n/a</v>
      </c>
      <c r="Q936" s="5"/>
      <c r="R936" s="5"/>
      <c r="S936" s="5"/>
      <c r="U936" s="6"/>
      <c r="V936" s="9" t="str">
        <f t="shared" si="118"/>
        <v/>
      </c>
      <c r="W936" s="9" t="str">
        <f t="shared" si="119"/>
        <v/>
      </c>
      <c r="X936" s="10">
        <f>SUM(V$13:V936)/COUNTA(B$13:B936)</f>
        <v>0</v>
      </c>
      <c r="Z936" s="5"/>
      <c r="AA936" s="5"/>
      <c r="AC936" s="7"/>
      <c r="AE936" s="54" t="e">
        <f t="shared" si="120"/>
        <v>#N/A</v>
      </c>
      <c r="AF936" s="4" t="e">
        <f t="shared" si="116"/>
        <v>#N/A</v>
      </c>
    </row>
    <row r="937" spans="2:32">
      <c r="B937" s="5">
        <f t="shared" si="121"/>
        <v>925</v>
      </c>
      <c r="C937" s="5"/>
      <c r="E937" s="13"/>
      <c r="F937" s="5"/>
      <c r="G937" s="11" t="str">
        <f>IF(ISERROR(AVERAGE(F$13:F937)),"n/a",AVERAGE(F$13:F937))</f>
        <v>n/a</v>
      </c>
      <c r="H937" s="11" t="str">
        <f t="shared" si="117"/>
        <v>n/a</v>
      </c>
      <c r="J937" s="5"/>
      <c r="K937" s="5"/>
      <c r="L937" s="5"/>
      <c r="M937" s="5"/>
      <c r="N937" s="5"/>
      <c r="O937" s="8" t="str">
        <f t="shared" si="115"/>
        <v>n/a</v>
      </c>
      <c r="Q937" s="5"/>
      <c r="R937" s="5"/>
      <c r="S937" s="5"/>
      <c r="U937" s="6"/>
      <c r="V937" s="9" t="str">
        <f t="shared" si="118"/>
        <v/>
      </c>
      <c r="W937" s="9" t="str">
        <f t="shared" si="119"/>
        <v/>
      </c>
      <c r="X937" s="10">
        <f>SUM(V$13:V937)/COUNTA(B$13:B937)</f>
        <v>0</v>
      </c>
      <c r="Z937" s="5"/>
      <c r="AA937" s="5"/>
      <c r="AC937" s="7"/>
      <c r="AE937" s="54" t="e">
        <f t="shared" si="120"/>
        <v>#N/A</v>
      </c>
      <c r="AF937" s="4" t="e">
        <f t="shared" si="116"/>
        <v>#N/A</v>
      </c>
    </row>
    <row r="938" spans="2:32">
      <c r="B938" s="5">
        <f t="shared" si="121"/>
        <v>926</v>
      </c>
      <c r="C938" s="5"/>
      <c r="E938" s="13"/>
      <c r="F938" s="5"/>
      <c r="G938" s="11" t="str">
        <f>IF(ISERROR(AVERAGE(F$13:F938)),"n/a",AVERAGE(F$13:F938))</f>
        <v>n/a</v>
      </c>
      <c r="H938" s="11" t="str">
        <f t="shared" si="117"/>
        <v>n/a</v>
      </c>
      <c r="J938" s="5"/>
      <c r="K938" s="5"/>
      <c r="L938" s="5"/>
      <c r="M938" s="5"/>
      <c r="N938" s="5"/>
      <c r="O938" s="8" t="str">
        <f t="shared" si="115"/>
        <v>n/a</v>
      </c>
      <c r="Q938" s="5"/>
      <c r="R938" s="5"/>
      <c r="S938" s="5"/>
      <c r="U938" s="6"/>
      <c r="V938" s="9" t="str">
        <f t="shared" si="118"/>
        <v/>
      </c>
      <c r="W938" s="9" t="str">
        <f t="shared" si="119"/>
        <v/>
      </c>
      <c r="X938" s="10">
        <f>SUM(V$13:V938)/COUNTA(B$13:B938)</f>
        <v>0</v>
      </c>
      <c r="Z938" s="5"/>
      <c r="AA938" s="5"/>
      <c r="AC938" s="7"/>
      <c r="AE938" s="54" t="e">
        <f t="shared" si="120"/>
        <v>#N/A</v>
      </c>
      <c r="AF938" s="4" t="e">
        <f t="shared" si="116"/>
        <v>#N/A</v>
      </c>
    </row>
    <row r="939" spans="2:32">
      <c r="B939" s="5">
        <f t="shared" si="121"/>
        <v>927</v>
      </c>
      <c r="C939" s="5"/>
      <c r="E939" s="13"/>
      <c r="F939" s="5"/>
      <c r="G939" s="11" t="str">
        <f>IF(ISERROR(AVERAGE(F$13:F939)),"n/a",AVERAGE(F$13:F939))</f>
        <v>n/a</v>
      </c>
      <c r="H939" s="11" t="str">
        <f t="shared" si="117"/>
        <v>n/a</v>
      </c>
      <c r="J939" s="5"/>
      <c r="K939" s="5"/>
      <c r="L939" s="5"/>
      <c r="M939" s="5"/>
      <c r="N939" s="5"/>
      <c r="O939" s="8" t="str">
        <f t="shared" si="115"/>
        <v>n/a</v>
      </c>
      <c r="Q939" s="5"/>
      <c r="R939" s="5"/>
      <c r="S939" s="5"/>
      <c r="U939" s="6"/>
      <c r="V939" s="9" t="str">
        <f t="shared" si="118"/>
        <v/>
      </c>
      <c r="W939" s="9" t="str">
        <f t="shared" si="119"/>
        <v/>
      </c>
      <c r="X939" s="10">
        <f>SUM(V$13:V939)/COUNTA(B$13:B939)</f>
        <v>0</v>
      </c>
      <c r="Z939" s="5"/>
      <c r="AA939" s="5"/>
      <c r="AC939" s="7"/>
      <c r="AE939" s="54" t="e">
        <f t="shared" si="120"/>
        <v>#N/A</v>
      </c>
      <c r="AF939" s="4" t="e">
        <f t="shared" si="116"/>
        <v>#N/A</v>
      </c>
    </row>
    <row r="940" spans="2:32">
      <c r="B940" s="5">
        <f t="shared" si="121"/>
        <v>928</v>
      </c>
      <c r="C940" s="5"/>
      <c r="E940" s="13"/>
      <c r="F940" s="5"/>
      <c r="G940" s="11" t="str">
        <f>IF(ISERROR(AVERAGE(F$13:F940)),"n/a",AVERAGE(F$13:F940))</f>
        <v>n/a</v>
      </c>
      <c r="H940" s="11" t="str">
        <f t="shared" si="117"/>
        <v>n/a</v>
      </c>
      <c r="J940" s="5"/>
      <c r="K940" s="5"/>
      <c r="L940" s="5"/>
      <c r="M940" s="5"/>
      <c r="N940" s="5"/>
      <c r="O940" s="8" t="str">
        <f t="shared" si="115"/>
        <v>n/a</v>
      </c>
      <c r="Q940" s="5"/>
      <c r="R940" s="5"/>
      <c r="S940" s="5"/>
      <c r="U940" s="6"/>
      <c r="V940" s="9" t="str">
        <f t="shared" si="118"/>
        <v/>
      </c>
      <c r="W940" s="9" t="str">
        <f t="shared" si="119"/>
        <v/>
      </c>
      <c r="X940" s="10">
        <f>SUM(V$13:V940)/COUNTA(B$13:B940)</f>
        <v>0</v>
      </c>
      <c r="Z940" s="5"/>
      <c r="AA940" s="5"/>
      <c r="AC940" s="7"/>
      <c r="AE940" s="54" t="e">
        <f t="shared" si="120"/>
        <v>#N/A</v>
      </c>
      <c r="AF940" s="4" t="e">
        <f t="shared" si="116"/>
        <v>#N/A</v>
      </c>
    </row>
    <row r="941" spans="2:32">
      <c r="B941" s="5">
        <f t="shared" si="121"/>
        <v>929</v>
      </c>
      <c r="C941" s="5"/>
      <c r="E941" s="13"/>
      <c r="F941" s="5"/>
      <c r="G941" s="11" t="str">
        <f>IF(ISERROR(AVERAGE(F$13:F941)),"n/a",AVERAGE(F$13:F941))</f>
        <v>n/a</v>
      </c>
      <c r="H941" s="11" t="str">
        <f t="shared" si="117"/>
        <v>n/a</v>
      </c>
      <c r="J941" s="5"/>
      <c r="K941" s="5"/>
      <c r="L941" s="5"/>
      <c r="M941" s="5"/>
      <c r="N941" s="5"/>
      <c r="O941" s="8" t="str">
        <f t="shared" si="115"/>
        <v>n/a</v>
      </c>
      <c r="Q941" s="5"/>
      <c r="R941" s="5"/>
      <c r="S941" s="5"/>
      <c r="U941" s="6"/>
      <c r="V941" s="9" t="str">
        <f t="shared" si="118"/>
        <v/>
      </c>
      <c r="W941" s="9" t="str">
        <f t="shared" si="119"/>
        <v/>
      </c>
      <c r="X941" s="10">
        <f>SUM(V$13:V941)/COUNTA(B$13:B941)</f>
        <v>0</v>
      </c>
      <c r="Z941" s="5"/>
      <c r="AA941" s="5"/>
      <c r="AC941" s="7"/>
      <c r="AE941" s="54" t="e">
        <f t="shared" si="120"/>
        <v>#N/A</v>
      </c>
      <c r="AF941" s="4" t="e">
        <f t="shared" si="116"/>
        <v>#N/A</v>
      </c>
    </row>
    <row r="942" spans="2:32">
      <c r="B942" s="5">
        <f t="shared" si="121"/>
        <v>930</v>
      </c>
      <c r="C942" s="5"/>
      <c r="E942" s="13"/>
      <c r="F942" s="5"/>
      <c r="G942" s="11" t="str">
        <f>IF(ISERROR(AVERAGE(F$13:F942)),"n/a",AVERAGE(F$13:F942))</f>
        <v>n/a</v>
      </c>
      <c r="H942" s="11" t="str">
        <f t="shared" si="117"/>
        <v>n/a</v>
      </c>
      <c r="J942" s="5"/>
      <c r="K942" s="5"/>
      <c r="L942" s="5"/>
      <c r="M942" s="5"/>
      <c r="N942" s="5"/>
      <c r="O942" s="8" t="str">
        <f t="shared" si="115"/>
        <v>n/a</v>
      </c>
      <c r="Q942" s="5"/>
      <c r="R942" s="5"/>
      <c r="S942" s="5"/>
      <c r="U942" s="6"/>
      <c r="V942" s="9" t="str">
        <f t="shared" si="118"/>
        <v/>
      </c>
      <c r="W942" s="9" t="str">
        <f t="shared" si="119"/>
        <v/>
      </c>
      <c r="X942" s="10">
        <f>SUM(V$13:V942)/COUNTA(B$13:B942)</f>
        <v>0</v>
      </c>
      <c r="Z942" s="5"/>
      <c r="AA942" s="5"/>
      <c r="AC942" s="7"/>
      <c r="AE942" s="54" t="e">
        <f t="shared" si="120"/>
        <v>#N/A</v>
      </c>
      <c r="AF942" s="4" t="e">
        <f t="shared" si="116"/>
        <v>#N/A</v>
      </c>
    </row>
    <row r="943" spans="2:32">
      <c r="B943" s="5">
        <f t="shared" si="121"/>
        <v>931</v>
      </c>
      <c r="C943" s="5"/>
      <c r="E943" s="13"/>
      <c r="F943" s="5"/>
      <c r="G943" s="11" t="str">
        <f>IF(ISERROR(AVERAGE(F$13:F943)),"n/a",AVERAGE(F$13:F943))</f>
        <v>n/a</v>
      </c>
      <c r="H943" s="11" t="str">
        <f t="shared" si="117"/>
        <v>n/a</v>
      </c>
      <c r="J943" s="5"/>
      <c r="K943" s="5"/>
      <c r="L943" s="5"/>
      <c r="M943" s="5"/>
      <c r="N943" s="5"/>
      <c r="O943" s="8" t="str">
        <f t="shared" si="115"/>
        <v>n/a</v>
      </c>
      <c r="Q943" s="5"/>
      <c r="R943" s="5"/>
      <c r="S943" s="5"/>
      <c r="U943" s="6"/>
      <c r="V943" s="9" t="str">
        <f t="shared" si="118"/>
        <v/>
      </c>
      <c r="W943" s="9" t="str">
        <f t="shared" si="119"/>
        <v/>
      </c>
      <c r="X943" s="10">
        <f>SUM(V$13:V943)/COUNTA(B$13:B943)</f>
        <v>0</v>
      </c>
      <c r="Z943" s="5"/>
      <c r="AA943" s="5"/>
      <c r="AC943" s="7"/>
      <c r="AE943" s="54" t="e">
        <f t="shared" si="120"/>
        <v>#N/A</v>
      </c>
      <c r="AF943" s="4" t="e">
        <f t="shared" si="116"/>
        <v>#N/A</v>
      </c>
    </row>
    <row r="944" spans="2:32">
      <c r="B944" s="5">
        <f t="shared" si="121"/>
        <v>932</v>
      </c>
      <c r="C944" s="5"/>
      <c r="E944" s="13"/>
      <c r="F944" s="5"/>
      <c r="G944" s="11" t="str">
        <f>IF(ISERROR(AVERAGE(F$13:F944)),"n/a",AVERAGE(F$13:F944))</f>
        <v>n/a</v>
      </c>
      <c r="H944" s="11" t="str">
        <f t="shared" si="117"/>
        <v>n/a</v>
      </c>
      <c r="J944" s="5"/>
      <c r="K944" s="5"/>
      <c r="L944" s="5"/>
      <c r="M944" s="5"/>
      <c r="N944" s="5"/>
      <c r="O944" s="8" t="str">
        <f t="shared" si="115"/>
        <v>n/a</v>
      </c>
      <c r="Q944" s="5"/>
      <c r="R944" s="5"/>
      <c r="S944" s="5"/>
      <c r="U944" s="6"/>
      <c r="V944" s="9" t="str">
        <f t="shared" si="118"/>
        <v/>
      </c>
      <c r="W944" s="9" t="str">
        <f t="shared" si="119"/>
        <v/>
      </c>
      <c r="X944" s="10">
        <f>SUM(V$13:V944)/COUNTA(B$13:B944)</f>
        <v>0</v>
      </c>
      <c r="Z944" s="5"/>
      <c r="AA944" s="5"/>
      <c r="AC944" s="7"/>
      <c r="AE944" s="54" t="e">
        <f t="shared" si="120"/>
        <v>#N/A</v>
      </c>
      <c r="AF944" s="4" t="e">
        <f t="shared" si="116"/>
        <v>#N/A</v>
      </c>
    </row>
    <row r="945" spans="2:32">
      <c r="B945" s="5">
        <f t="shared" si="121"/>
        <v>933</v>
      </c>
      <c r="C945" s="5"/>
      <c r="E945" s="13"/>
      <c r="F945" s="5"/>
      <c r="G945" s="11" t="str">
        <f>IF(ISERROR(AVERAGE(F$13:F945)),"n/a",AVERAGE(F$13:F945))</f>
        <v>n/a</v>
      </c>
      <c r="H945" s="11" t="str">
        <f t="shared" si="117"/>
        <v>n/a</v>
      </c>
      <c r="J945" s="5"/>
      <c r="K945" s="5"/>
      <c r="L945" s="5"/>
      <c r="M945" s="5"/>
      <c r="N945" s="5"/>
      <c r="O945" s="8" t="str">
        <f t="shared" si="115"/>
        <v>n/a</v>
      </c>
      <c r="Q945" s="5"/>
      <c r="R945" s="5"/>
      <c r="S945" s="5"/>
      <c r="U945" s="6"/>
      <c r="V945" s="9" t="str">
        <f t="shared" si="118"/>
        <v/>
      </c>
      <c r="W945" s="9" t="str">
        <f t="shared" si="119"/>
        <v/>
      </c>
      <c r="X945" s="10">
        <f>SUM(V$13:V945)/COUNTA(B$13:B945)</f>
        <v>0</v>
      </c>
      <c r="Z945" s="5"/>
      <c r="AA945" s="5"/>
      <c r="AC945" s="7"/>
      <c r="AE945" s="54" t="e">
        <f t="shared" si="120"/>
        <v>#N/A</v>
      </c>
      <c r="AF945" s="4" t="e">
        <f t="shared" si="116"/>
        <v>#N/A</v>
      </c>
    </row>
    <row r="946" spans="2:32">
      <c r="B946" s="5">
        <f t="shared" si="121"/>
        <v>934</v>
      </c>
      <c r="C946" s="5"/>
      <c r="E946" s="13"/>
      <c r="F946" s="5"/>
      <c r="G946" s="11" t="str">
        <f>IF(ISERROR(AVERAGE(F$13:F946)),"n/a",AVERAGE(F$13:F946))</f>
        <v>n/a</v>
      </c>
      <c r="H946" s="11" t="str">
        <f t="shared" si="117"/>
        <v>n/a</v>
      </c>
      <c r="J946" s="5"/>
      <c r="K946" s="5"/>
      <c r="L946" s="5"/>
      <c r="M946" s="5"/>
      <c r="N946" s="5"/>
      <c r="O946" s="8" t="str">
        <f t="shared" si="115"/>
        <v>n/a</v>
      </c>
      <c r="Q946" s="5"/>
      <c r="R946" s="5"/>
      <c r="S946" s="5"/>
      <c r="U946" s="6"/>
      <c r="V946" s="9" t="str">
        <f t="shared" si="118"/>
        <v/>
      </c>
      <c r="W946" s="9" t="str">
        <f t="shared" si="119"/>
        <v/>
      </c>
      <c r="X946" s="10">
        <f>SUM(V$13:V946)/COUNTA(B$13:B946)</f>
        <v>0</v>
      </c>
      <c r="Z946" s="5"/>
      <c r="AA946" s="5"/>
      <c r="AC946" s="7"/>
      <c r="AE946" s="54" t="e">
        <f t="shared" si="120"/>
        <v>#N/A</v>
      </c>
      <c r="AF946" s="4" t="e">
        <f t="shared" si="116"/>
        <v>#N/A</v>
      </c>
    </row>
    <row r="947" spans="2:32">
      <c r="B947" s="5">
        <f t="shared" si="121"/>
        <v>935</v>
      </c>
      <c r="C947" s="5"/>
      <c r="E947" s="13"/>
      <c r="F947" s="5"/>
      <c r="G947" s="11" t="str">
        <f>IF(ISERROR(AVERAGE(F$13:F947)),"n/a",AVERAGE(F$13:F947))</f>
        <v>n/a</v>
      </c>
      <c r="H947" s="11" t="str">
        <f t="shared" si="117"/>
        <v>n/a</v>
      </c>
      <c r="J947" s="5"/>
      <c r="K947" s="5"/>
      <c r="L947" s="5"/>
      <c r="M947" s="5"/>
      <c r="N947" s="5"/>
      <c r="O947" s="8" t="str">
        <f t="shared" si="115"/>
        <v>n/a</v>
      </c>
      <c r="Q947" s="5"/>
      <c r="R947" s="5"/>
      <c r="S947" s="5"/>
      <c r="U947" s="6"/>
      <c r="V947" s="9" t="str">
        <f t="shared" si="118"/>
        <v/>
      </c>
      <c r="W947" s="9" t="str">
        <f t="shared" si="119"/>
        <v/>
      </c>
      <c r="X947" s="10">
        <f>SUM(V$13:V947)/COUNTA(B$13:B947)</f>
        <v>0</v>
      </c>
      <c r="Z947" s="5"/>
      <c r="AA947" s="5"/>
      <c r="AC947" s="7"/>
      <c r="AE947" s="54" t="e">
        <f t="shared" si="120"/>
        <v>#N/A</v>
      </c>
      <c r="AF947" s="4" t="e">
        <f t="shared" si="116"/>
        <v>#N/A</v>
      </c>
    </row>
    <row r="948" spans="2:32">
      <c r="B948" s="5">
        <f t="shared" si="121"/>
        <v>936</v>
      </c>
      <c r="C948" s="5"/>
      <c r="E948" s="13"/>
      <c r="F948" s="5"/>
      <c r="G948" s="11" t="str">
        <f>IF(ISERROR(AVERAGE(F$13:F948)),"n/a",AVERAGE(F$13:F948))</f>
        <v>n/a</v>
      </c>
      <c r="H948" s="11" t="str">
        <f t="shared" si="117"/>
        <v>n/a</v>
      </c>
      <c r="J948" s="5"/>
      <c r="K948" s="5"/>
      <c r="L948" s="5"/>
      <c r="M948" s="5"/>
      <c r="N948" s="5"/>
      <c r="O948" s="8" t="str">
        <f t="shared" si="115"/>
        <v>n/a</v>
      </c>
      <c r="Q948" s="5"/>
      <c r="R948" s="5"/>
      <c r="S948" s="5"/>
      <c r="U948" s="6"/>
      <c r="V948" s="9" t="str">
        <f t="shared" si="118"/>
        <v/>
      </c>
      <c r="W948" s="9" t="str">
        <f t="shared" si="119"/>
        <v/>
      </c>
      <c r="X948" s="10">
        <f>SUM(V$13:V948)/COUNTA(B$13:B948)</f>
        <v>0</v>
      </c>
      <c r="Z948" s="5"/>
      <c r="AA948" s="5"/>
      <c r="AC948" s="7"/>
      <c r="AE948" s="54" t="e">
        <f t="shared" si="120"/>
        <v>#N/A</v>
      </c>
      <c r="AF948" s="4" t="e">
        <f t="shared" si="116"/>
        <v>#N/A</v>
      </c>
    </row>
    <row r="949" spans="2:32">
      <c r="B949" s="5">
        <f t="shared" si="121"/>
        <v>937</v>
      </c>
      <c r="C949" s="5"/>
      <c r="E949" s="13"/>
      <c r="F949" s="5"/>
      <c r="G949" s="11" t="str">
        <f>IF(ISERROR(AVERAGE(F$13:F949)),"n/a",AVERAGE(F$13:F949))</f>
        <v>n/a</v>
      </c>
      <c r="H949" s="11" t="str">
        <f t="shared" si="117"/>
        <v>n/a</v>
      </c>
      <c r="J949" s="5"/>
      <c r="K949" s="5"/>
      <c r="L949" s="5"/>
      <c r="M949" s="5"/>
      <c r="N949" s="5"/>
      <c r="O949" s="8" t="str">
        <f t="shared" si="115"/>
        <v>n/a</v>
      </c>
      <c r="Q949" s="5"/>
      <c r="R949" s="5"/>
      <c r="S949" s="5"/>
      <c r="U949" s="6"/>
      <c r="V949" s="9" t="str">
        <f t="shared" si="118"/>
        <v/>
      </c>
      <c r="W949" s="9" t="str">
        <f t="shared" si="119"/>
        <v/>
      </c>
      <c r="X949" s="10">
        <f>SUM(V$13:V949)/COUNTA(B$13:B949)</f>
        <v>0</v>
      </c>
      <c r="Z949" s="5"/>
      <c r="AA949" s="5"/>
      <c r="AC949" s="7"/>
      <c r="AE949" s="54" t="e">
        <f t="shared" si="120"/>
        <v>#N/A</v>
      </c>
      <c r="AF949" s="4" t="e">
        <f t="shared" si="116"/>
        <v>#N/A</v>
      </c>
    </row>
    <row r="950" spans="2:32">
      <c r="B950" s="5">
        <f t="shared" si="121"/>
        <v>938</v>
      </c>
      <c r="C950" s="5"/>
      <c r="E950" s="13"/>
      <c r="F950" s="5"/>
      <c r="G950" s="11" t="str">
        <f>IF(ISERROR(AVERAGE(F$13:F950)),"n/a",AVERAGE(F$13:F950))</f>
        <v>n/a</v>
      </c>
      <c r="H950" s="11" t="str">
        <f t="shared" si="117"/>
        <v>n/a</v>
      </c>
      <c r="J950" s="5"/>
      <c r="K950" s="5"/>
      <c r="L950" s="5"/>
      <c r="M950" s="5"/>
      <c r="N950" s="5"/>
      <c r="O950" s="8" t="str">
        <f t="shared" si="115"/>
        <v>n/a</v>
      </c>
      <c r="Q950" s="5"/>
      <c r="R950" s="5"/>
      <c r="S950" s="5"/>
      <c r="U950" s="6"/>
      <c r="V950" s="9" t="str">
        <f t="shared" si="118"/>
        <v/>
      </c>
      <c r="W950" s="9" t="str">
        <f t="shared" si="119"/>
        <v/>
      </c>
      <c r="X950" s="10">
        <f>SUM(V$13:V950)/COUNTA(B$13:B950)</f>
        <v>0</v>
      </c>
      <c r="Z950" s="5"/>
      <c r="AA950" s="5"/>
      <c r="AC950" s="7"/>
      <c r="AE950" s="54" t="e">
        <f t="shared" si="120"/>
        <v>#N/A</v>
      </c>
      <c r="AF950" s="4" t="e">
        <f t="shared" si="116"/>
        <v>#N/A</v>
      </c>
    </row>
    <row r="951" spans="2:32">
      <c r="B951" s="5">
        <f t="shared" si="121"/>
        <v>939</v>
      </c>
      <c r="C951" s="5"/>
      <c r="E951" s="13"/>
      <c r="F951" s="5"/>
      <c r="G951" s="11" t="str">
        <f>IF(ISERROR(AVERAGE(F$13:F951)),"n/a",AVERAGE(F$13:F951))</f>
        <v>n/a</v>
      </c>
      <c r="H951" s="11" t="str">
        <f t="shared" si="117"/>
        <v>n/a</v>
      </c>
      <c r="J951" s="5"/>
      <c r="K951" s="5"/>
      <c r="L951" s="5"/>
      <c r="M951" s="5"/>
      <c r="N951" s="5"/>
      <c r="O951" s="8" t="str">
        <f t="shared" si="115"/>
        <v>n/a</v>
      </c>
      <c r="Q951" s="5"/>
      <c r="R951" s="5"/>
      <c r="S951" s="5"/>
      <c r="U951" s="6"/>
      <c r="V951" s="9" t="str">
        <f t="shared" si="118"/>
        <v/>
      </c>
      <c r="W951" s="9" t="str">
        <f t="shared" si="119"/>
        <v/>
      </c>
      <c r="X951" s="10">
        <f>SUM(V$13:V951)/COUNTA(B$13:B951)</f>
        <v>0</v>
      </c>
      <c r="Z951" s="5"/>
      <c r="AA951" s="5"/>
      <c r="AC951" s="7"/>
      <c r="AE951" s="54" t="e">
        <f t="shared" si="120"/>
        <v>#N/A</v>
      </c>
      <c r="AF951" s="4" t="e">
        <f t="shared" si="116"/>
        <v>#N/A</v>
      </c>
    </row>
    <row r="952" spans="2:32">
      <c r="B952" s="5">
        <f t="shared" si="121"/>
        <v>940</v>
      </c>
      <c r="C952" s="5"/>
      <c r="E952" s="13"/>
      <c r="F952" s="5"/>
      <c r="G952" s="11" t="str">
        <f>IF(ISERROR(AVERAGE(F$13:F952)),"n/a",AVERAGE(F$13:F952))</f>
        <v>n/a</v>
      </c>
      <c r="H952" s="11" t="str">
        <f t="shared" si="117"/>
        <v>n/a</v>
      </c>
      <c r="J952" s="5"/>
      <c r="K952" s="5"/>
      <c r="L952" s="5"/>
      <c r="M952" s="5"/>
      <c r="N952" s="5"/>
      <c r="O952" s="8" t="str">
        <f t="shared" si="115"/>
        <v>n/a</v>
      </c>
      <c r="Q952" s="5"/>
      <c r="R952" s="5"/>
      <c r="S952" s="5"/>
      <c r="U952" s="6"/>
      <c r="V952" s="9" t="str">
        <f t="shared" si="118"/>
        <v/>
      </c>
      <c r="W952" s="9" t="str">
        <f t="shared" si="119"/>
        <v/>
      </c>
      <c r="X952" s="10">
        <f>SUM(V$13:V952)/COUNTA(B$13:B952)</f>
        <v>0</v>
      </c>
      <c r="Z952" s="5"/>
      <c r="AA952" s="5"/>
      <c r="AC952" s="7"/>
      <c r="AE952" s="54" t="e">
        <f t="shared" si="120"/>
        <v>#N/A</v>
      </c>
      <c r="AF952" s="4" t="e">
        <f t="shared" si="116"/>
        <v>#N/A</v>
      </c>
    </row>
    <row r="953" spans="2:32">
      <c r="B953" s="5">
        <f t="shared" si="121"/>
        <v>941</v>
      </c>
      <c r="C953" s="5"/>
      <c r="E953" s="13"/>
      <c r="F953" s="5"/>
      <c r="G953" s="11" t="str">
        <f>IF(ISERROR(AVERAGE(F$13:F953)),"n/a",AVERAGE(F$13:F953))</f>
        <v>n/a</v>
      </c>
      <c r="H953" s="11" t="str">
        <f t="shared" si="117"/>
        <v>n/a</v>
      </c>
      <c r="J953" s="5"/>
      <c r="K953" s="5"/>
      <c r="L953" s="5"/>
      <c r="M953" s="5"/>
      <c r="N953" s="5"/>
      <c r="O953" s="8" t="str">
        <f t="shared" si="115"/>
        <v>n/a</v>
      </c>
      <c r="Q953" s="5"/>
      <c r="R953" s="5"/>
      <c r="S953" s="5"/>
      <c r="U953" s="6"/>
      <c r="V953" s="9" t="str">
        <f t="shared" si="118"/>
        <v/>
      </c>
      <c r="W953" s="9" t="str">
        <f t="shared" si="119"/>
        <v/>
      </c>
      <c r="X953" s="10">
        <f>SUM(V$13:V953)/COUNTA(B$13:B953)</f>
        <v>0</v>
      </c>
      <c r="Z953" s="5"/>
      <c r="AA953" s="5"/>
      <c r="AC953" s="7"/>
      <c r="AE953" s="54" t="e">
        <f t="shared" si="120"/>
        <v>#N/A</v>
      </c>
      <c r="AF953" s="4" t="e">
        <f t="shared" si="116"/>
        <v>#N/A</v>
      </c>
    </row>
    <row r="954" spans="2:32">
      <c r="B954" s="5">
        <f t="shared" si="121"/>
        <v>942</v>
      </c>
      <c r="C954" s="5"/>
      <c r="E954" s="13"/>
      <c r="F954" s="5"/>
      <c r="G954" s="11" t="str">
        <f>IF(ISERROR(AVERAGE(F$13:F954)),"n/a",AVERAGE(F$13:F954))</f>
        <v>n/a</v>
      </c>
      <c r="H954" s="11" t="str">
        <f t="shared" si="117"/>
        <v>n/a</v>
      </c>
      <c r="J954" s="5"/>
      <c r="K954" s="5"/>
      <c r="L954" s="5"/>
      <c r="M954" s="5"/>
      <c r="N954" s="5"/>
      <c r="O954" s="8" t="str">
        <f t="shared" si="115"/>
        <v>n/a</v>
      </c>
      <c r="Q954" s="5"/>
      <c r="R954" s="5"/>
      <c r="S954" s="5"/>
      <c r="U954" s="6"/>
      <c r="V954" s="9" t="str">
        <f t="shared" si="118"/>
        <v/>
      </c>
      <c r="W954" s="9" t="str">
        <f t="shared" si="119"/>
        <v/>
      </c>
      <c r="X954" s="10">
        <f>SUM(V$13:V954)/COUNTA(B$13:B954)</f>
        <v>0</v>
      </c>
      <c r="Z954" s="5"/>
      <c r="AA954" s="5"/>
      <c r="AC954" s="7"/>
      <c r="AE954" s="54" t="e">
        <f t="shared" si="120"/>
        <v>#N/A</v>
      </c>
      <c r="AF954" s="4" t="e">
        <f t="shared" si="116"/>
        <v>#N/A</v>
      </c>
    </row>
    <row r="955" spans="2:32">
      <c r="B955" s="5">
        <f t="shared" si="121"/>
        <v>943</v>
      </c>
      <c r="C955" s="5"/>
      <c r="E955" s="13"/>
      <c r="F955" s="5"/>
      <c r="G955" s="11" t="str">
        <f>IF(ISERROR(AVERAGE(F$13:F955)),"n/a",AVERAGE(F$13:F955))</f>
        <v>n/a</v>
      </c>
      <c r="H955" s="11" t="str">
        <f t="shared" si="117"/>
        <v>n/a</v>
      </c>
      <c r="J955" s="5"/>
      <c r="K955" s="5"/>
      <c r="L955" s="5"/>
      <c r="M955" s="5"/>
      <c r="N955" s="5"/>
      <c r="O955" s="8" t="str">
        <f t="shared" si="115"/>
        <v>n/a</v>
      </c>
      <c r="Q955" s="5"/>
      <c r="R955" s="5"/>
      <c r="S955" s="5"/>
      <c r="U955" s="6"/>
      <c r="V955" s="9" t="str">
        <f t="shared" si="118"/>
        <v/>
      </c>
      <c r="W955" s="9" t="str">
        <f t="shared" si="119"/>
        <v/>
      </c>
      <c r="X955" s="10">
        <f>SUM(V$13:V955)/COUNTA(B$13:B955)</f>
        <v>0</v>
      </c>
      <c r="Z955" s="5"/>
      <c r="AA955" s="5"/>
      <c r="AC955" s="7"/>
      <c r="AE955" s="54" t="e">
        <f t="shared" si="120"/>
        <v>#N/A</v>
      </c>
      <c r="AF955" s="4" t="e">
        <f t="shared" si="116"/>
        <v>#N/A</v>
      </c>
    </row>
    <row r="956" spans="2:32">
      <c r="B956" s="5">
        <f t="shared" si="121"/>
        <v>944</v>
      </c>
      <c r="C956" s="5"/>
      <c r="E956" s="13"/>
      <c r="F956" s="5"/>
      <c r="G956" s="11" t="str">
        <f>IF(ISERROR(AVERAGE(F$13:F956)),"n/a",AVERAGE(F$13:F956))</f>
        <v>n/a</v>
      </c>
      <c r="H956" s="11" t="str">
        <f t="shared" si="117"/>
        <v>n/a</v>
      </c>
      <c r="J956" s="5"/>
      <c r="K956" s="5"/>
      <c r="L956" s="5"/>
      <c r="M956" s="5"/>
      <c r="N956" s="5"/>
      <c r="O956" s="8" t="str">
        <f t="shared" si="115"/>
        <v>n/a</v>
      </c>
      <c r="Q956" s="5"/>
      <c r="R956" s="5"/>
      <c r="S956" s="5"/>
      <c r="U956" s="6"/>
      <c r="V956" s="9" t="str">
        <f t="shared" si="118"/>
        <v/>
      </c>
      <c r="W956" s="9" t="str">
        <f t="shared" si="119"/>
        <v/>
      </c>
      <c r="X956" s="10">
        <f>SUM(V$13:V956)/COUNTA(B$13:B956)</f>
        <v>0</v>
      </c>
      <c r="Z956" s="5"/>
      <c r="AA956" s="5"/>
      <c r="AC956" s="7"/>
      <c r="AE956" s="54" t="e">
        <f t="shared" si="120"/>
        <v>#N/A</v>
      </c>
      <c r="AF956" s="4" t="e">
        <f t="shared" si="116"/>
        <v>#N/A</v>
      </c>
    </row>
    <row r="957" spans="2:32">
      <c r="B957" s="5">
        <f t="shared" si="121"/>
        <v>945</v>
      </c>
      <c r="C957" s="5"/>
      <c r="E957" s="13"/>
      <c r="F957" s="5"/>
      <c r="G957" s="11" t="str">
        <f>IF(ISERROR(AVERAGE(F$13:F957)),"n/a",AVERAGE(F$13:F957))</f>
        <v>n/a</v>
      </c>
      <c r="H957" s="11" t="str">
        <f t="shared" si="117"/>
        <v>n/a</v>
      </c>
      <c r="J957" s="5"/>
      <c r="K957" s="5"/>
      <c r="L957" s="5"/>
      <c r="M957" s="5"/>
      <c r="N957" s="5"/>
      <c r="O957" s="8" t="str">
        <f t="shared" si="115"/>
        <v>n/a</v>
      </c>
      <c r="Q957" s="5"/>
      <c r="R957" s="5"/>
      <c r="S957" s="5"/>
      <c r="U957" s="6"/>
      <c r="V957" s="9" t="str">
        <f t="shared" si="118"/>
        <v/>
      </c>
      <c r="W957" s="9" t="str">
        <f t="shared" si="119"/>
        <v/>
      </c>
      <c r="X957" s="10">
        <f>SUM(V$13:V957)/COUNTA(B$13:B957)</f>
        <v>0</v>
      </c>
      <c r="Z957" s="5"/>
      <c r="AA957" s="5"/>
      <c r="AC957" s="7"/>
      <c r="AE957" s="54" t="e">
        <f t="shared" si="120"/>
        <v>#N/A</v>
      </c>
      <c r="AF957" s="4" t="e">
        <f t="shared" si="116"/>
        <v>#N/A</v>
      </c>
    </row>
    <row r="958" spans="2:32">
      <c r="B958" s="5">
        <f t="shared" si="121"/>
        <v>946</v>
      </c>
      <c r="C958" s="5"/>
      <c r="E958" s="13"/>
      <c r="F958" s="5"/>
      <c r="G958" s="11" t="str">
        <f>IF(ISERROR(AVERAGE(F$13:F958)),"n/a",AVERAGE(F$13:F958))</f>
        <v>n/a</v>
      </c>
      <c r="H958" s="11" t="str">
        <f t="shared" si="117"/>
        <v>n/a</v>
      </c>
      <c r="J958" s="5"/>
      <c r="K958" s="5"/>
      <c r="L958" s="5"/>
      <c r="M958" s="5"/>
      <c r="N958" s="5"/>
      <c r="O958" s="8" t="str">
        <f t="shared" si="115"/>
        <v>n/a</v>
      </c>
      <c r="Q958" s="5"/>
      <c r="R958" s="5"/>
      <c r="S958" s="5"/>
      <c r="U958" s="6"/>
      <c r="V958" s="9" t="str">
        <f t="shared" si="118"/>
        <v/>
      </c>
      <c r="W958" s="9" t="str">
        <f t="shared" si="119"/>
        <v/>
      </c>
      <c r="X958" s="10">
        <f>SUM(V$13:V958)/COUNTA(B$13:B958)</f>
        <v>0</v>
      </c>
      <c r="Z958" s="5"/>
      <c r="AA958" s="5"/>
      <c r="AC958" s="7"/>
      <c r="AE958" s="54" t="e">
        <f t="shared" si="120"/>
        <v>#N/A</v>
      </c>
      <c r="AF958" s="4" t="e">
        <f t="shared" si="116"/>
        <v>#N/A</v>
      </c>
    </row>
    <row r="959" spans="2:32">
      <c r="B959" s="5">
        <f t="shared" si="121"/>
        <v>947</v>
      </c>
      <c r="C959" s="5"/>
      <c r="E959" s="13"/>
      <c r="F959" s="5"/>
      <c r="G959" s="11" t="str">
        <f>IF(ISERROR(AVERAGE(F$13:F959)),"n/a",AVERAGE(F$13:F959))</f>
        <v>n/a</v>
      </c>
      <c r="H959" s="11" t="str">
        <f t="shared" si="117"/>
        <v>n/a</v>
      </c>
      <c r="J959" s="5"/>
      <c r="K959" s="5"/>
      <c r="L959" s="5"/>
      <c r="M959" s="5"/>
      <c r="N959" s="5"/>
      <c r="O959" s="8" t="str">
        <f t="shared" si="115"/>
        <v>n/a</v>
      </c>
      <c r="Q959" s="5"/>
      <c r="R959" s="5"/>
      <c r="S959" s="5"/>
      <c r="U959" s="6"/>
      <c r="V959" s="9" t="str">
        <f t="shared" si="118"/>
        <v/>
      </c>
      <c r="W959" s="9" t="str">
        <f t="shared" si="119"/>
        <v/>
      </c>
      <c r="X959" s="10">
        <f>SUM(V$13:V959)/COUNTA(B$13:B959)</f>
        <v>0</v>
      </c>
      <c r="Z959" s="5"/>
      <c r="AA959" s="5"/>
      <c r="AC959" s="7"/>
      <c r="AE959" s="54" t="e">
        <f t="shared" si="120"/>
        <v>#N/A</v>
      </c>
      <c r="AF959" s="4" t="e">
        <f t="shared" si="116"/>
        <v>#N/A</v>
      </c>
    </row>
    <row r="960" spans="2:32">
      <c r="B960" s="5">
        <f t="shared" si="121"/>
        <v>948</v>
      </c>
      <c r="C960" s="5"/>
      <c r="E960" s="13"/>
      <c r="F960" s="5"/>
      <c r="G960" s="11" t="str">
        <f>IF(ISERROR(AVERAGE(F$13:F960)),"n/a",AVERAGE(F$13:F960))</f>
        <v>n/a</v>
      </c>
      <c r="H960" s="11" t="str">
        <f t="shared" si="117"/>
        <v>n/a</v>
      </c>
      <c r="J960" s="5"/>
      <c r="K960" s="5"/>
      <c r="L960" s="5"/>
      <c r="M960" s="5"/>
      <c r="N960" s="5"/>
      <c r="O960" s="8" t="str">
        <f t="shared" si="115"/>
        <v>n/a</v>
      </c>
      <c r="Q960" s="5"/>
      <c r="R960" s="5"/>
      <c r="S960" s="5"/>
      <c r="U960" s="6"/>
      <c r="V960" s="9" t="str">
        <f t="shared" si="118"/>
        <v/>
      </c>
      <c r="W960" s="9" t="str">
        <f t="shared" si="119"/>
        <v/>
      </c>
      <c r="X960" s="10">
        <f>SUM(V$13:V960)/COUNTA(B$13:B960)</f>
        <v>0</v>
      </c>
      <c r="Z960" s="5"/>
      <c r="AA960" s="5"/>
      <c r="AC960" s="7"/>
      <c r="AE960" s="54" t="e">
        <f t="shared" si="120"/>
        <v>#N/A</v>
      </c>
      <c r="AF960" s="4" t="e">
        <f t="shared" si="116"/>
        <v>#N/A</v>
      </c>
    </row>
    <row r="961" spans="2:32">
      <c r="B961" s="5">
        <f t="shared" si="121"/>
        <v>949</v>
      </c>
      <c r="C961" s="5"/>
      <c r="E961" s="13"/>
      <c r="F961" s="5"/>
      <c r="G961" s="11" t="str">
        <f>IF(ISERROR(AVERAGE(F$13:F961)),"n/a",AVERAGE(F$13:F961))</f>
        <v>n/a</v>
      </c>
      <c r="H961" s="11" t="str">
        <f t="shared" si="117"/>
        <v>n/a</v>
      </c>
      <c r="J961" s="5"/>
      <c r="K961" s="5"/>
      <c r="L961" s="5"/>
      <c r="M961" s="5"/>
      <c r="N961" s="5"/>
      <c r="O961" s="8" t="str">
        <f t="shared" si="115"/>
        <v>n/a</v>
      </c>
      <c r="Q961" s="5"/>
      <c r="R961" s="5"/>
      <c r="S961" s="5"/>
      <c r="U961" s="6"/>
      <c r="V961" s="9" t="str">
        <f t="shared" si="118"/>
        <v/>
      </c>
      <c r="W961" s="9" t="str">
        <f t="shared" si="119"/>
        <v/>
      </c>
      <c r="X961" s="10">
        <f>SUM(V$13:V961)/COUNTA(B$13:B961)</f>
        <v>0</v>
      </c>
      <c r="Z961" s="5"/>
      <c r="AA961" s="5"/>
      <c r="AC961" s="7"/>
      <c r="AE961" s="54" t="e">
        <f t="shared" si="120"/>
        <v>#N/A</v>
      </c>
      <c r="AF961" s="4" t="e">
        <f t="shared" si="116"/>
        <v>#N/A</v>
      </c>
    </row>
    <row r="962" spans="2:32">
      <c r="B962" s="5">
        <f t="shared" si="121"/>
        <v>950</v>
      </c>
      <c r="C962" s="5"/>
      <c r="E962" s="13"/>
      <c r="F962" s="5"/>
      <c r="G962" s="11" t="str">
        <f>IF(ISERROR(AVERAGE(F$13:F962)),"n/a",AVERAGE(F$13:F962))</f>
        <v>n/a</v>
      </c>
      <c r="H962" s="11" t="str">
        <f t="shared" si="117"/>
        <v>n/a</v>
      </c>
      <c r="J962" s="5"/>
      <c r="K962" s="5"/>
      <c r="L962" s="5"/>
      <c r="M962" s="5"/>
      <c r="N962" s="5"/>
      <c r="O962" s="8" t="str">
        <f t="shared" si="115"/>
        <v>n/a</v>
      </c>
      <c r="Q962" s="5"/>
      <c r="R962" s="5"/>
      <c r="S962" s="5"/>
      <c r="U962" s="6"/>
      <c r="V962" s="9" t="str">
        <f t="shared" si="118"/>
        <v/>
      </c>
      <c r="W962" s="9" t="str">
        <f t="shared" si="119"/>
        <v/>
      </c>
      <c r="X962" s="10">
        <f>SUM(V$13:V962)/COUNTA(B$13:B962)</f>
        <v>0</v>
      </c>
      <c r="Z962" s="5"/>
      <c r="AA962" s="5"/>
      <c r="AC962" s="7"/>
      <c r="AE962" s="54" t="e">
        <f t="shared" si="120"/>
        <v>#N/A</v>
      </c>
      <c r="AF962" s="4" t="e">
        <f t="shared" si="116"/>
        <v>#N/A</v>
      </c>
    </row>
    <row r="963" spans="2:32">
      <c r="B963" s="5">
        <f t="shared" si="121"/>
        <v>951</v>
      </c>
      <c r="C963" s="5"/>
      <c r="E963" s="13"/>
      <c r="F963" s="5"/>
      <c r="G963" s="11" t="str">
        <f>IF(ISERROR(AVERAGE(F$13:F963)),"n/a",AVERAGE(F$13:F963))</f>
        <v>n/a</v>
      </c>
      <c r="H963" s="11" t="str">
        <f t="shared" si="117"/>
        <v>n/a</v>
      </c>
      <c r="J963" s="5"/>
      <c r="K963" s="5"/>
      <c r="L963" s="5"/>
      <c r="M963" s="5"/>
      <c r="N963" s="5"/>
      <c r="O963" s="8" t="str">
        <f t="shared" si="115"/>
        <v>n/a</v>
      </c>
      <c r="Q963" s="5"/>
      <c r="R963" s="5"/>
      <c r="S963" s="5"/>
      <c r="U963" s="6"/>
      <c r="V963" s="9" t="str">
        <f t="shared" si="118"/>
        <v/>
      </c>
      <c r="W963" s="9" t="str">
        <f t="shared" si="119"/>
        <v/>
      </c>
      <c r="X963" s="10">
        <f>SUM(V$13:V963)/COUNTA(B$13:B963)</f>
        <v>0</v>
      </c>
      <c r="Z963" s="5"/>
      <c r="AA963" s="5"/>
      <c r="AC963" s="7"/>
      <c r="AE963" s="54" t="e">
        <f t="shared" si="120"/>
        <v>#N/A</v>
      </c>
      <c r="AF963" s="4" t="e">
        <f t="shared" si="116"/>
        <v>#N/A</v>
      </c>
    </row>
    <row r="964" spans="2:32">
      <c r="B964" s="5">
        <f t="shared" si="121"/>
        <v>952</v>
      </c>
      <c r="C964" s="5"/>
      <c r="E964" s="13"/>
      <c r="F964" s="5"/>
      <c r="G964" s="11" t="str">
        <f>IF(ISERROR(AVERAGE(F$13:F964)),"n/a",AVERAGE(F$13:F964))</f>
        <v>n/a</v>
      </c>
      <c r="H964" s="11" t="str">
        <f t="shared" si="117"/>
        <v>n/a</v>
      </c>
      <c r="J964" s="5"/>
      <c r="K964" s="5"/>
      <c r="L964" s="5"/>
      <c r="M964" s="5"/>
      <c r="N964" s="5"/>
      <c r="O964" s="8" t="str">
        <f t="shared" si="115"/>
        <v>n/a</v>
      </c>
      <c r="Q964" s="5"/>
      <c r="R964" s="5"/>
      <c r="S964" s="5"/>
      <c r="U964" s="6"/>
      <c r="V964" s="9" t="str">
        <f t="shared" si="118"/>
        <v/>
      </c>
      <c r="W964" s="9" t="str">
        <f t="shared" si="119"/>
        <v/>
      </c>
      <c r="X964" s="10">
        <f>SUM(V$13:V964)/COUNTA(B$13:B964)</f>
        <v>0</v>
      </c>
      <c r="Z964" s="5"/>
      <c r="AA964" s="5"/>
      <c r="AC964" s="7"/>
      <c r="AE964" s="54" t="e">
        <f t="shared" si="120"/>
        <v>#N/A</v>
      </c>
      <c r="AF964" s="4" t="e">
        <f t="shared" si="116"/>
        <v>#N/A</v>
      </c>
    </row>
    <row r="965" spans="2:32">
      <c r="B965" s="5">
        <f t="shared" si="121"/>
        <v>953</v>
      </c>
      <c r="C965" s="5"/>
      <c r="E965" s="13"/>
      <c r="F965" s="5"/>
      <c r="G965" s="11" t="str">
        <f>IF(ISERROR(AVERAGE(F$13:F965)),"n/a",AVERAGE(F$13:F965))</f>
        <v>n/a</v>
      </c>
      <c r="H965" s="11" t="str">
        <f t="shared" si="117"/>
        <v>n/a</v>
      </c>
      <c r="J965" s="5"/>
      <c r="K965" s="5"/>
      <c r="L965" s="5"/>
      <c r="M965" s="5"/>
      <c r="N965" s="5"/>
      <c r="O965" s="8" t="str">
        <f t="shared" si="115"/>
        <v>n/a</v>
      </c>
      <c r="Q965" s="5"/>
      <c r="R965" s="5"/>
      <c r="S965" s="5"/>
      <c r="U965" s="6"/>
      <c r="V965" s="9" t="str">
        <f t="shared" si="118"/>
        <v/>
      </c>
      <c r="W965" s="9" t="str">
        <f t="shared" si="119"/>
        <v/>
      </c>
      <c r="X965" s="10">
        <f>SUM(V$13:V965)/COUNTA(B$13:B965)</f>
        <v>0</v>
      </c>
      <c r="Z965" s="5"/>
      <c r="AA965" s="5"/>
      <c r="AC965" s="7"/>
      <c r="AE965" s="54" t="e">
        <f t="shared" si="120"/>
        <v>#N/A</v>
      </c>
      <c r="AF965" s="4" t="e">
        <f t="shared" si="116"/>
        <v>#N/A</v>
      </c>
    </row>
    <row r="966" spans="2:32">
      <c r="B966" s="5">
        <f t="shared" si="121"/>
        <v>954</v>
      </c>
      <c r="C966" s="5"/>
      <c r="E966" s="13"/>
      <c r="F966" s="5"/>
      <c r="G966" s="11" t="str">
        <f>IF(ISERROR(AVERAGE(F$13:F966)),"n/a",AVERAGE(F$13:F966))</f>
        <v>n/a</v>
      </c>
      <c r="H966" s="11" t="str">
        <f t="shared" si="117"/>
        <v>n/a</v>
      </c>
      <c r="J966" s="5"/>
      <c r="K966" s="5"/>
      <c r="L966" s="5"/>
      <c r="M966" s="5"/>
      <c r="N966" s="5"/>
      <c r="O966" s="8" t="str">
        <f t="shared" si="115"/>
        <v>n/a</v>
      </c>
      <c r="Q966" s="5"/>
      <c r="R966" s="5"/>
      <c r="S966" s="5"/>
      <c r="U966" s="6"/>
      <c r="V966" s="9" t="str">
        <f t="shared" si="118"/>
        <v/>
      </c>
      <c r="W966" s="9" t="str">
        <f t="shared" si="119"/>
        <v/>
      </c>
      <c r="X966" s="10">
        <f>SUM(V$13:V966)/COUNTA(B$13:B966)</f>
        <v>0</v>
      </c>
      <c r="Z966" s="5"/>
      <c r="AA966" s="5"/>
      <c r="AC966" s="7"/>
      <c r="AE966" s="54" t="e">
        <f t="shared" si="120"/>
        <v>#N/A</v>
      </c>
      <c r="AF966" s="4" t="e">
        <f t="shared" si="116"/>
        <v>#N/A</v>
      </c>
    </row>
    <row r="967" spans="2:32">
      <c r="B967" s="5">
        <f t="shared" si="121"/>
        <v>955</v>
      </c>
      <c r="C967" s="5"/>
      <c r="E967" s="13"/>
      <c r="F967" s="5"/>
      <c r="G967" s="11" t="str">
        <f>IF(ISERROR(AVERAGE(F$13:F967)),"n/a",AVERAGE(F$13:F967))</f>
        <v>n/a</v>
      </c>
      <c r="H967" s="11" t="str">
        <f t="shared" si="117"/>
        <v>n/a</v>
      </c>
      <c r="J967" s="5"/>
      <c r="K967" s="5"/>
      <c r="L967" s="5"/>
      <c r="M967" s="5"/>
      <c r="N967" s="5"/>
      <c r="O967" s="8" t="str">
        <f t="shared" si="115"/>
        <v>n/a</v>
      </c>
      <c r="Q967" s="5"/>
      <c r="R967" s="5"/>
      <c r="S967" s="5"/>
      <c r="U967" s="6"/>
      <c r="V967" s="9" t="str">
        <f t="shared" si="118"/>
        <v/>
      </c>
      <c r="W967" s="9" t="str">
        <f t="shared" si="119"/>
        <v/>
      </c>
      <c r="X967" s="10">
        <f>SUM(V$13:V967)/COUNTA(B$13:B967)</f>
        <v>0</v>
      </c>
      <c r="Z967" s="5"/>
      <c r="AA967" s="5"/>
      <c r="AC967" s="7"/>
      <c r="AE967" s="54" t="e">
        <f t="shared" si="120"/>
        <v>#N/A</v>
      </c>
      <c r="AF967" s="4" t="e">
        <f t="shared" si="116"/>
        <v>#N/A</v>
      </c>
    </row>
    <row r="968" spans="2:32">
      <c r="B968" s="5">
        <f t="shared" si="121"/>
        <v>956</v>
      </c>
      <c r="C968" s="5"/>
      <c r="E968" s="13"/>
      <c r="F968" s="5"/>
      <c r="G968" s="11" t="str">
        <f>IF(ISERROR(AVERAGE(F$13:F968)),"n/a",AVERAGE(F$13:F968))</f>
        <v>n/a</v>
      </c>
      <c r="H968" s="11" t="str">
        <f t="shared" si="117"/>
        <v>n/a</v>
      </c>
      <c r="J968" s="5"/>
      <c r="K968" s="5"/>
      <c r="L968" s="5"/>
      <c r="M968" s="5"/>
      <c r="N968" s="5"/>
      <c r="O968" s="8" t="str">
        <f t="shared" si="115"/>
        <v>n/a</v>
      </c>
      <c r="Q968" s="5"/>
      <c r="R968" s="5"/>
      <c r="S968" s="5"/>
      <c r="U968" s="6"/>
      <c r="V968" s="9" t="str">
        <f t="shared" si="118"/>
        <v/>
      </c>
      <c r="W968" s="9" t="str">
        <f t="shared" si="119"/>
        <v/>
      </c>
      <c r="X968" s="10">
        <f>SUM(V$13:V968)/COUNTA(B$13:B968)</f>
        <v>0</v>
      </c>
      <c r="Z968" s="5"/>
      <c r="AA968" s="5"/>
      <c r="AC968" s="7"/>
      <c r="AE968" s="54" t="e">
        <f t="shared" si="120"/>
        <v>#N/A</v>
      </c>
      <c r="AF968" s="4" t="e">
        <f t="shared" si="116"/>
        <v>#N/A</v>
      </c>
    </row>
    <row r="969" spans="2:32">
      <c r="B969" s="5">
        <f t="shared" si="121"/>
        <v>957</v>
      </c>
      <c r="C969" s="5"/>
      <c r="E969" s="13"/>
      <c r="F969" s="5"/>
      <c r="G969" s="11" t="str">
        <f>IF(ISERROR(AVERAGE(F$13:F969)),"n/a",AVERAGE(F$13:F969))</f>
        <v>n/a</v>
      </c>
      <c r="H969" s="11" t="str">
        <f t="shared" si="117"/>
        <v>n/a</v>
      </c>
      <c r="J969" s="5"/>
      <c r="K969" s="5"/>
      <c r="L969" s="5"/>
      <c r="M969" s="5"/>
      <c r="N969" s="5"/>
      <c r="O969" s="8" t="str">
        <f t="shared" si="115"/>
        <v>n/a</v>
      </c>
      <c r="Q969" s="5"/>
      <c r="R969" s="5"/>
      <c r="S969" s="5"/>
      <c r="U969" s="6"/>
      <c r="V969" s="9" t="str">
        <f t="shared" si="118"/>
        <v/>
      </c>
      <c r="W969" s="9" t="str">
        <f t="shared" si="119"/>
        <v/>
      </c>
      <c r="X969" s="10">
        <f>SUM(V$13:V969)/COUNTA(B$13:B969)</f>
        <v>0</v>
      </c>
      <c r="Z969" s="5"/>
      <c r="AA969" s="5"/>
      <c r="AC969" s="7"/>
      <c r="AE969" s="54" t="e">
        <f t="shared" si="120"/>
        <v>#N/A</v>
      </c>
      <c r="AF969" s="4" t="e">
        <f t="shared" si="116"/>
        <v>#N/A</v>
      </c>
    </row>
    <row r="970" spans="2:32">
      <c r="B970" s="5">
        <f t="shared" si="121"/>
        <v>958</v>
      </c>
      <c r="C970" s="5"/>
      <c r="E970" s="13"/>
      <c r="F970" s="5"/>
      <c r="G970" s="11" t="str">
        <f>IF(ISERROR(AVERAGE(F$13:F970)),"n/a",AVERAGE(F$13:F970))</f>
        <v>n/a</v>
      </c>
      <c r="H970" s="11" t="str">
        <f t="shared" si="117"/>
        <v>n/a</v>
      </c>
      <c r="J970" s="5"/>
      <c r="K970" s="5"/>
      <c r="L970" s="5"/>
      <c r="M970" s="5"/>
      <c r="N970" s="5"/>
      <c r="O970" s="8" t="str">
        <f t="shared" si="115"/>
        <v>n/a</v>
      </c>
      <c r="Q970" s="5"/>
      <c r="R970" s="5"/>
      <c r="S970" s="5"/>
      <c r="U970" s="6"/>
      <c r="V970" s="9" t="str">
        <f t="shared" si="118"/>
        <v/>
      </c>
      <c r="W970" s="9" t="str">
        <f t="shared" si="119"/>
        <v/>
      </c>
      <c r="X970" s="10">
        <f>SUM(V$13:V970)/COUNTA(B$13:B970)</f>
        <v>0</v>
      </c>
      <c r="Z970" s="5"/>
      <c r="AA970" s="5"/>
      <c r="AC970" s="7"/>
      <c r="AE970" s="54" t="e">
        <f t="shared" si="120"/>
        <v>#N/A</v>
      </c>
      <c r="AF970" s="4" t="e">
        <f t="shared" si="116"/>
        <v>#N/A</v>
      </c>
    </row>
    <row r="971" spans="2:32">
      <c r="B971" s="5">
        <f t="shared" si="121"/>
        <v>959</v>
      </c>
      <c r="C971" s="5"/>
      <c r="E971" s="13"/>
      <c r="F971" s="5"/>
      <c r="G971" s="11" t="str">
        <f>IF(ISERROR(AVERAGE(F$13:F971)),"n/a",AVERAGE(F$13:F971))</f>
        <v>n/a</v>
      </c>
      <c r="H971" s="11" t="str">
        <f t="shared" si="117"/>
        <v>n/a</v>
      </c>
      <c r="J971" s="5"/>
      <c r="K971" s="5"/>
      <c r="L971" s="5"/>
      <c r="M971" s="5"/>
      <c r="N971" s="5"/>
      <c r="O971" s="8" t="str">
        <f t="shared" si="115"/>
        <v>n/a</v>
      </c>
      <c r="Q971" s="5"/>
      <c r="R971" s="5"/>
      <c r="S971" s="5"/>
      <c r="U971" s="6"/>
      <c r="V971" s="9" t="str">
        <f t="shared" si="118"/>
        <v/>
      </c>
      <c r="W971" s="9" t="str">
        <f t="shared" si="119"/>
        <v/>
      </c>
      <c r="X971" s="10">
        <f>SUM(V$13:V971)/COUNTA(B$13:B971)</f>
        <v>0</v>
      </c>
      <c r="Z971" s="5"/>
      <c r="AA971" s="5"/>
      <c r="AC971" s="7"/>
      <c r="AE971" s="54" t="e">
        <f t="shared" si="120"/>
        <v>#N/A</v>
      </c>
      <c r="AF971" s="4" t="e">
        <f t="shared" si="116"/>
        <v>#N/A</v>
      </c>
    </row>
    <row r="972" spans="2:32">
      <c r="B972" s="5">
        <f t="shared" si="121"/>
        <v>960</v>
      </c>
      <c r="C972" s="5"/>
      <c r="E972" s="13"/>
      <c r="F972" s="5"/>
      <c r="G972" s="11" t="str">
        <f>IF(ISERROR(AVERAGE(F$13:F972)),"n/a",AVERAGE(F$13:F972))</f>
        <v>n/a</v>
      </c>
      <c r="H972" s="11" t="str">
        <f t="shared" si="117"/>
        <v>n/a</v>
      </c>
      <c r="J972" s="5"/>
      <c r="K972" s="5"/>
      <c r="L972" s="5"/>
      <c r="M972" s="5"/>
      <c r="N972" s="5"/>
      <c r="O972" s="8" t="str">
        <f t="shared" si="115"/>
        <v>n/a</v>
      </c>
      <c r="Q972" s="5"/>
      <c r="R972" s="5"/>
      <c r="S972" s="5"/>
      <c r="U972" s="6"/>
      <c r="V972" s="9" t="str">
        <f t="shared" si="118"/>
        <v/>
      </c>
      <c r="W972" s="9" t="str">
        <f t="shared" si="119"/>
        <v/>
      </c>
      <c r="X972" s="10">
        <f>SUM(V$13:V972)/COUNTA(B$13:B972)</f>
        <v>0</v>
      </c>
      <c r="Z972" s="5"/>
      <c r="AA972" s="5"/>
      <c r="AC972" s="7"/>
      <c r="AE972" s="54" t="e">
        <f t="shared" si="120"/>
        <v>#N/A</v>
      </c>
      <c r="AF972" s="4" t="e">
        <f t="shared" si="116"/>
        <v>#N/A</v>
      </c>
    </row>
    <row r="973" spans="2:32">
      <c r="B973" s="5">
        <f t="shared" si="121"/>
        <v>961</v>
      </c>
      <c r="C973" s="5"/>
      <c r="E973" s="13"/>
      <c r="F973" s="5"/>
      <c r="G973" s="11" t="str">
        <f>IF(ISERROR(AVERAGE(F$13:F973)),"n/a",AVERAGE(F$13:F973))</f>
        <v>n/a</v>
      </c>
      <c r="H973" s="11" t="str">
        <f t="shared" si="117"/>
        <v>n/a</v>
      </c>
      <c r="J973" s="5"/>
      <c r="K973" s="5"/>
      <c r="L973" s="5"/>
      <c r="M973" s="5"/>
      <c r="N973" s="5"/>
      <c r="O973" s="8" t="str">
        <f t="shared" ref="O973:O1008" si="122">IF(J973=1,"A",IF(K973=1,"B",IF(L973=1,"C",IF(M973=1,"D",IF(N973=1,"E","n/a")))))</f>
        <v>n/a</v>
      </c>
      <c r="Q973" s="5"/>
      <c r="R973" s="5"/>
      <c r="S973" s="5"/>
      <c r="U973" s="6"/>
      <c r="V973" s="9" t="str">
        <f t="shared" si="118"/>
        <v/>
      </c>
      <c r="W973" s="9" t="str">
        <f t="shared" si="119"/>
        <v/>
      </c>
      <c r="X973" s="10">
        <f>SUM(V$13:V973)/COUNTA(B$13:B973)</f>
        <v>0</v>
      </c>
      <c r="Z973" s="5"/>
      <c r="AA973" s="5"/>
      <c r="AC973" s="7"/>
      <c r="AE973" s="54" t="e">
        <f t="shared" si="120"/>
        <v>#N/A</v>
      </c>
      <c r="AF973" s="4" t="e">
        <f t="shared" ref="AF973:AF1012" si="123">HLOOKUP(C973,$K$6:$O$7,2,FALSE)</f>
        <v>#N/A</v>
      </c>
    </row>
    <row r="974" spans="2:32">
      <c r="B974" s="5">
        <f t="shared" si="121"/>
        <v>962</v>
      </c>
      <c r="C974" s="5"/>
      <c r="E974" s="13"/>
      <c r="F974" s="5"/>
      <c r="G974" s="11" t="str">
        <f>IF(ISERROR(AVERAGE(F$13:F974)),"n/a",AVERAGE(F$13:F974))</f>
        <v>n/a</v>
      </c>
      <c r="H974" s="11" t="str">
        <f t="shared" ref="H974:H1012" si="124">G974</f>
        <v>n/a</v>
      </c>
      <c r="J974" s="5"/>
      <c r="K974" s="5"/>
      <c r="L974" s="5"/>
      <c r="M974" s="5"/>
      <c r="N974" s="5"/>
      <c r="O974" s="8" t="str">
        <f t="shared" si="122"/>
        <v>n/a</v>
      </c>
      <c r="Q974" s="5"/>
      <c r="R974" s="5"/>
      <c r="S974" s="5"/>
      <c r="U974" s="6"/>
      <c r="V974" s="9" t="str">
        <f t="shared" ref="V974:V1012" si="125">IF(O974="n/a","",IF(O974=U974,1,""))</f>
        <v/>
      </c>
      <c r="W974" s="9" t="str">
        <f t="shared" ref="W974:W1012" si="126">IF(O974="n/a","",IF(O974&lt;&gt;U974,1,""))</f>
        <v/>
      </c>
      <c r="X974" s="10">
        <f>SUM(V$13:V974)/COUNTA(B$13:B974)</f>
        <v>0</v>
      </c>
      <c r="Z974" s="5"/>
      <c r="AA974" s="5"/>
      <c r="AC974" s="7"/>
      <c r="AE974" s="54" t="e">
        <f t="shared" ref="AE974:AE1012" si="127">+IF($F$4=0,0,IF(W974=1,1,IF(OR(R974*$F$8=1,S974*$F$9=1,F974&gt;=AF974),2,0)))</f>
        <v>#N/A</v>
      </c>
      <c r="AF974" s="4" t="e">
        <f t="shared" si="123"/>
        <v>#N/A</v>
      </c>
    </row>
    <row r="975" spans="2:32">
      <c r="B975" s="5">
        <f t="shared" si="121"/>
        <v>963</v>
      </c>
      <c r="C975" s="5"/>
      <c r="E975" s="13"/>
      <c r="F975" s="5"/>
      <c r="G975" s="11" t="str">
        <f>IF(ISERROR(AVERAGE(F$13:F975)),"n/a",AVERAGE(F$13:F975))</f>
        <v>n/a</v>
      </c>
      <c r="H975" s="11" t="str">
        <f t="shared" si="124"/>
        <v>n/a</v>
      </c>
      <c r="J975" s="5"/>
      <c r="K975" s="5"/>
      <c r="L975" s="5"/>
      <c r="M975" s="5"/>
      <c r="N975" s="5"/>
      <c r="O975" s="8" t="str">
        <f t="shared" si="122"/>
        <v>n/a</v>
      </c>
      <c r="Q975" s="5"/>
      <c r="R975" s="5"/>
      <c r="S975" s="5"/>
      <c r="U975" s="6"/>
      <c r="V975" s="9" t="str">
        <f t="shared" si="125"/>
        <v/>
      </c>
      <c r="W975" s="9" t="str">
        <f t="shared" si="126"/>
        <v/>
      </c>
      <c r="X975" s="10">
        <f>SUM(V$13:V975)/COUNTA(B$13:B975)</f>
        <v>0</v>
      </c>
      <c r="Z975" s="5"/>
      <c r="AA975" s="5"/>
      <c r="AC975" s="7"/>
      <c r="AE975" s="54" t="e">
        <f t="shared" si="127"/>
        <v>#N/A</v>
      </c>
      <c r="AF975" s="4" t="e">
        <f t="shared" si="123"/>
        <v>#N/A</v>
      </c>
    </row>
    <row r="976" spans="2:32">
      <c r="B976" s="5">
        <f t="shared" si="121"/>
        <v>964</v>
      </c>
      <c r="C976" s="5"/>
      <c r="E976" s="13"/>
      <c r="F976" s="5"/>
      <c r="G976" s="11" t="str">
        <f>IF(ISERROR(AVERAGE(F$13:F976)),"n/a",AVERAGE(F$13:F976))</f>
        <v>n/a</v>
      </c>
      <c r="H976" s="11" t="str">
        <f t="shared" si="124"/>
        <v>n/a</v>
      </c>
      <c r="J976" s="5"/>
      <c r="K976" s="5"/>
      <c r="L976" s="5"/>
      <c r="M976" s="5"/>
      <c r="N976" s="5"/>
      <c r="O976" s="8" t="str">
        <f t="shared" si="122"/>
        <v>n/a</v>
      </c>
      <c r="Q976" s="5"/>
      <c r="R976" s="5"/>
      <c r="S976" s="5"/>
      <c r="U976" s="6"/>
      <c r="V976" s="9" t="str">
        <f t="shared" si="125"/>
        <v/>
      </c>
      <c r="W976" s="9" t="str">
        <f t="shared" si="126"/>
        <v/>
      </c>
      <c r="X976" s="10">
        <f>SUM(V$13:V976)/COUNTA(B$13:B976)</f>
        <v>0</v>
      </c>
      <c r="Z976" s="5"/>
      <c r="AA976" s="5"/>
      <c r="AC976" s="7"/>
      <c r="AE976" s="54" t="e">
        <f t="shared" si="127"/>
        <v>#N/A</v>
      </c>
      <c r="AF976" s="4" t="e">
        <f t="shared" si="123"/>
        <v>#N/A</v>
      </c>
    </row>
    <row r="977" spans="2:32">
      <c r="B977" s="5">
        <f t="shared" si="121"/>
        <v>965</v>
      </c>
      <c r="C977" s="5"/>
      <c r="E977" s="13"/>
      <c r="F977" s="5"/>
      <c r="G977" s="11" t="str">
        <f>IF(ISERROR(AVERAGE(F$13:F977)),"n/a",AVERAGE(F$13:F977))</f>
        <v>n/a</v>
      </c>
      <c r="H977" s="11" t="str">
        <f t="shared" si="124"/>
        <v>n/a</v>
      </c>
      <c r="J977" s="5"/>
      <c r="K977" s="5"/>
      <c r="L977" s="5"/>
      <c r="M977" s="5"/>
      <c r="N977" s="5"/>
      <c r="O977" s="8" t="str">
        <f t="shared" si="122"/>
        <v>n/a</v>
      </c>
      <c r="Q977" s="5"/>
      <c r="R977" s="5"/>
      <c r="S977" s="5"/>
      <c r="U977" s="6"/>
      <c r="V977" s="9" t="str">
        <f t="shared" si="125"/>
        <v/>
      </c>
      <c r="W977" s="9" t="str">
        <f t="shared" si="126"/>
        <v/>
      </c>
      <c r="X977" s="10">
        <f>SUM(V$13:V977)/COUNTA(B$13:B977)</f>
        <v>0</v>
      </c>
      <c r="Z977" s="5"/>
      <c r="AA977" s="5"/>
      <c r="AC977" s="7"/>
      <c r="AE977" s="54" t="e">
        <f t="shared" si="127"/>
        <v>#N/A</v>
      </c>
      <c r="AF977" s="4" t="e">
        <f t="shared" si="123"/>
        <v>#N/A</v>
      </c>
    </row>
    <row r="978" spans="2:32">
      <c r="B978" s="5">
        <f t="shared" si="121"/>
        <v>966</v>
      </c>
      <c r="C978" s="5"/>
      <c r="E978" s="13"/>
      <c r="F978" s="5"/>
      <c r="G978" s="11" t="str">
        <f>IF(ISERROR(AVERAGE(F$13:F978)),"n/a",AVERAGE(F$13:F978))</f>
        <v>n/a</v>
      </c>
      <c r="H978" s="11" t="str">
        <f t="shared" si="124"/>
        <v>n/a</v>
      </c>
      <c r="J978" s="5"/>
      <c r="K978" s="5"/>
      <c r="L978" s="5"/>
      <c r="M978" s="5"/>
      <c r="N978" s="5"/>
      <c r="O978" s="8" t="str">
        <f t="shared" si="122"/>
        <v>n/a</v>
      </c>
      <c r="Q978" s="5"/>
      <c r="R978" s="5"/>
      <c r="S978" s="5"/>
      <c r="U978" s="6"/>
      <c r="V978" s="9" t="str">
        <f t="shared" si="125"/>
        <v/>
      </c>
      <c r="W978" s="9" t="str">
        <f t="shared" si="126"/>
        <v/>
      </c>
      <c r="X978" s="10">
        <f>SUM(V$13:V978)/COUNTA(B$13:B978)</f>
        <v>0</v>
      </c>
      <c r="Z978" s="5"/>
      <c r="AA978" s="5"/>
      <c r="AC978" s="7"/>
      <c r="AE978" s="54" t="e">
        <f t="shared" si="127"/>
        <v>#N/A</v>
      </c>
      <c r="AF978" s="4" t="e">
        <f t="shared" si="123"/>
        <v>#N/A</v>
      </c>
    </row>
    <row r="979" spans="2:32">
      <c r="B979" s="5">
        <f t="shared" ref="B979:B1012" si="128">+B978+1</f>
        <v>967</v>
      </c>
      <c r="C979" s="5"/>
      <c r="E979" s="13"/>
      <c r="F979" s="5"/>
      <c r="G979" s="11" t="str">
        <f>IF(ISERROR(AVERAGE(F$13:F979)),"n/a",AVERAGE(F$13:F979))</f>
        <v>n/a</v>
      </c>
      <c r="H979" s="11" t="str">
        <f t="shared" si="124"/>
        <v>n/a</v>
      </c>
      <c r="J979" s="5"/>
      <c r="K979" s="5"/>
      <c r="L979" s="5"/>
      <c r="M979" s="5"/>
      <c r="N979" s="5"/>
      <c r="O979" s="8" t="str">
        <f t="shared" si="122"/>
        <v>n/a</v>
      </c>
      <c r="Q979" s="5"/>
      <c r="R979" s="5"/>
      <c r="S979" s="5"/>
      <c r="U979" s="6"/>
      <c r="V979" s="9" t="str">
        <f t="shared" si="125"/>
        <v/>
      </c>
      <c r="W979" s="9" t="str">
        <f t="shared" si="126"/>
        <v/>
      </c>
      <c r="X979" s="10">
        <f>SUM(V$13:V979)/COUNTA(B$13:B979)</f>
        <v>0</v>
      </c>
      <c r="Z979" s="5"/>
      <c r="AA979" s="5"/>
      <c r="AC979" s="7"/>
      <c r="AE979" s="54" t="e">
        <f t="shared" si="127"/>
        <v>#N/A</v>
      </c>
      <c r="AF979" s="4" t="e">
        <f t="shared" si="123"/>
        <v>#N/A</v>
      </c>
    </row>
    <row r="980" spans="2:32">
      <c r="B980" s="5">
        <f t="shared" si="128"/>
        <v>968</v>
      </c>
      <c r="C980" s="5"/>
      <c r="E980" s="13"/>
      <c r="F980" s="5"/>
      <c r="G980" s="11" t="str">
        <f>IF(ISERROR(AVERAGE(F$13:F980)),"n/a",AVERAGE(F$13:F980))</f>
        <v>n/a</v>
      </c>
      <c r="H980" s="11" t="str">
        <f t="shared" si="124"/>
        <v>n/a</v>
      </c>
      <c r="J980" s="5"/>
      <c r="K980" s="5"/>
      <c r="L980" s="5"/>
      <c r="M980" s="5"/>
      <c r="N980" s="5"/>
      <c r="O980" s="8" t="str">
        <f t="shared" si="122"/>
        <v>n/a</v>
      </c>
      <c r="Q980" s="5"/>
      <c r="R980" s="5"/>
      <c r="S980" s="5"/>
      <c r="U980" s="6"/>
      <c r="V980" s="9" t="str">
        <f t="shared" si="125"/>
        <v/>
      </c>
      <c r="W980" s="9" t="str">
        <f t="shared" si="126"/>
        <v/>
      </c>
      <c r="X980" s="10">
        <f>SUM(V$13:V980)/COUNTA(B$13:B980)</f>
        <v>0</v>
      </c>
      <c r="Z980" s="5"/>
      <c r="AA980" s="5"/>
      <c r="AC980" s="7"/>
      <c r="AE980" s="54" t="e">
        <f t="shared" si="127"/>
        <v>#N/A</v>
      </c>
      <c r="AF980" s="4" t="e">
        <f t="shared" si="123"/>
        <v>#N/A</v>
      </c>
    </row>
    <row r="981" spans="2:32">
      <c r="B981" s="5">
        <f t="shared" si="128"/>
        <v>969</v>
      </c>
      <c r="C981" s="5"/>
      <c r="E981" s="13"/>
      <c r="F981" s="5"/>
      <c r="G981" s="11" t="str">
        <f>IF(ISERROR(AVERAGE(F$13:F981)),"n/a",AVERAGE(F$13:F981))</f>
        <v>n/a</v>
      </c>
      <c r="H981" s="11" t="str">
        <f t="shared" si="124"/>
        <v>n/a</v>
      </c>
      <c r="J981" s="5"/>
      <c r="K981" s="5"/>
      <c r="L981" s="5"/>
      <c r="M981" s="5"/>
      <c r="N981" s="5"/>
      <c r="O981" s="8" t="str">
        <f t="shared" si="122"/>
        <v>n/a</v>
      </c>
      <c r="Q981" s="5"/>
      <c r="R981" s="5"/>
      <c r="S981" s="5"/>
      <c r="U981" s="6"/>
      <c r="V981" s="9" t="str">
        <f t="shared" si="125"/>
        <v/>
      </c>
      <c r="W981" s="9" t="str">
        <f t="shared" si="126"/>
        <v/>
      </c>
      <c r="X981" s="10">
        <f>SUM(V$13:V981)/COUNTA(B$13:B981)</f>
        <v>0</v>
      </c>
      <c r="Z981" s="5"/>
      <c r="AA981" s="5"/>
      <c r="AC981" s="7"/>
      <c r="AE981" s="54" t="e">
        <f t="shared" si="127"/>
        <v>#N/A</v>
      </c>
      <c r="AF981" s="4" t="e">
        <f t="shared" si="123"/>
        <v>#N/A</v>
      </c>
    </row>
    <row r="982" spans="2:32">
      <c r="B982" s="5">
        <f t="shared" si="128"/>
        <v>970</v>
      </c>
      <c r="C982" s="5"/>
      <c r="E982" s="13"/>
      <c r="F982" s="5"/>
      <c r="G982" s="11" t="str">
        <f>IF(ISERROR(AVERAGE(F$13:F982)),"n/a",AVERAGE(F$13:F982))</f>
        <v>n/a</v>
      </c>
      <c r="H982" s="11" t="str">
        <f t="shared" si="124"/>
        <v>n/a</v>
      </c>
      <c r="J982" s="5"/>
      <c r="K982" s="5"/>
      <c r="L982" s="5"/>
      <c r="M982" s="5"/>
      <c r="N982" s="5"/>
      <c r="O982" s="8" t="str">
        <f t="shared" si="122"/>
        <v>n/a</v>
      </c>
      <c r="Q982" s="5"/>
      <c r="R982" s="5"/>
      <c r="S982" s="5"/>
      <c r="U982" s="6"/>
      <c r="V982" s="9" t="str">
        <f t="shared" si="125"/>
        <v/>
      </c>
      <c r="W982" s="9" t="str">
        <f t="shared" si="126"/>
        <v/>
      </c>
      <c r="X982" s="10">
        <f>SUM(V$13:V982)/COUNTA(B$13:B982)</f>
        <v>0</v>
      </c>
      <c r="Z982" s="5"/>
      <c r="AA982" s="5"/>
      <c r="AC982" s="7"/>
      <c r="AE982" s="54" t="e">
        <f t="shared" si="127"/>
        <v>#N/A</v>
      </c>
      <c r="AF982" s="4" t="e">
        <f t="shared" si="123"/>
        <v>#N/A</v>
      </c>
    </row>
    <row r="983" spans="2:32">
      <c r="B983" s="5">
        <f t="shared" si="128"/>
        <v>971</v>
      </c>
      <c r="C983" s="5"/>
      <c r="E983" s="13"/>
      <c r="F983" s="5"/>
      <c r="G983" s="11" t="str">
        <f>IF(ISERROR(AVERAGE(F$13:F983)),"n/a",AVERAGE(F$13:F983))</f>
        <v>n/a</v>
      </c>
      <c r="H983" s="11" t="str">
        <f t="shared" si="124"/>
        <v>n/a</v>
      </c>
      <c r="J983" s="5"/>
      <c r="K983" s="5"/>
      <c r="L983" s="5"/>
      <c r="M983" s="5"/>
      <c r="N983" s="5"/>
      <c r="O983" s="8" t="str">
        <f t="shared" si="122"/>
        <v>n/a</v>
      </c>
      <c r="Q983" s="5"/>
      <c r="R983" s="5"/>
      <c r="S983" s="5"/>
      <c r="U983" s="6"/>
      <c r="V983" s="9" t="str">
        <f t="shared" si="125"/>
        <v/>
      </c>
      <c r="W983" s="9" t="str">
        <f t="shared" si="126"/>
        <v/>
      </c>
      <c r="X983" s="10">
        <f>SUM(V$13:V983)/COUNTA(B$13:B983)</f>
        <v>0</v>
      </c>
      <c r="Z983" s="5"/>
      <c r="AA983" s="5"/>
      <c r="AC983" s="7"/>
      <c r="AE983" s="54" t="e">
        <f t="shared" si="127"/>
        <v>#N/A</v>
      </c>
      <c r="AF983" s="4" t="e">
        <f t="shared" si="123"/>
        <v>#N/A</v>
      </c>
    </row>
    <row r="984" spans="2:32">
      <c r="B984" s="5">
        <f t="shared" si="128"/>
        <v>972</v>
      </c>
      <c r="C984" s="5"/>
      <c r="E984" s="13"/>
      <c r="F984" s="5"/>
      <c r="G984" s="11" t="str">
        <f>IF(ISERROR(AVERAGE(F$13:F984)),"n/a",AVERAGE(F$13:F984))</f>
        <v>n/a</v>
      </c>
      <c r="H984" s="11" t="str">
        <f t="shared" si="124"/>
        <v>n/a</v>
      </c>
      <c r="J984" s="5"/>
      <c r="K984" s="5"/>
      <c r="L984" s="5"/>
      <c r="M984" s="5"/>
      <c r="N984" s="5"/>
      <c r="O984" s="8" t="str">
        <f t="shared" si="122"/>
        <v>n/a</v>
      </c>
      <c r="Q984" s="5"/>
      <c r="R984" s="5"/>
      <c r="S984" s="5"/>
      <c r="U984" s="6"/>
      <c r="V984" s="9" t="str">
        <f t="shared" si="125"/>
        <v/>
      </c>
      <c r="W984" s="9" t="str">
        <f t="shared" si="126"/>
        <v/>
      </c>
      <c r="X984" s="10">
        <f>SUM(V$13:V984)/COUNTA(B$13:B984)</f>
        <v>0</v>
      </c>
      <c r="Z984" s="5"/>
      <c r="AA984" s="5"/>
      <c r="AC984" s="7"/>
      <c r="AE984" s="54" t="e">
        <f t="shared" si="127"/>
        <v>#N/A</v>
      </c>
      <c r="AF984" s="4" t="e">
        <f t="shared" si="123"/>
        <v>#N/A</v>
      </c>
    </row>
    <row r="985" spans="2:32">
      <c r="B985" s="5">
        <f t="shared" si="128"/>
        <v>973</v>
      </c>
      <c r="C985" s="5"/>
      <c r="E985" s="13"/>
      <c r="F985" s="5"/>
      <c r="G985" s="11" t="str">
        <f>IF(ISERROR(AVERAGE(F$13:F985)),"n/a",AVERAGE(F$13:F985))</f>
        <v>n/a</v>
      </c>
      <c r="H985" s="11" t="str">
        <f t="shared" si="124"/>
        <v>n/a</v>
      </c>
      <c r="J985" s="5"/>
      <c r="K985" s="5"/>
      <c r="L985" s="5"/>
      <c r="M985" s="5"/>
      <c r="N985" s="5"/>
      <c r="O985" s="8" t="str">
        <f t="shared" si="122"/>
        <v>n/a</v>
      </c>
      <c r="Q985" s="5"/>
      <c r="R985" s="5"/>
      <c r="S985" s="5"/>
      <c r="U985" s="6"/>
      <c r="V985" s="9" t="str">
        <f t="shared" si="125"/>
        <v/>
      </c>
      <c r="W985" s="9" t="str">
        <f t="shared" si="126"/>
        <v/>
      </c>
      <c r="X985" s="10">
        <f>SUM(V$13:V985)/COUNTA(B$13:B985)</f>
        <v>0</v>
      </c>
      <c r="Z985" s="5"/>
      <c r="AA985" s="5"/>
      <c r="AC985" s="7"/>
      <c r="AE985" s="54" t="e">
        <f t="shared" si="127"/>
        <v>#N/A</v>
      </c>
      <c r="AF985" s="4" t="e">
        <f t="shared" si="123"/>
        <v>#N/A</v>
      </c>
    </row>
    <row r="986" spans="2:32">
      <c r="B986" s="5">
        <f t="shared" si="128"/>
        <v>974</v>
      </c>
      <c r="C986" s="5"/>
      <c r="E986" s="13"/>
      <c r="F986" s="5"/>
      <c r="G986" s="11" t="str">
        <f>IF(ISERROR(AVERAGE(F$13:F986)),"n/a",AVERAGE(F$13:F986))</f>
        <v>n/a</v>
      </c>
      <c r="H986" s="11" t="str">
        <f t="shared" si="124"/>
        <v>n/a</v>
      </c>
      <c r="J986" s="5"/>
      <c r="K986" s="5"/>
      <c r="L986" s="5"/>
      <c r="M986" s="5"/>
      <c r="N986" s="5"/>
      <c r="O986" s="8" t="str">
        <f t="shared" si="122"/>
        <v>n/a</v>
      </c>
      <c r="Q986" s="5"/>
      <c r="R986" s="5"/>
      <c r="S986" s="5"/>
      <c r="U986" s="6"/>
      <c r="V986" s="9" t="str">
        <f t="shared" si="125"/>
        <v/>
      </c>
      <c r="W986" s="9" t="str">
        <f t="shared" si="126"/>
        <v/>
      </c>
      <c r="X986" s="10">
        <f>SUM(V$13:V986)/COUNTA(B$13:B986)</f>
        <v>0</v>
      </c>
      <c r="Z986" s="5"/>
      <c r="AA986" s="5"/>
      <c r="AC986" s="7"/>
      <c r="AE986" s="54" t="e">
        <f t="shared" si="127"/>
        <v>#N/A</v>
      </c>
      <c r="AF986" s="4" t="e">
        <f t="shared" si="123"/>
        <v>#N/A</v>
      </c>
    </row>
    <row r="987" spans="2:32">
      <c r="B987" s="5">
        <f t="shared" si="128"/>
        <v>975</v>
      </c>
      <c r="C987" s="5"/>
      <c r="E987" s="13"/>
      <c r="F987" s="5"/>
      <c r="G987" s="11" t="str">
        <f>IF(ISERROR(AVERAGE(F$13:F987)),"n/a",AVERAGE(F$13:F987))</f>
        <v>n/a</v>
      </c>
      <c r="H987" s="11" t="str">
        <f t="shared" si="124"/>
        <v>n/a</v>
      </c>
      <c r="J987" s="5"/>
      <c r="K987" s="5"/>
      <c r="L987" s="5"/>
      <c r="M987" s="5"/>
      <c r="N987" s="5"/>
      <c r="O987" s="8" t="str">
        <f t="shared" si="122"/>
        <v>n/a</v>
      </c>
      <c r="Q987" s="5"/>
      <c r="R987" s="5"/>
      <c r="S987" s="5"/>
      <c r="U987" s="6"/>
      <c r="V987" s="9" t="str">
        <f t="shared" si="125"/>
        <v/>
      </c>
      <c r="W987" s="9" t="str">
        <f t="shared" si="126"/>
        <v/>
      </c>
      <c r="X987" s="10">
        <f>SUM(V$13:V987)/COUNTA(B$13:B987)</f>
        <v>0</v>
      </c>
      <c r="Z987" s="5"/>
      <c r="AA987" s="5"/>
      <c r="AC987" s="7"/>
      <c r="AE987" s="54" t="e">
        <f t="shared" si="127"/>
        <v>#N/A</v>
      </c>
      <c r="AF987" s="4" t="e">
        <f t="shared" si="123"/>
        <v>#N/A</v>
      </c>
    </row>
    <row r="988" spans="2:32">
      <c r="B988" s="5">
        <f t="shared" si="128"/>
        <v>976</v>
      </c>
      <c r="C988" s="5"/>
      <c r="E988" s="13"/>
      <c r="F988" s="5"/>
      <c r="G988" s="11" t="str">
        <f>IF(ISERROR(AVERAGE(F$13:F988)),"n/a",AVERAGE(F$13:F988))</f>
        <v>n/a</v>
      </c>
      <c r="H988" s="11" t="str">
        <f t="shared" si="124"/>
        <v>n/a</v>
      </c>
      <c r="J988" s="5"/>
      <c r="K988" s="5"/>
      <c r="L988" s="5"/>
      <c r="M988" s="5"/>
      <c r="N988" s="5"/>
      <c r="O988" s="8" t="str">
        <f t="shared" si="122"/>
        <v>n/a</v>
      </c>
      <c r="Q988" s="5"/>
      <c r="R988" s="5"/>
      <c r="S988" s="5"/>
      <c r="U988" s="6"/>
      <c r="V988" s="9" t="str">
        <f t="shared" si="125"/>
        <v/>
      </c>
      <c r="W988" s="9" t="str">
        <f t="shared" si="126"/>
        <v/>
      </c>
      <c r="X988" s="10">
        <f>SUM(V$13:V988)/COUNTA(B$13:B988)</f>
        <v>0</v>
      </c>
      <c r="Z988" s="5"/>
      <c r="AA988" s="5"/>
      <c r="AC988" s="7"/>
      <c r="AE988" s="54" t="e">
        <f t="shared" si="127"/>
        <v>#N/A</v>
      </c>
      <c r="AF988" s="4" t="e">
        <f t="shared" si="123"/>
        <v>#N/A</v>
      </c>
    </row>
    <row r="989" spans="2:32">
      <c r="B989" s="5">
        <f t="shared" si="128"/>
        <v>977</v>
      </c>
      <c r="C989" s="5"/>
      <c r="E989" s="13"/>
      <c r="F989" s="5"/>
      <c r="G989" s="11" t="str">
        <f>IF(ISERROR(AVERAGE(F$13:F989)),"n/a",AVERAGE(F$13:F989))</f>
        <v>n/a</v>
      </c>
      <c r="H989" s="11" t="str">
        <f t="shared" si="124"/>
        <v>n/a</v>
      </c>
      <c r="J989" s="5"/>
      <c r="K989" s="5"/>
      <c r="L989" s="5"/>
      <c r="M989" s="5"/>
      <c r="N989" s="5"/>
      <c r="O989" s="8" t="str">
        <f t="shared" si="122"/>
        <v>n/a</v>
      </c>
      <c r="Q989" s="5"/>
      <c r="R989" s="5"/>
      <c r="S989" s="5"/>
      <c r="U989" s="6"/>
      <c r="V989" s="9" t="str">
        <f t="shared" si="125"/>
        <v/>
      </c>
      <c r="W989" s="9" t="str">
        <f t="shared" si="126"/>
        <v/>
      </c>
      <c r="X989" s="10">
        <f>SUM(V$13:V989)/COUNTA(B$13:B989)</f>
        <v>0</v>
      </c>
      <c r="Z989" s="5"/>
      <c r="AA989" s="5"/>
      <c r="AC989" s="7"/>
      <c r="AE989" s="54" t="e">
        <f t="shared" si="127"/>
        <v>#N/A</v>
      </c>
      <c r="AF989" s="4" t="e">
        <f t="shared" si="123"/>
        <v>#N/A</v>
      </c>
    </row>
    <row r="990" spans="2:32">
      <c r="B990" s="5">
        <f t="shared" si="128"/>
        <v>978</v>
      </c>
      <c r="C990" s="5"/>
      <c r="E990" s="13"/>
      <c r="F990" s="5"/>
      <c r="G990" s="11" t="str">
        <f>IF(ISERROR(AVERAGE(F$13:F990)),"n/a",AVERAGE(F$13:F990))</f>
        <v>n/a</v>
      </c>
      <c r="H990" s="11" t="str">
        <f t="shared" si="124"/>
        <v>n/a</v>
      </c>
      <c r="J990" s="5"/>
      <c r="K990" s="5"/>
      <c r="L990" s="5"/>
      <c r="M990" s="5"/>
      <c r="N990" s="5"/>
      <c r="O990" s="8" t="str">
        <f t="shared" si="122"/>
        <v>n/a</v>
      </c>
      <c r="Q990" s="5"/>
      <c r="R990" s="5"/>
      <c r="S990" s="5"/>
      <c r="U990" s="6"/>
      <c r="V990" s="9" t="str">
        <f t="shared" si="125"/>
        <v/>
      </c>
      <c r="W990" s="9" t="str">
        <f t="shared" si="126"/>
        <v/>
      </c>
      <c r="X990" s="10">
        <f>SUM(V$13:V990)/COUNTA(B$13:B990)</f>
        <v>0</v>
      </c>
      <c r="Z990" s="5"/>
      <c r="AA990" s="5"/>
      <c r="AC990" s="7"/>
      <c r="AE990" s="54" t="e">
        <f t="shared" si="127"/>
        <v>#N/A</v>
      </c>
      <c r="AF990" s="4" t="e">
        <f t="shared" si="123"/>
        <v>#N/A</v>
      </c>
    </row>
    <row r="991" spans="2:32">
      <c r="B991" s="5">
        <f t="shared" si="128"/>
        <v>979</v>
      </c>
      <c r="C991" s="5"/>
      <c r="E991" s="13"/>
      <c r="F991" s="5"/>
      <c r="G991" s="11" t="str">
        <f>IF(ISERROR(AVERAGE(F$13:F991)),"n/a",AVERAGE(F$13:F991))</f>
        <v>n/a</v>
      </c>
      <c r="H991" s="11" t="str">
        <f t="shared" si="124"/>
        <v>n/a</v>
      </c>
      <c r="J991" s="5"/>
      <c r="K991" s="5"/>
      <c r="L991" s="5"/>
      <c r="M991" s="5"/>
      <c r="N991" s="5"/>
      <c r="O991" s="8" t="str">
        <f t="shared" si="122"/>
        <v>n/a</v>
      </c>
      <c r="Q991" s="5"/>
      <c r="R991" s="5"/>
      <c r="S991" s="5"/>
      <c r="U991" s="6"/>
      <c r="V991" s="9" t="str">
        <f t="shared" si="125"/>
        <v/>
      </c>
      <c r="W991" s="9" t="str">
        <f t="shared" si="126"/>
        <v/>
      </c>
      <c r="X991" s="10">
        <f>SUM(V$13:V991)/COUNTA(B$13:B991)</f>
        <v>0</v>
      </c>
      <c r="Z991" s="5"/>
      <c r="AA991" s="5"/>
      <c r="AC991" s="7"/>
      <c r="AE991" s="54" t="e">
        <f t="shared" si="127"/>
        <v>#N/A</v>
      </c>
      <c r="AF991" s="4" t="e">
        <f t="shared" si="123"/>
        <v>#N/A</v>
      </c>
    </row>
    <row r="992" spans="2:32">
      <c r="B992" s="5">
        <f t="shared" si="128"/>
        <v>980</v>
      </c>
      <c r="C992" s="5"/>
      <c r="E992" s="13"/>
      <c r="F992" s="5"/>
      <c r="G992" s="11" t="str">
        <f>IF(ISERROR(AVERAGE(F$13:F992)),"n/a",AVERAGE(F$13:F992))</f>
        <v>n/a</v>
      </c>
      <c r="H992" s="11" t="str">
        <f t="shared" si="124"/>
        <v>n/a</v>
      </c>
      <c r="J992" s="5"/>
      <c r="K992" s="5"/>
      <c r="L992" s="5"/>
      <c r="M992" s="5"/>
      <c r="N992" s="5"/>
      <c r="O992" s="8" t="str">
        <f t="shared" si="122"/>
        <v>n/a</v>
      </c>
      <c r="Q992" s="5"/>
      <c r="R992" s="5"/>
      <c r="S992" s="5"/>
      <c r="U992" s="6"/>
      <c r="V992" s="9" t="str">
        <f t="shared" si="125"/>
        <v/>
      </c>
      <c r="W992" s="9" t="str">
        <f t="shared" si="126"/>
        <v/>
      </c>
      <c r="X992" s="10">
        <f>SUM(V$13:V992)/COUNTA(B$13:B992)</f>
        <v>0</v>
      </c>
      <c r="Z992" s="5"/>
      <c r="AA992" s="5"/>
      <c r="AC992" s="7"/>
      <c r="AE992" s="54" t="e">
        <f t="shared" si="127"/>
        <v>#N/A</v>
      </c>
      <c r="AF992" s="4" t="e">
        <f t="shared" si="123"/>
        <v>#N/A</v>
      </c>
    </row>
    <row r="993" spans="2:32">
      <c r="B993" s="5">
        <f t="shared" si="128"/>
        <v>981</v>
      </c>
      <c r="C993" s="5"/>
      <c r="E993" s="13"/>
      <c r="F993" s="5"/>
      <c r="G993" s="11" t="str">
        <f>IF(ISERROR(AVERAGE(F$13:F993)),"n/a",AVERAGE(F$13:F993))</f>
        <v>n/a</v>
      </c>
      <c r="H993" s="11" t="str">
        <f t="shared" si="124"/>
        <v>n/a</v>
      </c>
      <c r="J993" s="5"/>
      <c r="K993" s="5"/>
      <c r="L993" s="5"/>
      <c r="M993" s="5"/>
      <c r="N993" s="5"/>
      <c r="O993" s="8" t="str">
        <f t="shared" si="122"/>
        <v>n/a</v>
      </c>
      <c r="Q993" s="5"/>
      <c r="R993" s="5"/>
      <c r="S993" s="5"/>
      <c r="U993" s="6"/>
      <c r="V993" s="9" t="str">
        <f t="shared" si="125"/>
        <v/>
      </c>
      <c r="W993" s="9" t="str">
        <f t="shared" si="126"/>
        <v/>
      </c>
      <c r="X993" s="10">
        <f>SUM(V$13:V993)/COUNTA(B$13:B993)</f>
        <v>0</v>
      </c>
      <c r="Z993" s="5"/>
      <c r="AA993" s="5"/>
      <c r="AC993" s="7"/>
      <c r="AE993" s="54" t="e">
        <f t="shared" si="127"/>
        <v>#N/A</v>
      </c>
      <c r="AF993" s="4" t="e">
        <f t="shared" si="123"/>
        <v>#N/A</v>
      </c>
    </row>
    <row r="994" spans="2:32">
      <c r="B994" s="5">
        <f t="shared" si="128"/>
        <v>982</v>
      </c>
      <c r="C994" s="5"/>
      <c r="E994" s="13"/>
      <c r="F994" s="5"/>
      <c r="G994" s="11" t="str">
        <f>IF(ISERROR(AVERAGE(F$13:F994)),"n/a",AVERAGE(F$13:F994))</f>
        <v>n/a</v>
      </c>
      <c r="H994" s="11" t="str">
        <f t="shared" si="124"/>
        <v>n/a</v>
      </c>
      <c r="J994" s="5"/>
      <c r="K994" s="5"/>
      <c r="L994" s="5"/>
      <c r="M994" s="5"/>
      <c r="N994" s="5"/>
      <c r="O994" s="8" t="str">
        <f t="shared" si="122"/>
        <v>n/a</v>
      </c>
      <c r="Q994" s="5"/>
      <c r="R994" s="5"/>
      <c r="S994" s="5"/>
      <c r="U994" s="6"/>
      <c r="V994" s="9" t="str">
        <f t="shared" si="125"/>
        <v/>
      </c>
      <c r="W994" s="9" t="str">
        <f t="shared" si="126"/>
        <v/>
      </c>
      <c r="X994" s="10">
        <f>SUM(V$13:V994)/COUNTA(B$13:B994)</f>
        <v>0</v>
      </c>
      <c r="Z994" s="5"/>
      <c r="AA994" s="5"/>
      <c r="AC994" s="7"/>
      <c r="AE994" s="54" t="e">
        <f t="shared" si="127"/>
        <v>#N/A</v>
      </c>
      <c r="AF994" s="4" t="e">
        <f t="shared" si="123"/>
        <v>#N/A</v>
      </c>
    </row>
    <row r="995" spans="2:32">
      <c r="B995" s="5">
        <f t="shared" si="128"/>
        <v>983</v>
      </c>
      <c r="C995" s="5"/>
      <c r="E995" s="13"/>
      <c r="F995" s="5"/>
      <c r="G995" s="11" t="str">
        <f>IF(ISERROR(AVERAGE(F$13:F995)),"n/a",AVERAGE(F$13:F995))</f>
        <v>n/a</v>
      </c>
      <c r="H995" s="11" t="str">
        <f t="shared" si="124"/>
        <v>n/a</v>
      </c>
      <c r="J995" s="5"/>
      <c r="K995" s="5"/>
      <c r="L995" s="5"/>
      <c r="M995" s="5"/>
      <c r="N995" s="5"/>
      <c r="O995" s="8" t="str">
        <f t="shared" si="122"/>
        <v>n/a</v>
      </c>
      <c r="Q995" s="5"/>
      <c r="R995" s="5"/>
      <c r="S995" s="5"/>
      <c r="U995" s="6"/>
      <c r="V995" s="9" t="str">
        <f t="shared" si="125"/>
        <v/>
      </c>
      <c r="W995" s="9" t="str">
        <f t="shared" si="126"/>
        <v/>
      </c>
      <c r="X995" s="10">
        <f>SUM(V$13:V995)/COUNTA(B$13:B995)</f>
        <v>0</v>
      </c>
      <c r="Z995" s="5"/>
      <c r="AA995" s="5"/>
      <c r="AC995" s="7"/>
      <c r="AE995" s="54" t="e">
        <f t="shared" si="127"/>
        <v>#N/A</v>
      </c>
      <c r="AF995" s="4" t="e">
        <f t="shared" si="123"/>
        <v>#N/A</v>
      </c>
    </row>
    <row r="996" spans="2:32">
      <c r="B996" s="5">
        <f t="shared" si="128"/>
        <v>984</v>
      </c>
      <c r="C996" s="5"/>
      <c r="E996" s="13"/>
      <c r="F996" s="5"/>
      <c r="G996" s="11" t="str">
        <f>IF(ISERROR(AVERAGE(F$13:F996)),"n/a",AVERAGE(F$13:F996))</f>
        <v>n/a</v>
      </c>
      <c r="H996" s="11" t="str">
        <f t="shared" si="124"/>
        <v>n/a</v>
      </c>
      <c r="J996" s="5"/>
      <c r="K996" s="5"/>
      <c r="L996" s="5"/>
      <c r="M996" s="5"/>
      <c r="N996" s="5"/>
      <c r="O996" s="8" t="str">
        <f t="shared" si="122"/>
        <v>n/a</v>
      </c>
      <c r="Q996" s="5"/>
      <c r="R996" s="5"/>
      <c r="S996" s="5"/>
      <c r="U996" s="6"/>
      <c r="V996" s="9" t="str">
        <f t="shared" si="125"/>
        <v/>
      </c>
      <c r="W996" s="9" t="str">
        <f t="shared" si="126"/>
        <v/>
      </c>
      <c r="X996" s="10">
        <f>SUM(V$13:V996)/COUNTA(B$13:B996)</f>
        <v>0</v>
      </c>
      <c r="Z996" s="5"/>
      <c r="AA996" s="5"/>
      <c r="AC996" s="7"/>
      <c r="AE996" s="54" t="e">
        <f t="shared" si="127"/>
        <v>#N/A</v>
      </c>
      <c r="AF996" s="4" t="e">
        <f t="shared" si="123"/>
        <v>#N/A</v>
      </c>
    </row>
    <row r="997" spans="2:32">
      <c r="B997" s="5">
        <f t="shared" si="128"/>
        <v>985</v>
      </c>
      <c r="C997" s="5"/>
      <c r="E997" s="13"/>
      <c r="F997" s="5"/>
      <c r="G997" s="11" t="str">
        <f>IF(ISERROR(AVERAGE(F$13:F997)),"n/a",AVERAGE(F$13:F997))</f>
        <v>n/a</v>
      </c>
      <c r="H997" s="11" t="str">
        <f t="shared" si="124"/>
        <v>n/a</v>
      </c>
      <c r="J997" s="5"/>
      <c r="K997" s="5"/>
      <c r="L997" s="5"/>
      <c r="M997" s="5"/>
      <c r="N997" s="5"/>
      <c r="O997" s="8" t="str">
        <f t="shared" si="122"/>
        <v>n/a</v>
      </c>
      <c r="Q997" s="5"/>
      <c r="R997" s="5"/>
      <c r="S997" s="5"/>
      <c r="U997" s="6"/>
      <c r="V997" s="9" t="str">
        <f t="shared" si="125"/>
        <v/>
      </c>
      <c r="W997" s="9" t="str">
        <f t="shared" si="126"/>
        <v/>
      </c>
      <c r="X997" s="10">
        <f>SUM(V$13:V997)/COUNTA(B$13:B997)</f>
        <v>0</v>
      </c>
      <c r="Z997" s="5"/>
      <c r="AA997" s="5"/>
      <c r="AC997" s="7"/>
      <c r="AE997" s="54" t="e">
        <f t="shared" si="127"/>
        <v>#N/A</v>
      </c>
      <c r="AF997" s="4" t="e">
        <f t="shared" si="123"/>
        <v>#N/A</v>
      </c>
    </row>
    <row r="998" spans="2:32">
      <c r="B998" s="5">
        <f t="shared" si="128"/>
        <v>986</v>
      </c>
      <c r="C998" s="5"/>
      <c r="E998" s="13"/>
      <c r="F998" s="5"/>
      <c r="G998" s="11" t="str">
        <f>IF(ISERROR(AVERAGE(F$13:F998)),"n/a",AVERAGE(F$13:F998))</f>
        <v>n/a</v>
      </c>
      <c r="H998" s="11" t="str">
        <f t="shared" si="124"/>
        <v>n/a</v>
      </c>
      <c r="J998" s="5"/>
      <c r="K998" s="5"/>
      <c r="L998" s="5"/>
      <c r="M998" s="5"/>
      <c r="N998" s="5"/>
      <c r="O998" s="8" t="str">
        <f t="shared" si="122"/>
        <v>n/a</v>
      </c>
      <c r="Q998" s="5"/>
      <c r="R998" s="5"/>
      <c r="S998" s="5"/>
      <c r="U998" s="6"/>
      <c r="V998" s="9" t="str">
        <f t="shared" si="125"/>
        <v/>
      </c>
      <c r="W998" s="9" t="str">
        <f t="shared" si="126"/>
        <v/>
      </c>
      <c r="X998" s="10">
        <f>SUM(V$13:V998)/COUNTA(B$13:B998)</f>
        <v>0</v>
      </c>
      <c r="Z998" s="5"/>
      <c r="AA998" s="5"/>
      <c r="AC998" s="7"/>
      <c r="AE998" s="54" t="e">
        <f t="shared" si="127"/>
        <v>#N/A</v>
      </c>
      <c r="AF998" s="4" t="e">
        <f t="shared" si="123"/>
        <v>#N/A</v>
      </c>
    </row>
    <row r="999" spans="2:32">
      <c r="B999" s="5">
        <f t="shared" si="128"/>
        <v>987</v>
      </c>
      <c r="C999" s="5"/>
      <c r="E999" s="13"/>
      <c r="F999" s="5"/>
      <c r="G999" s="11" t="str">
        <f>IF(ISERROR(AVERAGE(F$13:F999)),"n/a",AVERAGE(F$13:F999))</f>
        <v>n/a</v>
      </c>
      <c r="H999" s="11" t="str">
        <f t="shared" si="124"/>
        <v>n/a</v>
      </c>
      <c r="J999" s="5"/>
      <c r="K999" s="5"/>
      <c r="L999" s="5"/>
      <c r="M999" s="5"/>
      <c r="N999" s="5"/>
      <c r="O999" s="8" t="str">
        <f t="shared" si="122"/>
        <v>n/a</v>
      </c>
      <c r="Q999" s="5"/>
      <c r="R999" s="5"/>
      <c r="S999" s="5"/>
      <c r="U999" s="6"/>
      <c r="V999" s="9" t="str">
        <f t="shared" si="125"/>
        <v/>
      </c>
      <c r="W999" s="9" t="str">
        <f t="shared" si="126"/>
        <v/>
      </c>
      <c r="X999" s="10">
        <f>SUM(V$13:V999)/COUNTA(B$13:B999)</f>
        <v>0</v>
      </c>
      <c r="Z999" s="5"/>
      <c r="AA999" s="5"/>
      <c r="AC999" s="7"/>
      <c r="AE999" s="54" t="e">
        <f t="shared" si="127"/>
        <v>#N/A</v>
      </c>
      <c r="AF999" s="4" t="e">
        <f t="shared" si="123"/>
        <v>#N/A</v>
      </c>
    </row>
    <row r="1000" spans="2:32">
      <c r="B1000" s="5">
        <f t="shared" si="128"/>
        <v>988</v>
      </c>
      <c r="C1000" s="5"/>
      <c r="E1000" s="13"/>
      <c r="F1000" s="5"/>
      <c r="G1000" s="11" t="str">
        <f>IF(ISERROR(AVERAGE(F$13:F1000)),"n/a",AVERAGE(F$13:F1000))</f>
        <v>n/a</v>
      </c>
      <c r="H1000" s="11" t="str">
        <f t="shared" si="124"/>
        <v>n/a</v>
      </c>
      <c r="J1000" s="5"/>
      <c r="K1000" s="5"/>
      <c r="L1000" s="5"/>
      <c r="M1000" s="5"/>
      <c r="N1000" s="5"/>
      <c r="O1000" s="8" t="str">
        <f t="shared" si="122"/>
        <v>n/a</v>
      </c>
      <c r="Q1000" s="5"/>
      <c r="R1000" s="5"/>
      <c r="S1000" s="5"/>
      <c r="U1000" s="6"/>
      <c r="V1000" s="9" t="str">
        <f t="shared" si="125"/>
        <v/>
      </c>
      <c r="W1000" s="9" t="str">
        <f t="shared" si="126"/>
        <v/>
      </c>
      <c r="X1000" s="10">
        <f>SUM(V$13:V1000)/COUNTA(B$13:B1000)</f>
        <v>0</v>
      </c>
      <c r="Z1000" s="5"/>
      <c r="AA1000" s="5"/>
      <c r="AC1000" s="7"/>
      <c r="AE1000" s="54" t="e">
        <f t="shared" si="127"/>
        <v>#N/A</v>
      </c>
      <c r="AF1000" s="4" t="e">
        <f t="shared" si="123"/>
        <v>#N/A</v>
      </c>
    </row>
    <row r="1001" spans="2:32">
      <c r="B1001" s="5">
        <f t="shared" si="128"/>
        <v>989</v>
      </c>
      <c r="C1001" s="5"/>
      <c r="E1001" s="13"/>
      <c r="F1001" s="5"/>
      <c r="G1001" s="11" t="str">
        <f>IF(ISERROR(AVERAGE(F$13:F1001)),"n/a",AVERAGE(F$13:F1001))</f>
        <v>n/a</v>
      </c>
      <c r="H1001" s="11" t="str">
        <f t="shared" si="124"/>
        <v>n/a</v>
      </c>
      <c r="J1001" s="5"/>
      <c r="K1001" s="5"/>
      <c r="L1001" s="5"/>
      <c r="M1001" s="5"/>
      <c r="N1001" s="5"/>
      <c r="O1001" s="8" t="str">
        <f t="shared" si="122"/>
        <v>n/a</v>
      </c>
      <c r="Q1001" s="5"/>
      <c r="R1001" s="5"/>
      <c r="S1001" s="5"/>
      <c r="U1001" s="6"/>
      <c r="V1001" s="9" t="str">
        <f t="shared" si="125"/>
        <v/>
      </c>
      <c r="W1001" s="9" t="str">
        <f t="shared" si="126"/>
        <v/>
      </c>
      <c r="X1001" s="10">
        <f>SUM(V$13:V1001)/COUNTA(B$13:B1001)</f>
        <v>0</v>
      </c>
      <c r="Z1001" s="5"/>
      <c r="AA1001" s="5"/>
      <c r="AC1001" s="7"/>
      <c r="AE1001" s="54" t="e">
        <f t="shared" si="127"/>
        <v>#N/A</v>
      </c>
      <c r="AF1001" s="4" t="e">
        <f t="shared" si="123"/>
        <v>#N/A</v>
      </c>
    </row>
    <row r="1002" spans="2:32">
      <c r="B1002" s="5">
        <f t="shared" si="128"/>
        <v>990</v>
      </c>
      <c r="C1002" s="5"/>
      <c r="E1002" s="13"/>
      <c r="F1002" s="5"/>
      <c r="G1002" s="11" t="str">
        <f>IF(ISERROR(AVERAGE(F$13:F1002)),"n/a",AVERAGE(F$13:F1002))</f>
        <v>n/a</v>
      </c>
      <c r="H1002" s="11" t="str">
        <f t="shared" si="124"/>
        <v>n/a</v>
      </c>
      <c r="J1002" s="5"/>
      <c r="K1002" s="5"/>
      <c r="L1002" s="5"/>
      <c r="M1002" s="5"/>
      <c r="N1002" s="5"/>
      <c r="O1002" s="8" t="str">
        <f t="shared" si="122"/>
        <v>n/a</v>
      </c>
      <c r="Q1002" s="5"/>
      <c r="R1002" s="5"/>
      <c r="S1002" s="5"/>
      <c r="U1002" s="6"/>
      <c r="V1002" s="9" t="str">
        <f t="shared" si="125"/>
        <v/>
      </c>
      <c r="W1002" s="9" t="str">
        <f t="shared" si="126"/>
        <v/>
      </c>
      <c r="X1002" s="10">
        <f>SUM(V$13:V1002)/COUNTA(B$13:B1002)</f>
        <v>0</v>
      </c>
      <c r="Z1002" s="5"/>
      <c r="AA1002" s="5"/>
      <c r="AC1002" s="7"/>
      <c r="AE1002" s="54" t="e">
        <f t="shared" si="127"/>
        <v>#N/A</v>
      </c>
      <c r="AF1002" s="4" t="e">
        <f t="shared" si="123"/>
        <v>#N/A</v>
      </c>
    </row>
    <row r="1003" spans="2:32">
      <c r="B1003" s="5">
        <f t="shared" si="128"/>
        <v>991</v>
      </c>
      <c r="C1003" s="5"/>
      <c r="E1003" s="13"/>
      <c r="F1003" s="5"/>
      <c r="G1003" s="11" t="str">
        <f>IF(ISERROR(AVERAGE(F$13:F1003)),"n/a",AVERAGE(F$13:F1003))</f>
        <v>n/a</v>
      </c>
      <c r="H1003" s="11" t="str">
        <f t="shared" si="124"/>
        <v>n/a</v>
      </c>
      <c r="J1003" s="5"/>
      <c r="K1003" s="5"/>
      <c r="L1003" s="5"/>
      <c r="M1003" s="5"/>
      <c r="N1003" s="5"/>
      <c r="O1003" s="8" t="str">
        <f t="shared" si="122"/>
        <v>n/a</v>
      </c>
      <c r="Q1003" s="5"/>
      <c r="R1003" s="5"/>
      <c r="S1003" s="5"/>
      <c r="U1003" s="6"/>
      <c r="V1003" s="9" t="str">
        <f t="shared" si="125"/>
        <v/>
      </c>
      <c r="W1003" s="9" t="str">
        <f t="shared" si="126"/>
        <v/>
      </c>
      <c r="X1003" s="10">
        <f>SUM(V$13:V1003)/COUNTA(B$13:B1003)</f>
        <v>0</v>
      </c>
      <c r="Z1003" s="5"/>
      <c r="AA1003" s="5"/>
      <c r="AC1003" s="7"/>
      <c r="AE1003" s="54" t="e">
        <f t="shared" si="127"/>
        <v>#N/A</v>
      </c>
      <c r="AF1003" s="4" t="e">
        <f t="shared" si="123"/>
        <v>#N/A</v>
      </c>
    </row>
    <row r="1004" spans="2:32">
      <c r="B1004" s="5">
        <f t="shared" si="128"/>
        <v>992</v>
      </c>
      <c r="C1004" s="5"/>
      <c r="E1004" s="13"/>
      <c r="F1004" s="5"/>
      <c r="G1004" s="11" t="str">
        <f>IF(ISERROR(AVERAGE(F$13:F1004)),"n/a",AVERAGE(F$13:F1004))</f>
        <v>n/a</v>
      </c>
      <c r="H1004" s="11" t="str">
        <f t="shared" si="124"/>
        <v>n/a</v>
      </c>
      <c r="J1004" s="5"/>
      <c r="K1004" s="5"/>
      <c r="L1004" s="5"/>
      <c r="M1004" s="5"/>
      <c r="N1004" s="5"/>
      <c r="O1004" s="8" t="str">
        <f t="shared" si="122"/>
        <v>n/a</v>
      </c>
      <c r="Q1004" s="5"/>
      <c r="R1004" s="5"/>
      <c r="S1004" s="5"/>
      <c r="U1004" s="6"/>
      <c r="V1004" s="9" t="str">
        <f t="shared" si="125"/>
        <v/>
      </c>
      <c r="W1004" s="9" t="str">
        <f t="shared" si="126"/>
        <v/>
      </c>
      <c r="X1004" s="10">
        <f>SUM(V$13:V1004)/COUNTA(B$13:B1004)</f>
        <v>0</v>
      </c>
      <c r="Z1004" s="5"/>
      <c r="AA1004" s="5"/>
      <c r="AC1004" s="7"/>
      <c r="AE1004" s="54" t="e">
        <f t="shared" si="127"/>
        <v>#N/A</v>
      </c>
      <c r="AF1004" s="4" t="e">
        <f t="shared" si="123"/>
        <v>#N/A</v>
      </c>
    </row>
    <row r="1005" spans="2:32">
      <c r="B1005" s="5">
        <f t="shared" si="128"/>
        <v>993</v>
      </c>
      <c r="C1005" s="5"/>
      <c r="E1005" s="13"/>
      <c r="F1005" s="5"/>
      <c r="G1005" s="11" t="str">
        <f>IF(ISERROR(AVERAGE(F$13:F1005)),"n/a",AVERAGE(F$13:F1005))</f>
        <v>n/a</v>
      </c>
      <c r="H1005" s="11" t="str">
        <f t="shared" si="124"/>
        <v>n/a</v>
      </c>
      <c r="J1005" s="5"/>
      <c r="K1005" s="5"/>
      <c r="L1005" s="5"/>
      <c r="M1005" s="5"/>
      <c r="N1005" s="5"/>
      <c r="O1005" s="8" t="str">
        <f t="shared" si="122"/>
        <v>n/a</v>
      </c>
      <c r="Q1005" s="5"/>
      <c r="R1005" s="5"/>
      <c r="S1005" s="5"/>
      <c r="U1005" s="6"/>
      <c r="V1005" s="9" t="str">
        <f t="shared" si="125"/>
        <v/>
      </c>
      <c r="W1005" s="9" t="str">
        <f t="shared" si="126"/>
        <v/>
      </c>
      <c r="X1005" s="10">
        <f>SUM(V$13:V1005)/COUNTA(B$13:B1005)</f>
        <v>0</v>
      </c>
      <c r="Z1005" s="5"/>
      <c r="AA1005" s="5"/>
      <c r="AC1005" s="7"/>
      <c r="AE1005" s="54" t="e">
        <f t="shared" si="127"/>
        <v>#N/A</v>
      </c>
      <c r="AF1005" s="4" t="e">
        <f t="shared" si="123"/>
        <v>#N/A</v>
      </c>
    </row>
    <row r="1006" spans="2:32">
      <c r="B1006" s="5">
        <f t="shared" si="128"/>
        <v>994</v>
      </c>
      <c r="C1006" s="5"/>
      <c r="E1006" s="13"/>
      <c r="F1006" s="5"/>
      <c r="G1006" s="11" t="str">
        <f>IF(ISERROR(AVERAGE(F$13:F1006)),"n/a",AVERAGE(F$13:F1006))</f>
        <v>n/a</v>
      </c>
      <c r="H1006" s="11" t="str">
        <f t="shared" si="124"/>
        <v>n/a</v>
      </c>
      <c r="J1006" s="5"/>
      <c r="K1006" s="5"/>
      <c r="L1006" s="5"/>
      <c r="M1006" s="5"/>
      <c r="N1006" s="5"/>
      <c r="O1006" s="8" t="str">
        <f t="shared" si="122"/>
        <v>n/a</v>
      </c>
      <c r="Q1006" s="5"/>
      <c r="R1006" s="5"/>
      <c r="S1006" s="5"/>
      <c r="U1006" s="6"/>
      <c r="V1006" s="9" t="str">
        <f t="shared" si="125"/>
        <v/>
      </c>
      <c r="W1006" s="9" t="str">
        <f t="shared" si="126"/>
        <v/>
      </c>
      <c r="X1006" s="10">
        <f>SUM(V$13:V1006)/COUNTA(B$13:B1006)</f>
        <v>0</v>
      </c>
      <c r="Z1006" s="5"/>
      <c r="AA1006" s="5"/>
      <c r="AC1006" s="7"/>
      <c r="AE1006" s="54" t="e">
        <f t="shared" si="127"/>
        <v>#N/A</v>
      </c>
      <c r="AF1006" s="4" t="e">
        <f t="shared" si="123"/>
        <v>#N/A</v>
      </c>
    </row>
    <row r="1007" spans="2:32">
      <c r="B1007" s="5">
        <f t="shared" si="128"/>
        <v>995</v>
      </c>
      <c r="C1007" s="5"/>
      <c r="E1007" s="13"/>
      <c r="F1007" s="5"/>
      <c r="G1007" s="11" t="str">
        <f>IF(ISERROR(AVERAGE(F$13:F1007)),"n/a",AVERAGE(F$13:F1007))</f>
        <v>n/a</v>
      </c>
      <c r="H1007" s="11" t="str">
        <f t="shared" si="124"/>
        <v>n/a</v>
      </c>
      <c r="J1007" s="5"/>
      <c r="K1007" s="5"/>
      <c r="L1007" s="5"/>
      <c r="M1007" s="5"/>
      <c r="N1007" s="5"/>
      <c r="O1007" s="8" t="str">
        <f t="shared" si="122"/>
        <v>n/a</v>
      </c>
      <c r="Q1007" s="5"/>
      <c r="R1007" s="5"/>
      <c r="S1007" s="5"/>
      <c r="U1007" s="6"/>
      <c r="V1007" s="9" t="str">
        <f t="shared" si="125"/>
        <v/>
      </c>
      <c r="W1007" s="9" t="str">
        <f t="shared" si="126"/>
        <v/>
      </c>
      <c r="X1007" s="10">
        <f>SUM(V$13:V1007)/COUNTA(B$13:B1007)</f>
        <v>0</v>
      </c>
      <c r="Z1007" s="5"/>
      <c r="AA1007" s="5"/>
      <c r="AC1007" s="7"/>
      <c r="AE1007" s="54" t="e">
        <f t="shared" si="127"/>
        <v>#N/A</v>
      </c>
      <c r="AF1007" s="4" t="e">
        <f t="shared" si="123"/>
        <v>#N/A</v>
      </c>
    </row>
    <row r="1008" spans="2:32">
      <c r="B1008" s="5">
        <f t="shared" si="128"/>
        <v>996</v>
      </c>
      <c r="C1008" s="5"/>
      <c r="E1008" s="13"/>
      <c r="F1008" s="5"/>
      <c r="G1008" s="11" t="str">
        <f>IF(ISERROR(AVERAGE(F$13:F1008)),"n/a",AVERAGE(F$13:F1008))</f>
        <v>n/a</v>
      </c>
      <c r="H1008" s="11" t="str">
        <f t="shared" si="124"/>
        <v>n/a</v>
      </c>
      <c r="J1008" s="5"/>
      <c r="K1008" s="5"/>
      <c r="L1008" s="5"/>
      <c r="M1008" s="5"/>
      <c r="N1008" s="5"/>
      <c r="O1008" s="8" t="str">
        <f t="shared" si="122"/>
        <v>n/a</v>
      </c>
      <c r="Q1008" s="5"/>
      <c r="R1008" s="5"/>
      <c r="S1008" s="5"/>
      <c r="U1008" s="6"/>
      <c r="V1008" s="9" t="str">
        <f t="shared" si="125"/>
        <v/>
      </c>
      <c r="W1008" s="9" t="str">
        <f t="shared" si="126"/>
        <v/>
      </c>
      <c r="X1008" s="10">
        <f>SUM(V$13:V1008)/COUNTA(B$13:B1008)</f>
        <v>0</v>
      </c>
      <c r="Z1008" s="5"/>
      <c r="AA1008" s="5"/>
      <c r="AC1008" s="7"/>
      <c r="AE1008" s="54" t="e">
        <f t="shared" si="127"/>
        <v>#N/A</v>
      </c>
      <c r="AF1008" s="4" t="e">
        <f t="shared" si="123"/>
        <v>#N/A</v>
      </c>
    </row>
    <row r="1009" spans="2:32">
      <c r="B1009" s="5">
        <f t="shared" si="128"/>
        <v>997</v>
      </c>
      <c r="C1009" s="5"/>
      <c r="E1009" s="13"/>
      <c r="F1009" s="5"/>
      <c r="G1009" s="11" t="str">
        <f>IF(ISERROR(AVERAGE(F$13:F1009)),"n/a",AVERAGE(F$13:F1009))</f>
        <v>n/a</v>
      </c>
      <c r="H1009" s="11" t="str">
        <f t="shared" si="124"/>
        <v>n/a</v>
      </c>
      <c r="J1009" s="5"/>
      <c r="K1009" s="5"/>
      <c r="L1009" s="5"/>
      <c r="M1009" s="5"/>
      <c r="N1009" s="5"/>
      <c r="O1009" s="8" t="str">
        <f>IF(J1009=1,"A",IF(K1009=1,"B",IF(L1009=1,"C",IF(M1009=1,"D",IF(N1009=1,"E","n/a")))))</f>
        <v>n/a</v>
      </c>
      <c r="Q1009" s="5"/>
      <c r="R1009" s="5"/>
      <c r="S1009" s="5"/>
      <c r="U1009" s="6"/>
      <c r="V1009" s="9" t="str">
        <f t="shared" si="125"/>
        <v/>
      </c>
      <c r="W1009" s="9" t="str">
        <f t="shared" si="126"/>
        <v/>
      </c>
      <c r="X1009" s="10">
        <f>SUM(V$13:V1009)/COUNTA(B$13:B1009)</f>
        <v>0</v>
      </c>
      <c r="Z1009" s="5"/>
      <c r="AA1009" s="5"/>
      <c r="AC1009" s="7"/>
      <c r="AE1009" s="54" t="e">
        <f t="shared" si="127"/>
        <v>#N/A</v>
      </c>
      <c r="AF1009" s="4" t="e">
        <f t="shared" si="123"/>
        <v>#N/A</v>
      </c>
    </row>
    <row r="1010" spans="2:32">
      <c r="B1010" s="5">
        <f t="shared" si="128"/>
        <v>998</v>
      </c>
      <c r="C1010" s="5"/>
      <c r="E1010" s="13"/>
      <c r="F1010" s="5"/>
      <c r="G1010" s="11" t="str">
        <f>IF(ISERROR(AVERAGE(F$13:F1010)),"n/a",AVERAGE(F$13:F1010))</f>
        <v>n/a</v>
      </c>
      <c r="H1010" s="11" t="str">
        <f t="shared" si="124"/>
        <v>n/a</v>
      </c>
      <c r="J1010" s="5"/>
      <c r="K1010" s="5"/>
      <c r="L1010" s="5"/>
      <c r="M1010" s="5"/>
      <c r="N1010" s="5"/>
      <c r="O1010" s="8" t="str">
        <f>IF(J1010=1,"A",IF(K1010=1,"B",IF(L1010=1,"C",IF(M1010=1,"D",IF(N1010=1,"E","n/a")))))</f>
        <v>n/a</v>
      </c>
      <c r="Q1010" s="5"/>
      <c r="R1010" s="5"/>
      <c r="S1010" s="5"/>
      <c r="U1010" s="6"/>
      <c r="V1010" s="9" t="str">
        <f t="shared" si="125"/>
        <v/>
      </c>
      <c r="W1010" s="9" t="str">
        <f t="shared" si="126"/>
        <v/>
      </c>
      <c r="X1010" s="10">
        <f>SUM(V$13:V1010)/COUNTA(B$13:B1010)</f>
        <v>0</v>
      </c>
      <c r="Z1010" s="5"/>
      <c r="AA1010" s="5"/>
      <c r="AC1010" s="7"/>
      <c r="AE1010" s="54" t="e">
        <f t="shared" si="127"/>
        <v>#N/A</v>
      </c>
      <c r="AF1010" s="4" t="e">
        <f t="shared" si="123"/>
        <v>#N/A</v>
      </c>
    </row>
    <row r="1011" spans="2:32">
      <c r="B1011" s="5">
        <f t="shared" si="128"/>
        <v>999</v>
      </c>
      <c r="C1011" s="5"/>
      <c r="E1011" s="13"/>
      <c r="F1011" s="5"/>
      <c r="G1011" s="11" t="str">
        <f>IF(ISERROR(AVERAGE(F$13:F1011)),"n/a",AVERAGE(F$13:F1011))</f>
        <v>n/a</v>
      </c>
      <c r="H1011" s="11" t="str">
        <f t="shared" si="124"/>
        <v>n/a</v>
      </c>
      <c r="J1011" s="5"/>
      <c r="K1011" s="5"/>
      <c r="L1011" s="5"/>
      <c r="M1011" s="5"/>
      <c r="N1011" s="5"/>
      <c r="O1011" s="8" t="str">
        <f>IF(J1011=1,"A",IF(K1011=1,"B",IF(L1011=1,"C",IF(M1011=1,"D",IF(N1011=1,"E","n/a")))))</f>
        <v>n/a</v>
      </c>
      <c r="Q1011" s="5"/>
      <c r="R1011" s="5"/>
      <c r="S1011" s="5"/>
      <c r="U1011" s="6"/>
      <c r="V1011" s="9" t="str">
        <f t="shared" si="125"/>
        <v/>
      </c>
      <c r="W1011" s="9" t="str">
        <f t="shared" si="126"/>
        <v/>
      </c>
      <c r="X1011" s="10">
        <f>SUM(V$13:V1011)/COUNTA(B$13:B1011)</f>
        <v>0</v>
      </c>
      <c r="Z1011" s="5"/>
      <c r="AA1011" s="5"/>
      <c r="AC1011" s="7"/>
      <c r="AE1011" s="54" t="e">
        <f t="shared" si="127"/>
        <v>#N/A</v>
      </c>
      <c r="AF1011" s="4" t="e">
        <f t="shared" si="123"/>
        <v>#N/A</v>
      </c>
    </row>
    <row r="1012" spans="2:32">
      <c r="B1012" s="5">
        <f t="shared" si="128"/>
        <v>1000</v>
      </c>
      <c r="C1012" s="5"/>
      <c r="E1012" s="13"/>
      <c r="F1012" s="5"/>
      <c r="G1012" s="11" t="str">
        <f>IF(ISERROR(AVERAGE(F$13:F1012)),"n/a",AVERAGE(F$13:F1012))</f>
        <v>n/a</v>
      </c>
      <c r="H1012" s="11" t="str">
        <f t="shared" si="124"/>
        <v>n/a</v>
      </c>
      <c r="J1012" s="5"/>
      <c r="K1012" s="5"/>
      <c r="L1012" s="5"/>
      <c r="M1012" s="5"/>
      <c r="N1012" s="5"/>
      <c r="O1012" s="8" t="str">
        <f>IF(J1012=1,"A",IF(K1012=1,"B",IF(L1012=1,"C",IF(M1012=1,"D",IF(N1012=1,"E","n/a")))))</f>
        <v>n/a</v>
      </c>
      <c r="Q1012" s="5"/>
      <c r="R1012" s="5"/>
      <c r="S1012" s="5"/>
      <c r="U1012" s="6"/>
      <c r="V1012" s="9" t="str">
        <f t="shared" si="125"/>
        <v/>
      </c>
      <c r="W1012" s="9" t="str">
        <f t="shared" si="126"/>
        <v/>
      </c>
      <c r="X1012" s="10">
        <f>SUM(V$13:V1012)/COUNTA(B$13:B1012)</f>
        <v>0</v>
      </c>
      <c r="Z1012" s="5"/>
      <c r="AA1012" s="5"/>
      <c r="AC1012" s="7"/>
      <c r="AE1012" s="54" t="e">
        <f t="shared" si="127"/>
        <v>#N/A</v>
      </c>
      <c r="AF1012" s="4" t="e">
        <f t="shared" si="123"/>
        <v>#N/A</v>
      </c>
    </row>
    <row r="1013" spans="2:32">
      <c r="E1013"/>
    </row>
    <row r="1014" spans="2:32" hidden="1" outlineLevel="1">
      <c r="B1014" s="1" t="s">
        <v>41</v>
      </c>
    </row>
    <row r="1015" spans="2:32" hidden="1" outlineLevel="1">
      <c r="B1015" s="2" t="s">
        <v>33</v>
      </c>
      <c r="C1015" s="4">
        <f>COUNTA(C13:$C$1012)</f>
        <v>0</v>
      </c>
      <c r="E1015" s="49" t="e">
        <f>F1015/60</f>
        <v>#VALUE!</v>
      </c>
      <c r="F1015" s="49" t="str">
        <f>IF(ISERROR(AVERAGE($F$13:$F$1012)),"n/a",AVERAGE($F$13:$F$1012))</f>
        <v>n/a</v>
      </c>
      <c r="Q1015" s="4">
        <f>SUM(Q13:Q1012)</f>
        <v>0</v>
      </c>
      <c r="R1015" s="4">
        <f>SUM(R13:R1012)</f>
        <v>0</v>
      </c>
      <c r="S1015" s="4">
        <f>SUM(S13:S1012)</f>
        <v>0</v>
      </c>
      <c r="V1015" s="4">
        <f>SUM(V13:V1012)</f>
        <v>0</v>
      </c>
      <c r="W1015" s="4">
        <f>SUM(W13:W1012)</f>
        <v>0</v>
      </c>
      <c r="Z1015" s="4">
        <f>SUM(Z13:Z1012)</f>
        <v>0</v>
      </c>
      <c r="AA1015" s="4">
        <f>SUM(AA13:AA1012)</f>
        <v>0</v>
      </c>
    </row>
    <row r="1016" spans="2:32" hidden="1" outlineLevel="1">
      <c r="F1016" s="50"/>
    </row>
    <row r="1017" spans="2:32" hidden="1" outlineLevel="1">
      <c r="B1017" s="2" t="s">
        <v>42</v>
      </c>
      <c r="C1017" s="4">
        <f>COUNTIF($C$13:$C$1012,$B1017)</f>
        <v>0</v>
      </c>
      <c r="E1017" s="49" t="e">
        <f>IF(F1017/60=0,"n/a",F1017/60)</f>
        <v>#VALUE!</v>
      </c>
      <c r="F1017" s="49" t="str">
        <f>IF(ISERROR(SUMIF($C$13:$C$1012,$B1017,$F$13:$F$1012)/C1017),"n/a",SUMIF($C$13:$C$1012,$B1017,$F$13:$F$1012)/C1017)</f>
        <v>n/a</v>
      </c>
      <c r="J1017" s="26" t="e">
        <f>C1017/$C$1015</f>
        <v>#DIV/0!</v>
      </c>
      <c r="K1017" s="26" t="e">
        <f>C1018/$C$1015</f>
        <v>#DIV/0!</v>
      </c>
      <c r="L1017" s="26" t="e">
        <f>C1019/$C$1015</f>
        <v>#DIV/0!</v>
      </c>
      <c r="M1017" s="26" t="e">
        <f>C1020/$C$1015</f>
        <v>#DIV/0!</v>
      </c>
      <c r="N1017" s="26" t="e">
        <f>C1021/$C$1015</f>
        <v>#DIV/0!</v>
      </c>
      <c r="Q1017" s="4">
        <f t="shared" ref="Q1017:S1021" si="129">SUMIF($C$13:$C$1012,$B1017,Q$13:Q$1012)</f>
        <v>0</v>
      </c>
      <c r="R1017" s="4">
        <f t="shared" si="129"/>
        <v>0</v>
      </c>
      <c r="S1017" s="4">
        <f t="shared" si="129"/>
        <v>0</v>
      </c>
      <c r="V1017" s="4">
        <f t="shared" ref="V1017:W1021" si="130">SUMIF($C$13:$C$1012,$B1017,V$13:V$1012)</f>
        <v>0</v>
      </c>
      <c r="W1017" s="4">
        <f t="shared" si="130"/>
        <v>0</v>
      </c>
      <c r="Z1017" s="4">
        <f t="shared" ref="Z1017:AA1021" si="131">SUMIF($C$13:$C$1012,$B1017,Z$13:Z$1012)</f>
        <v>0</v>
      </c>
      <c r="AA1017" s="4">
        <f t="shared" si="131"/>
        <v>0</v>
      </c>
    </row>
    <row r="1018" spans="2:32" hidden="1" outlineLevel="1">
      <c r="B1018" s="2" t="s">
        <v>43</v>
      </c>
      <c r="C1018" s="4">
        <f>COUNTIF($C$13:$C$1012,$B1018)</f>
        <v>0</v>
      </c>
      <c r="E1018" s="49" t="e">
        <f>IF(F1018/60=0,"n/a",F1018/60)</f>
        <v>#VALUE!</v>
      </c>
      <c r="F1018" s="49" t="str">
        <f>IF(ISERROR(SUMIF($C$13:$C$1012,$B1018,$F$13:$F$1012)/C1018),"n/a",SUMIF($C$13:$C$1012,$B1018,$F$13:$F$1012)/C1018)</f>
        <v>n/a</v>
      </c>
      <c r="Q1018" s="4">
        <f t="shared" si="129"/>
        <v>0</v>
      </c>
      <c r="R1018" s="4">
        <f t="shared" si="129"/>
        <v>0</v>
      </c>
      <c r="S1018" s="4">
        <f t="shared" si="129"/>
        <v>0</v>
      </c>
      <c r="V1018" s="4">
        <f t="shared" si="130"/>
        <v>0</v>
      </c>
      <c r="W1018" s="4">
        <f t="shared" si="130"/>
        <v>0</v>
      </c>
      <c r="Z1018" s="4">
        <f t="shared" si="131"/>
        <v>0</v>
      </c>
      <c r="AA1018" s="4">
        <f t="shared" si="131"/>
        <v>0</v>
      </c>
    </row>
    <row r="1019" spans="2:32" hidden="1" outlineLevel="1">
      <c r="B1019" s="2" t="s">
        <v>46</v>
      </c>
      <c r="C1019" s="4">
        <f>COUNTIF($C$13:$C$1012,$B1019)</f>
        <v>0</v>
      </c>
      <c r="E1019" s="49" t="e">
        <f>IF(F1019/60=0,"n/a",F1019/60)</f>
        <v>#VALUE!</v>
      </c>
      <c r="F1019" s="49" t="str">
        <f>IF(ISERROR(SUMIF($C$13:$C$1012,$B1019,$F$13:$F$1012)/C1019),"n/a",SUMIF($C$13:$C$1012,$B1019,$F$13:$F$1012)/C1019)</f>
        <v>n/a</v>
      </c>
      <c r="Q1019" s="4">
        <f t="shared" si="129"/>
        <v>0</v>
      </c>
      <c r="R1019" s="4">
        <f t="shared" si="129"/>
        <v>0</v>
      </c>
      <c r="S1019" s="4">
        <f t="shared" si="129"/>
        <v>0</v>
      </c>
      <c r="V1019" s="4">
        <f t="shared" si="130"/>
        <v>0</v>
      </c>
      <c r="W1019" s="4">
        <f t="shared" si="130"/>
        <v>0</v>
      </c>
      <c r="Z1019" s="4">
        <f t="shared" si="131"/>
        <v>0</v>
      </c>
      <c r="AA1019" s="4">
        <f t="shared" si="131"/>
        <v>0</v>
      </c>
    </row>
    <row r="1020" spans="2:32" hidden="1" outlineLevel="1">
      <c r="B1020" s="2" t="s">
        <v>44</v>
      </c>
      <c r="C1020" s="4">
        <f>COUNTIF($C$13:$C$1012,$B1020)</f>
        <v>0</v>
      </c>
      <c r="E1020" s="49" t="e">
        <f>IF(F1020/60=0,"n/a",F1020/60)</f>
        <v>#VALUE!</v>
      </c>
      <c r="F1020" s="49" t="str">
        <f>IF(ISERROR(SUMIF($C$13:$C$1012,$B1020,$F$13:$F$1012)/C1020),"n/a",SUMIF($C$13:$C$1012,$B1020,$F$13:$F$1012)/C1020)</f>
        <v>n/a</v>
      </c>
      <c r="Q1020" s="4">
        <f t="shared" si="129"/>
        <v>0</v>
      </c>
      <c r="R1020" s="4">
        <f t="shared" si="129"/>
        <v>0</v>
      </c>
      <c r="S1020" s="4">
        <f t="shared" si="129"/>
        <v>0</v>
      </c>
      <c r="V1020" s="4">
        <f t="shared" si="130"/>
        <v>0</v>
      </c>
      <c r="W1020" s="4">
        <f t="shared" si="130"/>
        <v>0</v>
      </c>
      <c r="Z1020" s="4">
        <f t="shared" si="131"/>
        <v>0</v>
      </c>
      <c r="AA1020" s="4">
        <f t="shared" si="131"/>
        <v>0</v>
      </c>
    </row>
    <row r="1021" spans="2:32" hidden="1" outlineLevel="1">
      <c r="B1021" s="2" t="s">
        <v>45</v>
      </c>
      <c r="C1021" s="4">
        <f>COUNTIF($C$13:$C$1012,$B1021)</f>
        <v>0</v>
      </c>
      <c r="E1021" s="49" t="e">
        <f>IF(F1021/60=0,"n/a",F1021/60)</f>
        <v>#VALUE!</v>
      </c>
      <c r="F1021" s="49" t="str">
        <f>IF(ISERROR(SUMIF($C$13:$C$1012,$B1021,$F$13:$F$1012)/C1021),"n/a",SUMIF($C$13:$C$1012,$B1021,$F$13:$F$1012)/C1021)</f>
        <v>n/a</v>
      </c>
      <c r="Q1021" s="4">
        <f t="shared" si="129"/>
        <v>0</v>
      </c>
      <c r="R1021" s="4">
        <f t="shared" si="129"/>
        <v>0</v>
      </c>
      <c r="S1021" s="4">
        <f t="shared" si="129"/>
        <v>0</v>
      </c>
      <c r="V1021" s="4">
        <f t="shared" si="130"/>
        <v>0</v>
      </c>
      <c r="W1021" s="4">
        <f t="shared" si="130"/>
        <v>0</v>
      </c>
      <c r="Z1021" s="4">
        <f t="shared" si="131"/>
        <v>0</v>
      </c>
      <c r="AA1021" s="4">
        <f t="shared" si="131"/>
        <v>0</v>
      </c>
    </row>
    <row r="1022" spans="2:32" hidden="1" outlineLevel="1">
      <c r="E1022" s="3" t="s">
        <v>49</v>
      </c>
      <c r="F1022" s="3" t="s">
        <v>50</v>
      </c>
    </row>
    <row r="1023" spans="2:32" hidden="1" outlineLevel="1">
      <c r="B1023" s="2" t="s">
        <v>33</v>
      </c>
      <c r="E1023" s="4" t="e">
        <f>LEFT(E1015,1)</f>
        <v>#VALUE!</v>
      </c>
      <c r="F1023" s="49" t="e">
        <f>(E1015-E1023)*60</f>
        <v>#VALUE!</v>
      </c>
    </row>
    <row r="1024" spans="2:32" hidden="1" outlineLevel="1">
      <c r="E1024" s="4"/>
      <c r="F1024" s="49"/>
    </row>
    <row r="1025" spans="2:6" hidden="1" outlineLevel="1">
      <c r="B1025" s="2" t="s">
        <v>42</v>
      </c>
      <c r="E1025" s="4" t="e">
        <f>LEFT(E1017,1)</f>
        <v>#VALUE!</v>
      </c>
      <c r="F1025" s="49" t="e">
        <f>(E1017-E1025)*60</f>
        <v>#VALUE!</v>
      </c>
    </row>
    <row r="1026" spans="2:6" hidden="1" outlineLevel="1">
      <c r="B1026" s="2" t="s">
        <v>43</v>
      </c>
      <c r="E1026" s="4" t="e">
        <f>LEFT(E1018,1)</f>
        <v>#VALUE!</v>
      </c>
      <c r="F1026" s="49" t="e">
        <f>(E1018-E1026)*60</f>
        <v>#VALUE!</v>
      </c>
    </row>
    <row r="1027" spans="2:6" hidden="1" outlineLevel="1">
      <c r="B1027" s="2" t="s">
        <v>46</v>
      </c>
      <c r="E1027" s="4" t="e">
        <f>LEFT(E1019,1)</f>
        <v>#VALUE!</v>
      </c>
      <c r="F1027" s="49" t="e">
        <f>(E1019-E1027)*60</f>
        <v>#VALUE!</v>
      </c>
    </row>
    <row r="1028" spans="2:6" hidden="1" outlineLevel="1">
      <c r="B1028" s="2" t="s">
        <v>44</v>
      </c>
      <c r="E1028" s="4" t="e">
        <f>LEFT(E1020,1)</f>
        <v>#VALUE!</v>
      </c>
      <c r="F1028" s="49" t="e">
        <f>(E1020-E1028)*60</f>
        <v>#VALUE!</v>
      </c>
    </row>
    <row r="1029" spans="2:6" hidden="1" outlineLevel="1">
      <c r="B1029" s="2" t="s">
        <v>45</v>
      </c>
      <c r="E1029" s="4" t="e">
        <f>LEFT(E1021,1)</f>
        <v>#VALUE!</v>
      </c>
      <c r="F1029" s="49" t="e">
        <f>(E1021-E1029)*60</f>
        <v>#VALUE!</v>
      </c>
    </row>
    <row r="1030" spans="2:6" hidden="1" outlineLevel="1"/>
    <row r="1031" spans="2:6" hidden="1" outlineLevel="1">
      <c r="B1031" s="58" t="s">
        <v>59</v>
      </c>
    </row>
    <row r="1032" spans="2:6" hidden="1" outlineLevel="1">
      <c r="B1032" s="51" t="s">
        <v>33</v>
      </c>
      <c r="E1032" s="59" t="e">
        <f>IF(F1032/60=0,"n/a",F1032/60)</f>
        <v>#VALUE!</v>
      </c>
      <c r="F1032" s="59" t="e">
        <f>IF(F1015=0,"n/a",F1015-$J$7)</f>
        <v>#VALUE!</v>
      </c>
    </row>
    <row r="1033" spans="2:6" hidden="1" outlineLevel="1">
      <c r="B1033" s="51"/>
    </row>
    <row r="1034" spans="2:6" hidden="1" outlineLevel="1">
      <c r="B1034" s="2" t="s">
        <v>42</v>
      </c>
      <c r="E1034" s="49" t="e">
        <f>IF(F1034/60=0,"n/a",F1034/60)</f>
        <v>#VALUE!</v>
      </c>
      <c r="F1034" s="49" t="e">
        <f>IF(F1017=0,"n/a",F1017-$K$7)</f>
        <v>#VALUE!</v>
      </c>
    </row>
    <row r="1035" spans="2:6" hidden="1" outlineLevel="1">
      <c r="B1035" s="2" t="s">
        <v>43</v>
      </c>
      <c r="E1035" s="49" t="e">
        <f>IF(F1035/60=0,"n/a",F1035/60)</f>
        <v>#VALUE!</v>
      </c>
      <c r="F1035" s="49" t="e">
        <f>IF(F1018=0,"n/a",F1018-$L$7)</f>
        <v>#VALUE!</v>
      </c>
    </row>
    <row r="1036" spans="2:6" hidden="1" outlineLevel="1">
      <c r="B1036" s="2" t="s">
        <v>46</v>
      </c>
      <c r="E1036" s="49" t="e">
        <f>IF(F1036/60=0,"n/a",F1036/60)</f>
        <v>#VALUE!</v>
      </c>
      <c r="F1036" s="49" t="e">
        <f>IF(F1019=0,"n/a",F1019-$M$7)</f>
        <v>#VALUE!</v>
      </c>
    </row>
    <row r="1037" spans="2:6" hidden="1" outlineLevel="1">
      <c r="B1037" s="2" t="s">
        <v>44</v>
      </c>
      <c r="E1037" s="49" t="e">
        <f>IF(F1037/60=0,"n/a",F1037/60)</f>
        <v>#VALUE!</v>
      </c>
      <c r="F1037" s="49" t="e">
        <f>IF(F1020=0,"n/a",F1020-$N$7)</f>
        <v>#VALUE!</v>
      </c>
    </row>
    <row r="1038" spans="2:6" hidden="1" outlineLevel="1">
      <c r="B1038" s="2" t="s">
        <v>45</v>
      </c>
      <c r="E1038" s="49" t="e">
        <f>IF(F1038/60=0,"n/a",F1038/60)</f>
        <v>#VALUE!</v>
      </c>
      <c r="F1038" s="49" t="e">
        <f>IF(F1021=0,"n/a",F1021-$O$7)</f>
        <v>#VALUE!</v>
      </c>
    </row>
    <row r="1039" spans="2:6" hidden="1" outlineLevel="1">
      <c r="E1039" s="3" t="s">
        <v>49</v>
      </c>
      <c r="F1039" s="3" t="s">
        <v>50</v>
      </c>
    </row>
    <row r="1040" spans="2:6" hidden="1" outlineLevel="1">
      <c r="B1040" s="51" t="s">
        <v>33</v>
      </c>
      <c r="E1040" s="4" t="e">
        <f>LEFT(ABS(E1032),1)</f>
        <v>#VALUE!</v>
      </c>
      <c r="F1040" s="49" t="e">
        <f>(ABS(E1032)-E1040)*60</f>
        <v>#VALUE!</v>
      </c>
    </row>
    <row r="1041" spans="2:6" hidden="1" outlineLevel="1">
      <c r="B1041" s="51"/>
      <c r="E1041" s="4"/>
      <c r="F1041" s="49"/>
    </row>
    <row r="1042" spans="2:6" hidden="1" outlineLevel="1">
      <c r="B1042" s="2" t="s">
        <v>42</v>
      </c>
      <c r="E1042" s="4" t="e">
        <f>LEFT(ABS(E1034),1)</f>
        <v>#VALUE!</v>
      </c>
      <c r="F1042" s="49" t="e">
        <f>(ABS(E1034)-E1042)*60</f>
        <v>#VALUE!</v>
      </c>
    </row>
    <row r="1043" spans="2:6" hidden="1" outlineLevel="1">
      <c r="B1043" s="2" t="s">
        <v>43</v>
      </c>
      <c r="E1043" s="4" t="e">
        <f>LEFT(ABS(E1035),1)</f>
        <v>#VALUE!</v>
      </c>
      <c r="F1043" s="49" t="e">
        <f>(ABS(E1035)-E1043)*60</f>
        <v>#VALUE!</v>
      </c>
    </row>
    <row r="1044" spans="2:6" hidden="1" outlineLevel="1">
      <c r="B1044" s="2" t="s">
        <v>46</v>
      </c>
      <c r="E1044" s="4" t="e">
        <f>LEFT(ABS(E1036),1)</f>
        <v>#VALUE!</v>
      </c>
      <c r="F1044" s="49" t="e">
        <f>(ABS(E1036)-E1044)*60</f>
        <v>#VALUE!</v>
      </c>
    </row>
    <row r="1045" spans="2:6" hidden="1" outlineLevel="1">
      <c r="B1045" s="2" t="s">
        <v>44</v>
      </c>
      <c r="E1045" s="4" t="e">
        <f>LEFT(ABS(E1037),1)</f>
        <v>#VALUE!</v>
      </c>
      <c r="F1045" s="49" t="e">
        <f>(ABS(E1037)-E1045)*60</f>
        <v>#VALUE!</v>
      </c>
    </row>
    <row r="1046" spans="2:6" hidden="1" outlineLevel="1">
      <c r="B1046" s="2" t="s">
        <v>45</v>
      </c>
      <c r="E1046" s="4" t="e">
        <f>LEFT(ABS(E1038),1)</f>
        <v>#VALUE!</v>
      </c>
      <c r="F1046" s="49" t="e">
        <f>(ABS(E1038)-E1046)*60</f>
        <v>#VALUE!</v>
      </c>
    </row>
    <row r="1047" spans="2:6" collapsed="1"/>
  </sheetData>
  <conditionalFormatting sqref="E13:H1012 C13:C1012 J13:O1012 Q13:S1012 Z13:AA1012 AC13:AC1012 U13:X1012">
    <cfRule type="expression" dxfId="14" priority="4" stopIfTrue="1">
      <formula>$AE13=1</formula>
    </cfRule>
    <cfRule type="expression" dxfId="13" priority="5" stopIfTrue="1">
      <formula>$AE13=2</formula>
    </cfRule>
  </conditionalFormatting>
  <conditionalFormatting sqref="B13:B1012">
    <cfRule type="expression" dxfId="12" priority="2" stopIfTrue="1">
      <formula>$AE13=1</formula>
    </cfRule>
    <cfRule type="expression" dxfId="11" priority="3" stopIfTrue="1">
      <formula>$AE13=2</formula>
    </cfRule>
  </conditionalFormatting>
  <conditionalFormatting sqref="BC18:BD18 BC22:BD22 BC25:BD25 BC28:BD28 BC31:BD31 BC34:BD35">
    <cfRule type="expression" dxfId="10" priority="1" stopIfTrue="1">
      <formula>$BF18="+"</formula>
    </cfRule>
  </conditionalFormatting>
  <dataValidations count="4">
    <dataValidation type="whole" allowBlank="1" showInputMessage="1" showErrorMessage="1" sqref="Z13:AA1012 Q13:S1012 J13:N1012">
      <formula1>1</formula1>
      <formula2>1</formula2>
    </dataValidation>
    <dataValidation type="list" allowBlank="1" showInputMessage="1" showErrorMessage="1" sqref="U13:U1012">
      <formula1>"A,B,C,D,E"</formula1>
    </dataValidation>
    <dataValidation type="list" allowBlank="1" showInputMessage="1" showErrorMessage="1" sqref="C13:C1012">
      <formula1>"PS, DS, RC, CR, SC"</formula1>
    </dataValidation>
    <dataValidation type="whole" allowBlank="1" showInputMessage="1" showErrorMessage="1" sqref="F8:F9 F4">
      <formula1>0</formula1>
      <formula2>1</formula2>
    </dataValidation>
  </dataValidations>
  <pageMargins left="0.5" right="0.5" top="0.5" bottom="0.5" header="0.5" footer="0.5"/>
  <pageSetup scale="72" orientation="landscape" horizontalDpi="300" verticalDpi="3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B1:BG1047"/>
  <sheetViews>
    <sheetView showGridLines="0" zoomScaleNormal="100" zoomScaleSheetLayoutView="115" workbookViewId="0">
      <pane xSplit="3" ySplit="12" topLeftCell="D13" activePane="bottomRight" state="frozen"/>
      <selection pane="topRight" activeCell="E1" sqref="E1"/>
      <selection pane="bottomLeft" activeCell="A12" sqref="A12"/>
      <selection pane="bottomRight" activeCell="D13" sqref="D13"/>
    </sheetView>
  </sheetViews>
  <sheetFormatPr defaultRowHeight="12.75" outlineLevelRow="1" outlineLevelCol="1"/>
  <cols>
    <col min="1" max="1" width="2.7109375" style="2" customWidth="1"/>
    <col min="2" max="2" width="10.7109375" style="2" customWidth="1"/>
    <col min="3" max="3" width="12.7109375" style="2" customWidth="1"/>
    <col min="4" max="4" width="1.7109375" customWidth="1"/>
    <col min="5" max="6" width="10.7109375" style="2" customWidth="1"/>
    <col min="7" max="8" width="10.7109375" style="2" hidden="1" customWidth="1" outlineLevel="1"/>
    <col min="9" max="9" width="1.7109375" customWidth="1" collapsed="1"/>
    <col min="10" max="15" width="4.7109375" style="2" customWidth="1"/>
    <col min="16" max="16" width="1.7109375" customWidth="1"/>
    <col min="17" max="19" width="10.7109375" style="2" customWidth="1"/>
    <col min="20" max="20" width="1.7109375" hidden="1" customWidth="1" outlineLevel="1"/>
    <col min="21" max="24" width="10.7109375" style="2" hidden="1" customWidth="1" outlineLevel="1"/>
    <col min="25" max="25" width="1.7109375" hidden="1" customWidth="1" outlineLevel="1"/>
    <col min="26" max="27" width="10.7109375" style="2" hidden="1" customWidth="1" outlineLevel="1"/>
    <col min="28" max="28" width="1.7109375" hidden="1" customWidth="1" outlineLevel="1"/>
    <col min="29" max="29" width="100.7109375" style="2" hidden="1" customWidth="1" outlineLevel="1"/>
    <col min="30" max="30" width="2.7109375" customWidth="1" collapsed="1"/>
    <col min="31" max="32" width="15.7109375" style="2" hidden="1" customWidth="1"/>
    <col min="33" max="42" width="10.7109375" style="2" customWidth="1"/>
    <col min="43" max="43" width="2.7109375" style="2" customWidth="1"/>
    <col min="44" max="45" width="10.7109375" style="2" customWidth="1"/>
    <col min="46" max="46" width="5.7109375" style="2" customWidth="1"/>
    <col min="47" max="56" width="9.7109375" style="2" customWidth="1"/>
    <col min="57" max="57" width="1.7109375" style="2" customWidth="1"/>
    <col min="58" max="59" width="9.140625" style="101"/>
    <col min="60" max="16384" width="9.140625" style="2"/>
  </cols>
  <sheetData>
    <row r="1" spans="2:59">
      <c r="E1"/>
    </row>
    <row r="2" spans="2:59" ht="25.5">
      <c r="B2" s="73" t="str">
        <f>"GMAT Error Log"&amp;" - "&amp;F5</f>
        <v>GMAT Error Log - Source 4</v>
      </c>
      <c r="C2" s="74"/>
      <c r="D2" s="74"/>
      <c r="E2" s="75"/>
      <c r="F2" s="76"/>
      <c r="G2" s="76"/>
      <c r="H2" s="76"/>
      <c r="I2" s="74"/>
      <c r="J2" s="76"/>
      <c r="K2" s="76"/>
      <c r="L2" s="76"/>
      <c r="M2" s="76"/>
      <c r="N2" s="76"/>
      <c r="O2" s="76"/>
      <c r="P2" s="74"/>
      <c r="Q2" s="76"/>
      <c r="R2" s="76"/>
      <c r="S2" s="76"/>
      <c r="T2" s="74"/>
      <c r="U2" s="76"/>
      <c r="V2" s="76"/>
      <c r="W2" s="76"/>
      <c r="X2" s="76"/>
      <c r="Y2" s="74"/>
      <c r="Z2" s="76"/>
      <c r="AA2" s="76"/>
      <c r="AB2" s="74"/>
      <c r="AC2" s="76"/>
      <c r="AS2" s="25"/>
      <c r="AT2" s="25"/>
      <c r="AU2" s="25"/>
      <c r="AV2" s="25"/>
      <c r="AW2" s="25"/>
      <c r="AX2" s="25"/>
      <c r="AY2" s="25"/>
      <c r="AZ2" s="25"/>
      <c r="BA2" s="25"/>
      <c r="BB2" s="25"/>
    </row>
    <row r="3" spans="2:59" ht="12.75" customHeight="1">
      <c r="B3" s="77"/>
      <c r="C3" s="78"/>
      <c r="D3" s="78"/>
      <c r="E3" s="79"/>
      <c r="F3" s="80"/>
      <c r="G3" s="79"/>
      <c r="H3" s="79"/>
      <c r="I3" s="78"/>
      <c r="J3" s="79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</row>
    <row r="4" spans="2:59" ht="12.75" customHeight="1">
      <c r="B4" s="55" t="s">
        <v>48</v>
      </c>
      <c r="C4" s="47"/>
      <c r="D4" s="47"/>
      <c r="E4" s="56"/>
      <c r="F4" s="57">
        <v>1</v>
      </c>
      <c r="G4" s="56"/>
      <c r="H4" s="56"/>
      <c r="I4" s="47"/>
      <c r="J4" s="5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31"/>
    </row>
    <row r="5" spans="2:59" ht="12.75" hidden="1" customHeight="1" outlineLevel="1">
      <c r="B5" s="16" t="s">
        <v>40</v>
      </c>
      <c r="C5" s="18"/>
      <c r="D5" s="18"/>
      <c r="E5" s="17"/>
      <c r="F5" s="27" t="s">
        <v>103</v>
      </c>
      <c r="G5" s="17"/>
      <c r="H5" s="17"/>
      <c r="I5" s="18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31"/>
    </row>
    <row r="6" spans="2:59" ht="12.75" hidden="1" customHeight="1" outlineLevel="1">
      <c r="B6" s="16" t="s">
        <v>25</v>
      </c>
      <c r="C6" s="18"/>
      <c r="D6" s="18"/>
      <c r="E6" s="17"/>
      <c r="F6" s="19"/>
      <c r="G6" s="17"/>
      <c r="H6" s="17"/>
      <c r="I6" s="18"/>
      <c r="J6" s="35" t="s">
        <v>58</v>
      </c>
      <c r="K6" s="35" t="s">
        <v>42</v>
      </c>
      <c r="L6" s="35" t="s">
        <v>43</v>
      </c>
      <c r="M6" s="35" t="s">
        <v>46</v>
      </c>
      <c r="N6" s="35" t="s">
        <v>44</v>
      </c>
      <c r="O6" s="35" t="s">
        <v>45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32"/>
    </row>
    <row r="7" spans="2:59" ht="12.75" hidden="1" customHeight="1" outlineLevel="1">
      <c r="B7" s="20" t="s">
        <v>26</v>
      </c>
      <c r="C7" s="15"/>
      <c r="D7" s="15"/>
      <c r="E7" s="14"/>
      <c r="F7" s="28"/>
      <c r="G7" s="14"/>
      <c r="H7" s="14"/>
      <c r="I7" s="15"/>
      <c r="J7" s="39" t="str">
        <f>IF(ISERROR(SUMPRODUCT(K7:O7,J1017:N1017)),"n/a",SUMPRODUCT(K7:O7,J1017:N1017))</f>
        <v>n/a</v>
      </c>
      <c r="K7" s="36">
        <f>'Source_Input (1)'!K7</f>
        <v>120</v>
      </c>
      <c r="L7" s="36">
        <f>'Source_Input (1)'!L7</f>
        <v>120</v>
      </c>
      <c r="M7" s="36">
        <f>'Source_Input (1)'!M7</f>
        <v>120</v>
      </c>
      <c r="N7" s="36">
        <f>'Source_Input (1)'!N7</f>
        <v>120</v>
      </c>
      <c r="O7" s="36">
        <f>'Source_Input (1)'!O7</f>
        <v>120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33"/>
    </row>
    <row r="8" spans="2:59" ht="12.75" hidden="1" customHeight="1" outlineLevel="1">
      <c r="B8" s="20" t="s">
        <v>27</v>
      </c>
      <c r="C8" s="15"/>
      <c r="D8" s="15"/>
      <c r="E8" s="14"/>
      <c r="F8" s="29">
        <f>'Source_Input (1)'!F8</f>
        <v>1</v>
      </c>
      <c r="G8" s="14"/>
      <c r="H8" s="14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33"/>
    </row>
    <row r="9" spans="2:59" ht="12.75" hidden="1" customHeight="1" outlineLevel="1">
      <c r="B9" s="21" t="s">
        <v>28</v>
      </c>
      <c r="C9" s="23"/>
      <c r="D9" s="23"/>
      <c r="E9" s="22"/>
      <c r="F9" s="30">
        <f>'Source_Input (1)'!F9</f>
        <v>1</v>
      </c>
      <c r="G9" s="22"/>
      <c r="H9" s="22"/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34"/>
    </row>
    <row r="10" spans="2:59" ht="12.75" customHeight="1" collapsed="1">
      <c r="B10" s="1"/>
      <c r="C10" s="12"/>
      <c r="E10"/>
      <c r="AE10" s="52" t="s">
        <v>55</v>
      </c>
      <c r="AF10" s="53"/>
      <c r="AS10" s="1"/>
      <c r="AT10" s="1"/>
      <c r="AV10" s="24"/>
      <c r="AW10" s="24"/>
      <c r="AX10" s="24"/>
    </row>
    <row r="11" spans="2:59" ht="26.45" customHeight="1">
      <c r="B11" s="60" t="s">
        <v>21</v>
      </c>
      <c r="C11" s="61" t="s">
        <v>21</v>
      </c>
      <c r="E11" s="64"/>
      <c r="F11" s="65"/>
      <c r="G11" s="81" t="s">
        <v>24</v>
      </c>
      <c r="H11" s="81" t="s">
        <v>19</v>
      </c>
      <c r="J11" s="66" t="s">
        <v>14</v>
      </c>
      <c r="K11" s="67"/>
      <c r="L11" s="67"/>
      <c r="M11" s="68"/>
      <c r="N11" s="67"/>
      <c r="O11" s="69"/>
      <c r="Q11" s="66" t="s">
        <v>23</v>
      </c>
      <c r="R11" s="67"/>
      <c r="S11" s="69"/>
      <c r="U11" s="66" t="s">
        <v>8</v>
      </c>
      <c r="V11" s="67"/>
      <c r="W11" s="67"/>
      <c r="X11" s="69"/>
      <c r="Z11" s="66" t="s">
        <v>15</v>
      </c>
      <c r="AA11" s="69"/>
      <c r="AC11" s="82"/>
      <c r="AE11" s="3" t="s">
        <v>53</v>
      </c>
      <c r="AF11" s="3" t="s">
        <v>51</v>
      </c>
      <c r="AR11" s="73" t="str">
        <f>F5&amp;" Performance Report"</f>
        <v>Source 4 Performance Report</v>
      </c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9" s="1" customFormat="1">
      <c r="B12" s="62" t="s">
        <v>20</v>
      </c>
      <c r="C12" s="63" t="s">
        <v>22</v>
      </c>
      <c r="D12"/>
      <c r="E12" s="62" t="s">
        <v>18</v>
      </c>
      <c r="F12" s="63" t="s">
        <v>7</v>
      </c>
      <c r="G12" s="81" t="s">
        <v>7</v>
      </c>
      <c r="H12" s="81" t="s">
        <v>7</v>
      </c>
      <c r="I12"/>
      <c r="J12" s="70" t="s">
        <v>9</v>
      </c>
      <c r="K12" s="71" t="s">
        <v>10</v>
      </c>
      <c r="L12" s="71" t="s">
        <v>11</v>
      </c>
      <c r="M12" s="71" t="s">
        <v>12</v>
      </c>
      <c r="N12" s="71" t="s">
        <v>13</v>
      </c>
      <c r="O12" s="72"/>
      <c r="P12"/>
      <c r="Q12" s="70" t="s">
        <v>0</v>
      </c>
      <c r="R12" s="71" t="s">
        <v>2</v>
      </c>
      <c r="S12" s="72" t="s">
        <v>1</v>
      </c>
      <c r="T12"/>
      <c r="U12" s="70" t="s">
        <v>16</v>
      </c>
      <c r="V12" s="71" t="s">
        <v>3</v>
      </c>
      <c r="W12" s="71" t="s">
        <v>4</v>
      </c>
      <c r="X12" s="72" t="s">
        <v>17</v>
      </c>
      <c r="Y12"/>
      <c r="Z12" s="70" t="s">
        <v>5</v>
      </c>
      <c r="AA12" s="72" t="s">
        <v>6</v>
      </c>
      <c r="AB12"/>
      <c r="AC12" s="83" t="s">
        <v>29</v>
      </c>
      <c r="AD12"/>
      <c r="AE12" s="3" t="s">
        <v>54</v>
      </c>
      <c r="AF12" s="3" t="s">
        <v>52</v>
      </c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F12" s="112"/>
      <c r="BG12" s="112"/>
    </row>
    <row r="13" spans="2:59">
      <c r="B13" s="5">
        <v>1</v>
      </c>
      <c r="C13" s="5"/>
      <c r="E13" s="13"/>
      <c r="F13" s="5"/>
      <c r="G13" s="11" t="str">
        <f>IF(ISERROR(AVERAGE(F$13:F13)),"n/a",AVERAGE(F$13:F13))</f>
        <v>n/a</v>
      </c>
      <c r="H13" s="11" t="str">
        <f>G13</f>
        <v>n/a</v>
      </c>
      <c r="I13" s="111" t="s">
        <v>101</v>
      </c>
      <c r="J13" s="5"/>
      <c r="K13" s="5"/>
      <c r="L13" s="5"/>
      <c r="M13" s="5"/>
      <c r="N13" s="5"/>
      <c r="O13" s="8" t="str">
        <f t="shared" ref="O13:O76" si="0">IF(J13=1,"A",IF(K13=1,"B",IF(L13=1,"C",IF(M13=1,"D",IF(N13=1,"E","n/a")))))</f>
        <v>n/a</v>
      </c>
      <c r="Q13" s="5"/>
      <c r="R13" s="5"/>
      <c r="S13" s="5"/>
      <c r="U13" s="6"/>
      <c r="V13" s="9" t="str">
        <f>IF(O13="n/a","",IF(O13=U13,1,""))</f>
        <v/>
      </c>
      <c r="W13" s="9" t="str">
        <f>IF(O13="n/a","",IF(O13&lt;&gt;U13,1,""))</f>
        <v/>
      </c>
      <c r="X13" s="10">
        <f>SUM(V$13:V13)/COUNTA(B$13:B13)</f>
        <v>0</v>
      </c>
      <c r="Z13" s="5"/>
      <c r="AA13" s="5"/>
      <c r="AC13" s="7"/>
      <c r="AE13" s="54" t="e">
        <f>+IF($F$4=0,0,IF(W13=1,1,IF(OR(R13*$F$8=1,S13*$F$9=1,F13&gt;=AF13),2,0)))</f>
        <v>#N/A</v>
      </c>
      <c r="AF13" s="4" t="e">
        <f t="shared" ref="AF13:AF76" si="1">HLOOKUP(C13,$K$6:$O$7,2,FALSE)</f>
        <v>#N/A</v>
      </c>
    </row>
    <row r="14" spans="2:59">
      <c r="B14" s="5">
        <f>+B13+1</f>
        <v>2</v>
      </c>
      <c r="C14" s="5"/>
      <c r="E14" s="13"/>
      <c r="F14" s="5"/>
      <c r="G14" s="11" t="str">
        <f>IF(ISERROR(AVERAGE(F$13:F14)),"n/a",AVERAGE(F$13:F14))</f>
        <v>n/a</v>
      </c>
      <c r="H14" s="11" t="str">
        <f t="shared" ref="H14:H77" si="2">G14</f>
        <v>n/a</v>
      </c>
      <c r="J14" s="5"/>
      <c r="K14" s="5"/>
      <c r="L14" s="5"/>
      <c r="M14" s="5"/>
      <c r="N14" s="5"/>
      <c r="O14" s="8" t="str">
        <f t="shared" si="0"/>
        <v>n/a</v>
      </c>
      <c r="Q14" s="5"/>
      <c r="R14" s="5"/>
      <c r="S14" s="5"/>
      <c r="U14" s="6"/>
      <c r="V14" s="9" t="str">
        <f t="shared" ref="V14:V77" si="3">IF(O14="n/a","",IF(O14=U14,1,""))</f>
        <v/>
      </c>
      <c r="W14" s="9" t="str">
        <f t="shared" ref="W14:W77" si="4">IF(O14="n/a","",IF(O14&lt;&gt;U14,1,""))</f>
        <v/>
      </c>
      <c r="X14" s="10">
        <f>SUM(V$13:V14)/COUNTA(B$13:B14)</f>
        <v>0</v>
      </c>
      <c r="Z14" s="5"/>
      <c r="AA14" s="5"/>
      <c r="AC14" s="7"/>
      <c r="AE14" s="54" t="e">
        <f t="shared" ref="AE14:AE77" si="5">+IF($F$4=0,0,IF(W14=1,1,IF(OR(R14*$F$8=1,S14*$F$9=1,F14&gt;=AF14),2,0)))</f>
        <v>#N/A</v>
      </c>
      <c r="AF14" s="4" t="e">
        <f t="shared" si="1"/>
        <v>#N/A</v>
      </c>
      <c r="AR14" s="2" t="s">
        <v>30</v>
      </c>
      <c r="AS14" s="1"/>
      <c r="AT14" s="1"/>
      <c r="AU14" s="24">
        <f ca="1">NOW()</f>
        <v>40134.633314467595</v>
      </c>
    </row>
    <row r="15" spans="2:59">
      <c r="B15" s="5">
        <f>+B14+1</f>
        <v>3</v>
      </c>
      <c r="C15" s="5"/>
      <c r="E15" s="13"/>
      <c r="F15" s="5"/>
      <c r="G15" s="11" t="str">
        <f>IF(ISERROR(AVERAGE(F$13:F15)),"n/a",AVERAGE(F$13:F15))</f>
        <v>n/a</v>
      </c>
      <c r="H15" s="11" t="str">
        <f t="shared" si="2"/>
        <v>n/a</v>
      </c>
      <c r="J15" s="5"/>
      <c r="K15" s="5"/>
      <c r="L15" s="5"/>
      <c r="M15" s="5"/>
      <c r="N15" s="5"/>
      <c r="O15" s="8" t="str">
        <f t="shared" si="0"/>
        <v>n/a</v>
      </c>
      <c r="Q15" s="5"/>
      <c r="R15" s="5"/>
      <c r="S15" s="5"/>
      <c r="U15" s="6"/>
      <c r="V15" s="9" t="str">
        <f t="shared" si="3"/>
        <v/>
      </c>
      <c r="W15" s="9" t="str">
        <f t="shared" si="4"/>
        <v/>
      </c>
      <c r="X15" s="10">
        <f>SUM(V$13:V15)/COUNTA(B$13:B15)</f>
        <v>0</v>
      </c>
      <c r="Z15" s="5"/>
      <c r="AA15" s="5"/>
      <c r="AC15" s="7"/>
      <c r="AE15" s="54" t="e">
        <f t="shared" si="5"/>
        <v>#N/A</v>
      </c>
      <c r="AF15" s="4" t="e">
        <f t="shared" si="1"/>
        <v>#N/A</v>
      </c>
    </row>
    <row r="16" spans="2:59">
      <c r="B16" s="5">
        <f>+B15+1</f>
        <v>4</v>
      </c>
      <c r="C16" s="5"/>
      <c r="E16" s="13"/>
      <c r="F16" s="5"/>
      <c r="G16" s="11" t="str">
        <f>IF(ISERROR(AVERAGE(F$13:F16)),"n/a",AVERAGE(F$13:F16))</f>
        <v>n/a</v>
      </c>
      <c r="H16" s="11" t="str">
        <f t="shared" si="2"/>
        <v>n/a</v>
      </c>
      <c r="J16" s="5"/>
      <c r="K16" s="5"/>
      <c r="L16" s="5"/>
      <c r="M16" s="5"/>
      <c r="N16" s="5"/>
      <c r="O16" s="8" t="str">
        <f t="shared" si="0"/>
        <v>n/a</v>
      </c>
      <c r="Q16" s="5"/>
      <c r="R16" s="5"/>
      <c r="S16" s="5"/>
      <c r="U16" s="6"/>
      <c r="V16" s="9" t="str">
        <f t="shared" si="3"/>
        <v/>
      </c>
      <c r="W16" s="9" t="str">
        <f t="shared" si="4"/>
        <v/>
      </c>
      <c r="X16" s="10">
        <f>SUM(V$13:V16)/COUNTA(B$13:B16)</f>
        <v>0</v>
      </c>
      <c r="Z16" s="5"/>
      <c r="AA16" s="5"/>
      <c r="AC16" s="7"/>
      <c r="AE16" s="54" t="e">
        <f t="shared" si="5"/>
        <v>#N/A</v>
      </c>
      <c r="AF16" s="4" t="e">
        <f t="shared" si="1"/>
        <v>#N/A</v>
      </c>
    </row>
    <row r="17" spans="2:58">
      <c r="B17" s="5">
        <f>+B16+1</f>
        <v>5</v>
      </c>
      <c r="C17" s="5"/>
      <c r="E17" s="13"/>
      <c r="F17" s="5"/>
      <c r="G17" s="11" t="str">
        <f>IF(ISERROR(AVERAGE(F$13:F17)),"n/a",AVERAGE(F$13:F17))</f>
        <v>n/a</v>
      </c>
      <c r="H17" s="11" t="str">
        <f t="shared" si="2"/>
        <v>n/a</v>
      </c>
      <c r="J17" s="5"/>
      <c r="K17" s="5"/>
      <c r="L17" s="5"/>
      <c r="M17" s="5"/>
      <c r="N17" s="5"/>
      <c r="O17" s="8" t="str">
        <f t="shared" si="0"/>
        <v>n/a</v>
      </c>
      <c r="Q17" s="5"/>
      <c r="R17" s="5"/>
      <c r="S17" s="5"/>
      <c r="U17" s="6"/>
      <c r="V17" s="9" t="str">
        <f t="shared" si="3"/>
        <v/>
      </c>
      <c r="W17" s="9" t="str">
        <f t="shared" si="4"/>
        <v/>
      </c>
      <c r="X17" s="10">
        <f>SUM(V$13:V17)/COUNTA(B$13:B17)</f>
        <v>0</v>
      </c>
      <c r="Z17" s="5"/>
      <c r="AA17" s="5"/>
      <c r="AC17" s="7"/>
      <c r="AE17" s="54" t="e">
        <f t="shared" si="5"/>
        <v>#N/A</v>
      </c>
      <c r="AF17" s="4" t="e">
        <f t="shared" si="1"/>
        <v>#N/A</v>
      </c>
      <c r="AR17" s="40"/>
      <c r="AS17" s="41"/>
      <c r="AT17" s="42"/>
      <c r="AU17" s="88" t="s">
        <v>3</v>
      </c>
      <c r="AV17" s="89" t="s">
        <v>0</v>
      </c>
      <c r="AW17" s="90" t="s">
        <v>2</v>
      </c>
      <c r="AX17" s="91" t="s">
        <v>1</v>
      </c>
      <c r="AY17" s="88" t="s">
        <v>4</v>
      </c>
      <c r="AZ17" s="89" t="s">
        <v>5</v>
      </c>
      <c r="BA17" s="91" t="s">
        <v>47</v>
      </c>
      <c r="BB17" s="88" t="s">
        <v>31</v>
      </c>
      <c r="BC17" s="88" t="s">
        <v>32</v>
      </c>
      <c r="BD17" s="88" t="s">
        <v>56</v>
      </c>
    </row>
    <row r="18" spans="2:58">
      <c r="B18" s="5">
        <f>+B17+1</f>
        <v>6</v>
      </c>
      <c r="C18" s="5"/>
      <c r="E18" s="13"/>
      <c r="F18" s="5"/>
      <c r="G18" s="11" t="str">
        <f>IF(ISERROR(AVERAGE(F$13:F18)),"n/a",AVERAGE(F$13:F18))</f>
        <v>n/a</v>
      </c>
      <c r="H18" s="11" t="str">
        <f t="shared" si="2"/>
        <v>n/a</v>
      </c>
      <c r="J18" s="5"/>
      <c r="K18" s="5"/>
      <c r="L18" s="5"/>
      <c r="M18" s="5"/>
      <c r="N18" s="5"/>
      <c r="O18" s="8" t="str">
        <f t="shared" si="0"/>
        <v>n/a</v>
      </c>
      <c r="Q18" s="5"/>
      <c r="R18" s="5"/>
      <c r="S18" s="5"/>
      <c r="U18" s="6"/>
      <c r="V18" s="9" t="str">
        <f t="shared" si="3"/>
        <v/>
      </c>
      <c r="W18" s="9" t="str">
        <f t="shared" si="4"/>
        <v/>
      </c>
      <c r="X18" s="10">
        <f>SUM(V$13:V18)/COUNTA(B$13:B18)</f>
        <v>0</v>
      </c>
      <c r="Z18" s="5"/>
      <c r="AA18" s="5"/>
      <c r="AC18" s="7"/>
      <c r="AE18" s="54" t="e">
        <f t="shared" si="5"/>
        <v>#N/A</v>
      </c>
      <c r="AF18" s="4" t="e">
        <f t="shared" si="1"/>
        <v>#N/A</v>
      </c>
      <c r="AR18" s="43" t="s">
        <v>39</v>
      </c>
      <c r="AS18" s="37"/>
      <c r="AT18" s="44"/>
      <c r="AU18" s="92">
        <f>V1015</f>
        <v>0</v>
      </c>
      <c r="AV18" s="38">
        <f>Q1015</f>
        <v>0</v>
      </c>
      <c r="AW18" s="38">
        <f>R1015</f>
        <v>0</v>
      </c>
      <c r="AX18" s="38">
        <f>S1015</f>
        <v>0</v>
      </c>
      <c r="AY18" s="92">
        <f>W1015</f>
        <v>0</v>
      </c>
      <c r="AZ18" s="38">
        <f>Z1015</f>
        <v>0</v>
      </c>
      <c r="BA18" s="38">
        <f>AA1015</f>
        <v>0</v>
      </c>
      <c r="BB18" s="95" t="str">
        <f>IF(ISERROR(AU18/(AU18+AY18)),"n/a",AU18/(AU18+AY18))</f>
        <v>n/a</v>
      </c>
      <c r="BC18" s="96" t="str">
        <f>IF(ISERROR(TEXT($E$1023,"00")&amp;":"&amp;TEXT($F$1023,"00")),"n/a",TEXT($E$1023,"00")&amp;":"&amp;TEXT($F$1023,"00"))</f>
        <v>n/a</v>
      </c>
      <c r="BD18" s="96" t="str">
        <f>IF(ISERROR(BF18&amp;TEXT($E$1040,"00")&amp;":"&amp;TEXT($F$1040,"00")),"n/a",BF18&amp;TEXT($E$1040,"00")&amp;":"&amp;TEXT($F$1040,"00"))</f>
        <v>n/a</v>
      </c>
      <c r="BF18" s="113" t="e">
        <f>IF(F1032&lt;0,"-","+")</f>
        <v>#VALUE!</v>
      </c>
    </row>
    <row r="19" spans="2:58">
      <c r="B19" s="5">
        <f t="shared" ref="B19:B82" si="6">+B18+1</f>
        <v>7</v>
      </c>
      <c r="C19" s="5"/>
      <c r="E19" s="13"/>
      <c r="F19" s="5"/>
      <c r="G19" s="11" t="str">
        <f>IF(ISERROR(AVERAGE(F$13:F19)),"n/a",AVERAGE(F$13:F19))</f>
        <v>n/a</v>
      </c>
      <c r="H19" s="11" t="str">
        <f t="shared" si="2"/>
        <v>n/a</v>
      </c>
      <c r="J19" s="5"/>
      <c r="K19" s="5"/>
      <c r="L19" s="5"/>
      <c r="M19" s="5"/>
      <c r="N19" s="5"/>
      <c r="O19" s="8" t="str">
        <f t="shared" si="0"/>
        <v>n/a</v>
      </c>
      <c r="Q19" s="5"/>
      <c r="R19" s="5"/>
      <c r="S19" s="5"/>
      <c r="U19" s="6"/>
      <c r="V19" s="9" t="str">
        <f t="shared" si="3"/>
        <v/>
      </c>
      <c r="W19" s="9" t="str">
        <f t="shared" si="4"/>
        <v/>
      </c>
      <c r="X19" s="10">
        <f>SUM(V$13:V19)/COUNTA(B$13:B19)</f>
        <v>0</v>
      </c>
      <c r="Z19" s="5"/>
      <c r="AA19" s="5"/>
      <c r="AC19" s="7"/>
      <c r="AE19" s="54" t="e">
        <f t="shared" si="5"/>
        <v>#N/A</v>
      </c>
      <c r="AF19" s="4" t="e">
        <f t="shared" si="1"/>
        <v>#N/A</v>
      </c>
      <c r="AR19" s="43"/>
      <c r="AS19" s="37"/>
      <c r="AT19" s="44"/>
      <c r="AU19" s="93"/>
      <c r="AV19" s="102" t="str">
        <f>+IF(ISERROR(AV18/SUM($AU$18,$AY$18)),"n/a",AV18/SUM($AU$18,$AY$18))</f>
        <v>n/a</v>
      </c>
      <c r="AW19" s="102" t="str">
        <f t="shared" ref="AW19:AX19" si="7">+IF(ISERROR(AW18/SUM($AU$18,$AY$18)),"n/a",AW18/SUM($AU$18,$AY$18))</f>
        <v>n/a</v>
      </c>
      <c r="AX19" s="102" t="str">
        <f t="shared" si="7"/>
        <v>n/a</v>
      </c>
      <c r="AY19" s="93"/>
      <c r="AZ19" s="102" t="str">
        <f>+IF(ISERROR(AZ18/$AY$18),"n/a",AZ18/$AY$18)</f>
        <v>n/a</v>
      </c>
      <c r="BA19" s="102" t="str">
        <f t="shared" ref="BA19" si="8">+IF(ISERROR(BA18/$AY$18),"n/a",BA18/$AY$18)</f>
        <v>n/a</v>
      </c>
      <c r="BB19" s="93"/>
      <c r="BC19" s="97"/>
      <c r="BD19" s="97"/>
      <c r="BF19" s="113"/>
    </row>
    <row r="20" spans="2:58">
      <c r="B20" s="5">
        <f t="shared" si="6"/>
        <v>8</v>
      </c>
      <c r="C20" s="5"/>
      <c r="E20" s="13"/>
      <c r="F20" s="5"/>
      <c r="G20" s="11" t="str">
        <f>IF(ISERROR(AVERAGE(F$13:F20)),"n/a",AVERAGE(F$13:F20))</f>
        <v>n/a</v>
      </c>
      <c r="H20" s="11" t="str">
        <f>G20</f>
        <v>n/a</v>
      </c>
      <c r="J20" s="5"/>
      <c r="K20" s="5"/>
      <c r="L20" s="5"/>
      <c r="M20" s="5"/>
      <c r="N20" s="5"/>
      <c r="O20" s="8" t="str">
        <f t="shared" si="0"/>
        <v>n/a</v>
      </c>
      <c r="Q20" s="5"/>
      <c r="R20" s="5"/>
      <c r="S20" s="5"/>
      <c r="U20" s="6"/>
      <c r="V20" s="9" t="str">
        <f>IF(O20="n/a","",IF(O20=U20,1,""))</f>
        <v/>
      </c>
      <c r="W20" s="9" t="str">
        <f>IF(O20="n/a","",IF(O20&lt;&gt;U20,1,""))</f>
        <v/>
      </c>
      <c r="X20" s="10">
        <f>SUM(V$13:V20)/COUNTA(B$13:B20)</f>
        <v>0</v>
      </c>
      <c r="Z20" s="5"/>
      <c r="AA20" s="5"/>
      <c r="AC20" s="7"/>
      <c r="AE20" s="54" t="e">
        <f t="shared" si="5"/>
        <v>#N/A</v>
      </c>
      <c r="AF20" s="4" t="e">
        <f t="shared" si="1"/>
        <v>#N/A</v>
      </c>
      <c r="AR20" s="45" t="s">
        <v>57</v>
      </c>
      <c r="AS20" s="37"/>
      <c r="AT20" s="44"/>
      <c r="AU20" s="93"/>
      <c r="AV20" s="37"/>
      <c r="AW20" s="37"/>
      <c r="AX20" s="37"/>
      <c r="AY20" s="93"/>
      <c r="AZ20" s="37"/>
      <c r="BA20" s="37"/>
      <c r="BB20" s="93"/>
      <c r="BC20" s="97"/>
      <c r="BD20" s="97"/>
      <c r="BF20" s="113"/>
    </row>
    <row r="21" spans="2:58">
      <c r="B21" s="5">
        <f t="shared" si="6"/>
        <v>9</v>
      </c>
      <c r="C21" s="5"/>
      <c r="E21" s="13"/>
      <c r="F21" s="5"/>
      <c r="G21" s="11" t="str">
        <f>IF(ISERROR(AVERAGE(F$13:F21)),"n/a",AVERAGE(F$13:F21))</f>
        <v>n/a</v>
      </c>
      <c r="H21" s="11" t="str">
        <f t="shared" si="2"/>
        <v>n/a</v>
      </c>
      <c r="J21" s="5"/>
      <c r="K21" s="5"/>
      <c r="L21" s="5"/>
      <c r="M21" s="5"/>
      <c r="N21" s="5"/>
      <c r="O21" s="8" t="str">
        <f t="shared" si="0"/>
        <v>n/a</v>
      </c>
      <c r="Q21" s="5"/>
      <c r="R21" s="5"/>
      <c r="S21" s="5"/>
      <c r="U21" s="6"/>
      <c r="V21" s="9" t="str">
        <f t="shared" ref="V21:V26" si="9">IF(O21="n/a","",IF(O21=U21,1,""))</f>
        <v/>
      </c>
      <c r="W21" s="9" t="str">
        <f t="shared" ref="W21:W26" si="10">IF(O21="n/a","",IF(O21&lt;&gt;U21,1,""))</f>
        <v/>
      </c>
      <c r="X21" s="10">
        <f>SUM(V$13:V21)/COUNTA(B$13:B21)</f>
        <v>0</v>
      </c>
      <c r="Z21" s="5"/>
      <c r="AA21" s="5"/>
      <c r="AC21" s="7"/>
      <c r="AE21" s="54" t="e">
        <f t="shared" si="5"/>
        <v>#N/A</v>
      </c>
      <c r="AF21" s="4" t="e">
        <f t="shared" si="1"/>
        <v>#N/A</v>
      </c>
      <c r="AR21" s="43"/>
      <c r="AS21" s="37"/>
      <c r="AT21" s="44"/>
      <c r="AU21" s="93"/>
      <c r="AV21" s="37"/>
      <c r="AW21" s="37"/>
      <c r="AX21" s="37"/>
      <c r="AY21" s="93"/>
      <c r="AZ21" s="37"/>
      <c r="BA21" s="37"/>
      <c r="BB21" s="93"/>
      <c r="BC21" s="97"/>
      <c r="BD21" s="97"/>
      <c r="BF21" s="113"/>
    </row>
    <row r="22" spans="2:58">
      <c r="B22" s="5">
        <f t="shared" si="6"/>
        <v>10</v>
      </c>
      <c r="C22" s="5"/>
      <c r="E22" s="13"/>
      <c r="F22" s="5"/>
      <c r="G22" s="11" t="str">
        <f>IF(ISERROR(AVERAGE(F$13:F22)),"n/a",AVERAGE(F$13:F22))</f>
        <v>n/a</v>
      </c>
      <c r="H22" s="11" t="str">
        <f t="shared" si="2"/>
        <v>n/a</v>
      </c>
      <c r="J22" s="5"/>
      <c r="K22" s="5"/>
      <c r="L22" s="5"/>
      <c r="M22" s="5"/>
      <c r="N22" s="5"/>
      <c r="O22" s="8" t="str">
        <f t="shared" si="0"/>
        <v>n/a</v>
      </c>
      <c r="Q22" s="5"/>
      <c r="R22" s="5"/>
      <c r="S22" s="5"/>
      <c r="U22" s="6"/>
      <c r="V22" s="9" t="str">
        <f t="shared" si="9"/>
        <v/>
      </c>
      <c r="W22" s="9" t="str">
        <f t="shared" si="10"/>
        <v/>
      </c>
      <c r="X22" s="10">
        <f>SUM(V$13:V22)/COUNTA(B$13:B22)</f>
        <v>0</v>
      </c>
      <c r="Z22" s="5"/>
      <c r="AA22" s="5"/>
      <c r="AC22" s="7"/>
      <c r="AE22" s="54" t="e">
        <f t="shared" si="5"/>
        <v>#N/A</v>
      </c>
      <c r="AF22" s="4" t="e">
        <f t="shared" si="1"/>
        <v>#N/A</v>
      </c>
      <c r="AR22" s="46" t="s">
        <v>34</v>
      </c>
      <c r="AS22" s="37"/>
      <c r="AT22" s="44"/>
      <c r="AU22" s="92">
        <f>V1017</f>
        <v>0</v>
      </c>
      <c r="AV22" s="38">
        <f>Q1017</f>
        <v>0</v>
      </c>
      <c r="AW22" s="38">
        <f>R1017</f>
        <v>0</v>
      </c>
      <c r="AX22" s="38">
        <f>S1017</f>
        <v>0</v>
      </c>
      <c r="AY22" s="92">
        <f>$W$1017</f>
        <v>0</v>
      </c>
      <c r="AZ22" s="38">
        <f>Z1017</f>
        <v>0</v>
      </c>
      <c r="BA22" s="38">
        <f>AA1017</f>
        <v>0</v>
      </c>
      <c r="BB22" s="95" t="str">
        <f>IF(ISERROR(AU22/(AU22+AY22)),"n/a",AU22/(AU22+AY22))</f>
        <v>n/a</v>
      </c>
      <c r="BC22" s="96" t="str">
        <f>IF(ISERROR(TEXT($E$1025,"00")&amp;":"&amp;TEXT($F$1025,"00")),"n/a",TEXT($E$1025,"00")&amp;":"&amp;TEXT($F$1025,"00"))</f>
        <v>n/a</v>
      </c>
      <c r="BD22" s="96" t="str">
        <f>IF(ISERROR(BF22&amp;TEXT($E$1042,"00")&amp;":"&amp;TEXT($F$1042,"00")),"n/a",BF22&amp;TEXT($E$1042,"00")&amp;":"&amp;TEXT($F$1042,"00"))</f>
        <v>n/a</v>
      </c>
      <c r="BF22" s="113" t="e">
        <f>IF(F1034&lt;0,"-","+")</f>
        <v>#VALUE!</v>
      </c>
    </row>
    <row r="23" spans="2:58">
      <c r="B23" s="5">
        <f t="shared" si="6"/>
        <v>11</v>
      </c>
      <c r="C23" s="5"/>
      <c r="E23" s="13"/>
      <c r="F23" s="5"/>
      <c r="G23" s="11" t="str">
        <f>IF(ISERROR(AVERAGE(F$13:F23)),"n/a",AVERAGE(F$13:F23))</f>
        <v>n/a</v>
      </c>
      <c r="H23" s="11" t="str">
        <f t="shared" si="2"/>
        <v>n/a</v>
      </c>
      <c r="J23" s="5"/>
      <c r="K23" s="5"/>
      <c r="L23" s="5"/>
      <c r="M23" s="5"/>
      <c r="N23" s="5"/>
      <c r="O23" s="8" t="str">
        <f t="shared" si="0"/>
        <v>n/a</v>
      </c>
      <c r="Q23" s="5"/>
      <c r="R23" s="5"/>
      <c r="S23" s="5"/>
      <c r="U23" s="6"/>
      <c r="V23" s="9" t="str">
        <f t="shared" si="9"/>
        <v/>
      </c>
      <c r="W23" s="9" t="str">
        <f t="shared" si="10"/>
        <v/>
      </c>
      <c r="X23" s="10">
        <f>SUM(V$13:V23)/COUNTA(B$13:B23)</f>
        <v>0</v>
      </c>
      <c r="Z23" s="5"/>
      <c r="AA23" s="5"/>
      <c r="AC23" s="7"/>
      <c r="AE23" s="54" t="e">
        <f t="shared" si="5"/>
        <v>#N/A</v>
      </c>
      <c r="AF23" s="4" t="e">
        <f t="shared" si="1"/>
        <v>#N/A</v>
      </c>
      <c r="AR23" s="46"/>
      <c r="AS23" s="37"/>
      <c r="AT23" s="44"/>
      <c r="AU23" s="93"/>
      <c r="AV23" s="102" t="str">
        <f>+IF(ISERROR(AV22/SUM($AU$22,$AY$22)),"n/a",AV22/SUM($AU$22,$AY$22))</f>
        <v>n/a</v>
      </c>
      <c r="AW23" s="102" t="str">
        <f t="shared" ref="AW23:AX23" si="11">+IF(ISERROR(AW22/SUM($AU$22,$AY$22)),"n/a",AW22/SUM($AU$22,$AY$22))</f>
        <v>n/a</v>
      </c>
      <c r="AX23" s="102" t="str">
        <f t="shared" si="11"/>
        <v>n/a</v>
      </c>
      <c r="AY23" s="93"/>
      <c r="AZ23" s="102" t="str">
        <f>+IF(ISERROR(AZ22/$AY$22),"n/a",AZ22/$AY$22)</f>
        <v>n/a</v>
      </c>
      <c r="BA23" s="102" t="str">
        <f>+IF(ISERROR(BA22/$AY$22),"n/a",BA22/$AY$22)</f>
        <v>n/a</v>
      </c>
      <c r="BB23" s="93"/>
      <c r="BC23" s="97"/>
      <c r="BD23" s="97"/>
      <c r="BF23" s="113"/>
    </row>
    <row r="24" spans="2:58">
      <c r="B24" s="5">
        <f t="shared" si="6"/>
        <v>12</v>
      </c>
      <c r="C24" s="5"/>
      <c r="E24" s="13"/>
      <c r="F24" s="5"/>
      <c r="G24" s="11" t="str">
        <f>IF(ISERROR(AVERAGE(F$13:F24)),"n/a",AVERAGE(F$13:F24))</f>
        <v>n/a</v>
      </c>
      <c r="H24" s="11" t="str">
        <f t="shared" si="2"/>
        <v>n/a</v>
      </c>
      <c r="J24" s="5"/>
      <c r="K24" s="5"/>
      <c r="L24" s="5"/>
      <c r="M24" s="5"/>
      <c r="N24" s="5"/>
      <c r="O24" s="8" t="str">
        <f t="shared" si="0"/>
        <v>n/a</v>
      </c>
      <c r="Q24" s="5"/>
      <c r="R24" s="5"/>
      <c r="S24" s="5"/>
      <c r="U24" s="6"/>
      <c r="V24" s="9" t="str">
        <f t="shared" si="9"/>
        <v/>
      </c>
      <c r="W24" s="9" t="str">
        <f t="shared" si="10"/>
        <v/>
      </c>
      <c r="X24" s="10">
        <f>SUM(V$13:V24)/COUNTA(B$13:B24)</f>
        <v>0</v>
      </c>
      <c r="Z24" s="5"/>
      <c r="AA24" s="5"/>
      <c r="AC24" s="7"/>
      <c r="AE24" s="54" t="e">
        <f t="shared" si="5"/>
        <v>#N/A</v>
      </c>
      <c r="AF24" s="4" t="e">
        <f t="shared" si="1"/>
        <v>#N/A</v>
      </c>
      <c r="AR24" s="46"/>
      <c r="AS24" s="37"/>
      <c r="AT24" s="44"/>
      <c r="AU24" s="93"/>
      <c r="AV24" s="37"/>
      <c r="AW24" s="37"/>
      <c r="AX24" s="37"/>
      <c r="AY24" s="93"/>
      <c r="AZ24" s="37"/>
      <c r="BA24" s="37"/>
      <c r="BB24" s="93"/>
      <c r="BC24" s="97"/>
      <c r="BD24" s="97"/>
      <c r="BF24" s="113"/>
    </row>
    <row r="25" spans="2:58">
      <c r="B25" s="5">
        <f t="shared" si="6"/>
        <v>13</v>
      </c>
      <c r="C25" s="5"/>
      <c r="E25" s="13"/>
      <c r="F25" s="5"/>
      <c r="G25" s="11" t="str">
        <f>IF(ISERROR(AVERAGE(F$13:F25)),"n/a",AVERAGE(F$13:F25))</f>
        <v>n/a</v>
      </c>
      <c r="H25" s="11" t="str">
        <f t="shared" si="2"/>
        <v>n/a</v>
      </c>
      <c r="J25" s="5"/>
      <c r="K25" s="5"/>
      <c r="L25" s="5"/>
      <c r="M25" s="5"/>
      <c r="N25" s="5"/>
      <c r="O25" s="8" t="str">
        <f t="shared" si="0"/>
        <v>n/a</v>
      </c>
      <c r="Q25" s="5"/>
      <c r="R25" s="5"/>
      <c r="S25" s="5"/>
      <c r="U25" s="6"/>
      <c r="V25" s="9" t="str">
        <f t="shared" si="9"/>
        <v/>
      </c>
      <c r="W25" s="9" t="str">
        <f t="shared" si="10"/>
        <v/>
      </c>
      <c r="X25" s="10">
        <f>SUM(V$13:V25)/COUNTA(B$13:B25)</f>
        <v>0</v>
      </c>
      <c r="Z25" s="5"/>
      <c r="AA25" s="5"/>
      <c r="AC25" s="7"/>
      <c r="AE25" s="54" t="e">
        <f t="shared" si="5"/>
        <v>#N/A</v>
      </c>
      <c r="AF25" s="4" t="e">
        <f t="shared" si="1"/>
        <v>#N/A</v>
      </c>
      <c r="AR25" s="46" t="s">
        <v>35</v>
      </c>
      <c r="AS25" s="37"/>
      <c r="AT25" s="44"/>
      <c r="AU25" s="92">
        <f>$V$1018</f>
        <v>0</v>
      </c>
      <c r="AV25" s="38">
        <f>Q1018</f>
        <v>0</v>
      </c>
      <c r="AW25" s="38">
        <f>R1018</f>
        <v>0</v>
      </c>
      <c r="AX25" s="38">
        <f>S1018</f>
        <v>0</v>
      </c>
      <c r="AY25" s="92">
        <f>$W$1018</f>
        <v>0</v>
      </c>
      <c r="AZ25" s="38">
        <f>Z1018</f>
        <v>0</v>
      </c>
      <c r="BA25" s="38">
        <f>AA1018</f>
        <v>0</v>
      </c>
      <c r="BB25" s="95" t="str">
        <f>IF(ISERROR(AU25/(AU25+AY25)),"n/a",AU25/(AU25+AY25))</f>
        <v>n/a</v>
      </c>
      <c r="BC25" s="96" t="str">
        <f>IF(ISERROR(TEXT($E$1026,"00")&amp;":"&amp;TEXT($F$1026,"00")),"n/a",TEXT($E$1026,"00")&amp;":"&amp;TEXT($F$1026,"00"))</f>
        <v>n/a</v>
      </c>
      <c r="BD25" s="96" t="str">
        <f>IF(ISERROR(BF25&amp;TEXT($E$1043,"00")&amp;":"&amp;TEXT($F$1043,"00")),"n/a",BF25&amp;TEXT($E$1043,"00")&amp;":"&amp;TEXT($F$1043,"00"))</f>
        <v>n/a</v>
      </c>
      <c r="BF25" s="113" t="e">
        <f>IF(F1035&lt;0,"-","+")</f>
        <v>#VALUE!</v>
      </c>
    </row>
    <row r="26" spans="2:58">
      <c r="B26" s="5">
        <f t="shared" si="6"/>
        <v>14</v>
      </c>
      <c r="C26" s="5"/>
      <c r="E26" s="13"/>
      <c r="F26" s="5"/>
      <c r="G26" s="11" t="str">
        <f>IF(ISERROR(AVERAGE(F$13:F26)),"n/a",AVERAGE(F$13:F26))</f>
        <v>n/a</v>
      </c>
      <c r="H26" s="11" t="str">
        <f t="shared" si="2"/>
        <v>n/a</v>
      </c>
      <c r="J26" s="5"/>
      <c r="K26" s="5"/>
      <c r="L26" s="5"/>
      <c r="M26" s="5"/>
      <c r="N26" s="5"/>
      <c r="O26" s="8" t="str">
        <f t="shared" si="0"/>
        <v>n/a</v>
      </c>
      <c r="Q26" s="5"/>
      <c r="R26" s="5"/>
      <c r="S26" s="5"/>
      <c r="U26" s="6"/>
      <c r="V26" s="9" t="str">
        <f t="shared" si="9"/>
        <v/>
      </c>
      <c r="W26" s="9" t="str">
        <f t="shared" si="10"/>
        <v/>
      </c>
      <c r="X26" s="10">
        <f>SUM(V$13:V26)/COUNTA(B$13:B26)</f>
        <v>0</v>
      </c>
      <c r="Z26" s="5"/>
      <c r="AA26" s="5"/>
      <c r="AC26" s="7"/>
      <c r="AE26" s="54" t="e">
        <f t="shared" si="5"/>
        <v>#N/A</v>
      </c>
      <c r="AF26" s="4" t="e">
        <f t="shared" si="1"/>
        <v>#N/A</v>
      </c>
      <c r="AR26" s="46"/>
      <c r="AS26" s="37"/>
      <c r="AT26" s="44"/>
      <c r="AU26" s="93"/>
      <c r="AV26" s="102" t="str">
        <f>+IF(ISERROR(AV25/SUM($AU$25,$AY$25)),"n/a",AV25/SUM($AU$25,$AY$25))</f>
        <v>n/a</v>
      </c>
      <c r="AW26" s="102" t="str">
        <f t="shared" ref="AW26:AX26" si="12">+IF(ISERROR(AW25/SUM($AU$25,$AY$25)),"n/a",AW25/SUM($AU$25,$AY$25))</f>
        <v>n/a</v>
      </c>
      <c r="AX26" s="102" t="str">
        <f t="shared" si="12"/>
        <v>n/a</v>
      </c>
      <c r="AY26" s="93"/>
      <c r="AZ26" s="102" t="str">
        <f>+IF(ISERROR(AZ25/$AY$25),"n/a",AZ25/$AY$25)</f>
        <v>n/a</v>
      </c>
      <c r="BA26" s="102" t="str">
        <f>+IF(ISERROR(BA25/$AY$25),"n/a",BA25/$AY$25)</f>
        <v>n/a</v>
      </c>
      <c r="BB26" s="93"/>
      <c r="BC26" s="97"/>
      <c r="BD26" s="97"/>
      <c r="BF26" s="113"/>
    </row>
    <row r="27" spans="2:58">
      <c r="B27" s="5">
        <f t="shared" si="6"/>
        <v>15</v>
      </c>
      <c r="C27" s="5"/>
      <c r="E27" s="13"/>
      <c r="F27" s="5"/>
      <c r="G27" s="11" t="str">
        <f>IF(ISERROR(AVERAGE(F$13:F27)),"n/a",AVERAGE(F$13:F27))</f>
        <v>n/a</v>
      </c>
      <c r="H27" s="11" t="str">
        <f>G27</f>
        <v>n/a</v>
      </c>
      <c r="J27" s="5"/>
      <c r="K27" s="5"/>
      <c r="L27" s="5"/>
      <c r="M27" s="5"/>
      <c r="N27" s="5"/>
      <c r="O27" s="8" t="str">
        <f t="shared" si="0"/>
        <v>n/a</v>
      </c>
      <c r="Q27" s="5"/>
      <c r="R27" s="5"/>
      <c r="S27" s="5"/>
      <c r="U27" s="6"/>
      <c r="V27" s="9" t="str">
        <f>IF(O27="n/a","",IF(O27=U27,1,""))</f>
        <v/>
      </c>
      <c r="W27" s="9" t="str">
        <f>IF(O27="n/a","",IF(O27&lt;&gt;U27,1,""))</f>
        <v/>
      </c>
      <c r="X27" s="10">
        <f>SUM(V$13:V27)/COUNTA(B$13:B27)</f>
        <v>0</v>
      </c>
      <c r="Z27" s="5"/>
      <c r="AA27" s="5"/>
      <c r="AC27" s="7"/>
      <c r="AE27" s="54" t="e">
        <f t="shared" si="5"/>
        <v>#N/A</v>
      </c>
      <c r="AF27" s="4" t="e">
        <f t="shared" si="1"/>
        <v>#N/A</v>
      </c>
      <c r="AR27" s="46"/>
      <c r="AS27" s="37"/>
      <c r="AT27" s="44"/>
      <c r="AU27" s="93"/>
      <c r="AV27" s="37"/>
      <c r="AW27" s="37"/>
      <c r="AX27" s="37"/>
      <c r="AY27" s="93"/>
      <c r="AZ27" s="37"/>
      <c r="BA27" s="37"/>
      <c r="BB27" s="93"/>
      <c r="BC27" s="97"/>
      <c r="BD27" s="97"/>
      <c r="BF27" s="113"/>
    </row>
    <row r="28" spans="2:58">
      <c r="B28" s="5">
        <f t="shared" si="6"/>
        <v>16</v>
      </c>
      <c r="C28" s="5"/>
      <c r="E28" s="13"/>
      <c r="F28" s="5"/>
      <c r="G28" s="11" t="str">
        <f>IF(ISERROR(AVERAGE(F$13:F28)),"n/a",AVERAGE(F$13:F28))</f>
        <v>n/a</v>
      </c>
      <c r="H28" s="11" t="str">
        <f t="shared" si="2"/>
        <v>n/a</v>
      </c>
      <c r="J28" s="5"/>
      <c r="K28" s="5"/>
      <c r="L28" s="5"/>
      <c r="M28" s="5"/>
      <c r="N28" s="5"/>
      <c r="O28" s="8" t="str">
        <f t="shared" si="0"/>
        <v>n/a</v>
      </c>
      <c r="Q28" s="5"/>
      <c r="R28" s="5"/>
      <c r="S28" s="5"/>
      <c r="U28" s="6"/>
      <c r="V28" s="9" t="str">
        <f t="shared" ref="V28:V33" si="13">IF(O28="n/a","",IF(O28=U28,1,""))</f>
        <v/>
      </c>
      <c r="W28" s="9" t="str">
        <f t="shared" ref="W28:W33" si="14">IF(O28="n/a","",IF(O28&lt;&gt;U28,1,""))</f>
        <v/>
      </c>
      <c r="X28" s="10">
        <f>SUM(V$13:V28)/COUNTA(B$13:B28)</f>
        <v>0</v>
      </c>
      <c r="Z28" s="5"/>
      <c r="AA28" s="5"/>
      <c r="AC28" s="7"/>
      <c r="AE28" s="54" t="e">
        <f t="shared" si="5"/>
        <v>#N/A</v>
      </c>
      <c r="AF28" s="4" t="e">
        <f t="shared" si="1"/>
        <v>#N/A</v>
      </c>
      <c r="AR28" s="46" t="s">
        <v>36</v>
      </c>
      <c r="AS28" s="37"/>
      <c r="AT28" s="44"/>
      <c r="AU28" s="92">
        <f>$V$1019</f>
        <v>0</v>
      </c>
      <c r="AV28" s="38">
        <f>Q1019</f>
        <v>0</v>
      </c>
      <c r="AW28" s="38">
        <f>R1019</f>
        <v>0</v>
      </c>
      <c r="AX28" s="38">
        <f>S1019</f>
        <v>0</v>
      </c>
      <c r="AY28" s="92">
        <f>$W$1019</f>
        <v>0</v>
      </c>
      <c r="AZ28" s="38">
        <f>Z1019</f>
        <v>0</v>
      </c>
      <c r="BA28" s="38">
        <f>AA1019</f>
        <v>0</v>
      </c>
      <c r="BB28" s="95" t="str">
        <f>IF(ISERROR(AU28/(AU28+AY28)),"n/a",AU28/(AU28+AY28))</f>
        <v>n/a</v>
      </c>
      <c r="BC28" s="96" t="str">
        <f>IF(ISERROR(TEXT($E$1027,"00")&amp;":"&amp;TEXT($F$1027,"00")),"n/a",TEXT($E$1027,"00")&amp;":"&amp;TEXT($F$1027,"00"))</f>
        <v>n/a</v>
      </c>
      <c r="BD28" s="96" t="str">
        <f>IF(ISERROR(BF28&amp;TEXT($E$1044,"00")&amp;":"&amp;TEXT($F$1044,"00")),"n/a",BF28&amp;TEXT($E$1044,"00")&amp;":"&amp;TEXT($F$1044,"00"))</f>
        <v>n/a</v>
      </c>
      <c r="BF28" s="113" t="e">
        <f>IF(F1036&lt;0,"-","+")</f>
        <v>#VALUE!</v>
      </c>
    </row>
    <row r="29" spans="2:58">
      <c r="B29" s="5">
        <f t="shared" si="6"/>
        <v>17</v>
      </c>
      <c r="C29" s="5"/>
      <c r="E29" s="13"/>
      <c r="F29" s="5"/>
      <c r="G29" s="11" t="str">
        <f>IF(ISERROR(AVERAGE(F$13:F29)),"n/a",AVERAGE(F$13:F29))</f>
        <v>n/a</v>
      </c>
      <c r="H29" s="11" t="str">
        <f t="shared" si="2"/>
        <v>n/a</v>
      </c>
      <c r="J29" s="5"/>
      <c r="K29" s="5"/>
      <c r="L29" s="5"/>
      <c r="M29" s="5"/>
      <c r="N29" s="5"/>
      <c r="O29" s="8" t="str">
        <f t="shared" si="0"/>
        <v>n/a</v>
      </c>
      <c r="Q29" s="5"/>
      <c r="R29" s="5"/>
      <c r="S29" s="5"/>
      <c r="U29" s="6"/>
      <c r="V29" s="9" t="str">
        <f t="shared" si="13"/>
        <v/>
      </c>
      <c r="W29" s="9" t="str">
        <f t="shared" si="14"/>
        <v/>
      </c>
      <c r="X29" s="10">
        <f>SUM(V$13:V29)/COUNTA(B$13:B29)</f>
        <v>0</v>
      </c>
      <c r="Z29" s="5"/>
      <c r="AA29" s="5"/>
      <c r="AC29" s="7"/>
      <c r="AE29" s="54" t="e">
        <f t="shared" si="5"/>
        <v>#N/A</v>
      </c>
      <c r="AF29" s="4" t="e">
        <f t="shared" si="1"/>
        <v>#N/A</v>
      </c>
      <c r="AR29" s="46"/>
      <c r="AS29" s="37"/>
      <c r="AT29" s="44"/>
      <c r="AU29" s="93"/>
      <c r="AV29" s="102" t="str">
        <f>+IF(ISERROR(AV28/SUM($AU$28,$AY$28)),"n/a",AV28/SUM($AU$28,$AY$28))</f>
        <v>n/a</v>
      </c>
      <c r="AW29" s="102" t="str">
        <f t="shared" ref="AW29:AX29" si="15">+IF(ISERROR(AW28/SUM($AU$28,$AY$28)),"n/a",AW28/SUM($AU$28,$AY$28))</f>
        <v>n/a</v>
      </c>
      <c r="AX29" s="102" t="str">
        <f t="shared" si="15"/>
        <v>n/a</v>
      </c>
      <c r="AY29" s="93"/>
      <c r="AZ29" s="102" t="str">
        <f>+IF(ISERROR(AZ28/$AY$28),"n/a",AZ28/$AY$28)</f>
        <v>n/a</v>
      </c>
      <c r="BA29" s="102" t="str">
        <f>+IF(ISERROR(BA28/$AY$28),"n/a",BA28/$AY$28)</f>
        <v>n/a</v>
      </c>
      <c r="BB29" s="93"/>
      <c r="BC29" s="97"/>
      <c r="BD29" s="97"/>
      <c r="BF29" s="113"/>
    </row>
    <row r="30" spans="2:58">
      <c r="B30" s="5">
        <f t="shared" si="6"/>
        <v>18</v>
      </c>
      <c r="C30" s="5"/>
      <c r="E30" s="13"/>
      <c r="F30" s="5"/>
      <c r="G30" s="11" t="str">
        <f>IF(ISERROR(AVERAGE(F$13:F30)),"n/a",AVERAGE(F$13:F30))</f>
        <v>n/a</v>
      </c>
      <c r="H30" s="11" t="str">
        <f t="shared" si="2"/>
        <v>n/a</v>
      </c>
      <c r="J30" s="5"/>
      <c r="K30" s="5"/>
      <c r="L30" s="5"/>
      <c r="M30" s="5"/>
      <c r="N30" s="5"/>
      <c r="O30" s="8" t="str">
        <f t="shared" si="0"/>
        <v>n/a</v>
      </c>
      <c r="Q30" s="5"/>
      <c r="R30" s="5"/>
      <c r="S30" s="5"/>
      <c r="U30" s="6"/>
      <c r="V30" s="9" t="str">
        <f t="shared" si="13"/>
        <v/>
      </c>
      <c r="W30" s="9" t="str">
        <f t="shared" si="14"/>
        <v/>
      </c>
      <c r="X30" s="10">
        <f>SUM(V$13:V30)/COUNTA(B$13:B30)</f>
        <v>0</v>
      </c>
      <c r="Z30" s="5"/>
      <c r="AA30" s="5"/>
      <c r="AC30" s="7"/>
      <c r="AE30" s="54" t="e">
        <f t="shared" si="5"/>
        <v>#N/A</v>
      </c>
      <c r="AF30" s="4" t="e">
        <f t="shared" si="1"/>
        <v>#N/A</v>
      </c>
      <c r="AR30" s="46"/>
      <c r="AS30" s="37"/>
      <c r="AT30" s="44"/>
      <c r="AU30" s="93"/>
      <c r="AV30" s="37"/>
      <c r="AW30" s="37"/>
      <c r="AX30" s="37"/>
      <c r="AY30" s="93"/>
      <c r="AZ30" s="37"/>
      <c r="BA30" s="37"/>
      <c r="BB30" s="93"/>
      <c r="BC30" s="97"/>
      <c r="BD30" s="97"/>
      <c r="BF30" s="113"/>
    </row>
    <row r="31" spans="2:58">
      <c r="B31" s="5">
        <f t="shared" si="6"/>
        <v>19</v>
      </c>
      <c r="C31" s="5"/>
      <c r="E31" s="13"/>
      <c r="F31" s="5"/>
      <c r="G31" s="11" t="str">
        <f>IF(ISERROR(AVERAGE(F$13:F31)),"n/a",AVERAGE(F$13:F31))</f>
        <v>n/a</v>
      </c>
      <c r="H31" s="11" t="str">
        <f t="shared" si="2"/>
        <v>n/a</v>
      </c>
      <c r="J31" s="5"/>
      <c r="K31" s="5"/>
      <c r="L31" s="5"/>
      <c r="M31" s="5"/>
      <c r="N31" s="5"/>
      <c r="O31" s="8" t="str">
        <f t="shared" si="0"/>
        <v>n/a</v>
      </c>
      <c r="Q31" s="5"/>
      <c r="R31" s="5"/>
      <c r="S31" s="5"/>
      <c r="U31" s="6"/>
      <c r="V31" s="9" t="str">
        <f t="shared" si="13"/>
        <v/>
      </c>
      <c r="W31" s="9" t="str">
        <f t="shared" si="14"/>
        <v/>
      </c>
      <c r="X31" s="10">
        <f>SUM(V$13:V31)/COUNTA(B$13:B31)</f>
        <v>0</v>
      </c>
      <c r="Z31" s="5"/>
      <c r="AA31" s="5"/>
      <c r="AC31" s="7"/>
      <c r="AE31" s="54" t="e">
        <f t="shared" si="5"/>
        <v>#N/A</v>
      </c>
      <c r="AF31" s="4" t="e">
        <f t="shared" si="1"/>
        <v>#N/A</v>
      </c>
      <c r="AR31" s="46" t="s">
        <v>37</v>
      </c>
      <c r="AS31" s="37"/>
      <c r="AT31" s="44"/>
      <c r="AU31" s="92">
        <f>$V$1020</f>
        <v>0</v>
      </c>
      <c r="AV31" s="38">
        <f>Q1020</f>
        <v>0</v>
      </c>
      <c r="AW31" s="38">
        <f>R1020</f>
        <v>0</v>
      </c>
      <c r="AX31" s="38">
        <f>S1020</f>
        <v>0</v>
      </c>
      <c r="AY31" s="92">
        <f>$W$1020</f>
        <v>0</v>
      </c>
      <c r="AZ31" s="38">
        <f>Z1020</f>
        <v>0</v>
      </c>
      <c r="BA31" s="38">
        <f>AA1020</f>
        <v>0</v>
      </c>
      <c r="BB31" s="95" t="str">
        <f>IF(ISERROR(AU31/(AU31+AY31)),"n/a",AU31/(AU31+AY31))</f>
        <v>n/a</v>
      </c>
      <c r="BC31" s="96" t="str">
        <f>IF(ISERROR(TEXT($E$1028,"00")&amp;":"&amp;TEXT($F$1028,"00")),"n/a",TEXT($E$1028,"00")&amp;":"&amp;TEXT($F$1028,"00"))</f>
        <v>n/a</v>
      </c>
      <c r="BD31" s="96" t="str">
        <f>IF(ISERROR(BF31&amp;TEXT($E$1045,"00")&amp;":"&amp;TEXT($F$1045,"00")),"n/a",BF31&amp;TEXT($E$1045,"00")&amp;":"&amp;TEXT($F$1045,"00"))</f>
        <v>n/a</v>
      </c>
      <c r="BF31" s="113" t="e">
        <f>IF(F1037&lt;0,"-","+")</f>
        <v>#VALUE!</v>
      </c>
    </row>
    <row r="32" spans="2:58">
      <c r="B32" s="5">
        <f t="shared" si="6"/>
        <v>20</v>
      </c>
      <c r="C32" s="5"/>
      <c r="E32" s="13"/>
      <c r="F32" s="5"/>
      <c r="G32" s="11" t="str">
        <f>IF(ISERROR(AVERAGE(F$13:F32)),"n/a",AVERAGE(F$13:F32))</f>
        <v>n/a</v>
      </c>
      <c r="H32" s="11" t="str">
        <f t="shared" si="2"/>
        <v>n/a</v>
      </c>
      <c r="J32" s="5"/>
      <c r="K32" s="5"/>
      <c r="L32" s="5"/>
      <c r="M32" s="5"/>
      <c r="N32" s="5"/>
      <c r="O32" s="8" t="str">
        <f t="shared" si="0"/>
        <v>n/a</v>
      </c>
      <c r="Q32" s="5"/>
      <c r="R32" s="5"/>
      <c r="S32" s="5"/>
      <c r="U32" s="6"/>
      <c r="V32" s="9" t="str">
        <f t="shared" si="13"/>
        <v/>
      </c>
      <c r="W32" s="9" t="str">
        <f t="shared" si="14"/>
        <v/>
      </c>
      <c r="X32" s="10">
        <f>SUM(V$13:V32)/COUNTA(B$13:B32)</f>
        <v>0</v>
      </c>
      <c r="Z32" s="5"/>
      <c r="AA32" s="5"/>
      <c r="AC32" s="7"/>
      <c r="AE32" s="54" t="e">
        <f t="shared" si="5"/>
        <v>#N/A</v>
      </c>
      <c r="AF32" s="4" t="e">
        <f t="shared" si="1"/>
        <v>#N/A</v>
      </c>
      <c r="AR32" s="46"/>
      <c r="AS32" s="37"/>
      <c r="AT32" s="44"/>
      <c r="AU32" s="93"/>
      <c r="AV32" s="102" t="str">
        <f>+IF(ISERROR(AV31/SUM($AU$31,$AY$31)),"n/a",AV31/SUM($AU$31,$AY$31))</f>
        <v>n/a</v>
      </c>
      <c r="AW32" s="102" t="str">
        <f t="shared" ref="AW32:AX32" si="16">+IF(ISERROR(AW31/SUM($AU$31,$AY$31)),"n/a",AW31/SUM($AU$31,$AY$31))</f>
        <v>n/a</v>
      </c>
      <c r="AX32" s="102" t="str">
        <f t="shared" si="16"/>
        <v>n/a</v>
      </c>
      <c r="AY32" s="93"/>
      <c r="AZ32" s="102" t="str">
        <f>+IF(ISERROR(AZ31/$AY$31),"n/a",AZ31/$AY$31)</f>
        <v>n/a</v>
      </c>
      <c r="BA32" s="102" t="str">
        <f>+IF(ISERROR(BA31/$AY$31),"n/a",BA31/$AY$31)</f>
        <v>n/a</v>
      </c>
      <c r="BB32" s="93"/>
      <c r="BC32" s="97"/>
      <c r="BD32" s="97"/>
      <c r="BF32" s="113"/>
    </row>
    <row r="33" spans="2:59">
      <c r="B33" s="5">
        <f t="shared" si="6"/>
        <v>21</v>
      </c>
      <c r="C33" s="5"/>
      <c r="E33" s="13"/>
      <c r="F33" s="5"/>
      <c r="G33" s="11" t="str">
        <f>IF(ISERROR(AVERAGE(F$13:F33)),"n/a",AVERAGE(F$13:F33))</f>
        <v>n/a</v>
      </c>
      <c r="H33" s="11" t="str">
        <f t="shared" si="2"/>
        <v>n/a</v>
      </c>
      <c r="J33" s="5"/>
      <c r="K33" s="5"/>
      <c r="L33" s="5"/>
      <c r="M33" s="5"/>
      <c r="N33" s="5"/>
      <c r="O33" s="8" t="str">
        <f t="shared" si="0"/>
        <v>n/a</v>
      </c>
      <c r="Q33" s="5"/>
      <c r="R33" s="5"/>
      <c r="S33" s="5"/>
      <c r="U33" s="6"/>
      <c r="V33" s="9" t="str">
        <f t="shared" si="13"/>
        <v/>
      </c>
      <c r="W33" s="9" t="str">
        <f t="shared" si="14"/>
        <v/>
      </c>
      <c r="X33" s="10">
        <f>SUM(V$13:V33)/COUNTA(B$13:B33)</f>
        <v>0</v>
      </c>
      <c r="Z33" s="5"/>
      <c r="AA33" s="5"/>
      <c r="AC33" s="7"/>
      <c r="AE33" s="54" t="e">
        <f t="shared" si="5"/>
        <v>#N/A</v>
      </c>
      <c r="AF33" s="4" t="e">
        <f t="shared" si="1"/>
        <v>#N/A</v>
      </c>
      <c r="AR33" s="46"/>
      <c r="AS33" s="37"/>
      <c r="AT33" s="44"/>
      <c r="AU33" s="93"/>
      <c r="AV33" s="37"/>
      <c r="AW33" s="37"/>
      <c r="AX33" s="37"/>
      <c r="AY33" s="93"/>
      <c r="AZ33" s="37"/>
      <c r="BA33" s="37"/>
      <c r="BB33" s="93"/>
      <c r="BC33" s="97"/>
      <c r="BD33" s="97"/>
      <c r="BF33" s="113"/>
    </row>
    <row r="34" spans="2:59">
      <c r="B34" s="5">
        <f t="shared" si="6"/>
        <v>22</v>
      </c>
      <c r="C34" s="5"/>
      <c r="E34" s="13"/>
      <c r="F34" s="5"/>
      <c r="G34" s="11" t="str">
        <f>IF(ISERROR(AVERAGE(F$13:F34)),"n/a",AVERAGE(F$13:F34))</f>
        <v>n/a</v>
      </c>
      <c r="H34" s="11" t="str">
        <f>G34</f>
        <v>n/a</v>
      </c>
      <c r="J34" s="5"/>
      <c r="K34" s="5"/>
      <c r="L34" s="5"/>
      <c r="M34" s="5"/>
      <c r="N34" s="5"/>
      <c r="O34" s="8" t="str">
        <f t="shared" si="0"/>
        <v>n/a</v>
      </c>
      <c r="Q34" s="5"/>
      <c r="R34" s="5"/>
      <c r="S34" s="5"/>
      <c r="U34" s="6"/>
      <c r="V34" s="9" t="str">
        <f>IF(O34="n/a","",IF(O34=U34,1,""))</f>
        <v/>
      </c>
      <c r="W34" s="9" t="str">
        <f>IF(O34="n/a","",IF(O34&lt;&gt;U34,1,""))</f>
        <v/>
      </c>
      <c r="X34" s="10">
        <f>SUM(V$13:V34)/COUNTA(B$13:B34)</f>
        <v>0</v>
      </c>
      <c r="Z34" s="5"/>
      <c r="AA34" s="5"/>
      <c r="AC34" s="7"/>
      <c r="AE34" s="54" t="e">
        <f t="shared" si="5"/>
        <v>#N/A</v>
      </c>
      <c r="AF34" s="4" t="e">
        <f t="shared" si="1"/>
        <v>#N/A</v>
      </c>
      <c r="AR34" s="46" t="s">
        <v>38</v>
      </c>
      <c r="AS34" s="37"/>
      <c r="AT34" s="44"/>
      <c r="AU34" s="92">
        <f>$V$1021</f>
        <v>0</v>
      </c>
      <c r="AV34" s="38">
        <f>Q1021</f>
        <v>0</v>
      </c>
      <c r="AW34" s="38">
        <f>R1021</f>
        <v>0</v>
      </c>
      <c r="AX34" s="38">
        <f>S1021</f>
        <v>0</v>
      </c>
      <c r="AY34" s="92">
        <f>$W$1021</f>
        <v>0</v>
      </c>
      <c r="AZ34" s="38">
        <f>Z1021</f>
        <v>0</v>
      </c>
      <c r="BA34" s="38">
        <f>AA1021</f>
        <v>0</v>
      </c>
      <c r="BB34" s="95" t="str">
        <f>IF(ISERROR(AU34/(AU34+AY34)),"n/a",AU34/(AU34+AY34))</f>
        <v>n/a</v>
      </c>
      <c r="BC34" s="96" t="str">
        <f>IF(ISERROR(TEXT($E$1029,"00")&amp;":"&amp;TEXT($F$1029,"00")),"n/a",TEXT($E$1029,"00")&amp;":"&amp;TEXT($F$1029,"00"))</f>
        <v>n/a</v>
      </c>
      <c r="BD34" s="96" t="str">
        <f>IF(ISERROR(BF34&amp;TEXT($E$1046,"00")&amp;":"&amp;TEXT($F$1046,"00")),"n/a",BF34&amp;TEXT($E$1046,"00")&amp;":"&amp;TEXT($F$1046,"00"))</f>
        <v>n/a</v>
      </c>
      <c r="BF34" s="113" t="e">
        <f>IF(F1038&lt;0,"-","+")</f>
        <v>#VALUE!</v>
      </c>
    </row>
    <row r="35" spans="2:59">
      <c r="B35" s="5">
        <f t="shared" si="6"/>
        <v>23</v>
      </c>
      <c r="C35" s="5"/>
      <c r="E35" s="13"/>
      <c r="F35" s="5"/>
      <c r="G35" s="11" t="str">
        <f>IF(ISERROR(AVERAGE(F$13:F35)),"n/a",AVERAGE(F$13:F35))</f>
        <v>n/a</v>
      </c>
      <c r="H35" s="11" t="str">
        <f t="shared" si="2"/>
        <v>n/a</v>
      </c>
      <c r="J35" s="5"/>
      <c r="K35" s="5"/>
      <c r="L35" s="5"/>
      <c r="M35" s="5"/>
      <c r="N35" s="5"/>
      <c r="O35" s="8" t="str">
        <f t="shared" si="0"/>
        <v>n/a</v>
      </c>
      <c r="Q35" s="5"/>
      <c r="R35" s="5"/>
      <c r="S35" s="5"/>
      <c r="U35" s="6"/>
      <c r="V35" s="9" t="str">
        <f t="shared" ref="V35:V40" si="17">IF(O35="n/a","",IF(O35=U35,1,""))</f>
        <v/>
      </c>
      <c r="W35" s="9" t="str">
        <f t="shared" ref="W35:W40" si="18">IF(O35="n/a","",IF(O35&lt;&gt;U35,1,""))</f>
        <v/>
      </c>
      <c r="X35" s="10">
        <f>SUM(V$13:V35)/COUNTA(B$13:B35)</f>
        <v>0</v>
      </c>
      <c r="Z35" s="5"/>
      <c r="AA35" s="5"/>
      <c r="AC35" s="7"/>
      <c r="AE35" s="54" t="e">
        <f t="shared" si="5"/>
        <v>#N/A</v>
      </c>
      <c r="AF35" s="4" t="e">
        <f t="shared" si="1"/>
        <v>#N/A</v>
      </c>
      <c r="AR35" s="105"/>
      <c r="AS35" s="48"/>
      <c r="AT35" s="48"/>
      <c r="AU35" s="94"/>
      <c r="AV35" s="104" t="str">
        <f>+IF(ISERROR(AV34/SUM($AU$34,$AY$34)),"n/a",AV34/SUM($AU$34,$AY$34))</f>
        <v>n/a</v>
      </c>
      <c r="AW35" s="104" t="str">
        <f t="shared" ref="AW35:AX35" si="19">+IF(ISERROR(AW34/SUM($AU$34,$AY$34)),"n/a",AW34/SUM($AU$34,$AY$34))</f>
        <v>n/a</v>
      </c>
      <c r="AX35" s="104" t="str">
        <f t="shared" si="19"/>
        <v>n/a</v>
      </c>
      <c r="AY35" s="94"/>
      <c r="AZ35" s="106" t="str">
        <f>+IF(ISERROR(AZ34/$AY$34),"n/a",AZ34/$AY$34)</f>
        <v>n/a</v>
      </c>
      <c r="BA35" s="107" t="str">
        <f>+IF(ISERROR(BA34/$AY$34),"n/a",BA34/$AY$34)</f>
        <v>n/a</v>
      </c>
      <c r="BB35" s="98"/>
      <c r="BC35" s="99"/>
      <c r="BD35" s="99"/>
    </row>
    <row r="36" spans="2:59">
      <c r="B36" s="5">
        <f t="shared" si="6"/>
        <v>24</v>
      </c>
      <c r="C36" s="5"/>
      <c r="E36" s="13"/>
      <c r="F36" s="5"/>
      <c r="G36" s="11" t="str">
        <f>IF(ISERROR(AVERAGE(F$13:F36)),"n/a",AVERAGE(F$13:F36))</f>
        <v>n/a</v>
      </c>
      <c r="H36" s="11" t="str">
        <f t="shared" si="2"/>
        <v>n/a</v>
      </c>
      <c r="J36" s="5"/>
      <c r="K36" s="5"/>
      <c r="L36" s="5"/>
      <c r="M36" s="5"/>
      <c r="N36" s="5"/>
      <c r="O36" s="8" t="str">
        <f t="shared" si="0"/>
        <v>n/a</v>
      </c>
      <c r="Q36" s="5"/>
      <c r="R36" s="5"/>
      <c r="S36" s="5"/>
      <c r="U36" s="6"/>
      <c r="V36" s="9" t="str">
        <f t="shared" si="17"/>
        <v/>
      </c>
      <c r="W36" s="9" t="str">
        <f t="shared" si="18"/>
        <v/>
      </c>
      <c r="X36" s="10">
        <f>SUM(V$13:V36)/COUNTA(B$13:B36)</f>
        <v>0</v>
      </c>
      <c r="Z36" s="5"/>
      <c r="AA36" s="5"/>
      <c r="AC36" s="7"/>
      <c r="AE36" s="54" t="e">
        <f t="shared" si="5"/>
        <v>#N/A</v>
      </c>
      <c r="AF36" s="4" t="e">
        <f t="shared" si="1"/>
        <v>#N/A</v>
      </c>
      <c r="BF36" s="100" t="str">
        <f>BB18</f>
        <v>n/a</v>
      </c>
      <c r="BG36" s="101" t="s">
        <v>33</v>
      </c>
    </row>
    <row r="37" spans="2:59">
      <c r="B37" s="5">
        <f t="shared" si="6"/>
        <v>25</v>
      </c>
      <c r="C37" s="5"/>
      <c r="E37" s="13"/>
      <c r="F37" s="5"/>
      <c r="G37" s="11" t="str">
        <f>IF(ISERROR(AVERAGE(F$13:F37)),"n/a",AVERAGE(F$13:F37))</f>
        <v>n/a</v>
      </c>
      <c r="H37" s="11" t="str">
        <f t="shared" si="2"/>
        <v>n/a</v>
      </c>
      <c r="J37" s="5"/>
      <c r="K37" s="5"/>
      <c r="L37" s="5"/>
      <c r="M37" s="5"/>
      <c r="N37" s="5"/>
      <c r="O37" s="8" t="str">
        <f t="shared" si="0"/>
        <v>n/a</v>
      </c>
      <c r="Q37" s="5"/>
      <c r="R37" s="5"/>
      <c r="S37" s="5"/>
      <c r="U37" s="6"/>
      <c r="V37" s="9" t="str">
        <f t="shared" si="17"/>
        <v/>
      </c>
      <c r="W37" s="9" t="str">
        <f t="shared" si="18"/>
        <v/>
      </c>
      <c r="X37" s="10">
        <f>SUM(V$13:V37)/COUNTA(B$13:B37)</f>
        <v>0</v>
      </c>
      <c r="Z37" s="5"/>
      <c r="AA37" s="5"/>
      <c r="AC37" s="7"/>
      <c r="AE37" s="54" t="e">
        <f t="shared" si="5"/>
        <v>#N/A</v>
      </c>
      <c r="AF37" s="4" t="e">
        <f t="shared" si="1"/>
        <v>#N/A</v>
      </c>
      <c r="BF37" s="100" t="str">
        <f>BB22</f>
        <v>n/a</v>
      </c>
      <c r="BG37" s="101" t="s">
        <v>42</v>
      </c>
    </row>
    <row r="38" spans="2:59">
      <c r="B38" s="5">
        <f t="shared" si="6"/>
        <v>26</v>
      </c>
      <c r="C38" s="5"/>
      <c r="E38" s="13"/>
      <c r="F38" s="5"/>
      <c r="G38" s="11" t="str">
        <f>IF(ISERROR(AVERAGE(F$13:F38)),"n/a",AVERAGE(F$13:F38))</f>
        <v>n/a</v>
      </c>
      <c r="H38" s="11" t="str">
        <f t="shared" si="2"/>
        <v>n/a</v>
      </c>
      <c r="J38" s="5"/>
      <c r="K38" s="5"/>
      <c r="L38" s="5"/>
      <c r="M38" s="5"/>
      <c r="N38" s="5"/>
      <c r="O38" s="8" t="str">
        <f t="shared" si="0"/>
        <v>n/a</v>
      </c>
      <c r="Q38" s="5"/>
      <c r="R38" s="5"/>
      <c r="S38" s="5"/>
      <c r="U38" s="6"/>
      <c r="V38" s="9" t="str">
        <f t="shared" si="17"/>
        <v/>
      </c>
      <c r="W38" s="9" t="str">
        <f t="shared" si="18"/>
        <v/>
      </c>
      <c r="X38" s="10">
        <f>SUM(V$13:V38)/COUNTA(B$13:B38)</f>
        <v>0</v>
      </c>
      <c r="Z38" s="5"/>
      <c r="AA38" s="5"/>
      <c r="AC38" s="7"/>
      <c r="AE38" s="54" t="e">
        <f t="shared" si="5"/>
        <v>#N/A</v>
      </c>
      <c r="AF38" s="4" t="e">
        <f t="shared" si="1"/>
        <v>#N/A</v>
      </c>
      <c r="BF38" s="100" t="str">
        <f>BB25</f>
        <v>n/a</v>
      </c>
      <c r="BG38" s="101" t="s">
        <v>43</v>
      </c>
    </row>
    <row r="39" spans="2:59">
      <c r="B39" s="5">
        <f t="shared" si="6"/>
        <v>27</v>
      </c>
      <c r="C39" s="5"/>
      <c r="E39" s="13"/>
      <c r="F39" s="5"/>
      <c r="G39" s="11" t="str">
        <f>IF(ISERROR(AVERAGE(F$13:F39)),"n/a",AVERAGE(F$13:F39))</f>
        <v>n/a</v>
      </c>
      <c r="H39" s="11" t="str">
        <f t="shared" si="2"/>
        <v>n/a</v>
      </c>
      <c r="J39" s="5"/>
      <c r="K39" s="5"/>
      <c r="L39" s="5"/>
      <c r="M39" s="5"/>
      <c r="N39" s="5"/>
      <c r="O39" s="8" t="str">
        <f t="shared" si="0"/>
        <v>n/a</v>
      </c>
      <c r="Q39" s="5"/>
      <c r="R39" s="5"/>
      <c r="S39" s="5"/>
      <c r="U39" s="6"/>
      <c r="V39" s="9" t="str">
        <f t="shared" si="17"/>
        <v/>
      </c>
      <c r="W39" s="9" t="str">
        <f t="shared" si="18"/>
        <v/>
      </c>
      <c r="X39" s="10">
        <f>SUM(V$13:V39)/COUNTA(B$13:B39)</f>
        <v>0</v>
      </c>
      <c r="Z39" s="5"/>
      <c r="AA39" s="5"/>
      <c r="AC39" s="7"/>
      <c r="AE39" s="54" t="e">
        <f t="shared" si="5"/>
        <v>#N/A</v>
      </c>
      <c r="AF39" s="4" t="e">
        <f t="shared" si="1"/>
        <v>#N/A</v>
      </c>
      <c r="BF39" s="100" t="str">
        <f>BB28</f>
        <v>n/a</v>
      </c>
      <c r="BG39" s="101" t="s">
        <v>46</v>
      </c>
    </row>
    <row r="40" spans="2:59">
      <c r="B40" s="5">
        <f t="shared" si="6"/>
        <v>28</v>
      </c>
      <c r="C40" s="5"/>
      <c r="E40" s="13"/>
      <c r="F40" s="5"/>
      <c r="G40" s="11" t="str">
        <f>IF(ISERROR(AVERAGE(F$13:F40)),"n/a",AVERAGE(F$13:F40))</f>
        <v>n/a</v>
      </c>
      <c r="H40" s="11" t="str">
        <f t="shared" si="2"/>
        <v>n/a</v>
      </c>
      <c r="J40" s="5"/>
      <c r="K40" s="5"/>
      <c r="L40" s="5"/>
      <c r="M40" s="5"/>
      <c r="N40" s="5"/>
      <c r="O40" s="8" t="str">
        <f t="shared" si="0"/>
        <v>n/a</v>
      </c>
      <c r="Q40" s="5"/>
      <c r="R40" s="5"/>
      <c r="S40" s="5"/>
      <c r="U40" s="6"/>
      <c r="V40" s="9" t="str">
        <f t="shared" si="17"/>
        <v/>
      </c>
      <c r="W40" s="9" t="str">
        <f t="shared" si="18"/>
        <v/>
      </c>
      <c r="X40" s="10">
        <f>SUM(V$13:V40)/COUNTA(B$13:B40)</f>
        <v>0</v>
      </c>
      <c r="Z40" s="5"/>
      <c r="AA40" s="5"/>
      <c r="AC40" s="7"/>
      <c r="AE40" s="54" t="e">
        <f t="shared" si="5"/>
        <v>#N/A</v>
      </c>
      <c r="AF40" s="4" t="e">
        <f t="shared" si="1"/>
        <v>#N/A</v>
      </c>
      <c r="BF40" s="100" t="str">
        <f>BB31</f>
        <v>n/a</v>
      </c>
      <c r="BG40" s="101" t="s">
        <v>44</v>
      </c>
    </row>
    <row r="41" spans="2:59">
      <c r="B41" s="5">
        <f t="shared" si="6"/>
        <v>29</v>
      </c>
      <c r="C41" s="5"/>
      <c r="E41" s="13"/>
      <c r="F41" s="5"/>
      <c r="G41" s="11" t="str">
        <f>IF(ISERROR(AVERAGE(F$13:F41)),"n/a",AVERAGE(F$13:F41))</f>
        <v>n/a</v>
      </c>
      <c r="H41" s="11" t="str">
        <f>G41</f>
        <v>n/a</v>
      </c>
      <c r="J41" s="5"/>
      <c r="K41" s="5"/>
      <c r="L41" s="5"/>
      <c r="M41" s="5"/>
      <c r="N41" s="5"/>
      <c r="O41" s="8" t="str">
        <f t="shared" si="0"/>
        <v>n/a</v>
      </c>
      <c r="Q41" s="5"/>
      <c r="R41" s="5"/>
      <c r="S41" s="5"/>
      <c r="U41" s="6"/>
      <c r="V41" s="9" t="str">
        <f>IF(O41="n/a","",IF(O41=U41,1,""))</f>
        <v/>
      </c>
      <c r="W41" s="9" t="str">
        <f>IF(O41="n/a","",IF(O41&lt;&gt;U41,1,""))</f>
        <v/>
      </c>
      <c r="X41" s="10">
        <f>SUM(V$13:V41)/COUNTA(B$13:B41)</f>
        <v>0</v>
      </c>
      <c r="Z41" s="5"/>
      <c r="AA41" s="5"/>
      <c r="AC41" s="7"/>
      <c r="AE41" s="54" t="e">
        <f t="shared" si="5"/>
        <v>#N/A</v>
      </c>
      <c r="AF41" s="4" t="e">
        <f t="shared" si="1"/>
        <v>#N/A</v>
      </c>
      <c r="BF41" s="100" t="str">
        <f>BB34</f>
        <v>n/a</v>
      </c>
      <c r="BG41" s="101" t="s">
        <v>45</v>
      </c>
    </row>
    <row r="42" spans="2:59">
      <c r="B42" s="5">
        <f t="shared" si="6"/>
        <v>30</v>
      </c>
      <c r="C42" s="5"/>
      <c r="E42" s="13"/>
      <c r="F42" s="5"/>
      <c r="G42" s="11" t="str">
        <f>IF(ISERROR(AVERAGE(F$13:F42)),"n/a",AVERAGE(F$13:F42))</f>
        <v>n/a</v>
      </c>
      <c r="H42" s="11" t="str">
        <f t="shared" si="2"/>
        <v>n/a</v>
      </c>
      <c r="J42" s="5"/>
      <c r="K42" s="5"/>
      <c r="L42" s="5"/>
      <c r="M42" s="5"/>
      <c r="N42" s="5"/>
      <c r="O42" s="8" t="str">
        <f t="shared" si="0"/>
        <v>n/a</v>
      </c>
      <c r="Q42" s="5"/>
      <c r="R42" s="5"/>
      <c r="S42" s="5"/>
      <c r="U42" s="6"/>
      <c r="V42" s="9" t="str">
        <f t="shared" ref="V42:V47" si="20">IF(O42="n/a","",IF(O42=U42,1,""))</f>
        <v/>
      </c>
      <c r="W42" s="9" t="str">
        <f t="shared" ref="W42:W47" si="21">IF(O42="n/a","",IF(O42&lt;&gt;U42,1,""))</f>
        <v/>
      </c>
      <c r="X42" s="10">
        <f>SUM(V$13:V42)/COUNTA(B$13:B42)</f>
        <v>0</v>
      </c>
      <c r="Z42" s="5"/>
      <c r="AA42" s="5"/>
      <c r="AC42" s="7"/>
      <c r="AE42" s="54" t="e">
        <f t="shared" si="5"/>
        <v>#N/A</v>
      </c>
      <c r="AF42" s="4" t="e">
        <f t="shared" si="1"/>
        <v>#N/A</v>
      </c>
    </row>
    <row r="43" spans="2:59">
      <c r="B43" s="5">
        <f t="shared" si="6"/>
        <v>31</v>
      </c>
      <c r="C43" s="5"/>
      <c r="E43" s="13"/>
      <c r="F43" s="5"/>
      <c r="G43" s="11" t="str">
        <f>IF(ISERROR(AVERAGE(F$13:F43)),"n/a",AVERAGE(F$13:F43))</f>
        <v>n/a</v>
      </c>
      <c r="H43" s="11" t="str">
        <f t="shared" si="2"/>
        <v>n/a</v>
      </c>
      <c r="J43" s="5"/>
      <c r="K43" s="5"/>
      <c r="L43" s="5"/>
      <c r="M43" s="5"/>
      <c r="N43" s="5"/>
      <c r="O43" s="8" t="str">
        <f t="shared" si="0"/>
        <v>n/a</v>
      </c>
      <c r="Q43" s="5"/>
      <c r="R43" s="5"/>
      <c r="S43" s="5"/>
      <c r="U43" s="6"/>
      <c r="V43" s="9" t="str">
        <f t="shared" si="20"/>
        <v/>
      </c>
      <c r="W43" s="9" t="str">
        <f t="shared" si="21"/>
        <v/>
      </c>
      <c r="X43" s="10">
        <f>SUM(V$13:V43)/COUNTA(B$13:B43)</f>
        <v>0</v>
      </c>
      <c r="Z43" s="5"/>
      <c r="AA43" s="5"/>
      <c r="AC43" s="7"/>
      <c r="AE43" s="54" t="e">
        <f t="shared" si="5"/>
        <v>#N/A</v>
      </c>
      <c r="AF43" s="4" t="e">
        <f t="shared" si="1"/>
        <v>#N/A</v>
      </c>
      <c r="BF43" s="114" t="str">
        <f t="shared" ref="BF43" si="22">F1015</f>
        <v>n/a</v>
      </c>
      <c r="BG43" s="101" t="str">
        <f t="shared" ref="BG43:BG48" si="23">BG36</f>
        <v>Total</v>
      </c>
    </row>
    <row r="44" spans="2:59">
      <c r="B44" s="5">
        <f t="shared" si="6"/>
        <v>32</v>
      </c>
      <c r="C44" s="5"/>
      <c r="E44" s="13"/>
      <c r="F44" s="5"/>
      <c r="G44" s="11" t="str">
        <f>IF(ISERROR(AVERAGE(F$13:F44)),"n/a",AVERAGE(F$13:F44))</f>
        <v>n/a</v>
      </c>
      <c r="H44" s="11" t="str">
        <f t="shared" si="2"/>
        <v>n/a</v>
      </c>
      <c r="J44" s="5"/>
      <c r="K44" s="5"/>
      <c r="L44" s="5"/>
      <c r="M44" s="5"/>
      <c r="N44" s="5"/>
      <c r="O44" s="8" t="str">
        <f t="shared" si="0"/>
        <v>n/a</v>
      </c>
      <c r="Q44" s="5"/>
      <c r="R44" s="5"/>
      <c r="S44" s="5"/>
      <c r="U44" s="6"/>
      <c r="V44" s="9" t="str">
        <f t="shared" si="20"/>
        <v/>
      </c>
      <c r="W44" s="9" t="str">
        <f t="shared" si="21"/>
        <v/>
      </c>
      <c r="X44" s="10">
        <f>SUM(V$13:V44)/COUNTA(B$13:B44)</f>
        <v>0</v>
      </c>
      <c r="Z44" s="5"/>
      <c r="AA44" s="5"/>
      <c r="AC44" s="7"/>
      <c r="AE44" s="54" t="e">
        <f t="shared" si="5"/>
        <v>#N/A</v>
      </c>
      <c r="AF44" s="4" t="e">
        <f t="shared" si="1"/>
        <v>#N/A</v>
      </c>
      <c r="BF44" s="114" t="str">
        <f>F1017</f>
        <v>n/a</v>
      </c>
      <c r="BG44" s="101" t="str">
        <f t="shared" si="23"/>
        <v>PS</v>
      </c>
    </row>
    <row r="45" spans="2:59">
      <c r="B45" s="5">
        <f t="shared" si="6"/>
        <v>33</v>
      </c>
      <c r="C45" s="5"/>
      <c r="E45" s="13"/>
      <c r="F45" s="5"/>
      <c r="G45" s="11" t="str">
        <f>IF(ISERROR(AVERAGE(F$13:F45)),"n/a",AVERAGE(F$13:F45))</f>
        <v>n/a</v>
      </c>
      <c r="H45" s="11" t="str">
        <f t="shared" si="2"/>
        <v>n/a</v>
      </c>
      <c r="J45" s="5"/>
      <c r="K45" s="5"/>
      <c r="L45" s="5"/>
      <c r="M45" s="5"/>
      <c r="N45" s="5"/>
      <c r="O45" s="8" t="str">
        <f t="shared" si="0"/>
        <v>n/a</v>
      </c>
      <c r="Q45" s="5"/>
      <c r="R45" s="5"/>
      <c r="S45" s="5"/>
      <c r="U45" s="6"/>
      <c r="V45" s="9" t="str">
        <f t="shared" si="20"/>
        <v/>
      </c>
      <c r="W45" s="9" t="str">
        <f t="shared" si="21"/>
        <v/>
      </c>
      <c r="X45" s="10">
        <f>SUM(V$13:V45)/COUNTA(B$13:B45)</f>
        <v>0</v>
      </c>
      <c r="Z45" s="5"/>
      <c r="AA45" s="5"/>
      <c r="AC45" s="7"/>
      <c r="AE45" s="54" t="e">
        <f t="shared" si="5"/>
        <v>#N/A</v>
      </c>
      <c r="AF45" s="4" t="e">
        <f t="shared" si="1"/>
        <v>#N/A</v>
      </c>
      <c r="BF45" s="114" t="str">
        <f>F1018</f>
        <v>n/a</v>
      </c>
      <c r="BG45" s="101" t="str">
        <f t="shared" si="23"/>
        <v>DS</v>
      </c>
    </row>
    <row r="46" spans="2:59">
      <c r="B46" s="5">
        <f t="shared" si="6"/>
        <v>34</v>
      </c>
      <c r="C46" s="5"/>
      <c r="E46" s="13"/>
      <c r="F46" s="5"/>
      <c r="G46" s="11" t="str">
        <f>IF(ISERROR(AVERAGE(F$13:F46)),"n/a",AVERAGE(F$13:F46))</f>
        <v>n/a</v>
      </c>
      <c r="H46" s="11" t="str">
        <f t="shared" si="2"/>
        <v>n/a</v>
      </c>
      <c r="J46" s="5"/>
      <c r="K46" s="5"/>
      <c r="L46" s="5"/>
      <c r="M46" s="5"/>
      <c r="N46" s="5"/>
      <c r="O46" s="8" t="str">
        <f t="shared" si="0"/>
        <v>n/a</v>
      </c>
      <c r="Q46" s="5"/>
      <c r="R46" s="5"/>
      <c r="S46" s="5"/>
      <c r="U46" s="6"/>
      <c r="V46" s="9" t="str">
        <f t="shared" si="20"/>
        <v/>
      </c>
      <c r="W46" s="9" t="str">
        <f t="shared" si="21"/>
        <v/>
      </c>
      <c r="X46" s="10">
        <f>SUM(V$13:V46)/COUNTA(B$13:B46)</f>
        <v>0</v>
      </c>
      <c r="Z46" s="5"/>
      <c r="AA46" s="5"/>
      <c r="AC46" s="7"/>
      <c r="AE46" s="54" t="e">
        <f t="shared" si="5"/>
        <v>#N/A</v>
      </c>
      <c r="AF46" s="4" t="e">
        <f t="shared" si="1"/>
        <v>#N/A</v>
      </c>
      <c r="BF46" s="114" t="str">
        <f>F1019</f>
        <v>n/a</v>
      </c>
      <c r="BG46" s="101" t="str">
        <f t="shared" si="23"/>
        <v>RC</v>
      </c>
    </row>
    <row r="47" spans="2:59">
      <c r="B47" s="5">
        <f t="shared" si="6"/>
        <v>35</v>
      </c>
      <c r="C47" s="5"/>
      <c r="E47" s="13"/>
      <c r="F47" s="5"/>
      <c r="G47" s="11" t="str">
        <f>IF(ISERROR(AVERAGE(F$13:F47)),"n/a",AVERAGE(F$13:F47))</f>
        <v>n/a</v>
      </c>
      <c r="H47" s="11" t="str">
        <f t="shared" si="2"/>
        <v>n/a</v>
      </c>
      <c r="J47" s="5"/>
      <c r="K47" s="5"/>
      <c r="L47" s="5"/>
      <c r="M47" s="5"/>
      <c r="N47" s="5"/>
      <c r="O47" s="8" t="str">
        <f t="shared" si="0"/>
        <v>n/a</v>
      </c>
      <c r="Q47" s="5"/>
      <c r="R47" s="5"/>
      <c r="S47" s="5"/>
      <c r="U47" s="6"/>
      <c r="V47" s="9" t="str">
        <f t="shared" si="20"/>
        <v/>
      </c>
      <c r="W47" s="9" t="str">
        <f t="shared" si="21"/>
        <v/>
      </c>
      <c r="X47" s="10">
        <f>SUM(V$13:V47)/COUNTA(B$13:B47)</f>
        <v>0</v>
      </c>
      <c r="Z47" s="5"/>
      <c r="AA47" s="5"/>
      <c r="AC47" s="7"/>
      <c r="AE47" s="54" t="e">
        <f t="shared" si="5"/>
        <v>#N/A</v>
      </c>
      <c r="AF47" s="4" t="e">
        <f t="shared" si="1"/>
        <v>#N/A</v>
      </c>
      <c r="BF47" s="114" t="str">
        <f>F1020</f>
        <v>n/a</v>
      </c>
      <c r="BG47" s="101" t="str">
        <f t="shared" si="23"/>
        <v>CR</v>
      </c>
    </row>
    <row r="48" spans="2:59">
      <c r="B48" s="5">
        <f t="shared" si="6"/>
        <v>36</v>
      </c>
      <c r="C48" s="5"/>
      <c r="E48" s="13"/>
      <c r="F48" s="5"/>
      <c r="G48" s="11" t="str">
        <f>IF(ISERROR(AVERAGE(F$13:F48)),"n/a",AVERAGE(F$13:F48))</f>
        <v>n/a</v>
      </c>
      <c r="H48" s="11" t="str">
        <f t="shared" si="2"/>
        <v>n/a</v>
      </c>
      <c r="J48" s="5"/>
      <c r="K48" s="5"/>
      <c r="L48" s="5"/>
      <c r="M48" s="5"/>
      <c r="N48" s="5"/>
      <c r="O48" s="8" t="str">
        <f t="shared" si="0"/>
        <v>n/a</v>
      </c>
      <c r="Q48" s="5"/>
      <c r="R48" s="5"/>
      <c r="S48" s="5"/>
      <c r="U48" s="6"/>
      <c r="V48" s="9" t="str">
        <f t="shared" si="3"/>
        <v/>
      </c>
      <c r="W48" s="9" t="str">
        <f t="shared" si="4"/>
        <v/>
      </c>
      <c r="X48" s="10">
        <f>SUM(V$13:V48)/COUNTA(B$13:B48)</f>
        <v>0</v>
      </c>
      <c r="Z48" s="5"/>
      <c r="AA48" s="5"/>
      <c r="AC48" s="7"/>
      <c r="AE48" s="54" t="e">
        <f t="shared" si="5"/>
        <v>#N/A</v>
      </c>
      <c r="AF48" s="4" t="e">
        <f t="shared" si="1"/>
        <v>#N/A</v>
      </c>
      <c r="BF48" s="114" t="str">
        <f>F1021</f>
        <v>n/a</v>
      </c>
      <c r="BG48" s="101" t="str">
        <f t="shared" si="23"/>
        <v>SC</v>
      </c>
    </row>
    <row r="49" spans="2:32">
      <c r="B49" s="5">
        <f t="shared" si="6"/>
        <v>37</v>
      </c>
      <c r="C49" s="5"/>
      <c r="E49" s="13"/>
      <c r="F49" s="5"/>
      <c r="G49" s="11" t="str">
        <f>IF(ISERROR(AVERAGE(F$13:F49)),"n/a",AVERAGE(F$13:F49))</f>
        <v>n/a</v>
      </c>
      <c r="H49" s="11" t="str">
        <f t="shared" si="2"/>
        <v>n/a</v>
      </c>
      <c r="J49" s="5"/>
      <c r="K49" s="5"/>
      <c r="L49" s="5"/>
      <c r="M49" s="5"/>
      <c r="N49" s="5"/>
      <c r="O49" s="8" t="str">
        <f t="shared" si="0"/>
        <v>n/a</v>
      </c>
      <c r="Q49" s="5"/>
      <c r="R49" s="5"/>
      <c r="S49" s="5"/>
      <c r="U49" s="6"/>
      <c r="V49" s="9" t="str">
        <f t="shared" si="3"/>
        <v/>
      </c>
      <c r="W49" s="9" t="str">
        <f t="shared" si="4"/>
        <v/>
      </c>
      <c r="X49" s="10">
        <f>SUM(V$13:V49)/COUNTA(B$13:B49)</f>
        <v>0</v>
      </c>
      <c r="Z49" s="5"/>
      <c r="AA49" s="5"/>
      <c r="AC49" s="7"/>
      <c r="AE49" s="54" t="e">
        <f t="shared" si="5"/>
        <v>#N/A</v>
      </c>
      <c r="AF49" s="4" t="e">
        <f t="shared" si="1"/>
        <v>#N/A</v>
      </c>
    </row>
    <row r="50" spans="2:32">
      <c r="B50" s="5">
        <f t="shared" si="6"/>
        <v>38</v>
      </c>
      <c r="C50" s="5"/>
      <c r="E50" s="13"/>
      <c r="F50" s="5"/>
      <c r="G50" s="11" t="str">
        <f>IF(ISERROR(AVERAGE(F$13:F50)),"n/a",AVERAGE(F$13:F50))</f>
        <v>n/a</v>
      </c>
      <c r="H50" s="11" t="str">
        <f t="shared" si="2"/>
        <v>n/a</v>
      </c>
      <c r="J50" s="5"/>
      <c r="K50" s="5"/>
      <c r="L50" s="5"/>
      <c r="M50" s="5"/>
      <c r="N50" s="5"/>
      <c r="O50" s="8" t="str">
        <f t="shared" si="0"/>
        <v>n/a</v>
      </c>
      <c r="Q50" s="5"/>
      <c r="R50" s="5"/>
      <c r="S50" s="5"/>
      <c r="U50" s="6"/>
      <c r="V50" s="9" t="str">
        <f t="shared" si="3"/>
        <v/>
      </c>
      <c r="W50" s="9" t="str">
        <f t="shared" si="4"/>
        <v/>
      </c>
      <c r="X50" s="10">
        <f>SUM(V$13:V50)/COUNTA(B$13:B50)</f>
        <v>0</v>
      </c>
      <c r="Z50" s="5"/>
      <c r="AA50" s="5"/>
      <c r="AC50" s="7"/>
      <c r="AE50" s="54" t="e">
        <f t="shared" si="5"/>
        <v>#N/A</v>
      </c>
      <c r="AF50" s="4" t="e">
        <f t="shared" si="1"/>
        <v>#N/A</v>
      </c>
    </row>
    <row r="51" spans="2:32">
      <c r="B51" s="5">
        <f t="shared" si="6"/>
        <v>39</v>
      </c>
      <c r="C51" s="5"/>
      <c r="E51" s="13"/>
      <c r="F51" s="5"/>
      <c r="G51" s="11" t="str">
        <f>IF(ISERROR(AVERAGE(F$13:F51)),"n/a",AVERAGE(F$13:F51))</f>
        <v>n/a</v>
      </c>
      <c r="H51" s="11" t="str">
        <f t="shared" si="2"/>
        <v>n/a</v>
      </c>
      <c r="J51" s="5"/>
      <c r="K51" s="5"/>
      <c r="L51" s="5"/>
      <c r="M51" s="5"/>
      <c r="N51" s="5"/>
      <c r="O51" s="8" t="str">
        <f t="shared" si="0"/>
        <v>n/a</v>
      </c>
      <c r="Q51" s="5"/>
      <c r="R51" s="5"/>
      <c r="S51" s="5"/>
      <c r="U51" s="6"/>
      <c r="V51" s="9" t="str">
        <f t="shared" si="3"/>
        <v/>
      </c>
      <c r="W51" s="9" t="str">
        <f t="shared" si="4"/>
        <v/>
      </c>
      <c r="X51" s="10">
        <f>SUM(V$13:V51)/COUNTA(B$13:B51)</f>
        <v>0</v>
      </c>
      <c r="Z51" s="5"/>
      <c r="AA51" s="5"/>
      <c r="AC51" s="7"/>
      <c r="AE51" s="54" t="e">
        <f t="shared" si="5"/>
        <v>#N/A</v>
      </c>
      <c r="AF51" s="4" t="e">
        <f t="shared" si="1"/>
        <v>#N/A</v>
      </c>
    </row>
    <row r="52" spans="2:32">
      <c r="B52" s="5">
        <f t="shared" si="6"/>
        <v>40</v>
      </c>
      <c r="C52" s="5"/>
      <c r="E52" s="13"/>
      <c r="F52" s="5"/>
      <c r="G52" s="11" t="str">
        <f>IF(ISERROR(AVERAGE(F$13:F52)),"n/a",AVERAGE(F$13:F52))</f>
        <v>n/a</v>
      </c>
      <c r="H52" s="11" t="str">
        <f t="shared" si="2"/>
        <v>n/a</v>
      </c>
      <c r="J52" s="5"/>
      <c r="K52" s="5"/>
      <c r="L52" s="5"/>
      <c r="M52" s="5"/>
      <c r="N52" s="5"/>
      <c r="O52" s="8" t="str">
        <f t="shared" si="0"/>
        <v>n/a</v>
      </c>
      <c r="Q52" s="5"/>
      <c r="R52" s="5"/>
      <c r="S52" s="5"/>
      <c r="U52" s="6"/>
      <c r="V52" s="9" t="str">
        <f t="shared" si="3"/>
        <v/>
      </c>
      <c r="W52" s="9" t="str">
        <f t="shared" si="4"/>
        <v/>
      </c>
      <c r="X52" s="10">
        <f>SUM(V$13:V52)/COUNTA(B$13:B52)</f>
        <v>0</v>
      </c>
      <c r="Z52" s="5"/>
      <c r="AA52" s="5"/>
      <c r="AC52" s="7"/>
      <c r="AE52" s="54" t="e">
        <f t="shared" si="5"/>
        <v>#N/A</v>
      </c>
      <c r="AF52" s="4" t="e">
        <f t="shared" si="1"/>
        <v>#N/A</v>
      </c>
    </row>
    <row r="53" spans="2:32">
      <c r="B53" s="5">
        <f t="shared" si="6"/>
        <v>41</v>
      </c>
      <c r="C53" s="5"/>
      <c r="E53" s="13"/>
      <c r="F53" s="5"/>
      <c r="G53" s="11" t="str">
        <f>IF(ISERROR(AVERAGE(F$13:F53)),"n/a",AVERAGE(F$13:F53))</f>
        <v>n/a</v>
      </c>
      <c r="H53" s="11" t="str">
        <f t="shared" si="2"/>
        <v>n/a</v>
      </c>
      <c r="J53" s="5"/>
      <c r="K53" s="5"/>
      <c r="L53" s="5"/>
      <c r="M53" s="5"/>
      <c r="N53" s="5"/>
      <c r="O53" s="8" t="str">
        <f t="shared" si="0"/>
        <v>n/a</v>
      </c>
      <c r="Q53" s="5"/>
      <c r="R53" s="5"/>
      <c r="S53" s="5"/>
      <c r="U53" s="6"/>
      <c r="V53" s="9" t="str">
        <f t="shared" si="3"/>
        <v/>
      </c>
      <c r="W53" s="9" t="str">
        <f t="shared" si="4"/>
        <v/>
      </c>
      <c r="X53" s="10">
        <f>SUM(V$13:V53)/COUNTA(B$13:B53)</f>
        <v>0</v>
      </c>
      <c r="Z53" s="5"/>
      <c r="AA53" s="5"/>
      <c r="AC53" s="7"/>
      <c r="AE53" s="54" t="e">
        <f t="shared" si="5"/>
        <v>#N/A</v>
      </c>
      <c r="AF53" s="4" t="e">
        <f t="shared" si="1"/>
        <v>#N/A</v>
      </c>
    </row>
    <row r="54" spans="2:32">
      <c r="B54" s="5">
        <f t="shared" si="6"/>
        <v>42</v>
      </c>
      <c r="C54" s="5"/>
      <c r="E54" s="13"/>
      <c r="F54" s="5"/>
      <c r="G54" s="11" t="str">
        <f>IF(ISERROR(AVERAGE(F$13:F54)),"n/a",AVERAGE(F$13:F54))</f>
        <v>n/a</v>
      </c>
      <c r="H54" s="11" t="str">
        <f t="shared" si="2"/>
        <v>n/a</v>
      </c>
      <c r="J54" s="5"/>
      <c r="K54" s="5"/>
      <c r="L54" s="5"/>
      <c r="M54" s="5"/>
      <c r="N54" s="5"/>
      <c r="O54" s="8" t="str">
        <f t="shared" si="0"/>
        <v>n/a</v>
      </c>
      <c r="Q54" s="5"/>
      <c r="R54" s="5"/>
      <c r="S54" s="5"/>
      <c r="U54" s="6"/>
      <c r="V54" s="9" t="str">
        <f t="shared" si="3"/>
        <v/>
      </c>
      <c r="W54" s="9" t="str">
        <f t="shared" si="4"/>
        <v/>
      </c>
      <c r="X54" s="10">
        <f>SUM(V$13:V54)/COUNTA(B$13:B54)</f>
        <v>0</v>
      </c>
      <c r="Z54" s="5"/>
      <c r="AA54" s="5"/>
      <c r="AC54" s="7"/>
      <c r="AE54" s="54" t="e">
        <f t="shared" si="5"/>
        <v>#N/A</v>
      </c>
      <c r="AF54" s="4" t="e">
        <f t="shared" si="1"/>
        <v>#N/A</v>
      </c>
    </row>
    <row r="55" spans="2:32">
      <c r="B55" s="5">
        <f t="shared" si="6"/>
        <v>43</v>
      </c>
      <c r="C55" s="5"/>
      <c r="E55" s="13"/>
      <c r="F55" s="5"/>
      <c r="G55" s="11" t="str">
        <f>IF(ISERROR(AVERAGE(F$13:F55)),"n/a",AVERAGE(F$13:F55))</f>
        <v>n/a</v>
      </c>
      <c r="H55" s="11" t="str">
        <f t="shared" si="2"/>
        <v>n/a</v>
      </c>
      <c r="J55" s="5"/>
      <c r="K55" s="5"/>
      <c r="L55" s="5"/>
      <c r="M55" s="5"/>
      <c r="N55" s="5"/>
      <c r="O55" s="8" t="str">
        <f t="shared" si="0"/>
        <v>n/a</v>
      </c>
      <c r="Q55" s="5"/>
      <c r="R55" s="5"/>
      <c r="S55" s="5"/>
      <c r="U55" s="6"/>
      <c r="V55" s="9" t="str">
        <f t="shared" si="3"/>
        <v/>
      </c>
      <c r="W55" s="9" t="str">
        <f t="shared" si="4"/>
        <v/>
      </c>
      <c r="X55" s="10">
        <f>SUM(V$13:V55)/COUNTA(B$13:B55)</f>
        <v>0</v>
      </c>
      <c r="Z55" s="5"/>
      <c r="AA55" s="5"/>
      <c r="AC55" s="7"/>
      <c r="AE55" s="54" t="e">
        <f t="shared" si="5"/>
        <v>#N/A</v>
      </c>
      <c r="AF55" s="4" t="e">
        <f t="shared" si="1"/>
        <v>#N/A</v>
      </c>
    </row>
    <row r="56" spans="2:32">
      <c r="B56" s="5">
        <f t="shared" si="6"/>
        <v>44</v>
      </c>
      <c r="C56" s="5"/>
      <c r="E56" s="13"/>
      <c r="F56" s="5"/>
      <c r="G56" s="11" t="str">
        <f>IF(ISERROR(AVERAGE(F$13:F56)),"n/a",AVERAGE(F$13:F56))</f>
        <v>n/a</v>
      </c>
      <c r="H56" s="11" t="str">
        <f t="shared" si="2"/>
        <v>n/a</v>
      </c>
      <c r="J56" s="5"/>
      <c r="K56" s="5"/>
      <c r="L56" s="5"/>
      <c r="M56" s="5"/>
      <c r="N56" s="5"/>
      <c r="O56" s="8" t="str">
        <f t="shared" si="0"/>
        <v>n/a</v>
      </c>
      <c r="Q56" s="5"/>
      <c r="R56" s="5"/>
      <c r="S56" s="5"/>
      <c r="U56" s="6"/>
      <c r="V56" s="9" t="str">
        <f t="shared" si="3"/>
        <v/>
      </c>
      <c r="W56" s="9" t="str">
        <f t="shared" si="4"/>
        <v/>
      </c>
      <c r="X56" s="10">
        <f>SUM(V$13:V56)/COUNTA(B$13:B56)</f>
        <v>0</v>
      </c>
      <c r="Z56" s="5"/>
      <c r="AA56" s="5"/>
      <c r="AC56" s="7"/>
      <c r="AE56" s="54" t="e">
        <f t="shared" si="5"/>
        <v>#N/A</v>
      </c>
      <c r="AF56" s="4" t="e">
        <f t="shared" si="1"/>
        <v>#N/A</v>
      </c>
    </row>
    <row r="57" spans="2:32">
      <c r="B57" s="5">
        <f t="shared" si="6"/>
        <v>45</v>
      </c>
      <c r="C57" s="5"/>
      <c r="E57" s="13"/>
      <c r="F57" s="5"/>
      <c r="G57" s="11" t="str">
        <f>IF(ISERROR(AVERAGE(F$13:F57)),"n/a",AVERAGE(F$13:F57))</f>
        <v>n/a</v>
      </c>
      <c r="H57" s="11" t="str">
        <f t="shared" si="2"/>
        <v>n/a</v>
      </c>
      <c r="J57" s="5"/>
      <c r="K57" s="5"/>
      <c r="L57" s="5"/>
      <c r="M57" s="5"/>
      <c r="N57" s="5"/>
      <c r="O57" s="8" t="str">
        <f t="shared" si="0"/>
        <v>n/a</v>
      </c>
      <c r="Q57" s="5"/>
      <c r="R57" s="5"/>
      <c r="S57" s="5"/>
      <c r="U57" s="6"/>
      <c r="V57" s="9" t="str">
        <f t="shared" si="3"/>
        <v/>
      </c>
      <c r="W57" s="9" t="str">
        <f t="shared" si="4"/>
        <v/>
      </c>
      <c r="X57" s="10">
        <f>SUM(V$13:V57)/COUNTA(B$13:B57)</f>
        <v>0</v>
      </c>
      <c r="Z57" s="5"/>
      <c r="AA57" s="5"/>
      <c r="AC57" s="7"/>
      <c r="AE57" s="54" t="e">
        <f t="shared" si="5"/>
        <v>#N/A</v>
      </c>
      <c r="AF57" s="4" t="e">
        <f t="shared" si="1"/>
        <v>#N/A</v>
      </c>
    </row>
    <row r="58" spans="2:32">
      <c r="B58" s="5">
        <f t="shared" si="6"/>
        <v>46</v>
      </c>
      <c r="C58" s="5"/>
      <c r="E58" s="13"/>
      <c r="F58" s="5"/>
      <c r="G58" s="11" t="str">
        <f>IF(ISERROR(AVERAGE(F$13:F58)),"n/a",AVERAGE(F$13:F58))</f>
        <v>n/a</v>
      </c>
      <c r="H58" s="11" t="str">
        <f t="shared" si="2"/>
        <v>n/a</v>
      </c>
      <c r="J58" s="5"/>
      <c r="K58" s="5"/>
      <c r="L58" s="5"/>
      <c r="M58" s="5"/>
      <c r="N58" s="5"/>
      <c r="O58" s="8" t="str">
        <f t="shared" si="0"/>
        <v>n/a</v>
      </c>
      <c r="Q58" s="5"/>
      <c r="R58" s="5"/>
      <c r="S58" s="5"/>
      <c r="U58" s="6"/>
      <c r="V58" s="9" t="str">
        <f t="shared" si="3"/>
        <v/>
      </c>
      <c r="W58" s="9" t="str">
        <f t="shared" si="4"/>
        <v/>
      </c>
      <c r="X58" s="10">
        <f>SUM(V$13:V58)/COUNTA(B$13:B58)</f>
        <v>0</v>
      </c>
      <c r="Z58" s="5"/>
      <c r="AA58" s="5"/>
      <c r="AC58" s="7"/>
      <c r="AE58" s="54" t="e">
        <f t="shared" si="5"/>
        <v>#N/A</v>
      </c>
      <c r="AF58" s="4" t="e">
        <f t="shared" si="1"/>
        <v>#N/A</v>
      </c>
    </row>
    <row r="59" spans="2:32">
      <c r="B59" s="5">
        <f t="shared" si="6"/>
        <v>47</v>
      </c>
      <c r="C59" s="5"/>
      <c r="E59" s="13"/>
      <c r="F59" s="5"/>
      <c r="G59" s="11" t="str">
        <f>IF(ISERROR(AVERAGE(F$13:F59)),"n/a",AVERAGE(F$13:F59))</f>
        <v>n/a</v>
      </c>
      <c r="H59" s="11" t="str">
        <f t="shared" si="2"/>
        <v>n/a</v>
      </c>
      <c r="J59" s="5"/>
      <c r="K59" s="5"/>
      <c r="L59" s="5"/>
      <c r="M59" s="5"/>
      <c r="N59" s="5"/>
      <c r="O59" s="8" t="str">
        <f t="shared" si="0"/>
        <v>n/a</v>
      </c>
      <c r="Q59" s="5"/>
      <c r="R59" s="5"/>
      <c r="S59" s="5"/>
      <c r="U59" s="6"/>
      <c r="V59" s="9" t="str">
        <f t="shared" si="3"/>
        <v/>
      </c>
      <c r="W59" s="9" t="str">
        <f t="shared" si="4"/>
        <v/>
      </c>
      <c r="X59" s="10">
        <f>SUM(V$13:V59)/COUNTA(B$13:B59)</f>
        <v>0</v>
      </c>
      <c r="Z59" s="5"/>
      <c r="AA59" s="5"/>
      <c r="AC59" s="7"/>
      <c r="AE59" s="54" t="e">
        <f t="shared" si="5"/>
        <v>#N/A</v>
      </c>
      <c r="AF59" s="4" t="e">
        <f t="shared" si="1"/>
        <v>#N/A</v>
      </c>
    </row>
    <row r="60" spans="2:32">
      <c r="B60" s="5">
        <f t="shared" si="6"/>
        <v>48</v>
      </c>
      <c r="C60" s="5"/>
      <c r="E60" s="13"/>
      <c r="F60" s="5"/>
      <c r="G60" s="11" t="str">
        <f>IF(ISERROR(AVERAGE(F$13:F60)),"n/a",AVERAGE(F$13:F60))</f>
        <v>n/a</v>
      </c>
      <c r="H60" s="11" t="str">
        <f t="shared" si="2"/>
        <v>n/a</v>
      </c>
      <c r="J60" s="5"/>
      <c r="K60" s="5"/>
      <c r="L60" s="5"/>
      <c r="M60" s="5"/>
      <c r="N60" s="5"/>
      <c r="O60" s="8" t="str">
        <f t="shared" si="0"/>
        <v>n/a</v>
      </c>
      <c r="Q60" s="5"/>
      <c r="R60" s="5"/>
      <c r="S60" s="5"/>
      <c r="U60" s="6"/>
      <c r="V60" s="9" t="str">
        <f t="shared" si="3"/>
        <v/>
      </c>
      <c r="W60" s="9" t="str">
        <f t="shared" si="4"/>
        <v/>
      </c>
      <c r="X60" s="10">
        <f>SUM(V$13:V60)/COUNTA(B$13:B60)</f>
        <v>0</v>
      </c>
      <c r="Z60" s="5"/>
      <c r="AA60" s="5"/>
      <c r="AC60" s="7"/>
      <c r="AE60" s="54" t="e">
        <f t="shared" si="5"/>
        <v>#N/A</v>
      </c>
      <c r="AF60" s="4" t="e">
        <f t="shared" si="1"/>
        <v>#N/A</v>
      </c>
    </row>
    <row r="61" spans="2:32">
      <c r="B61" s="5">
        <f t="shared" si="6"/>
        <v>49</v>
      </c>
      <c r="C61" s="5"/>
      <c r="E61" s="13"/>
      <c r="F61" s="5"/>
      <c r="G61" s="11" t="str">
        <f>IF(ISERROR(AVERAGE(F$13:F61)),"n/a",AVERAGE(F$13:F61))</f>
        <v>n/a</v>
      </c>
      <c r="H61" s="11" t="str">
        <f t="shared" si="2"/>
        <v>n/a</v>
      </c>
      <c r="J61" s="5"/>
      <c r="K61" s="5"/>
      <c r="L61" s="5"/>
      <c r="M61" s="5"/>
      <c r="N61" s="5"/>
      <c r="O61" s="8" t="str">
        <f t="shared" si="0"/>
        <v>n/a</v>
      </c>
      <c r="Q61" s="5"/>
      <c r="R61" s="5"/>
      <c r="S61" s="5"/>
      <c r="U61" s="6"/>
      <c r="V61" s="9" t="str">
        <f t="shared" si="3"/>
        <v/>
      </c>
      <c r="W61" s="9" t="str">
        <f t="shared" si="4"/>
        <v/>
      </c>
      <c r="X61" s="10">
        <f>SUM(V$13:V61)/COUNTA(B$13:B61)</f>
        <v>0</v>
      </c>
      <c r="Z61" s="5"/>
      <c r="AA61" s="5"/>
      <c r="AC61" s="7"/>
      <c r="AE61" s="54" t="e">
        <f t="shared" si="5"/>
        <v>#N/A</v>
      </c>
      <c r="AF61" s="4" t="e">
        <f t="shared" si="1"/>
        <v>#N/A</v>
      </c>
    </row>
    <row r="62" spans="2:32">
      <c r="B62" s="5">
        <f t="shared" si="6"/>
        <v>50</v>
      </c>
      <c r="C62" s="5"/>
      <c r="E62" s="13"/>
      <c r="F62" s="5"/>
      <c r="G62" s="11" t="str">
        <f>IF(ISERROR(AVERAGE(F$13:F62)),"n/a",AVERAGE(F$13:F62))</f>
        <v>n/a</v>
      </c>
      <c r="H62" s="11" t="str">
        <f t="shared" si="2"/>
        <v>n/a</v>
      </c>
      <c r="J62" s="5"/>
      <c r="K62" s="5"/>
      <c r="L62" s="5"/>
      <c r="M62" s="5"/>
      <c r="N62" s="5"/>
      <c r="O62" s="8" t="str">
        <f t="shared" si="0"/>
        <v>n/a</v>
      </c>
      <c r="Q62" s="5"/>
      <c r="R62" s="5"/>
      <c r="S62" s="5"/>
      <c r="U62" s="6"/>
      <c r="V62" s="9" t="str">
        <f t="shared" si="3"/>
        <v/>
      </c>
      <c r="W62" s="9" t="str">
        <f t="shared" si="4"/>
        <v/>
      </c>
      <c r="X62" s="10">
        <f>SUM(V$13:V62)/COUNTA(B$13:B62)</f>
        <v>0</v>
      </c>
      <c r="Z62" s="5"/>
      <c r="AA62" s="5"/>
      <c r="AC62" s="7"/>
      <c r="AE62" s="54" t="e">
        <f t="shared" si="5"/>
        <v>#N/A</v>
      </c>
      <c r="AF62" s="4" t="e">
        <f t="shared" si="1"/>
        <v>#N/A</v>
      </c>
    </row>
    <row r="63" spans="2:32">
      <c r="B63" s="5">
        <f t="shared" si="6"/>
        <v>51</v>
      </c>
      <c r="C63" s="5"/>
      <c r="E63" s="13"/>
      <c r="F63" s="5"/>
      <c r="G63" s="11" t="str">
        <f>IF(ISERROR(AVERAGE(F$13:F63)),"n/a",AVERAGE(F$13:F63))</f>
        <v>n/a</v>
      </c>
      <c r="H63" s="11" t="str">
        <f t="shared" si="2"/>
        <v>n/a</v>
      </c>
      <c r="J63" s="5"/>
      <c r="K63" s="5"/>
      <c r="L63" s="5"/>
      <c r="M63" s="5"/>
      <c r="N63" s="5"/>
      <c r="O63" s="8" t="str">
        <f t="shared" si="0"/>
        <v>n/a</v>
      </c>
      <c r="Q63" s="5"/>
      <c r="R63" s="5"/>
      <c r="S63" s="5"/>
      <c r="U63" s="6"/>
      <c r="V63" s="9" t="str">
        <f t="shared" si="3"/>
        <v/>
      </c>
      <c r="W63" s="9" t="str">
        <f t="shared" si="4"/>
        <v/>
      </c>
      <c r="X63" s="10">
        <f>SUM(V$13:V63)/COUNTA(B$13:B63)</f>
        <v>0</v>
      </c>
      <c r="Z63" s="5"/>
      <c r="AA63" s="5"/>
      <c r="AC63" s="7"/>
      <c r="AE63" s="54" t="e">
        <f t="shared" si="5"/>
        <v>#N/A</v>
      </c>
      <c r="AF63" s="4" t="e">
        <f t="shared" si="1"/>
        <v>#N/A</v>
      </c>
    </row>
    <row r="64" spans="2:32">
      <c r="B64" s="5">
        <f t="shared" si="6"/>
        <v>52</v>
      </c>
      <c r="C64" s="5"/>
      <c r="E64" s="13"/>
      <c r="F64" s="5"/>
      <c r="G64" s="11" t="str">
        <f>IF(ISERROR(AVERAGE(F$13:F64)),"n/a",AVERAGE(F$13:F64))</f>
        <v>n/a</v>
      </c>
      <c r="H64" s="11" t="str">
        <f t="shared" si="2"/>
        <v>n/a</v>
      </c>
      <c r="J64" s="5"/>
      <c r="K64" s="5"/>
      <c r="L64" s="5"/>
      <c r="M64" s="5"/>
      <c r="N64" s="5"/>
      <c r="O64" s="8" t="str">
        <f t="shared" si="0"/>
        <v>n/a</v>
      </c>
      <c r="Q64" s="5"/>
      <c r="R64" s="5"/>
      <c r="S64" s="5"/>
      <c r="U64" s="6"/>
      <c r="V64" s="9" t="str">
        <f t="shared" si="3"/>
        <v/>
      </c>
      <c r="W64" s="9" t="str">
        <f t="shared" si="4"/>
        <v/>
      </c>
      <c r="X64" s="10">
        <f>SUM(V$13:V64)/COUNTA(B$13:B64)</f>
        <v>0</v>
      </c>
      <c r="Z64" s="5"/>
      <c r="AA64" s="5"/>
      <c r="AC64" s="7"/>
      <c r="AE64" s="54" t="e">
        <f t="shared" si="5"/>
        <v>#N/A</v>
      </c>
      <c r="AF64" s="4" t="e">
        <f t="shared" si="1"/>
        <v>#N/A</v>
      </c>
    </row>
    <row r="65" spans="2:32">
      <c r="B65" s="5">
        <f t="shared" si="6"/>
        <v>53</v>
      </c>
      <c r="C65" s="5"/>
      <c r="E65" s="13"/>
      <c r="F65" s="5"/>
      <c r="G65" s="11" t="str">
        <f>IF(ISERROR(AVERAGE(F$13:F65)),"n/a",AVERAGE(F$13:F65))</f>
        <v>n/a</v>
      </c>
      <c r="H65" s="11" t="str">
        <f t="shared" si="2"/>
        <v>n/a</v>
      </c>
      <c r="J65" s="5"/>
      <c r="K65" s="5"/>
      <c r="L65" s="5"/>
      <c r="M65" s="5"/>
      <c r="N65" s="5"/>
      <c r="O65" s="8" t="str">
        <f t="shared" si="0"/>
        <v>n/a</v>
      </c>
      <c r="Q65" s="5"/>
      <c r="R65" s="5"/>
      <c r="S65" s="5"/>
      <c r="U65" s="6"/>
      <c r="V65" s="9" t="str">
        <f t="shared" si="3"/>
        <v/>
      </c>
      <c r="W65" s="9" t="str">
        <f t="shared" si="4"/>
        <v/>
      </c>
      <c r="X65" s="10">
        <f>SUM(V$13:V65)/COUNTA(B$13:B65)</f>
        <v>0</v>
      </c>
      <c r="Z65" s="5"/>
      <c r="AA65" s="5"/>
      <c r="AC65" s="7"/>
      <c r="AE65" s="54" t="e">
        <f t="shared" si="5"/>
        <v>#N/A</v>
      </c>
      <c r="AF65" s="4" t="e">
        <f t="shared" si="1"/>
        <v>#N/A</v>
      </c>
    </row>
    <row r="66" spans="2:32">
      <c r="B66" s="5">
        <f t="shared" si="6"/>
        <v>54</v>
      </c>
      <c r="C66" s="5"/>
      <c r="E66" s="13"/>
      <c r="F66" s="5"/>
      <c r="G66" s="11" t="str">
        <f>IF(ISERROR(AVERAGE(F$13:F66)),"n/a",AVERAGE(F$13:F66))</f>
        <v>n/a</v>
      </c>
      <c r="H66" s="11" t="str">
        <f t="shared" si="2"/>
        <v>n/a</v>
      </c>
      <c r="J66" s="5"/>
      <c r="K66" s="5"/>
      <c r="L66" s="5"/>
      <c r="M66" s="5"/>
      <c r="N66" s="5"/>
      <c r="O66" s="8" t="str">
        <f t="shared" si="0"/>
        <v>n/a</v>
      </c>
      <c r="Q66" s="5"/>
      <c r="R66" s="5"/>
      <c r="S66" s="5"/>
      <c r="U66" s="6"/>
      <c r="V66" s="9" t="str">
        <f t="shared" si="3"/>
        <v/>
      </c>
      <c r="W66" s="9" t="str">
        <f t="shared" si="4"/>
        <v/>
      </c>
      <c r="X66" s="10">
        <f>SUM(V$13:V66)/COUNTA(B$13:B66)</f>
        <v>0</v>
      </c>
      <c r="Z66" s="5"/>
      <c r="AA66" s="5"/>
      <c r="AC66" s="7"/>
      <c r="AE66" s="54" t="e">
        <f t="shared" si="5"/>
        <v>#N/A</v>
      </c>
      <c r="AF66" s="4" t="e">
        <f t="shared" si="1"/>
        <v>#N/A</v>
      </c>
    </row>
    <row r="67" spans="2:32">
      <c r="B67" s="5">
        <f t="shared" si="6"/>
        <v>55</v>
      </c>
      <c r="C67" s="5"/>
      <c r="E67" s="13"/>
      <c r="F67" s="5"/>
      <c r="G67" s="11" t="str">
        <f>IF(ISERROR(AVERAGE(F$13:F67)),"n/a",AVERAGE(F$13:F67))</f>
        <v>n/a</v>
      </c>
      <c r="H67" s="11" t="str">
        <f t="shared" si="2"/>
        <v>n/a</v>
      </c>
      <c r="J67" s="5"/>
      <c r="K67" s="5"/>
      <c r="L67" s="5"/>
      <c r="M67" s="5"/>
      <c r="N67" s="5"/>
      <c r="O67" s="8" t="str">
        <f t="shared" si="0"/>
        <v>n/a</v>
      </c>
      <c r="Q67" s="5"/>
      <c r="R67" s="5"/>
      <c r="S67" s="5"/>
      <c r="U67" s="6"/>
      <c r="V67" s="9" t="str">
        <f t="shared" si="3"/>
        <v/>
      </c>
      <c r="W67" s="9" t="str">
        <f t="shared" si="4"/>
        <v/>
      </c>
      <c r="X67" s="10">
        <f>SUM(V$13:V67)/COUNTA(B$13:B67)</f>
        <v>0</v>
      </c>
      <c r="Z67" s="5"/>
      <c r="AA67" s="5"/>
      <c r="AC67" s="7"/>
      <c r="AE67" s="54" t="e">
        <f t="shared" si="5"/>
        <v>#N/A</v>
      </c>
      <c r="AF67" s="4" t="e">
        <f t="shared" si="1"/>
        <v>#N/A</v>
      </c>
    </row>
    <row r="68" spans="2:32">
      <c r="B68" s="5">
        <f t="shared" si="6"/>
        <v>56</v>
      </c>
      <c r="C68" s="5"/>
      <c r="E68" s="13"/>
      <c r="F68" s="5"/>
      <c r="G68" s="11" t="str">
        <f>IF(ISERROR(AVERAGE(F$13:F68)),"n/a",AVERAGE(F$13:F68))</f>
        <v>n/a</v>
      </c>
      <c r="H68" s="11" t="str">
        <f t="shared" si="2"/>
        <v>n/a</v>
      </c>
      <c r="J68" s="5"/>
      <c r="K68" s="5"/>
      <c r="L68" s="5"/>
      <c r="M68" s="5"/>
      <c r="N68" s="5"/>
      <c r="O68" s="8" t="str">
        <f t="shared" si="0"/>
        <v>n/a</v>
      </c>
      <c r="Q68" s="5"/>
      <c r="R68" s="5"/>
      <c r="S68" s="5"/>
      <c r="U68" s="6"/>
      <c r="V68" s="9" t="str">
        <f t="shared" si="3"/>
        <v/>
      </c>
      <c r="W68" s="9" t="str">
        <f t="shared" si="4"/>
        <v/>
      </c>
      <c r="X68" s="10">
        <f>SUM(V$13:V68)/COUNTA(B$13:B68)</f>
        <v>0</v>
      </c>
      <c r="Z68" s="5"/>
      <c r="AA68" s="5"/>
      <c r="AC68" s="7"/>
      <c r="AE68" s="54" t="e">
        <f t="shared" si="5"/>
        <v>#N/A</v>
      </c>
      <c r="AF68" s="4" t="e">
        <f t="shared" si="1"/>
        <v>#N/A</v>
      </c>
    </row>
    <row r="69" spans="2:32">
      <c r="B69" s="5">
        <f t="shared" si="6"/>
        <v>57</v>
      </c>
      <c r="C69" s="5"/>
      <c r="E69" s="13"/>
      <c r="F69" s="5"/>
      <c r="G69" s="11" t="str">
        <f>IF(ISERROR(AVERAGE(F$13:F69)),"n/a",AVERAGE(F$13:F69))</f>
        <v>n/a</v>
      </c>
      <c r="H69" s="11" t="str">
        <f t="shared" si="2"/>
        <v>n/a</v>
      </c>
      <c r="J69" s="5"/>
      <c r="K69" s="5"/>
      <c r="L69" s="5"/>
      <c r="M69" s="5"/>
      <c r="N69" s="5"/>
      <c r="O69" s="8" t="str">
        <f t="shared" si="0"/>
        <v>n/a</v>
      </c>
      <c r="Q69" s="5"/>
      <c r="R69" s="5"/>
      <c r="S69" s="5"/>
      <c r="U69" s="6"/>
      <c r="V69" s="9" t="str">
        <f t="shared" si="3"/>
        <v/>
      </c>
      <c r="W69" s="9" t="str">
        <f t="shared" si="4"/>
        <v/>
      </c>
      <c r="X69" s="10">
        <f>SUM(V$13:V69)/COUNTA(B$13:B69)</f>
        <v>0</v>
      </c>
      <c r="Z69" s="5"/>
      <c r="AA69" s="5"/>
      <c r="AC69" s="7"/>
      <c r="AE69" s="54" t="e">
        <f t="shared" si="5"/>
        <v>#N/A</v>
      </c>
      <c r="AF69" s="4" t="e">
        <f t="shared" si="1"/>
        <v>#N/A</v>
      </c>
    </row>
    <row r="70" spans="2:32">
      <c r="B70" s="5">
        <f t="shared" si="6"/>
        <v>58</v>
      </c>
      <c r="C70" s="5"/>
      <c r="E70" s="13"/>
      <c r="F70" s="5"/>
      <c r="G70" s="11" t="str">
        <f>IF(ISERROR(AVERAGE(F$13:F70)),"n/a",AVERAGE(F$13:F70))</f>
        <v>n/a</v>
      </c>
      <c r="H70" s="11" t="str">
        <f t="shared" si="2"/>
        <v>n/a</v>
      </c>
      <c r="J70" s="5"/>
      <c r="K70" s="5"/>
      <c r="L70" s="5"/>
      <c r="M70" s="5"/>
      <c r="N70" s="5"/>
      <c r="O70" s="8" t="str">
        <f t="shared" si="0"/>
        <v>n/a</v>
      </c>
      <c r="Q70" s="5"/>
      <c r="R70" s="5"/>
      <c r="S70" s="5"/>
      <c r="U70" s="6"/>
      <c r="V70" s="9" t="str">
        <f t="shared" si="3"/>
        <v/>
      </c>
      <c r="W70" s="9" t="str">
        <f t="shared" si="4"/>
        <v/>
      </c>
      <c r="X70" s="10">
        <f>SUM(V$13:V70)/COUNTA(B$13:B70)</f>
        <v>0</v>
      </c>
      <c r="Z70" s="5"/>
      <c r="AA70" s="5"/>
      <c r="AC70" s="7"/>
      <c r="AE70" s="54" t="e">
        <f t="shared" si="5"/>
        <v>#N/A</v>
      </c>
      <c r="AF70" s="4" t="e">
        <f t="shared" si="1"/>
        <v>#N/A</v>
      </c>
    </row>
    <row r="71" spans="2:32">
      <c r="B71" s="5">
        <f t="shared" si="6"/>
        <v>59</v>
      </c>
      <c r="C71" s="5"/>
      <c r="E71" s="13"/>
      <c r="F71" s="5"/>
      <c r="G71" s="11" t="str">
        <f>IF(ISERROR(AVERAGE(F$13:F71)),"n/a",AVERAGE(F$13:F71))</f>
        <v>n/a</v>
      </c>
      <c r="H71" s="11" t="str">
        <f t="shared" si="2"/>
        <v>n/a</v>
      </c>
      <c r="J71" s="5"/>
      <c r="K71" s="5"/>
      <c r="L71" s="5"/>
      <c r="M71" s="5"/>
      <c r="N71" s="5"/>
      <c r="O71" s="8" t="str">
        <f t="shared" si="0"/>
        <v>n/a</v>
      </c>
      <c r="Q71" s="5"/>
      <c r="R71" s="5"/>
      <c r="S71" s="5"/>
      <c r="U71" s="6"/>
      <c r="V71" s="9" t="str">
        <f t="shared" si="3"/>
        <v/>
      </c>
      <c r="W71" s="9" t="str">
        <f t="shared" si="4"/>
        <v/>
      </c>
      <c r="X71" s="10">
        <f>SUM(V$13:V71)/COUNTA(B$13:B71)</f>
        <v>0</v>
      </c>
      <c r="Z71" s="5"/>
      <c r="AA71" s="5"/>
      <c r="AC71" s="7"/>
      <c r="AE71" s="54" t="e">
        <f t="shared" si="5"/>
        <v>#N/A</v>
      </c>
      <c r="AF71" s="4" t="e">
        <f t="shared" si="1"/>
        <v>#N/A</v>
      </c>
    </row>
    <row r="72" spans="2:32">
      <c r="B72" s="5">
        <f t="shared" si="6"/>
        <v>60</v>
      </c>
      <c r="C72" s="5"/>
      <c r="E72" s="13"/>
      <c r="F72" s="5"/>
      <c r="G72" s="11" t="str">
        <f>IF(ISERROR(AVERAGE(F$13:F72)),"n/a",AVERAGE(F$13:F72))</f>
        <v>n/a</v>
      </c>
      <c r="H72" s="11" t="str">
        <f t="shared" si="2"/>
        <v>n/a</v>
      </c>
      <c r="J72" s="5"/>
      <c r="K72" s="5"/>
      <c r="L72" s="5"/>
      <c r="M72" s="5"/>
      <c r="N72" s="5"/>
      <c r="O72" s="8" t="str">
        <f t="shared" si="0"/>
        <v>n/a</v>
      </c>
      <c r="Q72" s="5"/>
      <c r="R72" s="5"/>
      <c r="S72" s="5"/>
      <c r="U72" s="6"/>
      <c r="V72" s="9" t="str">
        <f t="shared" si="3"/>
        <v/>
      </c>
      <c r="W72" s="9" t="str">
        <f t="shared" si="4"/>
        <v/>
      </c>
      <c r="X72" s="10">
        <f>SUM(V$13:V72)/COUNTA(B$13:B72)</f>
        <v>0</v>
      </c>
      <c r="Z72" s="5"/>
      <c r="AA72" s="5"/>
      <c r="AC72" s="7"/>
      <c r="AE72" s="54" t="e">
        <f t="shared" si="5"/>
        <v>#N/A</v>
      </c>
      <c r="AF72" s="4" t="e">
        <f t="shared" si="1"/>
        <v>#N/A</v>
      </c>
    </row>
    <row r="73" spans="2:32">
      <c r="B73" s="5">
        <f t="shared" si="6"/>
        <v>61</v>
      </c>
      <c r="C73" s="5"/>
      <c r="E73" s="13"/>
      <c r="F73" s="5"/>
      <c r="G73" s="11" t="str">
        <f>IF(ISERROR(AVERAGE(F$13:F73)),"n/a",AVERAGE(F$13:F73))</f>
        <v>n/a</v>
      </c>
      <c r="H73" s="11" t="str">
        <f t="shared" si="2"/>
        <v>n/a</v>
      </c>
      <c r="J73" s="5"/>
      <c r="K73" s="5"/>
      <c r="L73" s="5"/>
      <c r="M73" s="5"/>
      <c r="N73" s="5"/>
      <c r="O73" s="8" t="str">
        <f t="shared" si="0"/>
        <v>n/a</v>
      </c>
      <c r="Q73" s="5"/>
      <c r="R73" s="5"/>
      <c r="S73" s="5"/>
      <c r="U73" s="6"/>
      <c r="V73" s="9" t="str">
        <f t="shared" si="3"/>
        <v/>
      </c>
      <c r="W73" s="9" t="str">
        <f t="shared" si="4"/>
        <v/>
      </c>
      <c r="X73" s="10">
        <f>SUM(V$13:V73)/COUNTA(B$13:B73)</f>
        <v>0</v>
      </c>
      <c r="Z73" s="5"/>
      <c r="AA73" s="5"/>
      <c r="AC73" s="7"/>
      <c r="AE73" s="54" t="e">
        <f t="shared" si="5"/>
        <v>#N/A</v>
      </c>
      <c r="AF73" s="4" t="e">
        <f t="shared" si="1"/>
        <v>#N/A</v>
      </c>
    </row>
    <row r="74" spans="2:32">
      <c r="B74" s="5">
        <f t="shared" si="6"/>
        <v>62</v>
      </c>
      <c r="C74" s="5"/>
      <c r="E74" s="13"/>
      <c r="F74" s="5"/>
      <c r="G74" s="11" t="str">
        <f>IF(ISERROR(AVERAGE(F$13:F74)),"n/a",AVERAGE(F$13:F74))</f>
        <v>n/a</v>
      </c>
      <c r="H74" s="11" t="str">
        <f t="shared" si="2"/>
        <v>n/a</v>
      </c>
      <c r="J74" s="5"/>
      <c r="K74" s="5"/>
      <c r="L74" s="5"/>
      <c r="M74" s="5"/>
      <c r="N74" s="5"/>
      <c r="O74" s="8" t="str">
        <f t="shared" si="0"/>
        <v>n/a</v>
      </c>
      <c r="Q74" s="5"/>
      <c r="R74" s="5"/>
      <c r="S74" s="5"/>
      <c r="U74" s="6"/>
      <c r="V74" s="9" t="str">
        <f t="shared" si="3"/>
        <v/>
      </c>
      <c r="W74" s="9" t="str">
        <f t="shared" si="4"/>
        <v/>
      </c>
      <c r="X74" s="10">
        <f>SUM(V$13:V74)/COUNTA(B$13:B74)</f>
        <v>0</v>
      </c>
      <c r="Z74" s="5"/>
      <c r="AA74" s="5"/>
      <c r="AC74" s="7"/>
      <c r="AE74" s="54" t="e">
        <f t="shared" si="5"/>
        <v>#N/A</v>
      </c>
      <c r="AF74" s="4" t="e">
        <f t="shared" si="1"/>
        <v>#N/A</v>
      </c>
    </row>
    <row r="75" spans="2:32">
      <c r="B75" s="5">
        <f t="shared" si="6"/>
        <v>63</v>
      </c>
      <c r="C75" s="5"/>
      <c r="E75" s="13"/>
      <c r="F75" s="5"/>
      <c r="G75" s="11" t="str">
        <f>IF(ISERROR(AVERAGE(F$13:F75)),"n/a",AVERAGE(F$13:F75))</f>
        <v>n/a</v>
      </c>
      <c r="H75" s="11" t="str">
        <f t="shared" si="2"/>
        <v>n/a</v>
      </c>
      <c r="J75" s="5"/>
      <c r="K75" s="5"/>
      <c r="L75" s="5"/>
      <c r="M75" s="5"/>
      <c r="N75" s="5"/>
      <c r="O75" s="8" t="str">
        <f t="shared" si="0"/>
        <v>n/a</v>
      </c>
      <c r="Q75" s="5"/>
      <c r="R75" s="5"/>
      <c r="S75" s="5"/>
      <c r="U75" s="6"/>
      <c r="V75" s="9" t="str">
        <f t="shared" si="3"/>
        <v/>
      </c>
      <c r="W75" s="9" t="str">
        <f t="shared" si="4"/>
        <v/>
      </c>
      <c r="X75" s="10">
        <f>SUM(V$13:V75)/COUNTA(B$13:B75)</f>
        <v>0</v>
      </c>
      <c r="Z75" s="5"/>
      <c r="AA75" s="5"/>
      <c r="AC75" s="7"/>
      <c r="AE75" s="54" t="e">
        <f t="shared" si="5"/>
        <v>#N/A</v>
      </c>
      <c r="AF75" s="4" t="e">
        <f t="shared" si="1"/>
        <v>#N/A</v>
      </c>
    </row>
    <row r="76" spans="2:32">
      <c r="B76" s="5">
        <f t="shared" si="6"/>
        <v>64</v>
      </c>
      <c r="C76" s="5"/>
      <c r="E76" s="13"/>
      <c r="F76" s="5"/>
      <c r="G76" s="11" t="str">
        <f>IF(ISERROR(AVERAGE(F$13:F76)),"n/a",AVERAGE(F$13:F76))</f>
        <v>n/a</v>
      </c>
      <c r="H76" s="11" t="str">
        <f t="shared" si="2"/>
        <v>n/a</v>
      </c>
      <c r="J76" s="5"/>
      <c r="K76" s="5"/>
      <c r="L76" s="5"/>
      <c r="M76" s="5"/>
      <c r="N76" s="5"/>
      <c r="O76" s="8" t="str">
        <f t="shared" si="0"/>
        <v>n/a</v>
      </c>
      <c r="Q76" s="5"/>
      <c r="R76" s="5"/>
      <c r="S76" s="5"/>
      <c r="U76" s="6"/>
      <c r="V76" s="9" t="str">
        <f t="shared" si="3"/>
        <v/>
      </c>
      <c r="W76" s="9" t="str">
        <f t="shared" si="4"/>
        <v/>
      </c>
      <c r="X76" s="10">
        <f>SUM(V$13:V76)/COUNTA(B$13:B76)</f>
        <v>0</v>
      </c>
      <c r="Z76" s="5"/>
      <c r="AA76" s="5"/>
      <c r="AC76" s="7"/>
      <c r="AE76" s="54" t="e">
        <f t="shared" si="5"/>
        <v>#N/A</v>
      </c>
      <c r="AF76" s="4" t="e">
        <f t="shared" si="1"/>
        <v>#N/A</v>
      </c>
    </row>
    <row r="77" spans="2:32">
      <c r="B77" s="5">
        <f t="shared" si="6"/>
        <v>65</v>
      </c>
      <c r="C77" s="5"/>
      <c r="E77" s="13"/>
      <c r="F77" s="5"/>
      <c r="G77" s="11" t="str">
        <f>IF(ISERROR(AVERAGE(F$13:F77)),"n/a",AVERAGE(F$13:F77))</f>
        <v>n/a</v>
      </c>
      <c r="H77" s="11" t="str">
        <f t="shared" si="2"/>
        <v>n/a</v>
      </c>
      <c r="J77" s="5"/>
      <c r="K77" s="5"/>
      <c r="L77" s="5"/>
      <c r="M77" s="5"/>
      <c r="N77" s="5"/>
      <c r="O77" s="8" t="str">
        <f t="shared" ref="O77:O140" si="24">IF(J77=1,"A",IF(K77=1,"B",IF(L77=1,"C",IF(M77=1,"D",IF(N77=1,"E","n/a")))))</f>
        <v>n/a</v>
      </c>
      <c r="Q77" s="5"/>
      <c r="R77" s="5"/>
      <c r="S77" s="5"/>
      <c r="U77" s="6"/>
      <c r="V77" s="9" t="str">
        <f t="shared" si="3"/>
        <v/>
      </c>
      <c r="W77" s="9" t="str">
        <f t="shared" si="4"/>
        <v/>
      </c>
      <c r="X77" s="10">
        <f>SUM(V$13:V77)/COUNTA(B$13:B77)</f>
        <v>0</v>
      </c>
      <c r="Z77" s="5"/>
      <c r="AA77" s="5"/>
      <c r="AC77" s="7"/>
      <c r="AE77" s="54" t="e">
        <f t="shared" si="5"/>
        <v>#N/A</v>
      </c>
      <c r="AF77" s="4" t="e">
        <f t="shared" ref="AF77:AF140" si="25">HLOOKUP(C77,$K$6:$O$7,2,FALSE)</f>
        <v>#N/A</v>
      </c>
    </row>
    <row r="78" spans="2:32">
      <c r="B78" s="5">
        <f t="shared" si="6"/>
        <v>66</v>
      </c>
      <c r="C78" s="5"/>
      <c r="E78" s="13"/>
      <c r="F78" s="5"/>
      <c r="G78" s="11" t="str">
        <f>IF(ISERROR(AVERAGE(F$13:F78)),"n/a",AVERAGE(F$13:F78))</f>
        <v>n/a</v>
      </c>
      <c r="H78" s="11" t="str">
        <f t="shared" ref="H78:H141" si="26">G78</f>
        <v>n/a</v>
      </c>
      <c r="J78" s="5"/>
      <c r="K78" s="5"/>
      <c r="L78" s="5"/>
      <c r="M78" s="5"/>
      <c r="N78" s="5"/>
      <c r="O78" s="8" t="str">
        <f t="shared" si="24"/>
        <v>n/a</v>
      </c>
      <c r="Q78" s="5"/>
      <c r="R78" s="5"/>
      <c r="S78" s="5"/>
      <c r="U78" s="6"/>
      <c r="V78" s="9" t="str">
        <f t="shared" ref="V78:V141" si="27">IF(O78="n/a","",IF(O78=U78,1,""))</f>
        <v/>
      </c>
      <c r="W78" s="9" t="str">
        <f t="shared" ref="W78:W141" si="28">IF(O78="n/a","",IF(O78&lt;&gt;U78,1,""))</f>
        <v/>
      </c>
      <c r="X78" s="10">
        <f>SUM(V$13:V78)/COUNTA(B$13:B78)</f>
        <v>0</v>
      </c>
      <c r="Z78" s="5"/>
      <c r="AA78" s="5"/>
      <c r="AC78" s="7"/>
      <c r="AE78" s="54" t="e">
        <f t="shared" ref="AE78:AE141" si="29">+IF($F$4=0,0,IF(W78=1,1,IF(OR(R78*$F$8=1,S78*$F$9=1,F78&gt;=AF78),2,0)))</f>
        <v>#N/A</v>
      </c>
      <c r="AF78" s="4" t="e">
        <f t="shared" si="25"/>
        <v>#N/A</v>
      </c>
    </row>
    <row r="79" spans="2:32">
      <c r="B79" s="5">
        <f t="shared" si="6"/>
        <v>67</v>
      </c>
      <c r="C79" s="5"/>
      <c r="E79" s="13"/>
      <c r="F79" s="5"/>
      <c r="G79" s="11" t="str">
        <f>IF(ISERROR(AVERAGE(F$13:F79)),"n/a",AVERAGE(F$13:F79))</f>
        <v>n/a</v>
      </c>
      <c r="H79" s="11" t="str">
        <f t="shared" si="26"/>
        <v>n/a</v>
      </c>
      <c r="J79" s="5"/>
      <c r="K79" s="5"/>
      <c r="L79" s="5"/>
      <c r="M79" s="5"/>
      <c r="N79" s="5"/>
      <c r="O79" s="8" t="str">
        <f t="shared" si="24"/>
        <v>n/a</v>
      </c>
      <c r="Q79" s="5"/>
      <c r="R79" s="5"/>
      <c r="S79" s="5"/>
      <c r="U79" s="6"/>
      <c r="V79" s="9" t="str">
        <f t="shared" si="27"/>
        <v/>
      </c>
      <c r="W79" s="9" t="str">
        <f t="shared" si="28"/>
        <v/>
      </c>
      <c r="X79" s="10">
        <f>SUM(V$13:V79)/COUNTA(B$13:B79)</f>
        <v>0</v>
      </c>
      <c r="Z79" s="5"/>
      <c r="AA79" s="5"/>
      <c r="AC79" s="7"/>
      <c r="AE79" s="54" t="e">
        <f t="shared" si="29"/>
        <v>#N/A</v>
      </c>
      <c r="AF79" s="4" t="e">
        <f t="shared" si="25"/>
        <v>#N/A</v>
      </c>
    </row>
    <row r="80" spans="2:32">
      <c r="B80" s="5">
        <f t="shared" si="6"/>
        <v>68</v>
      </c>
      <c r="C80" s="5"/>
      <c r="E80" s="13"/>
      <c r="F80" s="5"/>
      <c r="G80" s="11" t="str">
        <f>IF(ISERROR(AVERAGE(F$13:F80)),"n/a",AVERAGE(F$13:F80))</f>
        <v>n/a</v>
      </c>
      <c r="H80" s="11" t="str">
        <f t="shared" si="26"/>
        <v>n/a</v>
      </c>
      <c r="J80" s="5"/>
      <c r="K80" s="5"/>
      <c r="L80" s="5"/>
      <c r="M80" s="5"/>
      <c r="N80" s="5"/>
      <c r="O80" s="8" t="str">
        <f t="shared" si="24"/>
        <v>n/a</v>
      </c>
      <c r="Q80" s="5"/>
      <c r="R80" s="5"/>
      <c r="S80" s="5"/>
      <c r="U80" s="6"/>
      <c r="V80" s="9" t="str">
        <f t="shared" si="27"/>
        <v/>
      </c>
      <c r="W80" s="9" t="str">
        <f t="shared" si="28"/>
        <v/>
      </c>
      <c r="X80" s="10">
        <f>SUM(V$13:V80)/COUNTA(B$13:B80)</f>
        <v>0</v>
      </c>
      <c r="Z80" s="5"/>
      <c r="AA80" s="5"/>
      <c r="AC80" s="7"/>
      <c r="AE80" s="54" t="e">
        <f t="shared" si="29"/>
        <v>#N/A</v>
      </c>
      <c r="AF80" s="4" t="e">
        <f t="shared" si="25"/>
        <v>#N/A</v>
      </c>
    </row>
    <row r="81" spans="2:32">
      <c r="B81" s="5">
        <f t="shared" si="6"/>
        <v>69</v>
      </c>
      <c r="C81" s="5"/>
      <c r="E81" s="13"/>
      <c r="F81" s="5"/>
      <c r="G81" s="11" t="str">
        <f>IF(ISERROR(AVERAGE(F$13:F81)),"n/a",AVERAGE(F$13:F81))</f>
        <v>n/a</v>
      </c>
      <c r="H81" s="11" t="str">
        <f t="shared" si="26"/>
        <v>n/a</v>
      </c>
      <c r="J81" s="5"/>
      <c r="K81" s="5"/>
      <c r="L81" s="5"/>
      <c r="M81" s="5"/>
      <c r="N81" s="5"/>
      <c r="O81" s="8" t="str">
        <f t="shared" si="24"/>
        <v>n/a</v>
      </c>
      <c r="Q81" s="5"/>
      <c r="R81" s="5"/>
      <c r="S81" s="5"/>
      <c r="U81" s="6"/>
      <c r="V81" s="9" t="str">
        <f t="shared" si="27"/>
        <v/>
      </c>
      <c r="W81" s="9" t="str">
        <f t="shared" si="28"/>
        <v/>
      </c>
      <c r="X81" s="10">
        <f>SUM(V$13:V81)/COUNTA(B$13:B81)</f>
        <v>0</v>
      </c>
      <c r="Z81" s="5"/>
      <c r="AA81" s="5"/>
      <c r="AC81" s="7"/>
      <c r="AE81" s="54" t="e">
        <f t="shared" si="29"/>
        <v>#N/A</v>
      </c>
      <c r="AF81" s="4" t="e">
        <f t="shared" si="25"/>
        <v>#N/A</v>
      </c>
    </row>
    <row r="82" spans="2:32">
      <c r="B82" s="5">
        <f t="shared" si="6"/>
        <v>70</v>
      </c>
      <c r="C82" s="5"/>
      <c r="E82" s="13"/>
      <c r="F82" s="5"/>
      <c r="G82" s="11" t="str">
        <f>IF(ISERROR(AVERAGE(F$13:F82)),"n/a",AVERAGE(F$13:F82))</f>
        <v>n/a</v>
      </c>
      <c r="H82" s="11" t="str">
        <f t="shared" si="26"/>
        <v>n/a</v>
      </c>
      <c r="J82" s="5"/>
      <c r="K82" s="5"/>
      <c r="L82" s="5"/>
      <c r="M82" s="5"/>
      <c r="N82" s="5"/>
      <c r="O82" s="8" t="str">
        <f t="shared" si="24"/>
        <v>n/a</v>
      </c>
      <c r="Q82" s="5"/>
      <c r="R82" s="5"/>
      <c r="S82" s="5"/>
      <c r="U82" s="6"/>
      <c r="V82" s="9" t="str">
        <f t="shared" si="27"/>
        <v/>
      </c>
      <c r="W82" s="9" t="str">
        <f t="shared" si="28"/>
        <v/>
      </c>
      <c r="X82" s="10">
        <f>SUM(V$13:V82)/COUNTA(B$13:B82)</f>
        <v>0</v>
      </c>
      <c r="Z82" s="5"/>
      <c r="AA82" s="5"/>
      <c r="AC82" s="7"/>
      <c r="AE82" s="54" t="e">
        <f t="shared" si="29"/>
        <v>#N/A</v>
      </c>
      <c r="AF82" s="4" t="e">
        <f t="shared" si="25"/>
        <v>#N/A</v>
      </c>
    </row>
    <row r="83" spans="2:32">
      <c r="B83" s="5">
        <f t="shared" ref="B83:B146" si="30">+B82+1</f>
        <v>71</v>
      </c>
      <c r="C83" s="5"/>
      <c r="E83" s="13"/>
      <c r="F83" s="5"/>
      <c r="G83" s="11" t="str">
        <f>IF(ISERROR(AVERAGE(F$13:F83)),"n/a",AVERAGE(F$13:F83))</f>
        <v>n/a</v>
      </c>
      <c r="H83" s="11" t="str">
        <f t="shared" si="26"/>
        <v>n/a</v>
      </c>
      <c r="J83" s="5"/>
      <c r="K83" s="5"/>
      <c r="L83" s="5"/>
      <c r="M83" s="5"/>
      <c r="N83" s="5"/>
      <c r="O83" s="8" t="str">
        <f t="shared" si="24"/>
        <v>n/a</v>
      </c>
      <c r="Q83" s="5"/>
      <c r="R83" s="5"/>
      <c r="S83" s="5"/>
      <c r="U83" s="6"/>
      <c r="V83" s="9" t="str">
        <f t="shared" si="27"/>
        <v/>
      </c>
      <c r="W83" s="9" t="str">
        <f t="shared" si="28"/>
        <v/>
      </c>
      <c r="X83" s="10">
        <f>SUM(V$13:V83)/COUNTA(B$13:B83)</f>
        <v>0</v>
      </c>
      <c r="Z83" s="5"/>
      <c r="AA83" s="5"/>
      <c r="AC83" s="7"/>
      <c r="AE83" s="54" t="e">
        <f t="shared" si="29"/>
        <v>#N/A</v>
      </c>
      <c r="AF83" s="4" t="e">
        <f t="shared" si="25"/>
        <v>#N/A</v>
      </c>
    </row>
    <row r="84" spans="2:32">
      <c r="B84" s="5">
        <f t="shared" si="30"/>
        <v>72</v>
      </c>
      <c r="C84" s="5"/>
      <c r="E84" s="13"/>
      <c r="F84" s="5"/>
      <c r="G84" s="11" t="str">
        <f>IF(ISERROR(AVERAGE(F$13:F84)),"n/a",AVERAGE(F$13:F84))</f>
        <v>n/a</v>
      </c>
      <c r="H84" s="11" t="str">
        <f t="shared" si="26"/>
        <v>n/a</v>
      </c>
      <c r="J84" s="5"/>
      <c r="K84" s="5"/>
      <c r="L84" s="5"/>
      <c r="M84" s="5"/>
      <c r="N84" s="5"/>
      <c r="O84" s="8" t="str">
        <f t="shared" si="24"/>
        <v>n/a</v>
      </c>
      <c r="Q84" s="5"/>
      <c r="R84" s="5"/>
      <c r="S84" s="5"/>
      <c r="U84" s="6"/>
      <c r="V84" s="9" t="str">
        <f t="shared" si="27"/>
        <v/>
      </c>
      <c r="W84" s="9" t="str">
        <f t="shared" si="28"/>
        <v/>
      </c>
      <c r="X84" s="10">
        <f>SUM(V$13:V84)/COUNTA(B$13:B84)</f>
        <v>0</v>
      </c>
      <c r="Z84" s="5"/>
      <c r="AA84" s="5"/>
      <c r="AC84" s="7"/>
      <c r="AE84" s="54" t="e">
        <f t="shared" si="29"/>
        <v>#N/A</v>
      </c>
      <c r="AF84" s="4" t="e">
        <f t="shared" si="25"/>
        <v>#N/A</v>
      </c>
    </row>
    <row r="85" spans="2:32">
      <c r="B85" s="5">
        <f t="shared" si="30"/>
        <v>73</v>
      </c>
      <c r="C85" s="5"/>
      <c r="E85" s="13"/>
      <c r="F85" s="5"/>
      <c r="G85" s="11" t="str">
        <f>IF(ISERROR(AVERAGE(F$13:F85)),"n/a",AVERAGE(F$13:F85))</f>
        <v>n/a</v>
      </c>
      <c r="H85" s="11" t="str">
        <f t="shared" si="26"/>
        <v>n/a</v>
      </c>
      <c r="J85" s="5"/>
      <c r="K85" s="5"/>
      <c r="L85" s="5"/>
      <c r="M85" s="5"/>
      <c r="N85" s="5"/>
      <c r="O85" s="8" t="str">
        <f t="shared" si="24"/>
        <v>n/a</v>
      </c>
      <c r="Q85" s="5"/>
      <c r="R85" s="5"/>
      <c r="S85" s="5"/>
      <c r="U85" s="6"/>
      <c r="V85" s="9" t="str">
        <f t="shared" si="27"/>
        <v/>
      </c>
      <c r="W85" s="9" t="str">
        <f t="shared" si="28"/>
        <v/>
      </c>
      <c r="X85" s="10">
        <f>SUM(V$13:V85)/COUNTA(B$13:B85)</f>
        <v>0</v>
      </c>
      <c r="Z85" s="5"/>
      <c r="AA85" s="5"/>
      <c r="AC85" s="7"/>
      <c r="AE85" s="54" t="e">
        <f t="shared" si="29"/>
        <v>#N/A</v>
      </c>
      <c r="AF85" s="4" t="e">
        <f t="shared" si="25"/>
        <v>#N/A</v>
      </c>
    </row>
    <row r="86" spans="2:32">
      <c r="B86" s="5">
        <f t="shared" si="30"/>
        <v>74</v>
      </c>
      <c r="C86" s="5"/>
      <c r="E86" s="13"/>
      <c r="F86" s="5"/>
      <c r="G86" s="11" t="str">
        <f>IF(ISERROR(AVERAGE(F$13:F86)),"n/a",AVERAGE(F$13:F86))</f>
        <v>n/a</v>
      </c>
      <c r="H86" s="11" t="str">
        <f t="shared" si="26"/>
        <v>n/a</v>
      </c>
      <c r="J86" s="5"/>
      <c r="K86" s="5"/>
      <c r="L86" s="5"/>
      <c r="M86" s="5"/>
      <c r="N86" s="5"/>
      <c r="O86" s="8" t="str">
        <f t="shared" si="24"/>
        <v>n/a</v>
      </c>
      <c r="Q86" s="5"/>
      <c r="R86" s="5"/>
      <c r="S86" s="5"/>
      <c r="U86" s="6"/>
      <c r="V86" s="9" t="str">
        <f t="shared" si="27"/>
        <v/>
      </c>
      <c r="W86" s="9" t="str">
        <f t="shared" si="28"/>
        <v/>
      </c>
      <c r="X86" s="10">
        <f>SUM(V$13:V86)/COUNTA(B$13:B86)</f>
        <v>0</v>
      </c>
      <c r="Z86" s="5"/>
      <c r="AA86" s="5"/>
      <c r="AC86" s="7"/>
      <c r="AE86" s="54" t="e">
        <f t="shared" si="29"/>
        <v>#N/A</v>
      </c>
      <c r="AF86" s="4" t="e">
        <f t="shared" si="25"/>
        <v>#N/A</v>
      </c>
    </row>
    <row r="87" spans="2:32">
      <c r="B87" s="5">
        <f t="shared" si="30"/>
        <v>75</v>
      </c>
      <c r="C87" s="5"/>
      <c r="E87" s="13"/>
      <c r="F87" s="5"/>
      <c r="G87" s="11" t="str">
        <f>IF(ISERROR(AVERAGE(F$13:F87)),"n/a",AVERAGE(F$13:F87))</f>
        <v>n/a</v>
      </c>
      <c r="H87" s="11" t="str">
        <f t="shared" si="26"/>
        <v>n/a</v>
      </c>
      <c r="J87" s="5"/>
      <c r="K87" s="5"/>
      <c r="L87" s="5"/>
      <c r="M87" s="5"/>
      <c r="N87" s="5"/>
      <c r="O87" s="8" t="str">
        <f t="shared" si="24"/>
        <v>n/a</v>
      </c>
      <c r="Q87" s="5"/>
      <c r="R87" s="5"/>
      <c r="S87" s="5"/>
      <c r="U87" s="6"/>
      <c r="V87" s="9" t="str">
        <f t="shared" si="27"/>
        <v/>
      </c>
      <c r="W87" s="9" t="str">
        <f t="shared" si="28"/>
        <v/>
      </c>
      <c r="X87" s="10">
        <f>SUM(V$13:V87)/COUNTA(B$13:B87)</f>
        <v>0</v>
      </c>
      <c r="Z87" s="5"/>
      <c r="AA87" s="5"/>
      <c r="AC87" s="7"/>
      <c r="AE87" s="54" t="e">
        <f t="shared" si="29"/>
        <v>#N/A</v>
      </c>
      <c r="AF87" s="4" t="e">
        <f t="shared" si="25"/>
        <v>#N/A</v>
      </c>
    </row>
    <row r="88" spans="2:32">
      <c r="B88" s="5">
        <f t="shared" si="30"/>
        <v>76</v>
      </c>
      <c r="C88" s="5"/>
      <c r="E88" s="13"/>
      <c r="F88" s="5"/>
      <c r="G88" s="11" t="str">
        <f>IF(ISERROR(AVERAGE(F$13:F88)),"n/a",AVERAGE(F$13:F88))</f>
        <v>n/a</v>
      </c>
      <c r="H88" s="11" t="str">
        <f t="shared" si="26"/>
        <v>n/a</v>
      </c>
      <c r="J88" s="5"/>
      <c r="K88" s="5"/>
      <c r="L88" s="5"/>
      <c r="M88" s="5"/>
      <c r="N88" s="5"/>
      <c r="O88" s="8" t="str">
        <f t="shared" si="24"/>
        <v>n/a</v>
      </c>
      <c r="Q88" s="5"/>
      <c r="R88" s="5"/>
      <c r="S88" s="5"/>
      <c r="U88" s="6"/>
      <c r="V88" s="9" t="str">
        <f t="shared" si="27"/>
        <v/>
      </c>
      <c r="W88" s="9" t="str">
        <f t="shared" si="28"/>
        <v/>
      </c>
      <c r="X88" s="10">
        <f>SUM(V$13:V88)/COUNTA(B$13:B88)</f>
        <v>0</v>
      </c>
      <c r="Z88" s="5"/>
      <c r="AA88" s="5"/>
      <c r="AC88" s="7"/>
      <c r="AE88" s="54" t="e">
        <f t="shared" si="29"/>
        <v>#N/A</v>
      </c>
      <c r="AF88" s="4" t="e">
        <f t="shared" si="25"/>
        <v>#N/A</v>
      </c>
    </row>
    <row r="89" spans="2:32">
      <c r="B89" s="5">
        <f t="shared" si="30"/>
        <v>77</v>
      </c>
      <c r="C89" s="5"/>
      <c r="E89" s="13"/>
      <c r="F89" s="5"/>
      <c r="G89" s="11" t="str">
        <f>IF(ISERROR(AVERAGE(F$13:F89)),"n/a",AVERAGE(F$13:F89))</f>
        <v>n/a</v>
      </c>
      <c r="H89" s="11" t="str">
        <f t="shared" si="26"/>
        <v>n/a</v>
      </c>
      <c r="J89" s="5"/>
      <c r="K89" s="5"/>
      <c r="L89" s="5"/>
      <c r="M89" s="5"/>
      <c r="N89" s="5"/>
      <c r="O89" s="8" t="str">
        <f t="shared" si="24"/>
        <v>n/a</v>
      </c>
      <c r="Q89" s="5"/>
      <c r="R89" s="5"/>
      <c r="S89" s="5"/>
      <c r="U89" s="6"/>
      <c r="V89" s="9" t="str">
        <f t="shared" si="27"/>
        <v/>
      </c>
      <c r="W89" s="9" t="str">
        <f t="shared" si="28"/>
        <v/>
      </c>
      <c r="X89" s="10">
        <f>SUM(V$13:V89)/COUNTA(B$13:B89)</f>
        <v>0</v>
      </c>
      <c r="Z89" s="5"/>
      <c r="AA89" s="5"/>
      <c r="AC89" s="7"/>
      <c r="AE89" s="54" t="e">
        <f t="shared" si="29"/>
        <v>#N/A</v>
      </c>
      <c r="AF89" s="4" t="e">
        <f t="shared" si="25"/>
        <v>#N/A</v>
      </c>
    </row>
    <row r="90" spans="2:32">
      <c r="B90" s="5">
        <f t="shared" si="30"/>
        <v>78</v>
      </c>
      <c r="C90" s="5"/>
      <c r="E90" s="13"/>
      <c r="F90" s="5"/>
      <c r="G90" s="11" t="str">
        <f>IF(ISERROR(AVERAGE(F$13:F90)),"n/a",AVERAGE(F$13:F90))</f>
        <v>n/a</v>
      </c>
      <c r="H90" s="11" t="str">
        <f t="shared" si="26"/>
        <v>n/a</v>
      </c>
      <c r="J90" s="5"/>
      <c r="K90" s="5"/>
      <c r="L90" s="5"/>
      <c r="M90" s="5"/>
      <c r="N90" s="5"/>
      <c r="O90" s="8" t="str">
        <f t="shared" si="24"/>
        <v>n/a</v>
      </c>
      <c r="Q90" s="5"/>
      <c r="R90" s="5"/>
      <c r="S90" s="5"/>
      <c r="U90" s="6"/>
      <c r="V90" s="9" t="str">
        <f t="shared" si="27"/>
        <v/>
      </c>
      <c r="W90" s="9" t="str">
        <f t="shared" si="28"/>
        <v/>
      </c>
      <c r="X90" s="10">
        <f>SUM(V$13:V90)/COUNTA(B$13:B90)</f>
        <v>0</v>
      </c>
      <c r="Z90" s="5"/>
      <c r="AA90" s="5"/>
      <c r="AC90" s="7"/>
      <c r="AE90" s="54" t="e">
        <f t="shared" si="29"/>
        <v>#N/A</v>
      </c>
      <c r="AF90" s="4" t="e">
        <f t="shared" si="25"/>
        <v>#N/A</v>
      </c>
    </row>
    <row r="91" spans="2:32">
      <c r="B91" s="5">
        <f t="shared" si="30"/>
        <v>79</v>
      </c>
      <c r="C91" s="5"/>
      <c r="E91" s="13"/>
      <c r="F91" s="5"/>
      <c r="G91" s="11" t="str">
        <f>IF(ISERROR(AVERAGE(F$13:F91)),"n/a",AVERAGE(F$13:F91))</f>
        <v>n/a</v>
      </c>
      <c r="H91" s="11" t="str">
        <f t="shared" si="26"/>
        <v>n/a</v>
      </c>
      <c r="J91" s="5"/>
      <c r="K91" s="5"/>
      <c r="L91" s="5"/>
      <c r="M91" s="5"/>
      <c r="N91" s="5"/>
      <c r="O91" s="8" t="str">
        <f t="shared" si="24"/>
        <v>n/a</v>
      </c>
      <c r="Q91" s="5"/>
      <c r="R91" s="5"/>
      <c r="S91" s="5"/>
      <c r="U91" s="6"/>
      <c r="V91" s="9" t="str">
        <f t="shared" si="27"/>
        <v/>
      </c>
      <c r="W91" s="9" t="str">
        <f t="shared" si="28"/>
        <v/>
      </c>
      <c r="X91" s="10">
        <f>SUM(V$13:V91)/COUNTA(B$13:B91)</f>
        <v>0</v>
      </c>
      <c r="Z91" s="5"/>
      <c r="AA91" s="5"/>
      <c r="AC91" s="7"/>
      <c r="AE91" s="54" t="e">
        <f t="shared" si="29"/>
        <v>#N/A</v>
      </c>
      <c r="AF91" s="4" t="e">
        <f t="shared" si="25"/>
        <v>#N/A</v>
      </c>
    </row>
    <row r="92" spans="2:32">
      <c r="B92" s="5">
        <f t="shared" si="30"/>
        <v>80</v>
      </c>
      <c r="C92" s="5"/>
      <c r="E92" s="13"/>
      <c r="F92" s="5"/>
      <c r="G92" s="11" t="str">
        <f>IF(ISERROR(AVERAGE(F$13:F92)),"n/a",AVERAGE(F$13:F92))</f>
        <v>n/a</v>
      </c>
      <c r="H92" s="11" t="str">
        <f t="shared" si="26"/>
        <v>n/a</v>
      </c>
      <c r="J92" s="5"/>
      <c r="K92" s="5"/>
      <c r="L92" s="5"/>
      <c r="M92" s="5"/>
      <c r="N92" s="5"/>
      <c r="O92" s="8" t="str">
        <f t="shared" si="24"/>
        <v>n/a</v>
      </c>
      <c r="Q92" s="5"/>
      <c r="R92" s="5"/>
      <c r="S92" s="5"/>
      <c r="U92" s="6"/>
      <c r="V92" s="9" t="str">
        <f t="shared" si="27"/>
        <v/>
      </c>
      <c r="W92" s="9" t="str">
        <f t="shared" si="28"/>
        <v/>
      </c>
      <c r="X92" s="10">
        <f>SUM(V$13:V92)/COUNTA(B$13:B92)</f>
        <v>0</v>
      </c>
      <c r="Z92" s="5"/>
      <c r="AA92" s="5"/>
      <c r="AC92" s="7"/>
      <c r="AE92" s="54" t="e">
        <f t="shared" si="29"/>
        <v>#N/A</v>
      </c>
      <c r="AF92" s="4" t="e">
        <f t="shared" si="25"/>
        <v>#N/A</v>
      </c>
    </row>
    <row r="93" spans="2:32">
      <c r="B93" s="5">
        <f t="shared" si="30"/>
        <v>81</v>
      </c>
      <c r="C93" s="5"/>
      <c r="E93" s="13"/>
      <c r="F93" s="5"/>
      <c r="G93" s="11" t="str">
        <f>IF(ISERROR(AVERAGE(F$13:F93)),"n/a",AVERAGE(F$13:F93))</f>
        <v>n/a</v>
      </c>
      <c r="H93" s="11" t="str">
        <f t="shared" si="26"/>
        <v>n/a</v>
      </c>
      <c r="J93" s="5"/>
      <c r="K93" s="5"/>
      <c r="L93" s="5"/>
      <c r="M93" s="5"/>
      <c r="N93" s="5"/>
      <c r="O93" s="8" t="str">
        <f t="shared" si="24"/>
        <v>n/a</v>
      </c>
      <c r="Q93" s="5"/>
      <c r="R93" s="5"/>
      <c r="S93" s="5"/>
      <c r="U93" s="6"/>
      <c r="V93" s="9" t="str">
        <f t="shared" si="27"/>
        <v/>
      </c>
      <c r="W93" s="9" t="str">
        <f t="shared" si="28"/>
        <v/>
      </c>
      <c r="X93" s="10">
        <f>SUM(V$13:V93)/COUNTA(B$13:B93)</f>
        <v>0</v>
      </c>
      <c r="Z93" s="5"/>
      <c r="AA93" s="5"/>
      <c r="AC93" s="7"/>
      <c r="AE93" s="54" t="e">
        <f t="shared" si="29"/>
        <v>#N/A</v>
      </c>
      <c r="AF93" s="4" t="e">
        <f t="shared" si="25"/>
        <v>#N/A</v>
      </c>
    </row>
    <row r="94" spans="2:32">
      <c r="B94" s="5">
        <f t="shared" si="30"/>
        <v>82</v>
      </c>
      <c r="C94" s="5"/>
      <c r="E94" s="13"/>
      <c r="F94" s="5"/>
      <c r="G94" s="11" t="str">
        <f>IF(ISERROR(AVERAGE(F$13:F94)),"n/a",AVERAGE(F$13:F94))</f>
        <v>n/a</v>
      </c>
      <c r="H94" s="11" t="str">
        <f t="shared" si="26"/>
        <v>n/a</v>
      </c>
      <c r="J94" s="5"/>
      <c r="K94" s="5"/>
      <c r="L94" s="5"/>
      <c r="M94" s="5"/>
      <c r="N94" s="5"/>
      <c r="O94" s="8" t="str">
        <f t="shared" si="24"/>
        <v>n/a</v>
      </c>
      <c r="Q94" s="5"/>
      <c r="R94" s="5"/>
      <c r="S94" s="5"/>
      <c r="U94" s="6"/>
      <c r="V94" s="9" t="str">
        <f t="shared" si="27"/>
        <v/>
      </c>
      <c r="W94" s="9" t="str">
        <f t="shared" si="28"/>
        <v/>
      </c>
      <c r="X94" s="10">
        <f>SUM(V$13:V94)/COUNTA(B$13:B94)</f>
        <v>0</v>
      </c>
      <c r="Z94" s="5"/>
      <c r="AA94" s="5"/>
      <c r="AC94" s="7"/>
      <c r="AE94" s="54" t="e">
        <f t="shared" si="29"/>
        <v>#N/A</v>
      </c>
      <c r="AF94" s="4" t="e">
        <f t="shared" si="25"/>
        <v>#N/A</v>
      </c>
    </row>
    <row r="95" spans="2:32">
      <c r="B95" s="5">
        <f t="shared" si="30"/>
        <v>83</v>
      </c>
      <c r="C95" s="5"/>
      <c r="E95" s="13"/>
      <c r="F95" s="5"/>
      <c r="G95" s="11" t="str">
        <f>IF(ISERROR(AVERAGE(F$13:F95)),"n/a",AVERAGE(F$13:F95))</f>
        <v>n/a</v>
      </c>
      <c r="H95" s="11" t="str">
        <f t="shared" si="26"/>
        <v>n/a</v>
      </c>
      <c r="J95" s="5"/>
      <c r="K95" s="5"/>
      <c r="L95" s="5"/>
      <c r="M95" s="5"/>
      <c r="N95" s="5"/>
      <c r="O95" s="8" t="str">
        <f t="shared" si="24"/>
        <v>n/a</v>
      </c>
      <c r="Q95" s="5"/>
      <c r="R95" s="5"/>
      <c r="S95" s="5"/>
      <c r="U95" s="6"/>
      <c r="V95" s="9" t="str">
        <f t="shared" si="27"/>
        <v/>
      </c>
      <c r="W95" s="9" t="str">
        <f t="shared" si="28"/>
        <v/>
      </c>
      <c r="X95" s="10">
        <f>SUM(V$13:V95)/COUNTA(B$13:B95)</f>
        <v>0</v>
      </c>
      <c r="Z95" s="5"/>
      <c r="AA95" s="5"/>
      <c r="AC95" s="7"/>
      <c r="AE95" s="54" t="e">
        <f t="shared" si="29"/>
        <v>#N/A</v>
      </c>
      <c r="AF95" s="4" t="e">
        <f t="shared" si="25"/>
        <v>#N/A</v>
      </c>
    </row>
    <row r="96" spans="2:32">
      <c r="B96" s="5">
        <f t="shared" si="30"/>
        <v>84</v>
      </c>
      <c r="C96" s="5"/>
      <c r="E96" s="13"/>
      <c r="F96" s="5"/>
      <c r="G96" s="11" t="str">
        <f>IF(ISERROR(AVERAGE(F$13:F96)),"n/a",AVERAGE(F$13:F96))</f>
        <v>n/a</v>
      </c>
      <c r="H96" s="11" t="str">
        <f t="shared" si="26"/>
        <v>n/a</v>
      </c>
      <c r="J96" s="5"/>
      <c r="K96" s="5"/>
      <c r="L96" s="5"/>
      <c r="M96" s="5"/>
      <c r="N96" s="5"/>
      <c r="O96" s="8" t="str">
        <f t="shared" si="24"/>
        <v>n/a</v>
      </c>
      <c r="Q96" s="5"/>
      <c r="R96" s="5"/>
      <c r="S96" s="5"/>
      <c r="U96" s="6"/>
      <c r="V96" s="9" t="str">
        <f t="shared" si="27"/>
        <v/>
      </c>
      <c r="W96" s="9" t="str">
        <f t="shared" si="28"/>
        <v/>
      </c>
      <c r="X96" s="10">
        <f>SUM(V$13:V96)/COUNTA(B$13:B96)</f>
        <v>0</v>
      </c>
      <c r="Z96" s="5"/>
      <c r="AA96" s="5"/>
      <c r="AC96" s="7"/>
      <c r="AE96" s="54" t="e">
        <f t="shared" si="29"/>
        <v>#N/A</v>
      </c>
      <c r="AF96" s="4" t="e">
        <f t="shared" si="25"/>
        <v>#N/A</v>
      </c>
    </row>
    <row r="97" spans="2:32">
      <c r="B97" s="5">
        <f t="shared" si="30"/>
        <v>85</v>
      </c>
      <c r="C97" s="5"/>
      <c r="E97" s="13"/>
      <c r="F97" s="5"/>
      <c r="G97" s="11" t="str">
        <f>IF(ISERROR(AVERAGE(F$13:F97)),"n/a",AVERAGE(F$13:F97))</f>
        <v>n/a</v>
      </c>
      <c r="H97" s="11" t="str">
        <f t="shared" si="26"/>
        <v>n/a</v>
      </c>
      <c r="J97" s="5"/>
      <c r="K97" s="5"/>
      <c r="L97" s="5"/>
      <c r="M97" s="5"/>
      <c r="N97" s="5"/>
      <c r="O97" s="8" t="str">
        <f t="shared" si="24"/>
        <v>n/a</v>
      </c>
      <c r="Q97" s="5"/>
      <c r="R97" s="5"/>
      <c r="S97" s="5"/>
      <c r="U97" s="6"/>
      <c r="V97" s="9" t="str">
        <f t="shared" si="27"/>
        <v/>
      </c>
      <c r="W97" s="9" t="str">
        <f t="shared" si="28"/>
        <v/>
      </c>
      <c r="X97" s="10">
        <f>SUM(V$13:V97)/COUNTA(B$13:B97)</f>
        <v>0</v>
      </c>
      <c r="Z97" s="5"/>
      <c r="AA97" s="5"/>
      <c r="AC97" s="7"/>
      <c r="AE97" s="54" t="e">
        <f t="shared" si="29"/>
        <v>#N/A</v>
      </c>
      <c r="AF97" s="4" t="e">
        <f t="shared" si="25"/>
        <v>#N/A</v>
      </c>
    </row>
    <row r="98" spans="2:32">
      <c r="B98" s="5">
        <f t="shared" si="30"/>
        <v>86</v>
      </c>
      <c r="C98" s="5"/>
      <c r="E98" s="13"/>
      <c r="F98" s="5"/>
      <c r="G98" s="11" t="str">
        <f>IF(ISERROR(AVERAGE(F$13:F98)),"n/a",AVERAGE(F$13:F98))</f>
        <v>n/a</v>
      </c>
      <c r="H98" s="11" t="str">
        <f t="shared" si="26"/>
        <v>n/a</v>
      </c>
      <c r="J98" s="5"/>
      <c r="K98" s="5"/>
      <c r="L98" s="5"/>
      <c r="M98" s="5"/>
      <c r="N98" s="5"/>
      <c r="O98" s="8" t="str">
        <f t="shared" si="24"/>
        <v>n/a</v>
      </c>
      <c r="Q98" s="5"/>
      <c r="R98" s="5"/>
      <c r="S98" s="5"/>
      <c r="U98" s="6"/>
      <c r="V98" s="9" t="str">
        <f t="shared" si="27"/>
        <v/>
      </c>
      <c r="W98" s="9" t="str">
        <f t="shared" si="28"/>
        <v/>
      </c>
      <c r="X98" s="10">
        <f>SUM(V$13:V98)/COUNTA(B$13:B98)</f>
        <v>0</v>
      </c>
      <c r="Z98" s="5"/>
      <c r="AA98" s="5"/>
      <c r="AC98" s="7"/>
      <c r="AE98" s="54" t="e">
        <f t="shared" si="29"/>
        <v>#N/A</v>
      </c>
      <c r="AF98" s="4" t="e">
        <f t="shared" si="25"/>
        <v>#N/A</v>
      </c>
    </row>
    <row r="99" spans="2:32">
      <c r="B99" s="5">
        <f t="shared" si="30"/>
        <v>87</v>
      </c>
      <c r="C99" s="5"/>
      <c r="E99" s="13"/>
      <c r="F99" s="5"/>
      <c r="G99" s="11" t="str">
        <f>IF(ISERROR(AVERAGE(F$13:F99)),"n/a",AVERAGE(F$13:F99))</f>
        <v>n/a</v>
      </c>
      <c r="H99" s="11" t="str">
        <f t="shared" si="26"/>
        <v>n/a</v>
      </c>
      <c r="J99" s="5"/>
      <c r="K99" s="5"/>
      <c r="L99" s="5"/>
      <c r="M99" s="5"/>
      <c r="N99" s="5"/>
      <c r="O99" s="8" t="str">
        <f t="shared" si="24"/>
        <v>n/a</v>
      </c>
      <c r="Q99" s="5"/>
      <c r="R99" s="5"/>
      <c r="S99" s="5"/>
      <c r="U99" s="6"/>
      <c r="V99" s="9" t="str">
        <f t="shared" si="27"/>
        <v/>
      </c>
      <c r="W99" s="9" t="str">
        <f t="shared" si="28"/>
        <v/>
      </c>
      <c r="X99" s="10">
        <f>SUM(V$13:V99)/COUNTA(B$13:B99)</f>
        <v>0</v>
      </c>
      <c r="Z99" s="5"/>
      <c r="AA99" s="5"/>
      <c r="AC99" s="7"/>
      <c r="AE99" s="54" t="e">
        <f t="shared" si="29"/>
        <v>#N/A</v>
      </c>
      <c r="AF99" s="4" t="e">
        <f t="shared" si="25"/>
        <v>#N/A</v>
      </c>
    </row>
    <row r="100" spans="2:32">
      <c r="B100" s="5">
        <f t="shared" si="30"/>
        <v>88</v>
      </c>
      <c r="C100" s="5"/>
      <c r="E100" s="13"/>
      <c r="F100" s="5"/>
      <c r="G100" s="11" t="str">
        <f>IF(ISERROR(AVERAGE(F$13:F100)),"n/a",AVERAGE(F$13:F100))</f>
        <v>n/a</v>
      </c>
      <c r="H100" s="11" t="str">
        <f t="shared" si="26"/>
        <v>n/a</v>
      </c>
      <c r="J100" s="5"/>
      <c r="K100" s="5"/>
      <c r="L100" s="5"/>
      <c r="M100" s="5"/>
      <c r="N100" s="5"/>
      <c r="O100" s="8" t="str">
        <f t="shared" si="24"/>
        <v>n/a</v>
      </c>
      <c r="Q100" s="5"/>
      <c r="R100" s="5"/>
      <c r="S100" s="5"/>
      <c r="U100" s="6"/>
      <c r="V100" s="9" t="str">
        <f t="shared" si="27"/>
        <v/>
      </c>
      <c r="W100" s="9" t="str">
        <f t="shared" si="28"/>
        <v/>
      </c>
      <c r="X100" s="10">
        <f>SUM(V$13:V100)/COUNTA(B$13:B100)</f>
        <v>0</v>
      </c>
      <c r="Z100" s="5"/>
      <c r="AA100" s="5"/>
      <c r="AC100" s="7"/>
      <c r="AE100" s="54" t="e">
        <f t="shared" si="29"/>
        <v>#N/A</v>
      </c>
      <c r="AF100" s="4" t="e">
        <f t="shared" si="25"/>
        <v>#N/A</v>
      </c>
    </row>
    <row r="101" spans="2:32">
      <c r="B101" s="5">
        <f t="shared" si="30"/>
        <v>89</v>
      </c>
      <c r="C101" s="5"/>
      <c r="E101" s="13"/>
      <c r="F101" s="5"/>
      <c r="G101" s="11" t="str">
        <f>IF(ISERROR(AVERAGE(F$13:F101)),"n/a",AVERAGE(F$13:F101))</f>
        <v>n/a</v>
      </c>
      <c r="H101" s="11" t="str">
        <f t="shared" si="26"/>
        <v>n/a</v>
      </c>
      <c r="J101" s="5"/>
      <c r="K101" s="5"/>
      <c r="L101" s="5"/>
      <c r="M101" s="5"/>
      <c r="N101" s="5"/>
      <c r="O101" s="8" t="str">
        <f t="shared" si="24"/>
        <v>n/a</v>
      </c>
      <c r="Q101" s="5"/>
      <c r="R101" s="5"/>
      <c r="S101" s="5"/>
      <c r="U101" s="6"/>
      <c r="V101" s="9" t="str">
        <f t="shared" si="27"/>
        <v/>
      </c>
      <c r="W101" s="9" t="str">
        <f t="shared" si="28"/>
        <v/>
      </c>
      <c r="X101" s="10">
        <f>SUM(V$13:V101)/COUNTA(B$13:B101)</f>
        <v>0</v>
      </c>
      <c r="Z101" s="5"/>
      <c r="AA101" s="5"/>
      <c r="AC101" s="7"/>
      <c r="AE101" s="54" t="e">
        <f t="shared" si="29"/>
        <v>#N/A</v>
      </c>
      <c r="AF101" s="4" t="e">
        <f t="shared" si="25"/>
        <v>#N/A</v>
      </c>
    </row>
    <row r="102" spans="2:32">
      <c r="B102" s="5">
        <f t="shared" si="30"/>
        <v>90</v>
      </c>
      <c r="C102" s="5"/>
      <c r="E102" s="13"/>
      <c r="F102" s="5"/>
      <c r="G102" s="11" t="str">
        <f>IF(ISERROR(AVERAGE(F$13:F102)),"n/a",AVERAGE(F$13:F102))</f>
        <v>n/a</v>
      </c>
      <c r="H102" s="11" t="str">
        <f t="shared" si="26"/>
        <v>n/a</v>
      </c>
      <c r="J102" s="5"/>
      <c r="K102" s="5"/>
      <c r="L102" s="5"/>
      <c r="M102" s="5"/>
      <c r="N102" s="5"/>
      <c r="O102" s="8" t="str">
        <f t="shared" si="24"/>
        <v>n/a</v>
      </c>
      <c r="Q102" s="5"/>
      <c r="R102" s="5"/>
      <c r="S102" s="5"/>
      <c r="U102" s="6"/>
      <c r="V102" s="9" t="str">
        <f t="shared" si="27"/>
        <v/>
      </c>
      <c r="W102" s="9" t="str">
        <f t="shared" si="28"/>
        <v/>
      </c>
      <c r="X102" s="10">
        <f>SUM(V$13:V102)/COUNTA(B$13:B102)</f>
        <v>0</v>
      </c>
      <c r="Z102" s="5"/>
      <c r="AA102" s="5"/>
      <c r="AC102" s="7"/>
      <c r="AE102" s="54" t="e">
        <f t="shared" si="29"/>
        <v>#N/A</v>
      </c>
      <c r="AF102" s="4" t="e">
        <f t="shared" si="25"/>
        <v>#N/A</v>
      </c>
    </row>
    <row r="103" spans="2:32">
      <c r="B103" s="5">
        <f t="shared" si="30"/>
        <v>91</v>
      </c>
      <c r="C103" s="5"/>
      <c r="E103" s="13"/>
      <c r="F103" s="5"/>
      <c r="G103" s="11" t="str">
        <f>IF(ISERROR(AVERAGE(F$13:F103)),"n/a",AVERAGE(F$13:F103))</f>
        <v>n/a</v>
      </c>
      <c r="H103" s="11" t="str">
        <f t="shared" si="26"/>
        <v>n/a</v>
      </c>
      <c r="J103" s="5"/>
      <c r="K103" s="5"/>
      <c r="L103" s="5"/>
      <c r="M103" s="5"/>
      <c r="N103" s="5"/>
      <c r="O103" s="8" t="str">
        <f t="shared" si="24"/>
        <v>n/a</v>
      </c>
      <c r="Q103" s="5"/>
      <c r="R103" s="5"/>
      <c r="S103" s="5"/>
      <c r="U103" s="6"/>
      <c r="V103" s="9" t="str">
        <f t="shared" si="27"/>
        <v/>
      </c>
      <c r="W103" s="9" t="str">
        <f t="shared" si="28"/>
        <v/>
      </c>
      <c r="X103" s="10">
        <f>SUM(V$13:V103)/COUNTA(B$13:B103)</f>
        <v>0</v>
      </c>
      <c r="Z103" s="5"/>
      <c r="AA103" s="5"/>
      <c r="AC103" s="7"/>
      <c r="AE103" s="54" t="e">
        <f t="shared" si="29"/>
        <v>#N/A</v>
      </c>
      <c r="AF103" s="4" t="e">
        <f t="shared" si="25"/>
        <v>#N/A</v>
      </c>
    </row>
    <row r="104" spans="2:32">
      <c r="B104" s="5">
        <f t="shared" si="30"/>
        <v>92</v>
      </c>
      <c r="C104" s="5"/>
      <c r="E104" s="13"/>
      <c r="F104" s="5"/>
      <c r="G104" s="11" t="str">
        <f>IF(ISERROR(AVERAGE(F$13:F104)),"n/a",AVERAGE(F$13:F104))</f>
        <v>n/a</v>
      </c>
      <c r="H104" s="11" t="str">
        <f t="shared" si="26"/>
        <v>n/a</v>
      </c>
      <c r="J104" s="5"/>
      <c r="K104" s="5"/>
      <c r="L104" s="5"/>
      <c r="M104" s="5"/>
      <c r="N104" s="5"/>
      <c r="O104" s="8" t="str">
        <f t="shared" si="24"/>
        <v>n/a</v>
      </c>
      <c r="Q104" s="5"/>
      <c r="R104" s="5"/>
      <c r="S104" s="5"/>
      <c r="U104" s="6"/>
      <c r="V104" s="9" t="str">
        <f t="shared" si="27"/>
        <v/>
      </c>
      <c r="W104" s="9" t="str">
        <f t="shared" si="28"/>
        <v/>
      </c>
      <c r="X104" s="10">
        <f>SUM(V$13:V104)/COUNTA(B$13:B104)</f>
        <v>0</v>
      </c>
      <c r="Z104" s="5"/>
      <c r="AA104" s="5"/>
      <c r="AC104" s="7"/>
      <c r="AE104" s="54" t="e">
        <f t="shared" si="29"/>
        <v>#N/A</v>
      </c>
      <c r="AF104" s="4" t="e">
        <f t="shared" si="25"/>
        <v>#N/A</v>
      </c>
    </row>
    <row r="105" spans="2:32">
      <c r="B105" s="5">
        <f t="shared" si="30"/>
        <v>93</v>
      </c>
      <c r="C105" s="5"/>
      <c r="E105" s="13"/>
      <c r="F105" s="5"/>
      <c r="G105" s="11" t="str">
        <f>IF(ISERROR(AVERAGE(F$13:F105)),"n/a",AVERAGE(F$13:F105))</f>
        <v>n/a</v>
      </c>
      <c r="H105" s="11" t="str">
        <f t="shared" si="26"/>
        <v>n/a</v>
      </c>
      <c r="J105" s="5"/>
      <c r="K105" s="5"/>
      <c r="L105" s="5"/>
      <c r="M105" s="5"/>
      <c r="N105" s="5"/>
      <c r="O105" s="8" t="str">
        <f t="shared" si="24"/>
        <v>n/a</v>
      </c>
      <c r="Q105" s="5"/>
      <c r="R105" s="5"/>
      <c r="S105" s="5"/>
      <c r="U105" s="6"/>
      <c r="V105" s="9" t="str">
        <f t="shared" si="27"/>
        <v/>
      </c>
      <c r="W105" s="9" t="str">
        <f t="shared" si="28"/>
        <v/>
      </c>
      <c r="X105" s="10">
        <f>SUM(V$13:V105)/COUNTA(B$13:B105)</f>
        <v>0</v>
      </c>
      <c r="Z105" s="5"/>
      <c r="AA105" s="5"/>
      <c r="AC105" s="7"/>
      <c r="AE105" s="54" t="e">
        <f t="shared" si="29"/>
        <v>#N/A</v>
      </c>
      <c r="AF105" s="4" t="e">
        <f t="shared" si="25"/>
        <v>#N/A</v>
      </c>
    </row>
    <row r="106" spans="2:32">
      <c r="B106" s="5">
        <f t="shared" si="30"/>
        <v>94</v>
      </c>
      <c r="C106" s="5"/>
      <c r="E106" s="13"/>
      <c r="F106" s="5"/>
      <c r="G106" s="11" t="str">
        <f>IF(ISERROR(AVERAGE(F$13:F106)),"n/a",AVERAGE(F$13:F106))</f>
        <v>n/a</v>
      </c>
      <c r="H106" s="11" t="str">
        <f t="shared" si="26"/>
        <v>n/a</v>
      </c>
      <c r="J106" s="5"/>
      <c r="K106" s="5"/>
      <c r="L106" s="5"/>
      <c r="M106" s="5"/>
      <c r="N106" s="5"/>
      <c r="O106" s="8" t="str">
        <f t="shared" si="24"/>
        <v>n/a</v>
      </c>
      <c r="Q106" s="5"/>
      <c r="R106" s="5"/>
      <c r="S106" s="5"/>
      <c r="U106" s="6"/>
      <c r="V106" s="9" t="str">
        <f t="shared" si="27"/>
        <v/>
      </c>
      <c r="W106" s="9" t="str">
        <f t="shared" si="28"/>
        <v/>
      </c>
      <c r="X106" s="10">
        <f>SUM(V$13:V106)/COUNTA(B$13:B106)</f>
        <v>0</v>
      </c>
      <c r="Z106" s="5"/>
      <c r="AA106" s="5"/>
      <c r="AC106" s="7"/>
      <c r="AE106" s="54" t="e">
        <f t="shared" si="29"/>
        <v>#N/A</v>
      </c>
      <c r="AF106" s="4" t="e">
        <f t="shared" si="25"/>
        <v>#N/A</v>
      </c>
    </row>
    <row r="107" spans="2:32">
      <c r="B107" s="5">
        <f t="shared" si="30"/>
        <v>95</v>
      </c>
      <c r="C107" s="5"/>
      <c r="E107" s="13"/>
      <c r="F107" s="5"/>
      <c r="G107" s="11" t="str">
        <f>IF(ISERROR(AVERAGE(F$13:F107)),"n/a",AVERAGE(F$13:F107))</f>
        <v>n/a</v>
      </c>
      <c r="H107" s="11" t="str">
        <f t="shared" si="26"/>
        <v>n/a</v>
      </c>
      <c r="J107" s="5"/>
      <c r="K107" s="5"/>
      <c r="L107" s="5"/>
      <c r="M107" s="5"/>
      <c r="N107" s="5"/>
      <c r="O107" s="8" t="str">
        <f t="shared" si="24"/>
        <v>n/a</v>
      </c>
      <c r="Q107" s="5"/>
      <c r="R107" s="5"/>
      <c r="S107" s="5"/>
      <c r="U107" s="6"/>
      <c r="V107" s="9" t="str">
        <f t="shared" si="27"/>
        <v/>
      </c>
      <c r="W107" s="9" t="str">
        <f t="shared" si="28"/>
        <v/>
      </c>
      <c r="X107" s="10">
        <f>SUM(V$13:V107)/COUNTA(B$13:B107)</f>
        <v>0</v>
      </c>
      <c r="Z107" s="5"/>
      <c r="AA107" s="5"/>
      <c r="AC107" s="7"/>
      <c r="AE107" s="54" t="e">
        <f t="shared" si="29"/>
        <v>#N/A</v>
      </c>
      <c r="AF107" s="4" t="e">
        <f t="shared" si="25"/>
        <v>#N/A</v>
      </c>
    </row>
    <row r="108" spans="2:32">
      <c r="B108" s="5">
        <f t="shared" si="30"/>
        <v>96</v>
      </c>
      <c r="C108" s="5"/>
      <c r="E108" s="13"/>
      <c r="F108" s="5"/>
      <c r="G108" s="11" t="str">
        <f>IF(ISERROR(AVERAGE(F$13:F108)),"n/a",AVERAGE(F$13:F108))</f>
        <v>n/a</v>
      </c>
      <c r="H108" s="11" t="str">
        <f t="shared" si="26"/>
        <v>n/a</v>
      </c>
      <c r="J108" s="5"/>
      <c r="K108" s="5"/>
      <c r="L108" s="5"/>
      <c r="M108" s="5"/>
      <c r="N108" s="5"/>
      <c r="O108" s="8" t="str">
        <f t="shared" si="24"/>
        <v>n/a</v>
      </c>
      <c r="Q108" s="5"/>
      <c r="R108" s="5"/>
      <c r="S108" s="5"/>
      <c r="U108" s="6"/>
      <c r="V108" s="9" t="str">
        <f t="shared" si="27"/>
        <v/>
      </c>
      <c r="W108" s="9" t="str">
        <f t="shared" si="28"/>
        <v/>
      </c>
      <c r="X108" s="10">
        <f>SUM(V$13:V108)/COUNTA(B$13:B108)</f>
        <v>0</v>
      </c>
      <c r="Z108" s="5"/>
      <c r="AA108" s="5"/>
      <c r="AC108" s="7"/>
      <c r="AE108" s="54" t="e">
        <f t="shared" si="29"/>
        <v>#N/A</v>
      </c>
      <c r="AF108" s="4" t="e">
        <f t="shared" si="25"/>
        <v>#N/A</v>
      </c>
    </row>
    <row r="109" spans="2:32">
      <c r="B109" s="5">
        <f t="shared" si="30"/>
        <v>97</v>
      </c>
      <c r="C109" s="5"/>
      <c r="E109" s="13"/>
      <c r="F109" s="5"/>
      <c r="G109" s="11" t="str">
        <f>IF(ISERROR(AVERAGE(F$13:F109)),"n/a",AVERAGE(F$13:F109))</f>
        <v>n/a</v>
      </c>
      <c r="H109" s="11" t="str">
        <f t="shared" si="26"/>
        <v>n/a</v>
      </c>
      <c r="J109" s="5"/>
      <c r="K109" s="5"/>
      <c r="L109" s="5"/>
      <c r="M109" s="5"/>
      <c r="N109" s="5"/>
      <c r="O109" s="8" t="str">
        <f t="shared" si="24"/>
        <v>n/a</v>
      </c>
      <c r="Q109" s="5"/>
      <c r="R109" s="5"/>
      <c r="S109" s="5"/>
      <c r="U109" s="6"/>
      <c r="V109" s="9" t="str">
        <f t="shared" si="27"/>
        <v/>
      </c>
      <c r="W109" s="9" t="str">
        <f t="shared" si="28"/>
        <v/>
      </c>
      <c r="X109" s="10">
        <f>SUM(V$13:V109)/COUNTA(B$13:B109)</f>
        <v>0</v>
      </c>
      <c r="Z109" s="5"/>
      <c r="AA109" s="5"/>
      <c r="AC109" s="7"/>
      <c r="AE109" s="54" t="e">
        <f t="shared" si="29"/>
        <v>#N/A</v>
      </c>
      <c r="AF109" s="4" t="e">
        <f t="shared" si="25"/>
        <v>#N/A</v>
      </c>
    </row>
    <row r="110" spans="2:32">
      <c r="B110" s="5">
        <f t="shared" si="30"/>
        <v>98</v>
      </c>
      <c r="C110" s="5"/>
      <c r="E110" s="13"/>
      <c r="F110" s="5"/>
      <c r="G110" s="11" t="str">
        <f>IF(ISERROR(AVERAGE(F$13:F110)),"n/a",AVERAGE(F$13:F110))</f>
        <v>n/a</v>
      </c>
      <c r="H110" s="11" t="str">
        <f t="shared" si="26"/>
        <v>n/a</v>
      </c>
      <c r="J110" s="5"/>
      <c r="K110" s="5"/>
      <c r="L110" s="5"/>
      <c r="M110" s="5"/>
      <c r="N110" s="5"/>
      <c r="O110" s="8" t="str">
        <f t="shared" si="24"/>
        <v>n/a</v>
      </c>
      <c r="Q110" s="5"/>
      <c r="R110" s="5"/>
      <c r="S110" s="5"/>
      <c r="U110" s="6"/>
      <c r="V110" s="9" t="str">
        <f t="shared" si="27"/>
        <v/>
      </c>
      <c r="W110" s="9" t="str">
        <f t="shared" si="28"/>
        <v/>
      </c>
      <c r="X110" s="10">
        <f>SUM(V$13:V110)/COUNTA(B$13:B110)</f>
        <v>0</v>
      </c>
      <c r="Z110" s="5"/>
      <c r="AA110" s="5"/>
      <c r="AC110" s="7"/>
      <c r="AE110" s="54" t="e">
        <f t="shared" si="29"/>
        <v>#N/A</v>
      </c>
      <c r="AF110" s="4" t="e">
        <f t="shared" si="25"/>
        <v>#N/A</v>
      </c>
    </row>
    <row r="111" spans="2:32">
      <c r="B111" s="5">
        <f t="shared" si="30"/>
        <v>99</v>
      </c>
      <c r="C111" s="5"/>
      <c r="E111" s="13"/>
      <c r="F111" s="5"/>
      <c r="G111" s="11" t="str">
        <f>IF(ISERROR(AVERAGE(F$13:F111)),"n/a",AVERAGE(F$13:F111))</f>
        <v>n/a</v>
      </c>
      <c r="H111" s="11" t="str">
        <f t="shared" si="26"/>
        <v>n/a</v>
      </c>
      <c r="J111" s="5"/>
      <c r="K111" s="5"/>
      <c r="L111" s="5"/>
      <c r="M111" s="5"/>
      <c r="N111" s="5"/>
      <c r="O111" s="8" t="str">
        <f t="shared" si="24"/>
        <v>n/a</v>
      </c>
      <c r="Q111" s="5"/>
      <c r="R111" s="5"/>
      <c r="S111" s="5"/>
      <c r="U111" s="6"/>
      <c r="V111" s="9" t="str">
        <f t="shared" si="27"/>
        <v/>
      </c>
      <c r="W111" s="9" t="str">
        <f t="shared" si="28"/>
        <v/>
      </c>
      <c r="X111" s="10">
        <f>SUM(V$13:V111)/COUNTA(B$13:B111)</f>
        <v>0</v>
      </c>
      <c r="Z111" s="5"/>
      <c r="AA111" s="5"/>
      <c r="AC111" s="7"/>
      <c r="AE111" s="54" t="e">
        <f t="shared" si="29"/>
        <v>#N/A</v>
      </c>
      <c r="AF111" s="4" t="e">
        <f t="shared" si="25"/>
        <v>#N/A</v>
      </c>
    </row>
    <row r="112" spans="2:32">
      <c r="B112" s="5">
        <f t="shared" si="30"/>
        <v>100</v>
      </c>
      <c r="C112" s="5"/>
      <c r="E112" s="13"/>
      <c r="F112" s="5"/>
      <c r="G112" s="11" t="str">
        <f>IF(ISERROR(AVERAGE(F$13:F112)),"n/a",AVERAGE(F$13:F112))</f>
        <v>n/a</v>
      </c>
      <c r="H112" s="11" t="str">
        <f t="shared" si="26"/>
        <v>n/a</v>
      </c>
      <c r="J112" s="5"/>
      <c r="K112" s="5"/>
      <c r="L112" s="5"/>
      <c r="M112" s="5"/>
      <c r="N112" s="5"/>
      <c r="O112" s="8" t="str">
        <f t="shared" si="24"/>
        <v>n/a</v>
      </c>
      <c r="Q112" s="5"/>
      <c r="R112" s="5"/>
      <c r="S112" s="5"/>
      <c r="U112" s="6"/>
      <c r="V112" s="9" t="str">
        <f t="shared" si="27"/>
        <v/>
      </c>
      <c r="W112" s="9" t="str">
        <f t="shared" si="28"/>
        <v/>
      </c>
      <c r="X112" s="10">
        <f>SUM(V$13:V112)/COUNTA(B$13:B112)</f>
        <v>0</v>
      </c>
      <c r="Z112" s="5"/>
      <c r="AA112" s="5"/>
      <c r="AC112" s="7"/>
      <c r="AE112" s="54" t="e">
        <f t="shared" si="29"/>
        <v>#N/A</v>
      </c>
      <c r="AF112" s="4" t="e">
        <f t="shared" si="25"/>
        <v>#N/A</v>
      </c>
    </row>
    <row r="113" spans="2:59" customFormat="1">
      <c r="B113" s="5">
        <f t="shared" si="30"/>
        <v>101</v>
      </c>
      <c r="C113" s="5"/>
      <c r="E113" s="13"/>
      <c r="F113" s="5"/>
      <c r="G113" s="11" t="str">
        <f>IF(ISERROR(AVERAGE(F$13:F113)),"n/a",AVERAGE(F$13:F113))</f>
        <v>n/a</v>
      </c>
      <c r="H113" s="11" t="str">
        <f t="shared" si="26"/>
        <v>n/a</v>
      </c>
      <c r="J113" s="5"/>
      <c r="K113" s="5"/>
      <c r="L113" s="5"/>
      <c r="M113" s="5"/>
      <c r="N113" s="5"/>
      <c r="O113" s="8" t="str">
        <f t="shared" si="24"/>
        <v>n/a</v>
      </c>
      <c r="Q113" s="5"/>
      <c r="R113" s="5"/>
      <c r="S113" s="5"/>
      <c r="U113" s="6"/>
      <c r="V113" s="9" t="str">
        <f t="shared" si="27"/>
        <v/>
      </c>
      <c r="W113" s="9" t="str">
        <f t="shared" si="28"/>
        <v/>
      </c>
      <c r="X113" s="10">
        <f>SUM(V$13:V113)/COUNTA(B$13:B113)</f>
        <v>0</v>
      </c>
      <c r="Z113" s="5"/>
      <c r="AA113" s="5"/>
      <c r="AC113" s="7"/>
      <c r="AE113" s="54" t="e">
        <f t="shared" si="29"/>
        <v>#N/A</v>
      </c>
      <c r="AF113" s="4" t="e">
        <f t="shared" si="25"/>
        <v>#N/A</v>
      </c>
      <c r="BF113" s="115"/>
      <c r="BG113" s="115"/>
    </row>
    <row r="114" spans="2:59">
      <c r="B114" s="5">
        <f t="shared" si="30"/>
        <v>102</v>
      </c>
      <c r="C114" s="5"/>
      <c r="E114" s="13"/>
      <c r="F114" s="5"/>
      <c r="G114" s="11" t="str">
        <f>IF(ISERROR(AVERAGE(F$13:F114)),"n/a",AVERAGE(F$13:F114))</f>
        <v>n/a</v>
      </c>
      <c r="H114" s="11" t="str">
        <f t="shared" si="26"/>
        <v>n/a</v>
      </c>
      <c r="J114" s="5"/>
      <c r="K114" s="5"/>
      <c r="L114" s="5"/>
      <c r="M114" s="5"/>
      <c r="N114" s="5"/>
      <c r="O114" s="8" t="str">
        <f t="shared" si="24"/>
        <v>n/a</v>
      </c>
      <c r="Q114" s="5"/>
      <c r="R114" s="5"/>
      <c r="S114" s="5"/>
      <c r="U114" s="6"/>
      <c r="V114" s="9" t="str">
        <f t="shared" si="27"/>
        <v/>
      </c>
      <c r="W114" s="9" t="str">
        <f t="shared" si="28"/>
        <v/>
      </c>
      <c r="X114" s="10">
        <f>SUM(V$13:V114)/COUNTA(B$13:B114)</f>
        <v>0</v>
      </c>
      <c r="Z114" s="5"/>
      <c r="AA114" s="5"/>
      <c r="AC114" s="7"/>
      <c r="AE114" s="54" t="e">
        <f t="shared" si="29"/>
        <v>#N/A</v>
      </c>
      <c r="AF114" s="4" t="e">
        <f t="shared" si="25"/>
        <v>#N/A</v>
      </c>
    </row>
    <row r="115" spans="2:59">
      <c r="B115" s="5">
        <f t="shared" si="30"/>
        <v>103</v>
      </c>
      <c r="C115" s="5"/>
      <c r="E115" s="13"/>
      <c r="F115" s="5"/>
      <c r="G115" s="11" t="str">
        <f>IF(ISERROR(AVERAGE(F$13:F115)),"n/a",AVERAGE(F$13:F115))</f>
        <v>n/a</v>
      </c>
      <c r="H115" s="11" t="str">
        <f t="shared" si="26"/>
        <v>n/a</v>
      </c>
      <c r="J115" s="5"/>
      <c r="K115" s="5"/>
      <c r="L115" s="5"/>
      <c r="M115" s="5"/>
      <c r="N115" s="5"/>
      <c r="O115" s="8" t="str">
        <f t="shared" si="24"/>
        <v>n/a</v>
      </c>
      <c r="Q115" s="5"/>
      <c r="R115" s="5"/>
      <c r="S115" s="5"/>
      <c r="U115" s="6"/>
      <c r="V115" s="9" t="str">
        <f t="shared" si="27"/>
        <v/>
      </c>
      <c r="W115" s="9" t="str">
        <f t="shared" si="28"/>
        <v/>
      </c>
      <c r="X115" s="10">
        <f>SUM(V$13:V115)/COUNTA(B$13:B115)</f>
        <v>0</v>
      </c>
      <c r="Z115" s="5"/>
      <c r="AA115" s="5"/>
      <c r="AC115" s="7"/>
      <c r="AE115" s="54" t="e">
        <f t="shared" si="29"/>
        <v>#N/A</v>
      </c>
      <c r="AF115" s="4" t="e">
        <f t="shared" si="25"/>
        <v>#N/A</v>
      </c>
    </row>
    <row r="116" spans="2:59">
      <c r="B116" s="5">
        <f t="shared" si="30"/>
        <v>104</v>
      </c>
      <c r="C116" s="5"/>
      <c r="E116" s="13"/>
      <c r="F116" s="5"/>
      <c r="G116" s="11" t="str">
        <f>IF(ISERROR(AVERAGE(F$13:F116)),"n/a",AVERAGE(F$13:F116))</f>
        <v>n/a</v>
      </c>
      <c r="H116" s="11" t="str">
        <f t="shared" si="26"/>
        <v>n/a</v>
      </c>
      <c r="J116" s="5"/>
      <c r="K116" s="5"/>
      <c r="L116" s="5"/>
      <c r="M116" s="5"/>
      <c r="N116" s="5"/>
      <c r="O116" s="8" t="str">
        <f t="shared" si="24"/>
        <v>n/a</v>
      </c>
      <c r="Q116" s="5"/>
      <c r="R116" s="5"/>
      <c r="S116" s="5"/>
      <c r="U116" s="6"/>
      <c r="V116" s="9" t="str">
        <f t="shared" si="27"/>
        <v/>
      </c>
      <c r="W116" s="9" t="str">
        <f t="shared" si="28"/>
        <v/>
      </c>
      <c r="X116" s="10">
        <f>SUM(V$13:V116)/COUNTA(B$13:B116)</f>
        <v>0</v>
      </c>
      <c r="Z116" s="5"/>
      <c r="AA116" s="5"/>
      <c r="AC116" s="7"/>
      <c r="AE116" s="54" t="e">
        <f t="shared" si="29"/>
        <v>#N/A</v>
      </c>
      <c r="AF116" s="4" t="e">
        <f t="shared" si="25"/>
        <v>#N/A</v>
      </c>
    </row>
    <row r="117" spans="2:59">
      <c r="B117" s="5">
        <f t="shared" si="30"/>
        <v>105</v>
      </c>
      <c r="C117" s="5"/>
      <c r="E117" s="13"/>
      <c r="F117" s="5"/>
      <c r="G117" s="11" t="str">
        <f>IF(ISERROR(AVERAGE(F$13:F117)),"n/a",AVERAGE(F$13:F117))</f>
        <v>n/a</v>
      </c>
      <c r="H117" s="11" t="str">
        <f t="shared" si="26"/>
        <v>n/a</v>
      </c>
      <c r="J117" s="5"/>
      <c r="K117" s="5"/>
      <c r="L117" s="5"/>
      <c r="M117" s="5"/>
      <c r="N117" s="5"/>
      <c r="O117" s="8" t="str">
        <f t="shared" si="24"/>
        <v>n/a</v>
      </c>
      <c r="Q117" s="5"/>
      <c r="R117" s="5"/>
      <c r="S117" s="5"/>
      <c r="U117" s="6"/>
      <c r="V117" s="9" t="str">
        <f t="shared" si="27"/>
        <v/>
      </c>
      <c r="W117" s="9" t="str">
        <f t="shared" si="28"/>
        <v/>
      </c>
      <c r="X117" s="10">
        <f>SUM(V$13:V117)/COUNTA(B$13:B117)</f>
        <v>0</v>
      </c>
      <c r="Z117" s="5"/>
      <c r="AA117" s="5"/>
      <c r="AC117" s="7"/>
      <c r="AE117" s="54" t="e">
        <f t="shared" si="29"/>
        <v>#N/A</v>
      </c>
      <c r="AF117" s="4" t="e">
        <f t="shared" si="25"/>
        <v>#N/A</v>
      </c>
    </row>
    <row r="118" spans="2:59">
      <c r="B118" s="5">
        <f t="shared" si="30"/>
        <v>106</v>
      </c>
      <c r="C118" s="5"/>
      <c r="E118" s="13"/>
      <c r="F118" s="5"/>
      <c r="G118" s="11" t="str">
        <f>IF(ISERROR(AVERAGE(F$13:F118)),"n/a",AVERAGE(F$13:F118))</f>
        <v>n/a</v>
      </c>
      <c r="H118" s="11" t="str">
        <f t="shared" si="26"/>
        <v>n/a</v>
      </c>
      <c r="J118" s="5"/>
      <c r="K118" s="5"/>
      <c r="L118" s="5"/>
      <c r="M118" s="5"/>
      <c r="N118" s="5"/>
      <c r="O118" s="8" t="str">
        <f t="shared" si="24"/>
        <v>n/a</v>
      </c>
      <c r="Q118" s="5"/>
      <c r="R118" s="5"/>
      <c r="S118" s="5"/>
      <c r="U118" s="6"/>
      <c r="V118" s="9" t="str">
        <f t="shared" si="27"/>
        <v/>
      </c>
      <c r="W118" s="9" t="str">
        <f t="shared" si="28"/>
        <v/>
      </c>
      <c r="X118" s="10">
        <f>SUM(V$13:V118)/COUNTA(B$13:B118)</f>
        <v>0</v>
      </c>
      <c r="Z118" s="5"/>
      <c r="AA118" s="5"/>
      <c r="AC118" s="7"/>
      <c r="AE118" s="54" t="e">
        <f t="shared" si="29"/>
        <v>#N/A</v>
      </c>
      <c r="AF118" s="4" t="e">
        <f t="shared" si="25"/>
        <v>#N/A</v>
      </c>
    </row>
    <row r="119" spans="2:59">
      <c r="B119" s="5">
        <f t="shared" si="30"/>
        <v>107</v>
      </c>
      <c r="C119" s="5"/>
      <c r="E119" s="13"/>
      <c r="F119" s="5"/>
      <c r="G119" s="11" t="str">
        <f>IF(ISERROR(AVERAGE(F$13:F119)),"n/a",AVERAGE(F$13:F119))</f>
        <v>n/a</v>
      </c>
      <c r="H119" s="11" t="str">
        <f t="shared" si="26"/>
        <v>n/a</v>
      </c>
      <c r="J119" s="5"/>
      <c r="K119" s="5"/>
      <c r="L119" s="5"/>
      <c r="M119" s="5"/>
      <c r="N119" s="5"/>
      <c r="O119" s="8" t="str">
        <f t="shared" si="24"/>
        <v>n/a</v>
      </c>
      <c r="Q119" s="5"/>
      <c r="R119" s="5"/>
      <c r="S119" s="5"/>
      <c r="U119" s="6"/>
      <c r="V119" s="9" t="str">
        <f t="shared" si="27"/>
        <v/>
      </c>
      <c r="W119" s="9" t="str">
        <f t="shared" si="28"/>
        <v/>
      </c>
      <c r="X119" s="10">
        <f>SUM(V$13:V119)/COUNTA(B$13:B119)</f>
        <v>0</v>
      </c>
      <c r="Z119" s="5"/>
      <c r="AA119" s="5"/>
      <c r="AC119" s="7"/>
      <c r="AE119" s="54" t="e">
        <f t="shared" si="29"/>
        <v>#N/A</v>
      </c>
      <c r="AF119" s="4" t="e">
        <f t="shared" si="25"/>
        <v>#N/A</v>
      </c>
    </row>
    <row r="120" spans="2:59">
      <c r="B120" s="5">
        <f t="shared" si="30"/>
        <v>108</v>
      </c>
      <c r="C120" s="5"/>
      <c r="E120" s="13"/>
      <c r="F120" s="5"/>
      <c r="G120" s="11" t="str">
        <f>IF(ISERROR(AVERAGE(F$13:F120)),"n/a",AVERAGE(F$13:F120))</f>
        <v>n/a</v>
      </c>
      <c r="H120" s="11" t="str">
        <f t="shared" si="26"/>
        <v>n/a</v>
      </c>
      <c r="J120" s="5"/>
      <c r="K120" s="5"/>
      <c r="L120" s="5"/>
      <c r="M120" s="5"/>
      <c r="N120" s="5"/>
      <c r="O120" s="8" t="str">
        <f t="shared" si="24"/>
        <v>n/a</v>
      </c>
      <c r="Q120" s="5"/>
      <c r="R120" s="5"/>
      <c r="S120" s="5"/>
      <c r="U120" s="6"/>
      <c r="V120" s="9" t="str">
        <f t="shared" si="27"/>
        <v/>
      </c>
      <c r="W120" s="9" t="str">
        <f t="shared" si="28"/>
        <v/>
      </c>
      <c r="X120" s="10">
        <f>SUM(V$13:V120)/COUNTA(B$13:B120)</f>
        <v>0</v>
      </c>
      <c r="Z120" s="5"/>
      <c r="AA120" s="5"/>
      <c r="AC120" s="7"/>
      <c r="AE120" s="54" t="e">
        <f t="shared" si="29"/>
        <v>#N/A</v>
      </c>
      <c r="AF120" s="4" t="e">
        <f t="shared" si="25"/>
        <v>#N/A</v>
      </c>
    </row>
    <row r="121" spans="2:59">
      <c r="B121" s="5">
        <f t="shared" si="30"/>
        <v>109</v>
      </c>
      <c r="C121" s="5"/>
      <c r="E121" s="13"/>
      <c r="F121" s="5"/>
      <c r="G121" s="11" t="str">
        <f>IF(ISERROR(AVERAGE(F$13:F121)),"n/a",AVERAGE(F$13:F121))</f>
        <v>n/a</v>
      </c>
      <c r="H121" s="11" t="str">
        <f t="shared" si="26"/>
        <v>n/a</v>
      </c>
      <c r="J121" s="5"/>
      <c r="K121" s="5"/>
      <c r="L121" s="5"/>
      <c r="M121" s="5"/>
      <c r="N121" s="5"/>
      <c r="O121" s="8" t="str">
        <f t="shared" si="24"/>
        <v>n/a</v>
      </c>
      <c r="Q121" s="5"/>
      <c r="R121" s="5"/>
      <c r="S121" s="5"/>
      <c r="U121" s="6"/>
      <c r="V121" s="9" t="str">
        <f t="shared" si="27"/>
        <v/>
      </c>
      <c r="W121" s="9" t="str">
        <f t="shared" si="28"/>
        <v/>
      </c>
      <c r="X121" s="10">
        <f>SUM(V$13:V121)/COUNTA(B$13:B121)</f>
        <v>0</v>
      </c>
      <c r="Z121" s="5"/>
      <c r="AA121" s="5"/>
      <c r="AC121" s="7"/>
      <c r="AE121" s="54" t="e">
        <f t="shared" si="29"/>
        <v>#N/A</v>
      </c>
      <c r="AF121" s="4" t="e">
        <f t="shared" si="25"/>
        <v>#N/A</v>
      </c>
    </row>
    <row r="122" spans="2:59">
      <c r="B122" s="5">
        <f t="shared" si="30"/>
        <v>110</v>
      </c>
      <c r="C122" s="5"/>
      <c r="E122" s="13"/>
      <c r="F122" s="5"/>
      <c r="G122" s="11" t="str">
        <f>IF(ISERROR(AVERAGE(F$13:F122)),"n/a",AVERAGE(F$13:F122))</f>
        <v>n/a</v>
      </c>
      <c r="H122" s="11" t="str">
        <f t="shared" si="26"/>
        <v>n/a</v>
      </c>
      <c r="J122" s="5"/>
      <c r="K122" s="5"/>
      <c r="L122" s="5"/>
      <c r="M122" s="5"/>
      <c r="N122" s="5"/>
      <c r="O122" s="8" t="str">
        <f t="shared" si="24"/>
        <v>n/a</v>
      </c>
      <c r="Q122" s="5"/>
      <c r="R122" s="5"/>
      <c r="S122" s="5"/>
      <c r="U122" s="6"/>
      <c r="V122" s="9" t="str">
        <f t="shared" si="27"/>
        <v/>
      </c>
      <c r="W122" s="9" t="str">
        <f t="shared" si="28"/>
        <v/>
      </c>
      <c r="X122" s="10">
        <f>SUM(V$13:V122)/COUNTA(B$13:B122)</f>
        <v>0</v>
      </c>
      <c r="Z122" s="5"/>
      <c r="AA122" s="5"/>
      <c r="AC122" s="7"/>
      <c r="AE122" s="54" t="e">
        <f t="shared" si="29"/>
        <v>#N/A</v>
      </c>
      <c r="AF122" s="4" t="e">
        <f t="shared" si="25"/>
        <v>#N/A</v>
      </c>
    </row>
    <row r="123" spans="2:59">
      <c r="B123" s="5">
        <f t="shared" si="30"/>
        <v>111</v>
      </c>
      <c r="C123" s="5"/>
      <c r="E123" s="13"/>
      <c r="F123" s="5"/>
      <c r="G123" s="11" t="str">
        <f>IF(ISERROR(AVERAGE(F$13:F123)),"n/a",AVERAGE(F$13:F123))</f>
        <v>n/a</v>
      </c>
      <c r="H123" s="11" t="str">
        <f t="shared" si="26"/>
        <v>n/a</v>
      </c>
      <c r="J123" s="5"/>
      <c r="K123" s="5"/>
      <c r="L123" s="5"/>
      <c r="M123" s="5"/>
      <c r="N123" s="5"/>
      <c r="O123" s="8" t="str">
        <f t="shared" si="24"/>
        <v>n/a</v>
      </c>
      <c r="Q123" s="5"/>
      <c r="R123" s="5"/>
      <c r="S123" s="5"/>
      <c r="U123" s="6"/>
      <c r="V123" s="9" t="str">
        <f t="shared" si="27"/>
        <v/>
      </c>
      <c r="W123" s="9" t="str">
        <f t="shared" si="28"/>
        <v/>
      </c>
      <c r="X123" s="10">
        <f>SUM(V$13:V123)/COUNTA(B$13:B123)</f>
        <v>0</v>
      </c>
      <c r="Z123" s="5"/>
      <c r="AA123" s="5"/>
      <c r="AC123" s="7"/>
      <c r="AE123" s="54" t="e">
        <f t="shared" si="29"/>
        <v>#N/A</v>
      </c>
      <c r="AF123" s="4" t="e">
        <f t="shared" si="25"/>
        <v>#N/A</v>
      </c>
    </row>
    <row r="124" spans="2:59">
      <c r="B124" s="5">
        <f t="shared" si="30"/>
        <v>112</v>
      </c>
      <c r="C124" s="5"/>
      <c r="E124" s="13"/>
      <c r="F124" s="5"/>
      <c r="G124" s="11" t="str">
        <f>IF(ISERROR(AVERAGE(F$13:F124)),"n/a",AVERAGE(F$13:F124))</f>
        <v>n/a</v>
      </c>
      <c r="H124" s="11" t="str">
        <f t="shared" si="26"/>
        <v>n/a</v>
      </c>
      <c r="J124" s="5"/>
      <c r="K124" s="5"/>
      <c r="L124" s="5"/>
      <c r="M124" s="5"/>
      <c r="N124" s="5"/>
      <c r="O124" s="8" t="str">
        <f t="shared" si="24"/>
        <v>n/a</v>
      </c>
      <c r="Q124" s="5"/>
      <c r="R124" s="5"/>
      <c r="S124" s="5"/>
      <c r="U124" s="6"/>
      <c r="V124" s="9" t="str">
        <f t="shared" si="27"/>
        <v/>
      </c>
      <c r="W124" s="9" t="str">
        <f t="shared" si="28"/>
        <v/>
      </c>
      <c r="X124" s="10">
        <f>SUM(V$13:V124)/COUNTA(B$13:B124)</f>
        <v>0</v>
      </c>
      <c r="Z124" s="5"/>
      <c r="AA124" s="5"/>
      <c r="AC124" s="7"/>
      <c r="AE124" s="54" t="e">
        <f t="shared" si="29"/>
        <v>#N/A</v>
      </c>
      <c r="AF124" s="4" t="e">
        <f t="shared" si="25"/>
        <v>#N/A</v>
      </c>
    </row>
    <row r="125" spans="2:59">
      <c r="B125" s="5">
        <f t="shared" si="30"/>
        <v>113</v>
      </c>
      <c r="C125" s="5"/>
      <c r="E125" s="13"/>
      <c r="F125" s="5"/>
      <c r="G125" s="11" t="str">
        <f>IF(ISERROR(AVERAGE(F$13:F125)),"n/a",AVERAGE(F$13:F125))</f>
        <v>n/a</v>
      </c>
      <c r="H125" s="11" t="str">
        <f t="shared" si="26"/>
        <v>n/a</v>
      </c>
      <c r="J125" s="5"/>
      <c r="K125" s="5"/>
      <c r="L125" s="5"/>
      <c r="M125" s="5"/>
      <c r="N125" s="5"/>
      <c r="O125" s="8" t="str">
        <f t="shared" si="24"/>
        <v>n/a</v>
      </c>
      <c r="Q125" s="5"/>
      <c r="R125" s="5"/>
      <c r="S125" s="5"/>
      <c r="U125" s="6"/>
      <c r="V125" s="9" t="str">
        <f t="shared" si="27"/>
        <v/>
      </c>
      <c r="W125" s="9" t="str">
        <f t="shared" si="28"/>
        <v/>
      </c>
      <c r="X125" s="10">
        <f>SUM(V$13:V125)/COUNTA(B$13:B125)</f>
        <v>0</v>
      </c>
      <c r="Z125" s="5"/>
      <c r="AA125" s="5"/>
      <c r="AC125" s="7"/>
      <c r="AE125" s="54" t="e">
        <f t="shared" si="29"/>
        <v>#N/A</v>
      </c>
      <c r="AF125" s="4" t="e">
        <f t="shared" si="25"/>
        <v>#N/A</v>
      </c>
    </row>
    <row r="126" spans="2:59">
      <c r="B126" s="5">
        <f t="shared" si="30"/>
        <v>114</v>
      </c>
      <c r="C126" s="5"/>
      <c r="E126" s="13"/>
      <c r="F126" s="5"/>
      <c r="G126" s="11" t="str">
        <f>IF(ISERROR(AVERAGE(F$13:F126)),"n/a",AVERAGE(F$13:F126))</f>
        <v>n/a</v>
      </c>
      <c r="H126" s="11" t="str">
        <f t="shared" si="26"/>
        <v>n/a</v>
      </c>
      <c r="J126" s="5"/>
      <c r="K126" s="5"/>
      <c r="L126" s="5"/>
      <c r="M126" s="5"/>
      <c r="N126" s="5"/>
      <c r="O126" s="8" t="str">
        <f t="shared" si="24"/>
        <v>n/a</v>
      </c>
      <c r="Q126" s="5"/>
      <c r="R126" s="5"/>
      <c r="S126" s="5"/>
      <c r="U126" s="6"/>
      <c r="V126" s="9" t="str">
        <f t="shared" si="27"/>
        <v/>
      </c>
      <c r="W126" s="9" t="str">
        <f t="shared" si="28"/>
        <v/>
      </c>
      <c r="X126" s="10">
        <f>SUM(V$13:V126)/COUNTA(B$13:B126)</f>
        <v>0</v>
      </c>
      <c r="Z126" s="5"/>
      <c r="AA126" s="5"/>
      <c r="AC126" s="7"/>
      <c r="AE126" s="54" t="e">
        <f t="shared" si="29"/>
        <v>#N/A</v>
      </c>
      <c r="AF126" s="4" t="e">
        <f t="shared" si="25"/>
        <v>#N/A</v>
      </c>
    </row>
    <row r="127" spans="2:59">
      <c r="B127" s="5">
        <f t="shared" si="30"/>
        <v>115</v>
      </c>
      <c r="C127" s="5"/>
      <c r="E127" s="13"/>
      <c r="F127" s="5"/>
      <c r="G127" s="11" t="str">
        <f>IF(ISERROR(AVERAGE(F$13:F127)),"n/a",AVERAGE(F$13:F127))</f>
        <v>n/a</v>
      </c>
      <c r="H127" s="11" t="str">
        <f t="shared" si="26"/>
        <v>n/a</v>
      </c>
      <c r="J127" s="5"/>
      <c r="K127" s="5"/>
      <c r="L127" s="5"/>
      <c r="M127" s="5"/>
      <c r="N127" s="5"/>
      <c r="O127" s="8" t="str">
        <f t="shared" si="24"/>
        <v>n/a</v>
      </c>
      <c r="Q127" s="5"/>
      <c r="R127" s="5"/>
      <c r="S127" s="5"/>
      <c r="U127" s="6"/>
      <c r="V127" s="9" t="str">
        <f t="shared" si="27"/>
        <v/>
      </c>
      <c r="W127" s="9" t="str">
        <f t="shared" si="28"/>
        <v/>
      </c>
      <c r="X127" s="10">
        <f>SUM(V$13:V127)/COUNTA(B$13:B127)</f>
        <v>0</v>
      </c>
      <c r="Z127" s="5"/>
      <c r="AA127" s="5"/>
      <c r="AC127" s="7"/>
      <c r="AE127" s="54" t="e">
        <f t="shared" si="29"/>
        <v>#N/A</v>
      </c>
      <c r="AF127" s="4" t="e">
        <f t="shared" si="25"/>
        <v>#N/A</v>
      </c>
    </row>
    <row r="128" spans="2:59">
      <c r="B128" s="5">
        <f t="shared" si="30"/>
        <v>116</v>
      </c>
      <c r="C128" s="5"/>
      <c r="E128" s="13"/>
      <c r="F128" s="5"/>
      <c r="G128" s="11" t="str">
        <f>IF(ISERROR(AVERAGE(F$13:F128)),"n/a",AVERAGE(F$13:F128))</f>
        <v>n/a</v>
      </c>
      <c r="H128" s="11" t="str">
        <f t="shared" si="26"/>
        <v>n/a</v>
      </c>
      <c r="J128" s="5"/>
      <c r="K128" s="5"/>
      <c r="L128" s="5"/>
      <c r="M128" s="5"/>
      <c r="N128" s="5"/>
      <c r="O128" s="8" t="str">
        <f t="shared" si="24"/>
        <v>n/a</v>
      </c>
      <c r="Q128" s="5"/>
      <c r="R128" s="5"/>
      <c r="S128" s="5"/>
      <c r="U128" s="6"/>
      <c r="V128" s="9" t="str">
        <f t="shared" si="27"/>
        <v/>
      </c>
      <c r="W128" s="9" t="str">
        <f t="shared" si="28"/>
        <v/>
      </c>
      <c r="X128" s="10">
        <f>SUM(V$13:V128)/COUNTA(B$13:B128)</f>
        <v>0</v>
      </c>
      <c r="Z128" s="5"/>
      <c r="AA128" s="5"/>
      <c r="AC128" s="7"/>
      <c r="AE128" s="54" t="e">
        <f t="shared" si="29"/>
        <v>#N/A</v>
      </c>
      <c r="AF128" s="4" t="e">
        <f t="shared" si="25"/>
        <v>#N/A</v>
      </c>
    </row>
    <row r="129" spans="2:32">
      <c r="B129" s="5">
        <f t="shared" si="30"/>
        <v>117</v>
      </c>
      <c r="C129" s="5"/>
      <c r="E129" s="13"/>
      <c r="F129" s="5"/>
      <c r="G129" s="11" t="str">
        <f>IF(ISERROR(AVERAGE(F$13:F129)),"n/a",AVERAGE(F$13:F129))</f>
        <v>n/a</v>
      </c>
      <c r="H129" s="11" t="str">
        <f t="shared" si="26"/>
        <v>n/a</v>
      </c>
      <c r="J129" s="5"/>
      <c r="K129" s="5"/>
      <c r="L129" s="5"/>
      <c r="M129" s="5"/>
      <c r="N129" s="5"/>
      <c r="O129" s="8" t="str">
        <f t="shared" si="24"/>
        <v>n/a</v>
      </c>
      <c r="Q129" s="5"/>
      <c r="R129" s="5"/>
      <c r="S129" s="5"/>
      <c r="U129" s="6"/>
      <c r="V129" s="9" t="str">
        <f t="shared" si="27"/>
        <v/>
      </c>
      <c r="W129" s="9" t="str">
        <f t="shared" si="28"/>
        <v/>
      </c>
      <c r="X129" s="10">
        <f>SUM(V$13:V129)/COUNTA(B$13:B129)</f>
        <v>0</v>
      </c>
      <c r="Z129" s="5"/>
      <c r="AA129" s="5"/>
      <c r="AC129" s="7"/>
      <c r="AE129" s="54" t="e">
        <f t="shared" si="29"/>
        <v>#N/A</v>
      </c>
      <c r="AF129" s="4" t="e">
        <f t="shared" si="25"/>
        <v>#N/A</v>
      </c>
    </row>
    <row r="130" spans="2:32">
      <c r="B130" s="5">
        <f t="shared" si="30"/>
        <v>118</v>
      </c>
      <c r="C130" s="5"/>
      <c r="E130" s="13"/>
      <c r="F130" s="5"/>
      <c r="G130" s="11" t="str">
        <f>IF(ISERROR(AVERAGE(F$13:F130)),"n/a",AVERAGE(F$13:F130))</f>
        <v>n/a</v>
      </c>
      <c r="H130" s="11" t="str">
        <f t="shared" si="26"/>
        <v>n/a</v>
      </c>
      <c r="J130" s="5"/>
      <c r="K130" s="5"/>
      <c r="L130" s="5"/>
      <c r="M130" s="5"/>
      <c r="N130" s="5"/>
      <c r="O130" s="8" t="str">
        <f t="shared" si="24"/>
        <v>n/a</v>
      </c>
      <c r="Q130" s="5"/>
      <c r="R130" s="5"/>
      <c r="S130" s="5"/>
      <c r="U130" s="6"/>
      <c r="V130" s="9" t="str">
        <f t="shared" si="27"/>
        <v/>
      </c>
      <c r="W130" s="9" t="str">
        <f t="shared" si="28"/>
        <v/>
      </c>
      <c r="X130" s="10">
        <f>SUM(V$13:V130)/COUNTA(B$13:B130)</f>
        <v>0</v>
      </c>
      <c r="Z130" s="5"/>
      <c r="AA130" s="5"/>
      <c r="AC130" s="7"/>
      <c r="AE130" s="54" t="e">
        <f t="shared" si="29"/>
        <v>#N/A</v>
      </c>
      <c r="AF130" s="4" t="e">
        <f t="shared" si="25"/>
        <v>#N/A</v>
      </c>
    </row>
    <row r="131" spans="2:32">
      <c r="B131" s="5">
        <f t="shared" si="30"/>
        <v>119</v>
      </c>
      <c r="C131" s="5"/>
      <c r="E131" s="13"/>
      <c r="F131" s="5"/>
      <c r="G131" s="11" t="str">
        <f>IF(ISERROR(AVERAGE(F$13:F131)),"n/a",AVERAGE(F$13:F131))</f>
        <v>n/a</v>
      </c>
      <c r="H131" s="11" t="str">
        <f t="shared" si="26"/>
        <v>n/a</v>
      </c>
      <c r="J131" s="5"/>
      <c r="K131" s="5"/>
      <c r="L131" s="5"/>
      <c r="M131" s="5"/>
      <c r="N131" s="5"/>
      <c r="O131" s="8" t="str">
        <f t="shared" si="24"/>
        <v>n/a</v>
      </c>
      <c r="Q131" s="5"/>
      <c r="R131" s="5"/>
      <c r="S131" s="5"/>
      <c r="U131" s="6"/>
      <c r="V131" s="9" t="str">
        <f t="shared" si="27"/>
        <v/>
      </c>
      <c r="W131" s="9" t="str">
        <f t="shared" si="28"/>
        <v/>
      </c>
      <c r="X131" s="10">
        <f>SUM(V$13:V131)/COUNTA(B$13:B131)</f>
        <v>0</v>
      </c>
      <c r="Z131" s="5"/>
      <c r="AA131" s="5"/>
      <c r="AC131" s="7"/>
      <c r="AE131" s="54" t="e">
        <f t="shared" si="29"/>
        <v>#N/A</v>
      </c>
      <c r="AF131" s="4" t="e">
        <f t="shared" si="25"/>
        <v>#N/A</v>
      </c>
    </row>
    <row r="132" spans="2:32">
      <c r="B132" s="5">
        <f t="shared" si="30"/>
        <v>120</v>
      </c>
      <c r="C132" s="5"/>
      <c r="E132" s="13"/>
      <c r="F132" s="5"/>
      <c r="G132" s="11" t="str">
        <f>IF(ISERROR(AVERAGE(F$13:F132)),"n/a",AVERAGE(F$13:F132))</f>
        <v>n/a</v>
      </c>
      <c r="H132" s="11" t="str">
        <f t="shared" si="26"/>
        <v>n/a</v>
      </c>
      <c r="J132" s="5"/>
      <c r="K132" s="5"/>
      <c r="L132" s="5"/>
      <c r="M132" s="5"/>
      <c r="N132" s="5"/>
      <c r="O132" s="8" t="str">
        <f t="shared" si="24"/>
        <v>n/a</v>
      </c>
      <c r="Q132" s="5"/>
      <c r="R132" s="5"/>
      <c r="S132" s="5"/>
      <c r="U132" s="6"/>
      <c r="V132" s="9" t="str">
        <f t="shared" si="27"/>
        <v/>
      </c>
      <c r="W132" s="9" t="str">
        <f t="shared" si="28"/>
        <v/>
      </c>
      <c r="X132" s="10">
        <f>SUM(V$13:V132)/COUNTA(B$13:B132)</f>
        <v>0</v>
      </c>
      <c r="Z132" s="5"/>
      <c r="AA132" s="5"/>
      <c r="AC132" s="7"/>
      <c r="AE132" s="54" t="e">
        <f t="shared" si="29"/>
        <v>#N/A</v>
      </c>
      <c r="AF132" s="4" t="e">
        <f t="shared" si="25"/>
        <v>#N/A</v>
      </c>
    </row>
    <row r="133" spans="2:32">
      <c r="B133" s="5">
        <f t="shared" si="30"/>
        <v>121</v>
      </c>
      <c r="C133" s="5"/>
      <c r="E133" s="13"/>
      <c r="F133" s="5"/>
      <c r="G133" s="11" t="str">
        <f>IF(ISERROR(AVERAGE(F$13:F133)),"n/a",AVERAGE(F$13:F133))</f>
        <v>n/a</v>
      </c>
      <c r="H133" s="11" t="str">
        <f t="shared" si="26"/>
        <v>n/a</v>
      </c>
      <c r="J133" s="5"/>
      <c r="K133" s="5"/>
      <c r="L133" s="5"/>
      <c r="M133" s="5"/>
      <c r="N133" s="5"/>
      <c r="O133" s="8" t="str">
        <f t="shared" si="24"/>
        <v>n/a</v>
      </c>
      <c r="Q133" s="5"/>
      <c r="R133" s="5"/>
      <c r="S133" s="5"/>
      <c r="U133" s="6"/>
      <c r="V133" s="9" t="str">
        <f t="shared" si="27"/>
        <v/>
      </c>
      <c r="W133" s="9" t="str">
        <f t="shared" si="28"/>
        <v/>
      </c>
      <c r="X133" s="10">
        <f>SUM(V$13:V133)/COUNTA(B$13:B133)</f>
        <v>0</v>
      </c>
      <c r="Z133" s="5"/>
      <c r="AA133" s="5"/>
      <c r="AC133" s="7"/>
      <c r="AE133" s="54" t="e">
        <f t="shared" si="29"/>
        <v>#N/A</v>
      </c>
      <c r="AF133" s="4" t="e">
        <f t="shared" si="25"/>
        <v>#N/A</v>
      </c>
    </row>
    <row r="134" spans="2:32">
      <c r="B134" s="5">
        <f t="shared" si="30"/>
        <v>122</v>
      </c>
      <c r="C134" s="5"/>
      <c r="E134" s="13"/>
      <c r="F134" s="5"/>
      <c r="G134" s="11" t="str">
        <f>IF(ISERROR(AVERAGE(F$13:F134)),"n/a",AVERAGE(F$13:F134))</f>
        <v>n/a</v>
      </c>
      <c r="H134" s="11" t="str">
        <f t="shared" si="26"/>
        <v>n/a</v>
      </c>
      <c r="J134" s="5"/>
      <c r="K134" s="5"/>
      <c r="L134" s="5"/>
      <c r="M134" s="5"/>
      <c r="N134" s="5"/>
      <c r="O134" s="8" t="str">
        <f t="shared" si="24"/>
        <v>n/a</v>
      </c>
      <c r="Q134" s="5"/>
      <c r="R134" s="5"/>
      <c r="S134" s="5"/>
      <c r="U134" s="6"/>
      <c r="V134" s="9" t="str">
        <f t="shared" si="27"/>
        <v/>
      </c>
      <c r="W134" s="9" t="str">
        <f t="shared" si="28"/>
        <v/>
      </c>
      <c r="X134" s="10">
        <f>SUM(V$13:V134)/COUNTA(B$13:B134)</f>
        <v>0</v>
      </c>
      <c r="Z134" s="5"/>
      <c r="AA134" s="5"/>
      <c r="AC134" s="7"/>
      <c r="AE134" s="54" t="e">
        <f t="shared" si="29"/>
        <v>#N/A</v>
      </c>
      <c r="AF134" s="4" t="e">
        <f t="shared" si="25"/>
        <v>#N/A</v>
      </c>
    </row>
    <row r="135" spans="2:32">
      <c r="B135" s="5">
        <f t="shared" si="30"/>
        <v>123</v>
      </c>
      <c r="C135" s="5"/>
      <c r="E135" s="13"/>
      <c r="F135" s="5"/>
      <c r="G135" s="11" t="str">
        <f>IF(ISERROR(AVERAGE(F$13:F135)),"n/a",AVERAGE(F$13:F135))</f>
        <v>n/a</v>
      </c>
      <c r="H135" s="11" t="str">
        <f t="shared" si="26"/>
        <v>n/a</v>
      </c>
      <c r="J135" s="5"/>
      <c r="K135" s="5"/>
      <c r="L135" s="5"/>
      <c r="M135" s="5"/>
      <c r="N135" s="5"/>
      <c r="O135" s="8" t="str">
        <f t="shared" si="24"/>
        <v>n/a</v>
      </c>
      <c r="Q135" s="5"/>
      <c r="R135" s="5"/>
      <c r="S135" s="5"/>
      <c r="U135" s="6"/>
      <c r="V135" s="9" t="str">
        <f t="shared" si="27"/>
        <v/>
      </c>
      <c r="W135" s="9" t="str">
        <f t="shared" si="28"/>
        <v/>
      </c>
      <c r="X135" s="10">
        <f>SUM(V$13:V135)/COUNTA(B$13:B135)</f>
        <v>0</v>
      </c>
      <c r="Z135" s="5"/>
      <c r="AA135" s="5"/>
      <c r="AC135" s="7"/>
      <c r="AE135" s="54" t="e">
        <f t="shared" si="29"/>
        <v>#N/A</v>
      </c>
      <c r="AF135" s="4" t="e">
        <f t="shared" si="25"/>
        <v>#N/A</v>
      </c>
    </row>
    <row r="136" spans="2:32">
      <c r="B136" s="5">
        <f t="shared" si="30"/>
        <v>124</v>
      </c>
      <c r="C136" s="5"/>
      <c r="E136" s="13"/>
      <c r="F136" s="5"/>
      <c r="G136" s="11" t="str">
        <f>IF(ISERROR(AVERAGE(F$13:F136)),"n/a",AVERAGE(F$13:F136))</f>
        <v>n/a</v>
      </c>
      <c r="H136" s="11" t="str">
        <f t="shared" si="26"/>
        <v>n/a</v>
      </c>
      <c r="J136" s="5"/>
      <c r="K136" s="5"/>
      <c r="L136" s="5"/>
      <c r="M136" s="5"/>
      <c r="N136" s="5"/>
      <c r="O136" s="8" t="str">
        <f t="shared" si="24"/>
        <v>n/a</v>
      </c>
      <c r="Q136" s="5"/>
      <c r="R136" s="5"/>
      <c r="S136" s="5"/>
      <c r="U136" s="6"/>
      <c r="V136" s="9" t="str">
        <f t="shared" si="27"/>
        <v/>
      </c>
      <c r="W136" s="9" t="str">
        <f t="shared" si="28"/>
        <v/>
      </c>
      <c r="X136" s="10">
        <f>SUM(V$13:V136)/COUNTA(B$13:B136)</f>
        <v>0</v>
      </c>
      <c r="Z136" s="5"/>
      <c r="AA136" s="5"/>
      <c r="AC136" s="7"/>
      <c r="AE136" s="54" t="e">
        <f t="shared" si="29"/>
        <v>#N/A</v>
      </c>
      <c r="AF136" s="4" t="e">
        <f t="shared" si="25"/>
        <v>#N/A</v>
      </c>
    </row>
    <row r="137" spans="2:32">
      <c r="B137" s="5">
        <f t="shared" si="30"/>
        <v>125</v>
      </c>
      <c r="C137" s="5"/>
      <c r="E137" s="13"/>
      <c r="F137" s="5"/>
      <c r="G137" s="11" t="str">
        <f>IF(ISERROR(AVERAGE(F$13:F137)),"n/a",AVERAGE(F$13:F137))</f>
        <v>n/a</v>
      </c>
      <c r="H137" s="11" t="str">
        <f t="shared" si="26"/>
        <v>n/a</v>
      </c>
      <c r="J137" s="5"/>
      <c r="K137" s="5"/>
      <c r="L137" s="5"/>
      <c r="M137" s="5"/>
      <c r="N137" s="5"/>
      <c r="O137" s="8" t="str">
        <f t="shared" si="24"/>
        <v>n/a</v>
      </c>
      <c r="Q137" s="5"/>
      <c r="R137" s="5"/>
      <c r="S137" s="5"/>
      <c r="U137" s="6"/>
      <c r="V137" s="9" t="str">
        <f t="shared" si="27"/>
        <v/>
      </c>
      <c r="W137" s="9" t="str">
        <f t="shared" si="28"/>
        <v/>
      </c>
      <c r="X137" s="10">
        <f>SUM(V$13:V137)/COUNTA(B$13:B137)</f>
        <v>0</v>
      </c>
      <c r="Z137" s="5"/>
      <c r="AA137" s="5"/>
      <c r="AC137" s="7"/>
      <c r="AE137" s="54" t="e">
        <f t="shared" si="29"/>
        <v>#N/A</v>
      </c>
      <c r="AF137" s="4" t="e">
        <f t="shared" si="25"/>
        <v>#N/A</v>
      </c>
    </row>
    <row r="138" spans="2:32">
      <c r="B138" s="5">
        <f t="shared" si="30"/>
        <v>126</v>
      </c>
      <c r="C138" s="5"/>
      <c r="E138" s="13"/>
      <c r="F138" s="5"/>
      <c r="G138" s="11" t="str">
        <f>IF(ISERROR(AVERAGE(F$13:F138)),"n/a",AVERAGE(F$13:F138))</f>
        <v>n/a</v>
      </c>
      <c r="H138" s="11" t="str">
        <f t="shared" si="26"/>
        <v>n/a</v>
      </c>
      <c r="J138" s="5"/>
      <c r="K138" s="5"/>
      <c r="L138" s="5"/>
      <c r="M138" s="5"/>
      <c r="N138" s="5"/>
      <c r="O138" s="8" t="str">
        <f t="shared" si="24"/>
        <v>n/a</v>
      </c>
      <c r="Q138" s="5"/>
      <c r="R138" s="5"/>
      <c r="S138" s="5"/>
      <c r="U138" s="6"/>
      <c r="V138" s="9" t="str">
        <f t="shared" si="27"/>
        <v/>
      </c>
      <c r="W138" s="9" t="str">
        <f t="shared" si="28"/>
        <v/>
      </c>
      <c r="X138" s="10">
        <f>SUM(V$13:V138)/COUNTA(B$13:B138)</f>
        <v>0</v>
      </c>
      <c r="Z138" s="5"/>
      <c r="AA138" s="5"/>
      <c r="AC138" s="7"/>
      <c r="AE138" s="54" t="e">
        <f t="shared" si="29"/>
        <v>#N/A</v>
      </c>
      <c r="AF138" s="4" t="e">
        <f t="shared" si="25"/>
        <v>#N/A</v>
      </c>
    </row>
    <row r="139" spans="2:32">
      <c r="B139" s="5">
        <f t="shared" si="30"/>
        <v>127</v>
      </c>
      <c r="C139" s="5"/>
      <c r="E139" s="13"/>
      <c r="F139" s="5"/>
      <c r="G139" s="11" t="str">
        <f>IF(ISERROR(AVERAGE(F$13:F139)),"n/a",AVERAGE(F$13:F139))</f>
        <v>n/a</v>
      </c>
      <c r="H139" s="11" t="str">
        <f t="shared" si="26"/>
        <v>n/a</v>
      </c>
      <c r="J139" s="5"/>
      <c r="K139" s="5"/>
      <c r="L139" s="5"/>
      <c r="M139" s="5"/>
      <c r="N139" s="5"/>
      <c r="O139" s="8" t="str">
        <f t="shared" si="24"/>
        <v>n/a</v>
      </c>
      <c r="Q139" s="5"/>
      <c r="R139" s="5"/>
      <c r="S139" s="5"/>
      <c r="U139" s="6"/>
      <c r="V139" s="9" t="str">
        <f t="shared" si="27"/>
        <v/>
      </c>
      <c r="W139" s="9" t="str">
        <f t="shared" si="28"/>
        <v/>
      </c>
      <c r="X139" s="10">
        <f>SUM(V$13:V139)/COUNTA(B$13:B139)</f>
        <v>0</v>
      </c>
      <c r="Z139" s="5"/>
      <c r="AA139" s="5"/>
      <c r="AC139" s="7"/>
      <c r="AE139" s="54" t="e">
        <f t="shared" si="29"/>
        <v>#N/A</v>
      </c>
      <c r="AF139" s="4" t="e">
        <f t="shared" si="25"/>
        <v>#N/A</v>
      </c>
    </row>
    <row r="140" spans="2:32">
      <c r="B140" s="5">
        <f t="shared" si="30"/>
        <v>128</v>
      </c>
      <c r="C140" s="5"/>
      <c r="E140" s="13"/>
      <c r="F140" s="5"/>
      <c r="G140" s="11" t="str">
        <f>IF(ISERROR(AVERAGE(F$13:F140)),"n/a",AVERAGE(F$13:F140))</f>
        <v>n/a</v>
      </c>
      <c r="H140" s="11" t="str">
        <f t="shared" si="26"/>
        <v>n/a</v>
      </c>
      <c r="J140" s="5"/>
      <c r="K140" s="5"/>
      <c r="L140" s="5"/>
      <c r="M140" s="5"/>
      <c r="N140" s="5"/>
      <c r="O140" s="8" t="str">
        <f t="shared" si="24"/>
        <v>n/a</v>
      </c>
      <c r="Q140" s="5"/>
      <c r="R140" s="5"/>
      <c r="S140" s="5"/>
      <c r="U140" s="6"/>
      <c r="V140" s="9" t="str">
        <f t="shared" si="27"/>
        <v/>
      </c>
      <c r="W140" s="9" t="str">
        <f t="shared" si="28"/>
        <v/>
      </c>
      <c r="X140" s="10">
        <f>SUM(V$13:V140)/COUNTA(B$13:B140)</f>
        <v>0</v>
      </c>
      <c r="Z140" s="5"/>
      <c r="AA140" s="5"/>
      <c r="AC140" s="7"/>
      <c r="AE140" s="54" t="e">
        <f t="shared" si="29"/>
        <v>#N/A</v>
      </c>
      <c r="AF140" s="4" t="e">
        <f t="shared" si="25"/>
        <v>#N/A</v>
      </c>
    </row>
    <row r="141" spans="2:32">
      <c r="B141" s="5">
        <f t="shared" si="30"/>
        <v>129</v>
      </c>
      <c r="C141" s="5"/>
      <c r="E141" s="13"/>
      <c r="F141" s="5"/>
      <c r="G141" s="11" t="str">
        <f>IF(ISERROR(AVERAGE(F$13:F141)),"n/a",AVERAGE(F$13:F141))</f>
        <v>n/a</v>
      </c>
      <c r="H141" s="11" t="str">
        <f t="shared" si="26"/>
        <v>n/a</v>
      </c>
      <c r="J141" s="5"/>
      <c r="K141" s="5"/>
      <c r="L141" s="5"/>
      <c r="M141" s="5"/>
      <c r="N141" s="5"/>
      <c r="O141" s="8" t="str">
        <f t="shared" ref="O141:O204" si="31">IF(J141=1,"A",IF(K141=1,"B",IF(L141=1,"C",IF(M141=1,"D",IF(N141=1,"E","n/a")))))</f>
        <v>n/a</v>
      </c>
      <c r="Q141" s="5"/>
      <c r="R141" s="5"/>
      <c r="S141" s="5"/>
      <c r="U141" s="6"/>
      <c r="V141" s="9" t="str">
        <f t="shared" si="27"/>
        <v/>
      </c>
      <c r="W141" s="9" t="str">
        <f t="shared" si="28"/>
        <v/>
      </c>
      <c r="X141" s="10">
        <f>SUM(V$13:V141)/COUNTA(B$13:B141)</f>
        <v>0</v>
      </c>
      <c r="Z141" s="5"/>
      <c r="AA141" s="5"/>
      <c r="AC141" s="7"/>
      <c r="AE141" s="54" t="e">
        <f t="shared" si="29"/>
        <v>#N/A</v>
      </c>
      <c r="AF141" s="4" t="e">
        <f t="shared" ref="AF141:AF204" si="32">HLOOKUP(C141,$K$6:$O$7,2,FALSE)</f>
        <v>#N/A</v>
      </c>
    </row>
    <row r="142" spans="2:32">
      <c r="B142" s="5">
        <f t="shared" si="30"/>
        <v>130</v>
      </c>
      <c r="C142" s="5"/>
      <c r="E142" s="13"/>
      <c r="F142" s="5"/>
      <c r="G142" s="11" t="str">
        <f>IF(ISERROR(AVERAGE(F$13:F142)),"n/a",AVERAGE(F$13:F142))</f>
        <v>n/a</v>
      </c>
      <c r="H142" s="11" t="str">
        <f t="shared" ref="H142:H205" si="33">G142</f>
        <v>n/a</v>
      </c>
      <c r="J142" s="5"/>
      <c r="K142" s="5"/>
      <c r="L142" s="5"/>
      <c r="M142" s="5"/>
      <c r="N142" s="5"/>
      <c r="O142" s="8" t="str">
        <f t="shared" si="31"/>
        <v>n/a</v>
      </c>
      <c r="Q142" s="5"/>
      <c r="R142" s="5"/>
      <c r="S142" s="5"/>
      <c r="U142" s="6"/>
      <c r="V142" s="9" t="str">
        <f t="shared" ref="V142:V205" si="34">IF(O142="n/a","",IF(O142=U142,1,""))</f>
        <v/>
      </c>
      <c r="W142" s="9" t="str">
        <f t="shared" ref="W142:W205" si="35">IF(O142="n/a","",IF(O142&lt;&gt;U142,1,""))</f>
        <v/>
      </c>
      <c r="X142" s="10">
        <f>SUM(V$13:V142)/COUNTA(B$13:B142)</f>
        <v>0</v>
      </c>
      <c r="Z142" s="5"/>
      <c r="AA142" s="5"/>
      <c r="AC142" s="7"/>
      <c r="AE142" s="54" t="e">
        <f t="shared" ref="AE142:AE205" si="36">+IF($F$4=0,0,IF(W142=1,1,IF(OR(R142*$F$8=1,S142*$F$9=1,F142&gt;=AF142),2,0)))</f>
        <v>#N/A</v>
      </c>
      <c r="AF142" s="4" t="e">
        <f t="shared" si="32"/>
        <v>#N/A</v>
      </c>
    </row>
    <row r="143" spans="2:32">
      <c r="B143" s="5">
        <f t="shared" si="30"/>
        <v>131</v>
      </c>
      <c r="C143" s="5"/>
      <c r="E143" s="13"/>
      <c r="F143" s="5"/>
      <c r="G143" s="11" t="str">
        <f>IF(ISERROR(AVERAGE(F$13:F143)),"n/a",AVERAGE(F$13:F143))</f>
        <v>n/a</v>
      </c>
      <c r="H143" s="11" t="str">
        <f t="shared" si="33"/>
        <v>n/a</v>
      </c>
      <c r="J143" s="5"/>
      <c r="K143" s="5"/>
      <c r="L143" s="5"/>
      <c r="M143" s="5"/>
      <c r="N143" s="5"/>
      <c r="O143" s="8" t="str">
        <f t="shared" si="31"/>
        <v>n/a</v>
      </c>
      <c r="Q143" s="5"/>
      <c r="R143" s="5"/>
      <c r="S143" s="5"/>
      <c r="U143" s="6"/>
      <c r="V143" s="9" t="str">
        <f t="shared" si="34"/>
        <v/>
      </c>
      <c r="W143" s="9" t="str">
        <f t="shared" si="35"/>
        <v/>
      </c>
      <c r="X143" s="10">
        <f>SUM(V$13:V143)/COUNTA(B$13:B143)</f>
        <v>0</v>
      </c>
      <c r="Z143" s="5"/>
      <c r="AA143" s="5"/>
      <c r="AC143" s="7"/>
      <c r="AE143" s="54" t="e">
        <f t="shared" si="36"/>
        <v>#N/A</v>
      </c>
      <c r="AF143" s="4" t="e">
        <f t="shared" si="32"/>
        <v>#N/A</v>
      </c>
    </row>
    <row r="144" spans="2:32">
      <c r="B144" s="5">
        <f t="shared" si="30"/>
        <v>132</v>
      </c>
      <c r="C144" s="5"/>
      <c r="E144" s="13"/>
      <c r="F144" s="5"/>
      <c r="G144" s="11" t="str">
        <f>IF(ISERROR(AVERAGE(F$13:F144)),"n/a",AVERAGE(F$13:F144))</f>
        <v>n/a</v>
      </c>
      <c r="H144" s="11" t="str">
        <f t="shared" si="33"/>
        <v>n/a</v>
      </c>
      <c r="J144" s="5"/>
      <c r="K144" s="5"/>
      <c r="L144" s="5"/>
      <c r="M144" s="5"/>
      <c r="N144" s="5"/>
      <c r="O144" s="8" t="str">
        <f t="shared" si="31"/>
        <v>n/a</v>
      </c>
      <c r="Q144" s="5"/>
      <c r="R144" s="5"/>
      <c r="S144" s="5"/>
      <c r="U144" s="6"/>
      <c r="V144" s="9" t="str">
        <f t="shared" si="34"/>
        <v/>
      </c>
      <c r="W144" s="9" t="str">
        <f t="shared" si="35"/>
        <v/>
      </c>
      <c r="X144" s="10">
        <f>SUM(V$13:V144)/COUNTA(B$13:B144)</f>
        <v>0</v>
      </c>
      <c r="Z144" s="5"/>
      <c r="AA144" s="5"/>
      <c r="AC144" s="7"/>
      <c r="AE144" s="54" t="e">
        <f t="shared" si="36"/>
        <v>#N/A</v>
      </c>
      <c r="AF144" s="4" t="e">
        <f t="shared" si="32"/>
        <v>#N/A</v>
      </c>
    </row>
    <row r="145" spans="2:32">
      <c r="B145" s="5">
        <f t="shared" si="30"/>
        <v>133</v>
      </c>
      <c r="C145" s="5"/>
      <c r="E145" s="13"/>
      <c r="F145" s="5"/>
      <c r="G145" s="11" t="str">
        <f>IF(ISERROR(AVERAGE(F$13:F145)),"n/a",AVERAGE(F$13:F145))</f>
        <v>n/a</v>
      </c>
      <c r="H145" s="11" t="str">
        <f t="shared" si="33"/>
        <v>n/a</v>
      </c>
      <c r="J145" s="5"/>
      <c r="K145" s="5"/>
      <c r="L145" s="5"/>
      <c r="M145" s="5"/>
      <c r="N145" s="5"/>
      <c r="O145" s="8" t="str">
        <f t="shared" si="31"/>
        <v>n/a</v>
      </c>
      <c r="Q145" s="5"/>
      <c r="R145" s="5"/>
      <c r="S145" s="5"/>
      <c r="U145" s="6"/>
      <c r="V145" s="9" t="str">
        <f t="shared" si="34"/>
        <v/>
      </c>
      <c r="W145" s="9" t="str">
        <f t="shared" si="35"/>
        <v/>
      </c>
      <c r="X145" s="10">
        <f>SUM(V$13:V145)/COUNTA(B$13:B145)</f>
        <v>0</v>
      </c>
      <c r="Z145" s="5"/>
      <c r="AA145" s="5"/>
      <c r="AC145" s="7"/>
      <c r="AE145" s="54" t="e">
        <f t="shared" si="36"/>
        <v>#N/A</v>
      </c>
      <c r="AF145" s="4" t="e">
        <f t="shared" si="32"/>
        <v>#N/A</v>
      </c>
    </row>
    <row r="146" spans="2:32">
      <c r="B146" s="5">
        <f t="shared" si="30"/>
        <v>134</v>
      </c>
      <c r="C146" s="5"/>
      <c r="E146" s="13"/>
      <c r="F146" s="5"/>
      <c r="G146" s="11" t="str">
        <f>IF(ISERROR(AVERAGE(F$13:F146)),"n/a",AVERAGE(F$13:F146))</f>
        <v>n/a</v>
      </c>
      <c r="H146" s="11" t="str">
        <f t="shared" si="33"/>
        <v>n/a</v>
      </c>
      <c r="J146" s="5"/>
      <c r="K146" s="5"/>
      <c r="L146" s="5"/>
      <c r="M146" s="5"/>
      <c r="N146" s="5"/>
      <c r="O146" s="8" t="str">
        <f t="shared" si="31"/>
        <v>n/a</v>
      </c>
      <c r="Q146" s="5"/>
      <c r="R146" s="5"/>
      <c r="S146" s="5"/>
      <c r="U146" s="6"/>
      <c r="V146" s="9" t="str">
        <f t="shared" si="34"/>
        <v/>
      </c>
      <c r="W146" s="9" t="str">
        <f t="shared" si="35"/>
        <v/>
      </c>
      <c r="X146" s="10">
        <f>SUM(V$13:V146)/COUNTA(B$13:B146)</f>
        <v>0</v>
      </c>
      <c r="Z146" s="5"/>
      <c r="AA146" s="5"/>
      <c r="AC146" s="7"/>
      <c r="AE146" s="54" t="e">
        <f t="shared" si="36"/>
        <v>#N/A</v>
      </c>
      <c r="AF146" s="4" t="e">
        <f t="shared" si="32"/>
        <v>#N/A</v>
      </c>
    </row>
    <row r="147" spans="2:32">
      <c r="B147" s="5">
        <f t="shared" ref="B147:B210" si="37">+B146+1</f>
        <v>135</v>
      </c>
      <c r="C147" s="5"/>
      <c r="E147" s="13"/>
      <c r="F147" s="5"/>
      <c r="G147" s="11" t="str">
        <f>IF(ISERROR(AVERAGE(F$13:F147)),"n/a",AVERAGE(F$13:F147))</f>
        <v>n/a</v>
      </c>
      <c r="H147" s="11" t="str">
        <f t="shared" si="33"/>
        <v>n/a</v>
      </c>
      <c r="J147" s="5"/>
      <c r="K147" s="5"/>
      <c r="L147" s="5"/>
      <c r="M147" s="5"/>
      <c r="N147" s="5"/>
      <c r="O147" s="8" t="str">
        <f t="shared" si="31"/>
        <v>n/a</v>
      </c>
      <c r="Q147" s="5"/>
      <c r="R147" s="5"/>
      <c r="S147" s="5"/>
      <c r="U147" s="6"/>
      <c r="V147" s="9" t="str">
        <f t="shared" si="34"/>
        <v/>
      </c>
      <c r="W147" s="9" t="str">
        <f t="shared" si="35"/>
        <v/>
      </c>
      <c r="X147" s="10">
        <f>SUM(V$13:V147)/COUNTA(B$13:B147)</f>
        <v>0</v>
      </c>
      <c r="Z147" s="5"/>
      <c r="AA147" s="5"/>
      <c r="AC147" s="7"/>
      <c r="AE147" s="54" t="e">
        <f t="shared" si="36"/>
        <v>#N/A</v>
      </c>
      <c r="AF147" s="4" t="e">
        <f t="shared" si="32"/>
        <v>#N/A</v>
      </c>
    </row>
    <row r="148" spans="2:32">
      <c r="B148" s="5">
        <f t="shared" si="37"/>
        <v>136</v>
      </c>
      <c r="C148" s="5"/>
      <c r="E148" s="13"/>
      <c r="F148" s="5"/>
      <c r="G148" s="11" t="str">
        <f>IF(ISERROR(AVERAGE(F$13:F148)),"n/a",AVERAGE(F$13:F148))</f>
        <v>n/a</v>
      </c>
      <c r="H148" s="11" t="str">
        <f t="shared" si="33"/>
        <v>n/a</v>
      </c>
      <c r="J148" s="5"/>
      <c r="K148" s="5"/>
      <c r="L148" s="5"/>
      <c r="M148" s="5"/>
      <c r="N148" s="5"/>
      <c r="O148" s="8" t="str">
        <f t="shared" si="31"/>
        <v>n/a</v>
      </c>
      <c r="Q148" s="5"/>
      <c r="R148" s="5"/>
      <c r="S148" s="5"/>
      <c r="U148" s="6"/>
      <c r="V148" s="9" t="str">
        <f t="shared" si="34"/>
        <v/>
      </c>
      <c r="W148" s="9" t="str">
        <f t="shared" si="35"/>
        <v/>
      </c>
      <c r="X148" s="10">
        <f>SUM(V$13:V148)/COUNTA(B$13:B148)</f>
        <v>0</v>
      </c>
      <c r="Z148" s="5"/>
      <c r="AA148" s="5"/>
      <c r="AC148" s="7"/>
      <c r="AE148" s="54" t="e">
        <f t="shared" si="36"/>
        <v>#N/A</v>
      </c>
      <c r="AF148" s="4" t="e">
        <f t="shared" si="32"/>
        <v>#N/A</v>
      </c>
    </row>
    <row r="149" spans="2:32">
      <c r="B149" s="5">
        <f t="shared" si="37"/>
        <v>137</v>
      </c>
      <c r="C149" s="5"/>
      <c r="E149" s="13"/>
      <c r="F149" s="5"/>
      <c r="G149" s="11" t="str">
        <f>IF(ISERROR(AVERAGE(F$13:F149)),"n/a",AVERAGE(F$13:F149))</f>
        <v>n/a</v>
      </c>
      <c r="H149" s="11" t="str">
        <f t="shared" si="33"/>
        <v>n/a</v>
      </c>
      <c r="J149" s="5"/>
      <c r="K149" s="5"/>
      <c r="L149" s="5"/>
      <c r="M149" s="5"/>
      <c r="N149" s="5"/>
      <c r="O149" s="8" t="str">
        <f t="shared" si="31"/>
        <v>n/a</v>
      </c>
      <c r="Q149" s="5"/>
      <c r="R149" s="5"/>
      <c r="S149" s="5"/>
      <c r="U149" s="6"/>
      <c r="V149" s="9" t="str">
        <f t="shared" si="34"/>
        <v/>
      </c>
      <c r="W149" s="9" t="str">
        <f t="shared" si="35"/>
        <v/>
      </c>
      <c r="X149" s="10">
        <f>SUM(V$13:V149)/COUNTA(B$13:B149)</f>
        <v>0</v>
      </c>
      <c r="Z149" s="5"/>
      <c r="AA149" s="5"/>
      <c r="AC149" s="7"/>
      <c r="AE149" s="54" t="e">
        <f t="shared" si="36"/>
        <v>#N/A</v>
      </c>
      <c r="AF149" s="4" t="e">
        <f t="shared" si="32"/>
        <v>#N/A</v>
      </c>
    </row>
    <row r="150" spans="2:32">
      <c r="B150" s="5">
        <f t="shared" si="37"/>
        <v>138</v>
      </c>
      <c r="C150" s="5"/>
      <c r="E150" s="13"/>
      <c r="F150" s="5"/>
      <c r="G150" s="11" t="str">
        <f>IF(ISERROR(AVERAGE(F$13:F150)),"n/a",AVERAGE(F$13:F150))</f>
        <v>n/a</v>
      </c>
      <c r="H150" s="11" t="str">
        <f t="shared" si="33"/>
        <v>n/a</v>
      </c>
      <c r="J150" s="5"/>
      <c r="K150" s="5"/>
      <c r="L150" s="5"/>
      <c r="M150" s="5"/>
      <c r="N150" s="5"/>
      <c r="O150" s="8" t="str">
        <f t="shared" si="31"/>
        <v>n/a</v>
      </c>
      <c r="Q150" s="5"/>
      <c r="R150" s="5"/>
      <c r="S150" s="5"/>
      <c r="U150" s="6"/>
      <c r="V150" s="9" t="str">
        <f t="shared" si="34"/>
        <v/>
      </c>
      <c r="W150" s="9" t="str">
        <f t="shared" si="35"/>
        <v/>
      </c>
      <c r="X150" s="10">
        <f>SUM(V$13:V150)/COUNTA(B$13:B150)</f>
        <v>0</v>
      </c>
      <c r="Z150" s="5"/>
      <c r="AA150" s="5"/>
      <c r="AC150" s="7"/>
      <c r="AE150" s="54" t="e">
        <f t="shared" si="36"/>
        <v>#N/A</v>
      </c>
      <c r="AF150" s="4" t="e">
        <f t="shared" si="32"/>
        <v>#N/A</v>
      </c>
    </row>
    <row r="151" spans="2:32">
      <c r="B151" s="5">
        <f t="shared" si="37"/>
        <v>139</v>
      </c>
      <c r="C151" s="5"/>
      <c r="E151" s="13"/>
      <c r="F151" s="5"/>
      <c r="G151" s="11" t="str">
        <f>IF(ISERROR(AVERAGE(F$13:F151)),"n/a",AVERAGE(F$13:F151))</f>
        <v>n/a</v>
      </c>
      <c r="H151" s="11" t="str">
        <f t="shared" si="33"/>
        <v>n/a</v>
      </c>
      <c r="J151" s="5"/>
      <c r="K151" s="5"/>
      <c r="L151" s="5"/>
      <c r="M151" s="5"/>
      <c r="N151" s="5"/>
      <c r="O151" s="8" t="str">
        <f t="shared" si="31"/>
        <v>n/a</v>
      </c>
      <c r="Q151" s="5"/>
      <c r="R151" s="5"/>
      <c r="S151" s="5"/>
      <c r="U151" s="6"/>
      <c r="V151" s="9" t="str">
        <f t="shared" si="34"/>
        <v/>
      </c>
      <c r="W151" s="9" t="str">
        <f t="shared" si="35"/>
        <v/>
      </c>
      <c r="X151" s="10">
        <f>SUM(V$13:V151)/COUNTA(B$13:B151)</f>
        <v>0</v>
      </c>
      <c r="Z151" s="5"/>
      <c r="AA151" s="5"/>
      <c r="AC151" s="7"/>
      <c r="AE151" s="54" t="e">
        <f t="shared" si="36"/>
        <v>#N/A</v>
      </c>
      <c r="AF151" s="4" t="e">
        <f t="shared" si="32"/>
        <v>#N/A</v>
      </c>
    </row>
    <row r="152" spans="2:32">
      <c r="B152" s="5">
        <f t="shared" si="37"/>
        <v>140</v>
      </c>
      <c r="C152" s="5"/>
      <c r="E152" s="13"/>
      <c r="F152" s="5"/>
      <c r="G152" s="11" t="str">
        <f>IF(ISERROR(AVERAGE(F$13:F152)),"n/a",AVERAGE(F$13:F152))</f>
        <v>n/a</v>
      </c>
      <c r="H152" s="11" t="str">
        <f t="shared" si="33"/>
        <v>n/a</v>
      </c>
      <c r="J152" s="5"/>
      <c r="K152" s="5"/>
      <c r="L152" s="5"/>
      <c r="M152" s="5"/>
      <c r="N152" s="5"/>
      <c r="O152" s="8" t="str">
        <f t="shared" si="31"/>
        <v>n/a</v>
      </c>
      <c r="Q152" s="5"/>
      <c r="R152" s="5"/>
      <c r="S152" s="5"/>
      <c r="U152" s="6"/>
      <c r="V152" s="9" t="str">
        <f t="shared" si="34"/>
        <v/>
      </c>
      <c r="W152" s="9" t="str">
        <f t="shared" si="35"/>
        <v/>
      </c>
      <c r="X152" s="10">
        <f>SUM(V$13:V152)/COUNTA(B$13:B152)</f>
        <v>0</v>
      </c>
      <c r="Z152" s="5"/>
      <c r="AA152" s="5"/>
      <c r="AC152" s="7"/>
      <c r="AE152" s="54" t="e">
        <f t="shared" si="36"/>
        <v>#N/A</v>
      </c>
      <c r="AF152" s="4" t="e">
        <f t="shared" si="32"/>
        <v>#N/A</v>
      </c>
    </row>
    <row r="153" spans="2:32">
      <c r="B153" s="5">
        <f t="shared" si="37"/>
        <v>141</v>
      </c>
      <c r="C153" s="5"/>
      <c r="E153" s="13"/>
      <c r="F153" s="5"/>
      <c r="G153" s="11" t="str">
        <f>IF(ISERROR(AVERAGE(F$13:F153)),"n/a",AVERAGE(F$13:F153))</f>
        <v>n/a</v>
      </c>
      <c r="H153" s="11" t="str">
        <f t="shared" si="33"/>
        <v>n/a</v>
      </c>
      <c r="J153" s="5"/>
      <c r="K153" s="5"/>
      <c r="L153" s="5"/>
      <c r="M153" s="5"/>
      <c r="N153" s="5"/>
      <c r="O153" s="8" t="str">
        <f t="shared" si="31"/>
        <v>n/a</v>
      </c>
      <c r="Q153" s="5"/>
      <c r="R153" s="5"/>
      <c r="S153" s="5"/>
      <c r="U153" s="6"/>
      <c r="V153" s="9" t="str">
        <f t="shared" si="34"/>
        <v/>
      </c>
      <c r="W153" s="9" t="str">
        <f t="shared" si="35"/>
        <v/>
      </c>
      <c r="X153" s="10">
        <f>SUM(V$13:V153)/COUNTA(B$13:B153)</f>
        <v>0</v>
      </c>
      <c r="Z153" s="5"/>
      <c r="AA153" s="5"/>
      <c r="AC153" s="7"/>
      <c r="AE153" s="54" t="e">
        <f t="shared" si="36"/>
        <v>#N/A</v>
      </c>
      <c r="AF153" s="4" t="e">
        <f t="shared" si="32"/>
        <v>#N/A</v>
      </c>
    </row>
    <row r="154" spans="2:32">
      <c r="B154" s="5">
        <f t="shared" si="37"/>
        <v>142</v>
      </c>
      <c r="C154" s="5"/>
      <c r="E154" s="13"/>
      <c r="F154" s="5"/>
      <c r="G154" s="11" t="str">
        <f>IF(ISERROR(AVERAGE(F$13:F154)),"n/a",AVERAGE(F$13:F154))</f>
        <v>n/a</v>
      </c>
      <c r="H154" s="11" t="str">
        <f t="shared" si="33"/>
        <v>n/a</v>
      </c>
      <c r="J154" s="5"/>
      <c r="K154" s="5"/>
      <c r="L154" s="5"/>
      <c r="M154" s="5"/>
      <c r="N154" s="5"/>
      <c r="O154" s="8" t="str">
        <f t="shared" si="31"/>
        <v>n/a</v>
      </c>
      <c r="Q154" s="5"/>
      <c r="R154" s="5"/>
      <c r="S154" s="5"/>
      <c r="U154" s="6"/>
      <c r="V154" s="9" t="str">
        <f t="shared" si="34"/>
        <v/>
      </c>
      <c r="W154" s="9" t="str">
        <f t="shared" si="35"/>
        <v/>
      </c>
      <c r="X154" s="10">
        <f>SUM(V$13:V154)/COUNTA(B$13:B154)</f>
        <v>0</v>
      </c>
      <c r="Z154" s="5"/>
      <c r="AA154" s="5"/>
      <c r="AC154" s="7"/>
      <c r="AE154" s="54" t="e">
        <f t="shared" si="36"/>
        <v>#N/A</v>
      </c>
      <c r="AF154" s="4" t="e">
        <f t="shared" si="32"/>
        <v>#N/A</v>
      </c>
    </row>
    <row r="155" spans="2:32">
      <c r="B155" s="5">
        <f t="shared" si="37"/>
        <v>143</v>
      </c>
      <c r="C155" s="5"/>
      <c r="E155" s="13"/>
      <c r="F155" s="5"/>
      <c r="G155" s="11" t="str">
        <f>IF(ISERROR(AVERAGE(F$13:F155)),"n/a",AVERAGE(F$13:F155))</f>
        <v>n/a</v>
      </c>
      <c r="H155" s="11" t="str">
        <f t="shared" si="33"/>
        <v>n/a</v>
      </c>
      <c r="J155" s="5"/>
      <c r="K155" s="5"/>
      <c r="L155" s="5"/>
      <c r="M155" s="5"/>
      <c r="N155" s="5"/>
      <c r="O155" s="8" t="str">
        <f t="shared" si="31"/>
        <v>n/a</v>
      </c>
      <c r="Q155" s="5"/>
      <c r="R155" s="5"/>
      <c r="S155" s="5"/>
      <c r="U155" s="6"/>
      <c r="V155" s="9" t="str">
        <f t="shared" si="34"/>
        <v/>
      </c>
      <c r="W155" s="9" t="str">
        <f t="shared" si="35"/>
        <v/>
      </c>
      <c r="X155" s="10">
        <f>SUM(V$13:V155)/COUNTA(B$13:B155)</f>
        <v>0</v>
      </c>
      <c r="Z155" s="5"/>
      <c r="AA155" s="5"/>
      <c r="AC155" s="7"/>
      <c r="AE155" s="54" t="e">
        <f t="shared" si="36"/>
        <v>#N/A</v>
      </c>
      <c r="AF155" s="4" t="e">
        <f t="shared" si="32"/>
        <v>#N/A</v>
      </c>
    </row>
    <row r="156" spans="2:32">
      <c r="B156" s="5">
        <f t="shared" si="37"/>
        <v>144</v>
      </c>
      <c r="C156" s="5"/>
      <c r="E156" s="13"/>
      <c r="F156" s="5"/>
      <c r="G156" s="11" t="str">
        <f>IF(ISERROR(AVERAGE(F$13:F156)),"n/a",AVERAGE(F$13:F156))</f>
        <v>n/a</v>
      </c>
      <c r="H156" s="11" t="str">
        <f t="shared" si="33"/>
        <v>n/a</v>
      </c>
      <c r="J156" s="5"/>
      <c r="K156" s="5"/>
      <c r="L156" s="5"/>
      <c r="M156" s="5"/>
      <c r="N156" s="5"/>
      <c r="O156" s="8" t="str">
        <f t="shared" si="31"/>
        <v>n/a</v>
      </c>
      <c r="Q156" s="5"/>
      <c r="R156" s="5"/>
      <c r="S156" s="5"/>
      <c r="U156" s="6"/>
      <c r="V156" s="9" t="str">
        <f t="shared" si="34"/>
        <v/>
      </c>
      <c r="W156" s="9" t="str">
        <f t="shared" si="35"/>
        <v/>
      </c>
      <c r="X156" s="10">
        <f>SUM(V$13:V156)/COUNTA(B$13:B156)</f>
        <v>0</v>
      </c>
      <c r="Z156" s="5"/>
      <c r="AA156" s="5"/>
      <c r="AC156" s="7"/>
      <c r="AE156" s="54" t="e">
        <f t="shared" si="36"/>
        <v>#N/A</v>
      </c>
      <c r="AF156" s="4" t="e">
        <f t="shared" si="32"/>
        <v>#N/A</v>
      </c>
    </row>
    <row r="157" spans="2:32">
      <c r="B157" s="5">
        <f t="shared" si="37"/>
        <v>145</v>
      </c>
      <c r="C157" s="5"/>
      <c r="E157" s="13"/>
      <c r="F157" s="5"/>
      <c r="G157" s="11" t="str">
        <f>IF(ISERROR(AVERAGE(F$13:F157)),"n/a",AVERAGE(F$13:F157))</f>
        <v>n/a</v>
      </c>
      <c r="H157" s="11" t="str">
        <f t="shared" si="33"/>
        <v>n/a</v>
      </c>
      <c r="J157" s="5"/>
      <c r="K157" s="5"/>
      <c r="L157" s="5"/>
      <c r="M157" s="5"/>
      <c r="N157" s="5"/>
      <c r="O157" s="8" t="str">
        <f t="shared" si="31"/>
        <v>n/a</v>
      </c>
      <c r="Q157" s="5"/>
      <c r="R157" s="5"/>
      <c r="S157" s="5"/>
      <c r="U157" s="6"/>
      <c r="V157" s="9" t="str">
        <f t="shared" si="34"/>
        <v/>
      </c>
      <c r="W157" s="9" t="str">
        <f t="shared" si="35"/>
        <v/>
      </c>
      <c r="X157" s="10">
        <f>SUM(V$13:V157)/COUNTA(B$13:B157)</f>
        <v>0</v>
      </c>
      <c r="Z157" s="5"/>
      <c r="AA157" s="5"/>
      <c r="AC157" s="7"/>
      <c r="AE157" s="54" t="e">
        <f t="shared" si="36"/>
        <v>#N/A</v>
      </c>
      <c r="AF157" s="4" t="e">
        <f t="shared" si="32"/>
        <v>#N/A</v>
      </c>
    </row>
    <row r="158" spans="2:32">
      <c r="B158" s="5">
        <f t="shared" si="37"/>
        <v>146</v>
      </c>
      <c r="C158" s="5"/>
      <c r="E158" s="13"/>
      <c r="F158" s="5"/>
      <c r="G158" s="11" t="str">
        <f>IF(ISERROR(AVERAGE(F$13:F158)),"n/a",AVERAGE(F$13:F158))</f>
        <v>n/a</v>
      </c>
      <c r="H158" s="11" t="str">
        <f t="shared" si="33"/>
        <v>n/a</v>
      </c>
      <c r="J158" s="5"/>
      <c r="K158" s="5"/>
      <c r="L158" s="5"/>
      <c r="M158" s="5"/>
      <c r="N158" s="5"/>
      <c r="O158" s="8" t="str">
        <f t="shared" si="31"/>
        <v>n/a</v>
      </c>
      <c r="Q158" s="5"/>
      <c r="R158" s="5"/>
      <c r="S158" s="5"/>
      <c r="U158" s="6"/>
      <c r="V158" s="9" t="str">
        <f t="shared" si="34"/>
        <v/>
      </c>
      <c r="W158" s="9" t="str">
        <f t="shared" si="35"/>
        <v/>
      </c>
      <c r="X158" s="10">
        <f>SUM(V$13:V158)/COUNTA(B$13:B158)</f>
        <v>0</v>
      </c>
      <c r="Z158" s="5"/>
      <c r="AA158" s="5"/>
      <c r="AC158" s="7"/>
      <c r="AE158" s="54" t="e">
        <f t="shared" si="36"/>
        <v>#N/A</v>
      </c>
      <c r="AF158" s="4" t="e">
        <f t="shared" si="32"/>
        <v>#N/A</v>
      </c>
    </row>
    <row r="159" spans="2:32">
      <c r="B159" s="5">
        <f t="shared" si="37"/>
        <v>147</v>
      </c>
      <c r="C159" s="5"/>
      <c r="E159" s="13"/>
      <c r="F159" s="5"/>
      <c r="G159" s="11" t="str">
        <f>IF(ISERROR(AVERAGE(F$13:F159)),"n/a",AVERAGE(F$13:F159))</f>
        <v>n/a</v>
      </c>
      <c r="H159" s="11" t="str">
        <f t="shared" si="33"/>
        <v>n/a</v>
      </c>
      <c r="J159" s="5"/>
      <c r="K159" s="5"/>
      <c r="L159" s="5"/>
      <c r="M159" s="5"/>
      <c r="N159" s="5"/>
      <c r="O159" s="8" t="str">
        <f t="shared" si="31"/>
        <v>n/a</v>
      </c>
      <c r="Q159" s="5"/>
      <c r="R159" s="5"/>
      <c r="S159" s="5"/>
      <c r="U159" s="6"/>
      <c r="V159" s="9" t="str">
        <f t="shared" si="34"/>
        <v/>
      </c>
      <c r="W159" s="9" t="str">
        <f t="shared" si="35"/>
        <v/>
      </c>
      <c r="X159" s="10">
        <f>SUM(V$13:V159)/COUNTA(B$13:B159)</f>
        <v>0</v>
      </c>
      <c r="Z159" s="5"/>
      <c r="AA159" s="5"/>
      <c r="AC159" s="7"/>
      <c r="AE159" s="54" t="e">
        <f t="shared" si="36"/>
        <v>#N/A</v>
      </c>
      <c r="AF159" s="4" t="e">
        <f t="shared" si="32"/>
        <v>#N/A</v>
      </c>
    </row>
    <row r="160" spans="2:32">
      <c r="B160" s="5">
        <f t="shared" si="37"/>
        <v>148</v>
      </c>
      <c r="C160" s="5"/>
      <c r="E160" s="13"/>
      <c r="F160" s="5"/>
      <c r="G160" s="11" t="str">
        <f>IF(ISERROR(AVERAGE(F$13:F160)),"n/a",AVERAGE(F$13:F160))</f>
        <v>n/a</v>
      </c>
      <c r="H160" s="11" t="str">
        <f t="shared" si="33"/>
        <v>n/a</v>
      </c>
      <c r="J160" s="5"/>
      <c r="K160" s="5"/>
      <c r="L160" s="5"/>
      <c r="M160" s="5"/>
      <c r="N160" s="5"/>
      <c r="O160" s="8" t="str">
        <f t="shared" si="31"/>
        <v>n/a</v>
      </c>
      <c r="Q160" s="5"/>
      <c r="R160" s="5"/>
      <c r="S160" s="5"/>
      <c r="U160" s="6"/>
      <c r="V160" s="9" t="str">
        <f t="shared" si="34"/>
        <v/>
      </c>
      <c r="W160" s="9" t="str">
        <f t="shared" si="35"/>
        <v/>
      </c>
      <c r="X160" s="10">
        <f>SUM(V$13:V160)/COUNTA(B$13:B160)</f>
        <v>0</v>
      </c>
      <c r="Z160" s="5"/>
      <c r="AA160" s="5"/>
      <c r="AC160" s="7"/>
      <c r="AE160" s="54" t="e">
        <f t="shared" si="36"/>
        <v>#N/A</v>
      </c>
      <c r="AF160" s="4" t="e">
        <f t="shared" si="32"/>
        <v>#N/A</v>
      </c>
    </row>
    <row r="161" spans="2:32">
      <c r="B161" s="5">
        <f t="shared" si="37"/>
        <v>149</v>
      </c>
      <c r="C161" s="5"/>
      <c r="E161" s="13"/>
      <c r="F161" s="5"/>
      <c r="G161" s="11" t="str">
        <f>IF(ISERROR(AVERAGE(F$13:F161)),"n/a",AVERAGE(F$13:F161))</f>
        <v>n/a</v>
      </c>
      <c r="H161" s="11" t="str">
        <f t="shared" si="33"/>
        <v>n/a</v>
      </c>
      <c r="J161" s="5"/>
      <c r="K161" s="5"/>
      <c r="L161" s="5"/>
      <c r="M161" s="5"/>
      <c r="N161" s="5"/>
      <c r="O161" s="8" t="str">
        <f t="shared" si="31"/>
        <v>n/a</v>
      </c>
      <c r="Q161" s="5"/>
      <c r="R161" s="5"/>
      <c r="S161" s="5"/>
      <c r="U161" s="6"/>
      <c r="V161" s="9" t="str">
        <f t="shared" si="34"/>
        <v/>
      </c>
      <c r="W161" s="9" t="str">
        <f t="shared" si="35"/>
        <v/>
      </c>
      <c r="X161" s="10">
        <f>SUM(V$13:V161)/COUNTA(B$13:B161)</f>
        <v>0</v>
      </c>
      <c r="Z161" s="5"/>
      <c r="AA161" s="5"/>
      <c r="AC161" s="7"/>
      <c r="AE161" s="54" t="e">
        <f t="shared" si="36"/>
        <v>#N/A</v>
      </c>
      <c r="AF161" s="4" t="e">
        <f t="shared" si="32"/>
        <v>#N/A</v>
      </c>
    </row>
    <row r="162" spans="2:32">
      <c r="B162" s="5">
        <f t="shared" si="37"/>
        <v>150</v>
      </c>
      <c r="C162" s="5"/>
      <c r="E162" s="13"/>
      <c r="F162" s="5"/>
      <c r="G162" s="11" t="str">
        <f>IF(ISERROR(AVERAGE(F$13:F162)),"n/a",AVERAGE(F$13:F162))</f>
        <v>n/a</v>
      </c>
      <c r="H162" s="11" t="str">
        <f t="shared" si="33"/>
        <v>n/a</v>
      </c>
      <c r="J162" s="5"/>
      <c r="K162" s="5"/>
      <c r="L162" s="5"/>
      <c r="M162" s="5"/>
      <c r="N162" s="5"/>
      <c r="O162" s="8" t="str">
        <f t="shared" si="31"/>
        <v>n/a</v>
      </c>
      <c r="Q162" s="5"/>
      <c r="R162" s="5"/>
      <c r="S162" s="5"/>
      <c r="U162" s="6"/>
      <c r="V162" s="9" t="str">
        <f t="shared" si="34"/>
        <v/>
      </c>
      <c r="W162" s="9" t="str">
        <f t="shared" si="35"/>
        <v/>
      </c>
      <c r="X162" s="10">
        <f>SUM(V$13:V162)/COUNTA(B$13:B162)</f>
        <v>0</v>
      </c>
      <c r="Z162" s="5"/>
      <c r="AA162" s="5"/>
      <c r="AC162" s="7"/>
      <c r="AE162" s="54" t="e">
        <f t="shared" si="36"/>
        <v>#N/A</v>
      </c>
      <c r="AF162" s="4" t="e">
        <f t="shared" si="32"/>
        <v>#N/A</v>
      </c>
    </row>
    <row r="163" spans="2:32">
      <c r="B163" s="5">
        <f t="shared" si="37"/>
        <v>151</v>
      </c>
      <c r="C163" s="5"/>
      <c r="E163" s="13"/>
      <c r="F163" s="5"/>
      <c r="G163" s="11" t="str">
        <f>IF(ISERROR(AVERAGE(F$13:F163)),"n/a",AVERAGE(F$13:F163))</f>
        <v>n/a</v>
      </c>
      <c r="H163" s="11" t="str">
        <f t="shared" si="33"/>
        <v>n/a</v>
      </c>
      <c r="J163" s="5"/>
      <c r="K163" s="5"/>
      <c r="L163" s="5"/>
      <c r="M163" s="5"/>
      <c r="N163" s="5"/>
      <c r="O163" s="8" t="str">
        <f t="shared" si="31"/>
        <v>n/a</v>
      </c>
      <c r="Q163" s="5"/>
      <c r="R163" s="5"/>
      <c r="S163" s="5"/>
      <c r="U163" s="6"/>
      <c r="V163" s="9" t="str">
        <f t="shared" si="34"/>
        <v/>
      </c>
      <c r="W163" s="9" t="str">
        <f t="shared" si="35"/>
        <v/>
      </c>
      <c r="X163" s="10">
        <f>SUM(V$13:V163)/COUNTA(B$13:B163)</f>
        <v>0</v>
      </c>
      <c r="Z163" s="5"/>
      <c r="AA163" s="5"/>
      <c r="AC163" s="7"/>
      <c r="AE163" s="54" t="e">
        <f t="shared" si="36"/>
        <v>#N/A</v>
      </c>
      <c r="AF163" s="4" t="e">
        <f t="shared" si="32"/>
        <v>#N/A</v>
      </c>
    </row>
    <row r="164" spans="2:32">
      <c r="B164" s="5">
        <f t="shared" si="37"/>
        <v>152</v>
      </c>
      <c r="C164" s="5"/>
      <c r="E164" s="13"/>
      <c r="F164" s="5"/>
      <c r="G164" s="11" t="str">
        <f>IF(ISERROR(AVERAGE(F$13:F164)),"n/a",AVERAGE(F$13:F164))</f>
        <v>n/a</v>
      </c>
      <c r="H164" s="11" t="str">
        <f t="shared" si="33"/>
        <v>n/a</v>
      </c>
      <c r="J164" s="5"/>
      <c r="K164" s="5"/>
      <c r="L164" s="5"/>
      <c r="M164" s="5"/>
      <c r="N164" s="5"/>
      <c r="O164" s="8" t="str">
        <f t="shared" si="31"/>
        <v>n/a</v>
      </c>
      <c r="Q164" s="5"/>
      <c r="R164" s="5"/>
      <c r="S164" s="5"/>
      <c r="U164" s="6"/>
      <c r="V164" s="9" t="str">
        <f t="shared" si="34"/>
        <v/>
      </c>
      <c r="W164" s="9" t="str">
        <f t="shared" si="35"/>
        <v/>
      </c>
      <c r="X164" s="10">
        <f>SUM(V$13:V164)/COUNTA(B$13:B164)</f>
        <v>0</v>
      </c>
      <c r="Z164" s="5"/>
      <c r="AA164" s="5"/>
      <c r="AC164" s="7"/>
      <c r="AE164" s="54" t="e">
        <f t="shared" si="36"/>
        <v>#N/A</v>
      </c>
      <c r="AF164" s="4" t="e">
        <f t="shared" si="32"/>
        <v>#N/A</v>
      </c>
    </row>
    <row r="165" spans="2:32">
      <c r="B165" s="5">
        <f t="shared" si="37"/>
        <v>153</v>
      </c>
      <c r="C165" s="5"/>
      <c r="E165" s="13"/>
      <c r="F165" s="5"/>
      <c r="G165" s="11" t="str">
        <f>IF(ISERROR(AVERAGE(F$13:F165)),"n/a",AVERAGE(F$13:F165))</f>
        <v>n/a</v>
      </c>
      <c r="H165" s="11" t="str">
        <f t="shared" si="33"/>
        <v>n/a</v>
      </c>
      <c r="J165" s="5"/>
      <c r="K165" s="5"/>
      <c r="L165" s="5"/>
      <c r="M165" s="5"/>
      <c r="N165" s="5"/>
      <c r="O165" s="8" t="str">
        <f t="shared" si="31"/>
        <v>n/a</v>
      </c>
      <c r="Q165" s="5"/>
      <c r="R165" s="5"/>
      <c r="S165" s="5"/>
      <c r="U165" s="6"/>
      <c r="V165" s="9" t="str">
        <f t="shared" si="34"/>
        <v/>
      </c>
      <c r="W165" s="9" t="str">
        <f t="shared" si="35"/>
        <v/>
      </c>
      <c r="X165" s="10">
        <f>SUM(V$13:V165)/COUNTA(B$13:B165)</f>
        <v>0</v>
      </c>
      <c r="Z165" s="5"/>
      <c r="AA165" s="5"/>
      <c r="AC165" s="7"/>
      <c r="AE165" s="54" t="e">
        <f t="shared" si="36"/>
        <v>#N/A</v>
      </c>
      <c r="AF165" s="4" t="e">
        <f t="shared" si="32"/>
        <v>#N/A</v>
      </c>
    </row>
    <row r="166" spans="2:32">
      <c r="B166" s="5">
        <f t="shared" si="37"/>
        <v>154</v>
      </c>
      <c r="C166" s="5"/>
      <c r="E166" s="13"/>
      <c r="F166" s="5"/>
      <c r="G166" s="11" t="str">
        <f>IF(ISERROR(AVERAGE(F$13:F166)),"n/a",AVERAGE(F$13:F166))</f>
        <v>n/a</v>
      </c>
      <c r="H166" s="11" t="str">
        <f t="shared" si="33"/>
        <v>n/a</v>
      </c>
      <c r="J166" s="5"/>
      <c r="K166" s="5"/>
      <c r="L166" s="5"/>
      <c r="M166" s="5"/>
      <c r="N166" s="5"/>
      <c r="O166" s="8" t="str">
        <f t="shared" si="31"/>
        <v>n/a</v>
      </c>
      <c r="Q166" s="5"/>
      <c r="R166" s="5"/>
      <c r="S166" s="5"/>
      <c r="U166" s="6"/>
      <c r="V166" s="9" t="str">
        <f t="shared" si="34"/>
        <v/>
      </c>
      <c r="W166" s="9" t="str">
        <f t="shared" si="35"/>
        <v/>
      </c>
      <c r="X166" s="10">
        <f>SUM(V$13:V166)/COUNTA(B$13:B166)</f>
        <v>0</v>
      </c>
      <c r="Z166" s="5"/>
      <c r="AA166" s="5"/>
      <c r="AC166" s="7"/>
      <c r="AE166" s="54" t="e">
        <f t="shared" si="36"/>
        <v>#N/A</v>
      </c>
      <c r="AF166" s="4" t="e">
        <f t="shared" si="32"/>
        <v>#N/A</v>
      </c>
    </row>
    <row r="167" spans="2:32">
      <c r="B167" s="5">
        <f t="shared" si="37"/>
        <v>155</v>
      </c>
      <c r="C167" s="5"/>
      <c r="E167" s="13"/>
      <c r="F167" s="5"/>
      <c r="G167" s="11" t="str">
        <f>IF(ISERROR(AVERAGE(F$13:F167)),"n/a",AVERAGE(F$13:F167))</f>
        <v>n/a</v>
      </c>
      <c r="H167" s="11" t="str">
        <f t="shared" si="33"/>
        <v>n/a</v>
      </c>
      <c r="J167" s="5"/>
      <c r="K167" s="5"/>
      <c r="L167" s="5"/>
      <c r="M167" s="5"/>
      <c r="N167" s="5"/>
      <c r="O167" s="8" t="str">
        <f t="shared" si="31"/>
        <v>n/a</v>
      </c>
      <c r="Q167" s="5"/>
      <c r="R167" s="5"/>
      <c r="S167" s="5"/>
      <c r="U167" s="6"/>
      <c r="V167" s="9" t="str">
        <f t="shared" si="34"/>
        <v/>
      </c>
      <c r="W167" s="9" t="str">
        <f t="shared" si="35"/>
        <v/>
      </c>
      <c r="X167" s="10">
        <f>SUM(V$13:V167)/COUNTA(B$13:B167)</f>
        <v>0</v>
      </c>
      <c r="Z167" s="5"/>
      <c r="AA167" s="5"/>
      <c r="AC167" s="7"/>
      <c r="AE167" s="54" t="e">
        <f t="shared" si="36"/>
        <v>#N/A</v>
      </c>
      <c r="AF167" s="4" t="e">
        <f t="shared" si="32"/>
        <v>#N/A</v>
      </c>
    </row>
    <row r="168" spans="2:32">
      <c r="B168" s="5">
        <f t="shared" si="37"/>
        <v>156</v>
      </c>
      <c r="C168" s="5"/>
      <c r="E168" s="13"/>
      <c r="F168" s="5"/>
      <c r="G168" s="11" t="str">
        <f>IF(ISERROR(AVERAGE(F$13:F168)),"n/a",AVERAGE(F$13:F168))</f>
        <v>n/a</v>
      </c>
      <c r="H168" s="11" t="str">
        <f t="shared" si="33"/>
        <v>n/a</v>
      </c>
      <c r="J168" s="5"/>
      <c r="K168" s="5"/>
      <c r="L168" s="5"/>
      <c r="M168" s="5"/>
      <c r="N168" s="5"/>
      <c r="O168" s="8" t="str">
        <f t="shared" si="31"/>
        <v>n/a</v>
      </c>
      <c r="Q168" s="5"/>
      <c r="R168" s="5"/>
      <c r="S168" s="5"/>
      <c r="U168" s="6"/>
      <c r="V168" s="9" t="str">
        <f t="shared" si="34"/>
        <v/>
      </c>
      <c r="W168" s="9" t="str">
        <f t="shared" si="35"/>
        <v/>
      </c>
      <c r="X168" s="10">
        <f>SUM(V$13:V168)/COUNTA(B$13:B168)</f>
        <v>0</v>
      </c>
      <c r="Z168" s="5"/>
      <c r="AA168" s="5"/>
      <c r="AC168" s="7"/>
      <c r="AE168" s="54" t="e">
        <f t="shared" si="36"/>
        <v>#N/A</v>
      </c>
      <c r="AF168" s="4" t="e">
        <f t="shared" si="32"/>
        <v>#N/A</v>
      </c>
    </row>
    <row r="169" spans="2:32">
      <c r="B169" s="5">
        <f t="shared" si="37"/>
        <v>157</v>
      </c>
      <c r="C169" s="5"/>
      <c r="E169" s="13"/>
      <c r="F169" s="5"/>
      <c r="G169" s="11" t="str">
        <f>IF(ISERROR(AVERAGE(F$13:F169)),"n/a",AVERAGE(F$13:F169))</f>
        <v>n/a</v>
      </c>
      <c r="H169" s="11" t="str">
        <f t="shared" si="33"/>
        <v>n/a</v>
      </c>
      <c r="J169" s="5"/>
      <c r="K169" s="5"/>
      <c r="L169" s="5"/>
      <c r="M169" s="5"/>
      <c r="N169" s="5"/>
      <c r="O169" s="8" t="str">
        <f t="shared" si="31"/>
        <v>n/a</v>
      </c>
      <c r="Q169" s="5"/>
      <c r="R169" s="5"/>
      <c r="S169" s="5"/>
      <c r="U169" s="6"/>
      <c r="V169" s="9" t="str">
        <f t="shared" si="34"/>
        <v/>
      </c>
      <c r="W169" s="9" t="str">
        <f t="shared" si="35"/>
        <v/>
      </c>
      <c r="X169" s="10">
        <f>SUM(V$13:V169)/COUNTA(B$13:B169)</f>
        <v>0</v>
      </c>
      <c r="Z169" s="5"/>
      <c r="AA169" s="5"/>
      <c r="AC169" s="7"/>
      <c r="AE169" s="54" t="e">
        <f t="shared" si="36"/>
        <v>#N/A</v>
      </c>
      <c r="AF169" s="4" t="e">
        <f t="shared" si="32"/>
        <v>#N/A</v>
      </c>
    </row>
    <row r="170" spans="2:32">
      <c r="B170" s="5">
        <f t="shared" si="37"/>
        <v>158</v>
      </c>
      <c r="C170" s="5"/>
      <c r="E170" s="13"/>
      <c r="F170" s="5"/>
      <c r="G170" s="11" t="str">
        <f>IF(ISERROR(AVERAGE(F$13:F170)),"n/a",AVERAGE(F$13:F170))</f>
        <v>n/a</v>
      </c>
      <c r="H170" s="11" t="str">
        <f t="shared" si="33"/>
        <v>n/a</v>
      </c>
      <c r="J170" s="5"/>
      <c r="K170" s="5"/>
      <c r="L170" s="5"/>
      <c r="M170" s="5"/>
      <c r="N170" s="5"/>
      <c r="O170" s="8" t="str">
        <f t="shared" si="31"/>
        <v>n/a</v>
      </c>
      <c r="Q170" s="5"/>
      <c r="R170" s="5"/>
      <c r="S170" s="5"/>
      <c r="U170" s="6"/>
      <c r="V170" s="9" t="str">
        <f t="shared" si="34"/>
        <v/>
      </c>
      <c r="W170" s="9" t="str">
        <f t="shared" si="35"/>
        <v/>
      </c>
      <c r="X170" s="10">
        <f>SUM(V$13:V170)/COUNTA(B$13:B170)</f>
        <v>0</v>
      </c>
      <c r="Z170" s="5"/>
      <c r="AA170" s="5"/>
      <c r="AC170" s="7"/>
      <c r="AE170" s="54" t="e">
        <f t="shared" si="36"/>
        <v>#N/A</v>
      </c>
      <c r="AF170" s="4" t="e">
        <f t="shared" si="32"/>
        <v>#N/A</v>
      </c>
    </row>
    <row r="171" spans="2:32">
      <c r="B171" s="5">
        <f t="shared" si="37"/>
        <v>159</v>
      </c>
      <c r="C171" s="5"/>
      <c r="E171" s="13"/>
      <c r="F171" s="5"/>
      <c r="G171" s="11" t="str">
        <f>IF(ISERROR(AVERAGE(F$13:F171)),"n/a",AVERAGE(F$13:F171))</f>
        <v>n/a</v>
      </c>
      <c r="H171" s="11" t="str">
        <f t="shared" si="33"/>
        <v>n/a</v>
      </c>
      <c r="J171" s="5"/>
      <c r="K171" s="5"/>
      <c r="L171" s="5"/>
      <c r="M171" s="5"/>
      <c r="N171" s="5"/>
      <c r="O171" s="8" t="str">
        <f t="shared" si="31"/>
        <v>n/a</v>
      </c>
      <c r="Q171" s="5"/>
      <c r="R171" s="5"/>
      <c r="S171" s="5"/>
      <c r="U171" s="6"/>
      <c r="V171" s="9" t="str">
        <f t="shared" si="34"/>
        <v/>
      </c>
      <c r="W171" s="9" t="str">
        <f t="shared" si="35"/>
        <v/>
      </c>
      <c r="X171" s="10">
        <f>SUM(V$13:V171)/COUNTA(B$13:B171)</f>
        <v>0</v>
      </c>
      <c r="Z171" s="5"/>
      <c r="AA171" s="5"/>
      <c r="AC171" s="7"/>
      <c r="AE171" s="54" t="e">
        <f t="shared" si="36"/>
        <v>#N/A</v>
      </c>
      <c r="AF171" s="4" t="e">
        <f t="shared" si="32"/>
        <v>#N/A</v>
      </c>
    </row>
    <row r="172" spans="2:32">
      <c r="B172" s="5">
        <f t="shared" si="37"/>
        <v>160</v>
      </c>
      <c r="C172" s="5"/>
      <c r="E172" s="13"/>
      <c r="F172" s="5"/>
      <c r="G172" s="11" t="str">
        <f>IF(ISERROR(AVERAGE(F$13:F172)),"n/a",AVERAGE(F$13:F172))</f>
        <v>n/a</v>
      </c>
      <c r="H172" s="11" t="str">
        <f t="shared" si="33"/>
        <v>n/a</v>
      </c>
      <c r="J172" s="5"/>
      <c r="K172" s="5"/>
      <c r="L172" s="5"/>
      <c r="M172" s="5"/>
      <c r="N172" s="5"/>
      <c r="O172" s="8" t="str">
        <f t="shared" si="31"/>
        <v>n/a</v>
      </c>
      <c r="Q172" s="5"/>
      <c r="R172" s="5"/>
      <c r="S172" s="5"/>
      <c r="U172" s="6"/>
      <c r="V172" s="9" t="str">
        <f t="shared" si="34"/>
        <v/>
      </c>
      <c r="W172" s="9" t="str">
        <f t="shared" si="35"/>
        <v/>
      </c>
      <c r="X172" s="10">
        <f>SUM(V$13:V172)/COUNTA(B$13:B172)</f>
        <v>0</v>
      </c>
      <c r="Z172" s="5"/>
      <c r="AA172" s="5"/>
      <c r="AC172" s="7"/>
      <c r="AE172" s="54" t="e">
        <f t="shared" si="36"/>
        <v>#N/A</v>
      </c>
      <c r="AF172" s="4" t="e">
        <f t="shared" si="32"/>
        <v>#N/A</v>
      </c>
    </row>
    <row r="173" spans="2:32">
      <c r="B173" s="5">
        <f t="shared" si="37"/>
        <v>161</v>
      </c>
      <c r="C173" s="5"/>
      <c r="E173" s="13"/>
      <c r="F173" s="5"/>
      <c r="G173" s="11" t="str">
        <f>IF(ISERROR(AVERAGE(F$13:F173)),"n/a",AVERAGE(F$13:F173))</f>
        <v>n/a</v>
      </c>
      <c r="H173" s="11" t="str">
        <f t="shared" si="33"/>
        <v>n/a</v>
      </c>
      <c r="J173" s="5"/>
      <c r="K173" s="5"/>
      <c r="L173" s="5"/>
      <c r="M173" s="5"/>
      <c r="N173" s="5"/>
      <c r="O173" s="8" t="str">
        <f t="shared" si="31"/>
        <v>n/a</v>
      </c>
      <c r="Q173" s="5"/>
      <c r="R173" s="5"/>
      <c r="S173" s="5"/>
      <c r="U173" s="6"/>
      <c r="V173" s="9" t="str">
        <f t="shared" si="34"/>
        <v/>
      </c>
      <c r="W173" s="9" t="str">
        <f t="shared" si="35"/>
        <v/>
      </c>
      <c r="X173" s="10">
        <f>SUM(V$13:V173)/COUNTA(B$13:B173)</f>
        <v>0</v>
      </c>
      <c r="Z173" s="5"/>
      <c r="AA173" s="5"/>
      <c r="AC173" s="7"/>
      <c r="AE173" s="54" t="e">
        <f t="shared" si="36"/>
        <v>#N/A</v>
      </c>
      <c r="AF173" s="4" t="e">
        <f t="shared" si="32"/>
        <v>#N/A</v>
      </c>
    </row>
    <row r="174" spans="2:32">
      <c r="B174" s="5">
        <f t="shared" si="37"/>
        <v>162</v>
      </c>
      <c r="C174" s="5"/>
      <c r="E174" s="13"/>
      <c r="F174" s="5"/>
      <c r="G174" s="11" t="str">
        <f>IF(ISERROR(AVERAGE(F$13:F174)),"n/a",AVERAGE(F$13:F174))</f>
        <v>n/a</v>
      </c>
      <c r="H174" s="11" t="str">
        <f t="shared" si="33"/>
        <v>n/a</v>
      </c>
      <c r="J174" s="5"/>
      <c r="K174" s="5"/>
      <c r="L174" s="5"/>
      <c r="M174" s="5"/>
      <c r="N174" s="5"/>
      <c r="O174" s="8" t="str">
        <f t="shared" si="31"/>
        <v>n/a</v>
      </c>
      <c r="Q174" s="5"/>
      <c r="R174" s="5"/>
      <c r="S174" s="5"/>
      <c r="U174" s="6"/>
      <c r="V174" s="9" t="str">
        <f t="shared" si="34"/>
        <v/>
      </c>
      <c r="W174" s="9" t="str">
        <f t="shared" si="35"/>
        <v/>
      </c>
      <c r="X174" s="10">
        <f>SUM(V$13:V174)/COUNTA(B$13:B174)</f>
        <v>0</v>
      </c>
      <c r="Z174" s="5"/>
      <c r="AA174" s="5"/>
      <c r="AC174" s="7"/>
      <c r="AE174" s="54" t="e">
        <f t="shared" si="36"/>
        <v>#N/A</v>
      </c>
      <c r="AF174" s="4" t="e">
        <f t="shared" si="32"/>
        <v>#N/A</v>
      </c>
    </row>
    <row r="175" spans="2:32">
      <c r="B175" s="5">
        <f t="shared" si="37"/>
        <v>163</v>
      </c>
      <c r="C175" s="5"/>
      <c r="E175" s="13"/>
      <c r="F175" s="5"/>
      <c r="G175" s="11" t="str">
        <f>IF(ISERROR(AVERAGE(F$13:F175)),"n/a",AVERAGE(F$13:F175))</f>
        <v>n/a</v>
      </c>
      <c r="H175" s="11" t="str">
        <f t="shared" si="33"/>
        <v>n/a</v>
      </c>
      <c r="J175" s="5"/>
      <c r="K175" s="5"/>
      <c r="L175" s="5"/>
      <c r="M175" s="5"/>
      <c r="N175" s="5"/>
      <c r="O175" s="8" t="str">
        <f t="shared" si="31"/>
        <v>n/a</v>
      </c>
      <c r="Q175" s="5"/>
      <c r="R175" s="5"/>
      <c r="S175" s="5"/>
      <c r="U175" s="6"/>
      <c r="V175" s="9" t="str">
        <f t="shared" si="34"/>
        <v/>
      </c>
      <c r="W175" s="9" t="str">
        <f t="shared" si="35"/>
        <v/>
      </c>
      <c r="X175" s="10">
        <f>SUM(V$13:V175)/COUNTA(B$13:B175)</f>
        <v>0</v>
      </c>
      <c r="Z175" s="5"/>
      <c r="AA175" s="5"/>
      <c r="AC175" s="7"/>
      <c r="AE175" s="54" t="e">
        <f t="shared" si="36"/>
        <v>#N/A</v>
      </c>
      <c r="AF175" s="4" t="e">
        <f t="shared" si="32"/>
        <v>#N/A</v>
      </c>
    </row>
    <row r="176" spans="2:32">
      <c r="B176" s="5">
        <f t="shared" si="37"/>
        <v>164</v>
      </c>
      <c r="C176" s="5"/>
      <c r="E176" s="13"/>
      <c r="F176" s="5"/>
      <c r="G176" s="11" t="str">
        <f>IF(ISERROR(AVERAGE(F$13:F176)),"n/a",AVERAGE(F$13:F176))</f>
        <v>n/a</v>
      </c>
      <c r="H176" s="11" t="str">
        <f t="shared" si="33"/>
        <v>n/a</v>
      </c>
      <c r="J176" s="5"/>
      <c r="K176" s="5"/>
      <c r="L176" s="5"/>
      <c r="M176" s="5"/>
      <c r="N176" s="5"/>
      <c r="O176" s="8" t="str">
        <f t="shared" si="31"/>
        <v>n/a</v>
      </c>
      <c r="Q176" s="5"/>
      <c r="R176" s="5"/>
      <c r="S176" s="5"/>
      <c r="U176" s="6"/>
      <c r="V176" s="9" t="str">
        <f t="shared" si="34"/>
        <v/>
      </c>
      <c r="W176" s="9" t="str">
        <f t="shared" si="35"/>
        <v/>
      </c>
      <c r="X176" s="10">
        <f>SUM(V$13:V176)/COUNTA(B$13:B176)</f>
        <v>0</v>
      </c>
      <c r="Z176" s="5"/>
      <c r="AA176" s="5"/>
      <c r="AC176" s="7"/>
      <c r="AE176" s="54" t="e">
        <f t="shared" si="36"/>
        <v>#N/A</v>
      </c>
      <c r="AF176" s="4" t="e">
        <f t="shared" si="32"/>
        <v>#N/A</v>
      </c>
    </row>
    <row r="177" spans="2:32">
      <c r="B177" s="5">
        <f t="shared" si="37"/>
        <v>165</v>
      </c>
      <c r="C177" s="5"/>
      <c r="E177" s="13"/>
      <c r="F177" s="5"/>
      <c r="G177" s="11" t="str">
        <f>IF(ISERROR(AVERAGE(F$13:F177)),"n/a",AVERAGE(F$13:F177))</f>
        <v>n/a</v>
      </c>
      <c r="H177" s="11" t="str">
        <f t="shared" si="33"/>
        <v>n/a</v>
      </c>
      <c r="J177" s="5"/>
      <c r="K177" s="5"/>
      <c r="L177" s="5"/>
      <c r="M177" s="5"/>
      <c r="N177" s="5"/>
      <c r="O177" s="8" t="str">
        <f t="shared" si="31"/>
        <v>n/a</v>
      </c>
      <c r="Q177" s="5"/>
      <c r="R177" s="5"/>
      <c r="S177" s="5"/>
      <c r="U177" s="6"/>
      <c r="V177" s="9" t="str">
        <f t="shared" si="34"/>
        <v/>
      </c>
      <c r="W177" s="9" t="str">
        <f t="shared" si="35"/>
        <v/>
      </c>
      <c r="X177" s="10">
        <f>SUM(V$13:V177)/COUNTA(B$13:B177)</f>
        <v>0</v>
      </c>
      <c r="Z177" s="5"/>
      <c r="AA177" s="5"/>
      <c r="AC177" s="7"/>
      <c r="AE177" s="54" t="e">
        <f t="shared" si="36"/>
        <v>#N/A</v>
      </c>
      <c r="AF177" s="4" t="e">
        <f t="shared" si="32"/>
        <v>#N/A</v>
      </c>
    </row>
    <row r="178" spans="2:32">
      <c r="B178" s="5">
        <f t="shared" si="37"/>
        <v>166</v>
      </c>
      <c r="C178" s="5"/>
      <c r="E178" s="13"/>
      <c r="F178" s="5"/>
      <c r="G178" s="11" t="str">
        <f>IF(ISERROR(AVERAGE(F$13:F178)),"n/a",AVERAGE(F$13:F178))</f>
        <v>n/a</v>
      </c>
      <c r="H178" s="11" t="str">
        <f t="shared" si="33"/>
        <v>n/a</v>
      </c>
      <c r="J178" s="5"/>
      <c r="K178" s="5"/>
      <c r="L178" s="5"/>
      <c r="M178" s="5"/>
      <c r="N178" s="5"/>
      <c r="O178" s="8" t="str">
        <f t="shared" si="31"/>
        <v>n/a</v>
      </c>
      <c r="Q178" s="5"/>
      <c r="R178" s="5"/>
      <c r="S178" s="5"/>
      <c r="U178" s="6"/>
      <c r="V178" s="9" t="str">
        <f t="shared" si="34"/>
        <v/>
      </c>
      <c r="W178" s="9" t="str">
        <f t="shared" si="35"/>
        <v/>
      </c>
      <c r="X178" s="10">
        <f>SUM(V$13:V178)/COUNTA(B$13:B178)</f>
        <v>0</v>
      </c>
      <c r="Z178" s="5"/>
      <c r="AA178" s="5"/>
      <c r="AC178" s="7"/>
      <c r="AE178" s="54" t="e">
        <f t="shared" si="36"/>
        <v>#N/A</v>
      </c>
      <c r="AF178" s="4" t="e">
        <f t="shared" si="32"/>
        <v>#N/A</v>
      </c>
    </row>
    <row r="179" spans="2:32">
      <c r="B179" s="5">
        <f t="shared" si="37"/>
        <v>167</v>
      </c>
      <c r="C179" s="5"/>
      <c r="E179" s="13"/>
      <c r="F179" s="5"/>
      <c r="G179" s="11" t="str">
        <f>IF(ISERROR(AVERAGE(F$13:F179)),"n/a",AVERAGE(F$13:F179))</f>
        <v>n/a</v>
      </c>
      <c r="H179" s="11" t="str">
        <f t="shared" si="33"/>
        <v>n/a</v>
      </c>
      <c r="J179" s="5"/>
      <c r="K179" s="5"/>
      <c r="L179" s="5"/>
      <c r="M179" s="5"/>
      <c r="N179" s="5"/>
      <c r="O179" s="8" t="str">
        <f t="shared" si="31"/>
        <v>n/a</v>
      </c>
      <c r="Q179" s="5"/>
      <c r="R179" s="5"/>
      <c r="S179" s="5"/>
      <c r="U179" s="6"/>
      <c r="V179" s="9" t="str">
        <f t="shared" si="34"/>
        <v/>
      </c>
      <c r="W179" s="9" t="str">
        <f t="shared" si="35"/>
        <v/>
      </c>
      <c r="X179" s="10">
        <f>SUM(V$13:V179)/COUNTA(B$13:B179)</f>
        <v>0</v>
      </c>
      <c r="Z179" s="5"/>
      <c r="AA179" s="5"/>
      <c r="AC179" s="7"/>
      <c r="AE179" s="54" t="e">
        <f t="shared" si="36"/>
        <v>#N/A</v>
      </c>
      <c r="AF179" s="4" t="e">
        <f t="shared" si="32"/>
        <v>#N/A</v>
      </c>
    </row>
    <row r="180" spans="2:32">
      <c r="B180" s="5">
        <f t="shared" si="37"/>
        <v>168</v>
      </c>
      <c r="C180" s="5"/>
      <c r="E180" s="13"/>
      <c r="F180" s="5"/>
      <c r="G180" s="11" t="str">
        <f>IF(ISERROR(AVERAGE(F$13:F180)),"n/a",AVERAGE(F$13:F180))</f>
        <v>n/a</v>
      </c>
      <c r="H180" s="11" t="str">
        <f t="shared" si="33"/>
        <v>n/a</v>
      </c>
      <c r="J180" s="5"/>
      <c r="K180" s="5"/>
      <c r="L180" s="5"/>
      <c r="M180" s="5"/>
      <c r="N180" s="5"/>
      <c r="O180" s="8" t="str">
        <f t="shared" si="31"/>
        <v>n/a</v>
      </c>
      <c r="Q180" s="5"/>
      <c r="R180" s="5"/>
      <c r="S180" s="5"/>
      <c r="U180" s="6"/>
      <c r="V180" s="9" t="str">
        <f t="shared" si="34"/>
        <v/>
      </c>
      <c r="W180" s="9" t="str">
        <f t="shared" si="35"/>
        <v/>
      </c>
      <c r="X180" s="10">
        <f>SUM(V$13:V180)/COUNTA(B$13:B180)</f>
        <v>0</v>
      </c>
      <c r="Z180" s="5"/>
      <c r="AA180" s="5"/>
      <c r="AC180" s="7"/>
      <c r="AE180" s="54" t="e">
        <f t="shared" si="36"/>
        <v>#N/A</v>
      </c>
      <c r="AF180" s="4" t="e">
        <f t="shared" si="32"/>
        <v>#N/A</v>
      </c>
    </row>
    <row r="181" spans="2:32">
      <c r="B181" s="5">
        <f t="shared" si="37"/>
        <v>169</v>
      </c>
      <c r="C181" s="5"/>
      <c r="E181" s="13"/>
      <c r="F181" s="5"/>
      <c r="G181" s="11" t="str">
        <f>IF(ISERROR(AVERAGE(F$13:F181)),"n/a",AVERAGE(F$13:F181))</f>
        <v>n/a</v>
      </c>
      <c r="H181" s="11" t="str">
        <f t="shared" si="33"/>
        <v>n/a</v>
      </c>
      <c r="J181" s="5"/>
      <c r="K181" s="5"/>
      <c r="L181" s="5"/>
      <c r="M181" s="5"/>
      <c r="N181" s="5"/>
      <c r="O181" s="8" t="str">
        <f t="shared" si="31"/>
        <v>n/a</v>
      </c>
      <c r="Q181" s="5"/>
      <c r="R181" s="5"/>
      <c r="S181" s="5"/>
      <c r="U181" s="6"/>
      <c r="V181" s="9" t="str">
        <f t="shared" si="34"/>
        <v/>
      </c>
      <c r="W181" s="9" t="str">
        <f t="shared" si="35"/>
        <v/>
      </c>
      <c r="X181" s="10">
        <f>SUM(V$13:V181)/COUNTA(B$13:B181)</f>
        <v>0</v>
      </c>
      <c r="Z181" s="5"/>
      <c r="AA181" s="5"/>
      <c r="AC181" s="7"/>
      <c r="AE181" s="54" t="e">
        <f t="shared" si="36"/>
        <v>#N/A</v>
      </c>
      <c r="AF181" s="4" t="e">
        <f t="shared" si="32"/>
        <v>#N/A</v>
      </c>
    </row>
    <row r="182" spans="2:32">
      <c r="B182" s="5">
        <f t="shared" si="37"/>
        <v>170</v>
      </c>
      <c r="C182" s="5"/>
      <c r="E182" s="13"/>
      <c r="F182" s="5"/>
      <c r="G182" s="11" t="str">
        <f>IF(ISERROR(AVERAGE(F$13:F182)),"n/a",AVERAGE(F$13:F182))</f>
        <v>n/a</v>
      </c>
      <c r="H182" s="11" t="str">
        <f t="shared" si="33"/>
        <v>n/a</v>
      </c>
      <c r="J182" s="5"/>
      <c r="K182" s="5"/>
      <c r="L182" s="5"/>
      <c r="M182" s="5"/>
      <c r="N182" s="5"/>
      <c r="O182" s="8" t="str">
        <f t="shared" si="31"/>
        <v>n/a</v>
      </c>
      <c r="Q182" s="5"/>
      <c r="R182" s="5"/>
      <c r="S182" s="5"/>
      <c r="U182" s="6"/>
      <c r="V182" s="9" t="str">
        <f t="shared" si="34"/>
        <v/>
      </c>
      <c r="W182" s="9" t="str">
        <f t="shared" si="35"/>
        <v/>
      </c>
      <c r="X182" s="10">
        <f>SUM(V$13:V182)/COUNTA(B$13:B182)</f>
        <v>0</v>
      </c>
      <c r="Z182" s="5"/>
      <c r="AA182" s="5"/>
      <c r="AC182" s="7"/>
      <c r="AE182" s="54" t="e">
        <f t="shared" si="36"/>
        <v>#N/A</v>
      </c>
      <c r="AF182" s="4" t="e">
        <f t="shared" si="32"/>
        <v>#N/A</v>
      </c>
    </row>
    <row r="183" spans="2:32">
      <c r="B183" s="5">
        <f t="shared" si="37"/>
        <v>171</v>
      </c>
      <c r="C183" s="5"/>
      <c r="E183" s="13"/>
      <c r="F183" s="5"/>
      <c r="G183" s="11" t="str">
        <f>IF(ISERROR(AVERAGE(F$13:F183)),"n/a",AVERAGE(F$13:F183))</f>
        <v>n/a</v>
      </c>
      <c r="H183" s="11" t="str">
        <f t="shared" si="33"/>
        <v>n/a</v>
      </c>
      <c r="J183" s="5"/>
      <c r="K183" s="5"/>
      <c r="L183" s="5"/>
      <c r="M183" s="5"/>
      <c r="N183" s="5"/>
      <c r="O183" s="8" t="str">
        <f t="shared" si="31"/>
        <v>n/a</v>
      </c>
      <c r="Q183" s="5"/>
      <c r="R183" s="5"/>
      <c r="S183" s="5"/>
      <c r="U183" s="6"/>
      <c r="V183" s="9" t="str">
        <f t="shared" si="34"/>
        <v/>
      </c>
      <c r="W183" s="9" t="str">
        <f t="shared" si="35"/>
        <v/>
      </c>
      <c r="X183" s="10">
        <f>SUM(V$13:V183)/COUNTA(B$13:B183)</f>
        <v>0</v>
      </c>
      <c r="Z183" s="5"/>
      <c r="AA183" s="5"/>
      <c r="AC183" s="7"/>
      <c r="AE183" s="54" t="e">
        <f t="shared" si="36"/>
        <v>#N/A</v>
      </c>
      <c r="AF183" s="4" t="e">
        <f t="shared" si="32"/>
        <v>#N/A</v>
      </c>
    </row>
    <row r="184" spans="2:32">
      <c r="B184" s="5">
        <f t="shared" si="37"/>
        <v>172</v>
      </c>
      <c r="C184" s="5"/>
      <c r="E184" s="13"/>
      <c r="F184" s="5"/>
      <c r="G184" s="11" t="str">
        <f>IF(ISERROR(AVERAGE(F$13:F184)),"n/a",AVERAGE(F$13:F184))</f>
        <v>n/a</v>
      </c>
      <c r="H184" s="11" t="str">
        <f t="shared" si="33"/>
        <v>n/a</v>
      </c>
      <c r="J184" s="5"/>
      <c r="K184" s="5"/>
      <c r="L184" s="5"/>
      <c r="M184" s="5"/>
      <c r="N184" s="5"/>
      <c r="O184" s="8" t="str">
        <f t="shared" si="31"/>
        <v>n/a</v>
      </c>
      <c r="Q184" s="5"/>
      <c r="R184" s="5"/>
      <c r="S184" s="5"/>
      <c r="U184" s="6"/>
      <c r="V184" s="9" t="str">
        <f t="shared" si="34"/>
        <v/>
      </c>
      <c r="W184" s="9" t="str">
        <f t="shared" si="35"/>
        <v/>
      </c>
      <c r="X184" s="10">
        <f>SUM(V$13:V184)/COUNTA(B$13:B184)</f>
        <v>0</v>
      </c>
      <c r="Z184" s="5"/>
      <c r="AA184" s="5"/>
      <c r="AC184" s="7"/>
      <c r="AE184" s="54" t="e">
        <f t="shared" si="36"/>
        <v>#N/A</v>
      </c>
      <c r="AF184" s="4" t="e">
        <f t="shared" si="32"/>
        <v>#N/A</v>
      </c>
    </row>
    <row r="185" spans="2:32">
      <c r="B185" s="5">
        <f t="shared" si="37"/>
        <v>173</v>
      </c>
      <c r="C185" s="5"/>
      <c r="E185" s="13"/>
      <c r="F185" s="5"/>
      <c r="G185" s="11" t="str">
        <f>IF(ISERROR(AVERAGE(F$13:F185)),"n/a",AVERAGE(F$13:F185))</f>
        <v>n/a</v>
      </c>
      <c r="H185" s="11" t="str">
        <f t="shared" si="33"/>
        <v>n/a</v>
      </c>
      <c r="J185" s="5"/>
      <c r="K185" s="5"/>
      <c r="L185" s="5"/>
      <c r="M185" s="5"/>
      <c r="N185" s="5"/>
      <c r="O185" s="8" t="str">
        <f t="shared" si="31"/>
        <v>n/a</v>
      </c>
      <c r="Q185" s="5"/>
      <c r="R185" s="5"/>
      <c r="S185" s="5"/>
      <c r="U185" s="6"/>
      <c r="V185" s="9" t="str">
        <f t="shared" si="34"/>
        <v/>
      </c>
      <c r="W185" s="9" t="str">
        <f t="shared" si="35"/>
        <v/>
      </c>
      <c r="X185" s="10">
        <f>SUM(V$13:V185)/COUNTA(B$13:B185)</f>
        <v>0</v>
      </c>
      <c r="Z185" s="5"/>
      <c r="AA185" s="5"/>
      <c r="AC185" s="7"/>
      <c r="AE185" s="54" t="e">
        <f t="shared" si="36"/>
        <v>#N/A</v>
      </c>
      <c r="AF185" s="4" t="e">
        <f t="shared" si="32"/>
        <v>#N/A</v>
      </c>
    </row>
    <row r="186" spans="2:32">
      <c r="B186" s="5">
        <f t="shared" si="37"/>
        <v>174</v>
      </c>
      <c r="C186" s="5"/>
      <c r="E186" s="13"/>
      <c r="F186" s="5"/>
      <c r="G186" s="11" t="str">
        <f>IF(ISERROR(AVERAGE(F$13:F186)),"n/a",AVERAGE(F$13:F186))</f>
        <v>n/a</v>
      </c>
      <c r="H186" s="11" t="str">
        <f t="shared" si="33"/>
        <v>n/a</v>
      </c>
      <c r="J186" s="5"/>
      <c r="K186" s="5"/>
      <c r="L186" s="5"/>
      <c r="M186" s="5"/>
      <c r="N186" s="5"/>
      <c r="O186" s="8" t="str">
        <f t="shared" si="31"/>
        <v>n/a</v>
      </c>
      <c r="Q186" s="5"/>
      <c r="R186" s="5"/>
      <c r="S186" s="5"/>
      <c r="U186" s="6"/>
      <c r="V186" s="9" t="str">
        <f t="shared" si="34"/>
        <v/>
      </c>
      <c r="W186" s="9" t="str">
        <f t="shared" si="35"/>
        <v/>
      </c>
      <c r="X186" s="10">
        <f>SUM(V$13:V186)/COUNTA(B$13:B186)</f>
        <v>0</v>
      </c>
      <c r="Z186" s="5"/>
      <c r="AA186" s="5"/>
      <c r="AC186" s="7"/>
      <c r="AE186" s="54" t="e">
        <f t="shared" si="36"/>
        <v>#N/A</v>
      </c>
      <c r="AF186" s="4" t="e">
        <f t="shared" si="32"/>
        <v>#N/A</v>
      </c>
    </row>
    <row r="187" spans="2:32">
      <c r="B187" s="5">
        <f t="shared" si="37"/>
        <v>175</v>
      </c>
      <c r="C187" s="5"/>
      <c r="E187" s="13"/>
      <c r="F187" s="5"/>
      <c r="G187" s="11" t="str">
        <f>IF(ISERROR(AVERAGE(F$13:F187)),"n/a",AVERAGE(F$13:F187))</f>
        <v>n/a</v>
      </c>
      <c r="H187" s="11" t="str">
        <f t="shared" si="33"/>
        <v>n/a</v>
      </c>
      <c r="J187" s="5"/>
      <c r="K187" s="5"/>
      <c r="L187" s="5"/>
      <c r="M187" s="5"/>
      <c r="N187" s="5"/>
      <c r="O187" s="8" t="str">
        <f t="shared" si="31"/>
        <v>n/a</v>
      </c>
      <c r="Q187" s="5"/>
      <c r="R187" s="5"/>
      <c r="S187" s="5"/>
      <c r="U187" s="6"/>
      <c r="V187" s="9" t="str">
        <f t="shared" si="34"/>
        <v/>
      </c>
      <c r="W187" s="9" t="str">
        <f t="shared" si="35"/>
        <v/>
      </c>
      <c r="X187" s="10">
        <f>SUM(V$13:V187)/COUNTA(B$13:B187)</f>
        <v>0</v>
      </c>
      <c r="Z187" s="5"/>
      <c r="AA187" s="5"/>
      <c r="AC187" s="7"/>
      <c r="AE187" s="54" t="e">
        <f t="shared" si="36"/>
        <v>#N/A</v>
      </c>
      <c r="AF187" s="4" t="e">
        <f t="shared" si="32"/>
        <v>#N/A</v>
      </c>
    </row>
    <row r="188" spans="2:32">
      <c r="B188" s="5">
        <f t="shared" si="37"/>
        <v>176</v>
      </c>
      <c r="C188" s="5"/>
      <c r="E188" s="13"/>
      <c r="F188" s="5"/>
      <c r="G188" s="11" t="str">
        <f>IF(ISERROR(AVERAGE(F$13:F188)),"n/a",AVERAGE(F$13:F188))</f>
        <v>n/a</v>
      </c>
      <c r="H188" s="11" t="str">
        <f t="shared" si="33"/>
        <v>n/a</v>
      </c>
      <c r="J188" s="5"/>
      <c r="K188" s="5"/>
      <c r="L188" s="5"/>
      <c r="M188" s="5"/>
      <c r="N188" s="5"/>
      <c r="O188" s="8" t="str">
        <f t="shared" si="31"/>
        <v>n/a</v>
      </c>
      <c r="Q188" s="5"/>
      <c r="R188" s="5"/>
      <c r="S188" s="5"/>
      <c r="U188" s="6"/>
      <c r="V188" s="9" t="str">
        <f t="shared" si="34"/>
        <v/>
      </c>
      <c r="W188" s="9" t="str">
        <f t="shared" si="35"/>
        <v/>
      </c>
      <c r="X188" s="10">
        <f>SUM(V$13:V188)/COUNTA(B$13:B188)</f>
        <v>0</v>
      </c>
      <c r="Z188" s="5"/>
      <c r="AA188" s="5"/>
      <c r="AC188" s="7"/>
      <c r="AE188" s="54" t="e">
        <f t="shared" si="36"/>
        <v>#N/A</v>
      </c>
      <c r="AF188" s="4" t="e">
        <f t="shared" si="32"/>
        <v>#N/A</v>
      </c>
    </row>
    <row r="189" spans="2:32">
      <c r="B189" s="5">
        <f t="shared" si="37"/>
        <v>177</v>
      </c>
      <c r="C189" s="5"/>
      <c r="E189" s="13"/>
      <c r="F189" s="5"/>
      <c r="G189" s="11" t="str">
        <f>IF(ISERROR(AVERAGE(F$13:F189)),"n/a",AVERAGE(F$13:F189))</f>
        <v>n/a</v>
      </c>
      <c r="H189" s="11" t="str">
        <f t="shared" si="33"/>
        <v>n/a</v>
      </c>
      <c r="J189" s="5"/>
      <c r="K189" s="5"/>
      <c r="L189" s="5"/>
      <c r="M189" s="5"/>
      <c r="N189" s="5"/>
      <c r="O189" s="8" t="str">
        <f t="shared" si="31"/>
        <v>n/a</v>
      </c>
      <c r="Q189" s="5"/>
      <c r="R189" s="5"/>
      <c r="S189" s="5"/>
      <c r="U189" s="6"/>
      <c r="V189" s="9" t="str">
        <f t="shared" si="34"/>
        <v/>
      </c>
      <c r="W189" s="9" t="str">
        <f t="shared" si="35"/>
        <v/>
      </c>
      <c r="X189" s="10">
        <f>SUM(V$13:V189)/COUNTA(B$13:B189)</f>
        <v>0</v>
      </c>
      <c r="Z189" s="5"/>
      <c r="AA189" s="5"/>
      <c r="AC189" s="7"/>
      <c r="AE189" s="54" t="e">
        <f t="shared" si="36"/>
        <v>#N/A</v>
      </c>
      <c r="AF189" s="4" t="e">
        <f t="shared" si="32"/>
        <v>#N/A</v>
      </c>
    </row>
    <row r="190" spans="2:32">
      <c r="B190" s="5">
        <f t="shared" si="37"/>
        <v>178</v>
      </c>
      <c r="C190" s="5"/>
      <c r="E190" s="13"/>
      <c r="F190" s="5"/>
      <c r="G190" s="11" t="str">
        <f>IF(ISERROR(AVERAGE(F$13:F190)),"n/a",AVERAGE(F$13:F190))</f>
        <v>n/a</v>
      </c>
      <c r="H190" s="11" t="str">
        <f t="shared" si="33"/>
        <v>n/a</v>
      </c>
      <c r="J190" s="5"/>
      <c r="K190" s="5"/>
      <c r="L190" s="5"/>
      <c r="M190" s="5"/>
      <c r="N190" s="5"/>
      <c r="O190" s="8" t="str">
        <f t="shared" si="31"/>
        <v>n/a</v>
      </c>
      <c r="Q190" s="5"/>
      <c r="R190" s="5"/>
      <c r="S190" s="5"/>
      <c r="U190" s="6"/>
      <c r="V190" s="9" t="str">
        <f t="shared" si="34"/>
        <v/>
      </c>
      <c r="W190" s="9" t="str">
        <f t="shared" si="35"/>
        <v/>
      </c>
      <c r="X190" s="10">
        <f>SUM(V$13:V190)/COUNTA(B$13:B190)</f>
        <v>0</v>
      </c>
      <c r="Z190" s="5"/>
      <c r="AA190" s="5"/>
      <c r="AC190" s="7"/>
      <c r="AE190" s="54" t="e">
        <f t="shared" si="36"/>
        <v>#N/A</v>
      </c>
      <c r="AF190" s="4" t="e">
        <f t="shared" si="32"/>
        <v>#N/A</v>
      </c>
    </row>
    <row r="191" spans="2:32">
      <c r="B191" s="5">
        <f t="shared" si="37"/>
        <v>179</v>
      </c>
      <c r="C191" s="5"/>
      <c r="E191" s="13"/>
      <c r="F191" s="5"/>
      <c r="G191" s="11" t="str">
        <f>IF(ISERROR(AVERAGE(F$13:F191)),"n/a",AVERAGE(F$13:F191))</f>
        <v>n/a</v>
      </c>
      <c r="H191" s="11" t="str">
        <f t="shared" si="33"/>
        <v>n/a</v>
      </c>
      <c r="J191" s="5"/>
      <c r="K191" s="5"/>
      <c r="L191" s="5"/>
      <c r="M191" s="5"/>
      <c r="N191" s="5"/>
      <c r="O191" s="8" t="str">
        <f t="shared" si="31"/>
        <v>n/a</v>
      </c>
      <c r="Q191" s="5"/>
      <c r="R191" s="5"/>
      <c r="S191" s="5"/>
      <c r="U191" s="6"/>
      <c r="V191" s="9" t="str">
        <f t="shared" si="34"/>
        <v/>
      </c>
      <c r="W191" s="9" t="str">
        <f t="shared" si="35"/>
        <v/>
      </c>
      <c r="X191" s="10">
        <f>SUM(V$13:V191)/COUNTA(B$13:B191)</f>
        <v>0</v>
      </c>
      <c r="Z191" s="5"/>
      <c r="AA191" s="5"/>
      <c r="AC191" s="7"/>
      <c r="AE191" s="54" t="e">
        <f t="shared" si="36"/>
        <v>#N/A</v>
      </c>
      <c r="AF191" s="4" t="e">
        <f t="shared" si="32"/>
        <v>#N/A</v>
      </c>
    </row>
    <row r="192" spans="2:32">
      <c r="B192" s="5">
        <f t="shared" si="37"/>
        <v>180</v>
      </c>
      <c r="C192" s="5"/>
      <c r="E192" s="13"/>
      <c r="F192" s="5"/>
      <c r="G192" s="11" t="str">
        <f>IF(ISERROR(AVERAGE(F$13:F192)),"n/a",AVERAGE(F$13:F192))</f>
        <v>n/a</v>
      </c>
      <c r="H192" s="11" t="str">
        <f t="shared" si="33"/>
        <v>n/a</v>
      </c>
      <c r="J192" s="5"/>
      <c r="K192" s="5"/>
      <c r="L192" s="5"/>
      <c r="M192" s="5"/>
      <c r="N192" s="5"/>
      <c r="O192" s="8" t="str">
        <f t="shared" si="31"/>
        <v>n/a</v>
      </c>
      <c r="Q192" s="5"/>
      <c r="R192" s="5"/>
      <c r="S192" s="5"/>
      <c r="U192" s="6"/>
      <c r="V192" s="9" t="str">
        <f t="shared" si="34"/>
        <v/>
      </c>
      <c r="W192" s="9" t="str">
        <f t="shared" si="35"/>
        <v/>
      </c>
      <c r="X192" s="10">
        <f>SUM(V$13:V192)/COUNTA(B$13:B192)</f>
        <v>0</v>
      </c>
      <c r="Z192" s="5"/>
      <c r="AA192" s="5"/>
      <c r="AC192" s="7"/>
      <c r="AE192" s="54" t="e">
        <f t="shared" si="36"/>
        <v>#N/A</v>
      </c>
      <c r="AF192" s="4" t="e">
        <f t="shared" si="32"/>
        <v>#N/A</v>
      </c>
    </row>
    <row r="193" spans="2:32">
      <c r="B193" s="5">
        <f t="shared" si="37"/>
        <v>181</v>
      </c>
      <c r="C193" s="5"/>
      <c r="E193" s="13"/>
      <c r="F193" s="5"/>
      <c r="G193" s="11" t="str">
        <f>IF(ISERROR(AVERAGE(F$13:F193)),"n/a",AVERAGE(F$13:F193))</f>
        <v>n/a</v>
      </c>
      <c r="H193" s="11" t="str">
        <f t="shared" si="33"/>
        <v>n/a</v>
      </c>
      <c r="J193" s="5"/>
      <c r="K193" s="5"/>
      <c r="L193" s="5"/>
      <c r="M193" s="5"/>
      <c r="N193" s="5"/>
      <c r="O193" s="8" t="str">
        <f t="shared" si="31"/>
        <v>n/a</v>
      </c>
      <c r="Q193" s="5"/>
      <c r="R193" s="5"/>
      <c r="S193" s="5"/>
      <c r="U193" s="6"/>
      <c r="V193" s="9" t="str">
        <f t="shared" si="34"/>
        <v/>
      </c>
      <c r="W193" s="9" t="str">
        <f t="shared" si="35"/>
        <v/>
      </c>
      <c r="X193" s="10">
        <f>SUM(V$13:V193)/COUNTA(B$13:B193)</f>
        <v>0</v>
      </c>
      <c r="Z193" s="5"/>
      <c r="AA193" s="5"/>
      <c r="AC193" s="7"/>
      <c r="AE193" s="54" t="e">
        <f t="shared" si="36"/>
        <v>#N/A</v>
      </c>
      <c r="AF193" s="4" t="e">
        <f t="shared" si="32"/>
        <v>#N/A</v>
      </c>
    </row>
    <row r="194" spans="2:32">
      <c r="B194" s="5">
        <f t="shared" si="37"/>
        <v>182</v>
      </c>
      <c r="C194" s="5"/>
      <c r="E194" s="13"/>
      <c r="F194" s="5"/>
      <c r="G194" s="11" t="str">
        <f>IF(ISERROR(AVERAGE(F$13:F194)),"n/a",AVERAGE(F$13:F194))</f>
        <v>n/a</v>
      </c>
      <c r="H194" s="11" t="str">
        <f t="shared" si="33"/>
        <v>n/a</v>
      </c>
      <c r="J194" s="5"/>
      <c r="K194" s="5"/>
      <c r="L194" s="5"/>
      <c r="M194" s="5"/>
      <c r="N194" s="5"/>
      <c r="O194" s="8" t="str">
        <f t="shared" si="31"/>
        <v>n/a</v>
      </c>
      <c r="Q194" s="5"/>
      <c r="R194" s="5"/>
      <c r="S194" s="5"/>
      <c r="U194" s="6"/>
      <c r="V194" s="9" t="str">
        <f t="shared" si="34"/>
        <v/>
      </c>
      <c r="W194" s="9" t="str">
        <f t="shared" si="35"/>
        <v/>
      </c>
      <c r="X194" s="10">
        <f>SUM(V$13:V194)/COUNTA(B$13:B194)</f>
        <v>0</v>
      </c>
      <c r="Z194" s="5"/>
      <c r="AA194" s="5"/>
      <c r="AC194" s="7"/>
      <c r="AE194" s="54" t="e">
        <f t="shared" si="36"/>
        <v>#N/A</v>
      </c>
      <c r="AF194" s="4" t="e">
        <f t="shared" si="32"/>
        <v>#N/A</v>
      </c>
    </row>
    <row r="195" spans="2:32">
      <c r="B195" s="5">
        <f t="shared" si="37"/>
        <v>183</v>
      </c>
      <c r="C195" s="5"/>
      <c r="E195" s="13"/>
      <c r="F195" s="5"/>
      <c r="G195" s="11" t="str">
        <f>IF(ISERROR(AVERAGE(F$13:F195)),"n/a",AVERAGE(F$13:F195))</f>
        <v>n/a</v>
      </c>
      <c r="H195" s="11" t="str">
        <f t="shared" si="33"/>
        <v>n/a</v>
      </c>
      <c r="J195" s="5"/>
      <c r="K195" s="5"/>
      <c r="L195" s="5"/>
      <c r="M195" s="5"/>
      <c r="N195" s="5"/>
      <c r="O195" s="8" t="str">
        <f t="shared" si="31"/>
        <v>n/a</v>
      </c>
      <c r="Q195" s="5"/>
      <c r="R195" s="5"/>
      <c r="S195" s="5"/>
      <c r="U195" s="6"/>
      <c r="V195" s="9" t="str">
        <f t="shared" si="34"/>
        <v/>
      </c>
      <c r="W195" s="9" t="str">
        <f t="shared" si="35"/>
        <v/>
      </c>
      <c r="X195" s="10">
        <f>SUM(V$13:V195)/COUNTA(B$13:B195)</f>
        <v>0</v>
      </c>
      <c r="Z195" s="5"/>
      <c r="AA195" s="5"/>
      <c r="AC195" s="7"/>
      <c r="AE195" s="54" t="e">
        <f t="shared" si="36"/>
        <v>#N/A</v>
      </c>
      <c r="AF195" s="4" t="e">
        <f t="shared" si="32"/>
        <v>#N/A</v>
      </c>
    </row>
    <row r="196" spans="2:32">
      <c r="B196" s="5">
        <f t="shared" si="37"/>
        <v>184</v>
      </c>
      <c r="C196" s="5"/>
      <c r="E196" s="13"/>
      <c r="F196" s="5"/>
      <c r="G196" s="11" t="str">
        <f>IF(ISERROR(AVERAGE(F$13:F196)),"n/a",AVERAGE(F$13:F196))</f>
        <v>n/a</v>
      </c>
      <c r="H196" s="11" t="str">
        <f t="shared" si="33"/>
        <v>n/a</v>
      </c>
      <c r="J196" s="5"/>
      <c r="K196" s="5"/>
      <c r="L196" s="5"/>
      <c r="M196" s="5"/>
      <c r="N196" s="5"/>
      <c r="O196" s="8" t="str">
        <f t="shared" si="31"/>
        <v>n/a</v>
      </c>
      <c r="Q196" s="5"/>
      <c r="R196" s="5"/>
      <c r="S196" s="5"/>
      <c r="U196" s="6"/>
      <c r="V196" s="9" t="str">
        <f t="shared" si="34"/>
        <v/>
      </c>
      <c r="W196" s="9" t="str">
        <f t="shared" si="35"/>
        <v/>
      </c>
      <c r="X196" s="10">
        <f>SUM(V$13:V196)/COUNTA(B$13:B196)</f>
        <v>0</v>
      </c>
      <c r="Z196" s="5"/>
      <c r="AA196" s="5"/>
      <c r="AC196" s="7"/>
      <c r="AE196" s="54" t="e">
        <f t="shared" si="36"/>
        <v>#N/A</v>
      </c>
      <c r="AF196" s="4" t="e">
        <f t="shared" si="32"/>
        <v>#N/A</v>
      </c>
    </row>
    <row r="197" spans="2:32">
      <c r="B197" s="5">
        <f t="shared" si="37"/>
        <v>185</v>
      </c>
      <c r="C197" s="5"/>
      <c r="E197" s="13"/>
      <c r="F197" s="5"/>
      <c r="G197" s="11" t="str">
        <f>IF(ISERROR(AVERAGE(F$13:F197)),"n/a",AVERAGE(F$13:F197))</f>
        <v>n/a</v>
      </c>
      <c r="H197" s="11" t="str">
        <f t="shared" si="33"/>
        <v>n/a</v>
      </c>
      <c r="J197" s="5"/>
      <c r="K197" s="5"/>
      <c r="L197" s="5"/>
      <c r="M197" s="5"/>
      <c r="N197" s="5"/>
      <c r="O197" s="8" t="str">
        <f t="shared" si="31"/>
        <v>n/a</v>
      </c>
      <c r="Q197" s="5"/>
      <c r="R197" s="5"/>
      <c r="S197" s="5"/>
      <c r="U197" s="6"/>
      <c r="V197" s="9" t="str">
        <f t="shared" si="34"/>
        <v/>
      </c>
      <c r="W197" s="9" t="str">
        <f t="shared" si="35"/>
        <v/>
      </c>
      <c r="X197" s="10">
        <f>SUM(V$13:V197)/COUNTA(B$13:B197)</f>
        <v>0</v>
      </c>
      <c r="Z197" s="5"/>
      <c r="AA197" s="5"/>
      <c r="AC197" s="7"/>
      <c r="AE197" s="54" t="e">
        <f t="shared" si="36"/>
        <v>#N/A</v>
      </c>
      <c r="AF197" s="4" t="e">
        <f t="shared" si="32"/>
        <v>#N/A</v>
      </c>
    </row>
    <row r="198" spans="2:32">
      <c r="B198" s="5">
        <f t="shared" si="37"/>
        <v>186</v>
      </c>
      <c r="C198" s="5"/>
      <c r="E198" s="13"/>
      <c r="F198" s="5"/>
      <c r="G198" s="11" t="str">
        <f>IF(ISERROR(AVERAGE(F$13:F198)),"n/a",AVERAGE(F$13:F198))</f>
        <v>n/a</v>
      </c>
      <c r="H198" s="11" t="str">
        <f t="shared" si="33"/>
        <v>n/a</v>
      </c>
      <c r="J198" s="5"/>
      <c r="K198" s="5"/>
      <c r="L198" s="5"/>
      <c r="M198" s="5"/>
      <c r="N198" s="5"/>
      <c r="O198" s="8" t="str">
        <f t="shared" si="31"/>
        <v>n/a</v>
      </c>
      <c r="Q198" s="5"/>
      <c r="R198" s="5"/>
      <c r="S198" s="5"/>
      <c r="U198" s="6"/>
      <c r="V198" s="9" t="str">
        <f t="shared" si="34"/>
        <v/>
      </c>
      <c r="W198" s="9" t="str">
        <f t="shared" si="35"/>
        <v/>
      </c>
      <c r="X198" s="10">
        <f>SUM(V$13:V198)/COUNTA(B$13:B198)</f>
        <v>0</v>
      </c>
      <c r="Z198" s="5"/>
      <c r="AA198" s="5"/>
      <c r="AC198" s="7"/>
      <c r="AE198" s="54" t="e">
        <f t="shared" si="36"/>
        <v>#N/A</v>
      </c>
      <c r="AF198" s="4" t="e">
        <f t="shared" si="32"/>
        <v>#N/A</v>
      </c>
    </row>
    <row r="199" spans="2:32">
      <c r="B199" s="5">
        <f t="shared" si="37"/>
        <v>187</v>
      </c>
      <c r="C199" s="5"/>
      <c r="E199" s="13"/>
      <c r="F199" s="5"/>
      <c r="G199" s="11" t="str">
        <f>IF(ISERROR(AVERAGE(F$13:F199)),"n/a",AVERAGE(F$13:F199))</f>
        <v>n/a</v>
      </c>
      <c r="H199" s="11" t="str">
        <f t="shared" si="33"/>
        <v>n/a</v>
      </c>
      <c r="J199" s="5"/>
      <c r="K199" s="5"/>
      <c r="L199" s="5"/>
      <c r="M199" s="5"/>
      <c r="N199" s="5"/>
      <c r="O199" s="8" t="str">
        <f t="shared" si="31"/>
        <v>n/a</v>
      </c>
      <c r="Q199" s="5"/>
      <c r="R199" s="5"/>
      <c r="S199" s="5"/>
      <c r="U199" s="6"/>
      <c r="V199" s="9" t="str">
        <f t="shared" si="34"/>
        <v/>
      </c>
      <c r="W199" s="9" t="str">
        <f t="shared" si="35"/>
        <v/>
      </c>
      <c r="X199" s="10">
        <f>SUM(V$13:V199)/COUNTA(B$13:B199)</f>
        <v>0</v>
      </c>
      <c r="Z199" s="5"/>
      <c r="AA199" s="5"/>
      <c r="AC199" s="7"/>
      <c r="AE199" s="54" t="e">
        <f t="shared" si="36"/>
        <v>#N/A</v>
      </c>
      <c r="AF199" s="4" t="e">
        <f t="shared" si="32"/>
        <v>#N/A</v>
      </c>
    </row>
    <row r="200" spans="2:32">
      <c r="B200" s="5">
        <f t="shared" si="37"/>
        <v>188</v>
      </c>
      <c r="C200" s="5"/>
      <c r="E200" s="13"/>
      <c r="F200" s="5"/>
      <c r="G200" s="11" t="str">
        <f>IF(ISERROR(AVERAGE(F$13:F200)),"n/a",AVERAGE(F$13:F200))</f>
        <v>n/a</v>
      </c>
      <c r="H200" s="11" t="str">
        <f t="shared" si="33"/>
        <v>n/a</v>
      </c>
      <c r="J200" s="5"/>
      <c r="K200" s="5"/>
      <c r="L200" s="5"/>
      <c r="M200" s="5"/>
      <c r="N200" s="5"/>
      <c r="O200" s="8" t="str">
        <f t="shared" si="31"/>
        <v>n/a</v>
      </c>
      <c r="Q200" s="5"/>
      <c r="R200" s="5"/>
      <c r="S200" s="5"/>
      <c r="U200" s="6"/>
      <c r="V200" s="9" t="str">
        <f t="shared" si="34"/>
        <v/>
      </c>
      <c r="W200" s="9" t="str">
        <f t="shared" si="35"/>
        <v/>
      </c>
      <c r="X200" s="10">
        <f>SUM(V$13:V200)/COUNTA(B$13:B200)</f>
        <v>0</v>
      </c>
      <c r="Z200" s="5"/>
      <c r="AA200" s="5"/>
      <c r="AC200" s="7"/>
      <c r="AE200" s="54" t="e">
        <f t="shared" si="36"/>
        <v>#N/A</v>
      </c>
      <c r="AF200" s="4" t="e">
        <f t="shared" si="32"/>
        <v>#N/A</v>
      </c>
    </row>
    <row r="201" spans="2:32">
      <c r="B201" s="5">
        <f t="shared" si="37"/>
        <v>189</v>
      </c>
      <c r="C201" s="5"/>
      <c r="E201" s="13"/>
      <c r="F201" s="5"/>
      <c r="G201" s="11" t="str">
        <f>IF(ISERROR(AVERAGE(F$13:F201)),"n/a",AVERAGE(F$13:F201))</f>
        <v>n/a</v>
      </c>
      <c r="H201" s="11" t="str">
        <f t="shared" si="33"/>
        <v>n/a</v>
      </c>
      <c r="J201" s="5"/>
      <c r="K201" s="5"/>
      <c r="L201" s="5"/>
      <c r="M201" s="5"/>
      <c r="N201" s="5"/>
      <c r="O201" s="8" t="str">
        <f t="shared" si="31"/>
        <v>n/a</v>
      </c>
      <c r="Q201" s="5"/>
      <c r="R201" s="5"/>
      <c r="S201" s="5"/>
      <c r="U201" s="6"/>
      <c r="V201" s="9" t="str">
        <f t="shared" si="34"/>
        <v/>
      </c>
      <c r="W201" s="9" t="str">
        <f t="shared" si="35"/>
        <v/>
      </c>
      <c r="X201" s="10">
        <f>SUM(V$13:V201)/COUNTA(B$13:B201)</f>
        <v>0</v>
      </c>
      <c r="Z201" s="5"/>
      <c r="AA201" s="5"/>
      <c r="AC201" s="7"/>
      <c r="AE201" s="54" t="e">
        <f t="shared" si="36"/>
        <v>#N/A</v>
      </c>
      <c r="AF201" s="4" t="e">
        <f t="shared" si="32"/>
        <v>#N/A</v>
      </c>
    </row>
    <row r="202" spans="2:32">
      <c r="B202" s="5">
        <f t="shared" si="37"/>
        <v>190</v>
      </c>
      <c r="C202" s="5"/>
      <c r="E202" s="13"/>
      <c r="F202" s="5"/>
      <c r="G202" s="11" t="str">
        <f>IF(ISERROR(AVERAGE(F$13:F202)),"n/a",AVERAGE(F$13:F202))</f>
        <v>n/a</v>
      </c>
      <c r="H202" s="11" t="str">
        <f t="shared" si="33"/>
        <v>n/a</v>
      </c>
      <c r="J202" s="5"/>
      <c r="K202" s="5"/>
      <c r="L202" s="5"/>
      <c r="M202" s="5"/>
      <c r="N202" s="5"/>
      <c r="O202" s="8" t="str">
        <f t="shared" si="31"/>
        <v>n/a</v>
      </c>
      <c r="Q202" s="5"/>
      <c r="R202" s="5"/>
      <c r="S202" s="5"/>
      <c r="U202" s="6"/>
      <c r="V202" s="9" t="str">
        <f t="shared" si="34"/>
        <v/>
      </c>
      <c r="W202" s="9" t="str">
        <f t="shared" si="35"/>
        <v/>
      </c>
      <c r="X202" s="10">
        <f>SUM(V$13:V202)/COUNTA(B$13:B202)</f>
        <v>0</v>
      </c>
      <c r="Z202" s="5"/>
      <c r="AA202" s="5"/>
      <c r="AC202" s="7"/>
      <c r="AE202" s="54" t="e">
        <f t="shared" si="36"/>
        <v>#N/A</v>
      </c>
      <c r="AF202" s="4" t="e">
        <f t="shared" si="32"/>
        <v>#N/A</v>
      </c>
    </row>
    <row r="203" spans="2:32">
      <c r="B203" s="5">
        <f t="shared" si="37"/>
        <v>191</v>
      </c>
      <c r="C203" s="5"/>
      <c r="E203" s="13"/>
      <c r="F203" s="5"/>
      <c r="G203" s="11" t="str">
        <f>IF(ISERROR(AVERAGE(F$13:F203)),"n/a",AVERAGE(F$13:F203))</f>
        <v>n/a</v>
      </c>
      <c r="H203" s="11" t="str">
        <f t="shared" si="33"/>
        <v>n/a</v>
      </c>
      <c r="J203" s="5"/>
      <c r="K203" s="5"/>
      <c r="L203" s="5"/>
      <c r="M203" s="5"/>
      <c r="N203" s="5"/>
      <c r="O203" s="8" t="str">
        <f t="shared" si="31"/>
        <v>n/a</v>
      </c>
      <c r="Q203" s="5"/>
      <c r="R203" s="5"/>
      <c r="S203" s="5"/>
      <c r="U203" s="6"/>
      <c r="V203" s="9" t="str">
        <f t="shared" si="34"/>
        <v/>
      </c>
      <c r="W203" s="9" t="str">
        <f t="shared" si="35"/>
        <v/>
      </c>
      <c r="X203" s="10">
        <f>SUM(V$13:V203)/COUNTA(B$13:B203)</f>
        <v>0</v>
      </c>
      <c r="Z203" s="5"/>
      <c r="AA203" s="5"/>
      <c r="AC203" s="7"/>
      <c r="AE203" s="54" t="e">
        <f t="shared" si="36"/>
        <v>#N/A</v>
      </c>
      <c r="AF203" s="4" t="e">
        <f t="shared" si="32"/>
        <v>#N/A</v>
      </c>
    </row>
    <row r="204" spans="2:32">
      <c r="B204" s="5">
        <f t="shared" si="37"/>
        <v>192</v>
      </c>
      <c r="C204" s="5"/>
      <c r="E204" s="13"/>
      <c r="F204" s="5"/>
      <c r="G204" s="11" t="str">
        <f>IF(ISERROR(AVERAGE(F$13:F204)),"n/a",AVERAGE(F$13:F204))</f>
        <v>n/a</v>
      </c>
      <c r="H204" s="11" t="str">
        <f t="shared" si="33"/>
        <v>n/a</v>
      </c>
      <c r="J204" s="5"/>
      <c r="K204" s="5"/>
      <c r="L204" s="5"/>
      <c r="M204" s="5"/>
      <c r="N204" s="5"/>
      <c r="O204" s="8" t="str">
        <f t="shared" si="31"/>
        <v>n/a</v>
      </c>
      <c r="Q204" s="5"/>
      <c r="R204" s="5"/>
      <c r="S204" s="5"/>
      <c r="U204" s="6"/>
      <c r="V204" s="9" t="str">
        <f t="shared" si="34"/>
        <v/>
      </c>
      <c r="W204" s="9" t="str">
        <f t="shared" si="35"/>
        <v/>
      </c>
      <c r="X204" s="10">
        <f>SUM(V$13:V204)/COUNTA(B$13:B204)</f>
        <v>0</v>
      </c>
      <c r="Z204" s="5"/>
      <c r="AA204" s="5"/>
      <c r="AC204" s="7"/>
      <c r="AE204" s="54" t="e">
        <f t="shared" si="36"/>
        <v>#N/A</v>
      </c>
      <c r="AF204" s="4" t="e">
        <f t="shared" si="32"/>
        <v>#N/A</v>
      </c>
    </row>
    <row r="205" spans="2:32">
      <c r="B205" s="5">
        <f t="shared" si="37"/>
        <v>193</v>
      </c>
      <c r="C205" s="5"/>
      <c r="E205" s="13"/>
      <c r="F205" s="5"/>
      <c r="G205" s="11" t="str">
        <f>IF(ISERROR(AVERAGE(F$13:F205)),"n/a",AVERAGE(F$13:F205))</f>
        <v>n/a</v>
      </c>
      <c r="H205" s="11" t="str">
        <f t="shared" si="33"/>
        <v>n/a</v>
      </c>
      <c r="J205" s="5"/>
      <c r="K205" s="5"/>
      <c r="L205" s="5"/>
      <c r="M205" s="5"/>
      <c r="N205" s="5"/>
      <c r="O205" s="8" t="str">
        <f t="shared" ref="O205:O268" si="38">IF(J205=1,"A",IF(K205=1,"B",IF(L205=1,"C",IF(M205=1,"D",IF(N205=1,"E","n/a")))))</f>
        <v>n/a</v>
      </c>
      <c r="Q205" s="5"/>
      <c r="R205" s="5"/>
      <c r="S205" s="5"/>
      <c r="U205" s="6"/>
      <c r="V205" s="9" t="str">
        <f t="shared" si="34"/>
        <v/>
      </c>
      <c r="W205" s="9" t="str">
        <f t="shared" si="35"/>
        <v/>
      </c>
      <c r="X205" s="10">
        <f>SUM(V$13:V205)/COUNTA(B$13:B205)</f>
        <v>0</v>
      </c>
      <c r="Z205" s="5"/>
      <c r="AA205" s="5"/>
      <c r="AC205" s="7"/>
      <c r="AE205" s="54" t="e">
        <f t="shared" si="36"/>
        <v>#N/A</v>
      </c>
      <c r="AF205" s="4" t="e">
        <f t="shared" ref="AF205:AF268" si="39">HLOOKUP(C205,$K$6:$O$7,2,FALSE)</f>
        <v>#N/A</v>
      </c>
    </row>
    <row r="206" spans="2:32">
      <c r="B206" s="5">
        <f t="shared" si="37"/>
        <v>194</v>
      </c>
      <c r="C206" s="5"/>
      <c r="E206" s="13"/>
      <c r="F206" s="5"/>
      <c r="G206" s="11" t="str">
        <f>IF(ISERROR(AVERAGE(F$13:F206)),"n/a",AVERAGE(F$13:F206))</f>
        <v>n/a</v>
      </c>
      <c r="H206" s="11" t="str">
        <f t="shared" ref="H206:H269" si="40">G206</f>
        <v>n/a</v>
      </c>
      <c r="J206" s="5"/>
      <c r="K206" s="5"/>
      <c r="L206" s="5"/>
      <c r="M206" s="5"/>
      <c r="N206" s="5"/>
      <c r="O206" s="8" t="str">
        <f t="shared" si="38"/>
        <v>n/a</v>
      </c>
      <c r="Q206" s="5"/>
      <c r="R206" s="5"/>
      <c r="S206" s="5"/>
      <c r="U206" s="6"/>
      <c r="V206" s="9" t="str">
        <f t="shared" ref="V206:V269" si="41">IF(O206="n/a","",IF(O206=U206,1,""))</f>
        <v/>
      </c>
      <c r="W206" s="9" t="str">
        <f t="shared" ref="W206:W269" si="42">IF(O206="n/a","",IF(O206&lt;&gt;U206,1,""))</f>
        <v/>
      </c>
      <c r="X206" s="10">
        <f>SUM(V$13:V206)/COUNTA(B$13:B206)</f>
        <v>0</v>
      </c>
      <c r="Z206" s="5"/>
      <c r="AA206" s="5"/>
      <c r="AC206" s="7"/>
      <c r="AE206" s="54" t="e">
        <f t="shared" ref="AE206:AE269" si="43">+IF($F$4=0,0,IF(W206=1,1,IF(OR(R206*$F$8=1,S206*$F$9=1,F206&gt;=AF206),2,0)))</f>
        <v>#N/A</v>
      </c>
      <c r="AF206" s="4" t="e">
        <f t="shared" si="39"/>
        <v>#N/A</v>
      </c>
    </row>
    <row r="207" spans="2:32">
      <c r="B207" s="5">
        <f t="shared" si="37"/>
        <v>195</v>
      </c>
      <c r="C207" s="5"/>
      <c r="E207" s="13"/>
      <c r="F207" s="5"/>
      <c r="G207" s="11" t="str">
        <f>IF(ISERROR(AVERAGE(F$13:F207)),"n/a",AVERAGE(F$13:F207))</f>
        <v>n/a</v>
      </c>
      <c r="H207" s="11" t="str">
        <f t="shared" si="40"/>
        <v>n/a</v>
      </c>
      <c r="J207" s="5"/>
      <c r="K207" s="5"/>
      <c r="L207" s="5"/>
      <c r="M207" s="5"/>
      <c r="N207" s="5"/>
      <c r="O207" s="8" t="str">
        <f t="shared" si="38"/>
        <v>n/a</v>
      </c>
      <c r="Q207" s="5"/>
      <c r="R207" s="5"/>
      <c r="S207" s="5"/>
      <c r="U207" s="6"/>
      <c r="V207" s="9" t="str">
        <f t="shared" si="41"/>
        <v/>
      </c>
      <c r="W207" s="9" t="str">
        <f t="shared" si="42"/>
        <v/>
      </c>
      <c r="X207" s="10">
        <f>SUM(V$13:V207)/COUNTA(B$13:B207)</f>
        <v>0</v>
      </c>
      <c r="Z207" s="5"/>
      <c r="AA207" s="5"/>
      <c r="AC207" s="7"/>
      <c r="AE207" s="54" t="e">
        <f t="shared" si="43"/>
        <v>#N/A</v>
      </c>
      <c r="AF207" s="4" t="e">
        <f t="shared" si="39"/>
        <v>#N/A</v>
      </c>
    </row>
    <row r="208" spans="2:32">
      <c r="B208" s="5">
        <f t="shared" si="37"/>
        <v>196</v>
      </c>
      <c r="C208" s="5"/>
      <c r="E208" s="13"/>
      <c r="F208" s="5"/>
      <c r="G208" s="11" t="str">
        <f>IF(ISERROR(AVERAGE(F$13:F208)),"n/a",AVERAGE(F$13:F208))</f>
        <v>n/a</v>
      </c>
      <c r="H208" s="11" t="str">
        <f t="shared" si="40"/>
        <v>n/a</v>
      </c>
      <c r="J208" s="5"/>
      <c r="K208" s="5"/>
      <c r="L208" s="5"/>
      <c r="M208" s="5"/>
      <c r="N208" s="5"/>
      <c r="O208" s="8" t="str">
        <f t="shared" si="38"/>
        <v>n/a</v>
      </c>
      <c r="Q208" s="5"/>
      <c r="R208" s="5"/>
      <c r="S208" s="5"/>
      <c r="U208" s="6"/>
      <c r="V208" s="9" t="str">
        <f t="shared" si="41"/>
        <v/>
      </c>
      <c r="W208" s="9" t="str">
        <f t="shared" si="42"/>
        <v/>
      </c>
      <c r="X208" s="10">
        <f>SUM(V$13:V208)/COUNTA(B$13:B208)</f>
        <v>0</v>
      </c>
      <c r="Z208" s="5"/>
      <c r="AA208" s="5"/>
      <c r="AC208" s="7"/>
      <c r="AE208" s="54" t="e">
        <f t="shared" si="43"/>
        <v>#N/A</v>
      </c>
      <c r="AF208" s="4" t="e">
        <f t="shared" si="39"/>
        <v>#N/A</v>
      </c>
    </row>
    <row r="209" spans="2:32">
      <c r="B209" s="5">
        <f t="shared" si="37"/>
        <v>197</v>
      </c>
      <c r="C209" s="5"/>
      <c r="E209" s="13"/>
      <c r="F209" s="5"/>
      <c r="G209" s="11" t="str">
        <f>IF(ISERROR(AVERAGE(F$13:F209)),"n/a",AVERAGE(F$13:F209))</f>
        <v>n/a</v>
      </c>
      <c r="H209" s="11" t="str">
        <f t="shared" si="40"/>
        <v>n/a</v>
      </c>
      <c r="J209" s="5"/>
      <c r="K209" s="5"/>
      <c r="L209" s="5"/>
      <c r="M209" s="5"/>
      <c r="N209" s="5"/>
      <c r="O209" s="8" t="str">
        <f t="shared" si="38"/>
        <v>n/a</v>
      </c>
      <c r="Q209" s="5"/>
      <c r="R209" s="5"/>
      <c r="S209" s="5"/>
      <c r="U209" s="6"/>
      <c r="V209" s="9" t="str">
        <f t="shared" si="41"/>
        <v/>
      </c>
      <c r="W209" s="9" t="str">
        <f t="shared" si="42"/>
        <v/>
      </c>
      <c r="X209" s="10">
        <f>SUM(V$13:V209)/COUNTA(B$13:B209)</f>
        <v>0</v>
      </c>
      <c r="Z209" s="5"/>
      <c r="AA209" s="5"/>
      <c r="AC209" s="7"/>
      <c r="AE209" s="54" t="e">
        <f t="shared" si="43"/>
        <v>#N/A</v>
      </c>
      <c r="AF209" s="4" t="e">
        <f t="shared" si="39"/>
        <v>#N/A</v>
      </c>
    </row>
    <row r="210" spans="2:32">
      <c r="B210" s="5">
        <f t="shared" si="37"/>
        <v>198</v>
      </c>
      <c r="C210" s="5"/>
      <c r="E210" s="13"/>
      <c r="F210" s="5"/>
      <c r="G210" s="11" t="str">
        <f>IF(ISERROR(AVERAGE(F$13:F210)),"n/a",AVERAGE(F$13:F210))</f>
        <v>n/a</v>
      </c>
      <c r="H210" s="11" t="str">
        <f t="shared" si="40"/>
        <v>n/a</v>
      </c>
      <c r="J210" s="5"/>
      <c r="K210" s="5"/>
      <c r="L210" s="5"/>
      <c r="M210" s="5"/>
      <c r="N210" s="5"/>
      <c r="O210" s="8" t="str">
        <f t="shared" si="38"/>
        <v>n/a</v>
      </c>
      <c r="Q210" s="5"/>
      <c r="R210" s="5"/>
      <c r="S210" s="5"/>
      <c r="U210" s="6"/>
      <c r="V210" s="9" t="str">
        <f t="shared" si="41"/>
        <v/>
      </c>
      <c r="W210" s="9" t="str">
        <f t="shared" si="42"/>
        <v/>
      </c>
      <c r="X210" s="10">
        <f>SUM(V$13:V210)/COUNTA(B$13:B210)</f>
        <v>0</v>
      </c>
      <c r="Z210" s="5"/>
      <c r="AA210" s="5"/>
      <c r="AC210" s="7"/>
      <c r="AE210" s="54" t="e">
        <f t="shared" si="43"/>
        <v>#N/A</v>
      </c>
      <c r="AF210" s="4" t="e">
        <f t="shared" si="39"/>
        <v>#N/A</v>
      </c>
    </row>
    <row r="211" spans="2:32">
      <c r="B211" s="5">
        <f t="shared" ref="B211:B274" si="44">+B210+1</f>
        <v>199</v>
      </c>
      <c r="C211" s="5"/>
      <c r="E211" s="13"/>
      <c r="F211" s="5"/>
      <c r="G211" s="11" t="str">
        <f>IF(ISERROR(AVERAGE(F$13:F211)),"n/a",AVERAGE(F$13:F211))</f>
        <v>n/a</v>
      </c>
      <c r="H211" s="11" t="str">
        <f t="shared" si="40"/>
        <v>n/a</v>
      </c>
      <c r="J211" s="5"/>
      <c r="K211" s="5"/>
      <c r="L211" s="5"/>
      <c r="M211" s="5"/>
      <c r="N211" s="5"/>
      <c r="O211" s="8" t="str">
        <f t="shared" si="38"/>
        <v>n/a</v>
      </c>
      <c r="Q211" s="5"/>
      <c r="R211" s="5"/>
      <c r="S211" s="5"/>
      <c r="U211" s="6"/>
      <c r="V211" s="9" t="str">
        <f t="shared" si="41"/>
        <v/>
      </c>
      <c r="W211" s="9" t="str">
        <f t="shared" si="42"/>
        <v/>
      </c>
      <c r="X211" s="10">
        <f>SUM(V$13:V211)/COUNTA(B$13:B211)</f>
        <v>0</v>
      </c>
      <c r="Z211" s="5"/>
      <c r="AA211" s="5"/>
      <c r="AC211" s="7"/>
      <c r="AE211" s="54" t="e">
        <f t="shared" si="43"/>
        <v>#N/A</v>
      </c>
      <c r="AF211" s="4" t="e">
        <f t="shared" si="39"/>
        <v>#N/A</v>
      </c>
    </row>
    <row r="212" spans="2:32">
      <c r="B212" s="5">
        <f t="shared" si="44"/>
        <v>200</v>
      </c>
      <c r="C212" s="5"/>
      <c r="E212" s="13"/>
      <c r="F212" s="5"/>
      <c r="G212" s="11" t="str">
        <f>IF(ISERROR(AVERAGE(F$13:F212)),"n/a",AVERAGE(F$13:F212))</f>
        <v>n/a</v>
      </c>
      <c r="H212" s="11" t="str">
        <f t="shared" si="40"/>
        <v>n/a</v>
      </c>
      <c r="J212" s="5"/>
      <c r="K212" s="5"/>
      <c r="L212" s="5"/>
      <c r="M212" s="5"/>
      <c r="N212" s="5"/>
      <c r="O212" s="8" t="str">
        <f t="shared" si="38"/>
        <v>n/a</v>
      </c>
      <c r="Q212" s="5"/>
      <c r="R212" s="5"/>
      <c r="S212" s="5"/>
      <c r="U212" s="6"/>
      <c r="V212" s="9" t="str">
        <f t="shared" si="41"/>
        <v/>
      </c>
      <c r="W212" s="9" t="str">
        <f t="shared" si="42"/>
        <v/>
      </c>
      <c r="X212" s="10">
        <f>SUM(V$13:V212)/COUNTA(B$13:B212)</f>
        <v>0</v>
      </c>
      <c r="Z212" s="5"/>
      <c r="AA212" s="5"/>
      <c r="AC212" s="7"/>
      <c r="AE212" s="54" t="e">
        <f t="shared" si="43"/>
        <v>#N/A</v>
      </c>
      <c r="AF212" s="4" t="e">
        <f t="shared" si="39"/>
        <v>#N/A</v>
      </c>
    </row>
    <row r="213" spans="2:32">
      <c r="B213" s="5">
        <f t="shared" si="44"/>
        <v>201</v>
      </c>
      <c r="C213" s="5"/>
      <c r="E213" s="13"/>
      <c r="F213" s="5"/>
      <c r="G213" s="11" t="str">
        <f>IF(ISERROR(AVERAGE(F$13:F213)),"n/a",AVERAGE(F$13:F213))</f>
        <v>n/a</v>
      </c>
      <c r="H213" s="11" t="str">
        <f t="shared" si="40"/>
        <v>n/a</v>
      </c>
      <c r="J213" s="5"/>
      <c r="K213" s="5"/>
      <c r="L213" s="5"/>
      <c r="M213" s="5"/>
      <c r="N213" s="5"/>
      <c r="O213" s="8" t="str">
        <f t="shared" si="38"/>
        <v>n/a</v>
      </c>
      <c r="Q213" s="5"/>
      <c r="R213" s="5"/>
      <c r="S213" s="5"/>
      <c r="U213" s="6"/>
      <c r="V213" s="9" t="str">
        <f t="shared" si="41"/>
        <v/>
      </c>
      <c r="W213" s="9" t="str">
        <f t="shared" si="42"/>
        <v/>
      </c>
      <c r="X213" s="10">
        <f>SUM(V$13:V213)/COUNTA(B$13:B213)</f>
        <v>0</v>
      </c>
      <c r="Z213" s="5"/>
      <c r="AA213" s="5"/>
      <c r="AC213" s="7"/>
      <c r="AE213" s="54" t="e">
        <f t="shared" si="43"/>
        <v>#N/A</v>
      </c>
      <c r="AF213" s="4" t="e">
        <f t="shared" si="39"/>
        <v>#N/A</v>
      </c>
    </row>
    <row r="214" spans="2:32">
      <c r="B214" s="5">
        <f t="shared" si="44"/>
        <v>202</v>
      </c>
      <c r="C214" s="5"/>
      <c r="E214" s="13"/>
      <c r="F214" s="5"/>
      <c r="G214" s="11" t="str">
        <f>IF(ISERROR(AVERAGE(F$13:F214)),"n/a",AVERAGE(F$13:F214))</f>
        <v>n/a</v>
      </c>
      <c r="H214" s="11" t="str">
        <f t="shared" si="40"/>
        <v>n/a</v>
      </c>
      <c r="J214" s="5"/>
      <c r="K214" s="5"/>
      <c r="L214" s="5"/>
      <c r="M214" s="5"/>
      <c r="N214" s="5"/>
      <c r="O214" s="8" t="str">
        <f t="shared" si="38"/>
        <v>n/a</v>
      </c>
      <c r="Q214" s="5"/>
      <c r="R214" s="5"/>
      <c r="S214" s="5"/>
      <c r="U214" s="6"/>
      <c r="V214" s="9" t="str">
        <f t="shared" si="41"/>
        <v/>
      </c>
      <c r="W214" s="9" t="str">
        <f t="shared" si="42"/>
        <v/>
      </c>
      <c r="X214" s="10">
        <f>SUM(V$13:V214)/COUNTA(B$13:B214)</f>
        <v>0</v>
      </c>
      <c r="Z214" s="5"/>
      <c r="AA214" s="5"/>
      <c r="AC214" s="7"/>
      <c r="AE214" s="54" t="e">
        <f t="shared" si="43"/>
        <v>#N/A</v>
      </c>
      <c r="AF214" s="4" t="e">
        <f t="shared" si="39"/>
        <v>#N/A</v>
      </c>
    </row>
    <row r="215" spans="2:32">
      <c r="B215" s="5">
        <f t="shared" si="44"/>
        <v>203</v>
      </c>
      <c r="C215" s="5"/>
      <c r="E215" s="13"/>
      <c r="F215" s="5"/>
      <c r="G215" s="11" t="str">
        <f>IF(ISERROR(AVERAGE(F$13:F215)),"n/a",AVERAGE(F$13:F215))</f>
        <v>n/a</v>
      </c>
      <c r="H215" s="11" t="str">
        <f t="shared" si="40"/>
        <v>n/a</v>
      </c>
      <c r="J215" s="5"/>
      <c r="K215" s="5"/>
      <c r="L215" s="5"/>
      <c r="M215" s="5"/>
      <c r="N215" s="5"/>
      <c r="O215" s="8" t="str">
        <f t="shared" si="38"/>
        <v>n/a</v>
      </c>
      <c r="Q215" s="5"/>
      <c r="R215" s="5"/>
      <c r="S215" s="5"/>
      <c r="U215" s="6"/>
      <c r="V215" s="9" t="str">
        <f t="shared" si="41"/>
        <v/>
      </c>
      <c r="W215" s="9" t="str">
        <f t="shared" si="42"/>
        <v/>
      </c>
      <c r="X215" s="10">
        <f>SUM(V$13:V215)/COUNTA(B$13:B215)</f>
        <v>0</v>
      </c>
      <c r="Z215" s="5"/>
      <c r="AA215" s="5"/>
      <c r="AC215" s="7"/>
      <c r="AE215" s="54" t="e">
        <f t="shared" si="43"/>
        <v>#N/A</v>
      </c>
      <c r="AF215" s="4" t="e">
        <f t="shared" si="39"/>
        <v>#N/A</v>
      </c>
    </row>
    <row r="216" spans="2:32">
      <c r="B216" s="5">
        <f t="shared" si="44"/>
        <v>204</v>
      </c>
      <c r="C216" s="5"/>
      <c r="E216" s="13"/>
      <c r="F216" s="5"/>
      <c r="G216" s="11" t="str">
        <f>IF(ISERROR(AVERAGE(F$13:F216)),"n/a",AVERAGE(F$13:F216))</f>
        <v>n/a</v>
      </c>
      <c r="H216" s="11" t="str">
        <f t="shared" si="40"/>
        <v>n/a</v>
      </c>
      <c r="J216" s="5"/>
      <c r="K216" s="5"/>
      <c r="L216" s="5"/>
      <c r="M216" s="5"/>
      <c r="N216" s="5"/>
      <c r="O216" s="8" t="str">
        <f t="shared" si="38"/>
        <v>n/a</v>
      </c>
      <c r="Q216" s="5"/>
      <c r="R216" s="5"/>
      <c r="S216" s="5"/>
      <c r="U216" s="6"/>
      <c r="V216" s="9" t="str">
        <f t="shared" si="41"/>
        <v/>
      </c>
      <c r="W216" s="9" t="str">
        <f t="shared" si="42"/>
        <v/>
      </c>
      <c r="X216" s="10">
        <f>SUM(V$13:V216)/COUNTA(B$13:B216)</f>
        <v>0</v>
      </c>
      <c r="Z216" s="5"/>
      <c r="AA216" s="5"/>
      <c r="AC216" s="7"/>
      <c r="AE216" s="54" t="e">
        <f t="shared" si="43"/>
        <v>#N/A</v>
      </c>
      <c r="AF216" s="4" t="e">
        <f t="shared" si="39"/>
        <v>#N/A</v>
      </c>
    </row>
    <row r="217" spans="2:32">
      <c r="B217" s="5">
        <f t="shared" si="44"/>
        <v>205</v>
      </c>
      <c r="C217" s="5"/>
      <c r="E217" s="13"/>
      <c r="F217" s="5"/>
      <c r="G217" s="11" t="str">
        <f>IF(ISERROR(AVERAGE(F$13:F217)),"n/a",AVERAGE(F$13:F217))</f>
        <v>n/a</v>
      </c>
      <c r="H217" s="11" t="str">
        <f t="shared" si="40"/>
        <v>n/a</v>
      </c>
      <c r="J217" s="5"/>
      <c r="K217" s="5"/>
      <c r="L217" s="5"/>
      <c r="M217" s="5"/>
      <c r="N217" s="5"/>
      <c r="O217" s="8" t="str">
        <f t="shared" si="38"/>
        <v>n/a</v>
      </c>
      <c r="Q217" s="5"/>
      <c r="R217" s="5"/>
      <c r="S217" s="5"/>
      <c r="U217" s="6"/>
      <c r="V217" s="9" t="str">
        <f t="shared" si="41"/>
        <v/>
      </c>
      <c r="W217" s="9" t="str">
        <f t="shared" si="42"/>
        <v/>
      </c>
      <c r="X217" s="10">
        <f>SUM(V$13:V217)/COUNTA(B$13:B217)</f>
        <v>0</v>
      </c>
      <c r="Z217" s="5"/>
      <c r="AA217" s="5"/>
      <c r="AC217" s="7"/>
      <c r="AE217" s="54" t="e">
        <f t="shared" si="43"/>
        <v>#N/A</v>
      </c>
      <c r="AF217" s="4" t="e">
        <f t="shared" si="39"/>
        <v>#N/A</v>
      </c>
    </row>
    <row r="218" spans="2:32">
      <c r="B218" s="5">
        <f t="shared" si="44"/>
        <v>206</v>
      </c>
      <c r="C218" s="5"/>
      <c r="E218" s="13"/>
      <c r="F218" s="5"/>
      <c r="G218" s="11" t="str">
        <f>IF(ISERROR(AVERAGE(F$13:F218)),"n/a",AVERAGE(F$13:F218))</f>
        <v>n/a</v>
      </c>
      <c r="H218" s="11" t="str">
        <f t="shared" si="40"/>
        <v>n/a</v>
      </c>
      <c r="J218" s="5"/>
      <c r="K218" s="5"/>
      <c r="L218" s="5"/>
      <c r="M218" s="5"/>
      <c r="N218" s="5"/>
      <c r="O218" s="8" t="str">
        <f t="shared" si="38"/>
        <v>n/a</v>
      </c>
      <c r="Q218" s="5"/>
      <c r="R218" s="5"/>
      <c r="S218" s="5"/>
      <c r="U218" s="6"/>
      <c r="V218" s="9" t="str">
        <f t="shared" si="41"/>
        <v/>
      </c>
      <c r="W218" s="9" t="str">
        <f t="shared" si="42"/>
        <v/>
      </c>
      <c r="X218" s="10">
        <f>SUM(V$13:V218)/COUNTA(B$13:B218)</f>
        <v>0</v>
      </c>
      <c r="Z218" s="5"/>
      <c r="AA218" s="5"/>
      <c r="AC218" s="7"/>
      <c r="AE218" s="54" t="e">
        <f t="shared" si="43"/>
        <v>#N/A</v>
      </c>
      <c r="AF218" s="4" t="e">
        <f t="shared" si="39"/>
        <v>#N/A</v>
      </c>
    </row>
    <row r="219" spans="2:32">
      <c r="B219" s="5">
        <f t="shared" si="44"/>
        <v>207</v>
      </c>
      <c r="C219" s="5"/>
      <c r="E219" s="13"/>
      <c r="F219" s="5"/>
      <c r="G219" s="11" t="str">
        <f>IF(ISERROR(AVERAGE(F$13:F219)),"n/a",AVERAGE(F$13:F219))</f>
        <v>n/a</v>
      </c>
      <c r="H219" s="11" t="str">
        <f t="shared" si="40"/>
        <v>n/a</v>
      </c>
      <c r="J219" s="5"/>
      <c r="K219" s="5"/>
      <c r="L219" s="5"/>
      <c r="M219" s="5"/>
      <c r="N219" s="5"/>
      <c r="O219" s="8" t="str">
        <f t="shared" si="38"/>
        <v>n/a</v>
      </c>
      <c r="Q219" s="5"/>
      <c r="R219" s="5"/>
      <c r="S219" s="5"/>
      <c r="U219" s="6"/>
      <c r="V219" s="9" t="str">
        <f t="shared" si="41"/>
        <v/>
      </c>
      <c r="W219" s="9" t="str">
        <f t="shared" si="42"/>
        <v/>
      </c>
      <c r="X219" s="10">
        <f>SUM(V$13:V219)/COUNTA(B$13:B219)</f>
        <v>0</v>
      </c>
      <c r="Z219" s="5"/>
      <c r="AA219" s="5"/>
      <c r="AC219" s="7"/>
      <c r="AE219" s="54" t="e">
        <f t="shared" si="43"/>
        <v>#N/A</v>
      </c>
      <c r="AF219" s="4" t="e">
        <f t="shared" si="39"/>
        <v>#N/A</v>
      </c>
    </row>
    <row r="220" spans="2:32">
      <c r="B220" s="5">
        <f t="shared" si="44"/>
        <v>208</v>
      </c>
      <c r="C220" s="5"/>
      <c r="E220" s="13"/>
      <c r="F220" s="5"/>
      <c r="G220" s="11" t="str">
        <f>IF(ISERROR(AVERAGE(F$13:F220)),"n/a",AVERAGE(F$13:F220))</f>
        <v>n/a</v>
      </c>
      <c r="H220" s="11" t="str">
        <f t="shared" si="40"/>
        <v>n/a</v>
      </c>
      <c r="J220" s="5"/>
      <c r="K220" s="5"/>
      <c r="L220" s="5"/>
      <c r="M220" s="5"/>
      <c r="N220" s="5"/>
      <c r="O220" s="8" t="str">
        <f t="shared" si="38"/>
        <v>n/a</v>
      </c>
      <c r="Q220" s="5"/>
      <c r="R220" s="5"/>
      <c r="S220" s="5"/>
      <c r="U220" s="6"/>
      <c r="V220" s="9" t="str">
        <f t="shared" si="41"/>
        <v/>
      </c>
      <c r="W220" s="9" t="str">
        <f t="shared" si="42"/>
        <v/>
      </c>
      <c r="X220" s="10">
        <f>SUM(V$13:V220)/COUNTA(B$13:B220)</f>
        <v>0</v>
      </c>
      <c r="Z220" s="5"/>
      <c r="AA220" s="5"/>
      <c r="AC220" s="7"/>
      <c r="AE220" s="54" t="e">
        <f t="shared" si="43"/>
        <v>#N/A</v>
      </c>
      <c r="AF220" s="4" t="e">
        <f t="shared" si="39"/>
        <v>#N/A</v>
      </c>
    </row>
    <row r="221" spans="2:32">
      <c r="B221" s="5">
        <f t="shared" si="44"/>
        <v>209</v>
      </c>
      <c r="C221" s="5"/>
      <c r="E221" s="13"/>
      <c r="F221" s="5"/>
      <c r="G221" s="11" t="str">
        <f>IF(ISERROR(AVERAGE(F$13:F221)),"n/a",AVERAGE(F$13:F221))</f>
        <v>n/a</v>
      </c>
      <c r="H221" s="11" t="str">
        <f t="shared" si="40"/>
        <v>n/a</v>
      </c>
      <c r="J221" s="5"/>
      <c r="K221" s="5"/>
      <c r="L221" s="5"/>
      <c r="M221" s="5"/>
      <c r="N221" s="5"/>
      <c r="O221" s="8" t="str">
        <f t="shared" si="38"/>
        <v>n/a</v>
      </c>
      <c r="Q221" s="5"/>
      <c r="R221" s="5"/>
      <c r="S221" s="5"/>
      <c r="U221" s="6"/>
      <c r="V221" s="9" t="str">
        <f t="shared" si="41"/>
        <v/>
      </c>
      <c r="W221" s="9" t="str">
        <f t="shared" si="42"/>
        <v/>
      </c>
      <c r="X221" s="10">
        <f>SUM(V$13:V221)/COUNTA(B$13:B221)</f>
        <v>0</v>
      </c>
      <c r="Z221" s="5"/>
      <c r="AA221" s="5"/>
      <c r="AC221" s="7"/>
      <c r="AE221" s="54" t="e">
        <f t="shared" si="43"/>
        <v>#N/A</v>
      </c>
      <c r="AF221" s="4" t="e">
        <f t="shared" si="39"/>
        <v>#N/A</v>
      </c>
    </row>
    <row r="222" spans="2:32">
      <c r="B222" s="5">
        <f t="shared" si="44"/>
        <v>210</v>
      </c>
      <c r="C222" s="5"/>
      <c r="E222" s="13"/>
      <c r="F222" s="5"/>
      <c r="G222" s="11" t="str">
        <f>IF(ISERROR(AVERAGE(F$13:F222)),"n/a",AVERAGE(F$13:F222))</f>
        <v>n/a</v>
      </c>
      <c r="H222" s="11" t="str">
        <f t="shared" si="40"/>
        <v>n/a</v>
      </c>
      <c r="J222" s="5"/>
      <c r="K222" s="5"/>
      <c r="L222" s="5"/>
      <c r="M222" s="5"/>
      <c r="N222" s="5"/>
      <c r="O222" s="8" t="str">
        <f t="shared" si="38"/>
        <v>n/a</v>
      </c>
      <c r="Q222" s="5"/>
      <c r="R222" s="5"/>
      <c r="S222" s="5"/>
      <c r="U222" s="6"/>
      <c r="V222" s="9" t="str">
        <f t="shared" si="41"/>
        <v/>
      </c>
      <c r="W222" s="9" t="str">
        <f t="shared" si="42"/>
        <v/>
      </c>
      <c r="X222" s="10">
        <f>SUM(V$13:V222)/COUNTA(B$13:B222)</f>
        <v>0</v>
      </c>
      <c r="Z222" s="5"/>
      <c r="AA222" s="5"/>
      <c r="AC222" s="7"/>
      <c r="AE222" s="54" t="e">
        <f t="shared" si="43"/>
        <v>#N/A</v>
      </c>
      <c r="AF222" s="4" t="e">
        <f t="shared" si="39"/>
        <v>#N/A</v>
      </c>
    </row>
    <row r="223" spans="2:32">
      <c r="B223" s="5">
        <f t="shared" si="44"/>
        <v>211</v>
      </c>
      <c r="C223" s="5"/>
      <c r="E223" s="13"/>
      <c r="F223" s="5"/>
      <c r="G223" s="11" t="str">
        <f>IF(ISERROR(AVERAGE(F$13:F223)),"n/a",AVERAGE(F$13:F223))</f>
        <v>n/a</v>
      </c>
      <c r="H223" s="11" t="str">
        <f t="shared" si="40"/>
        <v>n/a</v>
      </c>
      <c r="J223" s="5"/>
      <c r="K223" s="5"/>
      <c r="L223" s="5"/>
      <c r="M223" s="5"/>
      <c r="N223" s="5"/>
      <c r="O223" s="8" t="str">
        <f t="shared" si="38"/>
        <v>n/a</v>
      </c>
      <c r="Q223" s="5"/>
      <c r="R223" s="5"/>
      <c r="S223" s="5"/>
      <c r="U223" s="6"/>
      <c r="V223" s="9" t="str">
        <f t="shared" si="41"/>
        <v/>
      </c>
      <c r="W223" s="9" t="str">
        <f t="shared" si="42"/>
        <v/>
      </c>
      <c r="X223" s="10">
        <f>SUM(V$13:V223)/COUNTA(B$13:B223)</f>
        <v>0</v>
      </c>
      <c r="Z223" s="5"/>
      <c r="AA223" s="5"/>
      <c r="AC223" s="7"/>
      <c r="AE223" s="54" t="e">
        <f t="shared" si="43"/>
        <v>#N/A</v>
      </c>
      <c r="AF223" s="4" t="e">
        <f t="shared" si="39"/>
        <v>#N/A</v>
      </c>
    </row>
    <row r="224" spans="2:32">
      <c r="B224" s="5">
        <f t="shared" si="44"/>
        <v>212</v>
      </c>
      <c r="C224" s="5"/>
      <c r="E224" s="13"/>
      <c r="F224" s="5"/>
      <c r="G224" s="11" t="str">
        <f>IF(ISERROR(AVERAGE(F$13:F224)),"n/a",AVERAGE(F$13:F224))</f>
        <v>n/a</v>
      </c>
      <c r="H224" s="11" t="str">
        <f t="shared" si="40"/>
        <v>n/a</v>
      </c>
      <c r="J224" s="5"/>
      <c r="K224" s="5"/>
      <c r="L224" s="5"/>
      <c r="M224" s="5"/>
      <c r="N224" s="5"/>
      <c r="O224" s="8" t="str">
        <f t="shared" si="38"/>
        <v>n/a</v>
      </c>
      <c r="Q224" s="5"/>
      <c r="R224" s="5"/>
      <c r="S224" s="5"/>
      <c r="U224" s="6"/>
      <c r="V224" s="9" t="str">
        <f t="shared" si="41"/>
        <v/>
      </c>
      <c r="W224" s="9" t="str">
        <f t="shared" si="42"/>
        <v/>
      </c>
      <c r="X224" s="10">
        <f>SUM(V$13:V224)/COUNTA(B$13:B224)</f>
        <v>0</v>
      </c>
      <c r="Z224" s="5"/>
      <c r="AA224" s="5"/>
      <c r="AC224" s="7"/>
      <c r="AE224" s="54" t="e">
        <f t="shared" si="43"/>
        <v>#N/A</v>
      </c>
      <c r="AF224" s="4" t="e">
        <f t="shared" si="39"/>
        <v>#N/A</v>
      </c>
    </row>
    <row r="225" spans="2:32">
      <c r="B225" s="5">
        <f t="shared" si="44"/>
        <v>213</v>
      </c>
      <c r="C225" s="5"/>
      <c r="E225" s="13"/>
      <c r="F225" s="5"/>
      <c r="G225" s="11" t="str">
        <f>IF(ISERROR(AVERAGE(F$13:F225)),"n/a",AVERAGE(F$13:F225))</f>
        <v>n/a</v>
      </c>
      <c r="H225" s="11" t="str">
        <f t="shared" si="40"/>
        <v>n/a</v>
      </c>
      <c r="J225" s="5"/>
      <c r="K225" s="5"/>
      <c r="L225" s="5"/>
      <c r="M225" s="5"/>
      <c r="N225" s="5"/>
      <c r="O225" s="8" t="str">
        <f t="shared" si="38"/>
        <v>n/a</v>
      </c>
      <c r="Q225" s="5"/>
      <c r="R225" s="5"/>
      <c r="S225" s="5"/>
      <c r="U225" s="6"/>
      <c r="V225" s="9" t="str">
        <f t="shared" si="41"/>
        <v/>
      </c>
      <c r="W225" s="9" t="str">
        <f t="shared" si="42"/>
        <v/>
      </c>
      <c r="X225" s="10">
        <f>SUM(V$13:V225)/COUNTA(B$13:B225)</f>
        <v>0</v>
      </c>
      <c r="Z225" s="5"/>
      <c r="AA225" s="5"/>
      <c r="AC225" s="7"/>
      <c r="AE225" s="54" t="e">
        <f t="shared" si="43"/>
        <v>#N/A</v>
      </c>
      <c r="AF225" s="4" t="e">
        <f t="shared" si="39"/>
        <v>#N/A</v>
      </c>
    </row>
    <row r="226" spans="2:32">
      <c r="B226" s="5">
        <f t="shared" si="44"/>
        <v>214</v>
      </c>
      <c r="C226" s="5"/>
      <c r="E226" s="13"/>
      <c r="F226" s="5"/>
      <c r="G226" s="11" t="str">
        <f>IF(ISERROR(AVERAGE(F$13:F226)),"n/a",AVERAGE(F$13:F226))</f>
        <v>n/a</v>
      </c>
      <c r="H226" s="11" t="str">
        <f t="shared" si="40"/>
        <v>n/a</v>
      </c>
      <c r="J226" s="5"/>
      <c r="K226" s="5"/>
      <c r="L226" s="5"/>
      <c r="M226" s="5"/>
      <c r="N226" s="5"/>
      <c r="O226" s="8" t="str">
        <f t="shared" si="38"/>
        <v>n/a</v>
      </c>
      <c r="Q226" s="5"/>
      <c r="R226" s="5"/>
      <c r="S226" s="5"/>
      <c r="U226" s="6"/>
      <c r="V226" s="9" t="str">
        <f t="shared" si="41"/>
        <v/>
      </c>
      <c r="W226" s="9" t="str">
        <f t="shared" si="42"/>
        <v/>
      </c>
      <c r="X226" s="10">
        <f>SUM(V$13:V226)/COUNTA(B$13:B226)</f>
        <v>0</v>
      </c>
      <c r="Z226" s="5"/>
      <c r="AA226" s="5"/>
      <c r="AC226" s="7"/>
      <c r="AE226" s="54" t="e">
        <f t="shared" si="43"/>
        <v>#N/A</v>
      </c>
      <c r="AF226" s="4" t="e">
        <f t="shared" si="39"/>
        <v>#N/A</v>
      </c>
    </row>
    <row r="227" spans="2:32">
      <c r="B227" s="5">
        <f t="shared" si="44"/>
        <v>215</v>
      </c>
      <c r="C227" s="5"/>
      <c r="E227" s="13"/>
      <c r="F227" s="5"/>
      <c r="G227" s="11" t="str">
        <f>IF(ISERROR(AVERAGE(F$13:F227)),"n/a",AVERAGE(F$13:F227))</f>
        <v>n/a</v>
      </c>
      <c r="H227" s="11" t="str">
        <f t="shared" si="40"/>
        <v>n/a</v>
      </c>
      <c r="J227" s="5"/>
      <c r="K227" s="5"/>
      <c r="L227" s="5"/>
      <c r="M227" s="5"/>
      <c r="N227" s="5"/>
      <c r="O227" s="8" t="str">
        <f t="shared" si="38"/>
        <v>n/a</v>
      </c>
      <c r="Q227" s="5"/>
      <c r="R227" s="5"/>
      <c r="S227" s="5"/>
      <c r="U227" s="6"/>
      <c r="V227" s="9" t="str">
        <f t="shared" si="41"/>
        <v/>
      </c>
      <c r="W227" s="9" t="str">
        <f t="shared" si="42"/>
        <v/>
      </c>
      <c r="X227" s="10">
        <f>SUM(V$13:V227)/COUNTA(B$13:B227)</f>
        <v>0</v>
      </c>
      <c r="Z227" s="5"/>
      <c r="AA227" s="5"/>
      <c r="AC227" s="7"/>
      <c r="AE227" s="54" t="e">
        <f t="shared" si="43"/>
        <v>#N/A</v>
      </c>
      <c r="AF227" s="4" t="e">
        <f t="shared" si="39"/>
        <v>#N/A</v>
      </c>
    </row>
    <row r="228" spans="2:32">
      <c r="B228" s="5">
        <f t="shared" si="44"/>
        <v>216</v>
      </c>
      <c r="C228" s="5"/>
      <c r="E228" s="13"/>
      <c r="F228" s="5"/>
      <c r="G228" s="11" t="str">
        <f>IF(ISERROR(AVERAGE(F$13:F228)),"n/a",AVERAGE(F$13:F228))</f>
        <v>n/a</v>
      </c>
      <c r="H228" s="11" t="str">
        <f t="shared" si="40"/>
        <v>n/a</v>
      </c>
      <c r="J228" s="5"/>
      <c r="K228" s="5"/>
      <c r="L228" s="5"/>
      <c r="M228" s="5"/>
      <c r="N228" s="5"/>
      <c r="O228" s="8" t="str">
        <f t="shared" si="38"/>
        <v>n/a</v>
      </c>
      <c r="Q228" s="5"/>
      <c r="R228" s="5"/>
      <c r="S228" s="5"/>
      <c r="U228" s="6"/>
      <c r="V228" s="9" t="str">
        <f t="shared" si="41"/>
        <v/>
      </c>
      <c r="W228" s="9" t="str">
        <f t="shared" si="42"/>
        <v/>
      </c>
      <c r="X228" s="10">
        <f>SUM(V$13:V228)/COUNTA(B$13:B228)</f>
        <v>0</v>
      </c>
      <c r="Z228" s="5"/>
      <c r="AA228" s="5"/>
      <c r="AC228" s="7"/>
      <c r="AE228" s="54" t="e">
        <f t="shared" si="43"/>
        <v>#N/A</v>
      </c>
      <c r="AF228" s="4" t="e">
        <f t="shared" si="39"/>
        <v>#N/A</v>
      </c>
    </row>
    <row r="229" spans="2:32">
      <c r="B229" s="5">
        <f t="shared" si="44"/>
        <v>217</v>
      </c>
      <c r="C229" s="5"/>
      <c r="E229" s="13"/>
      <c r="F229" s="5"/>
      <c r="G229" s="11" t="str">
        <f>IF(ISERROR(AVERAGE(F$13:F229)),"n/a",AVERAGE(F$13:F229))</f>
        <v>n/a</v>
      </c>
      <c r="H229" s="11" t="str">
        <f t="shared" si="40"/>
        <v>n/a</v>
      </c>
      <c r="J229" s="5"/>
      <c r="K229" s="5"/>
      <c r="L229" s="5"/>
      <c r="M229" s="5"/>
      <c r="N229" s="5"/>
      <c r="O229" s="8" t="str">
        <f t="shared" si="38"/>
        <v>n/a</v>
      </c>
      <c r="Q229" s="5"/>
      <c r="R229" s="5"/>
      <c r="S229" s="5"/>
      <c r="U229" s="6"/>
      <c r="V229" s="9" t="str">
        <f t="shared" si="41"/>
        <v/>
      </c>
      <c r="W229" s="9" t="str">
        <f t="shared" si="42"/>
        <v/>
      </c>
      <c r="X229" s="10">
        <f>SUM(V$13:V229)/COUNTA(B$13:B229)</f>
        <v>0</v>
      </c>
      <c r="Z229" s="5"/>
      <c r="AA229" s="5"/>
      <c r="AC229" s="7"/>
      <c r="AE229" s="54" t="e">
        <f t="shared" si="43"/>
        <v>#N/A</v>
      </c>
      <c r="AF229" s="4" t="e">
        <f t="shared" si="39"/>
        <v>#N/A</v>
      </c>
    </row>
    <row r="230" spans="2:32">
      <c r="B230" s="5">
        <f t="shared" si="44"/>
        <v>218</v>
      </c>
      <c r="C230" s="5"/>
      <c r="E230" s="13"/>
      <c r="F230" s="5"/>
      <c r="G230" s="11" t="str">
        <f>IF(ISERROR(AVERAGE(F$13:F230)),"n/a",AVERAGE(F$13:F230))</f>
        <v>n/a</v>
      </c>
      <c r="H230" s="11" t="str">
        <f t="shared" si="40"/>
        <v>n/a</v>
      </c>
      <c r="J230" s="5"/>
      <c r="K230" s="5"/>
      <c r="L230" s="5"/>
      <c r="M230" s="5"/>
      <c r="N230" s="5"/>
      <c r="O230" s="8" t="str">
        <f t="shared" si="38"/>
        <v>n/a</v>
      </c>
      <c r="Q230" s="5"/>
      <c r="R230" s="5"/>
      <c r="S230" s="5"/>
      <c r="U230" s="6"/>
      <c r="V230" s="9" t="str">
        <f t="shared" si="41"/>
        <v/>
      </c>
      <c r="W230" s="9" t="str">
        <f t="shared" si="42"/>
        <v/>
      </c>
      <c r="X230" s="10">
        <f>SUM(V$13:V230)/COUNTA(B$13:B230)</f>
        <v>0</v>
      </c>
      <c r="Z230" s="5"/>
      <c r="AA230" s="5"/>
      <c r="AC230" s="7"/>
      <c r="AE230" s="54" t="e">
        <f t="shared" si="43"/>
        <v>#N/A</v>
      </c>
      <c r="AF230" s="4" t="e">
        <f t="shared" si="39"/>
        <v>#N/A</v>
      </c>
    </row>
    <row r="231" spans="2:32">
      <c r="B231" s="5">
        <f t="shared" si="44"/>
        <v>219</v>
      </c>
      <c r="C231" s="5"/>
      <c r="E231" s="13"/>
      <c r="F231" s="5"/>
      <c r="G231" s="11" t="str">
        <f>IF(ISERROR(AVERAGE(F$13:F231)),"n/a",AVERAGE(F$13:F231))</f>
        <v>n/a</v>
      </c>
      <c r="H231" s="11" t="str">
        <f t="shared" si="40"/>
        <v>n/a</v>
      </c>
      <c r="J231" s="5"/>
      <c r="K231" s="5"/>
      <c r="L231" s="5"/>
      <c r="M231" s="5"/>
      <c r="N231" s="5"/>
      <c r="O231" s="8" t="str">
        <f t="shared" si="38"/>
        <v>n/a</v>
      </c>
      <c r="Q231" s="5"/>
      <c r="R231" s="5"/>
      <c r="S231" s="5"/>
      <c r="U231" s="6"/>
      <c r="V231" s="9" t="str">
        <f t="shared" si="41"/>
        <v/>
      </c>
      <c r="W231" s="9" t="str">
        <f t="shared" si="42"/>
        <v/>
      </c>
      <c r="X231" s="10">
        <f>SUM(V$13:V231)/COUNTA(B$13:B231)</f>
        <v>0</v>
      </c>
      <c r="Z231" s="5"/>
      <c r="AA231" s="5"/>
      <c r="AC231" s="7"/>
      <c r="AE231" s="54" t="e">
        <f t="shared" si="43"/>
        <v>#N/A</v>
      </c>
      <c r="AF231" s="4" t="e">
        <f t="shared" si="39"/>
        <v>#N/A</v>
      </c>
    </row>
    <row r="232" spans="2:32">
      <c r="B232" s="5">
        <f t="shared" si="44"/>
        <v>220</v>
      </c>
      <c r="C232" s="5"/>
      <c r="E232" s="13"/>
      <c r="F232" s="5"/>
      <c r="G232" s="11" t="str">
        <f>IF(ISERROR(AVERAGE(F$13:F232)),"n/a",AVERAGE(F$13:F232))</f>
        <v>n/a</v>
      </c>
      <c r="H232" s="11" t="str">
        <f t="shared" si="40"/>
        <v>n/a</v>
      </c>
      <c r="J232" s="5"/>
      <c r="K232" s="5"/>
      <c r="L232" s="5"/>
      <c r="M232" s="5"/>
      <c r="N232" s="5"/>
      <c r="O232" s="8" t="str">
        <f t="shared" si="38"/>
        <v>n/a</v>
      </c>
      <c r="Q232" s="5"/>
      <c r="R232" s="5"/>
      <c r="S232" s="5"/>
      <c r="U232" s="6"/>
      <c r="V232" s="9" t="str">
        <f t="shared" si="41"/>
        <v/>
      </c>
      <c r="W232" s="9" t="str">
        <f t="shared" si="42"/>
        <v/>
      </c>
      <c r="X232" s="10">
        <f>SUM(V$13:V232)/COUNTA(B$13:B232)</f>
        <v>0</v>
      </c>
      <c r="Z232" s="5"/>
      <c r="AA232" s="5"/>
      <c r="AC232" s="7"/>
      <c r="AE232" s="54" t="e">
        <f t="shared" si="43"/>
        <v>#N/A</v>
      </c>
      <c r="AF232" s="4" t="e">
        <f t="shared" si="39"/>
        <v>#N/A</v>
      </c>
    </row>
    <row r="233" spans="2:32">
      <c r="B233" s="5">
        <f t="shared" si="44"/>
        <v>221</v>
      </c>
      <c r="C233" s="5"/>
      <c r="E233" s="13"/>
      <c r="F233" s="5"/>
      <c r="G233" s="11" t="str">
        <f>IF(ISERROR(AVERAGE(F$13:F233)),"n/a",AVERAGE(F$13:F233))</f>
        <v>n/a</v>
      </c>
      <c r="H233" s="11" t="str">
        <f t="shared" si="40"/>
        <v>n/a</v>
      </c>
      <c r="J233" s="5"/>
      <c r="K233" s="5"/>
      <c r="L233" s="5"/>
      <c r="M233" s="5"/>
      <c r="N233" s="5"/>
      <c r="O233" s="8" t="str">
        <f t="shared" si="38"/>
        <v>n/a</v>
      </c>
      <c r="Q233" s="5"/>
      <c r="R233" s="5"/>
      <c r="S233" s="5"/>
      <c r="U233" s="6"/>
      <c r="V233" s="9" t="str">
        <f t="shared" si="41"/>
        <v/>
      </c>
      <c r="W233" s="9" t="str">
        <f t="shared" si="42"/>
        <v/>
      </c>
      <c r="X233" s="10">
        <f>SUM(V$13:V233)/COUNTA(B$13:B233)</f>
        <v>0</v>
      </c>
      <c r="Z233" s="5"/>
      <c r="AA233" s="5"/>
      <c r="AC233" s="7"/>
      <c r="AE233" s="54" t="e">
        <f t="shared" si="43"/>
        <v>#N/A</v>
      </c>
      <c r="AF233" s="4" t="e">
        <f t="shared" si="39"/>
        <v>#N/A</v>
      </c>
    </row>
    <row r="234" spans="2:32">
      <c r="B234" s="5">
        <f t="shared" si="44"/>
        <v>222</v>
      </c>
      <c r="C234" s="5"/>
      <c r="E234" s="13"/>
      <c r="F234" s="5"/>
      <c r="G234" s="11" t="str">
        <f>IF(ISERROR(AVERAGE(F$13:F234)),"n/a",AVERAGE(F$13:F234))</f>
        <v>n/a</v>
      </c>
      <c r="H234" s="11" t="str">
        <f t="shared" si="40"/>
        <v>n/a</v>
      </c>
      <c r="J234" s="5"/>
      <c r="K234" s="5"/>
      <c r="L234" s="5"/>
      <c r="M234" s="5"/>
      <c r="N234" s="5"/>
      <c r="O234" s="8" t="str">
        <f t="shared" si="38"/>
        <v>n/a</v>
      </c>
      <c r="Q234" s="5"/>
      <c r="R234" s="5"/>
      <c r="S234" s="5"/>
      <c r="U234" s="6"/>
      <c r="V234" s="9" t="str">
        <f t="shared" si="41"/>
        <v/>
      </c>
      <c r="W234" s="9" t="str">
        <f t="shared" si="42"/>
        <v/>
      </c>
      <c r="X234" s="10">
        <f>SUM(V$13:V234)/COUNTA(B$13:B234)</f>
        <v>0</v>
      </c>
      <c r="Z234" s="5"/>
      <c r="AA234" s="5"/>
      <c r="AC234" s="7"/>
      <c r="AE234" s="54" t="e">
        <f t="shared" si="43"/>
        <v>#N/A</v>
      </c>
      <c r="AF234" s="4" t="e">
        <f t="shared" si="39"/>
        <v>#N/A</v>
      </c>
    </row>
    <row r="235" spans="2:32">
      <c r="B235" s="5">
        <f t="shared" si="44"/>
        <v>223</v>
      </c>
      <c r="C235" s="5"/>
      <c r="E235" s="13"/>
      <c r="F235" s="5"/>
      <c r="G235" s="11" t="str">
        <f>IF(ISERROR(AVERAGE(F$13:F235)),"n/a",AVERAGE(F$13:F235))</f>
        <v>n/a</v>
      </c>
      <c r="H235" s="11" t="str">
        <f t="shared" si="40"/>
        <v>n/a</v>
      </c>
      <c r="J235" s="5"/>
      <c r="K235" s="5"/>
      <c r="L235" s="5"/>
      <c r="M235" s="5"/>
      <c r="N235" s="5"/>
      <c r="O235" s="8" t="str">
        <f t="shared" si="38"/>
        <v>n/a</v>
      </c>
      <c r="Q235" s="5"/>
      <c r="R235" s="5"/>
      <c r="S235" s="5"/>
      <c r="U235" s="6"/>
      <c r="V235" s="9" t="str">
        <f t="shared" si="41"/>
        <v/>
      </c>
      <c r="W235" s="9" t="str">
        <f t="shared" si="42"/>
        <v/>
      </c>
      <c r="X235" s="10">
        <f>SUM(V$13:V235)/COUNTA(B$13:B235)</f>
        <v>0</v>
      </c>
      <c r="Z235" s="5"/>
      <c r="AA235" s="5"/>
      <c r="AC235" s="7"/>
      <c r="AE235" s="54" t="e">
        <f t="shared" si="43"/>
        <v>#N/A</v>
      </c>
      <c r="AF235" s="4" t="e">
        <f t="shared" si="39"/>
        <v>#N/A</v>
      </c>
    </row>
    <row r="236" spans="2:32">
      <c r="B236" s="5">
        <f t="shared" si="44"/>
        <v>224</v>
      </c>
      <c r="C236" s="5"/>
      <c r="E236" s="13"/>
      <c r="F236" s="5"/>
      <c r="G236" s="11" t="str">
        <f>IF(ISERROR(AVERAGE(F$13:F236)),"n/a",AVERAGE(F$13:F236))</f>
        <v>n/a</v>
      </c>
      <c r="H236" s="11" t="str">
        <f t="shared" si="40"/>
        <v>n/a</v>
      </c>
      <c r="J236" s="5"/>
      <c r="K236" s="5"/>
      <c r="L236" s="5"/>
      <c r="M236" s="5"/>
      <c r="N236" s="5"/>
      <c r="O236" s="8" t="str">
        <f t="shared" si="38"/>
        <v>n/a</v>
      </c>
      <c r="Q236" s="5"/>
      <c r="R236" s="5"/>
      <c r="S236" s="5"/>
      <c r="U236" s="6"/>
      <c r="V236" s="9" t="str">
        <f t="shared" si="41"/>
        <v/>
      </c>
      <c r="W236" s="9" t="str">
        <f t="shared" si="42"/>
        <v/>
      </c>
      <c r="X236" s="10">
        <f>SUM(V$13:V236)/COUNTA(B$13:B236)</f>
        <v>0</v>
      </c>
      <c r="Z236" s="5"/>
      <c r="AA236" s="5"/>
      <c r="AC236" s="7"/>
      <c r="AE236" s="54" t="e">
        <f t="shared" si="43"/>
        <v>#N/A</v>
      </c>
      <c r="AF236" s="4" t="e">
        <f t="shared" si="39"/>
        <v>#N/A</v>
      </c>
    </row>
    <row r="237" spans="2:32">
      <c r="B237" s="5">
        <f t="shared" si="44"/>
        <v>225</v>
      </c>
      <c r="C237" s="5"/>
      <c r="E237" s="13"/>
      <c r="F237" s="5"/>
      <c r="G237" s="11" t="str">
        <f>IF(ISERROR(AVERAGE(F$13:F237)),"n/a",AVERAGE(F$13:F237))</f>
        <v>n/a</v>
      </c>
      <c r="H237" s="11" t="str">
        <f t="shared" si="40"/>
        <v>n/a</v>
      </c>
      <c r="J237" s="5"/>
      <c r="K237" s="5"/>
      <c r="L237" s="5"/>
      <c r="M237" s="5"/>
      <c r="N237" s="5"/>
      <c r="O237" s="8" t="str">
        <f t="shared" si="38"/>
        <v>n/a</v>
      </c>
      <c r="Q237" s="5"/>
      <c r="R237" s="5"/>
      <c r="S237" s="5"/>
      <c r="U237" s="6"/>
      <c r="V237" s="9" t="str">
        <f t="shared" si="41"/>
        <v/>
      </c>
      <c r="W237" s="9" t="str">
        <f t="shared" si="42"/>
        <v/>
      </c>
      <c r="X237" s="10">
        <f>SUM(V$13:V237)/COUNTA(B$13:B237)</f>
        <v>0</v>
      </c>
      <c r="Z237" s="5"/>
      <c r="AA237" s="5"/>
      <c r="AC237" s="7"/>
      <c r="AE237" s="54" t="e">
        <f t="shared" si="43"/>
        <v>#N/A</v>
      </c>
      <c r="AF237" s="4" t="e">
        <f t="shared" si="39"/>
        <v>#N/A</v>
      </c>
    </row>
    <row r="238" spans="2:32">
      <c r="B238" s="5">
        <f t="shared" si="44"/>
        <v>226</v>
      </c>
      <c r="C238" s="5"/>
      <c r="E238" s="13"/>
      <c r="F238" s="5"/>
      <c r="G238" s="11" t="str">
        <f>IF(ISERROR(AVERAGE(F$13:F238)),"n/a",AVERAGE(F$13:F238))</f>
        <v>n/a</v>
      </c>
      <c r="H238" s="11" t="str">
        <f t="shared" si="40"/>
        <v>n/a</v>
      </c>
      <c r="J238" s="5"/>
      <c r="K238" s="5"/>
      <c r="L238" s="5"/>
      <c r="M238" s="5"/>
      <c r="N238" s="5"/>
      <c r="O238" s="8" t="str">
        <f t="shared" si="38"/>
        <v>n/a</v>
      </c>
      <c r="Q238" s="5"/>
      <c r="R238" s="5"/>
      <c r="S238" s="5"/>
      <c r="U238" s="6"/>
      <c r="V238" s="9" t="str">
        <f t="shared" si="41"/>
        <v/>
      </c>
      <c r="W238" s="9" t="str">
        <f t="shared" si="42"/>
        <v/>
      </c>
      <c r="X238" s="10">
        <f>SUM(V$13:V238)/COUNTA(B$13:B238)</f>
        <v>0</v>
      </c>
      <c r="Z238" s="5"/>
      <c r="AA238" s="5"/>
      <c r="AC238" s="7"/>
      <c r="AE238" s="54" t="e">
        <f t="shared" si="43"/>
        <v>#N/A</v>
      </c>
      <c r="AF238" s="4" t="e">
        <f t="shared" si="39"/>
        <v>#N/A</v>
      </c>
    </row>
    <row r="239" spans="2:32">
      <c r="B239" s="5">
        <f t="shared" si="44"/>
        <v>227</v>
      </c>
      <c r="C239" s="5"/>
      <c r="E239" s="13"/>
      <c r="F239" s="5"/>
      <c r="G239" s="11" t="str">
        <f>IF(ISERROR(AVERAGE(F$13:F239)),"n/a",AVERAGE(F$13:F239))</f>
        <v>n/a</v>
      </c>
      <c r="H239" s="11" t="str">
        <f t="shared" si="40"/>
        <v>n/a</v>
      </c>
      <c r="J239" s="5"/>
      <c r="K239" s="5"/>
      <c r="L239" s="5"/>
      <c r="M239" s="5"/>
      <c r="N239" s="5"/>
      <c r="O239" s="8" t="str">
        <f t="shared" si="38"/>
        <v>n/a</v>
      </c>
      <c r="Q239" s="5"/>
      <c r="R239" s="5"/>
      <c r="S239" s="5"/>
      <c r="U239" s="6"/>
      <c r="V239" s="9" t="str">
        <f t="shared" si="41"/>
        <v/>
      </c>
      <c r="W239" s="9" t="str">
        <f t="shared" si="42"/>
        <v/>
      </c>
      <c r="X239" s="10">
        <f>SUM(V$13:V239)/COUNTA(B$13:B239)</f>
        <v>0</v>
      </c>
      <c r="Z239" s="5"/>
      <c r="AA239" s="5"/>
      <c r="AC239" s="7"/>
      <c r="AE239" s="54" t="e">
        <f t="shared" si="43"/>
        <v>#N/A</v>
      </c>
      <c r="AF239" s="4" t="e">
        <f t="shared" si="39"/>
        <v>#N/A</v>
      </c>
    </row>
    <row r="240" spans="2:32">
      <c r="B240" s="5">
        <f t="shared" si="44"/>
        <v>228</v>
      </c>
      <c r="C240" s="5"/>
      <c r="E240" s="13"/>
      <c r="F240" s="5"/>
      <c r="G240" s="11" t="str">
        <f>IF(ISERROR(AVERAGE(F$13:F240)),"n/a",AVERAGE(F$13:F240))</f>
        <v>n/a</v>
      </c>
      <c r="H240" s="11" t="str">
        <f t="shared" si="40"/>
        <v>n/a</v>
      </c>
      <c r="J240" s="5"/>
      <c r="K240" s="5"/>
      <c r="L240" s="5"/>
      <c r="M240" s="5"/>
      <c r="N240" s="5"/>
      <c r="O240" s="8" t="str">
        <f t="shared" si="38"/>
        <v>n/a</v>
      </c>
      <c r="Q240" s="5"/>
      <c r="R240" s="5"/>
      <c r="S240" s="5"/>
      <c r="U240" s="6"/>
      <c r="V240" s="9" t="str">
        <f t="shared" si="41"/>
        <v/>
      </c>
      <c r="W240" s="9" t="str">
        <f t="shared" si="42"/>
        <v/>
      </c>
      <c r="X240" s="10">
        <f>SUM(V$13:V240)/COUNTA(B$13:B240)</f>
        <v>0</v>
      </c>
      <c r="Z240" s="5"/>
      <c r="AA240" s="5"/>
      <c r="AC240" s="7"/>
      <c r="AE240" s="54" t="e">
        <f t="shared" si="43"/>
        <v>#N/A</v>
      </c>
      <c r="AF240" s="4" t="e">
        <f t="shared" si="39"/>
        <v>#N/A</v>
      </c>
    </row>
    <row r="241" spans="2:32">
      <c r="B241" s="5">
        <f t="shared" si="44"/>
        <v>229</v>
      </c>
      <c r="C241" s="5"/>
      <c r="E241" s="13"/>
      <c r="F241" s="5"/>
      <c r="G241" s="11" t="str">
        <f>IF(ISERROR(AVERAGE(F$13:F241)),"n/a",AVERAGE(F$13:F241))</f>
        <v>n/a</v>
      </c>
      <c r="H241" s="11" t="str">
        <f t="shared" si="40"/>
        <v>n/a</v>
      </c>
      <c r="J241" s="5"/>
      <c r="K241" s="5"/>
      <c r="L241" s="5"/>
      <c r="M241" s="5"/>
      <c r="N241" s="5"/>
      <c r="O241" s="8" t="str">
        <f t="shared" si="38"/>
        <v>n/a</v>
      </c>
      <c r="Q241" s="5"/>
      <c r="R241" s="5"/>
      <c r="S241" s="5"/>
      <c r="U241" s="6"/>
      <c r="V241" s="9" t="str">
        <f t="shared" si="41"/>
        <v/>
      </c>
      <c r="W241" s="9" t="str">
        <f t="shared" si="42"/>
        <v/>
      </c>
      <c r="X241" s="10">
        <f>SUM(V$13:V241)/COUNTA(B$13:B241)</f>
        <v>0</v>
      </c>
      <c r="Z241" s="5"/>
      <c r="AA241" s="5"/>
      <c r="AC241" s="7"/>
      <c r="AE241" s="54" t="e">
        <f t="shared" si="43"/>
        <v>#N/A</v>
      </c>
      <c r="AF241" s="4" t="e">
        <f t="shared" si="39"/>
        <v>#N/A</v>
      </c>
    </row>
    <row r="242" spans="2:32">
      <c r="B242" s="5">
        <f t="shared" si="44"/>
        <v>230</v>
      </c>
      <c r="C242" s="5"/>
      <c r="E242" s="13"/>
      <c r="F242" s="5"/>
      <c r="G242" s="11" t="str">
        <f>IF(ISERROR(AVERAGE(F$13:F242)),"n/a",AVERAGE(F$13:F242))</f>
        <v>n/a</v>
      </c>
      <c r="H242" s="11" t="str">
        <f t="shared" si="40"/>
        <v>n/a</v>
      </c>
      <c r="J242" s="5"/>
      <c r="K242" s="5"/>
      <c r="L242" s="5"/>
      <c r="M242" s="5"/>
      <c r="N242" s="5"/>
      <c r="O242" s="8" t="str">
        <f t="shared" si="38"/>
        <v>n/a</v>
      </c>
      <c r="Q242" s="5"/>
      <c r="R242" s="5"/>
      <c r="S242" s="5"/>
      <c r="U242" s="6"/>
      <c r="V242" s="9" t="str">
        <f t="shared" si="41"/>
        <v/>
      </c>
      <c r="W242" s="9" t="str">
        <f t="shared" si="42"/>
        <v/>
      </c>
      <c r="X242" s="10">
        <f>SUM(V$13:V242)/COUNTA(B$13:B242)</f>
        <v>0</v>
      </c>
      <c r="Z242" s="5"/>
      <c r="AA242" s="5"/>
      <c r="AC242" s="7"/>
      <c r="AE242" s="54" t="e">
        <f t="shared" si="43"/>
        <v>#N/A</v>
      </c>
      <c r="AF242" s="4" t="e">
        <f t="shared" si="39"/>
        <v>#N/A</v>
      </c>
    </row>
    <row r="243" spans="2:32">
      <c r="B243" s="5">
        <f t="shared" si="44"/>
        <v>231</v>
      </c>
      <c r="C243" s="5"/>
      <c r="E243" s="13"/>
      <c r="F243" s="5"/>
      <c r="G243" s="11" t="str">
        <f>IF(ISERROR(AVERAGE(F$13:F243)),"n/a",AVERAGE(F$13:F243))</f>
        <v>n/a</v>
      </c>
      <c r="H243" s="11" t="str">
        <f t="shared" si="40"/>
        <v>n/a</v>
      </c>
      <c r="J243" s="5"/>
      <c r="K243" s="5"/>
      <c r="L243" s="5"/>
      <c r="M243" s="5"/>
      <c r="N243" s="5"/>
      <c r="O243" s="8" t="str">
        <f t="shared" si="38"/>
        <v>n/a</v>
      </c>
      <c r="Q243" s="5"/>
      <c r="R243" s="5"/>
      <c r="S243" s="5"/>
      <c r="U243" s="6"/>
      <c r="V243" s="9" t="str">
        <f t="shared" si="41"/>
        <v/>
      </c>
      <c r="W243" s="9" t="str">
        <f t="shared" si="42"/>
        <v/>
      </c>
      <c r="X243" s="10">
        <f>SUM(V$13:V243)/COUNTA(B$13:B243)</f>
        <v>0</v>
      </c>
      <c r="Z243" s="5"/>
      <c r="AA243" s="5"/>
      <c r="AC243" s="7"/>
      <c r="AE243" s="54" t="e">
        <f t="shared" si="43"/>
        <v>#N/A</v>
      </c>
      <c r="AF243" s="4" t="e">
        <f t="shared" si="39"/>
        <v>#N/A</v>
      </c>
    </row>
    <row r="244" spans="2:32">
      <c r="B244" s="5">
        <f t="shared" si="44"/>
        <v>232</v>
      </c>
      <c r="C244" s="5"/>
      <c r="E244" s="13"/>
      <c r="F244" s="5"/>
      <c r="G244" s="11" t="str">
        <f>IF(ISERROR(AVERAGE(F$13:F244)),"n/a",AVERAGE(F$13:F244))</f>
        <v>n/a</v>
      </c>
      <c r="H244" s="11" t="str">
        <f t="shared" si="40"/>
        <v>n/a</v>
      </c>
      <c r="J244" s="5"/>
      <c r="K244" s="5"/>
      <c r="L244" s="5"/>
      <c r="M244" s="5"/>
      <c r="N244" s="5"/>
      <c r="O244" s="8" t="str">
        <f t="shared" si="38"/>
        <v>n/a</v>
      </c>
      <c r="Q244" s="5"/>
      <c r="R244" s="5"/>
      <c r="S244" s="5"/>
      <c r="U244" s="6"/>
      <c r="V244" s="9" t="str">
        <f t="shared" si="41"/>
        <v/>
      </c>
      <c r="W244" s="9" t="str">
        <f t="shared" si="42"/>
        <v/>
      </c>
      <c r="X244" s="10">
        <f>SUM(V$13:V244)/COUNTA(B$13:B244)</f>
        <v>0</v>
      </c>
      <c r="Z244" s="5"/>
      <c r="AA244" s="5"/>
      <c r="AC244" s="7"/>
      <c r="AE244" s="54" t="e">
        <f t="shared" si="43"/>
        <v>#N/A</v>
      </c>
      <c r="AF244" s="4" t="e">
        <f t="shared" si="39"/>
        <v>#N/A</v>
      </c>
    </row>
    <row r="245" spans="2:32">
      <c r="B245" s="5">
        <f t="shared" si="44"/>
        <v>233</v>
      </c>
      <c r="C245" s="5"/>
      <c r="E245" s="13"/>
      <c r="F245" s="5"/>
      <c r="G245" s="11" t="str">
        <f>IF(ISERROR(AVERAGE(F$13:F245)),"n/a",AVERAGE(F$13:F245))</f>
        <v>n/a</v>
      </c>
      <c r="H245" s="11" t="str">
        <f t="shared" si="40"/>
        <v>n/a</v>
      </c>
      <c r="J245" s="5"/>
      <c r="K245" s="5"/>
      <c r="L245" s="5"/>
      <c r="M245" s="5"/>
      <c r="N245" s="5"/>
      <c r="O245" s="8" t="str">
        <f t="shared" si="38"/>
        <v>n/a</v>
      </c>
      <c r="Q245" s="5"/>
      <c r="R245" s="5"/>
      <c r="S245" s="5"/>
      <c r="U245" s="6"/>
      <c r="V245" s="9" t="str">
        <f t="shared" si="41"/>
        <v/>
      </c>
      <c r="W245" s="9" t="str">
        <f t="shared" si="42"/>
        <v/>
      </c>
      <c r="X245" s="10">
        <f>SUM(V$13:V245)/COUNTA(B$13:B245)</f>
        <v>0</v>
      </c>
      <c r="Z245" s="5"/>
      <c r="AA245" s="5"/>
      <c r="AC245" s="7"/>
      <c r="AE245" s="54" t="e">
        <f t="shared" si="43"/>
        <v>#N/A</v>
      </c>
      <c r="AF245" s="4" t="e">
        <f t="shared" si="39"/>
        <v>#N/A</v>
      </c>
    </row>
    <row r="246" spans="2:32">
      <c r="B246" s="5">
        <f t="shared" si="44"/>
        <v>234</v>
      </c>
      <c r="C246" s="5"/>
      <c r="E246" s="13"/>
      <c r="F246" s="5"/>
      <c r="G246" s="11" t="str">
        <f>IF(ISERROR(AVERAGE(F$13:F246)),"n/a",AVERAGE(F$13:F246))</f>
        <v>n/a</v>
      </c>
      <c r="H246" s="11" t="str">
        <f t="shared" si="40"/>
        <v>n/a</v>
      </c>
      <c r="J246" s="5"/>
      <c r="K246" s="5"/>
      <c r="L246" s="5"/>
      <c r="M246" s="5"/>
      <c r="N246" s="5"/>
      <c r="O246" s="8" t="str">
        <f t="shared" si="38"/>
        <v>n/a</v>
      </c>
      <c r="Q246" s="5"/>
      <c r="R246" s="5"/>
      <c r="S246" s="5"/>
      <c r="U246" s="6"/>
      <c r="V246" s="9" t="str">
        <f t="shared" si="41"/>
        <v/>
      </c>
      <c r="W246" s="9" t="str">
        <f t="shared" si="42"/>
        <v/>
      </c>
      <c r="X246" s="10">
        <f>SUM(V$13:V246)/COUNTA(B$13:B246)</f>
        <v>0</v>
      </c>
      <c r="Z246" s="5"/>
      <c r="AA246" s="5"/>
      <c r="AC246" s="7"/>
      <c r="AE246" s="54" t="e">
        <f t="shared" si="43"/>
        <v>#N/A</v>
      </c>
      <c r="AF246" s="4" t="e">
        <f t="shared" si="39"/>
        <v>#N/A</v>
      </c>
    </row>
    <row r="247" spans="2:32">
      <c r="B247" s="5">
        <f t="shared" si="44"/>
        <v>235</v>
      </c>
      <c r="C247" s="5"/>
      <c r="E247" s="13"/>
      <c r="F247" s="5"/>
      <c r="G247" s="11" t="str">
        <f>IF(ISERROR(AVERAGE(F$13:F247)),"n/a",AVERAGE(F$13:F247))</f>
        <v>n/a</v>
      </c>
      <c r="H247" s="11" t="str">
        <f t="shared" si="40"/>
        <v>n/a</v>
      </c>
      <c r="J247" s="5"/>
      <c r="K247" s="5"/>
      <c r="L247" s="5"/>
      <c r="M247" s="5"/>
      <c r="N247" s="5"/>
      <c r="O247" s="8" t="str">
        <f t="shared" si="38"/>
        <v>n/a</v>
      </c>
      <c r="Q247" s="5"/>
      <c r="R247" s="5"/>
      <c r="S247" s="5"/>
      <c r="U247" s="6"/>
      <c r="V247" s="9" t="str">
        <f t="shared" si="41"/>
        <v/>
      </c>
      <c r="W247" s="9" t="str">
        <f t="shared" si="42"/>
        <v/>
      </c>
      <c r="X247" s="10">
        <f>SUM(V$13:V247)/COUNTA(B$13:B247)</f>
        <v>0</v>
      </c>
      <c r="Z247" s="5"/>
      <c r="AA247" s="5"/>
      <c r="AC247" s="7"/>
      <c r="AE247" s="54" t="e">
        <f t="shared" si="43"/>
        <v>#N/A</v>
      </c>
      <c r="AF247" s="4" t="e">
        <f t="shared" si="39"/>
        <v>#N/A</v>
      </c>
    </row>
    <row r="248" spans="2:32">
      <c r="B248" s="5">
        <f t="shared" si="44"/>
        <v>236</v>
      </c>
      <c r="C248" s="5"/>
      <c r="E248" s="13"/>
      <c r="F248" s="5"/>
      <c r="G248" s="11" t="str">
        <f>IF(ISERROR(AVERAGE(F$13:F248)),"n/a",AVERAGE(F$13:F248))</f>
        <v>n/a</v>
      </c>
      <c r="H248" s="11" t="str">
        <f t="shared" si="40"/>
        <v>n/a</v>
      </c>
      <c r="J248" s="5"/>
      <c r="K248" s="5"/>
      <c r="L248" s="5"/>
      <c r="M248" s="5"/>
      <c r="N248" s="5"/>
      <c r="O248" s="8" t="str">
        <f t="shared" si="38"/>
        <v>n/a</v>
      </c>
      <c r="Q248" s="5"/>
      <c r="R248" s="5"/>
      <c r="S248" s="5"/>
      <c r="U248" s="6"/>
      <c r="V248" s="9" t="str">
        <f t="shared" si="41"/>
        <v/>
      </c>
      <c r="W248" s="9" t="str">
        <f t="shared" si="42"/>
        <v/>
      </c>
      <c r="X248" s="10">
        <f>SUM(V$13:V248)/COUNTA(B$13:B248)</f>
        <v>0</v>
      </c>
      <c r="Z248" s="5"/>
      <c r="AA248" s="5"/>
      <c r="AC248" s="7"/>
      <c r="AE248" s="54" t="e">
        <f t="shared" si="43"/>
        <v>#N/A</v>
      </c>
      <c r="AF248" s="4" t="e">
        <f t="shared" si="39"/>
        <v>#N/A</v>
      </c>
    </row>
    <row r="249" spans="2:32">
      <c r="B249" s="5">
        <f t="shared" si="44"/>
        <v>237</v>
      </c>
      <c r="C249" s="5"/>
      <c r="E249" s="13"/>
      <c r="F249" s="5"/>
      <c r="G249" s="11" t="str">
        <f>IF(ISERROR(AVERAGE(F$13:F249)),"n/a",AVERAGE(F$13:F249))</f>
        <v>n/a</v>
      </c>
      <c r="H249" s="11" t="str">
        <f t="shared" si="40"/>
        <v>n/a</v>
      </c>
      <c r="J249" s="5"/>
      <c r="K249" s="5"/>
      <c r="L249" s="5"/>
      <c r="M249" s="5"/>
      <c r="N249" s="5"/>
      <c r="O249" s="8" t="str">
        <f t="shared" si="38"/>
        <v>n/a</v>
      </c>
      <c r="Q249" s="5"/>
      <c r="R249" s="5"/>
      <c r="S249" s="5"/>
      <c r="U249" s="6"/>
      <c r="V249" s="9" t="str">
        <f t="shared" si="41"/>
        <v/>
      </c>
      <c r="W249" s="9" t="str">
        <f t="shared" si="42"/>
        <v/>
      </c>
      <c r="X249" s="10">
        <f>SUM(V$13:V249)/COUNTA(B$13:B249)</f>
        <v>0</v>
      </c>
      <c r="Z249" s="5"/>
      <c r="AA249" s="5"/>
      <c r="AC249" s="7"/>
      <c r="AE249" s="54" t="e">
        <f t="shared" si="43"/>
        <v>#N/A</v>
      </c>
      <c r="AF249" s="4" t="e">
        <f t="shared" si="39"/>
        <v>#N/A</v>
      </c>
    </row>
    <row r="250" spans="2:32">
      <c r="B250" s="5">
        <f t="shared" si="44"/>
        <v>238</v>
      </c>
      <c r="C250" s="5"/>
      <c r="E250" s="13"/>
      <c r="F250" s="5"/>
      <c r="G250" s="11" t="str">
        <f>IF(ISERROR(AVERAGE(F$13:F250)),"n/a",AVERAGE(F$13:F250))</f>
        <v>n/a</v>
      </c>
      <c r="H250" s="11" t="str">
        <f t="shared" si="40"/>
        <v>n/a</v>
      </c>
      <c r="J250" s="5"/>
      <c r="K250" s="5"/>
      <c r="L250" s="5"/>
      <c r="M250" s="5"/>
      <c r="N250" s="5"/>
      <c r="O250" s="8" t="str">
        <f t="shared" si="38"/>
        <v>n/a</v>
      </c>
      <c r="Q250" s="5"/>
      <c r="R250" s="5"/>
      <c r="S250" s="5"/>
      <c r="U250" s="6"/>
      <c r="V250" s="9" t="str">
        <f t="shared" si="41"/>
        <v/>
      </c>
      <c r="W250" s="9" t="str">
        <f t="shared" si="42"/>
        <v/>
      </c>
      <c r="X250" s="10">
        <f>SUM(V$13:V250)/COUNTA(B$13:B250)</f>
        <v>0</v>
      </c>
      <c r="Z250" s="5"/>
      <c r="AA250" s="5"/>
      <c r="AC250" s="7"/>
      <c r="AE250" s="54" t="e">
        <f t="shared" si="43"/>
        <v>#N/A</v>
      </c>
      <c r="AF250" s="4" t="e">
        <f t="shared" si="39"/>
        <v>#N/A</v>
      </c>
    </row>
    <row r="251" spans="2:32">
      <c r="B251" s="5">
        <f t="shared" si="44"/>
        <v>239</v>
      </c>
      <c r="C251" s="5"/>
      <c r="E251" s="13"/>
      <c r="F251" s="5"/>
      <c r="G251" s="11" t="str">
        <f>IF(ISERROR(AVERAGE(F$13:F251)),"n/a",AVERAGE(F$13:F251))</f>
        <v>n/a</v>
      </c>
      <c r="H251" s="11" t="str">
        <f t="shared" si="40"/>
        <v>n/a</v>
      </c>
      <c r="J251" s="5"/>
      <c r="K251" s="5"/>
      <c r="L251" s="5"/>
      <c r="M251" s="5"/>
      <c r="N251" s="5"/>
      <c r="O251" s="8" t="str">
        <f t="shared" si="38"/>
        <v>n/a</v>
      </c>
      <c r="Q251" s="5"/>
      <c r="R251" s="5"/>
      <c r="S251" s="5"/>
      <c r="U251" s="6"/>
      <c r="V251" s="9" t="str">
        <f t="shared" si="41"/>
        <v/>
      </c>
      <c r="W251" s="9" t="str">
        <f t="shared" si="42"/>
        <v/>
      </c>
      <c r="X251" s="10">
        <f>SUM(V$13:V251)/COUNTA(B$13:B251)</f>
        <v>0</v>
      </c>
      <c r="Z251" s="5"/>
      <c r="AA251" s="5"/>
      <c r="AC251" s="7"/>
      <c r="AE251" s="54" t="e">
        <f t="shared" si="43"/>
        <v>#N/A</v>
      </c>
      <c r="AF251" s="4" t="e">
        <f t="shared" si="39"/>
        <v>#N/A</v>
      </c>
    </row>
    <row r="252" spans="2:32">
      <c r="B252" s="5">
        <f t="shared" si="44"/>
        <v>240</v>
      </c>
      <c r="C252" s="5"/>
      <c r="E252" s="13"/>
      <c r="F252" s="5"/>
      <c r="G252" s="11" t="str">
        <f>IF(ISERROR(AVERAGE(F$13:F252)),"n/a",AVERAGE(F$13:F252))</f>
        <v>n/a</v>
      </c>
      <c r="H252" s="11" t="str">
        <f t="shared" si="40"/>
        <v>n/a</v>
      </c>
      <c r="J252" s="5"/>
      <c r="K252" s="5"/>
      <c r="L252" s="5"/>
      <c r="M252" s="5"/>
      <c r="N252" s="5"/>
      <c r="O252" s="8" t="str">
        <f t="shared" si="38"/>
        <v>n/a</v>
      </c>
      <c r="Q252" s="5"/>
      <c r="R252" s="5"/>
      <c r="S252" s="5"/>
      <c r="U252" s="6"/>
      <c r="V252" s="9" t="str">
        <f t="shared" si="41"/>
        <v/>
      </c>
      <c r="W252" s="9" t="str">
        <f t="shared" si="42"/>
        <v/>
      </c>
      <c r="X252" s="10">
        <f>SUM(V$13:V252)/COUNTA(B$13:B252)</f>
        <v>0</v>
      </c>
      <c r="Z252" s="5"/>
      <c r="AA252" s="5"/>
      <c r="AC252" s="7"/>
      <c r="AE252" s="54" t="e">
        <f t="shared" si="43"/>
        <v>#N/A</v>
      </c>
      <c r="AF252" s="4" t="e">
        <f t="shared" si="39"/>
        <v>#N/A</v>
      </c>
    </row>
    <row r="253" spans="2:32">
      <c r="B253" s="5">
        <f t="shared" si="44"/>
        <v>241</v>
      </c>
      <c r="C253" s="5"/>
      <c r="E253" s="13"/>
      <c r="F253" s="5"/>
      <c r="G253" s="11" t="str">
        <f>IF(ISERROR(AVERAGE(F$13:F253)),"n/a",AVERAGE(F$13:F253))</f>
        <v>n/a</v>
      </c>
      <c r="H253" s="11" t="str">
        <f t="shared" si="40"/>
        <v>n/a</v>
      </c>
      <c r="J253" s="5"/>
      <c r="K253" s="5"/>
      <c r="L253" s="5"/>
      <c r="M253" s="5"/>
      <c r="N253" s="5"/>
      <c r="O253" s="8" t="str">
        <f t="shared" si="38"/>
        <v>n/a</v>
      </c>
      <c r="Q253" s="5"/>
      <c r="R253" s="5"/>
      <c r="S253" s="5"/>
      <c r="U253" s="6"/>
      <c r="V253" s="9" t="str">
        <f t="shared" si="41"/>
        <v/>
      </c>
      <c r="W253" s="9" t="str">
        <f t="shared" si="42"/>
        <v/>
      </c>
      <c r="X253" s="10">
        <f>SUM(V$13:V253)/COUNTA(B$13:B253)</f>
        <v>0</v>
      </c>
      <c r="Z253" s="5"/>
      <c r="AA253" s="5"/>
      <c r="AC253" s="7"/>
      <c r="AE253" s="54" t="e">
        <f t="shared" si="43"/>
        <v>#N/A</v>
      </c>
      <c r="AF253" s="4" t="e">
        <f t="shared" si="39"/>
        <v>#N/A</v>
      </c>
    </row>
    <row r="254" spans="2:32">
      <c r="B254" s="5">
        <f t="shared" si="44"/>
        <v>242</v>
      </c>
      <c r="C254" s="5"/>
      <c r="E254" s="13"/>
      <c r="F254" s="5"/>
      <c r="G254" s="11" t="str">
        <f>IF(ISERROR(AVERAGE(F$13:F254)),"n/a",AVERAGE(F$13:F254))</f>
        <v>n/a</v>
      </c>
      <c r="H254" s="11" t="str">
        <f t="shared" si="40"/>
        <v>n/a</v>
      </c>
      <c r="J254" s="5"/>
      <c r="K254" s="5"/>
      <c r="L254" s="5"/>
      <c r="M254" s="5"/>
      <c r="N254" s="5"/>
      <c r="O254" s="8" t="str">
        <f t="shared" si="38"/>
        <v>n/a</v>
      </c>
      <c r="Q254" s="5"/>
      <c r="R254" s="5"/>
      <c r="S254" s="5"/>
      <c r="U254" s="6"/>
      <c r="V254" s="9" t="str">
        <f t="shared" si="41"/>
        <v/>
      </c>
      <c r="W254" s="9" t="str">
        <f t="shared" si="42"/>
        <v/>
      </c>
      <c r="X254" s="10">
        <f>SUM(V$13:V254)/COUNTA(B$13:B254)</f>
        <v>0</v>
      </c>
      <c r="Z254" s="5"/>
      <c r="AA254" s="5"/>
      <c r="AC254" s="7"/>
      <c r="AE254" s="54" t="e">
        <f t="shared" si="43"/>
        <v>#N/A</v>
      </c>
      <c r="AF254" s="4" t="e">
        <f t="shared" si="39"/>
        <v>#N/A</v>
      </c>
    </row>
    <row r="255" spans="2:32">
      <c r="B255" s="5">
        <f t="shared" si="44"/>
        <v>243</v>
      </c>
      <c r="C255" s="5"/>
      <c r="E255" s="13"/>
      <c r="F255" s="5"/>
      <c r="G255" s="11" t="str">
        <f>IF(ISERROR(AVERAGE(F$13:F255)),"n/a",AVERAGE(F$13:F255))</f>
        <v>n/a</v>
      </c>
      <c r="H255" s="11" t="str">
        <f t="shared" si="40"/>
        <v>n/a</v>
      </c>
      <c r="J255" s="5"/>
      <c r="K255" s="5"/>
      <c r="L255" s="5"/>
      <c r="M255" s="5"/>
      <c r="N255" s="5"/>
      <c r="O255" s="8" t="str">
        <f t="shared" si="38"/>
        <v>n/a</v>
      </c>
      <c r="Q255" s="5"/>
      <c r="R255" s="5"/>
      <c r="S255" s="5"/>
      <c r="U255" s="6"/>
      <c r="V255" s="9" t="str">
        <f t="shared" si="41"/>
        <v/>
      </c>
      <c r="W255" s="9" t="str">
        <f t="shared" si="42"/>
        <v/>
      </c>
      <c r="X255" s="10">
        <f>SUM(V$13:V255)/COUNTA(B$13:B255)</f>
        <v>0</v>
      </c>
      <c r="Z255" s="5"/>
      <c r="AA255" s="5"/>
      <c r="AC255" s="7"/>
      <c r="AE255" s="54" t="e">
        <f t="shared" si="43"/>
        <v>#N/A</v>
      </c>
      <c r="AF255" s="4" t="e">
        <f t="shared" si="39"/>
        <v>#N/A</v>
      </c>
    </row>
    <row r="256" spans="2:32">
      <c r="B256" s="5">
        <f t="shared" si="44"/>
        <v>244</v>
      </c>
      <c r="C256" s="5"/>
      <c r="E256" s="13"/>
      <c r="F256" s="5"/>
      <c r="G256" s="11" t="str">
        <f>IF(ISERROR(AVERAGE(F$13:F256)),"n/a",AVERAGE(F$13:F256))</f>
        <v>n/a</v>
      </c>
      <c r="H256" s="11" t="str">
        <f t="shared" si="40"/>
        <v>n/a</v>
      </c>
      <c r="J256" s="5"/>
      <c r="K256" s="5"/>
      <c r="L256" s="5"/>
      <c r="M256" s="5"/>
      <c r="N256" s="5"/>
      <c r="O256" s="8" t="str">
        <f t="shared" si="38"/>
        <v>n/a</v>
      </c>
      <c r="Q256" s="5"/>
      <c r="R256" s="5"/>
      <c r="S256" s="5"/>
      <c r="U256" s="6"/>
      <c r="V256" s="9" t="str">
        <f t="shared" si="41"/>
        <v/>
      </c>
      <c r="W256" s="9" t="str">
        <f t="shared" si="42"/>
        <v/>
      </c>
      <c r="X256" s="10">
        <f>SUM(V$13:V256)/COUNTA(B$13:B256)</f>
        <v>0</v>
      </c>
      <c r="Z256" s="5"/>
      <c r="AA256" s="5"/>
      <c r="AC256" s="7"/>
      <c r="AE256" s="54" t="e">
        <f t="shared" si="43"/>
        <v>#N/A</v>
      </c>
      <c r="AF256" s="4" t="e">
        <f t="shared" si="39"/>
        <v>#N/A</v>
      </c>
    </row>
    <row r="257" spans="2:32">
      <c r="B257" s="5">
        <f t="shared" si="44"/>
        <v>245</v>
      </c>
      <c r="C257" s="5"/>
      <c r="E257" s="13"/>
      <c r="F257" s="5"/>
      <c r="G257" s="11" t="str">
        <f>IF(ISERROR(AVERAGE(F$13:F257)),"n/a",AVERAGE(F$13:F257))</f>
        <v>n/a</v>
      </c>
      <c r="H257" s="11" t="str">
        <f t="shared" si="40"/>
        <v>n/a</v>
      </c>
      <c r="J257" s="5"/>
      <c r="K257" s="5"/>
      <c r="L257" s="5"/>
      <c r="M257" s="5"/>
      <c r="N257" s="5"/>
      <c r="O257" s="8" t="str">
        <f t="shared" si="38"/>
        <v>n/a</v>
      </c>
      <c r="Q257" s="5"/>
      <c r="R257" s="5"/>
      <c r="S257" s="5"/>
      <c r="U257" s="6"/>
      <c r="V257" s="9" t="str">
        <f t="shared" si="41"/>
        <v/>
      </c>
      <c r="W257" s="9" t="str">
        <f t="shared" si="42"/>
        <v/>
      </c>
      <c r="X257" s="10">
        <f>SUM(V$13:V257)/COUNTA(B$13:B257)</f>
        <v>0</v>
      </c>
      <c r="Z257" s="5"/>
      <c r="AA257" s="5"/>
      <c r="AC257" s="7"/>
      <c r="AE257" s="54" t="e">
        <f t="shared" si="43"/>
        <v>#N/A</v>
      </c>
      <c r="AF257" s="4" t="e">
        <f t="shared" si="39"/>
        <v>#N/A</v>
      </c>
    </row>
    <row r="258" spans="2:32">
      <c r="B258" s="5">
        <f t="shared" si="44"/>
        <v>246</v>
      </c>
      <c r="C258" s="5"/>
      <c r="E258" s="13"/>
      <c r="F258" s="5"/>
      <c r="G258" s="11" t="str">
        <f>IF(ISERROR(AVERAGE(F$13:F258)),"n/a",AVERAGE(F$13:F258))</f>
        <v>n/a</v>
      </c>
      <c r="H258" s="11" t="str">
        <f t="shared" si="40"/>
        <v>n/a</v>
      </c>
      <c r="J258" s="5"/>
      <c r="K258" s="5"/>
      <c r="L258" s="5"/>
      <c r="M258" s="5"/>
      <c r="N258" s="5"/>
      <c r="O258" s="8" t="str">
        <f t="shared" si="38"/>
        <v>n/a</v>
      </c>
      <c r="Q258" s="5"/>
      <c r="R258" s="5"/>
      <c r="S258" s="5"/>
      <c r="U258" s="6"/>
      <c r="V258" s="9" t="str">
        <f t="shared" si="41"/>
        <v/>
      </c>
      <c r="W258" s="9" t="str">
        <f t="shared" si="42"/>
        <v/>
      </c>
      <c r="X258" s="10">
        <f>SUM(V$13:V258)/COUNTA(B$13:B258)</f>
        <v>0</v>
      </c>
      <c r="Z258" s="5"/>
      <c r="AA258" s="5"/>
      <c r="AC258" s="7"/>
      <c r="AE258" s="54" t="e">
        <f t="shared" si="43"/>
        <v>#N/A</v>
      </c>
      <c r="AF258" s="4" t="e">
        <f t="shared" si="39"/>
        <v>#N/A</v>
      </c>
    </row>
    <row r="259" spans="2:32">
      <c r="B259" s="5">
        <f t="shared" si="44"/>
        <v>247</v>
      </c>
      <c r="C259" s="5"/>
      <c r="E259" s="13"/>
      <c r="F259" s="5"/>
      <c r="G259" s="11" t="str">
        <f>IF(ISERROR(AVERAGE(F$13:F259)),"n/a",AVERAGE(F$13:F259))</f>
        <v>n/a</v>
      </c>
      <c r="H259" s="11" t="str">
        <f t="shared" si="40"/>
        <v>n/a</v>
      </c>
      <c r="J259" s="5"/>
      <c r="K259" s="5"/>
      <c r="L259" s="5"/>
      <c r="M259" s="5"/>
      <c r="N259" s="5"/>
      <c r="O259" s="8" t="str">
        <f t="shared" si="38"/>
        <v>n/a</v>
      </c>
      <c r="Q259" s="5"/>
      <c r="R259" s="5"/>
      <c r="S259" s="5"/>
      <c r="U259" s="6"/>
      <c r="V259" s="9" t="str">
        <f t="shared" si="41"/>
        <v/>
      </c>
      <c r="W259" s="9" t="str">
        <f t="shared" si="42"/>
        <v/>
      </c>
      <c r="X259" s="10">
        <f>SUM(V$13:V259)/COUNTA(B$13:B259)</f>
        <v>0</v>
      </c>
      <c r="Z259" s="5"/>
      <c r="AA259" s="5"/>
      <c r="AC259" s="7"/>
      <c r="AE259" s="54" t="e">
        <f t="shared" si="43"/>
        <v>#N/A</v>
      </c>
      <c r="AF259" s="4" t="e">
        <f t="shared" si="39"/>
        <v>#N/A</v>
      </c>
    </row>
    <row r="260" spans="2:32">
      <c r="B260" s="5">
        <f t="shared" si="44"/>
        <v>248</v>
      </c>
      <c r="C260" s="5"/>
      <c r="E260" s="13"/>
      <c r="F260" s="5"/>
      <c r="G260" s="11" t="str">
        <f>IF(ISERROR(AVERAGE(F$13:F260)),"n/a",AVERAGE(F$13:F260))</f>
        <v>n/a</v>
      </c>
      <c r="H260" s="11" t="str">
        <f t="shared" si="40"/>
        <v>n/a</v>
      </c>
      <c r="J260" s="5"/>
      <c r="K260" s="5"/>
      <c r="L260" s="5"/>
      <c r="M260" s="5"/>
      <c r="N260" s="5"/>
      <c r="O260" s="8" t="str">
        <f t="shared" si="38"/>
        <v>n/a</v>
      </c>
      <c r="Q260" s="5"/>
      <c r="R260" s="5"/>
      <c r="S260" s="5"/>
      <c r="U260" s="6"/>
      <c r="V260" s="9" t="str">
        <f t="shared" si="41"/>
        <v/>
      </c>
      <c r="W260" s="9" t="str">
        <f t="shared" si="42"/>
        <v/>
      </c>
      <c r="X260" s="10">
        <f>SUM(V$13:V260)/COUNTA(B$13:B260)</f>
        <v>0</v>
      </c>
      <c r="Z260" s="5"/>
      <c r="AA260" s="5"/>
      <c r="AC260" s="7"/>
      <c r="AE260" s="54" t="e">
        <f t="shared" si="43"/>
        <v>#N/A</v>
      </c>
      <c r="AF260" s="4" t="e">
        <f t="shared" si="39"/>
        <v>#N/A</v>
      </c>
    </row>
    <row r="261" spans="2:32">
      <c r="B261" s="5">
        <f t="shared" si="44"/>
        <v>249</v>
      </c>
      <c r="C261" s="5"/>
      <c r="E261" s="13"/>
      <c r="F261" s="5"/>
      <c r="G261" s="11" t="str">
        <f>IF(ISERROR(AVERAGE(F$13:F261)),"n/a",AVERAGE(F$13:F261))</f>
        <v>n/a</v>
      </c>
      <c r="H261" s="11" t="str">
        <f t="shared" si="40"/>
        <v>n/a</v>
      </c>
      <c r="J261" s="5"/>
      <c r="K261" s="5"/>
      <c r="L261" s="5"/>
      <c r="M261" s="5"/>
      <c r="N261" s="5"/>
      <c r="O261" s="8" t="str">
        <f t="shared" si="38"/>
        <v>n/a</v>
      </c>
      <c r="Q261" s="5"/>
      <c r="R261" s="5"/>
      <c r="S261" s="5"/>
      <c r="U261" s="6"/>
      <c r="V261" s="9" t="str">
        <f t="shared" si="41"/>
        <v/>
      </c>
      <c r="W261" s="9" t="str">
        <f t="shared" si="42"/>
        <v/>
      </c>
      <c r="X261" s="10">
        <f>SUM(V$13:V261)/COUNTA(B$13:B261)</f>
        <v>0</v>
      </c>
      <c r="Z261" s="5"/>
      <c r="AA261" s="5"/>
      <c r="AC261" s="7"/>
      <c r="AE261" s="54" t="e">
        <f t="shared" si="43"/>
        <v>#N/A</v>
      </c>
      <c r="AF261" s="4" t="e">
        <f t="shared" si="39"/>
        <v>#N/A</v>
      </c>
    </row>
    <row r="262" spans="2:32">
      <c r="B262" s="5">
        <f t="shared" si="44"/>
        <v>250</v>
      </c>
      <c r="C262" s="5"/>
      <c r="E262" s="13"/>
      <c r="F262" s="5"/>
      <c r="G262" s="11" t="str">
        <f>IF(ISERROR(AVERAGE(F$13:F262)),"n/a",AVERAGE(F$13:F262))</f>
        <v>n/a</v>
      </c>
      <c r="H262" s="11" t="str">
        <f t="shared" si="40"/>
        <v>n/a</v>
      </c>
      <c r="J262" s="5"/>
      <c r="K262" s="5"/>
      <c r="L262" s="5"/>
      <c r="M262" s="5"/>
      <c r="N262" s="5"/>
      <c r="O262" s="8" t="str">
        <f t="shared" si="38"/>
        <v>n/a</v>
      </c>
      <c r="Q262" s="5"/>
      <c r="R262" s="5"/>
      <c r="S262" s="5"/>
      <c r="U262" s="6"/>
      <c r="V262" s="9" t="str">
        <f t="shared" si="41"/>
        <v/>
      </c>
      <c r="W262" s="9" t="str">
        <f t="shared" si="42"/>
        <v/>
      </c>
      <c r="X262" s="10">
        <f>SUM(V$13:V262)/COUNTA(B$13:B262)</f>
        <v>0</v>
      </c>
      <c r="Z262" s="5"/>
      <c r="AA262" s="5"/>
      <c r="AC262" s="7"/>
      <c r="AE262" s="54" t="e">
        <f t="shared" si="43"/>
        <v>#N/A</v>
      </c>
      <c r="AF262" s="4" t="e">
        <f t="shared" si="39"/>
        <v>#N/A</v>
      </c>
    </row>
    <row r="263" spans="2:32">
      <c r="B263" s="5">
        <f t="shared" si="44"/>
        <v>251</v>
      </c>
      <c r="C263" s="5"/>
      <c r="E263" s="13"/>
      <c r="F263" s="5"/>
      <c r="G263" s="11" t="str">
        <f>IF(ISERROR(AVERAGE(F$13:F263)),"n/a",AVERAGE(F$13:F263))</f>
        <v>n/a</v>
      </c>
      <c r="H263" s="11" t="str">
        <f t="shared" si="40"/>
        <v>n/a</v>
      </c>
      <c r="J263" s="5"/>
      <c r="K263" s="5"/>
      <c r="L263" s="5"/>
      <c r="M263" s="5"/>
      <c r="N263" s="5"/>
      <c r="O263" s="8" t="str">
        <f t="shared" si="38"/>
        <v>n/a</v>
      </c>
      <c r="Q263" s="5"/>
      <c r="R263" s="5"/>
      <c r="S263" s="5"/>
      <c r="U263" s="6"/>
      <c r="V263" s="9" t="str">
        <f t="shared" si="41"/>
        <v/>
      </c>
      <c r="W263" s="9" t="str">
        <f t="shared" si="42"/>
        <v/>
      </c>
      <c r="X263" s="10">
        <f>SUM(V$13:V263)/COUNTA(B$13:B263)</f>
        <v>0</v>
      </c>
      <c r="Z263" s="5"/>
      <c r="AA263" s="5"/>
      <c r="AC263" s="7"/>
      <c r="AE263" s="54" t="e">
        <f t="shared" si="43"/>
        <v>#N/A</v>
      </c>
      <c r="AF263" s="4" t="e">
        <f t="shared" si="39"/>
        <v>#N/A</v>
      </c>
    </row>
    <row r="264" spans="2:32">
      <c r="B264" s="5">
        <f t="shared" si="44"/>
        <v>252</v>
      </c>
      <c r="C264" s="5"/>
      <c r="E264" s="13"/>
      <c r="F264" s="5"/>
      <c r="G264" s="11" t="str">
        <f>IF(ISERROR(AVERAGE(F$13:F264)),"n/a",AVERAGE(F$13:F264))</f>
        <v>n/a</v>
      </c>
      <c r="H264" s="11" t="str">
        <f t="shared" si="40"/>
        <v>n/a</v>
      </c>
      <c r="J264" s="5"/>
      <c r="K264" s="5"/>
      <c r="L264" s="5"/>
      <c r="M264" s="5"/>
      <c r="N264" s="5"/>
      <c r="O264" s="8" t="str">
        <f t="shared" si="38"/>
        <v>n/a</v>
      </c>
      <c r="Q264" s="5"/>
      <c r="R264" s="5"/>
      <c r="S264" s="5"/>
      <c r="U264" s="6"/>
      <c r="V264" s="9" t="str">
        <f t="shared" si="41"/>
        <v/>
      </c>
      <c r="W264" s="9" t="str">
        <f t="shared" si="42"/>
        <v/>
      </c>
      <c r="X264" s="10">
        <f>SUM(V$13:V264)/COUNTA(B$13:B264)</f>
        <v>0</v>
      </c>
      <c r="Z264" s="5"/>
      <c r="AA264" s="5"/>
      <c r="AC264" s="7"/>
      <c r="AE264" s="54" t="e">
        <f t="shared" si="43"/>
        <v>#N/A</v>
      </c>
      <c r="AF264" s="4" t="e">
        <f t="shared" si="39"/>
        <v>#N/A</v>
      </c>
    </row>
    <row r="265" spans="2:32">
      <c r="B265" s="5">
        <f t="shared" si="44"/>
        <v>253</v>
      </c>
      <c r="C265" s="5"/>
      <c r="E265" s="13"/>
      <c r="F265" s="5"/>
      <c r="G265" s="11" t="str">
        <f>IF(ISERROR(AVERAGE(F$13:F265)),"n/a",AVERAGE(F$13:F265))</f>
        <v>n/a</v>
      </c>
      <c r="H265" s="11" t="str">
        <f t="shared" si="40"/>
        <v>n/a</v>
      </c>
      <c r="J265" s="5"/>
      <c r="K265" s="5"/>
      <c r="L265" s="5"/>
      <c r="M265" s="5"/>
      <c r="N265" s="5"/>
      <c r="O265" s="8" t="str">
        <f t="shared" si="38"/>
        <v>n/a</v>
      </c>
      <c r="Q265" s="5"/>
      <c r="R265" s="5"/>
      <c r="S265" s="5"/>
      <c r="U265" s="6"/>
      <c r="V265" s="9" t="str">
        <f t="shared" si="41"/>
        <v/>
      </c>
      <c r="W265" s="9" t="str">
        <f t="shared" si="42"/>
        <v/>
      </c>
      <c r="X265" s="10">
        <f>SUM(V$13:V265)/COUNTA(B$13:B265)</f>
        <v>0</v>
      </c>
      <c r="Z265" s="5"/>
      <c r="AA265" s="5"/>
      <c r="AC265" s="7"/>
      <c r="AE265" s="54" t="e">
        <f t="shared" si="43"/>
        <v>#N/A</v>
      </c>
      <c r="AF265" s="4" t="e">
        <f t="shared" si="39"/>
        <v>#N/A</v>
      </c>
    </row>
    <row r="266" spans="2:32">
      <c r="B266" s="5">
        <f t="shared" si="44"/>
        <v>254</v>
      </c>
      <c r="C266" s="5"/>
      <c r="E266" s="13"/>
      <c r="F266" s="5"/>
      <c r="G266" s="11" t="str">
        <f>IF(ISERROR(AVERAGE(F$13:F266)),"n/a",AVERAGE(F$13:F266))</f>
        <v>n/a</v>
      </c>
      <c r="H266" s="11" t="str">
        <f t="shared" si="40"/>
        <v>n/a</v>
      </c>
      <c r="J266" s="5"/>
      <c r="K266" s="5"/>
      <c r="L266" s="5"/>
      <c r="M266" s="5"/>
      <c r="N266" s="5"/>
      <c r="O266" s="8" t="str">
        <f t="shared" si="38"/>
        <v>n/a</v>
      </c>
      <c r="Q266" s="5"/>
      <c r="R266" s="5"/>
      <c r="S266" s="5"/>
      <c r="U266" s="6"/>
      <c r="V266" s="9" t="str">
        <f t="shared" si="41"/>
        <v/>
      </c>
      <c r="W266" s="9" t="str">
        <f t="shared" si="42"/>
        <v/>
      </c>
      <c r="X266" s="10">
        <f>SUM(V$13:V266)/COUNTA(B$13:B266)</f>
        <v>0</v>
      </c>
      <c r="Z266" s="5"/>
      <c r="AA266" s="5"/>
      <c r="AC266" s="7"/>
      <c r="AE266" s="54" t="e">
        <f t="shared" si="43"/>
        <v>#N/A</v>
      </c>
      <c r="AF266" s="4" t="e">
        <f t="shared" si="39"/>
        <v>#N/A</v>
      </c>
    </row>
    <row r="267" spans="2:32">
      <c r="B267" s="5">
        <f t="shared" si="44"/>
        <v>255</v>
      </c>
      <c r="C267" s="5"/>
      <c r="E267" s="13"/>
      <c r="F267" s="5"/>
      <c r="G267" s="11" t="str">
        <f>IF(ISERROR(AVERAGE(F$13:F267)),"n/a",AVERAGE(F$13:F267))</f>
        <v>n/a</v>
      </c>
      <c r="H267" s="11" t="str">
        <f t="shared" si="40"/>
        <v>n/a</v>
      </c>
      <c r="J267" s="5"/>
      <c r="K267" s="5"/>
      <c r="L267" s="5"/>
      <c r="M267" s="5"/>
      <c r="N267" s="5"/>
      <c r="O267" s="8" t="str">
        <f t="shared" si="38"/>
        <v>n/a</v>
      </c>
      <c r="Q267" s="5"/>
      <c r="R267" s="5"/>
      <c r="S267" s="5"/>
      <c r="U267" s="6"/>
      <c r="V267" s="9" t="str">
        <f t="shared" si="41"/>
        <v/>
      </c>
      <c r="W267" s="9" t="str">
        <f t="shared" si="42"/>
        <v/>
      </c>
      <c r="X267" s="10">
        <f>SUM(V$13:V267)/COUNTA(B$13:B267)</f>
        <v>0</v>
      </c>
      <c r="Z267" s="5"/>
      <c r="AA267" s="5"/>
      <c r="AC267" s="7"/>
      <c r="AE267" s="54" t="e">
        <f t="shared" si="43"/>
        <v>#N/A</v>
      </c>
      <c r="AF267" s="4" t="e">
        <f t="shared" si="39"/>
        <v>#N/A</v>
      </c>
    </row>
    <row r="268" spans="2:32">
      <c r="B268" s="5">
        <f t="shared" si="44"/>
        <v>256</v>
      </c>
      <c r="C268" s="5"/>
      <c r="E268" s="13"/>
      <c r="F268" s="5"/>
      <c r="G268" s="11" t="str">
        <f>IF(ISERROR(AVERAGE(F$13:F268)),"n/a",AVERAGE(F$13:F268))</f>
        <v>n/a</v>
      </c>
      <c r="H268" s="11" t="str">
        <f t="shared" si="40"/>
        <v>n/a</v>
      </c>
      <c r="J268" s="5"/>
      <c r="K268" s="5"/>
      <c r="L268" s="5"/>
      <c r="M268" s="5"/>
      <c r="N268" s="5"/>
      <c r="O268" s="8" t="str">
        <f t="shared" si="38"/>
        <v>n/a</v>
      </c>
      <c r="Q268" s="5"/>
      <c r="R268" s="5"/>
      <c r="S268" s="5"/>
      <c r="U268" s="6"/>
      <c r="V268" s="9" t="str">
        <f t="shared" si="41"/>
        <v/>
      </c>
      <c r="W268" s="9" t="str">
        <f t="shared" si="42"/>
        <v/>
      </c>
      <c r="X268" s="10">
        <f>SUM(V$13:V268)/COUNTA(B$13:B268)</f>
        <v>0</v>
      </c>
      <c r="Z268" s="5"/>
      <c r="AA268" s="5"/>
      <c r="AC268" s="7"/>
      <c r="AE268" s="54" t="e">
        <f t="shared" si="43"/>
        <v>#N/A</v>
      </c>
      <c r="AF268" s="4" t="e">
        <f t="shared" si="39"/>
        <v>#N/A</v>
      </c>
    </row>
    <row r="269" spans="2:32">
      <c r="B269" s="5">
        <f t="shared" si="44"/>
        <v>257</v>
      </c>
      <c r="C269" s="5"/>
      <c r="E269" s="13"/>
      <c r="F269" s="5"/>
      <c r="G269" s="11" t="str">
        <f>IF(ISERROR(AVERAGE(F$13:F269)),"n/a",AVERAGE(F$13:F269))</f>
        <v>n/a</v>
      </c>
      <c r="H269" s="11" t="str">
        <f t="shared" si="40"/>
        <v>n/a</v>
      </c>
      <c r="J269" s="5"/>
      <c r="K269" s="5"/>
      <c r="L269" s="5"/>
      <c r="M269" s="5"/>
      <c r="N269" s="5"/>
      <c r="O269" s="8" t="str">
        <f t="shared" ref="O269:O332" si="45">IF(J269=1,"A",IF(K269=1,"B",IF(L269=1,"C",IF(M269=1,"D",IF(N269=1,"E","n/a")))))</f>
        <v>n/a</v>
      </c>
      <c r="Q269" s="5"/>
      <c r="R269" s="5"/>
      <c r="S269" s="5"/>
      <c r="U269" s="6"/>
      <c r="V269" s="9" t="str">
        <f t="shared" si="41"/>
        <v/>
      </c>
      <c r="W269" s="9" t="str">
        <f t="shared" si="42"/>
        <v/>
      </c>
      <c r="X269" s="10">
        <f>SUM(V$13:V269)/COUNTA(B$13:B269)</f>
        <v>0</v>
      </c>
      <c r="Z269" s="5"/>
      <c r="AA269" s="5"/>
      <c r="AC269" s="7"/>
      <c r="AE269" s="54" t="e">
        <f t="shared" si="43"/>
        <v>#N/A</v>
      </c>
      <c r="AF269" s="4" t="e">
        <f t="shared" ref="AF269:AF332" si="46">HLOOKUP(C269,$K$6:$O$7,2,FALSE)</f>
        <v>#N/A</v>
      </c>
    </row>
    <row r="270" spans="2:32">
      <c r="B270" s="5">
        <f t="shared" si="44"/>
        <v>258</v>
      </c>
      <c r="C270" s="5"/>
      <c r="E270" s="13"/>
      <c r="F270" s="5"/>
      <c r="G270" s="11" t="str">
        <f>IF(ISERROR(AVERAGE(F$13:F270)),"n/a",AVERAGE(F$13:F270))</f>
        <v>n/a</v>
      </c>
      <c r="H270" s="11" t="str">
        <f t="shared" ref="H270:H333" si="47">G270</f>
        <v>n/a</v>
      </c>
      <c r="J270" s="5"/>
      <c r="K270" s="5"/>
      <c r="L270" s="5"/>
      <c r="M270" s="5"/>
      <c r="N270" s="5"/>
      <c r="O270" s="8" t="str">
        <f t="shared" si="45"/>
        <v>n/a</v>
      </c>
      <c r="Q270" s="5"/>
      <c r="R270" s="5"/>
      <c r="S270" s="5"/>
      <c r="U270" s="6"/>
      <c r="V270" s="9" t="str">
        <f t="shared" ref="V270:V333" si="48">IF(O270="n/a","",IF(O270=U270,1,""))</f>
        <v/>
      </c>
      <c r="W270" s="9" t="str">
        <f t="shared" ref="W270:W333" si="49">IF(O270="n/a","",IF(O270&lt;&gt;U270,1,""))</f>
        <v/>
      </c>
      <c r="X270" s="10">
        <f>SUM(V$13:V270)/COUNTA(B$13:B270)</f>
        <v>0</v>
      </c>
      <c r="Z270" s="5"/>
      <c r="AA270" s="5"/>
      <c r="AC270" s="7"/>
      <c r="AE270" s="54" t="e">
        <f t="shared" ref="AE270:AE333" si="50">+IF($F$4=0,0,IF(W270=1,1,IF(OR(R270*$F$8=1,S270*$F$9=1,F270&gt;=AF270),2,0)))</f>
        <v>#N/A</v>
      </c>
      <c r="AF270" s="4" t="e">
        <f t="shared" si="46"/>
        <v>#N/A</v>
      </c>
    </row>
    <row r="271" spans="2:32">
      <c r="B271" s="5">
        <f t="shared" si="44"/>
        <v>259</v>
      </c>
      <c r="C271" s="5"/>
      <c r="E271" s="13"/>
      <c r="F271" s="5"/>
      <c r="G271" s="11" t="str">
        <f>IF(ISERROR(AVERAGE(F$13:F271)),"n/a",AVERAGE(F$13:F271))</f>
        <v>n/a</v>
      </c>
      <c r="H271" s="11" t="str">
        <f t="shared" si="47"/>
        <v>n/a</v>
      </c>
      <c r="J271" s="5"/>
      <c r="K271" s="5"/>
      <c r="L271" s="5"/>
      <c r="M271" s="5"/>
      <c r="N271" s="5"/>
      <c r="O271" s="8" t="str">
        <f t="shared" si="45"/>
        <v>n/a</v>
      </c>
      <c r="Q271" s="5"/>
      <c r="R271" s="5"/>
      <c r="S271" s="5"/>
      <c r="U271" s="6"/>
      <c r="V271" s="9" t="str">
        <f t="shared" si="48"/>
        <v/>
      </c>
      <c r="W271" s="9" t="str">
        <f t="shared" si="49"/>
        <v/>
      </c>
      <c r="X271" s="10">
        <f>SUM(V$13:V271)/COUNTA(B$13:B271)</f>
        <v>0</v>
      </c>
      <c r="Z271" s="5"/>
      <c r="AA271" s="5"/>
      <c r="AC271" s="7"/>
      <c r="AE271" s="54" t="e">
        <f t="shared" si="50"/>
        <v>#N/A</v>
      </c>
      <c r="AF271" s="4" t="e">
        <f t="shared" si="46"/>
        <v>#N/A</v>
      </c>
    </row>
    <row r="272" spans="2:32">
      <c r="B272" s="5">
        <f t="shared" si="44"/>
        <v>260</v>
      </c>
      <c r="C272" s="5"/>
      <c r="E272" s="13"/>
      <c r="F272" s="5"/>
      <c r="G272" s="11" t="str">
        <f>IF(ISERROR(AVERAGE(F$13:F272)),"n/a",AVERAGE(F$13:F272))</f>
        <v>n/a</v>
      </c>
      <c r="H272" s="11" t="str">
        <f t="shared" si="47"/>
        <v>n/a</v>
      </c>
      <c r="J272" s="5"/>
      <c r="K272" s="5"/>
      <c r="L272" s="5"/>
      <c r="M272" s="5"/>
      <c r="N272" s="5"/>
      <c r="O272" s="8" t="str">
        <f t="shared" si="45"/>
        <v>n/a</v>
      </c>
      <c r="Q272" s="5"/>
      <c r="R272" s="5"/>
      <c r="S272" s="5"/>
      <c r="U272" s="6"/>
      <c r="V272" s="9" t="str">
        <f t="shared" si="48"/>
        <v/>
      </c>
      <c r="W272" s="9" t="str">
        <f t="shared" si="49"/>
        <v/>
      </c>
      <c r="X272" s="10">
        <f>SUM(V$13:V272)/COUNTA(B$13:B272)</f>
        <v>0</v>
      </c>
      <c r="Z272" s="5"/>
      <c r="AA272" s="5"/>
      <c r="AC272" s="7"/>
      <c r="AE272" s="54" t="e">
        <f t="shared" si="50"/>
        <v>#N/A</v>
      </c>
      <c r="AF272" s="4" t="e">
        <f t="shared" si="46"/>
        <v>#N/A</v>
      </c>
    </row>
    <row r="273" spans="2:32">
      <c r="B273" s="5">
        <f t="shared" si="44"/>
        <v>261</v>
      </c>
      <c r="C273" s="5"/>
      <c r="E273" s="13"/>
      <c r="F273" s="5"/>
      <c r="G273" s="11" t="str">
        <f>IF(ISERROR(AVERAGE(F$13:F273)),"n/a",AVERAGE(F$13:F273))</f>
        <v>n/a</v>
      </c>
      <c r="H273" s="11" t="str">
        <f t="shared" si="47"/>
        <v>n/a</v>
      </c>
      <c r="J273" s="5"/>
      <c r="K273" s="5"/>
      <c r="L273" s="5"/>
      <c r="M273" s="5"/>
      <c r="N273" s="5"/>
      <c r="O273" s="8" t="str">
        <f t="shared" si="45"/>
        <v>n/a</v>
      </c>
      <c r="Q273" s="5"/>
      <c r="R273" s="5"/>
      <c r="S273" s="5"/>
      <c r="U273" s="6"/>
      <c r="V273" s="9" t="str">
        <f t="shared" si="48"/>
        <v/>
      </c>
      <c r="W273" s="9" t="str">
        <f t="shared" si="49"/>
        <v/>
      </c>
      <c r="X273" s="10">
        <f>SUM(V$13:V273)/COUNTA(B$13:B273)</f>
        <v>0</v>
      </c>
      <c r="Z273" s="5"/>
      <c r="AA273" s="5"/>
      <c r="AC273" s="7"/>
      <c r="AE273" s="54" t="e">
        <f t="shared" si="50"/>
        <v>#N/A</v>
      </c>
      <c r="AF273" s="4" t="e">
        <f t="shared" si="46"/>
        <v>#N/A</v>
      </c>
    </row>
    <row r="274" spans="2:32">
      <c r="B274" s="5">
        <f t="shared" si="44"/>
        <v>262</v>
      </c>
      <c r="C274" s="5"/>
      <c r="E274" s="13"/>
      <c r="F274" s="5"/>
      <c r="G274" s="11" t="str">
        <f>IF(ISERROR(AVERAGE(F$13:F274)),"n/a",AVERAGE(F$13:F274))</f>
        <v>n/a</v>
      </c>
      <c r="H274" s="11" t="str">
        <f t="shared" si="47"/>
        <v>n/a</v>
      </c>
      <c r="J274" s="5"/>
      <c r="K274" s="5"/>
      <c r="L274" s="5"/>
      <c r="M274" s="5"/>
      <c r="N274" s="5"/>
      <c r="O274" s="8" t="str">
        <f t="shared" si="45"/>
        <v>n/a</v>
      </c>
      <c r="Q274" s="5"/>
      <c r="R274" s="5"/>
      <c r="S274" s="5"/>
      <c r="U274" s="6"/>
      <c r="V274" s="9" t="str">
        <f t="shared" si="48"/>
        <v/>
      </c>
      <c r="W274" s="9" t="str">
        <f t="shared" si="49"/>
        <v/>
      </c>
      <c r="X274" s="10">
        <f>SUM(V$13:V274)/COUNTA(B$13:B274)</f>
        <v>0</v>
      </c>
      <c r="Z274" s="5"/>
      <c r="AA274" s="5"/>
      <c r="AC274" s="7"/>
      <c r="AE274" s="54" t="e">
        <f t="shared" si="50"/>
        <v>#N/A</v>
      </c>
      <c r="AF274" s="4" t="e">
        <f t="shared" si="46"/>
        <v>#N/A</v>
      </c>
    </row>
    <row r="275" spans="2:32">
      <c r="B275" s="5">
        <f t="shared" ref="B275:B338" si="51">+B274+1</f>
        <v>263</v>
      </c>
      <c r="C275" s="5"/>
      <c r="E275" s="13"/>
      <c r="F275" s="5"/>
      <c r="G275" s="11" t="str">
        <f>IF(ISERROR(AVERAGE(F$13:F275)),"n/a",AVERAGE(F$13:F275))</f>
        <v>n/a</v>
      </c>
      <c r="H275" s="11" t="str">
        <f t="shared" si="47"/>
        <v>n/a</v>
      </c>
      <c r="J275" s="5"/>
      <c r="K275" s="5"/>
      <c r="L275" s="5"/>
      <c r="M275" s="5"/>
      <c r="N275" s="5"/>
      <c r="O275" s="8" t="str">
        <f t="shared" si="45"/>
        <v>n/a</v>
      </c>
      <c r="Q275" s="5"/>
      <c r="R275" s="5"/>
      <c r="S275" s="5"/>
      <c r="U275" s="6"/>
      <c r="V275" s="9" t="str">
        <f t="shared" si="48"/>
        <v/>
      </c>
      <c r="W275" s="9" t="str">
        <f t="shared" si="49"/>
        <v/>
      </c>
      <c r="X275" s="10">
        <f>SUM(V$13:V275)/COUNTA(B$13:B275)</f>
        <v>0</v>
      </c>
      <c r="Z275" s="5"/>
      <c r="AA275" s="5"/>
      <c r="AC275" s="7"/>
      <c r="AE275" s="54" t="e">
        <f t="shared" si="50"/>
        <v>#N/A</v>
      </c>
      <c r="AF275" s="4" t="e">
        <f t="shared" si="46"/>
        <v>#N/A</v>
      </c>
    </row>
    <row r="276" spans="2:32">
      <c r="B276" s="5">
        <f t="shared" si="51"/>
        <v>264</v>
      </c>
      <c r="C276" s="5"/>
      <c r="E276" s="13"/>
      <c r="F276" s="5"/>
      <c r="G276" s="11" t="str">
        <f>IF(ISERROR(AVERAGE(F$13:F276)),"n/a",AVERAGE(F$13:F276))</f>
        <v>n/a</v>
      </c>
      <c r="H276" s="11" t="str">
        <f t="shared" si="47"/>
        <v>n/a</v>
      </c>
      <c r="J276" s="5"/>
      <c r="K276" s="5"/>
      <c r="L276" s="5"/>
      <c r="M276" s="5"/>
      <c r="N276" s="5"/>
      <c r="O276" s="8" t="str">
        <f t="shared" si="45"/>
        <v>n/a</v>
      </c>
      <c r="Q276" s="5"/>
      <c r="R276" s="5"/>
      <c r="S276" s="5"/>
      <c r="U276" s="6"/>
      <c r="V276" s="9" t="str">
        <f t="shared" si="48"/>
        <v/>
      </c>
      <c r="W276" s="9" t="str">
        <f t="shared" si="49"/>
        <v/>
      </c>
      <c r="X276" s="10">
        <f>SUM(V$13:V276)/COUNTA(B$13:B276)</f>
        <v>0</v>
      </c>
      <c r="Z276" s="5"/>
      <c r="AA276" s="5"/>
      <c r="AC276" s="7"/>
      <c r="AE276" s="54" t="e">
        <f t="shared" si="50"/>
        <v>#N/A</v>
      </c>
      <c r="AF276" s="4" t="e">
        <f t="shared" si="46"/>
        <v>#N/A</v>
      </c>
    </row>
    <row r="277" spans="2:32">
      <c r="B277" s="5">
        <f t="shared" si="51"/>
        <v>265</v>
      </c>
      <c r="C277" s="5"/>
      <c r="E277" s="13"/>
      <c r="F277" s="5"/>
      <c r="G277" s="11" t="str">
        <f>IF(ISERROR(AVERAGE(F$13:F277)),"n/a",AVERAGE(F$13:F277))</f>
        <v>n/a</v>
      </c>
      <c r="H277" s="11" t="str">
        <f t="shared" si="47"/>
        <v>n/a</v>
      </c>
      <c r="J277" s="5"/>
      <c r="K277" s="5"/>
      <c r="L277" s="5"/>
      <c r="M277" s="5"/>
      <c r="N277" s="5"/>
      <c r="O277" s="8" t="str">
        <f t="shared" si="45"/>
        <v>n/a</v>
      </c>
      <c r="Q277" s="5"/>
      <c r="R277" s="5"/>
      <c r="S277" s="5"/>
      <c r="U277" s="6"/>
      <c r="V277" s="9" t="str">
        <f t="shared" si="48"/>
        <v/>
      </c>
      <c r="W277" s="9" t="str">
        <f t="shared" si="49"/>
        <v/>
      </c>
      <c r="X277" s="10">
        <f>SUM(V$13:V277)/COUNTA(B$13:B277)</f>
        <v>0</v>
      </c>
      <c r="Z277" s="5"/>
      <c r="AA277" s="5"/>
      <c r="AC277" s="7"/>
      <c r="AE277" s="54" t="e">
        <f t="shared" si="50"/>
        <v>#N/A</v>
      </c>
      <c r="AF277" s="4" t="e">
        <f t="shared" si="46"/>
        <v>#N/A</v>
      </c>
    </row>
    <row r="278" spans="2:32">
      <c r="B278" s="5">
        <f t="shared" si="51"/>
        <v>266</v>
      </c>
      <c r="C278" s="5"/>
      <c r="E278" s="13"/>
      <c r="F278" s="5"/>
      <c r="G278" s="11" t="str">
        <f>IF(ISERROR(AVERAGE(F$13:F278)),"n/a",AVERAGE(F$13:F278))</f>
        <v>n/a</v>
      </c>
      <c r="H278" s="11" t="str">
        <f t="shared" si="47"/>
        <v>n/a</v>
      </c>
      <c r="J278" s="5"/>
      <c r="K278" s="5"/>
      <c r="L278" s="5"/>
      <c r="M278" s="5"/>
      <c r="N278" s="5"/>
      <c r="O278" s="8" t="str">
        <f t="shared" si="45"/>
        <v>n/a</v>
      </c>
      <c r="Q278" s="5"/>
      <c r="R278" s="5"/>
      <c r="S278" s="5"/>
      <c r="U278" s="6"/>
      <c r="V278" s="9" t="str">
        <f t="shared" si="48"/>
        <v/>
      </c>
      <c r="W278" s="9" t="str">
        <f t="shared" si="49"/>
        <v/>
      </c>
      <c r="X278" s="10">
        <f>SUM(V$13:V278)/COUNTA(B$13:B278)</f>
        <v>0</v>
      </c>
      <c r="Z278" s="5"/>
      <c r="AA278" s="5"/>
      <c r="AC278" s="7"/>
      <c r="AE278" s="54" t="e">
        <f t="shared" si="50"/>
        <v>#N/A</v>
      </c>
      <c r="AF278" s="4" t="e">
        <f t="shared" si="46"/>
        <v>#N/A</v>
      </c>
    </row>
    <row r="279" spans="2:32">
      <c r="B279" s="5">
        <f t="shared" si="51"/>
        <v>267</v>
      </c>
      <c r="C279" s="5"/>
      <c r="E279" s="13"/>
      <c r="F279" s="5"/>
      <c r="G279" s="11" t="str">
        <f>IF(ISERROR(AVERAGE(F$13:F279)),"n/a",AVERAGE(F$13:F279))</f>
        <v>n/a</v>
      </c>
      <c r="H279" s="11" t="str">
        <f t="shared" si="47"/>
        <v>n/a</v>
      </c>
      <c r="J279" s="5"/>
      <c r="K279" s="5"/>
      <c r="L279" s="5"/>
      <c r="M279" s="5"/>
      <c r="N279" s="5"/>
      <c r="O279" s="8" t="str">
        <f t="shared" si="45"/>
        <v>n/a</v>
      </c>
      <c r="Q279" s="5"/>
      <c r="R279" s="5"/>
      <c r="S279" s="5"/>
      <c r="U279" s="6"/>
      <c r="V279" s="9" t="str">
        <f t="shared" si="48"/>
        <v/>
      </c>
      <c r="W279" s="9" t="str">
        <f t="shared" si="49"/>
        <v/>
      </c>
      <c r="X279" s="10">
        <f>SUM(V$13:V279)/COUNTA(B$13:B279)</f>
        <v>0</v>
      </c>
      <c r="Z279" s="5"/>
      <c r="AA279" s="5"/>
      <c r="AC279" s="7"/>
      <c r="AE279" s="54" t="e">
        <f t="shared" si="50"/>
        <v>#N/A</v>
      </c>
      <c r="AF279" s="4" t="e">
        <f t="shared" si="46"/>
        <v>#N/A</v>
      </c>
    </row>
    <row r="280" spans="2:32">
      <c r="B280" s="5">
        <f t="shared" si="51"/>
        <v>268</v>
      </c>
      <c r="C280" s="5"/>
      <c r="E280" s="13"/>
      <c r="F280" s="5"/>
      <c r="G280" s="11" t="str">
        <f>IF(ISERROR(AVERAGE(F$13:F280)),"n/a",AVERAGE(F$13:F280))</f>
        <v>n/a</v>
      </c>
      <c r="H280" s="11" t="str">
        <f t="shared" si="47"/>
        <v>n/a</v>
      </c>
      <c r="J280" s="5"/>
      <c r="K280" s="5"/>
      <c r="L280" s="5"/>
      <c r="M280" s="5"/>
      <c r="N280" s="5"/>
      <c r="O280" s="8" t="str">
        <f t="shared" si="45"/>
        <v>n/a</v>
      </c>
      <c r="Q280" s="5"/>
      <c r="R280" s="5"/>
      <c r="S280" s="5"/>
      <c r="U280" s="6"/>
      <c r="V280" s="9" t="str">
        <f t="shared" si="48"/>
        <v/>
      </c>
      <c r="W280" s="9" t="str">
        <f t="shared" si="49"/>
        <v/>
      </c>
      <c r="X280" s="10">
        <f>SUM(V$13:V280)/COUNTA(B$13:B280)</f>
        <v>0</v>
      </c>
      <c r="Z280" s="5"/>
      <c r="AA280" s="5"/>
      <c r="AC280" s="7"/>
      <c r="AE280" s="54" t="e">
        <f t="shared" si="50"/>
        <v>#N/A</v>
      </c>
      <c r="AF280" s="4" t="e">
        <f t="shared" si="46"/>
        <v>#N/A</v>
      </c>
    </row>
    <row r="281" spans="2:32">
      <c r="B281" s="5">
        <f t="shared" si="51"/>
        <v>269</v>
      </c>
      <c r="C281" s="5"/>
      <c r="E281" s="13"/>
      <c r="F281" s="5"/>
      <c r="G281" s="11" t="str">
        <f>IF(ISERROR(AVERAGE(F$13:F281)),"n/a",AVERAGE(F$13:F281))</f>
        <v>n/a</v>
      </c>
      <c r="H281" s="11" t="str">
        <f t="shared" si="47"/>
        <v>n/a</v>
      </c>
      <c r="J281" s="5"/>
      <c r="K281" s="5"/>
      <c r="L281" s="5"/>
      <c r="M281" s="5"/>
      <c r="N281" s="5"/>
      <c r="O281" s="8" t="str">
        <f t="shared" si="45"/>
        <v>n/a</v>
      </c>
      <c r="Q281" s="5"/>
      <c r="R281" s="5"/>
      <c r="S281" s="5"/>
      <c r="U281" s="6"/>
      <c r="V281" s="9" t="str">
        <f t="shared" si="48"/>
        <v/>
      </c>
      <c r="W281" s="9" t="str">
        <f t="shared" si="49"/>
        <v/>
      </c>
      <c r="X281" s="10">
        <f>SUM(V$13:V281)/COUNTA(B$13:B281)</f>
        <v>0</v>
      </c>
      <c r="Z281" s="5"/>
      <c r="AA281" s="5"/>
      <c r="AC281" s="7"/>
      <c r="AE281" s="54" t="e">
        <f t="shared" si="50"/>
        <v>#N/A</v>
      </c>
      <c r="AF281" s="4" t="e">
        <f t="shared" si="46"/>
        <v>#N/A</v>
      </c>
    </row>
    <row r="282" spans="2:32">
      <c r="B282" s="5">
        <f t="shared" si="51"/>
        <v>270</v>
      </c>
      <c r="C282" s="5"/>
      <c r="E282" s="13"/>
      <c r="F282" s="5"/>
      <c r="G282" s="11" t="str">
        <f>IF(ISERROR(AVERAGE(F$13:F282)),"n/a",AVERAGE(F$13:F282))</f>
        <v>n/a</v>
      </c>
      <c r="H282" s="11" t="str">
        <f t="shared" si="47"/>
        <v>n/a</v>
      </c>
      <c r="J282" s="5"/>
      <c r="K282" s="5"/>
      <c r="L282" s="5"/>
      <c r="M282" s="5"/>
      <c r="N282" s="5"/>
      <c r="O282" s="8" t="str">
        <f t="shared" si="45"/>
        <v>n/a</v>
      </c>
      <c r="Q282" s="5"/>
      <c r="R282" s="5"/>
      <c r="S282" s="5"/>
      <c r="U282" s="6"/>
      <c r="V282" s="9" t="str">
        <f t="shared" si="48"/>
        <v/>
      </c>
      <c r="W282" s="9" t="str">
        <f t="shared" si="49"/>
        <v/>
      </c>
      <c r="X282" s="10">
        <f>SUM(V$13:V282)/COUNTA(B$13:B282)</f>
        <v>0</v>
      </c>
      <c r="Z282" s="5"/>
      <c r="AA282" s="5"/>
      <c r="AC282" s="7"/>
      <c r="AE282" s="54" t="e">
        <f t="shared" si="50"/>
        <v>#N/A</v>
      </c>
      <c r="AF282" s="4" t="e">
        <f t="shared" si="46"/>
        <v>#N/A</v>
      </c>
    </row>
    <row r="283" spans="2:32">
      <c r="B283" s="5">
        <f t="shared" si="51"/>
        <v>271</v>
      </c>
      <c r="C283" s="5"/>
      <c r="E283" s="13"/>
      <c r="F283" s="5"/>
      <c r="G283" s="11" t="str">
        <f>IF(ISERROR(AVERAGE(F$13:F283)),"n/a",AVERAGE(F$13:F283))</f>
        <v>n/a</v>
      </c>
      <c r="H283" s="11" t="str">
        <f t="shared" si="47"/>
        <v>n/a</v>
      </c>
      <c r="J283" s="5"/>
      <c r="K283" s="5"/>
      <c r="L283" s="5"/>
      <c r="M283" s="5"/>
      <c r="N283" s="5"/>
      <c r="O283" s="8" t="str">
        <f t="shared" si="45"/>
        <v>n/a</v>
      </c>
      <c r="Q283" s="5"/>
      <c r="R283" s="5"/>
      <c r="S283" s="5"/>
      <c r="U283" s="6"/>
      <c r="V283" s="9" t="str">
        <f t="shared" si="48"/>
        <v/>
      </c>
      <c r="W283" s="9" t="str">
        <f t="shared" si="49"/>
        <v/>
      </c>
      <c r="X283" s="10">
        <f>SUM(V$13:V283)/COUNTA(B$13:B283)</f>
        <v>0</v>
      </c>
      <c r="Z283" s="5"/>
      <c r="AA283" s="5"/>
      <c r="AC283" s="7"/>
      <c r="AE283" s="54" t="e">
        <f t="shared" si="50"/>
        <v>#N/A</v>
      </c>
      <c r="AF283" s="4" t="e">
        <f t="shared" si="46"/>
        <v>#N/A</v>
      </c>
    </row>
    <row r="284" spans="2:32">
      <c r="B284" s="5">
        <f t="shared" si="51"/>
        <v>272</v>
      </c>
      <c r="C284" s="5"/>
      <c r="E284" s="13"/>
      <c r="F284" s="5"/>
      <c r="G284" s="11" t="str">
        <f>IF(ISERROR(AVERAGE(F$13:F284)),"n/a",AVERAGE(F$13:F284))</f>
        <v>n/a</v>
      </c>
      <c r="H284" s="11" t="str">
        <f t="shared" si="47"/>
        <v>n/a</v>
      </c>
      <c r="J284" s="5"/>
      <c r="K284" s="5"/>
      <c r="L284" s="5"/>
      <c r="M284" s="5"/>
      <c r="N284" s="5"/>
      <c r="O284" s="8" t="str">
        <f t="shared" si="45"/>
        <v>n/a</v>
      </c>
      <c r="Q284" s="5"/>
      <c r="R284" s="5"/>
      <c r="S284" s="5"/>
      <c r="U284" s="6"/>
      <c r="V284" s="9" t="str">
        <f t="shared" si="48"/>
        <v/>
      </c>
      <c r="W284" s="9" t="str">
        <f t="shared" si="49"/>
        <v/>
      </c>
      <c r="X284" s="10">
        <f>SUM(V$13:V284)/COUNTA(B$13:B284)</f>
        <v>0</v>
      </c>
      <c r="Z284" s="5"/>
      <c r="AA284" s="5"/>
      <c r="AC284" s="7"/>
      <c r="AE284" s="54" t="e">
        <f t="shared" si="50"/>
        <v>#N/A</v>
      </c>
      <c r="AF284" s="4" t="e">
        <f t="shared" si="46"/>
        <v>#N/A</v>
      </c>
    </row>
    <row r="285" spans="2:32">
      <c r="B285" s="5">
        <f t="shared" si="51"/>
        <v>273</v>
      </c>
      <c r="C285" s="5"/>
      <c r="E285" s="13"/>
      <c r="F285" s="5"/>
      <c r="G285" s="11" t="str">
        <f>IF(ISERROR(AVERAGE(F$13:F285)),"n/a",AVERAGE(F$13:F285))</f>
        <v>n/a</v>
      </c>
      <c r="H285" s="11" t="str">
        <f t="shared" si="47"/>
        <v>n/a</v>
      </c>
      <c r="J285" s="5"/>
      <c r="K285" s="5"/>
      <c r="L285" s="5"/>
      <c r="M285" s="5"/>
      <c r="N285" s="5"/>
      <c r="O285" s="8" t="str">
        <f t="shared" si="45"/>
        <v>n/a</v>
      </c>
      <c r="Q285" s="5"/>
      <c r="R285" s="5"/>
      <c r="S285" s="5"/>
      <c r="U285" s="6"/>
      <c r="V285" s="9" t="str">
        <f t="shared" si="48"/>
        <v/>
      </c>
      <c r="W285" s="9" t="str">
        <f t="shared" si="49"/>
        <v/>
      </c>
      <c r="X285" s="10">
        <f>SUM(V$13:V285)/COUNTA(B$13:B285)</f>
        <v>0</v>
      </c>
      <c r="Z285" s="5"/>
      <c r="AA285" s="5"/>
      <c r="AC285" s="7"/>
      <c r="AE285" s="54" t="e">
        <f t="shared" si="50"/>
        <v>#N/A</v>
      </c>
      <c r="AF285" s="4" t="e">
        <f t="shared" si="46"/>
        <v>#N/A</v>
      </c>
    </row>
    <row r="286" spans="2:32">
      <c r="B286" s="5">
        <f t="shared" si="51"/>
        <v>274</v>
      </c>
      <c r="C286" s="5"/>
      <c r="E286" s="13"/>
      <c r="F286" s="5"/>
      <c r="G286" s="11" t="str">
        <f>IF(ISERROR(AVERAGE(F$13:F286)),"n/a",AVERAGE(F$13:F286))</f>
        <v>n/a</v>
      </c>
      <c r="H286" s="11" t="str">
        <f t="shared" si="47"/>
        <v>n/a</v>
      </c>
      <c r="J286" s="5"/>
      <c r="K286" s="5"/>
      <c r="L286" s="5"/>
      <c r="M286" s="5"/>
      <c r="N286" s="5"/>
      <c r="O286" s="8" t="str">
        <f t="shared" si="45"/>
        <v>n/a</v>
      </c>
      <c r="Q286" s="5"/>
      <c r="R286" s="5"/>
      <c r="S286" s="5"/>
      <c r="U286" s="6"/>
      <c r="V286" s="9" t="str">
        <f t="shared" si="48"/>
        <v/>
      </c>
      <c r="W286" s="9" t="str">
        <f t="shared" si="49"/>
        <v/>
      </c>
      <c r="X286" s="10">
        <f>SUM(V$13:V286)/COUNTA(B$13:B286)</f>
        <v>0</v>
      </c>
      <c r="Z286" s="5"/>
      <c r="AA286" s="5"/>
      <c r="AC286" s="7"/>
      <c r="AE286" s="54" t="e">
        <f t="shared" si="50"/>
        <v>#N/A</v>
      </c>
      <c r="AF286" s="4" t="e">
        <f t="shared" si="46"/>
        <v>#N/A</v>
      </c>
    </row>
    <row r="287" spans="2:32">
      <c r="B287" s="5">
        <f t="shared" si="51"/>
        <v>275</v>
      </c>
      <c r="C287" s="5"/>
      <c r="E287" s="13"/>
      <c r="F287" s="5"/>
      <c r="G287" s="11" t="str">
        <f>IF(ISERROR(AVERAGE(F$13:F287)),"n/a",AVERAGE(F$13:F287))</f>
        <v>n/a</v>
      </c>
      <c r="H287" s="11" t="str">
        <f t="shared" si="47"/>
        <v>n/a</v>
      </c>
      <c r="J287" s="5"/>
      <c r="K287" s="5"/>
      <c r="L287" s="5"/>
      <c r="M287" s="5"/>
      <c r="N287" s="5"/>
      <c r="O287" s="8" t="str">
        <f t="shared" si="45"/>
        <v>n/a</v>
      </c>
      <c r="Q287" s="5"/>
      <c r="R287" s="5"/>
      <c r="S287" s="5"/>
      <c r="U287" s="6"/>
      <c r="V287" s="9" t="str">
        <f t="shared" si="48"/>
        <v/>
      </c>
      <c r="W287" s="9" t="str">
        <f t="shared" si="49"/>
        <v/>
      </c>
      <c r="X287" s="10">
        <f>SUM(V$13:V287)/COUNTA(B$13:B287)</f>
        <v>0</v>
      </c>
      <c r="Z287" s="5"/>
      <c r="AA287" s="5"/>
      <c r="AC287" s="7"/>
      <c r="AE287" s="54" t="e">
        <f t="shared" si="50"/>
        <v>#N/A</v>
      </c>
      <c r="AF287" s="4" t="e">
        <f t="shared" si="46"/>
        <v>#N/A</v>
      </c>
    </row>
    <row r="288" spans="2:32">
      <c r="B288" s="5">
        <f t="shared" si="51"/>
        <v>276</v>
      </c>
      <c r="C288" s="5"/>
      <c r="E288" s="13"/>
      <c r="F288" s="5"/>
      <c r="G288" s="11" t="str">
        <f>IF(ISERROR(AVERAGE(F$13:F288)),"n/a",AVERAGE(F$13:F288))</f>
        <v>n/a</v>
      </c>
      <c r="H288" s="11" t="str">
        <f t="shared" si="47"/>
        <v>n/a</v>
      </c>
      <c r="J288" s="5"/>
      <c r="K288" s="5"/>
      <c r="L288" s="5"/>
      <c r="M288" s="5"/>
      <c r="N288" s="5"/>
      <c r="O288" s="8" t="str">
        <f t="shared" si="45"/>
        <v>n/a</v>
      </c>
      <c r="Q288" s="5"/>
      <c r="R288" s="5"/>
      <c r="S288" s="5"/>
      <c r="U288" s="6"/>
      <c r="V288" s="9" t="str">
        <f t="shared" si="48"/>
        <v/>
      </c>
      <c r="W288" s="9" t="str">
        <f t="shared" si="49"/>
        <v/>
      </c>
      <c r="X288" s="10">
        <f>SUM(V$13:V288)/COUNTA(B$13:B288)</f>
        <v>0</v>
      </c>
      <c r="Z288" s="5"/>
      <c r="AA288" s="5"/>
      <c r="AC288" s="7"/>
      <c r="AE288" s="54" t="e">
        <f t="shared" si="50"/>
        <v>#N/A</v>
      </c>
      <c r="AF288" s="4" t="e">
        <f t="shared" si="46"/>
        <v>#N/A</v>
      </c>
    </row>
    <row r="289" spans="2:32">
      <c r="B289" s="5">
        <f t="shared" si="51"/>
        <v>277</v>
      </c>
      <c r="C289" s="5"/>
      <c r="E289" s="13"/>
      <c r="F289" s="5"/>
      <c r="G289" s="11" t="str">
        <f>IF(ISERROR(AVERAGE(F$13:F289)),"n/a",AVERAGE(F$13:F289))</f>
        <v>n/a</v>
      </c>
      <c r="H289" s="11" t="str">
        <f t="shared" si="47"/>
        <v>n/a</v>
      </c>
      <c r="J289" s="5"/>
      <c r="K289" s="5"/>
      <c r="L289" s="5"/>
      <c r="M289" s="5"/>
      <c r="N289" s="5"/>
      <c r="O289" s="8" t="str">
        <f t="shared" si="45"/>
        <v>n/a</v>
      </c>
      <c r="Q289" s="5"/>
      <c r="R289" s="5"/>
      <c r="S289" s="5"/>
      <c r="U289" s="6"/>
      <c r="V289" s="9" t="str">
        <f t="shared" si="48"/>
        <v/>
      </c>
      <c r="W289" s="9" t="str">
        <f t="shared" si="49"/>
        <v/>
      </c>
      <c r="X289" s="10">
        <f>SUM(V$13:V289)/COUNTA(B$13:B289)</f>
        <v>0</v>
      </c>
      <c r="Z289" s="5"/>
      <c r="AA289" s="5"/>
      <c r="AC289" s="7"/>
      <c r="AE289" s="54" t="e">
        <f t="shared" si="50"/>
        <v>#N/A</v>
      </c>
      <c r="AF289" s="4" t="e">
        <f t="shared" si="46"/>
        <v>#N/A</v>
      </c>
    </row>
    <row r="290" spans="2:32">
      <c r="B290" s="5">
        <f t="shared" si="51"/>
        <v>278</v>
      </c>
      <c r="C290" s="5"/>
      <c r="E290" s="13"/>
      <c r="F290" s="5"/>
      <c r="G290" s="11" t="str">
        <f>IF(ISERROR(AVERAGE(F$13:F290)),"n/a",AVERAGE(F$13:F290))</f>
        <v>n/a</v>
      </c>
      <c r="H290" s="11" t="str">
        <f t="shared" si="47"/>
        <v>n/a</v>
      </c>
      <c r="J290" s="5"/>
      <c r="K290" s="5"/>
      <c r="L290" s="5"/>
      <c r="M290" s="5"/>
      <c r="N290" s="5"/>
      <c r="O290" s="8" t="str">
        <f t="shared" si="45"/>
        <v>n/a</v>
      </c>
      <c r="Q290" s="5"/>
      <c r="R290" s="5"/>
      <c r="S290" s="5"/>
      <c r="U290" s="6"/>
      <c r="V290" s="9" t="str">
        <f t="shared" si="48"/>
        <v/>
      </c>
      <c r="W290" s="9" t="str">
        <f t="shared" si="49"/>
        <v/>
      </c>
      <c r="X290" s="10">
        <f>SUM(V$13:V290)/COUNTA(B$13:B290)</f>
        <v>0</v>
      </c>
      <c r="Z290" s="5"/>
      <c r="AA290" s="5"/>
      <c r="AC290" s="7"/>
      <c r="AE290" s="54" t="e">
        <f t="shared" si="50"/>
        <v>#N/A</v>
      </c>
      <c r="AF290" s="4" t="e">
        <f t="shared" si="46"/>
        <v>#N/A</v>
      </c>
    </row>
    <row r="291" spans="2:32">
      <c r="B291" s="5">
        <f t="shared" si="51"/>
        <v>279</v>
      </c>
      <c r="C291" s="5"/>
      <c r="E291" s="13"/>
      <c r="F291" s="5"/>
      <c r="G291" s="11" t="str">
        <f>IF(ISERROR(AVERAGE(F$13:F291)),"n/a",AVERAGE(F$13:F291))</f>
        <v>n/a</v>
      </c>
      <c r="H291" s="11" t="str">
        <f t="shared" si="47"/>
        <v>n/a</v>
      </c>
      <c r="J291" s="5"/>
      <c r="K291" s="5"/>
      <c r="L291" s="5"/>
      <c r="M291" s="5"/>
      <c r="N291" s="5"/>
      <c r="O291" s="8" t="str">
        <f t="shared" si="45"/>
        <v>n/a</v>
      </c>
      <c r="Q291" s="5"/>
      <c r="R291" s="5"/>
      <c r="S291" s="5"/>
      <c r="U291" s="6"/>
      <c r="V291" s="9" t="str">
        <f t="shared" si="48"/>
        <v/>
      </c>
      <c r="W291" s="9" t="str">
        <f t="shared" si="49"/>
        <v/>
      </c>
      <c r="X291" s="10">
        <f>SUM(V$13:V291)/COUNTA(B$13:B291)</f>
        <v>0</v>
      </c>
      <c r="Z291" s="5"/>
      <c r="AA291" s="5"/>
      <c r="AC291" s="7"/>
      <c r="AE291" s="54" t="e">
        <f t="shared" si="50"/>
        <v>#N/A</v>
      </c>
      <c r="AF291" s="4" t="e">
        <f t="shared" si="46"/>
        <v>#N/A</v>
      </c>
    </row>
    <row r="292" spans="2:32">
      <c r="B292" s="5">
        <f t="shared" si="51"/>
        <v>280</v>
      </c>
      <c r="C292" s="5"/>
      <c r="E292" s="13"/>
      <c r="F292" s="5"/>
      <c r="G292" s="11" t="str">
        <f>IF(ISERROR(AVERAGE(F$13:F292)),"n/a",AVERAGE(F$13:F292))</f>
        <v>n/a</v>
      </c>
      <c r="H292" s="11" t="str">
        <f t="shared" si="47"/>
        <v>n/a</v>
      </c>
      <c r="J292" s="5"/>
      <c r="K292" s="5"/>
      <c r="L292" s="5"/>
      <c r="M292" s="5"/>
      <c r="N292" s="5"/>
      <c r="O292" s="8" t="str">
        <f t="shared" si="45"/>
        <v>n/a</v>
      </c>
      <c r="Q292" s="5"/>
      <c r="R292" s="5"/>
      <c r="S292" s="5"/>
      <c r="U292" s="6"/>
      <c r="V292" s="9" t="str">
        <f t="shared" si="48"/>
        <v/>
      </c>
      <c r="W292" s="9" t="str">
        <f t="shared" si="49"/>
        <v/>
      </c>
      <c r="X292" s="10">
        <f>SUM(V$13:V292)/COUNTA(B$13:B292)</f>
        <v>0</v>
      </c>
      <c r="Z292" s="5"/>
      <c r="AA292" s="5"/>
      <c r="AC292" s="7"/>
      <c r="AE292" s="54" t="e">
        <f t="shared" si="50"/>
        <v>#N/A</v>
      </c>
      <c r="AF292" s="4" t="e">
        <f t="shared" si="46"/>
        <v>#N/A</v>
      </c>
    </row>
    <row r="293" spans="2:32">
      <c r="B293" s="5">
        <f t="shared" si="51"/>
        <v>281</v>
      </c>
      <c r="C293" s="5"/>
      <c r="E293" s="13"/>
      <c r="F293" s="5"/>
      <c r="G293" s="11" t="str">
        <f>IF(ISERROR(AVERAGE(F$13:F293)),"n/a",AVERAGE(F$13:F293))</f>
        <v>n/a</v>
      </c>
      <c r="H293" s="11" t="str">
        <f t="shared" si="47"/>
        <v>n/a</v>
      </c>
      <c r="J293" s="5"/>
      <c r="K293" s="5"/>
      <c r="L293" s="5"/>
      <c r="M293" s="5"/>
      <c r="N293" s="5"/>
      <c r="O293" s="8" t="str">
        <f t="shared" si="45"/>
        <v>n/a</v>
      </c>
      <c r="Q293" s="5"/>
      <c r="R293" s="5"/>
      <c r="S293" s="5"/>
      <c r="U293" s="6"/>
      <c r="V293" s="9" t="str">
        <f t="shared" si="48"/>
        <v/>
      </c>
      <c r="W293" s="9" t="str">
        <f t="shared" si="49"/>
        <v/>
      </c>
      <c r="X293" s="10">
        <f>SUM(V$13:V293)/COUNTA(B$13:B293)</f>
        <v>0</v>
      </c>
      <c r="Z293" s="5"/>
      <c r="AA293" s="5"/>
      <c r="AC293" s="7"/>
      <c r="AE293" s="54" t="e">
        <f t="shared" si="50"/>
        <v>#N/A</v>
      </c>
      <c r="AF293" s="4" t="e">
        <f t="shared" si="46"/>
        <v>#N/A</v>
      </c>
    </row>
    <row r="294" spans="2:32">
      <c r="B294" s="5">
        <f t="shared" si="51"/>
        <v>282</v>
      </c>
      <c r="C294" s="5"/>
      <c r="E294" s="13"/>
      <c r="F294" s="5"/>
      <c r="G294" s="11" t="str">
        <f>IF(ISERROR(AVERAGE(F$13:F294)),"n/a",AVERAGE(F$13:F294))</f>
        <v>n/a</v>
      </c>
      <c r="H294" s="11" t="str">
        <f t="shared" si="47"/>
        <v>n/a</v>
      </c>
      <c r="J294" s="5"/>
      <c r="K294" s="5"/>
      <c r="L294" s="5"/>
      <c r="M294" s="5"/>
      <c r="N294" s="5"/>
      <c r="O294" s="8" t="str">
        <f t="shared" si="45"/>
        <v>n/a</v>
      </c>
      <c r="Q294" s="5"/>
      <c r="R294" s="5"/>
      <c r="S294" s="5"/>
      <c r="U294" s="6"/>
      <c r="V294" s="9" t="str">
        <f t="shared" si="48"/>
        <v/>
      </c>
      <c r="W294" s="9" t="str">
        <f t="shared" si="49"/>
        <v/>
      </c>
      <c r="X294" s="10">
        <f>SUM(V$13:V294)/COUNTA(B$13:B294)</f>
        <v>0</v>
      </c>
      <c r="Z294" s="5"/>
      <c r="AA294" s="5"/>
      <c r="AC294" s="7"/>
      <c r="AE294" s="54" t="e">
        <f t="shared" si="50"/>
        <v>#N/A</v>
      </c>
      <c r="AF294" s="4" t="e">
        <f t="shared" si="46"/>
        <v>#N/A</v>
      </c>
    </row>
    <row r="295" spans="2:32">
      <c r="B295" s="5">
        <f t="shared" si="51"/>
        <v>283</v>
      </c>
      <c r="C295" s="5"/>
      <c r="E295" s="13"/>
      <c r="F295" s="5"/>
      <c r="G295" s="11" t="str">
        <f>IF(ISERROR(AVERAGE(F$13:F295)),"n/a",AVERAGE(F$13:F295))</f>
        <v>n/a</v>
      </c>
      <c r="H295" s="11" t="str">
        <f t="shared" si="47"/>
        <v>n/a</v>
      </c>
      <c r="J295" s="5"/>
      <c r="K295" s="5"/>
      <c r="L295" s="5"/>
      <c r="M295" s="5"/>
      <c r="N295" s="5"/>
      <c r="O295" s="8" t="str">
        <f t="shared" si="45"/>
        <v>n/a</v>
      </c>
      <c r="Q295" s="5"/>
      <c r="R295" s="5"/>
      <c r="S295" s="5"/>
      <c r="U295" s="6"/>
      <c r="V295" s="9" t="str">
        <f t="shared" si="48"/>
        <v/>
      </c>
      <c r="W295" s="9" t="str">
        <f t="shared" si="49"/>
        <v/>
      </c>
      <c r="X295" s="10">
        <f>SUM(V$13:V295)/COUNTA(B$13:B295)</f>
        <v>0</v>
      </c>
      <c r="Z295" s="5"/>
      <c r="AA295" s="5"/>
      <c r="AC295" s="7"/>
      <c r="AE295" s="54" t="e">
        <f t="shared" si="50"/>
        <v>#N/A</v>
      </c>
      <c r="AF295" s="4" t="e">
        <f t="shared" si="46"/>
        <v>#N/A</v>
      </c>
    </row>
    <row r="296" spans="2:32">
      <c r="B296" s="5">
        <f t="shared" si="51"/>
        <v>284</v>
      </c>
      <c r="C296" s="5"/>
      <c r="E296" s="13"/>
      <c r="F296" s="5"/>
      <c r="G296" s="11" t="str">
        <f>IF(ISERROR(AVERAGE(F$13:F296)),"n/a",AVERAGE(F$13:F296))</f>
        <v>n/a</v>
      </c>
      <c r="H296" s="11" t="str">
        <f t="shared" si="47"/>
        <v>n/a</v>
      </c>
      <c r="J296" s="5"/>
      <c r="K296" s="5"/>
      <c r="L296" s="5"/>
      <c r="M296" s="5"/>
      <c r="N296" s="5"/>
      <c r="O296" s="8" t="str">
        <f t="shared" si="45"/>
        <v>n/a</v>
      </c>
      <c r="Q296" s="5"/>
      <c r="R296" s="5"/>
      <c r="S296" s="5"/>
      <c r="U296" s="6"/>
      <c r="V296" s="9" t="str">
        <f t="shared" si="48"/>
        <v/>
      </c>
      <c r="W296" s="9" t="str">
        <f t="shared" si="49"/>
        <v/>
      </c>
      <c r="X296" s="10">
        <f>SUM(V$13:V296)/COUNTA(B$13:B296)</f>
        <v>0</v>
      </c>
      <c r="Z296" s="5"/>
      <c r="AA296" s="5"/>
      <c r="AC296" s="7"/>
      <c r="AE296" s="54" t="e">
        <f t="shared" si="50"/>
        <v>#N/A</v>
      </c>
      <c r="AF296" s="4" t="e">
        <f t="shared" si="46"/>
        <v>#N/A</v>
      </c>
    </row>
    <row r="297" spans="2:32">
      <c r="B297" s="5">
        <f t="shared" si="51"/>
        <v>285</v>
      </c>
      <c r="C297" s="5"/>
      <c r="E297" s="13"/>
      <c r="F297" s="5"/>
      <c r="G297" s="11" t="str">
        <f>IF(ISERROR(AVERAGE(F$13:F297)),"n/a",AVERAGE(F$13:F297))</f>
        <v>n/a</v>
      </c>
      <c r="H297" s="11" t="str">
        <f t="shared" si="47"/>
        <v>n/a</v>
      </c>
      <c r="J297" s="5"/>
      <c r="K297" s="5"/>
      <c r="L297" s="5"/>
      <c r="M297" s="5"/>
      <c r="N297" s="5"/>
      <c r="O297" s="8" t="str">
        <f t="shared" si="45"/>
        <v>n/a</v>
      </c>
      <c r="Q297" s="5"/>
      <c r="R297" s="5"/>
      <c r="S297" s="5"/>
      <c r="U297" s="6"/>
      <c r="V297" s="9" t="str">
        <f t="shared" si="48"/>
        <v/>
      </c>
      <c r="W297" s="9" t="str">
        <f t="shared" si="49"/>
        <v/>
      </c>
      <c r="X297" s="10">
        <f>SUM(V$13:V297)/COUNTA(B$13:B297)</f>
        <v>0</v>
      </c>
      <c r="Z297" s="5"/>
      <c r="AA297" s="5"/>
      <c r="AC297" s="7"/>
      <c r="AE297" s="54" t="e">
        <f t="shared" si="50"/>
        <v>#N/A</v>
      </c>
      <c r="AF297" s="4" t="e">
        <f t="shared" si="46"/>
        <v>#N/A</v>
      </c>
    </row>
    <row r="298" spans="2:32">
      <c r="B298" s="5">
        <f t="shared" si="51"/>
        <v>286</v>
      </c>
      <c r="C298" s="5"/>
      <c r="E298" s="13"/>
      <c r="F298" s="5"/>
      <c r="G298" s="11" t="str">
        <f>IF(ISERROR(AVERAGE(F$13:F298)),"n/a",AVERAGE(F$13:F298))</f>
        <v>n/a</v>
      </c>
      <c r="H298" s="11" t="str">
        <f t="shared" si="47"/>
        <v>n/a</v>
      </c>
      <c r="J298" s="5"/>
      <c r="K298" s="5"/>
      <c r="L298" s="5"/>
      <c r="M298" s="5"/>
      <c r="N298" s="5"/>
      <c r="O298" s="8" t="str">
        <f t="shared" si="45"/>
        <v>n/a</v>
      </c>
      <c r="Q298" s="5"/>
      <c r="R298" s="5"/>
      <c r="S298" s="5"/>
      <c r="U298" s="6"/>
      <c r="V298" s="9" t="str">
        <f t="shared" si="48"/>
        <v/>
      </c>
      <c r="W298" s="9" t="str">
        <f t="shared" si="49"/>
        <v/>
      </c>
      <c r="X298" s="10">
        <f>SUM(V$13:V298)/COUNTA(B$13:B298)</f>
        <v>0</v>
      </c>
      <c r="Z298" s="5"/>
      <c r="AA298" s="5"/>
      <c r="AC298" s="7"/>
      <c r="AE298" s="54" t="e">
        <f t="shared" si="50"/>
        <v>#N/A</v>
      </c>
      <c r="AF298" s="4" t="e">
        <f t="shared" si="46"/>
        <v>#N/A</v>
      </c>
    </row>
    <row r="299" spans="2:32">
      <c r="B299" s="5">
        <f t="shared" si="51"/>
        <v>287</v>
      </c>
      <c r="C299" s="5"/>
      <c r="E299" s="13"/>
      <c r="F299" s="5"/>
      <c r="G299" s="11" t="str">
        <f>IF(ISERROR(AVERAGE(F$13:F299)),"n/a",AVERAGE(F$13:F299))</f>
        <v>n/a</v>
      </c>
      <c r="H299" s="11" t="str">
        <f t="shared" si="47"/>
        <v>n/a</v>
      </c>
      <c r="J299" s="5"/>
      <c r="K299" s="5"/>
      <c r="L299" s="5"/>
      <c r="M299" s="5"/>
      <c r="N299" s="5"/>
      <c r="O299" s="8" t="str">
        <f t="shared" si="45"/>
        <v>n/a</v>
      </c>
      <c r="Q299" s="5"/>
      <c r="R299" s="5"/>
      <c r="S299" s="5"/>
      <c r="U299" s="6"/>
      <c r="V299" s="9" t="str">
        <f t="shared" si="48"/>
        <v/>
      </c>
      <c r="W299" s="9" t="str">
        <f t="shared" si="49"/>
        <v/>
      </c>
      <c r="X299" s="10">
        <f>SUM(V$13:V299)/COUNTA(B$13:B299)</f>
        <v>0</v>
      </c>
      <c r="Z299" s="5"/>
      <c r="AA299" s="5"/>
      <c r="AC299" s="7"/>
      <c r="AE299" s="54" t="e">
        <f t="shared" si="50"/>
        <v>#N/A</v>
      </c>
      <c r="AF299" s="4" t="e">
        <f t="shared" si="46"/>
        <v>#N/A</v>
      </c>
    </row>
    <row r="300" spans="2:32">
      <c r="B300" s="5">
        <f t="shared" si="51"/>
        <v>288</v>
      </c>
      <c r="C300" s="5"/>
      <c r="E300" s="13"/>
      <c r="F300" s="5"/>
      <c r="G300" s="11" t="str">
        <f>IF(ISERROR(AVERAGE(F$13:F300)),"n/a",AVERAGE(F$13:F300))</f>
        <v>n/a</v>
      </c>
      <c r="H300" s="11" t="str">
        <f t="shared" si="47"/>
        <v>n/a</v>
      </c>
      <c r="J300" s="5"/>
      <c r="K300" s="5"/>
      <c r="L300" s="5"/>
      <c r="M300" s="5"/>
      <c r="N300" s="5"/>
      <c r="O300" s="8" t="str">
        <f t="shared" si="45"/>
        <v>n/a</v>
      </c>
      <c r="Q300" s="5"/>
      <c r="R300" s="5"/>
      <c r="S300" s="5"/>
      <c r="U300" s="6"/>
      <c r="V300" s="9" t="str">
        <f t="shared" si="48"/>
        <v/>
      </c>
      <c r="W300" s="9" t="str">
        <f t="shared" si="49"/>
        <v/>
      </c>
      <c r="X300" s="10">
        <f>SUM(V$13:V300)/COUNTA(B$13:B300)</f>
        <v>0</v>
      </c>
      <c r="Z300" s="5"/>
      <c r="AA300" s="5"/>
      <c r="AC300" s="7"/>
      <c r="AE300" s="54" t="e">
        <f t="shared" si="50"/>
        <v>#N/A</v>
      </c>
      <c r="AF300" s="4" t="e">
        <f t="shared" si="46"/>
        <v>#N/A</v>
      </c>
    </row>
    <row r="301" spans="2:32">
      <c r="B301" s="5">
        <f t="shared" si="51"/>
        <v>289</v>
      </c>
      <c r="C301" s="5"/>
      <c r="E301" s="13"/>
      <c r="F301" s="5"/>
      <c r="G301" s="11" t="str">
        <f>IF(ISERROR(AVERAGE(F$13:F301)),"n/a",AVERAGE(F$13:F301))</f>
        <v>n/a</v>
      </c>
      <c r="H301" s="11" t="str">
        <f t="shared" si="47"/>
        <v>n/a</v>
      </c>
      <c r="J301" s="5"/>
      <c r="K301" s="5"/>
      <c r="L301" s="5"/>
      <c r="M301" s="5"/>
      <c r="N301" s="5"/>
      <c r="O301" s="8" t="str">
        <f t="shared" si="45"/>
        <v>n/a</v>
      </c>
      <c r="Q301" s="5"/>
      <c r="R301" s="5"/>
      <c r="S301" s="5"/>
      <c r="U301" s="6"/>
      <c r="V301" s="9" t="str">
        <f t="shared" si="48"/>
        <v/>
      </c>
      <c r="W301" s="9" t="str">
        <f t="shared" si="49"/>
        <v/>
      </c>
      <c r="X301" s="10">
        <f>SUM(V$13:V301)/COUNTA(B$13:B301)</f>
        <v>0</v>
      </c>
      <c r="Z301" s="5"/>
      <c r="AA301" s="5"/>
      <c r="AC301" s="7"/>
      <c r="AE301" s="54" t="e">
        <f t="shared" si="50"/>
        <v>#N/A</v>
      </c>
      <c r="AF301" s="4" t="e">
        <f t="shared" si="46"/>
        <v>#N/A</v>
      </c>
    </row>
    <row r="302" spans="2:32">
      <c r="B302" s="5">
        <f t="shared" si="51"/>
        <v>290</v>
      </c>
      <c r="C302" s="5"/>
      <c r="E302" s="13"/>
      <c r="F302" s="5"/>
      <c r="G302" s="11" t="str">
        <f>IF(ISERROR(AVERAGE(F$13:F302)),"n/a",AVERAGE(F$13:F302))</f>
        <v>n/a</v>
      </c>
      <c r="H302" s="11" t="str">
        <f t="shared" si="47"/>
        <v>n/a</v>
      </c>
      <c r="J302" s="5"/>
      <c r="K302" s="5"/>
      <c r="L302" s="5"/>
      <c r="M302" s="5"/>
      <c r="N302" s="5"/>
      <c r="O302" s="8" t="str">
        <f t="shared" si="45"/>
        <v>n/a</v>
      </c>
      <c r="Q302" s="5"/>
      <c r="R302" s="5"/>
      <c r="S302" s="5"/>
      <c r="U302" s="6"/>
      <c r="V302" s="9" t="str">
        <f t="shared" si="48"/>
        <v/>
      </c>
      <c r="W302" s="9" t="str">
        <f t="shared" si="49"/>
        <v/>
      </c>
      <c r="X302" s="10">
        <f>SUM(V$13:V302)/COUNTA(B$13:B302)</f>
        <v>0</v>
      </c>
      <c r="Z302" s="5"/>
      <c r="AA302" s="5"/>
      <c r="AC302" s="7"/>
      <c r="AE302" s="54" t="e">
        <f t="shared" si="50"/>
        <v>#N/A</v>
      </c>
      <c r="AF302" s="4" t="e">
        <f t="shared" si="46"/>
        <v>#N/A</v>
      </c>
    </row>
    <row r="303" spans="2:32">
      <c r="B303" s="5">
        <f t="shared" si="51"/>
        <v>291</v>
      </c>
      <c r="C303" s="5"/>
      <c r="E303" s="13"/>
      <c r="F303" s="5"/>
      <c r="G303" s="11" t="str">
        <f>IF(ISERROR(AVERAGE(F$13:F303)),"n/a",AVERAGE(F$13:F303))</f>
        <v>n/a</v>
      </c>
      <c r="H303" s="11" t="str">
        <f t="shared" si="47"/>
        <v>n/a</v>
      </c>
      <c r="J303" s="5"/>
      <c r="K303" s="5"/>
      <c r="L303" s="5"/>
      <c r="M303" s="5"/>
      <c r="N303" s="5"/>
      <c r="O303" s="8" t="str">
        <f t="shared" si="45"/>
        <v>n/a</v>
      </c>
      <c r="Q303" s="5"/>
      <c r="R303" s="5"/>
      <c r="S303" s="5"/>
      <c r="U303" s="6"/>
      <c r="V303" s="9" t="str">
        <f t="shared" si="48"/>
        <v/>
      </c>
      <c r="W303" s="9" t="str">
        <f t="shared" si="49"/>
        <v/>
      </c>
      <c r="X303" s="10">
        <f>SUM(V$13:V303)/COUNTA(B$13:B303)</f>
        <v>0</v>
      </c>
      <c r="Z303" s="5"/>
      <c r="AA303" s="5"/>
      <c r="AC303" s="7"/>
      <c r="AE303" s="54" t="e">
        <f t="shared" si="50"/>
        <v>#N/A</v>
      </c>
      <c r="AF303" s="4" t="e">
        <f t="shared" si="46"/>
        <v>#N/A</v>
      </c>
    </row>
    <row r="304" spans="2:32">
      <c r="B304" s="5">
        <f t="shared" si="51"/>
        <v>292</v>
      </c>
      <c r="C304" s="5"/>
      <c r="E304" s="13"/>
      <c r="F304" s="5"/>
      <c r="G304" s="11" t="str">
        <f>IF(ISERROR(AVERAGE(F$13:F304)),"n/a",AVERAGE(F$13:F304))</f>
        <v>n/a</v>
      </c>
      <c r="H304" s="11" t="str">
        <f t="shared" si="47"/>
        <v>n/a</v>
      </c>
      <c r="J304" s="5"/>
      <c r="K304" s="5"/>
      <c r="L304" s="5"/>
      <c r="M304" s="5"/>
      <c r="N304" s="5"/>
      <c r="O304" s="8" t="str">
        <f t="shared" si="45"/>
        <v>n/a</v>
      </c>
      <c r="Q304" s="5"/>
      <c r="R304" s="5"/>
      <c r="S304" s="5"/>
      <c r="U304" s="6"/>
      <c r="V304" s="9" t="str">
        <f t="shared" si="48"/>
        <v/>
      </c>
      <c r="W304" s="9" t="str">
        <f t="shared" si="49"/>
        <v/>
      </c>
      <c r="X304" s="10">
        <f>SUM(V$13:V304)/COUNTA(B$13:B304)</f>
        <v>0</v>
      </c>
      <c r="Z304" s="5"/>
      <c r="AA304" s="5"/>
      <c r="AC304" s="7"/>
      <c r="AE304" s="54" t="e">
        <f t="shared" si="50"/>
        <v>#N/A</v>
      </c>
      <c r="AF304" s="4" t="e">
        <f t="shared" si="46"/>
        <v>#N/A</v>
      </c>
    </row>
    <row r="305" spans="2:32">
      <c r="B305" s="5">
        <f t="shared" si="51"/>
        <v>293</v>
      </c>
      <c r="C305" s="5"/>
      <c r="E305" s="13"/>
      <c r="F305" s="5"/>
      <c r="G305" s="11" t="str">
        <f>IF(ISERROR(AVERAGE(F$13:F305)),"n/a",AVERAGE(F$13:F305))</f>
        <v>n/a</v>
      </c>
      <c r="H305" s="11" t="str">
        <f t="shared" si="47"/>
        <v>n/a</v>
      </c>
      <c r="J305" s="5"/>
      <c r="K305" s="5"/>
      <c r="L305" s="5"/>
      <c r="M305" s="5"/>
      <c r="N305" s="5"/>
      <c r="O305" s="8" t="str">
        <f t="shared" si="45"/>
        <v>n/a</v>
      </c>
      <c r="Q305" s="5"/>
      <c r="R305" s="5"/>
      <c r="S305" s="5"/>
      <c r="U305" s="6"/>
      <c r="V305" s="9" t="str">
        <f t="shared" si="48"/>
        <v/>
      </c>
      <c r="W305" s="9" t="str">
        <f t="shared" si="49"/>
        <v/>
      </c>
      <c r="X305" s="10">
        <f>SUM(V$13:V305)/COUNTA(B$13:B305)</f>
        <v>0</v>
      </c>
      <c r="Z305" s="5"/>
      <c r="AA305" s="5"/>
      <c r="AC305" s="7"/>
      <c r="AE305" s="54" t="e">
        <f t="shared" si="50"/>
        <v>#N/A</v>
      </c>
      <c r="AF305" s="4" t="e">
        <f t="shared" si="46"/>
        <v>#N/A</v>
      </c>
    </row>
    <row r="306" spans="2:32">
      <c r="B306" s="5">
        <f t="shared" si="51"/>
        <v>294</v>
      </c>
      <c r="C306" s="5"/>
      <c r="E306" s="13"/>
      <c r="F306" s="5"/>
      <c r="G306" s="11" t="str">
        <f>IF(ISERROR(AVERAGE(F$13:F306)),"n/a",AVERAGE(F$13:F306))</f>
        <v>n/a</v>
      </c>
      <c r="H306" s="11" t="str">
        <f t="shared" si="47"/>
        <v>n/a</v>
      </c>
      <c r="J306" s="5"/>
      <c r="K306" s="5"/>
      <c r="L306" s="5"/>
      <c r="M306" s="5"/>
      <c r="N306" s="5"/>
      <c r="O306" s="8" t="str">
        <f t="shared" si="45"/>
        <v>n/a</v>
      </c>
      <c r="Q306" s="5"/>
      <c r="R306" s="5"/>
      <c r="S306" s="5"/>
      <c r="U306" s="6"/>
      <c r="V306" s="9" t="str">
        <f t="shared" si="48"/>
        <v/>
      </c>
      <c r="W306" s="9" t="str">
        <f t="shared" si="49"/>
        <v/>
      </c>
      <c r="X306" s="10">
        <f>SUM(V$13:V306)/COUNTA(B$13:B306)</f>
        <v>0</v>
      </c>
      <c r="Z306" s="5"/>
      <c r="AA306" s="5"/>
      <c r="AC306" s="7"/>
      <c r="AE306" s="54" t="e">
        <f t="shared" si="50"/>
        <v>#N/A</v>
      </c>
      <c r="AF306" s="4" t="e">
        <f t="shared" si="46"/>
        <v>#N/A</v>
      </c>
    </row>
    <row r="307" spans="2:32">
      <c r="B307" s="5">
        <f t="shared" si="51"/>
        <v>295</v>
      </c>
      <c r="C307" s="5"/>
      <c r="E307" s="13"/>
      <c r="F307" s="5"/>
      <c r="G307" s="11" t="str">
        <f>IF(ISERROR(AVERAGE(F$13:F307)),"n/a",AVERAGE(F$13:F307))</f>
        <v>n/a</v>
      </c>
      <c r="H307" s="11" t="str">
        <f t="shared" si="47"/>
        <v>n/a</v>
      </c>
      <c r="J307" s="5"/>
      <c r="K307" s="5"/>
      <c r="L307" s="5"/>
      <c r="M307" s="5"/>
      <c r="N307" s="5"/>
      <c r="O307" s="8" t="str">
        <f t="shared" si="45"/>
        <v>n/a</v>
      </c>
      <c r="Q307" s="5"/>
      <c r="R307" s="5"/>
      <c r="S307" s="5"/>
      <c r="U307" s="6"/>
      <c r="V307" s="9" t="str">
        <f t="shared" si="48"/>
        <v/>
      </c>
      <c r="W307" s="9" t="str">
        <f t="shared" si="49"/>
        <v/>
      </c>
      <c r="X307" s="10">
        <f>SUM(V$13:V307)/COUNTA(B$13:B307)</f>
        <v>0</v>
      </c>
      <c r="Z307" s="5"/>
      <c r="AA307" s="5"/>
      <c r="AC307" s="7"/>
      <c r="AE307" s="54" t="e">
        <f t="shared" si="50"/>
        <v>#N/A</v>
      </c>
      <c r="AF307" s="4" t="e">
        <f t="shared" si="46"/>
        <v>#N/A</v>
      </c>
    </row>
    <row r="308" spans="2:32">
      <c r="B308" s="5">
        <f t="shared" si="51"/>
        <v>296</v>
      </c>
      <c r="C308" s="5"/>
      <c r="E308" s="13"/>
      <c r="F308" s="5"/>
      <c r="G308" s="11" t="str">
        <f>IF(ISERROR(AVERAGE(F$13:F308)),"n/a",AVERAGE(F$13:F308))</f>
        <v>n/a</v>
      </c>
      <c r="H308" s="11" t="str">
        <f t="shared" si="47"/>
        <v>n/a</v>
      </c>
      <c r="J308" s="5"/>
      <c r="K308" s="5"/>
      <c r="L308" s="5"/>
      <c r="M308" s="5"/>
      <c r="N308" s="5"/>
      <c r="O308" s="8" t="str">
        <f t="shared" si="45"/>
        <v>n/a</v>
      </c>
      <c r="Q308" s="5"/>
      <c r="R308" s="5"/>
      <c r="S308" s="5"/>
      <c r="U308" s="6"/>
      <c r="V308" s="9" t="str">
        <f t="shared" si="48"/>
        <v/>
      </c>
      <c r="W308" s="9" t="str">
        <f t="shared" si="49"/>
        <v/>
      </c>
      <c r="X308" s="10">
        <f>SUM(V$13:V308)/COUNTA(B$13:B308)</f>
        <v>0</v>
      </c>
      <c r="Z308" s="5"/>
      <c r="AA308" s="5"/>
      <c r="AC308" s="7"/>
      <c r="AE308" s="54" t="e">
        <f t="shared" si="50"/>
        <v>#N/A</v>
      </c>
      <c r="AF308" s="4" t="e">
        <f t="shared" si="46"/>
        <v>#N/A</v>
      </c>
    </row>
    <row r="309" spans="2:32">
      <c r="B309" s="5">
        <f t="shared" si="51"/>
        <v>297</v>
      </c>
      <c r="C309" s="5"/>
      <c r="E309" s="13"/>
      <c r="F309" s="5"/>
      <c r="G309" s="11" t="str">
        <f>IF(ISERROR(AVERAGE(F$13:F309)),"n/a",AVERAGE(F$13:F309))</f>
        <v>n/a</v>
      </c>
      <c r="H309" s="11" t="str">
        <f t="shared" si="47"/>
        <v>n/a</v>
      </c>
      <c r="J309" s="5"/>
      <c r="K309" s="5"/>
      <c r="L309" s="5"/>
      <c r="M309" s="5"/>
      <c r="N309" s="5"/>
      <c r="O309" s="8" t="str">
        <f t="shared" si="45"/>
        <v>n/a</v>
      </c>
      <c r="Q309" s="5"/>
      <c r="R309" s="5"/>
      <c r="S309" s="5"/>
      <c r="U309" s="6"/>
      <c r="V309" s="9" t="str">
        <f t="shared" si="48"/>
        <v/>
      </c>
      <c r="W309" s="9" t="str">
        <f t="shared" si="49"/>
        <v/>
      </c>
      <c r="X309" s="10">
        <f>SUM(V$13:V309)/COUNTA(B$13:B309)</f>
        <v>0</v>
      </c>
      <c r="Z309" s="5"/>
      <c r="AA309" s="5"/>
      <c r="AC309" s="7"/>
      <c r="AE309" s="54" t="e">
        <f t="shared" si="50"/>
        <v>#N/A</v>
      </c>
      <c r="AF309" s="4" t="e">
        <f t="shared" si="46"/>
        <v>#N/A</v>
      </c>
    </row>
    <row r="310" spans="2:32">
      <c r="B310" s="5">
        <f t="shared" si="51"/>
        <v>298</v>
      </c>
      <c r="C310" s="5"/>
      <c r="E310" s="13"/>
      <c r="F310" s="5"/>
      <c r="G310" s="11" t="str">
        <f>IF(ISERROR(AVERAGE(F$13:F310)),"n/a",AVERAGE(F$13:F310))</f>
        <v>n/a</v>
      </c>
      <c r="H310" s="11" t="str">
        <f t="shared" si="47"/>
        <v>n/a</v>
      </c>
      <c r="J310" s="5"/>
      <c r="K310" s="5"/>
      <c r="L310" s="5"/>
      <c r="M310" s="5"/>
      <c r="N310" s="5"/>
      <c r="O310" s="8" t="str">
        <f t="shared" si="45"/>
        <v>n/a</v>
      </c>
      <c r="Q310" s="5"/>
      <c r="R310" s="5"/>
      <c r="S310" s="5"/>
      <c r="U310" s="6"/>
      <c r="V310" s="9" t="str">
        <f t="shared" si="48"/>
        <v/>
      </c>
      <c r="W310" s="9" t="str">
        <f t="shared" si="49"/>
        <v/>
      </c>
      <c r="X310" s="10">
        <f>SUM(V$13:V310)/COUNTA(B$13:B310)</f>
        <v>0</v>
      </c>
      <c r="Z310" s="5"/>
      <c r="AA310" s="5"/>
      <c r="AC310" s="7"/>
      <c r="AE310" s="54" t="e">
        <f t="shared" si="50"/>
        <v>#N/A</v>
      </c>
      <c r="AF310" s="4" t="e">
        <f t="shared" si="46"/>
        <v>#N/A</v>
      </c>
    </row>
    <row r="311" spans="2:32">
      <c r="B311" s="5">
        <f t="shared" si="51"/>
        <v>299</v>
      </c>
      <c r="C311" s="5"/>
      <c r="E311" s="13"/>
      <c r="F311" s="5"/>
      <c r="G311" s="11" t="str">
        <f>IF(ISERROR(AVERAGE(F$13:F311)),"n/a",AVERAGE(F$13:F311))</f>
        <v>n/a</v>
      </c>
      <c r="H311" s="11" t="str">
        <f t="shared" si="47"/>
        <v>n/a</v>
      </c>
      <c r="J311" s="5"/>
      <c r="K311" s="5"/>
      <c r="L311" s="5"/>
      <c r="M311" s="5"/>
      <c r="N311" s="5"/>
      <c r="O311" s="8" t="str">
        <f t="shared" si="45"/>
        <v>n/a</v>
      </c>
      <c r="Q311" s="5"/>
      <c r="R311" s="5"/>
      <c r="S311" s="5"/>
      <c r="U311" s="6"/>
      <c r="V311" s="9" t="str">
        <f t="shared" si="48"/>
        <v/>
      </c>
      <c r="W311" s="9" t="str">
        <f t="shared" si="49"/>
        <v/>
      </c>
      <c r="X311" s="10">
        <f>SUM(V$13:V311)/COUNTA(B$13:B311)</f>
        <v>0</v>
      </c>
      <c r="Z311" s="5"/>
      <c r="AA311" s="5"/>
      <c r="AC311" s="7"/>
      <c r="AE311" s="54" t="e">
        <f t="shared" si="50"/>
        <v>#N/A</v>
      </c>
      <c r="AF311" s="4" t="e">
        <f t="shared" si="46"/>
        <v>#N/A</v>
      </c>
    </row>
    <row r="312" spans="2:32">
      <c r="B312" s="5">
        <f t="shared" si="51"/>
        <v>300</v>
      </c>
      <c r="C312" s="5"/>
      <c r="E312" s="13"/>
      <c r="F312" s="5"/>
      <c r="G312" s="11" t="str">
        <f>IF(ISERROR(AVERAGE(F$13:F312)),"n/a",AVERAGE(F$13:F312))</f>
        <v>n/a</v>
      </c>
      <c r="H312" s="11" t="str">
        <f t="shared" si="47"/>
        <v>n/a</v>
      </c>
      <c r="J312" s="5"/>
      <c r="K312" s="5"/>
      <c r="L312" s="5"/>
      <c r="M312" s="5"/>
      <c r="N312" s="5"/>
      <c r="O312" s="8" t="str">
        <f t="shared" si="45"/>
        <v>n/a</v>
      </c>
      <c r="Q312" s="5"/>
      <c r="R312" s="5"/>
      <c r="S312" s="5"/>
      <c r="U312" s="6"/>
      <c r="V312" s="9" t="str">
        <f t="shared" si="48"/>
        <v/>
      </c>
      <c r="W312" s="9" t="str">
        <f t="shared" si="49"/>
        <v/>
      </c>
      <c r="X312" s="10">
        <f>SUM(V$13:V312)/COUNTA(B$13:B312)</f>
        <v>0</v>
      </c>
      <c r="Z312" s="5"/>
      <c r="AA312" s="5"/>
      <c r="AC312" s="7"/>
      <c r="AE312" s="54" t="e">
        <f t="shared" si="50"/>
        <v>#N/A</v>
      </c>
      <c r="AF312" s="4" t="e">
        <f t="shared" si="46"/>
        <v>#N/A</v>
      </c>
    </row>
    <row r="313" spans="2:32">
      <c r="B313" s="5">
        <f t="shared" si="51"/>
        <v>301</v>
      </c>
      <c r="C313" s="5"/>
      <c r="E313" s="13"/>
      <c r="F313" s="5"/>
      <c r="G313" s="11" t="str">
        <f>IF(ISERROR(AVERAGE(F$13:F313)),"n/a",AVERAGE(F$13:F313))</f>
        <v>n/a</v>
      </c>
      <c r="H313" s="11" t="str">
        <f t="shared" si="47"/>
        <v>n/a</v>
      </c>
      <c r="J313" s="5"/>
      <c r="K313" s="5"/>
      <c r="L313" s="5"/>
      <c r="M313" s="5"/>
      <c r="N313" s="5"/>
      <c r="O313" s="8" t="str">
        <f t="shared" si="45"/>
        <v>n/a</v>
      </c>
      <c r="Q313" s="5"/>
      <c r="R313" s="5"/>
      <c r="S313" s="5"/>
      <c r="U313" s="6"/>
      <c r="V313" s="9" t="str">
        <f t="shared" si="48"/>
        <v/>
      </c>
      <c r="W313" s="9" t="str">
        <f t="shared" si="49"/>
        <v/>
      </c>
      <c r="X313" s="10">
        <f>SUM(V$13:V313)/COUNTA(B$13:B313)</f>
        <v>0</v>
      </c>
      <c r="Z313" s="5"/>
      <c r="AA313" s="5"/>
      <c r="AC313" s="7"/>
      <c r="AE313" s="54" t="e">
        <f t="shared" si="50"/>
        <v>#N/A</v>
      </c>
      <c r="AF313" s="4" t="e">
        <f t="shared" si="46"/>
        <v>#N/A</v>
      </c>
    </row>
    <row r="314" spans="2:32">
      <c r="B314" s="5">
        <f t="shared" si="51"/>
        <v>302</v>
      </c>
      <c r="C314" s="5"/>
      <c r="E314" s="13"/>
      <c r="F314" s="5"/>
      <c r="G314" s="11" t="str">
        <f>IF(ISERROR(AVERAGE(F$13:F314)),"n/a",AVERAGE(F$13:F314))</f>
        <v>n/a</v>
      </c>
      <c r="H314" s="11" t="str">
        <f t="shared" si="47"/>
        <v>n/a</v>
      </c>
      <c r="J314" s="5"/>
      <c r="K314" s="5"/>
      <c r="L314" s="5"/>
      <c r="M314" s="5"/>
      <c r="N314" s="5"/>
      <c r="O314" s="8" t="str">
        <f t="shared" si="45"/>
        <v>n/a</v>
      </c>
      <c r="Q314" s="5"/>
      <c r="R314" s="5"/>
      <c r="S314" s="5"/>
      <c r="U314" s="6"/>
      <c r="V314" s="9" t="str">
        <f t="shared" si="48"/>
        <v/>
      </c>
      <c r="W314" s="9" t="str">
        <f t="shared" si="49"/>
        <v/>
      </c>
      <c r="X314" s="10">
        <f>SUM(V$13:V314)/COUNTA(B$13:B314)</f>
        <v>0</v>
      </c>
      <c r="Z314" s="5"/>
      <c r="AA314" s="5"/>
      <c r="AC314" s="7"/>
      <c r="AE314" s="54" t="e">
        <f t="shared" si="50"/>
        <v>#N/A</v>
      </c>
      <c r="AF314" s="4" t="e">
        <f t="shared" si="46"/>
        <v>#N/A</v>
      </c>
    </row>
    <row r="315" spans="2:32">
      <c r="B315" s="5">
        <f t="shared" si="51"/>
        <v>303</v>
      </c>
      <c r="C315" s="5"/>
      <c r="E315" s="13"/>
      <c r="F315" s="5"/>
      <c r="G315" s="11" t="str">
        <f>IF(ISERROR(AVERAGE(F$13:F315)),"n/a",AVERAGE(F$13:F315))</f>
        <v>n/a</v>
      </c>
      <c r="H315" s="11" t="str">
        <f t="shared" si="47"/>
        <v>n/a</v>
      </c>
      <c r="J315" s="5"/>
      <c r="K315" s="5"/>
      <c r="L315" s="5"/>
      <c r="M315" s="5"/>
      <c r="N315" s="5"/>
      <c r="O315" s="8" t="str">
        <f t="shared" si="45"/>
        <v>n/a</v>
      </c>
      <c r="Q315" s="5"/>
      <c r="R315" s="5"/>
      <c r="S315" s="5"/>
      <c r="U315" s="6"/>
      <c r="V315" s="9" t="str">
        <f t="shared" si="48"/>
        <v/>
      </c>
      <c r="W315" s="9" t="str">
        <f t="shared" si="49"/>
        <v/>
      </c>
      <c r="X315" s="10">
        <f>SUM(V$13:V315)/COUNTA(B$13:B315)</f>
        <v>0</v>
      </c>
      <c r="Z315" s="5"/>
      <c r="AA315" s="5"/>
      <c r="AC315" s="7"/>
      <c r="AE315" s="54" t="e">
        <f t="shared" si="50"/>
        <v>#N/A</v>
      </c>
      <c r="AF315" s="4" t="e">
        <f t="shared" si="46"/>
        <v>#N/A</v>
      </c>
    </row>
    <row r="316" spans="2:32">
      <c r="B316" s="5">
        <f t="shared" si="51"/>
        <v>304</v>
      </c>
      <c r="C316" s="5"/>
      <c r="E316" s="13"/>
      <c r="F316" s="5"/>
      <c r="G316" s="11" t="str">
        <f>IF(ISERROR(AVERAGE(F$13:F316)),"n/a",AVERAGE(F$13:F316))</f>
        <v>n/a</v>
      </c>
      <c r="H316" s="11" t="str">
        <f t="shared" si="47"/>
        <v>n/a</v>
      </c>
      <c r="J316" s="5"/>
      <c r="K316" s="5"/>
      <c r="L316" s="5"/>
      <c r="M316" s="5"/>
      <c r="N316" s="5"/>
      <c r="O316" s="8" t="str">
        <f t="shared" si="45"/>
        <v>n/a</v>
      </c>
      <c r="Q316" s="5"/>
      <c r="R316" s="5"/>
      <c r="S316" s="5"/>
      <c r="U316" s="6"/>
      <c r="V316" s="9" t="str">
        <f t="shared" si="48"/>
        <v/>
      </c>
      <c r="W316" s="9" t="str">
        <f t="shared" si="49"/>
        <v/>
      </c>
      <c r="X316" s="10">
        <f>SUM(V$13:V316)/COUNTA(B$13:B316)</f>
        <v>0</v>
      </c>
      <c r="Z316" s="5"/>
      <c r="AA316" s="5"/>
      <c r="AC316" s="7"/>
      <c r="AE316" s="54" t="e">
        <f t="shared" si="50"/>
        <v>#N/A</v>
      </c>
      <c r="AF316" s="4" t="e">
        <f t="shared" si="46"/>
        <v>#N/A</v>
      </c>
    </row>
    <row r="317" spans="2:32">
      <c r="B317" s="5">
        <f t="shared" si="51"/>
        <v>305</v>
      </c>
      <c r="C317" s="5"/>
      <c r="E317" s="13"/>
      <c r="F317" s="5"/>
      <c r="G317" s="11" t="str">
        <f>IF(ISERROR(AVERAGE(F$13:F317)),"n/a",AVERAGE(F$13:F317))</f>
        <v>n/a</v>
      </c>
      <c r="H317" s="11" t="str">
        <f t="shared" si="47"/>
        <v>n/a</v>
      </c>
      <c r="J317" s="5"/>
      <c r="K317" s="5"/>
      <c r="L317" s="5"/>
      <c r="M317" s="5"/>
      <c r="N317" s="5"/>
      <c r="O317" s="8" t="str">
        <f t="shared" si="45"/>
        <v>n/a</v>
      </c>
      <c r="Q317" s="5"/>
      <c r="R317" s="5"/>
      <c r="S317" s="5"/>
      <c r="U317" s="6"/>
      <c r="V317" s="9" t="str">
        <f t="shared" si="48"/>
        <v/>
      </c>
      <c r="W317" s="9" t="str">
        <f t="shared" si="49"/>
        <v/>
      </c>
      <c r="X317" s="10">
        <f>SUM(V$13:V317)/COUNTA(B$13:B317)</f>
        <v>0</v>
      </c>
      <c r="Z317" s="5"/>
      <c r="AA317" s="5"/>
      <c r="AC317" s="7"/>
      <c r="AE317" s="54" t="e">
        <f t="shared" si="50"/>
        <v>#N/A</v>
      </c>
      <c r="AF317" s="4" t="e">
        <f t="shared" si="46"/>
        <v>#N/A</v>
      </c>
    </row>
    <row r="318" spans="2:32">
      <c r="B318" s="5">
        <f t="shared" si="51"/>
        <v>306</v>
      </c>
      <c r="C318" s="5"/>
      <c r="E318" s="13"/>
      <c r="F318" s="5"/>
      <c r="G318" s="11" t="str">
        <f>IF(ISERROR(AVERAGE(F$13:F318)),"n/a",AVERAGE(F$13:F318))</f>
        <v>n/a</v>
      </c>
      <c r="H318" s="11" t="str">
        <f t="shared" si="47"/>
        <v>n/a</v>
      </c>
      <c r="J318" s="5"/>
      <c r="K318" s="5"/>
      <c r="L318" s="5"/>
      <c r="M318" s="5"/>
      <c r="N318" s="5"/>
      <c r="O318" s="8" t="str">
        <f t="shared" si="45"/>
        <v>n/a</v>
      </c>
      <c r="Q318" s="5"/>
      <c r="R318" s="5"/>
      <c r="S318" s="5"/>
      <c r="U318" s="6"/>
      <c r="V318" s="9" t="str">
        <f t="shared" si="48"/>
        <v/>
      </c>
      <c r="W318" s="9" t="str">
        <f t="shared" si="49"/>
        <v/>
      </c>
      <c r="X318" s="10">
        <f>SUM(V$13:V318)/COUNTA(B$13:B318)</f>
        <v>0</v>
      </c>
      <c r="Z318" s="5"/>
      <c r="AA318" s="5"/>
      <c r="AC318" s="7"/>
      <c r="AE318" s="54" t="e">
        <f t="shared" si="50"/>
        <v>#N/A</v>
      </c>
      <c r="AF318" s="4" t="e">
        <f t="shared" si="46"/>
        <v>#N/A</v>
      </c>
    </row>
    <row r="319" spans="2:32">
      <c r="B319" s="5">
        <f t="shared" si="51"/>
        <v>307</v>
      </c>
      <c r="C319" s="5"/>
      <c r="E319" s="13"/>
      <c r="F319" s="5"/>
      <c r="G319" s="11" t="str">
        <f>IF(ISERROR(AVERAGE(F$13:F319)),"n/a",AVERAGE(F$13:F319))</f>
        <v>n/a</v>
      </c>
      <c r="H319" s="11" t="str">
        <f t="shared" si="47"/>
        <v>n/a</v>
      </c>
      <c r="J319" s="5"/>
      <c r="K319" s="5"/>
      <c r="L319" s="5"/>
      <c r="M319" s="5"/>
      <c r="N319" s="5"/>
      <c r="O319" s="8" t="str">
        <f t="shared" si="45"/>
        <v>n/a</v>
      </c>
      <c r="Q319" s="5"/>
      <c r="R319" s="5"/>
      <c r="S319" s="5"/>
      <c r="U319" s="6"/>
      <c r="V319" s="9" t="str">
        <f t="shared" si="48"/>
        <v/>
      </c>
      <c r="W319" s="9" t="str">
        <f t="shared" si="49"/>
        <v/>
      </c>
      <c r="X319" s="10">
        <f>SUM(V$13:V319)/COUNTA(B$13:B319)</f>
        <v>0</v>
      </c>
      <c r="Z319" s="5"/>
      <c r="AA319" s="5"/>
      <c r="AC319" s="7"/>
      <c r="AE319" s="54" t="e">
        <f t="shared" si="50"/>
        <v>#N/A</v>
      </c>
      <c r="AF319" s="4" t="e">
        <f t="shared" si="46"/>
        <v>#N/A</v>
      </c>
    </row>
    <row r="320" spans="2:32">
      <c r="B320" s="5">
        <f t="shared" si="51"/>
        <v>308</v>
      </c>
      <c r="C320" s="5"/>
      <c r="E320" s="13"/>
      <c r="F320" s="5"/>
      <c r="G320" s="11" t="str">
        <f>IF(ISERROR(AVERAGE(F$13:F320)),"n/a",AVERAGE(F$13:F320))</f>
        <v>n/a</v>
      </c>
      <c r="H320" s="11" t="str">
        <f t="shared" si="47"/>
        <v>n/a</v>
      </c>
      <c r="J320" s="5"/>
      <c r="K320" s="5"/>
      <c r="L320" s="5"/>
      <c r="M320" s="5"/>
      <c r="N320" s="5"/>
      <c r="O320" s="8" t="str">
        <f t="shared" si="45"/>
        <v>n/a</v>
      </c>
      <c r="Q320" s="5"/>
      <c r="R320" s="5"/>
      <c r="S320" s="5"/>
      <c r="U320" s="6"/>
      <c r="V320" s="9" t="str">
        <f t="shared" si="48"/>
        <v/>
      </c>
      <c r="W320" s="9" t="str">
        <f t="shared" si="49"/>
        <v/>
      </c>
      <c r="X320" s="10">
        <f>SUM(V$13:V320)/COUNTA(B$13:B320)</f>
        <v>0</v>
      </c>
      <c r="Z320" s="5"/>
      <c r="AA320" s="5"/>
      <c r="AC320" s="7"/>
      <c r="AE320" s="54" t="e">
        <f t="shared" si="50"/>
        <v>#N/A</v>
      </c>
      <c r="AF320" s="4" t="e">
        <f t="shared" si="46"/>
        <v>#N/A</v>
      </c>
    </row>
    <row r="321" spans="2:32">
      <c r="B321" s="5">
        <f t="shared" si="51"/>
        <v>309</v>
      </c>
      <c r="C321" s="5"/>
      <c r="E321" s="13"/>
      <c r="F321" s="5"/>
      <c r="G321" s="11" t="str">
        <f>IF(ISERROR(AVERAGE(F$13:F321)),"n/a",AVERAGE(F$13:F321))</f>
        <v>n/a</v>
      </c>
      <c r="H321" s="11" t="str">
        <f t="shared" si="47"/>
        <v>n/a</v>
      </c>
      <c r="J321" s="5"/>
      <c r="K321" s="5"/>
      <c r="L321" s="5"/>
      <c r="M321" s="5"/>
      <c r="N321" s="5"/>
      <c r="O321" s="8" t="str">
        <f t="shared" si="45"/>
        <v>n/a</v>
      </c>
      <c r="Q321" s="5"/>
      <c r="R321" s="5"/>
      <c r="S321" s="5"/>
      <c r="U321" s="6"/>
      <c r="V321" s="9" t="str">
        <f t="shared" si="48"/>
        <v/>
      </c>
      <c r="W321" s="9" t="str">
        <f t="shared" si="49"/>
        <v/>
      </c>
      <c r="X321" s="10">
        <f>SUM(V$13:V321)/COUNTA(B$13:B321)</f>
        <v>0</v>
      </c>
      <c r="Z321" s="5"/>
      <c r="AA321" s="5"/>
      <c r="AC321" s="7"/>
      <c r="AE321" s="54" t="e">
        <f t="shared" si="50"/>
        <v>#N/A</v>
      </c>
      <c r="AF321" s="4" t="e">
        <f t="shared" si="46"/>
        <v>#N/A</v>
      </c>
    </row>
    <row r="322" spans="2:32">
      <c r="B322" s="5">
        <f t="shared" si="51"/>
        <v>310</v>
      </c>
      <c r="C322" s="5"/>
      <c r="E322" s="13"/>
      <c r="F322" s="5"/>
      <c r="G322" s="11" t="str">
        <f>IF(ISERROR(AVERAGE(F$13:F322)),"n/a",AVERAGE(F$13:F322))</f>
        <v>n/a</v>
      </c>
      <c r="H322" s="11" t="str">
        <f t="shared" si="47"/>
        <v>n/a</v>
      </c>
      <c r="J322" s="5"/>
      <c r="K322" s="5"/>
      <c r="L322" s="5"/>
      <c r="M322" s="5"/>
      <c r="N322" s="5"/>
      <c r="O322" s="8" t="str">
        <f t="shared" si="45"/>
        <v>n/a</v>
      </c>
      <c r="Q322" s="5"/>
      <c r="R322" s="5"/>
      <c r="S322" s="5"/>
      <c r="U322" s="6"/>
      <c r="V322" s="9" t="str">
        <f t="shared" si="48"/>
        <v/>
      </c>
      <c r="W322" s="9" t="str">
        <f t="shared" si="49"/>
        <v/>
      </c>
      <c r="X322" s="10">
        <f>SUM(V$13:V322)/COUNTA(B$13:B322)</f>
        <v>0</v>
      </c>
      <c r="Z322" s="5"/>
      <c r="AA322" s="5"/>
      <c r="AC322" s="7"/>
      <c r="AE322" s="54" t="e">
        <f t="shared" si="50"/>
        <v>#N/A</v>
      </c>
      <c r="AF322" s="4" t="e">
        <f t="shared" si="46"/>
        <v>#N/A</v>
      </c>
    </row>
    <row r="323" spans="2:32">
      <c r="B323" s="5">
        <f t="shared" si="51"/>
        <v>311</v>
      </c>
      <c r="C323" s="5"/>
      <c r="E323" s="13"/>
      <c r="F323" s="5"/>
      <c r="G323" s="11" t="str">
        <f>IF(ISERROR(AVERAGE(F$13:F323)),"n/a",AVERAGE(F$13:F323))</f>
        <v>n/a</v>
      </c>
      <c r="H323" s="11" t="str">
        <f t="shared" si="47"/>
        <v>n/a</v>
      </c>
      <c r="J323" s="5"/>
      <c r="K323" s="5"/>
      <c r="L323" s="5"/>
      <c r="M323" s="5"/>
      <c r="N323" s="5"/>
      <c r="O323" s="8" t="str">
        <f t="shared" si="45"/>
        <v>n/a</v>
      </c>
      <c r="Q323" s="5"/>
      <c r="R323" s="5"/>
      <c r="S323" s="5"/>
      <c r="U323" s="6"/>
      <c r="V323" s="9" t="str">
        <f t="shared" si="48"/>
        <v/>
      </c>
      <c r="W323" s="9" t="str">
        <f t="shared" si="49"/>
        <v/>
      </c>
      <c r="X323" s="10">
        <f>SUM(V$13:V323)/COUNTA(B$13:B323)</f>
        <v>0</v>
      </c>
      <c r="Z323" s="5"/>
      <c r="AA323" s="5"/>
      <c r="AC323" s="7"/>
      <c r="AE323" s="54" t="e">
        <f t="shared" si="50"/>
        <v>#N/A</v>
      </c>
      <c r="AF323" s="4" t="e">
        <f t="shared" si="46"/>
        <v>#N/A</v>
      </c>
    </row>
    <row r="324" spans="2:32">
      <c r="B324" s="5">
        <f t="shared" si="51"/>
        <v>312</v>
      </c>
      <c r="C324" s="5"/>
      <c r="E324" s="13"/>
      <c r="F324" s="5"/>
      <c r="G324" s="11" t="str">
        <f>IF(ISERROR(AVERAGE(F$13:F324)),"n/a",AVERAGE(F$13:F324))</f>
        <v>n/a</v>
      </c>
      <c r="H324" s="11" t="str">
        <f t="shared" si="47"/>
        <v>n/a</v>
      </c>
      <c r="J324" s="5"/>
      <c r="K324" s="5"/>
      <c r="L324" s="5"/>
      <c r="M324" s="5"/>
      <c r="N324" s="5"/>
      <c r="O324" s="8" t="str">
        <f t="shared" si="45"/>
        <v>n/a</v>
      </c>
      <c r="Q324" s="5"/>
      <c r="R324" s="5"/>
      <c r="S324" s="5"/>
      <c r="U324" s="6"/>
      <c r="V324" s="9" t="str">
        <f t="shared" si="48"/>
        <v/>
      </c>
      <c r="W324" s="9" t="str">
        <f t="shared" si="49"/>
        <v/>
      </c>
      <c r="X324" s="10">
        <f>SUM(V$13:V324)/COUNTA(B$13:B324)</f>
        <v>0</v>
      </c>
      <c r="Z324" s="5"/>
      <c r="AA324" s="5"/>
      <c r="AC324" s="7"/>
      <c r="AE324" s="54" t="e">
        <f t="shared" si="50"/>
        <v>#N/A</v>
      </c>
      <c r="AF324" s="4" t="e">
        <f t="shared" si="46"/>
        <v>#N/A</v>
      </c>
    </row>
    <row r="325" spans="2:32">
      <c r="B325" s="5">
        <f t="shared" si="51"/>
        <v>313</v>
      </c>
      <c r="C325" s="5"/>
      <c r="E325" s="13"/>
      <c r="F325" s="5"/>
      <c r="G325" s="11" t="str">
        <f>IF(ISERROR(AVERAGE(F$13:F325)),"n/a",AVERAGE(F$13:F325))</f>
        <v>n/a</v>
      </c>
      <c r="H325" s="11" t="str">
        <f t="shared" si="47"/>
        <v>n/a</v>
      </c>
      <c r="J325" s="5"/>
      <c r="K325" s="5"/>
      <c r="L325" s="5"/>
      <c r="M325" s="5"/>
      <c r="N325" s="5"/>
      <c r="O325" s="8" t="str">
        <f t="shared" si="45"/>
        <v>n/a</v>
      </c>
      <c r="Q325" s="5"/>
      <c r="R325" s="5"/>
      <c r="S325" s="5"/>
      <c r="U325" s="6"/>
      <c r="V325" s="9" t="str">
        <f t="shared" si="48"/>
        <v/>
      </c>
      <c r="W325" s="9" t="str">
        <f t="shared" si="49"/>
        <v/>
      </c>
      <c r="X325" s="10">
        <f>SUM(V$13:V325)/COUNTA(B$13:B325)</f>
        <v>0</v>
      </c>
      <c r="Z325" s="5"/>
      <c r="AA325" s="5"/>
      <c r="AC325" s="7"/>
      <c r="AE325" s="54" t="e">
        <f t="shared" si="50"/>
        <v>#N/A</v>
      </c>
      <c r="AF325" s="4" t="e">
        <f t="shared" si="46"/>
        <v>#N/A</v>
      </c>
    </row>
    <row r="326" spans="2:32">
      <c r="B326" s="5">
        <f t="shared" si="51"/>
        <v>314</v>
      </c>
      <c r="C326" s="5"/>
      <c r="E326" s="13"/>
      <c r="F326" s="5"/>
      <c r="G326" s="11" t="str">
        <f>IF(ISERROR(AVERAGE(F$13:F326)),"n/a",AVERAGE(F$13:F326))</f>
        <v>n/a</v>
      </c>
      <c r="H326" s="11" t="str">
        <f t="shared" si="47"/>
        <v>n/a</v>
      </c>
      <c r="J326" s="5"/>
      <c r="K326" s="5"/>
      <c r="L326" s="5"/>
      <c r="M326" s="5"/>
      <c r="N326" s="5"/>
      <c r="O326" s="8" t="str">
        <f t="shared" si="45"/>
        <v>n/a</v>
      </c>
      <c r="Q326" s="5"/>
      <c r="R326" s="5"/>
      <c r="S326" s="5"/>
      <c r="U326" s="6"/>
      <c r="V326" s="9" t="str">
        <f t="shared" si="48"/>
        <v/>
      </c>
      <c r="W326" s="9" t="str">
        <f t="shared" si="49"/>
        <v/>
      </c>
      <c r="X326" s="10">
        <f>SUM(V$13:V326)/COUNTA(B$13:B326)</f>
        <v>0</v>
      </c>
      <c r="Z326" s="5"/>
      <c r="AA326" s="5"/>
      <c r="AC326" s="7"/>
      <c r="AE326" s="54" t="e">
        <f t="shared" si="50"/>
        <v>#N/A</v>
      </c>
      <c r="AF326" s="4" t="e">
        <f t="shared" si="46"/>
        <v>#N/A</v>
      </c>
    </row>
    <row r="327" spans="2:32">
      <c r="B327" s="5">
        <f t="shared" si="51"/>
        <v>315</v>
      </c>
      <c r="C327" s="5"/>
      <c r="E327" s="13"/>
      <c r="F327" s="5"/>
      <c r="G327" s="11" t="str">
        <f>IF(ISERROR(AVERAGE(F$13:F327)),"n/a",AVERAGE(F$13:F327))</f>
        <v>n/a</v>
      </c>
      <c r="H327" s="11" t="str">
        <f t="shared" si="47"/>
        <v>n/a</v>
      </c>
      <c r="J327" s="5"/>
      <c r="K327" s="5"/>
      <c r="L327" s="5"/>
      <c r="M327" s="5"/>
      <c r="N327" s="5"/>
      <c r="O327" s="8" t="str">
        <f t="shared" si="45"/>
        <v>n/a</v>
      </c>
      <c r="Q327" s="5"/>
      <c r="R327" s="5"/>
      <c r="S327" s="5"/>
      <c r="U327" s="6"/>
      <c r="V327" s="9" t="str">
        <f t="shared" si="48"/>
        <v/>
      </c>
      <c r="W327" s="9" t="str">
        <f t="shared" si="49"/>
        <v/>
      </c>
      <c r="X327" s="10">
        <f>SUM(V$13:V327)/COUNTA(B$13:B327)</f>
        <v>0</v>
      </c>
      <c r="Z327" s="5"/>
      <c r="AA327" s="5"/>
      <c r="AC327" s="7"/>
      <c r="AE327" s="54" t="e">
        <f t="shared" si="50"/>
        <v>#N/A</v>
      </c>
      <c r="AF327" s="4" t="e">
        <f t="shared" si="46"/>
        <v>#N/A</v>
      </c>
    </row>
    <row r="328" spans="2:32">
      <c r="B328" s="5">
        <f t="shared" si="51"/>
        <v>316</v>
      </c>
      <c r="C328" s="5"/>
      <c r="E328" s="13"/>
      <c r="F328" s="5"/>
      <c r="G328" s="11" t="str">
        <f>IF(ISERROR(AVERAGE(F$13:F328)),"n/a",AVERAGE(F$13:F328))</f>
        <v>n/a</v>
      </c>
      <c r="H328" s="11" t="str">
        <f t="shared" si="47"/>
        <v>n/a</v>
      </c>
      <c r="J328" s="5"/>
      <c r="K328" s="5"/>
      <c r="L328" s="5"/>
      <c r="M328" s="5"/>
      <c r="N328" s="5"/>
      <c r="O328" s="8" t="str">
        <f t="shared" si="45"/>
        <v>n/a</v>
      </c>
      <c r="Q328" s="5"/>
      <c r="R328" s="5"/>
      <c r="S328" s="5"/>
      <c r="U328" s="6"/>
      <c r="V328" s="9" t="str">
        <f t="shared" si="48"/>
        <v/>
      </c>
      <c r="W328" s="9" t="str">
        <f t="shared" si="49"/>
        <v/>
      </c>
      <c r="X328" s="10">
        <f>SUM(V$13:V328)/COUNTA(B$13:B328)</f>
        <v>0</v>
      </c>
      <c r="Z328" s="5"/>
      <c r="AA328" s="5"/>
      <c r="AC328" s="7"/>
      <c r="AE328" s="54" t="e">
        <f t="shared" si="50"/>
        <v>#N/A</v>
      </c>
      <c r="AF328" s="4" t="e">
        <f t="shared" si="46"/>
        <v>#N/A</v>
      </c>
    </row>
    <row r="329" spans="2:32">
      <c r="B329" s="5">
        <f t="shared" si="51"/>
        <v>317</v>
      </c>
      <c r="C329" s="5"/>
      <c r="E329" s="13"/>
      <c r="F329" s="5"/>
      <c r="G329" s="11" t="str">
        <f>IF(ISERROR(AVERAGE(F$13:F329)),"n/a",AVERAGE(F$13:F329))</f>
        <v>n/a</v>
      </c>
      <c r="H329" s="11" t="str">
        <f t="shared" si="47"/>
        <v>n/a</v>
      </c>
      <c r="J329" s="5"/>
      <c r="K329" s="5"/>
      <c r="L329" s="5"/>
      <c r="M329" s="5"/>
      <c r="N329" s="5"/>
      <c r="O329" s="8" t="str">
        <f t="shared" si="45"/>
        <v>n/a</v>
      </c>
      <c r="Q329" s="5"/>
      <c r="R329" s="5"/>
      <c r="S329" s="5"/>
      <c r="U329" s="6"/>
      <c r="V329" s="9" t="str">
        <f t="shared" si="48"/>
        <v/>
      </c>
      <c r="W329" s="9" t="str">
        <f t="shared" si="49"/>
        <v/>
      </c>
      <c r="X329" s="10">
        <f>SUM(V$13:V329)/COUNTA(B$13:B329)</f>
        <v>0</v>
      </c>
      <c r="Z329" s="5"/>
      <c r="AA329" s="5"/>
      <c r="AC329" s="7"/>
      <c r="AE329" s="54" t="e">
        <f t="shared" si="50"/>
        <v>#N/A</v>
      </c>
      <c r="AF329" s="4" t="e">
        <f t="shared" si="46"/>
        <v>#N/A</v>
      </c>
    </row>
    <row r="330" spans="2:32">
      <c r="B330" s="5">
        <f t="shared" si="51"/>
        <v>318</v>
      </c>
      <c r="C330" s="5"/>
      <c r="E330" s="13"/>
      <c r="F330" s="5"/>
      <c r="G330" s="11" t="str">
        <f>IF(ISERROR(AVERAGE(F$13:F330)),"n/a",AVERAGE(F$13:F330))</f>
        <v>n/a</v>
      </c>
      <c r="H330" s="11" t="str">
        <f t="shared" si="47"/>
        <v>n/a</v>
      </c>
      <c r="J330" s="5"/>
      <c r="K330" s="5"/>
      <c r="L330" s="5"/>
      <c r="M330" s="5"/>
      <c r="N330" s="5"/>
      <c r="O330" s="8" t="str">
        <f t="shared" si="45"/>
        <v>n/a</v>
      </c>
      <c r="Q330" s="5"/>
      <c r="R330" s="5"/>
      <c r="S330" s="5"/>
      <c r="U330" s="6"/>
      <c r="V330" s="9" t="str">
        <f t="shared" si="48"/>
        <v/>
      </c>
      <c r="W330" s="9" t="str">
        <f t="shared" si="49"/>
        <v/>
      </c>
      <c r="X330" s="10">
        <f>SUM(V$13:V330)/COUNTA(B$13:B330)</f>
        <v>0</v>
      </c>
      <c r="Z330" s="5"/>
      <c r="AA330" s="5"/>
      <c r="AC330" s="7"/>
      <c r="AE330" s="54" t="e">
        <f t="shared" si="50"/>
        <v>#N/A</v>
      </c>
      <c r="AF330" s="4" t="e">
        <f t="shared" si="46"/>
        <v>#N/A</v>
      </c>
    </row>
    <row r="331" spans="2:32">
      <c r="B331" s="5">
        <f t="shared" si="51"/>
        <v>319</v>
      </c>
      <c r="C331" s="5"/>
      <c r="E331" s="13"/>
      <c r="F331" s="5"/>
      <c r="G331" s="11" t="str">
        <f>IF(ISERROR(AVERAGE(F$13:F331)),"n/a",AVERAGE(F$13:F331))</f>
        <v>n/a</v>
      </c>
      <c r="H331" s="11" t="str">
        <f t="shared" si="47"/>
        <v>n/a</v>
      </c>
      <c r="J331" s="5"/>
      <c r="K331" s="5"/>
      <c r="L331" s="5"/>
      <c r="M331" s="5"/>
      <c r="N331" s="5"/>
      <c r="O331" s="8" t="str">
        <f t="shared" si="45"/>
        <v>n/a</v>
      </c>
      <c r="Q331" s="5"/>
      <c r="R331" s="5"/>
      <c r="S331" s="5"/>
      <c r="U331" s="6"/>
      <c r="V331" s="9" t="str">
        <f t="shared" si="48"/>
        <v/>
      </c>
      <c r="W331" s="9" t="str">
        <f t="shared" si="49"/>
        <v/>
      </c>
      <c r="X331" s="10">
        <f>SUM(V$13:V331)/COUNTA(B$13:B331)</f>
        <v>0</v>
      </c>
      <c r="Z331" s="5"/>
      <c r="AA331" s="5"/>
      <c r="AC331" s="7"/>
      <c r="AE331" s="54" t="e">
        <f t="shared" si="50"/>
        <v>#N/A</v>
      </c>
      <c r="AF331" s="4" t="e">
        <f t="shared" si="46"/>
        <v>#N/A</v>
      </c>
    </row>
    <row r="332" spans="2:32">
      <c r="B332" s="5">
        <f t="shared" si="51"/>
        <v>320</v>
      </c>
      <c r="C332" s="5"/>
      <c r="E332" s="13"/>
      <c r="F332" s="5"/>
      <c r="G332" s="11" t="str">
        <f>IF(ISERROR(AVERAGE(F$13:F332)),"n/a",AVERAGE(F$13:F332))</f>
        <v>n/a</v>
      </c>
      <c r="H332" s="11" t="str">
        <f t="shared" si="47"/>
        <v>n/a</v>
      </c>
      <c r="J332" s="5"/>
      <c r="K332" s="5"/>
      <c r="L332" s="5"/>
      <c r="M332" s="5"/>
      <c r="N332" s="5"/>
      <c r="O332" s="8" t="str">
        <f t="shared" si="45"/>
        <v>n/a</v>
      </c>
      <c r="Q332" s="5"/>
      <c r="R332" s="5"/>
      <c r="S332" s="5"/>
      <c r="U332" s="6"/>
      <c r="V332" s="9" t="str">
        <f t="shared" si="48"/>
        <v/>
      </c>
      <c r="W332" s="9" t="str">
        <f t="shared" si="49"/>
        <v/>
      </c>
      <c r="X332" s="10">
        <f>SUM(V$13:V332)/COUNTA(B$13:B332)</f>
        <v>0</v>
      </c>
      <c r="Z332" s="5"/>
      <c r="AA332" s="5"/>
      <c r="AC332" s="7"/>
      <c r="AE332" s="54" t="e">
        <f t="shared" si="50"/>
        <v>#N/A</v>
      </c>
      <c r="AF332" s="4" t="e">
        <f t="shared" si="46"/>
        <v>#N/A</v>
      </c>
    </row>
    <row r="333" spans="2:32">
      <c r="B333" s="5">
        <f t="shared" si="51"/>
        <v>321</v>
      </c>
      <c r="C333" s="5"/>
      <c r="E333" s="13"/>
      <c r="F333" s="5"/>
      <c r="G333" s="11" t="str">
        <f>IF(ISERROR(AVERAGE(F$13:F333)),"n/a",AVERAGE(F$13:F333))</f>
        <v>n/a</v>
      </c>
      <c r="H333" s="11" t="str">
        <f t="shared" si="47"/>
        <v>n/a</v>
      </c>
      <c r="J333" s="5"/>
      <c r="K333" s="5"/>
      <c r="L333" s="5"/>
      <c r="M333" s="5"/>
      <c r="N333" s="5"/>
      <c r="O333" s="8" t="str">
        <f t="shared" ref="O333:O396" si="52">IF(J333=1,"A",IF(K333=1,"B",IF(L333=1,"C",IF(M333=1,"D",IF(N333=1,"E","n/a")))))</f>
        <v>n/a</v>
      </c>
      <c r="Q333" s="5"/>
      <c r="R333" s="5"/>
      <c r="S333" s="5"/>
      <c r="U333" s="6"/>
      <c r="V333" s="9" t="str">
        <f t="shared" si="48"/>
        <v/>
      </c>
      <c r="W333" s="9" t="str">
        <f t="shared" si="49"/>
        <v/>
      </c>
      <c r="X333" s="10">
        <f>SUM(V$13:V333)/COUNTA(B$13:B333)</f>
        <v>0</v>
      </c>
      <c r="Z333" s="5"/>
      <c r="AA333" s="5"/>
      <c r="AC333" s="7"/>
      <c r="AE333" s="54" t="e">
        <f t="shared" si="50"/>
        <v>#N/A</v>
      </c>
      <c r="AF333" s="4" t="e">
        <f t="shared" ref="AF333:AF396" si="53">HLOOKUP(C333,$K$6:$O$7,2,FALSE)</f>
        <v>#N/A</v>
      </c>
    </row>
    <row r="334" spans="2:32">
      <c r="B334" s="5">
        <f t="shared" si="51"/>
        <v>322</v>
      </c>
      <c r="C334" s="5"/>
      <c r="E334" s="13"/>
      <c r="F334" s="5"/>
      <c r="G334" s="11" t="str">
        <f>IF(ISERROR(AVERAGE(F$13:F334)),"n/a",AVERAGE(F$13:F334))</f>
        <v>n/a</v>
      </c>
      <c r="H334" s="11" t="str">
        <f t="shared" ref="H334:H397" si="54">G334</f>
        <v>n/a</v>
      </c>
      <c r="J334" s="5"/>
      <c r="K334" s="5"/>
      <c r="L334" s="5"/>
      <c r="M334" s="5"/>
      <c r="N334" s="5"/>
      <c r="O334" s="8" t="str">
        <f t="shared" si="52"/>
        <v>n/a</v>
      </c>
      <c r="Q334" s="5"/>
      <c r="R334" s="5"/>
      <c r="S334" s="5"/>
      <c r="U334" s="6"/>
      <c r="V334" s="9" t="str">
        <f t="shared" ref="V334:V397" si="55">IF(O334="n/a","",IF(O334=U334,1,""))</f>
        <v/>
      </c>
      <c r="W334" s="9" t="str">
        <f t="shared" ref="W334:W397" si="56">IF(O334="n/a","",IF(O334&lt;&gt;U334,1,""))</f>
        <v/>
      </c>
      <c r="X334" s="10">
        <f>SUM(V$13:V334)/COUNTA(B$13:B334)</f>
        <v>0</v>
      </c>
      <c r="Z334" s="5"/>
      <c r="AA334" s="5"/>
      <c r="AC334" s="7"/>
      <c r="AE334" s="54" t="e">
        <f t="shared" ref="AE334:AE397" si="57">+IF($F$4=0,0,IF(W334=1,1,IF(OR(R334*$F$8=1,S334*$F$9=1,F334&gt;=AF334),2,0)))</f>
        <v>#N/A</v>
      </c>
      <c r="AF334" s="4" t="e">
        <f t="shared" si="53"/>
        <v>#N/A</v>
      </c>
    </row>
    <row r="335" spans="2:32">
      <c r="B335" s="5">
        <f t="shared" si="51"/>
        <v>323</v>
      </c>
      <c r="C335" s="5"/>
      <c r="E335" s="13"/>
      <c r="F335" s="5"/>
      <c r="G335" s="11" t="str">
        <f>IF(ISERROR(AVERAGE(F$13:F335)),"n/a",AVERAGE(F$13:F335))</f>
        <v>n/a</v>
      </c>
      <c r="H335" s="11" t="str">
        <f t="shared" si="54"/>
        <v>n/a</v>
      </c>
      <c r="J335" s="5"/>
      <c r="K335" s="5"/>
      <c r="L335" s="5"/>
      <c r="M335" s="5"/>
      <c r="N335" s="5"/>
      <c r="O335" s="8" t="str">
        <f t="shared" si="52"/>
        <v>n/a</v>
      </c>
      <c r="Q335" s="5"/>
      <c r="R335" s="5"/>
      <c r="S335" s="5"/>
      <c r="U335" s="6"/>
      <c r="V335" s="9" t="str">
        <f t="shared" si="55"/>
        <v/>
      </c>
      <c r="W335" s="9" t="str">
        <f t="shared" si="56"/>
        <v/>
      </c>
      <c r="X335" s="10">
        <f>SUM(V$13:V335)/COUNTA(B$13:B335)</f>
        <v>0</v>
      </c>
      <c r="Z335" s="5"/>
      <c r="AA335" s="5"/>
      <c r="AC335" s="7"/>
      <c r="AE335" s="54" t="e">
        <f t="shared" si="57"/>
        <v>#N/A</v>
      </c>
      <c r="AF335" s="4" t="e">
        <f t="shared" si="53"/>
        <v>#N/A</v>
      </c>
    </row>
    <row r="336" spans="2:32">
      <c r="B336" s="5">
        <f t="shared" si="51"/>
        <v>324</v>
      </c>
      <c r="C336" s="5"/>
      <c r="E336" s="13"/>
      <c r="F336" s="5"/>
      <c r="G336" s="11" t="str">
        <f>IF(ISERROR(AVERAGE(F$13:F336)),"n/a",AVERAGE(F$13:F336))</f>
        <v>n/a</v>
      </c>
      <c r="H336" s="11" t="str">
        <f t="shared" si="54"/>
        <v>n/a</v>
      </c>
      <c r="J336" s="5"/>
      <c r="K336" s="5"/>
      <c r="L336" s="5"/>
      <c r="M336" s="5"/>
      <c r="N336" s="5"/>
      <c r="O336" s="8" t="str">
        <f t="shared" si="52"/>
        <v>n/a</v>
      </c>
      <c r="Q336" s="5"/>
      <c r="R336" s="5"/>
      <c r="S336" s="5"/>
      <c r="U336" s="6"/>
      <c r="V336" s="9" t="str">
        <f t="shared" si="55"/>
        <v/>
      </c>
      <c r="W336" s="9" t="str">
        <f t="shared" si="56"/>
        <v/>
      </c>
      <c r="X336" s="10">
        <f>SUM(V$13:V336)/COUNTA(B$13:B336)</f>
        <v>0</v>
      </c>
      <c r="Z336" s="5"/>
      <c r="AA336" s="5"/>
      <c r="AC336" s="7"/>
      <c r="AE336" s="54" t="e">
        <f t="shared" si="57"/>
        <v>#N/A</v>
      </c>
      <c r="AF336" s="4" t="e">
        <f t="shared" si="53"/>
        <v>#N/A</v>
      </c>
    </row>
    <row r="337" spans="2:32">
      <c r="B337" s="5">
        <f t="shared" si="51"/>
        <v>325</v>
      </c>
      <c r="C337" s="5"/>
      <c r="E337" s="13"/>
      <c r="F337" s="5"/>
      <c r="G337" s="11" t="str">
        <f>IF(ISERROR(AVERAGE(F$13:F337)),"n/a",AVERAGE(F$13:F337))</f>
        <v>n/a</v>
      </c>
      <c r="H337" s="11" t="str">
        <f t="shared" si="54"/>
        <v>n/a</v>
      </c>
      <c r="J337" s="5"/>
      <c r="K337" s="5"/>
      <c r="L337" s="5"/>
      <c r="M337" s="5"/>
      <c r="N337" s="5"/>
      <c r="O337" s="8" t="str">
        <f t="shared" si="52"/>
        <v>n/a</v>
      </c>
      <c r="Q337" s="5"/>
      <c r="R337" s="5"/>
      <c r="S337" s="5"/>
      <c r="U337" s="6"/>
      <c r="V337" s="9" t="str">
        <f t="shared" si="55"/>
        <v/>
      </c>
      <c r="W337" s="9" t="str">
        <f t="shared" si="56"/>
        <v/>
      </c>
      <c r="X337" s="10">
        <f>SUM(V$13:V337)/COUNTA(B$13:B337)</f>
        <v>0</v>
      </c>
      <c r="Z337" s="5"/>
      <c r="AA337" s="5"/>
      <c r="AC337" s="7"/>
      <c r="AE337" s="54" t="e">
        <f t="shared" si="57"/>
        <v>#N/A</v>
      </c>
      <c r="AF337" s="4" t="e">
        <f t="shared" si="53"/>
        <v>#N/A</v>
      </c>
    </row>
    <row r="338" spans="2:32">
      <c r="B338" s="5">
        <f t="shared" si="51"/>
        <v>326</v>
      </c>
      <c r="C338" s="5"/>
      <c r="E338" s="13"/>
      <c r="F338" s="5"/>
      <c r="G338" s="11" t="str">
        <f>IF(ISERROR(AVERAGE(F$13:F338)),"n/a",AVERAGE(F$13:F338))</f>
        <v>n/a</v>
      </c>
      <c r="H338" s="11" t="str">
        <f t="shared" si="54"/>
        <v>n/a</v>
      </c>
      <c r="J338" s="5"/>
      <c r="K338" s="5"/>
      <c r="L338" s="5"/>
      <c r="M338" s="5"/>
      <c r="N338" s="5"/>
      <c r="O338" s="8" t="str">
        <f t="shared" si="52"/>
        <v>n/a</v>
      </c>
      <c r="Q338" s="5"/>
      <c r="R338" s="5"/>
      <c r="S338" s="5"/>
      <c r="U338" s="6"/>
      <c r="V338" s="9" t="str">
        <f t="shared" si="55"/>
        <v/>
      </c>
      <c r="W338" s="9" t="str">
        <f t="shared" si="56"/>
        <v/>
      </c>
      <c r="X338" s="10">
        <f>SUM(V$13:V338)/COUNTA(B$13:B338)</f>
        <v>0</v>
      </c>
      <c r="Z338" s="5"/>
      <c r="AA338" s="5"/>
      <c r="AC338" s="7"/>
      <c r="AE338" s="54" t="e">
        <f t="shared" si="57"/>
        <v>#N/A</v>
      </c>
      <c r="AF338" s="4" t="e">
        <f t="shared" si="53"/>
        <v>#N/A</v>
      </c>
    </row>
    <row r="339" spans="2:32">
      <c r="B339" s="5">
        <f t="shared" ref="B339:B402" si="58">+B338+1</f>
        <v>327</v>
      </c>
      <c r="C339" s="5"/>
      <c r="E339" s="13"/>
      <c r="F339" s="5"/>
      <c r="G339" s="11" t="str">
        <f>IF(ISERROR(AVERAGE(F$13:F339)),"n/a",AVERAGE(F$13:F339))</f>
        <v>n/a</v>
      </c>
      <c r="H339" s="11" t="str">
        <f t="shared" si="54"/>
        <v>n/a</v>
      </c>
      <c r="J339" s="5"/>
      <c r="K339" s="5"/>
      <c r="L339" s="5"/>
      <c r="M339" s="5"/>
      <c r="N339" s="5"/>
      <c r="O339" s="8" t="str">
        <f t="shared" si="52"/>
        <v>n/a</v>
      </c>
      <c r="Q339" s="5"/>
      <c r="R339" s="5"/>
      <c r="S339" s="5"/>
      <c r="U339" s="6"/>
      <c r="V339" s="9" t="str">
        <f t="shared" si="55"/>
        <v/>
      </c>
      <c r="W339" s="9" t="str">
        <f t="shared" si="56"/>
        <v/>
      </c>
      <c r="X339" s="10">
        <f>SUM(V$13:V339)/COUNTA(B$13:B339)</f>
        <v>0</v>
      </c>
      <c r="Z339" s="5"/>
      <c r="AA339" s="5"/>
      <c r="AC339" s="7"/>
      <c r="AE339" s="54" t="e">
        <f t="shared" si="57"/>
        <v>#N/A</v>
      </c>
      <c r="AF339" s="4" t="e">
        <f t="shared" si="53"/>
        <v>#N/A</v>
      </c>
    </row>
    <row r="340" spans="2:32">
      <c r="B340" s="5">
        <f t="shared" si="58"/>
        <v>328</v>
      </c>
      <c r="C340" s="5"/>
      <c r="E340" s="13"/>
      <c r="F340" s="5"/>
      <c r="G340" s="11" t="str">
        <f>IF(ISERROR(AVERAGE(F$13:F340)),"n/a",AVERAGE(F$13:F340))</f>
        <v>n/a</v>
      </c>
      <c r="H340" s="11" t="str">
        <f t="shared" si="54"/>
        <v>n/a</v>
      </c>
      <c r="J340" s="5"/>
      <c r="K340" s="5"/>
      <c r="L340" s="5"/>
      <c r="M340" s="5"/>
      <c r="N340" s="5"/>
      <c r="O340" s="8" t="str">
        <f t="shared" si="52"/>
        <v>n/a</v>
      </c>
      <c r="Q340" s="5"/>
      <c r="R340" s="5"/>
      <c r="S340" s="5"/>
      <c r="U340" s="6"/>
      <c r="V340" s="9" t="str">
        <f t="shared" si="55"/>
        <v/>
      </c>
      <c r="W340" s="9" t="str">
        <f t="shared" si="56"/>
        <v/>
      </c>
      <c r="X340" s="10">
        <f>SUM(V$13:V340)/COUNTA(B$13:B340)</f>
        <v>0</v>
      </c>
      <c r="Z340" s="5"/>
      <c r="AA340" s="5"/>
      <c r="AC340" s="7"/>
      <c r="AE340" s="54" t="e">
        <f t="shared" si="57"/>
        <v>#N/A</v>
      </c>
      <c r="AF340" s="4" t="e">
        <f t="shared" si="53"/>
        <v>#N/A</v>
      </c>
    </row>
    <row r="341" spans="2:32">
      <c r="B341" s="5">
        <f t="shared" si="58"/>
        <v>329</v>
      </c>
      <c r="C341" s="5"/>
      <c r="E341" s="13"/>
      <c r="F341" s="5"/>
      <c r="G341" s="11" t="str">
        <f>IF(ISERROR(AVERAGE(F$13:F341)),"n/a",AVERAGE(F$13:F341))</f>
        <v>n/a</v>
      </c>
      <c r="H341" s="11" t="str">
        <f t="shared" si="54"/>
        <v>n/a</v>
      </c>
      <c r="J341" s="5"/>
      <c r="K341" s="5"/>
      <c r="L341" s="5"/>
      <c r="M341" s="5"/>
      <c r="N341" s="5"/>
      <c r="O341" s="8" t="str">
        <f t="shared" si="52"/>
        <v>n/a</v>
      </c>
      <c r="Q341" s="5"/>
      <c r="R341" s="5"/>
      <c r="S341" s="5"/>
      <c r="U341" s="6"/>
      <c r="V341" s="9" t="str">
        <f t="shared" si="55"/>
        <v/>
      </c>
      <c r="W341" s="9" t="str">
        <f t="shared" si="56"/>
        <v/>
      </c>
      <c r="X341" s="10">
        <f>SUM(V$13:V341)/COUNTA(B$13:B341)</f>
        <v>0</v>
      </c>
      <c r="Z341" s="5"/>
      <c r="AA341" s="5"/>
      <c r="AC341" s="7"/>
      <c r="AE341" s="54" t="e">
        <f t="shared" si="57"/>
        <v>#N/A</v>
      </c>
      <c r="AF341" s="4" t="e">
        <f t="shared" si="53"/>
        <v>#N/A</v>
      </c>
    </row>
    <row r="342" spans="2:32">
      <c r="B342" s="5">
        <f t="shared" si="58"/>
        <v>330</v>
      </c>
      <c r="C342" s="5"/>
      <c r="E342" s="13"/>
      <c r="F342" s="5"/>
      <c r="G342" s="11" t="str">
        <f>IF(ISERROR(AVERAGE(F$13:F342)),"n/a",AVERAGE(F$13:F342))</f>
        <v>n/a</v>
      </c>
      <c r="H342" s="11" t="str">
        <f t="shared" si="54"/>
        <v>n/a</v>
      </c>
      <c r="J342" s="5"/>
      <c r="K342" s="5"/>
      <c r="L342" s="5"/>
      <c r="M342" s="5"/>
      <c r="N342" s="5"/>
      <c r="O342" s="8" t="str">
        <f t="shared" si="52"/>
        <v>n/a</v>
      </c>
      <c r="Q342" s="5"/>
      <c r="R342" s="5"/>
      <c r="S342" s="5"/>
      <c r="U342" s="6"/>
      <c r="V342" s="9" t="str">
        <f t="shared" si="55"/>
        <v/>
      </c>
      <c r="W342" s="9" t="str">
        <f t="shared" si="56"/>
        <v/>
      </c>
      <c r="X342" s="10">
        <f>SUM(V$13:V342)/COUNTA(B$13:B342)</f>
        <v>0</v>
      </c>
      <c r="Z342" s="5"/>
      <c r="AA342" s="5"/>
      <c r="AC342" s="7"/>
      <c r="AE342" s="54" t="e">
        <f t="shared" si="57"/>
        <v>#N/A</v>
      </c>
      <c r="AF342" s="4" t="e">
        <f t="shared" si="53"/>
        <v>#N/A</v>
      </c>
    </row>
    <row r="343" spans="2:32">
      <c r="B343" s="5">
        <f t="shared" si="58"/>
        <v>331</v>
      </c>
      <c r="C343" s="5"/>
      <c r="E343" s="13"/>
      <c r="F343" s="5"/>
      <c r="G343" s="11" t="str">
        <f>IF(ISERROR(AVERAGE(F$13:F343)),"n/a",AVERAGE(F$13:F343))</f>
        <v>n/a</v>
      </c>
      <c r="H343" s="11" t="str">
        <f t="shared" si="54"/>
        <v>n/a</v>
      </c>
      <c r="J343" s="5"/>
      <c r="K343" s="5"/>
      <c r="L343" s="5"/>
      <c r="M343" s="5"/>
      <c r="N343" s="5"/>
      <c r="O343" s="8" t="str">
        <f t="shared" si="52"/>
        <v>n/a</v>
      </c>
      <c r="Q343" s="5"/>
      <c r="R343" s="5"/>
      <c r="S343" s="5"/>
      <c r="U343" s="6"/>
      <c r="V343" s="9" t="str">
        <f t="shared" si="55"/>
        <v/>
      </c>
      <c r="W343" s="9" t="str">
        <f t="shared" si="56"/>
        <v/>
      </c>
      <c r="X343" s="10">
        <f>SUM(V$13:V343)/COUNTA(B$13:B343)</f>
        <v>0</v>
      </c>
      <c r="Z343" s="5"/>
      <c r="AA343" s="5"/>
      <c r="AC343" s="7"/>
      <c r="AE343" s="54" t="e">
        <f t="shared" si="57"/>
        <v>#N/A</v>
      </c>
      <c r="AF343" s="4" t="e">
        <f t="shared" si="53"/>
        <v>#N/A</v>
      </c>
    </row>
    <row r="344" spans="2:32">
      <c r="B344" s="5">
        <f t="shared" si="58"/>
        <v>332</v>
      </c>
      <c r="C344" s="5"/>
      <c r="E344" s="13"/>
      <c r="F344" s="5"/>
      <c r="G344" s="11" t="str">
        <f>IF(ISERROR(AVERAGE(F$13:F344)),"n/a",AVERAGE(F$13:F344))</f>
        <v>n/a</v>
      </c>
      <c r="H344" s="11" t="str">
        <f t="shared" si="54"/>
        <v>n/a</v>
      </c>
      <c r="J344" s="5"/>
      <c r="K344" s="5"/>
      <c r="L344" s="5"/>
      <c r="M344" s="5"/>
      <c r="N344" s="5"/>
      <c r="O344" s="8" t="str">
        <f t="shared" si="52"/>
        <v>n/a</v>
      </c>
      <c r="Q344" s="5"/>
      <c r="R344" s="5"/>
      <c r="S344" s="5"/>
      <c r="U344" s="6"/>
      <c r="V344" s="9" t="str">
        <f t="shared" si="55"/>
        <v/>
      </c>
      <c r="W344" s="9" t="str">
        <f t="shared" si="56"/>
        <v/>
      </c>
      <c r="X344" s="10">
        <f>SUM(V$13:V344)/COUNTA(B$13:B344)</f>
        <v>0</v>
      </c>
      <c r="Z344" s="5"/>
      <c r="AA344" s="5"/>
      <c r="AC344" s="7"/>
      <c r="AE344" s="54" t="e">
        <f t="shared" si="57"/>
        <v>#N/A</v>
      </c>
      <c r="AF344" s="4" t="e">
        <f t="shared" si="53"/>
        <v>#N/A</v>
      </c>
    </row>
    <row r="345" spans="2:32">
      <c r="B345" s="5">
        <f t="shared" si="58"/>
        <v>333</v>
      </c>
      <c r="C345" s="5"/>
      <c r="E345" s="13"/>
      <c r="F345" s="5"/>
      <c r="G345" s="11" t="str">
        <f>IF(ISERROR(AVERAGE(F$13:F345)),"n/a",AVERAGE(F$13:F345))</f>
        <v>n/a</v>
      </c>
      <c r="H345" s="11" t="str">
        <f t="shared" si="54"/>
        <v>n/a</v>
      </c>
      <c r="J345" s="5"/>
      <c r="K345" s="5"/>
      <c r="L345" s="5"/>
      <c r="M345" s="5"/>
      <c r="N345" s="5"/>
      <c r="O345" s="8" t="str">
        <f t="shared" si="52"/>
        <v>n/a</v>
      </c>
      <c r="Q345" s="5"/>
      <c r="R345" s="5"/>
      <c r="S345" s="5"/>
      <c r="U345" s="6"/>
      <c r="V345" s="9" t="str">
        <f t="shared" si="55"/>
        <v/>
      </c>
      <c r="W345" s="9" t="str">
        <f t="shared" si="56"/>
        <v/>
      </c>
      <c r="X345" s="10">
        <f>SUM(V$13:V345)/COUNTA(B$13:B345)</f>
        <v>0</v>
      </c>
      <c r="Z345" s="5"/>
      <c r="AA345" s="5"/>
      <c r="AC345" s="7"/>
      <c r="AE345" s="54" t="e">
        <f t="shared" si="57"/>
        <v>#N/A</v>
      </c>
      <c r="AF345" s="4" t="e">
        <f t="shared" si="53"/>
        <v>#N/A</v>
      </c>
    </row>
    <row r="346" spans="2:32">
      <c r="B346" s="5">
        <f t="shared" si="58"/>
        <v>334</v>
      </c>
      <c r="C346" s="5"/>
      <c r="E346" s="13"/>
      <c r="F346" s="5"/>
      <c r="G346" s="11" t="str">
        <f>IF(ISERROR(AVERAGE(F$13:F346)),"n/a",AVERAGE(F$13:F346))</f>
        <v>n/a</v>
      </c>
      <c r="H346" s="11" t="str">
        <f t="shared" si="54"/>
        <v>n/a</v>
      </c>
      <c r="J346" s="5"/>
      <c r="K346" s="5"/>
      <c r="L346" s="5"/>
      <c r="M346" s="5"/>
      <c r="N346" s="5"/>
      <c r="O346" s="8" t="str">
        <f t="shared" si="52"/>
        <v>n/a</v>
      </c>
      <c r="Q346" s="5"/>
      <c r="R346" s="5"/>
      <c r="S346" s="5"/>
      <c r="U346" s="6"/>
      <c r="V346" s="9" t="str">
        <f t="shared" si="55"/>
        <v/>
      </c>
      <c r="W346" s="9" t="str">
        <f t="shared" si="56"/>
        <v/>
      </c>
      <c r="X346" s="10">
        <f>SUM(V$13:V346)/COUNTA(B$13:B346)</f>
        <v>0</v>
      </c>
      <c r="Z346" s="5"/>
      <c r="AA346" s="5"/>
      <c r="AC346" s="7"/>
      <c r="AE346" s="54" t="e">
        <f t="shared" si="57"/>
        <v>#N/A</v>
      </c>
      <c r="AF346" s="4" t="e">
        <f t="shared" si="53"/>
        <v>#N/A</v>
      </c>
    </row>
    <row r="347" spans="2:32">
      <c r="B347" s="5">
        <f t="shared" si="58"/>
        <v>335</v>
      </c>
      <c r="C347" s="5"/>
      <c r="E347" s="13"/>
      <c r="F347" s="5"/>
      <c r="G347" s="11" t="str">
        <f>IF(ISERROR(AVERAGE(F$13:F347)),"n/a",AVERAGE(F$13:F347))</f>
        <v>n/a</v>
      </c>
      <c r="H347" s="11" t="str">
        <f t="shared" si="54"/>
        <v>n/a</v>
      </c>
      <c r="J347" s="5"/>
      <c r="K347" s="5"/>
      <c r="L347" s="5"/>
      <c r="M347" s="5"/>
      <c r="N347" s="5"/>
      <c r="O347" s="8" t="str">
        <f t="shared" si="52"/>
        <v>n/a</v>
      </c>
      <c r="Q347" s="5"/>
      <c r="R347" s="5"/>
      <c r="S347" s="5"/>
      <c r="U347" s="6"/>
      <c r="V347" s="9" t="str">
        <f t="shared" si="55"/>
        <v/>
      </c>
      <c r="W347" s="9" t="str">
        <f t="shared" si="56"/>
        <v/>
      </c>
      <c r="X347" s="10">
        <f>SUM(V$13:V347)/COUNTA(B$13:B347)</f>
        <v>0</v>
      </c>
      <c r="Z347" s="5"/>
      <c r="AA347" s="5"/>
      <c r="AC347" s="7"/>
      <c r="AE347" s="54" t="e">
        <f t="shared" si="57"/>
        <v>#N/A</v>
      </c>
      <c r="AF347" s="4" t="e">
        <f t="shared" si="53"/>
        <v>#N/A</v>
      </c>
    </row>
    <row r="348" spans="2:32">
      <c r="B348" s="5">
        <f t="shared" si="58"/>
        <v>336</v>
      </c>
      <c r="C348" s="5"/>
      <c r="E348" s="13"/>
      <c r="F348" s="5"/>
      <c r="G348" s="11" t="str">
        <f>IF(ISERROR(AVERAGE(F$13:F348)),"n/a",AVERAGE(F$13:F348))</f>
        <v>n/a</v>
      </c>
      <c r="H348" s="11" t="str">
        <f t="shared" si="54"/>
        <v>n/a</v>
      </c>
      <c r="J348" s="5"/>
      <c r="K348" s="5"/>
      <c r="L348" s="5"/>
      <c r="M348" s="5"/>
      <c r="N348" s="5"/>
      <c r="O348" s="8" t="str">
        <f t="shared" si="52"/>
        <v>n/a</v>
      </c>
      <c r="Q348" s="5"/>
      <c r="R348" s="5"/>
      <c r="S348" s="5"/>
      <c r="U348" s="6"/>
      <c r="V348" s="9" t="str">
        <f t="shared" si="55"/>
        <v/>
      </c>
      <c r="W348" s="9" t="str">
        <f t="shared" si="56"/>
        <v/>
      </c>
      <c r="X348" s="10">
        <f>SUM(V$13:V348)/COUNTA(B$13:B348)</f>
        <v>0</v>
      </c>
      <c r="Z348" s="5"/>
      <c r="AA348" s="5"/>
      <c r="AC348" s="7"/>
      <c r="AE348" s="54" t="e">
        <f t="shared" si="57"/>
        <v>#N/A</v>
      </c>
      <c r="AF348" s="4" t="e">
        <f t="shared" si="53"/>
        <v>#N/A</v>
      </c>
    </row>
    <row r="349" spans="2:32">
      <c r="B349" s="5">
        <f t="shared" si="58"/>
        <v>337</v>
      </c>
      <c r="C349" s="5"/>
      <c r="E349" s="13"/>
      <c r="F349" s="5"/>
      <c r="G349" s="11" t="str">
        <f>IF(ISERROR(AVERAGE(F$13:F349)),"n/a",AVERAGE(F$13:F349))</f>
        <v>n/a</v>
      </c>
      <c r="H349" s="11" t="str">
        <f t="shared" si="54"/>
        <v>n/a</v>
      </c>
      <c r="J349" s="5"/>
      <c r="K349" s="5"/>
      <c r="L349" s="5"/>
      <c r="M349" s="5"/>
      <c r="N349" s="5"/>
      <c r="O349" s="8" t="str">
        <f t="shared" si="52"/>
        <v>n/a</v>
      </c>
      <c r="Q349" s="5"/>
      <c r="R349" s="5"/>
      <c r="S349" s="5"/>
      <c r="U349" s="6"/>
      <c r="V349" s="9" t="str">
        <f t="shared" si="55"/>
        <v/>
      </c>
      <c r="W349" s="9" t="str">
        <f t="shared" si="56"/>
        <v/>
      </c>
      <c r="X349" s="10">
        <f>SUM(V$13:V349)/COUNTA(B$13:B349)</f>
        <v>0</v>
      </c>
      <c r="Z349" s="5"/>
      <c r="AA349" s="5"/>
      <c r="AC349" s="7"/>
      <c r="AE349" s="54" t="e">
        <f t="shared" si="57"/>
        <v>#N/A</v>
      </c>
      <c r="AF349" s="4" t="e">
        <f t="shared" si="53"/>
        <v>#N/A</v>
      </c>
    </row>
    <row r="350" spans="2:32">
      <c r="B350" s="5">
        <f t="shared" si="58"/>
        <v>338</v>
      </c>
      <c r="C350" s="5"/>
      <c r="E350" s="13"/>
      <c r="F350" s="5"/>
      <c r="G350" s="11" t="str">
        <f>IF(ISERROR(AVERAGE(F$13:F350)),"n/a",AVERAGE(F$13:F350))</f>
        <v>n/a</v>
      </c>
      <c r="H350" s="11" t="str">
        <f t="shared" si="54"/>
        <v>n/a</v>
      </c>
      <c r="J350" s="5"/>
      <c r="K350" s="5"/>
      <c r="L350" s="5"/>
      <c r="M350" s="5"/>
      <c r="N350" s="5"/>
      <c r="O350" s="8" t="str">
        <f t="shared" si="52"/>
        <v>n/a</v>
      </c>
      <c r="Q350" s="5"/>
      <c r="R350" s="5"/>
      <c r="S350" s="5"/>
      <c r="U350" s="6"/>
      <c r="V350" s="9" t="str">
        <f t="shared" si="55"/>
        <v/>
      </c>
      <c r="W350" s="9" t="str">
        <f t="shared" si="56"/>
        <v/>
      </c>
      <c r="X350" s="10">
        <f>SUM(V$13:V350)/COUNTA(B$13:B350)</f>
        <v>0</v>
      </c>
      <c r="Z350" s="5"/>
      <c r="AA350" s="5"/>
      <c r="AC350" s="7"/>
      <c r="AE350" s="54" t="e">
        <f t="shared" si="57"/>
        <v>#N/A</v>
      </c>
      <c r="AF350" s="4" t="e">
        <f t="shared" si="53"/>
        <v>#N/A</v>
      </c>
    </row>
    <row r="351" spans="2:32">
      <c r="B351" s="5">
        <f t="shared" si="58"/>
        <v>339</v>
      </c>
      <c r="C351" s="5"/>
      <c r="E351" s="13"/>
      <c r="F351" s="5"/>
      <c r="G351" s="11" t="str">
        <f>IF(ISERROR(AVERAGE(F$13:F351)),"n/a",AVERAGE(F$13:F351))</f>
        <v>n/a</v>
      </c>
      <c r="H351" s="11" t="str">
        <f t="shared" si="54"/>
        <v>n/a</v>
      </c>
      <c r="J351" s="5"/>
      <c r="K351" s="5"/>
      <c r="L351" s="5"/>
      <c r="M351" s="5"/>
      <c r="N351" s="5"/>
      <c r="O351" s="8" t="str">
        <f t="shared" si="52"/>
        <v>n/a</v>
      </c>
      <c r="Q351" s="5"/>
      <c r="R351" s="5"/>
      <c r="S351" s="5"/>
      <c r="U351" s="6"/>
      <c r="V351" s="9" t="str">
        <f t="shared" si="55"/>
        <v/>
      </c>
      <c r="W351" s="9" t="str">
        <f t="shared" si="56"/>
        <v/>
      </c>
      <c r="X351" s="10">
        <f>SUM(V$13:V351)/COUNTA(B$13:B351)</f>
        <v>0</v>
      </c>
      <c r="Z351" s="5"/>
      <c r="AA351" s="5"/>
      <c r="AC351" s="7"/>
      <c r="AE351" s="54" t="e">
        <f t="shared" si="57"/>
        <v>#N/A</v>
      </c>
      <c r="AF351" s="4" t="e">
        <f t="shared" si="53"/>
        <v>#N/A</v>
      </c>
    </row>
    <row r="352" spans="2:32">
      <c r="B352" s="5">
        <f t="shared" si="58"/>
        <v>340</v>
      </c>
      <c r="C352" s="5"/>
      <c r="E352" s="13"/>
      <c r="F352" s="5"/>
      <c r="G352" s="11" t="str">
        <f>IF(ISERROR(AVERAGE(F$13:F352)),"n/a",AVERAGE(F$13:F352))</f>
        <v>n/a</v>
      </c>
      <c r="H352" s="11" t="str">
        <f t="shared" si="54"/>
        <v>n/a</v>
      </c>
      <c r="J352" s="5"/>
      <c r="K352" s="5"/>
      <c r="L352" s="5"/>
      <c r="M352" s="5"/>
      <c r="N352" s="5"/>
      <c r="O352" s="8" t="str">
        <f t="shared" si="52"/>
        <v>n/a</v>
      </c>
      <c r="Q352" s="5"/>
      <c r="R352" s="5"/>
      <c r="S352" s="5"/>
      <c r="U352" s="6"/>
      <c r="V352" s="9" t="str">
        <f t="shared" si="55"/>
        <v/>
      </c>
      <c r="W352" s="9" t="str">
        <f t="shared" si="56"/>
        <v/>
      </c>
      <c r="X352" s="10">
        <f>SUM(V$13:V352)/COUNTA(B$13:B352)</f>
        <v>0</v>
      </c>
      <c r="Z352" s="5"/>
      <c r="AA352" s="5"/>
      <c r="AC352" s="7"/>
      <c r="AE352" s="54" t="e">
        <f t="shared" si="57"/>
        <v>#N/A</v>
      </c>
      <c r="AF352" s="4" t="e">
        <f t="shared" si="53"/>
        <v>#N/A</v>
      </c>
    </row>
    <row r="353" spans="2:32">
      <c r="B353" s="5">
        <f t="shared" si="58"/>
        <v>341</v>
      </c>
      <c r="C353" s="5"/>
      <c r="E353" s="13"/>
      <c r="F353" s="5"/>
      <c r="G353" s="11" t="str">
        <f>IF(ISERROR(AVERAGE(F$13:F353)),"n/a",AVERAGE(F$13:F353))</f>
        <v>n/a</v>
      </c>
      <c r="H353" s="11" t="str">
        <f t="shared" si="54"/>
        <v>n/a</v>
      </c>
      <c r="J353" s="5"/>
      <c r="K353" s="5"/>
      <c r="L353" s="5"/>
      <c r="M353" s="5"/>
      <c r="N353" s="5"/>
      <c r="O353" s="8" t="str">
        <f t="shared" si="52"/>
        <v>n/a</v>
      </c>
      <c r="Q353" s="5"/>
      <c r="R353" s="5"/>
      <c r="S353" s="5"/>
      <c r="U353" s="6"/>
      <c r="V353" s="9" t="str">
        <f t="shared" si="55"/>
        <v/>
      </c>
      <c r="W353" s="9" t="str">
        <f t="shared" si="56"/>
        <v/>
      </c>
      <c r="X353" s="10">
        <f>SUM(V$13:V353)/COUNTA(B$13:B353)</f>
        <v>0</v>
      </c>
      <c r="Z353" s="5"/>
      <c r="AA353" s="5"/>
      <c r="AC353" s="7"/>
      <c r="AE353" s="54" t="e">
        <f t="shared" si="57"/>
        <v>#N/A</v>
      </c>
      <c r="AF353" s="4" t="e">
        <f t="shared" si="53"/>
        <v>#N/A</v>
      </c>
    </row>
    <row r="354" spans="2:32">
      <c r="B354" s="5">
        <f t="shared" si="58"/>
        <v>342</v>
      </c>
      <c r="C354" s="5"/>
      <c r="E354" s="13"/>
      <c r="F354" s="5"/>
      <c r="G354" s="11" t="str">
        <f>IF(ISERROR(AVERAGE(F$13:F354)),"n/a",AVERAGE(F$13:F354))</f>
        <v>n/a</v>
      </c>
      <c r="H354" s="11" t="str">
        <f t="shared" si="54"/>
        <v>n/a</v>
      </c>
      <c r="J354" s="5"/>
      <c r="K354" s="5"/>
      <c r="L354" s="5"/>
      <c r="M354" s="5"/>
      <c r="N354" s="5"/>
      <c r="O354" s="8" t="str">
        <f t="shared" si="52"/>
        <v>n/a</v>
      </c>
      <c r="Q354" s="5"/>
      <c r="R354" s="5"/>
      <c r="S354" s="5"/>
      <c r="U354" s="6"/>
      <c r="V354" s="9" t="str">
        <f t="shared" si="55"/>
        <v/>
      </c>
      <c r="W354" s="9" t="str">
        <f t="shared" si="56"/>
        <v/>
      </c>
      <c r="X354" s="10">
        <f>SUM(V$13:V354)/COUNTA(B$13:B354)</f>
        <v>0</v>
      </c>
      <c r="Z354" s="5"/>
      <c r="AA354" s="5"/>
      <c r="AC354" s="7"/>
      <c r="AE354" s="54" t="e">
        <f t="shared" si="57"/>
        <v>#N/A</v>
      </c>
      <c r="AF354" s="4" t="e">
        <f t="shared" si="53"/>
        <v>#N/A</v>
      </c>
    </row>
    <row r="355" spans="2:32">
      <c r="B355" s="5">
        <f t="shared" si="58"/>
        <v>343</v>
      </c>
      <c r="C355" s="5"/>
      <c r="E355" s="13"/>
      <c r="F355" s="5"/>
      <c r="G355" s="11" t="str">
        <f>IF(ISERROR(AVERAGE(F$13:F355)),"n/a",AVERAGE(F$13:F355))</f>
        <v>n/a</v>
      </c>
      <c r="H355" s="11" t="str">
        <f t="shared" si="54"/>
        <v>n/a</v>
      </c>
      <c r="J355" s="5"/>
      <c r="K355" s="5"/>
      <c r="L355" s="5"/>
      <c r="M355" s="5"/>
      <c r="N355" s="5"/>
      <c r="O355" s="8" t="str">
        <f t="shared" si="52"/>
        <v>n/a</v>
      </c>
      <c r="Q355" s="5"/>
      <c r="R355" s="5"/>
      <c r="S355" s="5"/>
      <c r="U355" s="6"/>
      <c r="V355" s="9" t="str">
        <f t="shared" si="55"/>
        <v/>
      </c>
      <c r="W355" s="9" t="str">
        <f t="shared" si="56"/>
        <v/>
      </c>
      <c r="X355" s="10">
        <f>SUM(V$13:V355)/COUNTA(B$13:B355)</f>
        <v>0</v>
      </c>
      <c r="Z355" s="5"/>
      <c r="AA355" s="5"/>
      <c r="AC355" s="7"/>
      <c r="AE355" s="54" t="e">
        <f t="shared" si="57"/>
        <v>#N/A</v>
      </c>
      <c r="AF355" s="4" t="e">
        <f t="shared" si="53"/>
        <v>#N/A</v>
      </c>
    </row>
    <row r="356" spans="2:32">
      <c r="B356" s="5">
        <f t="shared" si="58"/>
        <v>344</v>
      </c>
      <c r="C356" s="5"/>
      <c r="E356" s="13"/>
      <c r="F356" s="5"/>
      <c r="G356" s="11" t="str">
        <f>IF(ISERROR(AVERAGE(F$13:F356)),"n/a",AVERAGE(F$13:F356))</f>
        <v>n/a</v>
      </c>
      <c r="H356" s="11" t="str">
        <f t="shared" si="54"/>
        <v>n/a</v>
      </c>
      <c r="J356" s="5"/>
      <c r="K356" s="5"/>
      <c r="L356" s="5"/>
      <c r="M356" s="5"/>
      <c r="N356" s="5"/>
      <c r="O356" s="8" t="str">
        <f t="shared" si="52"/>
        <v>n/a</v>
      </c>
      <c r="Q356" s="5"/>
      <c r="R356" s="5"/>
      <c r="S356" s="5"/>
      <c r="U356" s="6"/>
      <c r="V356" s="9" t="str">
        <f t="shared" si="55"/>
        <v/>
      </c>
      <c r="W356" s="9" t="str">
        <f t="shared" si="56"/>
        <v/>
      </c>
      <c r="X356" s="10">
        <f>SUM(V$13:V356)/COUNTA(B$13:B356)</f>
        <v>0</v>
      </c>
      <c r="Z356" s="5"/>
      <c r="AA356" s="5"/>
      <c r="AC356" s="7"/>
      <c r="AE356" s="54" t="e">
        <f t="shared" si="57"/>
        <v>#N/A</v>
      </c>
      <c r="AF356" s="4" t="e">
        <f t="shared" si="53"/>
        <v>#N/A</v>
      </c>
    </row>
    <row r="357" spans="2:32">
      <c r="B357" s="5">
        <f t="shared" si="58"/>
        <v>345</v>
      </c>
      <c r="C357" s="5"/>
      <c r="E357" s="13"/>
      <c r="F357" s="5"/>
      <c r="G357" s="11" t="str">
        <f>IF(ISERROR(AVERAGE(F$13:F357)),"n/a",AVERAGE(F$13:F357))</f>
        <v>n/a</v>
      </c>
      <c r="H357" s="11" t="str">
        <f t="shared" si="54"/>
        <v>n/a</v>
      </c>
      <c r="J357" s="5"/>
      <c r="K357" s="5"/>
      <c r="L357" s="5"/>
      <c r="M357" s="5"/>
      <c r="N357" s="5"/>
      <c r="O357" s="8" t="str">
        <f t="shared" si="52"/>
        <v>n/a</v>
      </c>
      <c r="Q357" s="5"/>
      <c r="R357" s="5"/>
      <c r="S357" s="5"/>
      <c r="U357" s="6"/>
      <c r="V357" s="9" t="str">
        <f t="shared" si="55"/>
        <v/>
      </c>
      <c r="W357" s="9" t="str">
        <f t="shared" si="56"/>
        <v/>
      </c>
      <c r="X357" s="10">
        <f>SUM(V$13:V357)/COUNTA(B$13:B357)</f>
        <v>0</v>
      </c>
      <c r="Z357" s="5"/>
      <c r="AA357" s="5"/>
      <c r="AC357" s="7"/>
      <c r="AE357" s="54" t="e">
        <f t="shared" si="57"/>
        <v>#N/A</v>
      </c>
      <c r="AF357" s="4" t="e">
        <f t="shared" si="53"/>
        <v>#N/A</v>
      </c>
    </row>
    <row r="358" spans="2:32">
      <c r="B358" s="5">
        <f t="shared" si="58"/>
        <v>346</v>
      </c>
      <c r="C358" s="5"/>
      <c r="E358" s="13"/>
      <c r="F358" s="5"/>
      <c r="G358" s="11" t="str">
        <f>IF(ISERROR(AVERAGE(F$13:F358)),"n/a",AVERAGE(F$13:F358))</f>
        <v>n/a</v>
      </c>
      <c r="H358" s="11" t="str">
        <f t="shared" si="54"/>
        <v>n/a</v>
      </c>
      <c r="J358" s="5"/>
      <c r="K358" s="5"/>
      <c r="L358" s="5"/>
      <c r="M358" s="5"/>
      <c r="N358" s="5"/>
      <c r="O358" s="8" t="str">
        <f t="shared" si="52"/>
        <v>n/a</v>
      </c>
      <c r="Q358" s="5"/>
      <c r="R358" s="5"/>
      <c r="S358" s="5"/>
      <c r="U358" s="6"/>
      <c r="V358" s="9" t="str">
        <f t="shared" si="55"/>
        <v/>
      </c>
      <c r="W358" s="9" t="str">
        <f t="shared" si="56"/>
        <v/>
      </c>
      <c r="X358" s="10">
        <f>SUM(V$13:V358)/COUNTA(B$13:B358)</f>
        <v>0</v>
      </c>
      <c r="Z358" s="5"/>
      <c r="AA358" s="5"/>
      <c r="AC358" s="7"/>
      <c r="AE358" s="54" t="e">
        <f t="shared" si="57"/>
        <v>#N/A</v>
      </c>
      <c r="AF358" s="4" t="e">
        <f t="shared" si="53"/>
        <v>#N/A</v>
      </c>
    </row>
    <row r="359" spans="2:32">
      <c r="B359" s="5">
        <f t="shared" si="58"/>
        <v>347</v>
      </c>
      <c r="C359" s="5"/>
      <c r="E359" s="13"/>
      <c r="F359" s="5"/>
      <c r="G359" s="11" t="str">
        <f>IF(ISERROR(AVERAGE(F$13:F359)),"n/a",AVERAGE(F$13:F359))</f>
        <v>n/a</v>
      </c>
      <c r="H359" s="11" t="str">
        <f t="shared" si="54"/>
        <v>n/a</v>
      </c>
      <c r="J359" s="5"/>
      <c r="K359" s="5"/>
      <c r="L359" s="5"/>
      <c r="M359" s="5"/>
      <c r="N359" s="5"/>
      <c r="O359" s="8" t="str">
        <f t="shared" si="52"/>
        <v>n/a</v>
      </c>
      <c r="Q359" s="5"/>
      <c r="R359" s="5"/>
      <c r="S359" s="5"/>
      <c r="U359" s="6"/>
      <c r="V359" s="9" t="str">
        <f t="shared" si="55"/>
        <v/>
      </c>
      <c r="W359" s="9" t="str">
        <f t="shared" si="56"/>
        <v/>
      </c>
      <c r="X359" s="10">
        <f>SUM(V$13:V359)/COUNTA(B$13:B359)</f>
        <v>0</v>
      </c>
      <c r="Z359" s="5"/>
      <c r="AA359" s="5"/>
      <c r="AC359" s="7"/>
      <c r="AE359" s="54" t="e">
        <f t="shared" si="57"/>
        <v>#N/A</v>
      </c>
      <c r="AF359" s="4" t="e">
        <f t="shared" si="53"/>
        <v>#N/A</v>
      </c>
    </row>
    <row r="360" spans="2:32">
      <c r="B360" s="5">
        <f t="shared" si="58"/>
        <v>348</v>
      </c>
      <c r="C360" s="5"/>
      <c r="E360" s="13"/>
      <c r="F360" s="5"/>
      <c r="G360" s="11" t="str">
        <f>IF(ISERROR(AVERAGE(F$13:F360)),"n/a",AVERAGE(F$13:F360))</f>
        <v>n/a</v>
      </c>
      <c r="H360" s="11" t="str">
        <f t="shared" si="54"/>
        <v>n/a</v>
      </c>
      <c r="J360" s="5"/>
      <c r="K360" s="5"/>
      <c r="L360" s="5"/>
      <c r="M360" s="5"/>
      <c r="N360" s="5"/>
      <c r="O360" s="8" t="str">
        <f t="shared" si="52"/>
        <v>n/a</v>
      </c>
      <c r="Q360" s="5"/>
      <c r="R360" s="5"/>
      <c r="S360" s="5"/>
      <c r="U360" s="6"/>
      <c r="V360" s="9" t="str">
        <f t="shared" si="55"/>
        <v/>
      </c>
      <c r="W360" s="9" t="str">
        <f t="shared" si="56"/>
        <v/>
      </c>
      <c r="X360" s="10">
        <f>SUM(V$13:V360)/COUNTA(B$13:B360)</f>
        <v>0</v>
      </c>
      <c r="Z360" s="5"/>
      <c r="AA360" s="5"/>
      <c r="AC360" s="7"/>
      <c r="AE360" s="54" t="e">
        <f t="shared" si="57"/>
        <v>#N/A</v>
      </c>
      <c r="AF360" s="4" t="e">
        <f t="shared" si="53"/>
        <v>#N/A</v>
      </c>
    </row>
    <row r="361" spans="2:32">
      <c r="B361" s="5">
        <f t="shared" si="58"/>
        <v>349</v>
      </c>
      <c r="C361" s="5"/>
      <c r="E361" s="13"/>
      <c r="F361" s="5"/>
      <c r="G361" s="11" t="str">
        <f>IF(ISERROR(AVERAGE(F$13:F361)),"n/a",AVERAGE(F$13:F361))</f>
        <v>n/a</v>
      </c>
      <c r="H361" s="11" t="str">
        <f t="shared" si="54"/>
        <v>n/a</v>
      </c>
      <c r="J361" s="5"/>
      <c r="K361" s="5"/>
      <c r="L361" s="5"/>
      <c r="M361" s="5"/>
      <c r="N361" s="5"/>
      <c r="O361" s="8" t="str">
        <f t="shared" si="52"/>
        <v>n/a</v>
      </c>
      <c r="Q361" s="5"/>
      <c r="R361" s="5"/>
      <c r="S361" s="5"/>
      <c r="U361" s="6"/>
      <c r="V361" s="9" t="str">
        <f t="shared" si="55"/>
        <v/>
      </c>
      <c r="W361" s="9" t="str">
        <f t="shared" si="56"/>
        <v/>
      </c>
      <c r="X361" s="10">
        <f>SUM(V$13:V361)/COUNTA(B$13:B361)</f>
        <v>0</v>
      </c>
      <c r="Z361" s="5"/>
      <c r="AA361" s="5"/>
      <c r="AC361" s="7"/>
      <c r="AE361" s="54" t="e">
        <f t="shared" si="57"/>
        <v>#N/A</v>
      </c>
      <c r="AF361" s="4" t="e">
        <f t="shared" si="53"/>
        <v>#N/A</v>
      </c>
    </row>
    <row r="362" spans="2:32">
      <c r="B362" s="5">
        <f t="shared" si="58"/>
        <v>350</v>
      </c>
      <c r="C362" s="5"/>
      <c r="E362" s="13"/>
      <c r="F362" s="5"/>
      <c r="G362" s="11" t="str">
        <f>IF(ISERROR(AVERAGE(F$13:F362)),"n/a",AVERAGE(F$13:F362))</f>
        <v>n/a</v>
      </c>
      <c r="H362" s="11" t="str">
        <f t="shared" si="54"/>
        <v>n/a</v>
      </c>
      <c r="J362" s="5"/>
      <c r="K362" s="5"/>
      <c r="L362" s="5"/>
      <c r="M362" s="5"/>
      <c r="N362" s="5"/>
      <c r="O362" s="8" t="str">
        <f t="shared" si="52"/>
        <v>n/a</v>
      </c>
      <c r="Q362" s="5"/>
      <c r="R362" s="5"/>
      <c r="S362" s="5"/>
      <c r="U362" s="6"/>
      <c r="V362" s="9" t="str">
        <f t="shared" si="55"/>
        <v/>
      </c>
      <c r="W362" s="9" t="str">
        <f t="shared" si="56"/>
        <v/>
      </c>
      <c r="X362" s="10">
        <f>SUM(V$13:V362)/COUNTA(B$13:B362)</f>
        <v>0</v>
      </c>
      <c r="Z362" s="5"/>
      <c r="AA362" s="5"/>
      <c r="AC362" s="7"/>
      <c r="AE362" s="54" t="e">
        <f t="shared" si="57"/>
        <v>#N/A</v>
      </c>
      <c r="AF362" s="4" t="e">
        <f t="shared" si="53"/>
        <v>#N/A</v>
      </c>
    </row>
    <row r="363" spans="2:32">
      <c r="B363" s="5">
        <f t="shared" si="58"/>
        <v>351</v>
      </c>
      <c r="C363" s="5"/>
      <c r="E363" s="13"/>
      <c r="F363" s="5"/>
      <c r="G363" s="11" t="str">
        <f>IF(ISERROR(AVERAGE(F$13:F363)),"n/a",AVERAGE(F$13:F363))</f>
        <v>n/a</v>
      </c>
      <c r="H363" s="11" t="str">
        <f t="shared" si="54"/>
        <v>n/a</v>
      </c>
      <c r="J363" s="5"/>
      <c r="K363" s="5"/>
      <c r="L363" s="5"/>
      <c r="M363" s="5"/>
      <c r="N363" s="5"/>
      <c r="O363" s="8" t="str">
        <f t="shared" si="52"/>
        <v>n/a</v>
      </c>
      <c r="Q363" s="5"/>
      <c r="R363" s="5"/>
      <c r="S363" s="5"/>
      <c r="U363" s="6"/>
      <c r="V363" s="9" t="str">
        <f t="shared" si="55"/>
        <v/>
      </c>
      <c r="W363" s="9" t="str">
        <f t="shared" si="56"/>
        <v/>
      </c>
      <c r="X363" s="10">
        <f>SUM(V$13:V363)/COUNTA(B$13:B363)</f>
        <v>0</v>
      </c>
      <c r="Z363" s="5"/>
      <c r="AA363" s="5"/>
      <c r="AC363" s="7"/>
      <c r="AE363" s="54" t="e">
        <f t="shared" si="57"/>
        <v>#N/A</v>
      </c>
      <c r="AF363" s="4" t="e">
        <f t="shared" si="53"/>
        <v>#N/A</v>
      </c>
    </row>
    <row r="364" spans="2:32">
      <c r="B364" s="5">
        <f t="shared" si="58"/>
        <v>352</v>
      </c>
      <c r="C364" s="5"/>
      <c r="E364" s="13"/>
      <c r="F364" s="5"/>
      <c r="G364" s="11" t="str">
        <f>IF(ISERROR(AVERAGE(F$13:F364)),"n/a",AVERAGE(F$13:F364))</f>
        <v>n/a</v>
      </c>
      <c r="H364" s="11" t="str">
        <f t="shared" si="54"/>
        <v>n/a</v>
      </c>
      <c r="J364" s="5"/>
      <c r="K364" s="5"/>
      <c r="L364" s="5"/>
      <c r="M364" s="5"/>
      <c r="N364" s="5"/>
      <c r="O364" s="8" t="str">
        <f t="shared" si="52"/>
        <v>n/a</v>
      </c>
      <c r="Q364" s="5"/>
      <c r="R364" s="5"/>
      <c r="S364" s="5"/>
      <c r="U364" s="6"/>
      <c r="V364" s="9" t="str">
        <f t="shared" si="55"/>
        <v/>
      </c>
      <c r="W364" s="9" t="str">
        <f t="shared" si="56"/>
        <v/>
      </c>
      <c r="X364" s="10">
        <f>SUM(V$13:V364)/COUNTA(B$13:B364)</f>
        <v>0</v>
      </c>
      <c r="Z364" s="5"/>
      <c r="AA364" s="5"/>
      <c r="AC364" s="7"/>
      <c r="AE364" s="54" t="e">
        <f t="shared" si="57"/>
        <v>#N/A</v>
      </c>
      <c r="AF364" s="4" t="e">
        <f t="shared" si="53"/>
        <v>#N/A</v>
      </c>
    </row>
    <row r="365" spans="2:32">
      <c r="B365" s="5">
        <f t="shared" si="58"/>
        <v>353</v>
      </c>
      <c r="C365" s="5"/>
      <c r="E365" s="13"/>
      <c r="F365" s="5"/>
      <c r="G365" s="11" t="str">
        <f>IF(ISERROR(AVERAGE(F$13:F365)),"n/a",AVERAGE(F$13:F365))</f>
        <v>n/a</v>
      </c>
      <c r="H365" s="11" t="str">
        <f t="shared" si="54"/>
        <v>n/a</v>
      </c>
      <c r="J365" s="5"/>
      <c r="K365" s="5"/>
      <c r="L365" s="5"/>
      <c r="M365" s="5"/>
      <c r="N365" s="5"/>
      <c r="O365" s="8" t="str">
        <f t="shared" si="52"/>
        <v>n/a</v>
      </c>
      <c r="Q365" s="5"/>
      <c r="R365" s="5"/>
      <c r="S365" s="5"/>
      <c r="U365" s="6"/>
      <c r="V365" s="9" t="str">
        <f t="shared" si="55"/>
        <v/>
      </c>
      <c r="W365" s="9" t="str">
        <f t="shared" si="56"/>
        <v/>
      </c>
      <c r="X365" s="10">
        <f>SUM(V$13:V365)/COUNTA(B$13:B365)</f>
        <v>0</v>
      </c>
      <c r="Z365" s="5"/>
      <c r="AA365" s="5"/>
      <c r="AC365" s="7"/>
      <c r="AE365" s="54" t="e">
        <f t="shared" si="57"/>
        <v>#N/A</v>
      </c>
      <c r="AF365" s="4" t="e">
        <f t="shared" si="53"/>
        <v>#N/A</v>
      </c>
    </row>
    <row r="366" spans="2:32">
      <c r="B366" s="5">
        <f t="shared" si="58"/>
        <v>354</v>
      </c>
      <c r="C366" s="5"/>
      <c r="E366" s="13"/>
      <c r="F366" s="5"/>
      <c r="G366" s="11" t="str">
        <f>IF(ISERROR(AVERAGE(F$13:F366)),"n/a",AVERAGE(F$13:F366))</f>
        <v>n/a</v>
      </c>
      <c r="H366" s="11" t="str">
        <f t="shared" si="54"/>
        <v>n/a</v>
      </c>
      <c r="J366" s="5"/>
      <c r="K366" s="5"/>
      <c r="L366" s="5"/>
      <c r="M366" s="5"/>
      <c r="N366" s="5"/>
      <c r="O366" s="8" t="str">
        <f t="shared" si="52"/>
        <v>n/a</v>
      </c>
      <c r="Q366" s="5"/>
      <c r="R366" s="5"/>
      <c r="S366" s="5"/>
      <c r="U366" s="6"/>
      <c r="V366" s="9" t="str">
        <f t="shared" si="55"/>
        <v/>
      </c>
      <c r="W366" s="9" t="str">
        <f t="shared" si="56"/>
        <v/>
      </c>
      <c r="X366" s="10">
        <f>SUM(V$13:V366)/COUNTA(B$13:B366)</f>
        <v>0</v>
      </c>
      <c r="Z366" s="5"/>
      <c r="AA366" s="5"/>
      <c r="AC366" s="7"/>
      <c r="AE366" s="54" t="e">
        <f t="shared" si="57"/>
        <v>#N/A</v>
      </c>
      <c r="AF366" s="4" t="e">
        <f t="shared" si="53"/>
        <v>#N/A</v>
      </c>
    </row>
    <row r="367" spans="2:32">
      <c r="B367" s="5">
        <f t="shared" si="58"/>
        <v>355</v>
      </c>
      <c r="C367" s="5"/>
      <c r="E367" s="13"/>
      <c r="F367" s="5"/>
      <c r="G367" s="11" t="str">
        <f>IF(ISERROR(AVERAGE(F$13:F367)),"n/a",AVERAGE(F$13:F367))</f>
        <v>n/a</v>
      </c>
      <c r="H367" s="11" t="str">
        <f t="shared" si="54"/>
        <v>n/a</v>
      </c>
      <c r="J367" s="5"/>
      <c r="K367" s="5"/>
      <c r="L367" s="5"/>
      <c r="M367" s="5"/>
      <c r="N367" s="5"/>
      <c r="O367" s="8" t="str">
        <f t="shared" si="52"/>
        <v>n/a</v>
      </c>
      <c r="Q367" s="5"/>
      <c r="R367" s="5"/>
      <c r="S367" s="5"/>
      <c r="U367" s="6"/>
      <c r="V367" s="9" t="str">
        <f t="shared" si="55"/>
        <v/>
      </c>
      <c r="W367" s="9" t="str">
        <f t="shared" si="56"/>
        <v/>
      </c>
      <c r="X367" s="10">
        <f>SUM(V$13:V367)/COUNTA(B$13:B367)</f>
        <v>0</v>
      </c>
      <c r="Z367" s="5"/>
      <c r="AA367" s="5"/>
      <c r="AC367" s="7"/>
      <c r="AE367" s="54" t="e">
        <f t="shared" si="57"/>
        <v>#N/A</v>
      </c>
      <c r="AF367" s="4" t="e">
        <f t="shared" si="53"/>
        <v>#N/A</v>
      </c>
    </row>
    <row r="368" spans="2:32">
      <c r="B368" s="5">
        <f t="shared" si="58"/>
        <v>356</v>
      </c>
      <c r="C368" s="5"/>
      <c r="E368" s="13"/>
      <c r="F368" s="5"/>
      <c r="G368" s="11" t="str">
        <f>IF(ISERROR(AVERAGE(F$13:F368)),"n/a",AVERAGE(F$13:F368))</f>
        <v>n/a</v>
      </c>
      <c r="H368" s="11" t="str">
        <f t="shared" si="54"/>
        <v>n/a</v>
      </c>
      <c r="J368" s="5"/>
      <c r="K368" s="5"/>
      <c r="L368" s="5"/>
      <c r="M368" s="5"/>
      <c r="N368" s="5"/>
      <c r="O368" s="8" t="str">
        <f t="shared" si="52"/>
        <v>n/a</v>
      </c>
      <c r="Q368" s="5"/>
      <c r="R368" s="5"/>
      <c r="S368" s="5"/>
      <c r="U368" s="6"/>
      <c r="V368" s="9" t="str">
        <f t="shared" si="55"/>
        <v/>
      </c>
      <c r="W368" s="9" t="str">
        <f t="shared" si="56"/>
        <v/>
      </c>
      <c r="X368" s="10">
        <f>SUM(V$13:V368)/COUNTA(B$13:B368)</f>
        <v>0</v>
      </c>
      <c r="Z368" s="5"/>
      <c r="AA368" s="5"/>
      <c r="AC368" s="7"/>
      <c r="AE368" s="54" t="e">
        <f t="shared" si="57"/>
        <v>#N/A</v>
      </c>
      <c r="AF368" s="4" t="e">
        <f t="shared" si="53"/>
        <v>#N/A</v>
      </c>
    </row>
    <row r="369" spans="2:32">
      <c r="B369" s="5">
        <f t="shared" si="58"/>
        <v>357</v>
      </c>
      <c r="C369" s="5"/>
      <c r="E369" s="13"/>
      <c r="F369" s="5"/>
      <c r="G369" s="11" t="str">
        <f>IF(ISERROR(AVERAGE(F$13:F369)),"n/a",AVERAGE(F$13:F369))</f>
        <v>n/a</v>
      </c>
      <c r="H369" s="11" t="str">
        <f t="shared" si="54"/>
        <v>n/a</v>
      </c>
      <c r="J369" s="5"/>
      <c r="K369" s="5"/>
      <c r="L369" s="5"/>
      <c r="M369" s="5"/>
      <c r="N369" s="5"/>
      <c r="O369" s="8" t="str">
        <f t="shared" si="52"/>
        <v>n/a</v>
      </c>
      <c r="Q369" s="5"/>
      <c r="R369" s="5"/>
      <c r="S369" s="5"/>
      <c r="U369" s="6"/>
      <c r="V369" s="9" t="str">
        <f t="shared" si="55"/>
        <v/>
      </c>
      <c r="W369" s="9" t="str">
        <f t="shared" si="56"/>
        <v/>
      </c>
      <c r="X369" s="10">
        <f>SUM(V$13:V369)/COUNTA(B$13:B369)</f>
        <v>0</v>
      </c>
      <c r="Z369" s="5"/>
      <c r="AA369" s="5"/>
      <c r="AC369" s="7"/>
      <c r="AE369" s="54" t="e">
        <f t="shared" si="57"/>
        <v>#N/A</v>
      </c>
      <c r="AF369" s="4" t="e">
        <f t="shared" si="53"/>
        <v>#N/A</v>
      </c>
    </row>
    <row r="370" spans="2:32">
      <c r="B370" s="5">
        <f t="shared" si="58"/>
        <v>358</v>
      </c>
      <c r="C370" s="5"/>
      <c r="E370" s="13"/>
      <c r="F370" s="5"/>
      <c r="G370" s="11" t="str">
        <f>IF(ISERROR(AVERAGE(F$13:F370)),"n/a",AVERAGE(F$13:F370))</f>
        <v>n/a</v>
      </c>
      <c r="H370" s="11" t="str">
        <f t="shared" si="54"/>
        <v>n/a</v>
      </c>
      <c r="J370" s="5"/>
      <c r="K370" s="5"/>
      <c r="L370" s="5"/>
      <c r="M370" s="5"/>
      <c r="N370" s="5"/>
      <c r="O370" s="8" t="str">
        <f t="shared" si="52"/>
        <v>n/a</v>
      </c>
      <c r="Q370" s="5"/>
      <c r="R370" s="5"/>
      <c r="S370" s="5"/>
      <c r="U370" s="6"/>
      <c r="V370" s="9" t="str">
        <f t="shared" si="55"/>
        <v/>
      </c>
      <c r="W370" s="9" t="str">
        <f t="shared" si="56"/>
        <v/>
      </c>
      <c r="X370" s="10">
        <f>SUM(V$13:V370)/COUNTA(B$13:B370)</f>
        <v>0</v>
      </c>
      <c r="Z370" s="5"/>
      <c r="AA370" s="5"/>
      <c r="AC370" s="7"/>
      <c r="AE370" s="54" t="e">
        <f t="shared" si="57"/>
        <v>#N/A</v>
      </c>
      <c r="AF370" s="4" t="e">
        <f t="shared" si="53"/>
        <v>#N/A</v>
      </c>
    </row>
    <row r="371" spans="2:32">
      <c r="B371" s="5">
        <f t="shared" si="58"/>
        <v>359</v>
      </c>
      <c r="C371" s="5"/>
      <c r="E371" s="13"/>
      <c r="F371" s="5"/>
      <c r="G371" s="11" t="str">
        <f>IF(ISERROR(AVERAGE(F$13:F371)),"n/a",AVERAGE(F$13:F371))</f>
        <v>n/a</v>
      </c>
      <c r="H371" s="11" t="str">
        <f t="shared" si="54"/>
        <v>n/a</v>
      </c>
      <c r="J371" s="5"/>
      <c r="K371" s="5"/>
      <c r="L371" s="5"/>
      <c r="M371" s="5"/>
      <c r="N371" s="5"/>
      <c r="O371" s="8" t="str">
        <f t="shared" si="52"/>
        <v>n/a</v>
      </c>
      <c r="Q371" s="5"/>
      <c r="R371" s="5"/>
      <c r="S371" s="5"/>
      <c r="U371" s="6"/>
      <c r="V371" s="9" t="str">
        <f t="shared" si="55"/>
        <v/>
      </c>
      <c r="W371" s="9" t="str">
        <f t="shared" si="56"/>
        <v/>
      </c>
      <c r="X371" s="10">
        <f>SUM(V$13:V371)/COUNTA(B$13:B371)</f>
        <v>0</v>
      </c>
      <c r="Z371" s="5"/>
      <c r="AA371" s="5"/>
      <c r="AC371" s="7"/>
      <c r="AE371" s="54" t="e">
        <f t="shared" si="57"/>
        <v>#N/A</v>
      </c>
      <c r="AF371" s="4" t="e">
        <f t="shared" si="53"/>
        <v>#N/A</v>
      </c>
    </row>
    <row r="372" spans="2:32">
      <c r="B372" s="5">
        <f t="shared" si="58"/>
        <v>360</v>
      </c>
      <c r="C372" s="5"/>
      <c r="E372" s="13"/>
      <c r="F372" s="5"/>
      <c r="G372" s="11" t="str">
        <f>IF(ISERROR(AVERAGE(F$13:F372)),"n/a",AVERAGE(F$13:F372))</f>
        <v>n/a</v>
      </c>
      <c r="H372" s="11" t="str">
        <f t="shared" si="54"/>
        <v>n/a</v>
      </c>
      <c r="J372" s="5"/>
      <c r="K372" s="5"/>
      <c r="L372" s="5"/>
      <c r="M372" s="5"/>
      <c r="N372" s="5"/>
      <c r="O372" s="8" t="str">
        <f t="shared" si="52"/>
        <v>n/a</v>
      </c>
      <c r="Q372" s="5"/>
      <c r="R372" s="5"/>
      <c r="S372" s="5"/>
      <c r="U372" s="6"/>
      <c r="V372" s="9" t="str">
        <f t="shared" si="55"/>
        <v/>
      </c>
      <c r="W372" s="9" t="str">
        <f t="shared" si="56"/>
        <v/>
      </c>
      <c r="X372" s="10">
        <f>SUM(V$13:V372)/COUNTA(B$13:B372)</f>
        <v>0</v>
      </c>
      <c r="Z372" s="5"/>
      <c r="AA372" s="5"/>
      <c r="AC372" s="7"/>
      <c r="AE372" s="54" t="e">
        <f t="shared" si="57"/>
        <v>#N/A</v>
      </c>
      <c r="AF372" s="4" t="e">
        <f t="shared" si="53"/>
        <v>#N/A</v>
      </c>
    </row>
    <row r="373" spans="2:32">
      <c r="B373" s="5">
        <f t="shared" si="58"/>
        <v>361</v>
      </c>
      <c r="C373" s="5"/>
      <c r="E373" s="13"/>
      <c r="F373" s="5"/>
      <c r="G373" s="11" t="str">
        <f>IF(ISERROR(AVERAGE(F$13:F373)),"n/a",AVERAGE(F$13:F373))</f>
        <v>n/a</v>
      </c>
      <c r="H373" s="11" t="str">
        <f t="shared" si="54"/>
        <v>n/a</v>
      </c>
      <c r="J373" s="5"/>
      <c r="K373" s="5"/>
      <c r="L373" s="5"/>
      <c r="M373" s="5"/>
      <c r="N373" s="5"/>
      <c r="O373" s="8" t="str">
        <f t="shared" si="52"/>
        <v>n/a</v>
      </c>
      <c r="Q373" s="5"/>
      <c r="R373" s="5"/>
      <c r="S373" s="5"/>
      <c r="U373" s="6"/>
      <c r="V373" s="9" t="str">
        <f t="shared" si="55"/>
        <v/>
      </c>
      <c r="W373" s="9" t="str">
        <f t="shared" si="56"/>
        <v/>
      </c>
      <c r="X373" s="10">
        <f>SUM(V$13:V373)/COUNTA(B$13:B373)</f>
        <v>0</v>
      </c>
      <c r="Z373" s="5"/>
      <c r="AA373" s="5"/>
      <c r="AC373" s="7"/>
      <c r="AE373" s="54" t="e">
        <f t="shared" si="57"/>
        <v>#N/A</v>
      </c>
      <c r="AF373" s="4" t="e">
        <f t="shared" si="53"/>
        <v>#N/A</v>
      </c>
    </row>
    <row r="374" spans="2:32">
      <c r="B374" s="5">
        <f t="shared" si="58"/>
        <v>362</v>
      </c>
      <c r="C374" s="5"/>
      <c r="E374" s="13"/>
      <c r="F374" s="5"/>
      <c r="G374" s="11" t="str">
        <f>IF(ISERROR(AVERAGE(F$13:F374)),"n/a",AVERAGE(F$13:F374))</f>
        <v>n/a</v>
      </c>
      <c r="H374" s="11" t="str">
        <f t="shared" si="54"/>
        <v>n/a</v>
      </c>
      <c r="J374" s="5"/>
      <c r="K374" s="5"/>
      <c r="L374" s="5"/>
      <c r="M374" s="5"/>
      <c r="N374" s="5"/>
      <c r="O374" s="8" t="str">
        <f t="shared" si="52"/>
        <v>n/a</v>
      </c>
      <c r="Q374" s="5"/>
      <c r="R374" s="5"/>
      <c r="S374" s="5"/>
      <c r="U374" s="6"/>
      <c r="V374" s="9" t="str">
        <f t="shared" si="55"/>
        <v/>
      </c>
      <c r="W374" s="9" t="str">
        <f t="shared" si="56"/>
        <v/>
      </c>
      <c r="X374" s="10">
        <f>SUM(V$13:V374)/COUNTA(B$13:B374)</f>
        <v>0</v>
      </c>
      <c r="Z374" s="5"/>
      <c r="AA374" s="5"/>
      <c r="AC374" s="7"/>
      <c r="AE374" s="54" t="e">
        <f t="shared" si="57"/>
        <v>#N/A</v>
      </c>
      <c r="AF374" s="4" t="e">
        <f t="shared" si="53"/>
        <v>#N/A</v>
      </c>
    </row>
    <row r="375" spans="2:32">
      <c r="B375" s="5">
        <f t="shared" si="58"/>
        <v>363</v>
      </c>
      <c r="C375" s="5"/>
      <c r="E375" s="13"/>
      <c r="F375" s="5"/>
      <c r="G375" s="11" t="str">
        <f>IF(ISERROR(AVERAGE(F$13:F375)),"n/a",AVERAGE(F$13:F375))</f>
        <v>n/a</v>
      </c>
      <c r="H375" s="11" t="str">
        <f t="shared" si="54"/>
        <v>n/a</v>
      </c>
      <c r="J375" s="5"/>
      <c r="K375" s="5"/>
      <c r="L375" s="5"/>
      <c r="M375" s="5"/>
      <c r="N375" s="5"/>
      <c r="O375" s="8" t="str">
        <f t="shared" si="52"/>
        <v>n/a</v>
      </c>
      <c r="Q375" s="5"/>
      <c r="R375" s="5"/>
      <c r="S375" s="5"/>
      <c r="U375" s="6"/>
      <c r="V375" s="9" t="str">
        <f t="shared" si="55"/>
        <v/>
      </c>
      <c r="W375" s="9" t="str">
        <f t="shared" si="56"/>
        <v/>
      </c>
      <c r="X375" s="10">
        <f>SUM(V$13:V375)/COUNTA(B$13:B375)</f>
        <v>0</v>
      </c>
      <c r="Z375" s="5"/>
      <c r="AA375" s="5"/>
      <c r="AC375" s="7"/>
      <c r="AE375" s="54" t="e">
        <f t="shared" si="57"/>
        <v>#N/A</v>
      </c>
      <c r="AF375" s="4" t="e">
        <f t="shared" si="53"/>
        <v>#N/A</v>
      </c>
    </row>
    <row r="376" spans="2:32">
      <c r="B376" s="5">
        <f t="shared" si="58"/>
        <v>364</v>
      </c>
      <c r="C376" s="5"/>
      <c r="E376" s="13"/>
      <c r="F376" s="5"/>
      <c r="G376" s="11" t="str">
        <f>IF(ISERROR(AVERAGE(F$13:F376)),"n/a",AVERAGE(F$13:F376))</f>
        <v>n/a</v>
      </c>
      <c r="H376" s="11" t="str">
        <f t="shared" si="54"/>
        <v>n/a</v>
      </c>
      <c r="J376" s="5"/>
      <c r="K376" s="5"/>
      <c r="L376" s="5"/>
      <c r="M376" s="5"/>
      <c r="N376" s="5"/>
      <c r="O376" s="8" t="str">
        <f t="shared" si="52"/>
        <v>n/a</v>
      </c>
      <c r="Q376" s="5"/>
      <c r="R376" s="5"/>
      <c r="S376" s="5"/>
      <c r="U376" s="6"/>
      <c r="V376" s="9" t="str">
        <f t="shared" si="55"/>
        <v/>
      </c>
      <c r="W376" s="9" t="str">
        <f t="shared" si="56"/>
        <v/>
      </c>
      <c r="X376" s="10">
        <f>SUM(V$13:V376)/COUNTA(B$13:B376)</f>
        <v>0</v>
      </c>
      <c r="Z376" s="5"/>
      <c r="AA376" s="5"/>
      <c r="AC376" s="7"/>
      <c r="AE376" s="54" t="e">
        <f t="shared" si="57"/>
        <v>#N/A</v>
      </c>
      <c r="AF376" s="4" t="e">
        <f t="shared" si="53"/>
        <v>#N/A</v>
      </c>
    </row>
    <row r="377" spans="2:32">
      <c r="B377" s="5">
        <f t="shared" si="58"/>
        <v>365</v>
      </c>
      <c r="C377" s="5"/>
      <c r="E377" s="13"/>
      <c r="F377" s="5"/>
      <c r="G377" s="11" t="str">
        <f>IF(ISERROR(AVERAGE(F$13:F377)),"n/a",AVERAGE(F$13:F377))</f>
        <v>n/a</v>
      </c>
      <c r="H377" s="11" t="str">
        <f t="shared" si="54"/>
        <v>n/a</v>
      </c>
      <c r="J377" s="5"/>
      <c r="K377" s="5"/>
      <c r="L377" s="5"/>
      <c r="M377" s="5"/>
      <c r="N377" s="5"/>
      <c r="O377" s="8" t="str">
        <f t="shared" si="52"/>
        <v>n/a</v>
      </c>
      <c r="Q377" s="5"/>
      <c r="R377" s="5"/>
      <c r="S377" s="5"/>
      <c r="U377" s="6"/>
      <c r="V377" s="9" t="str">
        <f t="shared" si="55"/>
        <v/>
      </c>
      <c r="W377" s="9" t="str">
        <f t="shared" si="56"/>
        <v/>
      </c>
      <c r="X377" s="10">
        <f>SUM(V$13:V377)/COUNTA(B$13:B377)</f>
        <v>0</v>
      </c>
      <c r="Z377" s="5"/>
      <c r="AA377" s="5"/>
      <c r="AC377" s="7"/>
      <c r="AE377" s="54" t="e">
        <f t="shared" si="57"/>
        <v>#N/A</v>
      </c>
      <c r="AF377" s="4" t="e">
        <f t="shared" si="53"/>
        <v>#N/A</v>
      </c>
    </row>
    <row r="378" spans="2:32">
      <c r="B378" s="5">
        <f t="shared" si="58"/>
        <v>366</v>
      </c>
      <c r="C378" s="5"/>
      <c r="E378" s="13"/>
      <c r="F378" s="5"/>
      <c r="G378" s="11" t="str">
        <f>IF(ISERROR(AVERAGE(F$13:F378)),"n/a",AVERAGE(F$13:F378))</f>
        <v>n/a</v>
      </c>
      <c r="H378" s="11" t="str">
        <f t="shared" si="54"/>
        <v>n/a</v>
      </c>
      <c r="J378" s="5"/>
      <c r="K378" s="5"/>
      <c r="L378" s="5"/>
      <c r="M378" s="5"/>
      <c r="N378" s="5"/>
      <c r="O378" s="8" t="str">
        <f t="shared" si="52"/>
        <v>n/a</v>
      </c>
      <c r="Q378" s="5"/>
      <c r="R378" s="5"/>
      <c r="S378" s="5"/>
      <c r="U378" s="6"/>
      <c r="V378" s="9" t="str">
        <f t="shared" si="55"/>
        <v/>
      </c>
      <c r="W378" s="9" t="str">
        <f t="shared" si="56"/>
        <v/>
      </c>
      <c r="X378" s="10">
        <f>SUM(V$13:V378)/COUNTA(B$13:B378)</f>
        <v>0</v>
      </c>
      <c r="Z378" s="5"/>
      <c r="AA378" s="5"/>
      <c r="AC378" s="7"/>
      <c r="AE378" s="54" t="e">
        <f t="shared" si="57"/>
        <v>#N/A</v>
      </c>
      <c r="AF378" s="4" t="e">
        <f t="shared" si="53"/>
        <v>#N/A</v>
      </c>
    </row>
    <row r="379" spans="2:32">
      <c r="B379" s="5">
        <f t="shared" si="58"/>
        <v>367</v>
      </c>
      <c r="C379" s="5"/>
      <c r="E379" s="13"/>
      <c r="F379" s="5"/>
      <c r="G379" s="11" t="str">
        <f>IF(ISERROR(AVERAGE(F$13:F379)),"n/a",AVERAGE(F$13:F379))</f>
        <v>n/a</v>
      </c>
      <c r="H379" s="11" t="str">
        <f t="shared" si="54"/>
        <v>n/a</v>
      </c>
      <c r="J379" s="5"/>
      <c r="K379" s="5"/>
      <c r="L379" s="5"/>
      <c r="M379" s="5"/>
      <c r="N379" s="5"/>
      <c r="O379" s="8" t="str">
        <f t="shared" si="52"/>
        <v>n/a</v>
      </c>
      <c r="Q379" s="5"/>
      <c r="R379" s="5"/>
      <c r="S379" s="5"/>
      <c r="U379" s="6"/>
      <c r="V379" s="9" t="str">
        <f t="shared" si="55"/>
        <v/>
      </c>
      <c r="W379" s="9" t="str">
        <f t="shared" si="56"/>
        <v/>
      </c>
      <c r="X379" s="10">
        <f>SUM(V$13:V379)/COUNTA(B$13:B379)</f>
        <v>0</v>
      </c>
      <c r="Z379" s="5"/>
      <c r="AA379" s="5"/>
      <c r="AC379" s="7"/>
      <c r="AE379" s="54" t="e">
        <f t="shared" si="57"/>
        <v>#N/A</v>
      </c>
      <c r="AF379" s="4" t="e">
        <f t="shared" si="53"/>
        <v>#N/A</v>
      </c>
    </row>
    <row r="380" spans="2:32">
      <c r="B380" s="5">
        <f t="shared" si="58"/>
        <v>368</v>
      </c>
      <c r="C380" s="5"/>
      <c r="E380" s="13"/>
      <c r="F380" s="5"/>
      <c r="G380" s="11" t="str">
        <f>IF(ISERROR(AVERAGE(F$13:F380)),"n/a",AVERAGE(F$13:F380))</f>
        <v>n/a</v>
      </c>
      <c r="H380" s="11" t="str">
        <f t="shared" si="54"/>
        <v>n/a</v>
      </c>
      <c r="J380" s="5"/>
      <c r="K380" s="5"/>
      <c r="L380" s="5"/>
      <c r="M380" s="5"/>
      <c r="N380" s="5"/>
      <c r="O380" s="8" t="str">
        <f t="shared" si="52"/>
        <v>n/a</v>
      </c>
      <c r="Q380" s="5"/>
      <c r="R380" s="5"/>
      <c r="S380" s="5"/>
      <c r="U380" s="6"/>
      <c r="V380" s="9" t="str">
        <f t="shared" si="55"/>
        <v/>
      </c>
      <c r="W380" s="9" t="str">
        <f t="shared" si="56"/>
        <v/>
      </c>
      <c r="X380" s="10">
        <f>SUM(V$13:V380)/COUNTA(B$13:B380)</f>
        <v>0</v>
      </c>
      <c r="Z380" s="5"/>
      <c r="AA380" s="5"/>
      <c r="AC380" s="7"/>
      <c r="AE380" s="54" t="e">
        <f t="shared" si="57"/>
        <v>#N/A</v>
      </c>
      <c r="AF380" s="4" t="e">
        <f t="shared" si="53"/>
        <v>#N/A</v>
      </c>
    </row>
    <row r="381" spans="2:32">
      <c r="B381" s="5">
        <f t="shared" si="58"/>
        <v>369</v>
      </c>
      <c r="C381" s="5"/>
      <c r="E381" s="13"/>
      <c r="F381" s="5"/>
      <c r="G381" s="11" t="str">
        <f>IF(ISERROR(AVERAGE(F$13:F381)),"n/a",AVERAGE(F$13:F381))</f>
        <v>n/a</v>
      </c>
      <c r="H381" s="11" t="str">
        <f t="shared" si="54"/>
        <v>n/a</v>
      </c>
      <c r="J381" s="5"/>
      <c r="K381" s="5"/>
      <c r="L381" s="5"/>
      <c r="M381" s="5"/>
      <c r="N381" s="5"/>
      <c r="O381" s="8" t="str">
        <f t="shared" si="52"/>
        <v>n/a</v>
      </c>
      <c r="Q381" s="5"/>
      <c r="R381" s="5"/>
      <c r="S381" s="5"/>
      <c r="U381" s="6"/>
      <c r="V381" s="9" t="str">
        <f t="shared" si="55"/>
        <v/>
      </c>
      <c r="W381" s="9" t="str">
        <f t="shared" si="56"/>
        <v/>
      </c>
      <c r="X381" s="10">
        <f>SUM(V$13:V381)/COUNTA(B$13:B381)</f>
        <v>0</v>
      </c>
      <c r="Z381" s="5"/>
      <c r="AA381" s="5"/>
      <c r="AC381" s="7"/>
      <c r="AE381" s="54" t="e">
        <f t="shared" si="57"/>
        <v>#N/A</v>
      </c>
      <c r="AF381" s="4" t="e">
        <f t="shared" si="53"/>
        <v>#N/A</v>
      </c>
    </row>
    <row r="382" spans="2:32">
      <c r="B382" s="5">
        <f t="shared" si="58"/>
        <v>370</v>
      </c>
      <c r="C382" s="5"/>
      <c r="E382" s="13"/>
      <c r="F382" s="5"/>
      <c r="G382" s="11" t="str">
        <f>IF(ISERROR(AVERAGE(F$13:F382)),"n/a",AVERAGE(F$13:F382))</f>
        <v>n/a</v>
      </c>
      <c r="H382" s="11" t="str">
        <f t="shared" si="54"/>
        <v>n/a</v>
      </c>
      <c r="J382" s="5"/>
      <c r="K382" s="5"/>
      <c r="L382" s="5"/>
      <c r="M382" s="5"/>
      <c r="N382" s="5"/>
      <c r="O382" s="8" t="str">
        <f t="shared" si="52"/>
        <v>n/a</v>
      </c>
      <c r="Q382" s="5"/>
      <c r="R382" s="5"/>
      <c r="S382" s="5"/>
      <c r="U382" s="6"/>
      <c r="V382" s="9" t="str">
        <f t="shared" si="55"/>
        <v/>
      </c>
      <c r="W382" s="9" t="str">
        <f t="shared" si="56"/>
        <v/>
      </c>
      <c r="X382" s="10">
        <f>SUM(V$13:V382)/COUNTA(B$13:B382)</f>
        <v>0</v>
      </c>
      <c r="Z382" s="5"/>
      <c r="AA382" s="5"/>
      <c r="AC382" s="7"/>
      <c r="AE382" s="54" t="e">
        <f t="shared" si="57"/>
        <v>#N/A</v>
      </c>
      <c r="AF382" s="4" t="e">
        <f t="shared" si="53"/>
        <v>#N/A</v>
      </c>
    </row>
    <row r="383" spans="2:32">
      <c r="B383" s="5">
        <f t="shared" si="58"/>
        <v>371</v>
      </c>
      <c r="C383" s="5"/>
      <c r="E383" s="13"/>
      <c r="F383" s="5"/>
      <c r="G383" s="11" t="str">
        <f>IF(ISERROR(AVERAGE(F$13:F383)),"n/a",AVERAGE(F$13:F383))</f>
        <v>n/a</v>
      </c>
      <c r="H383" s="11" t="str">
        <f t="shared" si="54"/>
        <v>n/a</v>
      </c>
      <c r="J383" s="5"/>
      <c r="K383" s="5"/>
      <c r="L383" s="5"/>
      <c r="M383" s="5"/>
      <c r="N383" s="5"/>
      <c r="O383" s="8" t="str">
        <f t="shared" si="52"/>
        <v>n/a</v>
      </c>
      <c r="Q383" s="5"/>
      <c r="R383" s="5"/>
      <c r="S383" s="5"/>
      <c r="U383" s="6"/>
      <c r="V383" s="9" t="str">
        <f t="shared" si="55"/>
        <v/>
      </c>
      <c r="W383" s="9" t="str">
        <f t="shared" si="56"/>
        <v/>
      </c>
      <c r="X383" s="10">
        <f>SUM(V$13:V383)/COUNTA(B$13:B383)</f>
        <v>0</v>
      </c>
      <c r="Z383" s="5"/>
      <c r="AA383" s="5"/>
      <c r="AC383" s="7"/>
      <c r="AE383" s="54" t="e">
        <f t="shared" si="57"/>
        <v>#N/A</v>
      </c>
      <c r="AF383" s="4" t="e">
        <f t="shared" si="53"/>
        <v>#N/A</v>
      </c>
    </row>
    <row r="384" spans="2:32">
      <c r="B384" s="5">
        <f t="shared" si="58"/>
        <v>372</v>
      </c>
      <c r="C384" s="5"/>
      <c r="E384" s="13"/>
      <c r="F384" s="5"/>
      <c r="G384" s="11" t="str">
        <f>IF(ISERROR(AVERAGE(F$13:F384)),"n/a",AVERAGE(F$13:F384))</f>
        <v>n/a</v>
      </c>
      <c r="H384" s="11" t="str">
        <f t="shared" si="54"/>
        <v>n/a</v>
      </c>
      <c r="J384" s="5"/>
      <c r="K384" s="5"/>
      <c r="L384" s="5"/>
      <c r="M384" s="5"/>
      <c r="N384" s="5"/>
      <c r="O384" s="8" t="str">
        <f t="shared" si="52"/>
        <v>n/a</v>
      </c>
      <c r="Q384" s="5"/>
      <c r="R384" s="5"/>
      <c r="S384" s="5"/>
      <c r="U384" s="6"/>
      <c r="V384" s="9" t="str">
        <f t="shared" si="55"/>
        <v/>
      </c>
      <c r="W384" s="9" t="str">
        <f t="shared" si="56"/>
        <v/>
      </c>
      <c r="X384" s="10">
        <f>SUM(V$13:V384)/COUNTA(B$13:B384)</f>
        <v>0</v>
      </c>
      <c r="Z384" s="5"/>
      <c r="AA384" s="5"/>
      <c r="AC384" s="7"/>
      <c r="AE384" s="54" t="e">
        <f t="shared" si="57"/>
        <v>#N/A</v>
      </c>
      <c r="AF384" s="4" t="e">
        <f t="shared" si="53"/>
        <v>#N/A</v>
      </c>
    </row>
    <row r="385" spans="2:32">
      <c r="B385" s="5">
        <f t="shared" si="58"/>
        <v>373</v>
      </c>
      <c r="C385" s="5"/>
      <c r="E385" s="13"/>
      <c r="F385" s="5"/>
      <c r="G385" s="11" t="str">
        <f>IF(ISERROR(AVERAGE(F$13:F385)),"n/a",AVERAGE(F$13:F385))</f>
        <v>n/a</v>
      </c>
      <c r="H385" s="11" t="str">
        <f t="shared" si="54"/>
        <v>n/a</v>
      </c>
      <c r="J385" s="5"/>
      <c r="K385" s="5"/>
      <c r="L385" s="5"/>
      <c r="M385" s="5"/>
      <c r="N385" s="5"/>
      <c r="O385" s="8" t="str">
        <f t="shared" si="52"/>
        <v>n/a</v>
      </c>
      <c r="Q385" s="5"/>
      <c r="R385" s="5"/>
      <c r="S385" s="5"/>
      <c r="U385" s="6"/>
      <c r="V385" s="9" t="str">
        <f t="shared" si="55"/>
        <v/>
      </c>
      <c r="W385" s="9" t="str">
        <f t="shared" si="56"/>
        <v/>
      </c>
      <c r="X385" s="10">
        <f>SUM(V$13:V385)/COUNTA(B$13:B385)</f>
        <v>0</v>
      </c>
      <c r="Z385" s="5"/>
      <c r="AA385" s="5"/>
      <c r="AC385" s="7"/>
      <c r="AE385" s="54" t="e">
        <f t="shared" si="57"/>
        <v>#N/A</v>
      </c>
      <c r="AF385" s="4" t="e">
        <f t="shared" si="53"/>
        <v>#N/A</v>
      </c>
    </row>
    <row r="386" spans="2:32">
      <c r="B386" s="5">
        <f t="shared" si="58"/>
        <v>374</v>
      </c>
      <c r="C386" s="5"/>
      <c r="E386" s="13"/>
      <c r="F386" s="5"/>
      <c r="G386" s="11" t="str">
        <f>IF(ISERROR(AVERAGE(F$13:F386)),"n/a",AVERAGE(F$13:F386))</f>
        <v>n/a</v>
      </c>
      <c r="H386" s="11" t="str">
        <f t="shared" si="54"/>
        <v>n/a</v>
      </c>
      <c r="J386" s="5"/>
      <c r="K386" s="5"/>
      <c r="L386" s="5"/>
      <c r="M386" s="5"/>
      <c r="N386" s="5"/>
      <c r="O386" s="8" t="str">
        <f t="shared" si="52"/>
        <v>n/a</v>
      </c>
      <c r="Q386" s="5"/>
      <c r="R386" s="5"/>
      <c r="S386" s="5"/>
      <c r="U386" s="6"/>
      <c r="V386" s="9" t="str">
        <f t="shared" si="55"/>
        <v/>
      </c>
      <c r="W386" s="9" t="str">
        <f t="shared" si="56"/>
        <v/>
      </c>
      <c r="X386" s="10">
        <f>SUM(V$13:V386)/COUNTA(B$13:B386)</f>
        <v>0</v>
      </c>
      <c r="Z386" s="5"/>
      <c r="AA386" s="5"/>
      <c r="AC386" s="7"/>
      <c r="AE386" s="54" t="e">
        <f t="shared" si="57"/>
        <v>#N/A</v>
      </c>
      <c r="AF386" s="4" t="e">
        <f t="shared" si="53"/>
        <v>#N/A</v>
      </c>
    </row>
    <row r="387" spans="2:32">
      <c r="B387" s="5">
        <f t="shared" si="58"/>
        <v>375</v>
      </c>
      <c r="C387" s="5"/>
      <c r="E387" s="13"/>
      <c r="F387" s="5"/>
      <c r="G387" s="11" t="str">
        <f>IF(ISERROR(AVERAGE(F$13:F387)),"n/a",AVERAGE(F$13:F387))</f>
        <v>n/a</v>
      </c>
      <c r="H387" s="11" t="str">
        <f t="shared" si="54"/>
        <v>n/a</v>
      </c>
      <c r="J387" s="5"/>
      <c r="K387" s="5"/>
      <c r="L387" s="5"/>
      <c r="M387" s="5"/>
      <c r="N387" s="5"/>
      <c r="O387" s="8" t="str">
        <f t="shared" si="52"/>
        <v>n/a</v>
      </c>
      <c r="Q387" s="5"/>
      <c r="R387" s="5"/>
      <c r="S387" s="5"/>
      <c r="U387" s="6"/>
      <c r="V387" s="9" t="str">
        <f t="shared" si="55"/>
        <v/>
      </c>
      <c r="W387" s="9" t="str">
        <f t="shared" si="56"/>
        <v/>
      </c>
      <c r="X387" s="10">
        <f>SUM(V$13:V387)/COUNTA(B$13:B387)</f>
        <v>0</v>
      </c>
      <c r="Z387" s="5"/>
      <c r="AA387" s="5"/>
      <c r="AC387" s="7"/>
      <c r="AE387" s="54" t="e">
        <f t="shared" si="57"/>
        <v>#N/A</v>
      </c>
      <c r="AF387" s="4" t="e">
        <f t="shared" si="53"/>
        <v>#N/A</v>
      </c>
    </row>
    <row r="388" spans="2:32">
      <c r="B388" s="5">
        <f t="shared" si="58"/>
        <v>376</v>
      </c>
      <c r="C388" s="5"/>
      <c r="E388" s="13"/>
      <c r="F388" s="5"/>
      <c r="G388" s="11" t="str">
        <f>IF(ISERROR(AVERAGE(F$13:F388)),"n/a",AVERAGE(F$13:F388))</f>
        <v>n/a</v>
      </c>
      <c r="H388" s="11" t="str">
        <f t="shared" si="54"/>
        <v>n/a</v>
      </c>
      <c r="J388" s="5"/>
      <c r="K388" s="5"/>
      <c r="L388" s="5"/>
      <c r="M388" s="5"/>
      <c r="N388" s="5"/>
      <c r="O388" s="8" t="str">
        <f t="shared" si="52"/>
        <v>n/a</v>
      </c>
      <c r="Q388" s="5"/>
      <c r="R388" s="5"/>
      <c r="S388" s="5"/>
      <c r="U388" s="6"/>
      <c r="V388" s="9" t="str">
        <f t="shared" si="55"/>
        <v/>
      </c>
      <c r="W388" s="9" t="str">
        <f t="shared" si="56"/>
        <v/>
      </c>
      <c r="X388" s="10">
        <f>SUM(V$13:V388)/COUNTA(B$13:B388)</f>
        <v>0</v>
      </c>
      <c r="Z388" s="5"/>
      <c r="AA388" s="5"/>
      <c r="AC388" s="7"/>
      <c r="AE388" s="54" t="e">
        <f t="shared" si="57"/>
        <v>#N/A</v>
      </c>
      <c r="AF388" s="4" t="e">
        <f t="shared" si="53"/>
        <v>#N/A</v>
      </c>
    </row>
    <row r="389" spans="2:32">
      <c r="B389" s="5">
        <f t="shared" si="58"/>
        <v>377</v>
      </c>
      <c r="C389" s="5"/>
      <c r="E389" s="13"/>
      <c r="F389" s="5"/>
      <c r="G389" s="11" t="str">
        <f>IF(ISERROR(AVERAGE(F$13:F389)),"n/a",AVERAGE(F$13:F389))</f>
        <v>n/a</v>
      </c>
      <c r="H389" s="11" t="str">
        <f t="shared" si="54"/>
        <v>n/a</v>
      </c>
      <c r="J389" s="5"/>
      <c r="K389" s="5"/>
      <c r="L389" s="5"/>
      <c r="M389" s="5"/>
      <c r="N389" s="5"/>
      <c r="O389" s="8" t="str">
        <f t="shared" si="52"/>
        <v>n/a</v>
      </c>
      <c r="Q389" s="5"/>
      <c r="R389" s="5"/>
      <c r="S389" s="5"/>
      <c r="U389" s="6"/>
      <c r="V389" s="9" t="str">
        <f t="shared" si="55"/>
        <v/>
      </c>
      <c r="W389" s="9" t="str">
        <f t="shared" si="56"/>
        <v/>
      </c>
      <c r="X389" s="10">
        <f>SUM(V$13:V389)/COUNTA(B$13:B389)</f>
        <v>0</v>
      </c>
      <c r="Z389" s="5"/>
      <c r="AA389" s="5"/>
      <c r="AC389" s="7"/>
      <c r="AE389" s="54" t="e">
        <f t="shared" si="57"/>
        <v>#N/A</v>
      </c>
      <c r="AF389" s="4" t="e">
        <f t="shared" si="53"/>
        <v>#N/A</v>
      </c>
    </row>
    <row r="390" spans="2:32">
      <c r="B390" s="5">
        <f t="shared" si="58"/>
        <v>378</v>
      </c>
      <c r="C390" s="5"/>
      <c r="E390" s="13"/>
      <c r="F390" s="5"/>
      <c r="G390" s="11" t="str">
        <f>IF(ISERROR(AVERAGE(F$13:F390)),"n/a",AVERAGE(F$13:F390))</f>
        <v>n/a</v>
      </c>
      <c r="H390" s="11" t="str">
        <f t="shared" si="54"/>
        <v>n/a</v>
      </c>
      <c r="J390" s="5"/>
      <c r="K390" s="5"/>
      <c r="L390" s="5"/>
      <c r="M390" s="5"/>
      <c r="N390" s="5"/>
      <c r="O390" s="8" t="str">
        <f t="shared" si="52"/>
        <v>n/a</v>
      </c>
      <c r="Q390" s="5"/>
      <c r="R390" s="5"/>
      <c r="S390" s="5"/>
      <c r="U390" s="6"/>
      <c r="V390" s="9" t="str">
        <f t="shared" si="55"/>
        <v/>
      </c>
      <c r="W390" s="9" t="str">
        <f t="shared" si="56"/>
        <v/>
      </c>
      <c r="X390" s="10">
        <f>SUM(V$13:V390)/COUNTA(B$13:B390)</f>
        <v>0</v>
      </c>
      <c r="Z390" s="5"/>
      <c r="AA390" s="5"/>
      <c r="AC390" s="7"/>
      <c r="AE390" s="54" t="e">
        <f t="shared" si="57"/>
        <v>#N/A</v>
      </c>
      <c r="AF390" s="4" t="e">
        <f t="shared" si="53"/>
        <v>#N/A</v>
      </c>
    </row>
    <row r="391" spans="2:32">
      <c r="B391" s="5">
        <f t="shared" si="58"/>
        <v>379</v>
      </c>
      <c r="C391" s="5"/>
      <c r="E391" s="13"/>
      <c r="F391" s="5"/>
      <c r="G391" s="11" t="str">
        <f>IF(ISERROR(AVERAGE(F$13:F391)),"n/a",AVERAGE(F$13:F391))</f>
        <v>n/a</v>
      </c>
      <c r="H391" s="11" t="str">
        <f t="shared" si="54"/>
        <v>n/a</v>
      </c>
      <c r="J391" s="5"/>
      <c r="K391" s="5"/>
      <c r="L391" s="5"/>
      <c r="M391" s="5"/>
      <c r="N391" s="5"/>
      <c r="O391" s="8" t="str">
        <f t="shared" si="52"/>
        <v>n/a</v>
      </c>
      <c r="Q391" s="5"/>
      <c r="R391" s="5"/>
      <c r="S391" s="5"/>
      <c r="U391" s="6"/>
      <c r="V391" s="9" t="str">
        <f t="shared" si="55"/>
        <v/>
      </c>
      <c r="W391" s="9" t="str">
        <f t="shared" si="56"/>
        <v/>
      </c>
      <c r="X391" s="10">
        <f>SUM(V$13:V391)/COUNTA(B$13:B391)</f>
        <v>0</v>
      </c>
      <c r="Z391" s="5"/>
      <c r="AA391" s="5"/>
      <c r="AC391" s="7"/>
      <c r="AE391" s="54" t="e">
        <f t="shared" si="57"/>
        <v>#N/A</v>
      </c>
      <c r="AF391" s="4" t="e">
        <f t="shared" si="53"/>
        <v>#N/A</v>
      </c>
    </row>
    <row r="392" spans="2:32">
      <c r="B392" s="5">
        <f t="shared" si="58"/>
        <v>380</v>
      </c>
      <c r="C392" s="5"/>
      <c r="E392" s="13"/>
      <c r="F392" s="5"/>
      <c r="G392" s="11" t="str">
        <f>IF(ISERROR(AVERAGE(F$13:F392)),"n/a",AVERAGE(F$13:F392))</f>
        <v>n/a</v>
      </c>
      <c r="H392" s="11" t="str">
        <f t="shared" si="54"/>
        <v>n/a</v>
      </c>
      <c r="J392" s="5"/>
      <c r="K392" s="5"/>
      <c r="L392" s="5"/>
      <c r="M392" s="5"/>
      <c r="N392" s="5"/>
      <c r="O392" s="8" t="str">
        <f t="shared" si="52"/>
        <v>n/a</v>
      </c>
      <c r="Q392" s="5"/>
      <c r="R392" s="5"/>
      <c r="S392" s="5"/>
      <c r="U392" s="6"/>
      <c r="V392" s="9" t="str">
        <f t="shared" si="55"/>
        <v/>
      </c>
      <c r="W392" s="9" t="str">
        <f t="shared" si="56"/>
        <v/>
      </c>
      <c r="X392" s="10">
        <f>SUM(V$13:V392)/COUNTA(B$13:B392)</f>
        <v>0</v>
      </c>
      <c r="Z392" s="5"/>
      <c r="AA392" s="5"/>
      <c r="AC392" s="7"/>
      <c r="AE392" s="54" t="e">
        <f t="shared" si="57"/>
        <v>#N/A</v>
      </c>
      <c r="AF392" s="4" t="e">
        <f t="shared" si="53"/>
        <v>#N/A</v>
      </c>
    </row>
    <row r="393" spans="2:32">
      <c r="B393" s="5">
        <f t="shared" si="58"/>
        <v>381</v>
      </c>
      <c r="C393" s="5"/>
      <c r="E393" s="13"/>
      <c r="F393" s="5"/>
      <c r="G393" s="11" t="str">
        <f>IF(ISERROR(AVERAGE(F$13:F393)),"n/a",AVERAGE(F$13:F393))</f>
        <v>n/a</v>
      </c>
      <c r="H393" s="11" t="str">
        <f t="shared" si="54"/>
        <v>n/a</v>
      </c>
      <c r="J393" s="5"/>
      <c r="K393" s="5"/>
      <c r="L393" s="5"/>
      <c r="M393" s="5"/>
      <c r="N393" s="5"/>
      <c r="O393" s="8" t="str">
        <f t="shared" si="52"/>
        <v>n/a</v>
      </c>
      <c r="Q393" s="5"/>
      <c r="R393" s="5"/>
      <c r="S393" s="5"/>
      <c r="U393" s="6"/>
      <c r="V393" s="9" t="str">
        <f t="shared" si="55"/>
        <v/>
      </c>
      <c r="W393" s="9" t="str">
        <f t="shared" si="56"/>
        <v/>
      </c>
      <c r="X393" s="10">
        <f>SUM(V$13:V393)/COUNTA(B$13:B393)</f>
        <v>0</v>
      </c>
      <c r="Z393" s="5"/>
      <c r="AA393" s="5"/>
      <c r="AC393" s="7"/>
      <c r="AE393" s="54" t="e">
        <f t="shared" si="57"/>
        <v>#N/A</v>
      </c>
      <c r="AF393" s="4" t="e">
        <f t="shared" si="53"/>
        <v>#N/A</v>
      </c>
    </row>
    <row r="394" spans="2:32">
      <c r="B394" s="5">
        <f t="shared" si="58"/>
        <v>382</v>
      </c>
      <c r="C394" s="5"/>
      <c r="E394" s="13"/>
      <c r="F394" s="5"/>
      <c r="G394" s="11" t="str">
        <f>IF(ISERROR(AVERAGE(F$13:F394)),"n/a",AVERAGE(F$13:F394))</f>
        <v>n/a</v>
      </c>
      <c r="H394" s="11" t="str">
        <f t="shared" si="54"/>
        <v>n/a</v>
      </c>
      <c r="J394" s="5"/>
      <c r="K394" s="5"/>
      <c r="L394" s="5"/>
      <c r="M394" s="5"/>
      <c r="N394" s="5"/>
      <c r="O394" s="8" t="str">
        <f t="shared" si="52"/>
        <v>n/a</v>
      </c>
      <c r="Q394" s="5"/>
      <c r="R394" s="5"/>
      <c r="S394" s="5"/>
      <c r="U394" s="6"/>
      <c r="V394" s="9" t="str">
        <f t="shared" si="55"/>
        <v/>
      </c>
      <c r="W394" s="9" t="str">
        <f t="shared" si="56"/>
        <v/>
      </c>
      <c r="X394" s="10">
        <f>SUM(V$13:V394)/COUNTA(B$13:B394)</f>
        <v>0</v>
      </c>
      <c r="Z394" s="5"/>
      <c r="AA394" s="5"/>
      <c r="AC394" s="7"/>
      <c r="AE394" s="54" t="e">
        <f t="shared" si="57"/>
        <v>#N/A</v>
      </c>
      <c r="AF394" s="4" t="e">
        <f t="shared" si="53"/>
        <v>#N/A</v>
      </c>
    </row>
    <row r="395" spans="2:32">
      <c r="B395" s="5">
        <f t="shared" si="58"/>
        <v>383</v>
      </c>
      <c r="C395" s="5"/>
      <c r="E395" s="13"/>
      <c r="F395" s="5"/>
      <c r="G395" s="11" t="str">
        <f>IF(ISERROR(AVERAGE(F$13:F395)),"n/a",AVERAGE(F$13:F395))</f>
        <v>n/a</v>
      </c>
      <c r="H395" s="11" t="str">
        <f t="shared" si="54"/>
        <v>n/a</v>
      </c>
      <c r="J395" s="5"/>
      <c r="K395" s="5"/>
      <c r="L395" s="5"/>
      <c r="M395" s="5"/>
      <c r="N395" s="5"/>
      <c r="O395" s="8" t="str">
        <f t="shared" si="52"/>
        <v>n/a</v>
      </c>
      <c r="Q395" s="5"/>
      <c r="R395" s="5"/>
      <c r="S395" s="5"/>
      <c r="U395" s="6"/>
      <c r="V395" s="9" t="str">
        <f t="shared" si="55"/>
        <v/>
      </c>
      <c r="W395" s="9" t="str">
        <f t="shared" si="56"/>
        <v/>
      </c>
      <c r="X395" s="10">
        <f>SUM(V$13:V395)/COUNTA(B$13:B395)</f>
        <v>0</v>
      </c>
      <c r="Z395" s="5"/>
      <c r="AA395" s="5"/>
      <c r="AC395" s="7"/>
      <c r="AE395" s="54" t="e">
        <f t="shared" si="57"/>
        <v>#N/A</v>
      </c>
      <c r="AF395" s="4" t="e">
        <f t="shared" si="53"/>
        <v>#N/A</v>
      </c>
    </row>
    <row r="396" spans="2:32">
      <c r="B396" s="5">
        <f t="shared" si="58"/>
        <v>384</v>
      </c>
      <c r="C396" s="5"/>
      <c r="E396" s="13"/>
      <c r="F396" s="5"/>
      <c r="G396" s="11" t="str">
        <f>IF(ISERROR(AVERAGE(F$13:F396)),"n/a",AVERAGE(F$13:F396))</f>
        <v>n/a</v>
      </c>
      <c r="H396" s="11" t="str">
        <f t="shared" si="54"/>
        <v>n/a</v>
      </c>
      <c r="J396" s="5"/>
      <c r="K396" s="5"/>
      <c r="L396" s="5"/>
      <c r="M396" s="5"/>
      <c r="N396" s="5"/>
      <c r="O396" s="8" t="str">
        <f t="shared" si="52"/>
        <v>n/a</v>
      </c>
      <c r="Q396" s="5"/>
      <c r="R396" s="5"/>
      <c r="S396" s="5"/>
      <c r="U396" s="6"/>
      <c r="V396" s="9" t="str">
        <f t="shared" si="55"/>
        <v/>
      </c>
      <c r="W396" s="9" t="str">
        <f t="shared" si="56"/>
        <v/>
      </c>
      <c r="X396" s="10">
        <f>SUM(V$13:V396)/COUNTA(B$13:B396)</f>
        <v>0</v>
      </c>
      <c r="Z396" s="5"/>
      <c r="AA396" s="5"/>
      <c r="AC396" s="7"/>
      <c r="AE396" s="54" t="e">
        <f t="shared" si="57"/>
        <v>#N/A</v>
      </c>
      <c r="AF396" s="4" t="e">
        <f t="shared" si="53"/>
        <v>#N/A</v>
      </c>
    </row>
    <row r="397" spans="2:32">
      <c r="B397" s="5">
        <f t="shared" si="58"/>
        <v>385</v>
      </c>
      <c r="C397" s="5"/>
      <c r="E397" s="13"/>
      <c r="F397" s="5"/>
      <c r="G397" s="11" t="str">
        <f>IF(ISERROR(AVERAGE(F$13:F397)),"n/a",AVERAGE(F$13:F397))</f>
        <v>n/a</v>
      </c>
      <c r="H397" s="11" t="str">
        <f t="shared" si="54"/>
        <v>n/a</v>
      </c>
      <c r="J397" s="5"/>
      <c r="K397" s="5"/>
      <c r="L397" s="5"/>
      <c r="M397" s="5"/>
      <c r="N397" s="5"/>
      <c r="O397" s="8" t="str">
        <f t="shared" ref="O397:O460" si="59">IF(J397=1,"A",IF(K397=1,"B",IF(L397=1,"C",IF(M397=1,"D",IF(N397=1,"E","n/a")))))</f>
        <v>n/a</v>
      </c>
      <c r="Q397" s="5"/>
      <c r="R397" s="5"/>
      <c r="S397" s="5"/>
      <c r="U397" s="6"/>
      <c r="V397" s="9" t="str">
        <f t="shared" si="55"/>
        <v/>
      </c>
      <c r="W397" s="9" t="str">
        <f t="shared" si="56"/>
        <v/>
      </c>
      <c r="X397" s="10">
        <f>SUM(V$13:V397)/COUNTA(B$13:B397)</f>
        <v>0</v>
      </c>
      <c r="Z397" s="5"/>
      <c r="AA397" s="5"/>
      <c r="AC397" s="7"/>
      <c r="AE397" s="54" t="e">
        <f t="shared" si="57"/>
        <v>#N/A</v>
      </c>
      <c r="AF397" s="4" t="e">
        <f t="shared" ref="AF397:AF460" si="60">HLOOKUP(C397,$K$6:$O$7,2,FALSE)</f>
        <v>#N/A</v>
      </c>
    </row>
    <row r="398" spans="2:32">
      <c r="B398" s="5">
        <f t="shared" si="58"/>
        <v>386</v>
      </c>
      <c r="C398" s="5"/>
      <c r="E398" s="13"/>
      <c r="F398" s="5"/>
      <c r="G398" s="11" t="str">
        <f>IF(ISERROR(AVERAGE(F$13:F398)),"n/a",AVERAGE(F$13:F398))</f>
        <v>n/a</v>
      </c>
      <c r="H398" s="11" t="str">
        <f t="shared" ref="H398:H461" si="61">G398</f>
        <v>n/a</v>
      </c>
      <c r="J398" s="5"/>
      <c r="K398" s="5"/>
      <c r="L398" s="5"/>
      <c r="M398" s="5"/>
      <c r="N398" s="5"/>
      <c r="O398" s="8" t="str">
        <f t="shared" si="59"/>
        <v>n/a</v>
      </c>
      <c r="Q398" s="5"/>
      <c r="R398" s="5"/>
      <c r="S398" s="5"/>
      <c r="U398" s="6"/>
      <c r="V398" s="9" t="str">
        <f t="shared" ref="V398:V461" si="62">IF(O398="n/a","",IF(O398=U398,1,""))</f>
        <v/>
      </c>
      <c r="W398" s="9" t="str">
        <f t="shared" ref="W398:W461" si="63">IF(O398="n/a","",IF(O398&lt;&gt;U398,1,""))</f>
        <v/>
      </c>
      <c r="X398" s="10">
        <f>SUM(V$13:V398)/COUNTA(B$13:B398)</f>
        <v>0</v>
      </c>
      <c r="Z398" s="5"/>
      <c r="AA398" s="5"/>
      <c r="AC398" s="7"/>
      <c r="AE398" s="54" t="e">
        <f t="shared" ref="AE398:AE461" si="64">+IF($F$4=0,0,IF(W398=1,1,IF(OR(R398*$F$8=1,S398*$F$9=1,F398&gt;=AF398),2,0)))</f>
        <v>#N/A</v>
      </c>
      <c r="AF398" s="4" t="e">
        <f t="shared" si="60"/>
        <v>#N/A</v>
      </c>
    </row>
    <row r="399" spans="2:32">
      <c r="B399" s="5">
        <f t="shared" si="58"/>
        <v>387</v>
      </c>
      <c r="C399" s="5"/>
      <c r="E399" s="13"/>
      <c r="F399" s="5"/>
      <c r="G399" s="11" t="str">
        <f>IF(ISERROR(AVERAGE(F$13:F399)),"n/a",AVERAGE(F$13:F399))</f>
        <v>n/a</v>
      </c>
      <c r="H399" s="11" t="str">
        <f t="shared" si="61"/>
        <v>n/a</v>
      </c>
      <c r="J399" s="5"/>
      <c r="K399" s="5"/>
      <c r="L399" s="5"/>
      <c r="M399" s="5"/>
      <c r="N399" s="5"/>
      <c r="O399" s="8" t="str">
        <f t="shared" si="59"/>
        <v>n/a</v>
      </c>
      <c r="Q399" s="5"/>
      <c r="R399" s="5"/>
      <c r="S399" s="5"/>
      <c r="U399" s="6"/>
      <c r="V399" s="9" t="str">
        <f t="shared" si="62"/>
        <v/>
      </c>
      <c r="W399" s="9" t="str">
        <f t="shared" si="63"/>
        <v/>
      </c>
      <c r="X399" s="10">
        <f>SUM(V$13:V399)/COUNTA(B$13:B399)</f>
        <v>0</v>
      </c>
      <c r="Z399" s="5"/>
      <c r="AA399" s="5"/>
      <c r="AC399" s="7"/>
      <c r="AE399" s="54" t="e">
        <f t="shared" si="64"/>
        <v>#N/A</v>
      </c>
      <c r="AF399" s="4" t="e">
        <f t="shared" si="60"/>
        <v>#N/A</v>
      </c>
    </row>
    <row r="400" spans="2:32">
      <c r="B400" s="5">
        <f t="shared" si="58"/>
        <v>388</v>
      </c>
      <c r="C400" s="5"/>
      <c r="E400" s="13"/>
      <c r="F400" s="5"/>
      <c r="G400" s="11" t="str">
        <f>IF(ISERROR(AVERAGE(F$13:F400)),"n/a",AVERAGE(F$13:F400))</f>
        <v>n/a</v>
      </c>
      <c r="H400" s="11" t="str">
        <f t="shared" si="61"/>
        <v>n/a</v>
      </c>
      <c r="J400" s="5"/>
      <c r="K400" s="5"/>
      <c r="L400" s="5"/>
      <c r="M400" s="5"/>
      <c r="N400" s="5"/>
      <c r="O400" s="8" t="str">
        <f t="shared" si="59"/>
        <v>n/a</v>
      </c>
      <c r="Q400" s="5"/>
      <c r="R400" s="5"/>
      <c r="S400" s="5"/>
      <c r="U400" s="6"/>
      <c r="V400" s="9" t="str">
        <f t="shared" si="62"/>
        <v/>
      </c>
      <c r="W400" s="9" t="str">
        <f t="shared" si="63"/>
        <v/>
      </c>
      <c r="X400" s="10">
        <f>SUM(V$13:V400)/COUNTA(B$13:B400)</f>
        <v>0</v>
      </c>
      <c r="Z400" s="5"/>
      <c r="AA400" s="5"/>
      <c r="AC400" s="7"/>
      <c r="AE400" s="54" t="e">
        <f t="shared" si="64"/>
        <v>#N/A</v>
      </c>
      <c r="AF400" s="4" t="e">
        <f t="shared" si="60"/>
        <v>#N/A</v>
      </c>
    </row>
    <row r="401" spans="2:32">
      <c r="B401" s="5">
        <f t="shared" si="58"/>
        <v>389</v>
      </c>
      <c r="C401" s="5"/>
      <c r="E401" s="13"/>
      <c r="F401" s="5"/>
      <c r="G401" s="11" t="str">
        <f>IF(ISERROR(AVERAGE(F$13:F401)),"n/a",AVERAGE(F$13:F401))</f>
        <v>n/a</v>
      </c>
      <c r="H401" s="11" t="str">
        <f t="shared" si="61"/>
        <v>n/a</v>
      </c>
      <c r="J401" s="5"/>
      <c r="K401" s="5"/>
      <c r="L401" s="5"/>
      <c r="M401" s="5"/>
      <c r="N401" s="5"/>
      <c r="O401" s="8" t="str">
        <f t="shared" si="59"/>
        <v>n/a</v>
      </c>
      <c r="Q401" s="5"/>
      <c r="R401" s="5"/>
      <c r="S401" s="5"/>
      <c r="U401" s="6"/>
      <c r="V401" s="9" t="str">
        <f t="shared" si="62"/>
        <v/>
      </c>
      <c r="W401" s="9" t="str">
        <f t="shared" si="63"/>
        <v/>
      </c>
      <c r="X401" s="10">
        <f>SUM(V$13:V401)/COUNTA(B$13:B401)</f>
        <v>0</v>
      </c>
      <c r="Z401" s="5"/>
      <c r="AA401" s="5"/>
      <c r="AC401" s="7"/>
      <c r="AE401" s="54" t="e">
        <f t="shared" si="64"/>
        <v>#N/A</v>
      </c>
      <c r="AF401" s="4" t="e">
        <f t="shared" si="60"/>
        <v>#N/A</v>
      </c>
    </row>
    <row r="402" spans="2:32">
      <c r="B402" s="5">
        <f t="shared" si="58"/>
        <v>390</v>
      </c>
      <c r="C402" s="5"/>
      <c r="E402" s="13"/>
      <c r="F402" s="5"/>
      <c r="G402" s="11" t="str">
        <f>IF(ISERROR(AVERAGE(F$13:F402)),"n/a",AVERAGE(F$13:F402))</f>
        <v>n/a</v>
      </c>
      <c r="H402" s="11" t="str">
        <f t="shared" si="61"/>
        <v>n/a</v>
      </c>
      <c r="J402" s="5"/>
      <c r="K402" s="5"/>
      <c r="L402" s="5"/>
      <c r="M402" s="5"/>
      <c r="N402" s="5"/>
      <c r="O402" s="8" t="str">
        <f t="shared" si="59"/>
        <v>n/a</v>
      </c>
      <c r="Q402" s="5"/>
      <c r="R402" s="5"/>
      <c r="S402" s="5"/>
      <c r="U402" s="6"/>
      <c r="V402" s="9" t="str">
        <f t="shared" si="62"/>
        <v/>
      </c>
      <c r="W402" s="9" t="str">
        <f t="shared" si="63"/>
        <v/>
      </c>
      <c r="X402" s="10">
        <f>SUM(V$13:V402)/COUNTA(B$13:B402)</f>
        <v>0</v>
      </c>
      <c r="Z402" s="5"/>
      <c r="AA402" s="5"/>
      <c r="AC402" s="7"/>
      <c r="AE402" s="54" t="e">
        <f t="shared" si="64"/>
        <v>#N/A</v>
      </c>
      <c r="AF402" s="4" t="e">
        <f t="shared" si="60"/>
        <v>#N/A</v>
      </c>
    </row>
    <row r="403" spans="2:32">
      <c r="B403" s="5">
        <f t="shared" ref="B403:B466" si="65">+B402+1</f>
        <v>391</v>
      </c>
      <c r="C403" s="5"/>
      <c r="E403" s="13"/>
      <c r="F403" s="5"/>
      <c r="G403" s="11" t="str">
        <f>IF(ISERROR(AVERAGE(F$13:F403)),"n/a",AVERAGE(F$13:F403))</f>
        <v>n/a</v>
      </c>
      <c r="H403" s="11" t="str">
        <f t="shared" si="61"/>
        <v>n/a</v>
      </c>
      <c r="J403" s="5"/>
      <c r="K403" s="5"/>
      <c r="L403" s="5"/>
      <c r="M403" s="5"/>
      <c r="N403" s="5"/>
      <c r="O403" s="8" t="str">
        <f t="shared" si="59"/>
        <v>n/a</v>
      </c>
      <c r="Q403" s="5"/>
      <c r="R403" s="5"/>
      <c r="S403" s="5"/>
      <c r="U403" s="6"/>
      <c r="V403" s="9" t="str">
        <f t="shared" si="62"/>
        <v/>
      </c>
      <c r="W403" s="9" t="str">
        <f t="shared" si="63"/>
        <v/>
      </c>
      <c r="X403" s="10">
        <f>SUM(V$13:V403)/COUNTA(B$13:B403)</f>
        <v>0</v>
      </c>
      <c r="Z403" s="5"/>
      <c r="AA403" s="5"/>
      <c r="AC403" s="7"/>
      <c r="AE403" s="54" t="e">
        <f t="shared" si="64"/>
        <v>#N/A</v>
      </c>
      <c r="AF403" s="4" t="e">
        <f t="shared" si="60"/>
        <v>#N/A</v>
      </c>
    </row>
    <row r="404" spans="2:32">
      <c r="B404" s="5">
        <f t="shared" si="65"/>
        <v>392</v>
      </c>
      <c r="C404" s="5"/>
      <c r="E404" s="13"/>
      <c r="F404" s="5"/>
      <c r="G404" s="11" t="str">
        <f>IF(ISERROR(AVERAGE(F$13:F404)),"n/a",AVERAGE(F$13:F404))</f>
        <v>n/a</v>
      </c>
      <c r="H404" s="11" t="str">
        <f t="shared" si="61"/>
        <v>n/a</v>
      </c>
      <c r="J404" s="5"/>
      <c r="K404" s="5"/>
      <c r="L404" s="5"/>
      <c r="M404" s="5"/>
      <c r="N404" s="5"/>
      <c r="O404" s="8" t="str">
        <f t="shared" si="59"/>
        <v>n/a</v>
      </c>
      <c r="Q404" s="5"/>
      <c r="R404" s="5"/>
      <c r="S404" s="5"/>
      <c r="U404" s="6"/>
      <c r="V404" s="9" t="str">
        <f t="shared" si="62"/>
        <v/>
      </c>
      <c r="W404" s="9" t="str">
        <f t="shared" si="63"/>
        <v/>
      </c>
      <c r="X404" s="10">
        <f>SUM(V$13:V404)/COUNTA(B$13:B404)</f>
        <v>0</v>
      </c>
      <c r="Z404" s="5"/>
      <c r="AA404" s="5"/>
      <c r="AC404" s="7"/>
      <c r="AE404" s="54" t="e">
        <f t="shared" si="64"/>
        <v>#N/A</v>
      </c>
      <c r="AF404" s="4" t="e">
        <f t="shared" si="60"/>
        <v>#N/A</v>
      </c>
    </row>
    <row r="405" spans="2:32">
      <c r="B405" s="5">
        <f t="shared" si="65"/>
        <v>393</v>
      </c>
      <c r="C405" s="5"/>
      <c r="E405" s="13"/>
      <c r="F405" s="5"/>
      <c r="G405" s="11" t="str">
        <f>IF(ISERROR(AVERAGE(F$13:F405)),"n/a",AVERAGE(F$13:F405))</f>
        <v>n/a</v>
      </c>
      <c r="H405" s="11" t="str">
        <f t="shared" si="61"/>
        <v>n/a</v>
      </c>
      <c r="J405" s="5"/>
      <c r="K405" s="5"/>
      <c r="L405" s="5"/>
      <c r="M405" s="5"/>
      <c r="N405" s="5"/>
      <c r="O405" s="8" t="str">
        <f t="shared" si="59"/>
        <v>n/a</v>
      </c>
      <c r="Q405" s="5"/>
      <c r="R405" s="5"/>
      <c r="S405" s="5"/>
      <c r="U405" s="6"/>
      <c r="V405" s="9" t="str">
        <f t="shared" si="62"/>
        <v/>
      </c>
      <c r="W405" s="9" t="str">
        <f t="shared" si="63"/>
        <v/>
      </c>
      <c r="X405" s="10">
        <f>SUM(V$13:V405)/COUNTA(B$13:B405)</f>
        <v>0</v>
      </c>
      <c r="Z405" s="5"/>
      <c r="AA405" s="5"/>
      <c r="AC405" s="7"/>
      <c r="AE405" s="54" t="e">
        <f t="shared" si="64"/>
        <v>#N/A</v>
      </c>
      <c r="AF405" s="4" t="e">
        <f t="shared" si="60"/>
        <v>#N/A</v>
      </c>
    </row>
    <row r="406" spans="2:32">
      <c r="B406" s="5">
        <f t="shared" si="65"/>
        <v>394</v>
      </c>
      <c r="C406" s="5"/>
      <c r="E406" s="13"/>
      <c r="F406" s="5"/>
      <c r="G406" s="11" t="str">
        <f>IF(ISERROR(AVERAGE(F$13:F406)),"n/a",AVERAGE(F$13:F406))</f>
        <v>n/a</v>
      </c>
      <c r="H406" s="11" t="str">
        <f t="shared" si="61"/>
        <v>n/a</v>
      </c>
      <c r="J406" s="5"/>
      <c r="K406" s="5"/>
      <c r="L406" s="5"/>
      <c r="M406" s="5"/>
      <c r="N406" s="5"/>
      <c r="O406" s="8" t="str">
        <f t="shared" si="59"/>
        <v>n/a</v>
      </c>
      <c r="Q406" s="5"/>
      <c r="R406" s="5"/>
      <c r="S406" s="5"/>
      <c r="U406" s="6"/>
      <c r="V406" s="9" t="str">
        <f t="shared" si="62"/>
        <v/>
      </c>
      <c r="W406" s="9" t="str">
        <f t="shared" si="63"/>
        <v/>
      </c>
      <c r="X406" s="10">
        <f>SUM(V$13:V406)/COUNTA(B$13:B406)</f>
        <v>0</v>
      </c>
      <c r="Z406" s="5"/>
      <c r="AA406" s="5"/>
      <c r="AC406" s="7"/>
      <c r="AE406" s="54" t="e">
        <f t="shared" si="64"/>
        <v>#N/A</v>
      </c>
      <c r="AF406" s="4" t="e">
        <f t="shared" si="60"/>
        <v>#N/A</v>
      </c>
    </row>
    <row r="407" spans="2:32">
      <c r="B407" s="5">
        <f t="shared" si="65"/>
        <v>395</v>
      </c>
      <c r="C407" s="5"/>
      <c r="E407" s="13"/>
      <c r="F407" s="5"/>
      <c r="G407" s="11" t="str">
        <f>IF(ISERROR(AVERAGE(F$13:F407)),"n/a",AVERAGE(F$13:F407))</f>
        <v>n/a</v>
      </c>
      <c r="H407" s="11" t="str">
        <f t="shared" si="61"/>
        <v>n/a</v>
      </c>
      <c r="J407" s="5"/>
      <c r="K407" s="5"/>
      <c r="L407" s="5"/>
      <c r="M407" s="5"/>
      <c r="N407" s="5"/>
      <c r="O407" s="8" t="str">
        <f t="shared" si="59"/>
        <v>n/a</v>
      </c>
      <c r="Q407" s="5"/>
      <c r="R407" s="5"/>
      <c r="S407" s="5"/>
      <c r="U407" s="6"/>
      <c r="V407" s="9" t="str">
        <f t="shared" si="62"/>
        <v/>
      </c>
      <c r="W407" s="9" t="str">
        <f t="shared" si="63"/>
        <v/>
      </c>
      <c r="X407" s="10">
        <f>SUM(V$13:V407)/COUNTA(B$13:B407)</f>
        <v>0</v>
      </c>
      <c r="Z407" s="5"/>
      <c r="AA407" s="5"/>
      <c r="AC407" s="7"/>
      <c r="AE407" s="54" t="e">
        <f t="shared" si="64"/>
        <v>#N/A</v>
      </c>
      <c r="AF407" s="4" t="e">
        <f t="shared" si="60"/>
        <v>#N/A</v>
      </c>
    </row>
    <row r="408" spans="2:32">
      <c r="B408" s="5">
        <f t="shared" si="65"/>
        <v>396</v>
      </c>
      <c r="C408" s="5"/>
      <c r="E408" s="13"/>
      <c r="F408" s="5"/>
      <c r="G408" s="11" t="str">
        <f>IF(ISERROR(AVERAGE(F$13:F408)),"n/a",AVERAGE(F$13:F408))</f>
        <v>n/a</v>
      </c>
      <c r="H408" s="11" t="str">
        <f t="shared" si="61"/>
        <v>n/a</v>
      </c>
      <c r="J408" s="5"/>
      <c r="K408" s="5"/>
      <c r="L408" s="5"/>
      <c r="M408" s="5"/>
      <c r="N408" s="5"/>
      <c r="O408" s="8" t="str">
        <f t="shared" si="59"/>
        <v>n/a</v>
      </c>
      <c r="Q408" s="5"/>
      <c r="R408" s="5"/>
      <c r="S408" s="5"/>
      <c r="U408" s="6"/>
      <c r="V408" s="9" t="str">
        <f t="shared" si="62"/>
        <v/>
      </c>
      <c r="W408" s="9" t="str">
        <f t="shared" si="63"/>
        <v/>
      </c>
      <c r="X408" s="10">
        <f>SUM(V$13:V408)/COUNTA(B$13:B408)</f>
        <v>0</v>
      </c>
      <c r="Z408" s="5"/>
      <c r="AA408" s="5"/>
      <c r="AC408" s="7"/>
      <c r="AE408" s="54" t="e">
        <f t="shared" si="64"/>
        <v>#N/A</v>
      </c>
      <c r="AF408" s="4" t="e">
        <f t="shared" si="60"/>
        <v>#N/A</v>
      </c>
    </row>
    <row r="409" spans="2:32">
      <c r="B409" s="5">
        <f t="shared" si="65"/>
        <v>397</v>
      </c>
      <c r="C409" s="5"/>
      <c r="E409" s="13"/>
      <c r="F409" s="5"/>
      <c r="G409" s="11" t="str">
        <f>IF(ISERROR(AVERAGE(F$13:F409)),"n/a",AVERAGE(F$13:F409))</f>
        <v>n/a</v>
      </c>
      <c r="H409" s="11" t="str">
        <f t="shared" si="61"/>
        <v>n/a</v>
      </c>
      <c r="J409" s="5"/>
      <c r="K409" s="5"/>
      <c r="L409" s="5"/>
      <c r="M409" s="5"/>
      <c r="N409" s="5"/>
      <c r="O409" s="8" t="str">
        <f t="shared" si="59"/>
        <v>n/a</v>
      </c>
      <c r="Q409" s="5"/>
      <c r="R409" s="5"/>
      <c r="S409" s="5"/>
      <c r="U409" s="6"/>
      <c r="V409" s="9" t="str">
        <f t="shared" si="62"/>
        <v/>
      </c>
      <c r="W409" s="9" t="str">
        <f t="shared" si="63"/>
        <v/>
      </c>
      <c r="X409" s="10">
        <f>SUM(V$13:V409)/COUNTA(B$13:B409)</f>
        <v>0</v>
      </c>
      <c r="Z409" s="5"/>
      <c r="AA409" s="5"/>
      <c r="AC409" s="7"/>
      <c r="AE409" s="54" t="e">
        <f t="shared" si="64"/>
        <v>#N/A</v>
      </c>
      <c r="AF409" s="4" t="e">
        <f t="shared" si="60"/>
        <v>#N/A</v>
      </c>
    </row>
    <row r="410" spans="2:32">
      <c r="B410" s="5">
        <f t="shared" si="65"/>
        <v>398</v>
      </c>
      <c r="C410" s="5"/>
      <c r="E410" s="13"/>
      <c r="F410" s="5"/>
      <c r="G410" s="11" t="str">
        <f>IF(ISERROR(AVERAGE(F$13:F410)),"n/a",AVERAGE(F$13:F410))</f>
        <v>n/a</v>
      </c>
      <c r="H410" s="11" t="str">
        <f t="shared" si="61"/>
        <v>n/a</v>
      </c>
      <c r="J410" s="5"/>
      <c r="K410" s="5"/>
      <c r="L410" s="5"/>
      <c r="M410" s="5"/>
      <c r="N410" s="5"/>
      <c r="O410" s="8" t="str">
        <f t="shared" si="59"/>
        <v>n/a</v>
      </c>
      <c r="Q410" s="5"/>
      <c r="R410" s="5"/>
      <c r="S410" s="5"/>
      <c r="U410" s="6"/>
      <c r="V410" s="9" t="str">
        <f t="shared" si="62"/>
        <v/>
      </c>
      <c r="W410" s="9" t="str">
        <f t="shared" si="63"/>
        <v/>
      </c>
      <c r="X410" s="10">
        <f>SUM(V$13:V410)/COUNTA(B$13:B410)</f>
        <v>0</v>
      </c>
      <c r="Z410" s="5"/>
      <c r="AA410" s="5"/>
      <c r="AC410" s="7"/>
      <c r="AE410" s="54" t="e">
        <f t="shared" si="64"/>
        <v>#N/A</v>
      </c>
      <c r="AF410" s="4" t="e">
        <f t="shared" si="60"/>
        <v>#N/A</v>
      </c>
    </row>
    <row r="411" spans="2:32">
      <c r="B411" s="5">
        <f t="shared" si="65"/>
        <v>399</v>
      </c>
      <c r="C411" s="5"/>
      <c r="E411" s="13"/>
      <c r="F411" s="5"/>
      <c r="G411" s="11" t="str">
        <f>IF(ISERROR(AVERAGE(F$13:F411)),"n/a",AVERAGE(F$13:F411))</f>
        <v>n/a</v>
      </c>
      <c r="H411" s="11" t="str">
        <f t="shared" si="61"/>
        <v>n/a</v>
      </c>
      <c r="J411" s="5"/>
      <c r="K411" s="5"/>
      <c r="L411" s="5"/>
      <c r="M411" s="5"/>
      <c r="N411" s="5"/>
      <c r="O411" s="8" t="str">
        <f t="shared" si="59"/>
        <v>n/a</v>
      </c>
      <c r="Q411" s="5"/>
      <c r="R411" s="5"/>
      <c r="S411" s="5"/>
      <c r="U411" s="6"/>
      <c r="V411" s="9" t="str">
        <f t="shared" si="62"/>
        <v/>
      </c>
      <c r="W411" s="9" t="str">
        <f t="shared" si="63"/>
        <v/>
      </c>
      <c r="X411" s="10">
        <f>SUM(V$13:V411)/COUNTA(B$13:B411)</f>
        <v>0</v>
      </c>
      <c r="Z411" s="5"/>
      <c r="AA411" s="5"/>
      <c r="AC411" s="7"/>
      <c r="AE411" s="54" t="e">
        <f t="shared" si="64"/>
        <v>#N/A</v>
      </c>
      <c r="AF411" s="4" t="e">
        <f t="shared" si="60"/>
        <v>#N/A</v>
      </c>
    </row>
    <row r="412" spans="2:32">
      <c r="B412" s="5">
        <f t="shared" si="65"/>
        <v>400</v>
      </c>
      <c r="C412" s="5"/>
      <c r="E412" s="13"/>
      <c r="F412" s="5"/>
      <c r="G412" s="11" t="str">
        <f>IF(ISERROR(AVERAGE(F$13:F412)),"n/a",AVERAGE(F$13:F412))</f>
        <v>n/a</v>
      </c>
      <c r="H412" s="11" t="str">
        <f t="shared" si="61"/>
        <v>n/a</v>
      </c>
      <c r="J412" s="5"/>
      <c r="K412" s="5"/>
      <c r="L412" s="5"/>
      <c r="M412" s="5"/>
      <c r="N412" s="5"/>
      <c r="O412" s="8" t="str">
        <f t="shared" si="59"/>
        <v>n/a</v>
      </c>
      <c r="Q412" s="5"/>
      <c r="R412" s="5"/>
      <c r="S412" s="5"/>
      <c r="U412" s="6"/>
      <c r="V412" s="9" t="str">
        <f t="shared" si="62"/>
        <v/>
      </c>
      <c r="W412" s="9" t="str">
        <f t="shared" si="63"/>
        <v/>
      </c>
      <c r="X412" s="10">
        <f>SUM(V$13:V412)/COUNTA(B$13:B412)</f>
        <v>0</v>
      </c>
      <c r="Z412" s="5"/>
      <c r="AA412" s="5"/>
      <c r="AC412" s="7"/>
      <c r="AE412" s="54" t="e">
        <f t="shared" si="64"/>
        <v>#N/A</v>
      </c>
      <c r="AF412" s="4" t="e">
        <f t="shared" si="60"/>
        <v>#N/A</v>
      </c>
    </row>
    <row r="413" spans="2:32">
      <c r="B413" s="5">
        <f t="shared" si="65"/>
        <v>401</v>
      </c>
      <c r="C413" s="5"/>
      <c r="E413" s="13"/>
      <c r="F413" s="5"/>
      <c r="G413" s="11" t="str">
        <f>IF(ISERROR(AVERAGE(F$13:F413)),"n/a",AVERAGE(F$13:F413))</f>
        <v>n/a</v>
      </c>
      <c r="H413" s="11" t="str">
        <f t="shared" si="61"/>
        <v>n/a</v>
      </c>
      <c r="J413" s="5"/>
      <c r="K413" s="5"/>
      <c r="L413" s="5"/>
      <c r="M413" s="5"/>
      <c r="N413" s="5"/>
      <c r="O413" s="8" t="str">
        <f t="shared" si="59"/>
        <v>n/a</v>
      </c>
      <c r="Q413" s="5"/>
      <c r="R413" s="5"/>
      <c r="S413" s="5"/>
      <c r="U413" s="6"/>
      <c r="V413" s="9" t="str">
        <f t="shared" si="62"/>
        <v/>
      </c>
      <c r="W413" s="9" t="str">
        <f t="shared" si="63"/>
        <v/>
      </c>
      <c r="X413" s="10">
        <f>SUM(V$13:V413)/COUNTA(B$13:B413)</f>
        <v>0</v>
      </c>
      <c r="Z413" s="5"/>
      <c r="AA413" s="5"/>
      <c r="AC413" s="7"/>
      <c r="AE413" s="54" t="e">
        <f t="shared" si="64"/>
        <v>#N/A</v>
      </c>
      <c r="AF413" s="4" t="e">
        <f t="shared" si="60"/>
        <v>#N/A</v>
      </c>
    </row>
    <row r="414" spans="2:32">
      <c r="B414" s="5">
        <f t="shared" si="65"/>
        <v>402</v>
      </c>
      <c r="C414" s="5"/>
      <c r="E414" s="13"/>
      <c r="F414" s="5"/>
      <c r="G414" s="11" t="str">
        <f>IF(ISERROR(AVERAGE(F$13:F414)),"n/a",AVERAGE(F$13:F414))</f>
        <v>n/a</v>
      </c>
      <c r="H414" s="11" t="str">
        <f t="shared" si="61"/>
        <v>n/a</v>
      </c>
      <c r="J414" s="5"/>
      <c r="K414" s="5"/>
      <c r="L414" s="5"/>
      <c r="M414" s="5"/>
      <c r="N414" s="5"/>
      <c r="O414" s="8" t="str">
        <f t="shared" si="59"/>
        <v>n/a</v>
      </c>
      <c r="Q414" s="5"/>
      <c r="R414" s="5"/>
      <c r="S414" s="5"/>
      <c r="U414" s="6"/>
      <c r="V414" s="9" t="str">
        <f t="shared" si="62"/>
        <v/>
      </c>
      <c r="W414" s="9" t="str">
        <f t="shared" si="63"/>
        <v/>
      </c>
      <c r="X414" s="10">
        <f>SUM(V$13:V414)/COUNTA(B$13:B414)</f>
        <v>0</v>
      </c>
      <c r="Z414" s="5"/>
      <c r="AA414" s="5"/>
      <c r="AC414" s="7"/>
      <c r="AE414" s="54" t="e">
        <f t="shared" si="64"/>
        <v>#N/A</v>
      </c>
      <c r="AF414" s="4" t="e">
        <f t="shared" si="60"/>
        <v>#N/A</v>
      </c>
    </row>
    <row r="415" spans="2:32">
      <c r="B415" s="5">
        <f t="shared" si="65"/>
        <v>403</v>
      </c>
      <c r="C415" s="5"/>
      <c r="E415" s="13"/>
      <c r="F415" s="5"/>
      <c r="G415" s="11" t="str">
        <f>IF(ISERROR(AVERAGE(F$13:F415)),"n/a",AVERAGE(F$13:F415))</f>
        <v>n/a</v>
      </c>
      <c r="H415" s="11" t="str">
        <f t="shared" si="61"/>
        <v>n/a</v>
      </c>
      <c r="J415" s="5"/>
      <c r="K415" s="5"/>
      <c r="L415" s="5"/>
      <c r="M415" s="5"/>
      <c r="N415" s="5"/>
      <c r="O415" s="8" t="str">
        <f t="shared" si="59"/>
        <v>n/a</v>
      </c>
      <c r="Q415" s="5"/>
      <c r="R415" s="5"/>
      <c r="S415" s="5"/>
      <c r="U415" s="6"/>
      <c r="V415" s="9" t="str">
        <f t="shared" si="62"/>
        <v/>
      </c>
      <c r="W415" s="9" t="str">
        <f t="shared" si="63"/>
        <v/>
      </c>
      <c r="X415" s="10">
        <f>SUM(V$13:V415)/COUNTA(B$13:B415)</f>
        <v>0</v>
      </c>
      <c r="Z415" s="5"/>
      <c r="AA415" s="5"/>
      <c r="AC415" s="7"/>
      <c r="AE415" s="54" t="e">
        <f t="shared" si="64"/>
        <v>#N/A</v>
      </c>
      <c r="AF415" s="4" t="e">
        <f t="shared" si="60"/>
        <v>#N/A</v>
      </c>
    </row>
    <row r="416" spans="2:32">
      <c r="B416" s="5">
        <f t="shared" si="65"/>
        <v>404</v>
      </c>
      <c r="C416" s="5"/>
      <c r="E416" s="13"/>
      <c r="F416" s="5"/>
      <c r="G416" s="11" t="str">
        <f>IF(ISERROR(AVERAGE(F$13:F416)),"n/a",AVERAGE(F$13:F416))</f>
        <v>n/a</v>
      </c>
      <c r="H416" s="11" t="str">
        <f t="shared" si="61"/>
        <v>n/a</v>
      </c>
      <c r="J416" s="5"/>
      <c r="K416" s="5"/>
      <c r="L416" s="5"/>
      <c r="M416" s="5"/>
      <c r="N416" s="5"/>
      <c r="O416" s="8" t="str">
        <f t="shared" si="59"/>
        <v>n/a</v>
      </c>
      <c r="Q416" s="5"/>
      <c r="R416" s="5"/>
      <c r="S416" s="5"/>
      <c r="U416" s="6"/>
      <c r="V416" s="9" t="str">
        <f t="shared" si="62"/>
        <v/>
      </c>
      <c r="W416" s="9" t="str">
        <f t="shared" si="63"/>
        <v/>
      </c>
      <c r="X416" s="10">
        <f>SUM(V$13:V416)/COUNTA(B$13:B416)</f>
        <v>0</v>
      </c>
      <c r="Z416" s="5"/>
      <c r="AA416" s="5"/>
      <c r="AC416" s="7"/>
      <c r="AE416" s="54" t="e">
        <f t="shared" si="64"/>
        <v>#N/A</v>
      </c>
      <c r="AF416" s="4" t="e">
        <f t="shared" si="60"/>
        <v>#N/A</v>
      </c>
    </row>
    <row r="417" spans="2:32">
      <c r="B417" s="5">
        <f t="shared" si="65"/>
        <v>405</v>
      </c>
      <c r="C417" s="5"/>
      <c r="E417" s="13"/>
      <c r="F417" s="5"/>
      <c r="G417" s="11" t="str">
        <f>IF(ISERROR(AVERAGE(F$13:F417)),"n/a",AVERAGE(F$13:F417))</f>
        <v>n/a</v>
      </c>
      <c r="H417" s="11" t="str">
        <f t="shared" si="61"/>
        <v>n/a</v>
      </c>
      <c r="J417" s="5"/>
      <c r="K417" s="5"/>
      <c r="L417" s="5"/>
      <c r="M417" s="5"/>
      <c r="N417" s="5"/>
      <c r="O417" s="8" t="str">
        <f t="shared" si="59"/>
        <v>n/a</v>
      </c>
      <c r="Q417" s="5"/>
      <c r="R417" s="5"/>
      <c r="S417" s="5"/>
      <c r="U417" s="6"/>
      <c r="V417" s="9" t="str">
        <f t="shared" si="62"/>
        <v/>
      </c>
      <c r="W417" s="9" t="str">
        <f t="shared" si="63"/>
        <v/>
      </c>
      <c r="X417" s="10">
        <f>SUM(V$13:V417)/COUNTA(B$13:B417)</f>
        <v>0</v>
      </c>
      <c r="Z417" s="5"/>
      <c r="AA417" s="5"/>
      <c r="AC417" s="7"/>
      <c r="AE417" s="54" t="e">
        <f t="shared" si="64"/>
        <v>#N/A</v>
      </c>
      <c r="AF417" s="4" t="e">
        <f t="shared" si="60"/>
        <v>#N/A</v>
      </c>
    </row>
    <row r="418" spans="2:32">
      <c r="B418" s="5">
        <f t="shared" si="65"/>
        <v>406</v>
      </c>
      <c r="C418" s="5"/>
      <c r="E418" s="13"/>
      <c r="F418" s="5"/>
      <c r="G418" s="11" t="str">
        <f>IF(ISERROR(AVERAGE(F$13:F418)),"n/a",AVERAGE(F$13:F418))</f>
        <v>n/a</v>
      </c>
      <c r="H418" s="11" t="str">
        <f t="shared" si="61"/>
        <v>n/a</v>
      </c>
      <c r="J418" s="5"/>
      <c r="K418" s="5"/>
      <c r="L418" s="5"/>
      <c r="M418" s="5"/>
      <c r="N418" s="5"/>
      <c r="O418" s="8" t="str">
        <f t="shared" si="59"/>
        <v>n/a</v>
      </c>
      <c r="Q418" s="5"/>
      <c r="R418" s="5"/>
      <c r="S418" s="5"/>
      <c r="U418" s="6"/>
      <c r="V418" s="9" t="str">
        <f t="shared" si="62"/>
        <v/>
      </c>
      <c r="W418" s="9" t="str">
        <f t="shared" si="63"/>
        <v/>
      </c>
      <c r="X418" s="10">
        <f>SUM(V$13:V418)/COUNTA(B$13:B418)</f>
        <v>0</v>
      </c>
      <c r="Z418" s="5"/>
      <c r="AA418" s="5"/>
      <c r="AC418" s="7"/>
      <c r="AE418" s="54" t="e">
        <f t="shared" si="64"/>
        <v>#N/A</v>
      </c>
      <c r="AF418" s="4" t="e">
        <f t="shared" si="60"/>
        <v>#N/A</v>
      </c>
    </row>
    <row r="419" spans="2:32">
      <c r="B419" s="5">
        <f t="shared" si="65"/>
        <v>407</v>
      </c>
      <c r="C419" s="5"/>
      <c r="E419" s="13"/>
      <c r="F419" s="5"/>
      <c r="G419" s="11" t="str">
        <f>IF(ISERROR(AVERAGE(F$13:F419)),"n/a",AVERAGE(F$13:F419))</f>
        <v>n/a</v>
      </c>
      <c r="H419" s="11" t="str">
        <f t="shared" si="61"/>
        <v>n/a</v>
      </c>
      <c r="J419" s="5"/>
      <c r="K419" s="5"/>
      <c r="L419" s="5"/>
      <c r="M419" s="5"/>
      <c r="N419" s="5"/>
      <c r="O419" s="8" t="str">
        <f t="shared" si="59"/>
        <v>n/a</v>
      </c>
      <c r="Q419" s="5"/>
      <c r="R419" s="5"/>
      <c r="S419" s="5"/>
      <c r="U419" s="6"/>
      <c r="V419" s="9" t="str">
        <f t="shared" si="62"/>
        <v/>
      </c>
      <c r="W419" s="9" t="str">
        <f t="shared" si="63"/>
        <v/>
      </c>
      <c r="X419" s="10">
        <f>SUM(V$13:V419)/COUNTA(B$13:B419)</f>
        <v>0</v>
      </c>
      <c r="Z419" s="5"/>
      <c r="AA419" s="5"/>
      <c r="AC419" s="7"/>
      <c r="AE419" s="54" t="e">
        <f t="shared" si="64"/>
        <v>#N/A</v>
      </c>
      <c r="AF419" s="4" t="e">
        <f t="shared" si="60"/>
        <v>#N/A</v>
      </c>
    </row>
    <row r="420" spans="2:32">
      <c r="B420" s="5">
        <f t="shared" si="65"/>
        <v>408</v>
      </c>
      <c r="C420" s="5"/>
      <c r="E420" s="13"/>
      <c r="F420" s="5"/>
      <c r="G420" s="11" t="str">
        <f>IF(ISERROR(AVERAGE(F$13:F420)),"n/a",AVERAGE(F$13:F420))</f>
        <v>n/a</v>
      </c>
      <c r="H420" s="11" t="str">
        <f t="shared" si="61"/>
        <v>n/a</v>
      </c>
      <c r="J420" s="5"/>
      <c r="K420" s="5"/>
      <c r="L420" s="5"/>
      <c r="M420" s="5"/>
      <c r="N420" s="5"/>
      <c r="O420" s="8" t="str">
        <f t="shared" si="59"/>
        <v>n/a</v>
      </c>
      <c r="Q420" s="5"/>
      <c r="R420" s="5"/>
      <c r="S420" s="5"/>
      <c r="U420" s="6"/>
      <c r="V420" s="9" t="str">
        <f t="shared" si="62"/>
        <v/>
      </c>
      <c r="W420" s="9" t="str">
        <f t="shared" si="63"/>
        <v/>
      </c>
      <c r="X420" s="10">
        <f>SUM(V$13:V420)/COUNTA(B$13:B420)</f>
        <v>0</v>
      </c>
      <c r="Z420" s="5"/>
      <c r="AA420" s="5"/>
      <c r="AC420" s="7"/>
      <c r="AE420" s="54" t="e">
        <f t="shared" si="64"/>
        <v>#N/A</v>
      </c>
      <c r="AF420" s="4" t="e">
        <f t="shared" si="60"/>
        <v>#N/A</v>
      </c>
    </row>
    <row r="421" spans="2:32">
      <c r="B421" s="5">
        <f t="shared" si="65"/>
        <v>409</v>
      </c>
      <c r="C421" s="5"/>
      <c r="E421" s="13"/>
      <c r="F421" s="5"/>
      <c r="G421" s="11" t="str">
        <f>IF(ISERROR(AVERAGE(F$13:F421)),"n/a",AVERAGE(F$13:F421))</f>
        <v>n/a</v>
      </c>
      <c r="H421" s="11" t="str">
        <f t="shared" si="61"/>
        <v>n/a</v>
      </c>
      <c r="J421" s="5"/>
      <c r="K421" s="5"/>
      <c r="L421" s="5"/>
      <c r="M421" s="5"/>
      <c r="N421" s="5"/>
      <c r="O421" s="8" t="str">
        <f t="shared" si="59"/>
        <v>n/a</v>
      </c>
      <c r="Q421" s="5"/>
      <c r="R421" s="5"/>
      <c r="S421" s="5"/>
      <c r="U421" s="6"/>
      <c r="V421" s="9" t="str">
        <f t="shared" si="62"/>
        <v/>
      </c>
      <c r="W421" s="9" t="str">
        <f t="shared" si="63"/>
        <v/>
      </c>
      <c r="X421" s="10">
        <f>SUM(V$13:V421)/COUNTA(B$13:B421)</f>
        <v>0</v>
      </c>
      <c r="Z421" s="5"/>
      <c r="AA421" s="5"/>
      <c r="AC421" s="7"/>
      <c r="AE421" s="54" t="e">
        <f t="shared" si="64"/>
        <v>#N/A</v>
      </c>
      <c r="AF421" s="4" t="e">
        <f t="shared" si="60"/>
        <v>#N/A</v>
      </c>
    </row>
    <row r="422" spans="2:32">
      <c r="B422" s="5">
        <f t="shared" si="65"/>
        <v>410</v>
      </c>
      <c r="C422" s="5"/>
      <c r="E422" s="13"/>
      <c r="F422" s="5"/>
      <c r="G422" s="11" t="str">
        <f>IF(ISERROR(AVERAGE(F$13:F422)),"n/a",AVERAGE(F$13:F422))</f>
        <v>n/a</v>
      </c>
      <c r="H422" s="11" t="str">
        <f t="shared" si="61"/>
        <v>n/a</v>
      </c>
      <c r="J422" s="5"/>
      <c r="K422" s="5"/>
      <c r="L422" s="5"/>
      <c r="M422" s="5"/>
      <c r="N422" s="5"/>
      <c r="O422" s="8" t="str">
        <f t="shared" si="59"/>
        <v>n/a</v>
      </c>
      <c r="Q422" s="5"/>
      <c r="R422" s="5"/>
      <c r="S422" s="5"/>
      <c r="U422" s="6"/>
      <c r="V422" s="9" t="str">
        <f t="shared" si="62"/>
        <v/>
      </c>
      <c r="W422" s="9" t="str">
        <f t="shared" si="63"/>
        <v/>
      </c>
      <c r="X422" s="10">
        <f>SUM(V$13:V422)/COUNTA(B$13:B422)</f>
        <v>0</v>
      </c>
      <c r="Z422" s="5"/>
      <c r="AA422" s="5"/>
      <c r="AC422" s="7"/>
      <c r="AE422" s="54" t="e">
        <f t="shared" si="64"/>
        <v>#N/A</v>
      </c>
      <c r="AF422" s="4" t="e">
        <f t="shared" si="60"/>
        <v>#N/A</v>
      </c>
    </row>
    <row r="423" spans="2:32">
      <c r="B423" s="5">
        <f t="shared" si="65"/>
        <v>411</v>
      </c>
      <c r="C423" s="5"/>
      <c r="E423" s="13"/>
      <c r="F423" s="5"/>
      <c r="G423" s="11" t="str">
        <f>IF(ISERROR(AVERAGE(F$13:F423)),"n/a",AVERAGE(F$13:F423))</f>
        <v>n/a</v>
      </c>
      <c r="H423" s="11" t="str">
        <f t="shared" si="61"/>
        <v>n/a</v>
      </c>
      <c r="J423" s="5"/>
      <c r="K423" s="5"/>
      <c r="L423" s="5"/>
      <c r="M423" s="5"/>
      <c r="N423" s="5"/>
      <c r="O423" s="8" t="str">
        <f t="shared" si="59"/>
        <v>n/a</v>
      </c>
      <c r="Q423" s="5"/>
      <c r="R423" s="5"/>
      <c r="S423" s="5"/>
      <c r="U423" s="6"/>
      <c r="V423" s="9" t="str">
        <f t="shared" si="62"/>
        <v/>
      </c>
      <c r="W423" s="9" t="str">
        <f t="shared" si="63"/>
        <v/>
      </c>
      <c r="X423" s="10">
        <f>SUM(V$13:V423)/COUNTA(B$13:B423)</f>
        <v>0</v>
      </c>
      <c r="Z423" s="5"/>
      <c r="AA423" s="5"/>
      <c r="AC423" s="7"/>
      <c r="AE423" s="54" t="e">
        <f t="shared" si="64"/>
        <v>#N/A</v>
      </c>
      <c r="AF423" s="4" t="e">
        <f t="shared" si="60"/>
        <v>#N/A</v>
      </c>
    </row>
    <row r="424" spans="2:32">
      <c r="B424" s="5">
        <f t="shared" si="65"/>
        <v>412</v>
      </c>
      <c r="C424" s="5"/>
      <c r="E424" s="13"/>
      <c r="F424" s="5"/>
      <c r="G424" s="11" t="str">
        <f>IF(ISERROR(AVERAGE(F$13:F424)),"n/a",AVERAGE(F$13:F424))</f>
        <v>n/a</v>
      </c>
      <c r="H424" s="11" t="str">
        <f t="shared" si="61"/>
        <v>n/a</v>
      </c>
      <c r="J424" s="5"/>
      <c r="K424" s="5"/>
      <c r="L424" s="5"/>
      <c r="M424" s="5"/>
      <c r="N424" s="5"/>
      <c r="O424" s="8" t="str">
        <f t="shared" si="59"/>
        <v>n/a</v>
      </c>
      <c r="Q424" s="5"/>
      <c r="R424" s="5"/>
      <c r="S424" s="5"/>
      <c r="U424" s="6"/>
      <c r="V424" s="9" t="str">
        <f t="shared" si="62"/>
        <v/>
      </c>
      <c r="W424" s="9" t="str">
        <f t="shared" si="63"/>
        <v/>
      </c>
      <c r="X424" s="10">
        <f>SUM(V$13:V424)/COUNTA(B$13:B424)</f>
        <v>0</v>
      </c>
      <c r="Z424" s="5"/>
      <c r="AA424" s="5"/>
      <c r="AC424" s="7"/>
      <c r="AE424" s="54" t="e">
        <f t="shared" si="64"/>
        <v>#N/A</v>
      </c>
      <c r="AF424" s="4" t="e">
        <f t="shared" si="60"/>
        <v>#N/A</v>
      </c>
    </row>
    <row r="425" spans="2:32">
      <c r="B425" s="5">
        <f t="shared" si="65"/>
        <v>413</v>
      </c>
      <c r="C425" s="5"/>
      <c r="E425" s="13"/>
      <c r="F425" s="5"/>
      <c r="G425" s="11" t="str">
        <f>IF(ISERROR(AVERAGE(F$13:F425)),"n/a",AVERAGE(F$13:F425))</f>
        <v>n/a</v>
      </c>
      <c r="H425" s="11" t="str">
        <f t="shared" si="61"/>
        <v>n/a</v>
      </c>
      <c r="J425" s="5"/>
      <c r="K425" s="5"/>
      <c r="L425" s="5"/>
      <c r="M425" s="5"/>
      <c r="N425" s="5"/>
      <c r="O425" s="8" t="str">
        <f t="shared" si="59"/>
        <v>n/a</v>
      </c>
      <c r="Q425" s="5"/>
      <c r="R425" s="5"/>
      <c r="S425" s="5"/>
      <c r="U425" s="6"/>
      <c r="V425" s="9" t="str">
        <f t="shared" si="62"/>
        <v/>
      </c>
      <c r="W425" s="9" t="str">
        <f t="shared" si="63"/>
        <v/>
      </c>
      <c r="X425" s="10">
        <f>SUM(V$13:V425)/COUNTA(B$13:B425)</f>
        <v>0</v>
      </c>
      <c r="Z425" s="5"/>
      <c r="AA425" s="5"/>
      <c r="AC425" s="7"/>
      <c r="AE425" s="54" t="e">
        <f t="shared" si="64"/>
        <v>#N/A</v>
      </c>
      <c r="AF425" s="4" t="e">
        <f t="shared" si="60"/>
        <v>#N/A</v>
      </c>
    </row>
    <row r="426" spans="2:32">
      <c r="B426" s="5">
        <f t="shared" si="65"/>
        <v>414</v>
      </c>
      <c r="C426" s="5"/>
      <c r="E426" s="13"/>
      <c r="F426" s="5"/>
      <c r="G426" s="11" t="str">
        <f>IF(ISERROR(AVERAGE(F$13:F426)),"n/a",AVERAGE(F$13:F426))</f>
        <v>n/a</v>
      </c>
      <c r="H426" s="11" t="str">
        <f t="shared" si="61"/>
        <v>n/a</v>
      </c>
      <c r="J426" s="5"/>
      <c r="K426" s="5"/>
      <c r="L426" s="5"/>
      <c r="M426" s="5"/>
      <c r="N426" s="5"/>
      <c r="O426" s="8" t="str">
        <f t="shared" si="59"/>
        <v>n/a</v>
      </c>
      <c r="Q426" s="5"/>
      <c r="R426" s="5"/>
      <c r="S426" s="5"/>
      <c r="U426" s="6"/>
      <c r="V426" s="9" t="str">
        <f t="shared" si="62"/>
        <v/>
      </c>
      <c r="W426" s="9" t="str">
        <f t="shared" si="63"/>
        <v/>
      </c>
      <c r="X426" s="10">
        <f>SUM(V$13:V426)/COUNTA(B$13:B426)</f>
        <v>0</v>
      </c>
      <c r="Z426" s="5"/>
      <c r="AA426" s="5"/>
      <c r="AC426" s="7"/>
      <c r="AE426" s="54" t="e">
        <f t="shared" si="64"/>
        <v>#N/A</v>
      </c>
      <c r="AF426" s="4" t="e">
        <f t="shared" si="60"/>
        <v>#N/A</v>
      </c>
    </row>
    <row r="427" spans="2:32">
      <c r="B427" s="5">
        <f t="shared" si="65"/>
        <v>415</v>
      </c>
      <c r="C427" s="5"/>
      <c r="E427" s="13"/>
      <c r="F427" s="5"/>
      <c r="G427" s="11" t="str">
        <f>IF(ISERROR(AVERAGE(F$13:F427)),"n/a",AVERAGE(F$13:F427))</f>
        <v>n/a</v>
      </c>
      <c r="H427" s="11" t="str">
        <f t="shared" si="61"/>
        <v>n/a</v>
      </c>
      <c r="J427" s="5"/>
      <c r="K427" s="5"/>
      <c r="L427" s="5"/>
      <c r="M427" s="5"/>
      <c r="N427" s="5"/>
      <c r="O427" s="8" t="str">
        <f t="shared" si="59"/>
        <v>n/a</v>
      </c>
      <c r="Q427" s="5"/>
      <c r="R427" s="5"/>
      <c r="S427" s="5"/>
      <c r="U427" s="6"/>
      <c r="V427" s="9" t="str">
        <f t="shared" si="62"/>
        <v/>
      </c>
      <c r="W427" s="9" t="str">
        <f t="shared" si="63"/>
        <v/>
      </c>
      <c r="X427" s="10">
        <f>SUM(V$13:V427)/COUNTA(B$13:B427)</f>
        <v>0</v>
      </c>
      <c r="Z427" s="5"/>
      <c r="AA427" s="5"/>
      <c r="AC427" s="7"/>
      <c r="AE427" s="54" t="e">
        <f t="shared" si="64"/>
        <v>#N/A</v>
      </c>
      <c r="AF427" s="4" t="e">
        <f t="shared" si="60"/>
        <v>#N/A</v>
      </c>
    </row>
    <row r="428" spans="2:32">
      <c r="B428" s="5">
        <f t="shared" si="65"/>
        <v>416</v>
      </c>
      <c r="C428" s="5"/>
      <c r="E428" s="13"/>
      <c r="F428" s="5"/>
      <c r="G428" s="11" t="str">
        <f>IF(ISERROR(AVERAGE(F$13:F428)),"n/a",AVERAGE(F$13:F428))</f>
        <v>n/a</v>
      </c>
      <c r="H428" s="11" t="str">
        <f t="shared" si="61"/>
        <v>n/a</v>
      </c>
      <c r="J428" s="5"/>
      <c r="K428" s="5"/>
      <c r="L428" s="5"/>
      <c r="M428" s="5"/>
      <c r="N428" s="5"/>
      <c r="O428" s="8" t="str">
        <f t="shared" si="59"/>
        <v>n/a</v>
      </c>
      <c r="Q428" s="5"/>
      <c r="R428" s="5"/>
      <c r="S428" s="5"/>
      <c r="U428" s="6"/>
      <c r="V428" s="9" t="str">
        <f t="shared" si="62"/>
        <v/>
      </c>
      <c r="W428" s="9" t="str">
        <f t="shared" si="63"/>
        <v/>
      </c>
      <c r="X428" s="10">
        <f>SUM(V$13:V428)/COUNTA(B$13:B428)</f>
        <v>0</v>
      </c>
      <c r="Z428" s="5"/>
      <c r="AA428" s="5"/>
      <c r="AC428" s="7"/>
      <c r="AE428" s="54" t="e">
        <f t="shared" si="64"/>
        <v>#N/A</v>
      </c>
      <c r="AF428" s="4" t="e">
        <f t="shared" si="60"/>
        <v>#N/A</v>
      </c>
    </row>
    <row r="429" spans="2:32">
      <c r="B429" s="5">
        <f t="shared" si="65"/>
        <v>417</v>
      </c>
      <c r="C429" s="5"/>
      <c r="E429" s="13"/>
      <c r="F429" s="5"/>
      <c r="G429" s="11" t="str">
        <f>IF(ISERROR(AVERAGE(F$13:F429)),"n/a",AVERAGE(F$13:F429))</f>
        <v>n/a</v>
      </c>
      <c r="H429" s="11" t="str">
        <f t="shared" si="61"/>
        <v>n/a</v>
      </c>
      <c r="J429" s="5"/>
      <c r="K429" s="5"/>
      <c r="L429" s="5"/>
      <c r="M429" s="5"/>
      <c r="N429" s="5"/>
      <c r="O429" s="8" t="str">
        <f t="shared" si="59"/>
        <v>n/a</v>
      </c>
      <c r="Q429" s="5"/>
      <c r="R429" s="5"/>
      <c r="S429" s="5"/>
      <c r="U429" s="6"/>
      <c r="V429" s="9" t="str">
        <f t="shared" si="62"/>
        <v/>
      </c>
      <c r="W429" s="9" t="str">
        <f t="shared" si="63"/>
        <v/>
      </c>
      <c r="X429" s="10">
        <f>SUM(V$13:V429)/COUNTA(B$13:B429)</f>
        <v>0</v>
      </c>
      <c r="Z429" s="5"/>
      <c r="AA429" s="5"/>
      <c r="AC429" s="7"/>
      <c r="AE429" s="54" t="e">
        <f t="shared" si="64"/>
        <v>#N/A</v>
      </c>
      <c r="AF429" s="4" t="e">
        <f t="shared" si="60"/>
        <v>#N/A</v>
      </c>
    </row>
    <row r="430" spans="2:32">
      <c r="B430" s="5">
        <f t="shared" si="65"/>
        <v>418</v>
      </c>
      <c r="C430" s="5"/>
      <c r="E430" s="13"/>
      <c r="F430" s="5"/>
      <c r="G430" s="11" t="str">
        <f>IF(ISERROR(AVERAGE(F$13:F430)),"n/a",AVERAGE(F$13:F430))</f>
        <v>n/a</v>
      </c>
      <c r="H430" s="11" t="str">
        <f t="shared" si="61"/>
        <v>n/a</v>
      </c>
      <c r="J430" s="5"/>
      <c r="K430" s="5"/>
      <c r="L430" s="5"/>
      <c r="M430" s="5"/>
      <c r="N430" s="5"/>
      <c r="O430" s="8" t="str">
        <f t="shared" si="59"/>
        <v>n/a</v>
      </c>
      <c r="Q430" s="5"/>
      <c r="R430" s="5"/>
      <c r="S430" s="5"/>
      <c r="U430" s="6"/>
      <c r="V430" s="9" t="str">
        <f t="shared" si="62"/>
        <v/>
      </c>
      <c r="W430" s="9" t="str">
        <f t="shared" si="63"/>
        <v/>
      </c>
      <c r="X430" s="10">
        <f>SUM(V$13:V430)/COUNTA(B$13:B430)</f>
        <v>0</v>
      </c>
      <c r="Z430" s="5"/>
      <c r="AA430" s="5"/>
      <c r="AC430" s="7"/>
      <c r="AE430" s="54" t="e">
        <f t="shared" si="64"/>
        <v>#N/A</v>
      </c>
      <c r="AF430" s="4" t="e">
        <f t="shared" si="60"/>
        <v>#N/A</v>
      </c>
    </row>
    <row r="431" spans="2:32">
      <c r="B431" s="5">
        <f t="shared" si="65"/>
        <v>419</v>
      </c>
      <c r="C431" s="5"/>
      <c r="E431" s="13"/>
      <c r="F431" s="5"/>
      <c r="G431" s="11" t="str">
        <f>IF(ISERROR(AVERAGE(F$13:F431)),"n/a",AVERAGE(F$13:F431))</f>
        <v>n/a</v>
      </c>
      <c r="H431" s="11" t="str">
        <f t="shared" si="61"/>
        <v>n/a</v>
      </c>
      <c r="J431" s="5"/>
      <c r="K431" s="5"/>
      <c r="L431" s="5"/>
      <c r="M431" s="5"/>
      <c r="N431" s="5"/>
      <c r="O431" s="8" t="str">
        <f t="shared" si="59"/>
        <v>n/a</v>
      </c>
      <c r="Q431" s="5"/>
      <c r="R431" s="5"/>
      <c r="S431" s="5"/>
      <c r="U431" s="6"/>
      <c r="V431" s="9" t="str">
        <f t="shared" si="62"/>
        <v/>
      </c>
      <c r="W431" s="9" t="str">
        <f t="shared" si="63"/>
        <v/>
      </c>
      <c r="X431" s="10">
        <f>SUM(V$13:V431)/COUNTA(B$13:B431)</f>
        <v>0</v>
      </c>
      <c r="Z431" s="5"/>
      <c r="AA431" s="5"/>
      <c r="AC431" s="7"/>
      <c r="AE431" s="54" t="e">
        <f t="shared" si="64"/>
        <v>#N/A</v>
      </c>
      <c r="AF431" s="4" t="e">
        <f t="shared" si="60"/>
        <v>#N/A</v>
      </c>
    </row>
    <row r="432" spans="2:32">
      <c r="B432" s="5">
        <f t="shared" si="65"/>
        <v>420</v>
      </c>
      <c r="C432" s="5"/>
      <c r="E432" s="13"/>
      <c r="F432" s="5"/>
      <c r="G432" s="11" t="str">
        <f>IF(ISERROR(AVERAGE(F$13:F432)),"n/a",AVERAGE(F$13:F432))</f>
        <v>n/a</v>
      </c>
      <c r="H432" s="11" t="str">
        <f t="shared" si="61"/>
        <v>n/a</v>
      </c>
      <c r="J432" s="5"/>
      <c r="K432" s="5"/>
      <c r="L432" s="5"/>
      <c r="M432" s="5"/>
      <c r="N432" s="5"/>
      <c r="O432" s="8" t="str">
        <f t="shared" si="59"/>
        <v>n/a</v>
      </c>
      <c r="Q432" s="5"/>
      <c r="R432" s="5"/>
      <c r="S432" s="5"/>
      <c r="U432" s="6"/>
      <c r="V432" s="9" t="str">
        <f t="shared" si="62"/>
        <v/>
      </c>
      <c r="W432" s="9" t="str">
        <f t="shared" si="63"/>
        <v/>
      </c>
      <c r="X432" s="10">
        <f>SUM(V$13:V432)/COUNTA(B$13:B432)</f>
        <v>0</v>
      </c>
      <c r="Z432" s="5"/>
      <c r="AA432" s="5"/>
      <c r="AC432" s="7"/>
      <c r="AE432" s="54" t="e">
        <f t="shared" si="64"/>
        <v>#N/A</v>
      </c>
      <c r="AF432" s="4" t="e">
        <f t="shared" si="60"/>
        <v>#N/A</v>
      </c>
    </row>
    <row r="433" spans="2:32">
      <c r="B433" s="5">
        <f t="shared" si="65"/>
        <v>421</v>
      </c>
      <c r="C433" s="5"/>
      <c r="E433" s="13"/>
      <c r="F433" s="5"/>
      <c r="G433" s="11" t="str">
        <f>IF(ISERROR(AVERAGE(F$13:F433)),"n/a",AVERAGE(F$13:F433))</f>
        <v>n/a</v>
      </c>
      <c r="H433" s="11" t="str">
        <f t="shared" si="61"/>
        <v>n/a</v>
      </c>
      <c r="J433" s="5"/>
      <c r="K433" s="5"/>
      <c r="L433" s="5"/>
      <c r="M433" s="5"/>
      <c r="N433" s="5"/>
      <c r="O433" s="8" t="str">
        <f t="shared" si="59"/>
        <v>n/a</v>
      </c>
      <c r="Q433" s="5"/>
      <c r="R433" s="5"/>
      <c r="S433" s="5"/>
      <c r="U433" s="6"/>
      <c r="V433" s="9" t="str">
        <f t="shared" si="62"/>
        <v/>
      </c>
      <c r="W433" s="9" t="str">
        <f t="shared" si="63"/>
        <v/>
      </c>
      <c r="X433" s="10">
        <f>SUM(V$13:V433)/COUNTA(B$13:B433)</f>
        <v>0</v>
      </c>
      <c r="Z433" s="5"/>
      <c r="AA433" s="5"/>
      <c r="AC433" s="7"/>
      <c r="AE433" s="54" t="e">
        <f t="shared" si="64"/>
        <v>#N/A</v>
      </c>
      <c r="AF433" s="4" t="e">
        <f t="shared" si="60"/>
        <v>#N/A</v>
      </c>
    </row>
    <row r="434" spans="2:32">
      <c r="B434" s="5">
        <f t="shared" si="65"/>
        <v>422</v>
      </c>
      <c r="C434" s="5"/>
      <c r="E434" s="13"/>
      <c r="F434" s="5"/>
      <c r="G434" s="11" t="str">
        <f>IF(ISERROR(AVERAGE(F$13:F434)),"n/a",AVERAGE(F$13:F434))</f>
        <v>n/a</v>
      </c>
      <c r="H434" s="11" t="str">
        <f t="shared" si="61"/>
        <v>n/a</v>
      </c>
      <c r="J434" s="5"/>
      <c r="K434" s="5"/>
      <c r="L434" s="5"/>
      <c r="M434" s="5"/>
      <c r="N434" s="5"/>
      <c r="O434" s="8" t="str">
        <f t="shared" si="59"/>
        <v>n/a</v>
      </c>
      <c r="Q434" s="5"/>
      <c r="R434" s="5"/>
      <c r="S434" s="5"/>
      <c r="U434" s="6"/>
      <c r="V434" s="9" t="str">
        <f t="shared" si="62"/>
        <v/>
      </c>
      <c r="W434" s="9" t="str">
        <f t="shared" si="63"/>
        <v/>
      </c>
      <c r="X434" s="10">
        <f>SUM(V$13:V434)/COUNTA(B$13:B434)</f>
        <v>0</v>
      </c>
      <c r="Z434" s="5"/>
      <c r="AA434" s="5"/>
      <c r="AC434" s="7"/>
      <c r="AE434" s="54" t="e">
        <f t="shared" si="64"/>
        <v>#N/A</v>
      </c>
      <c r="AF434" s="4" t="e">
        <f t="shared" si="60"/>
        <v>#N/A</v>
      </c>
    </row>
    <row r="435" spans="2:32">
      <c r="B435" s="5">
        <f t="shared" si="65"/>
        <v>423</v>
      </c>
      <c r="C435" s="5"/>
      <c r="E435" s="13"/>
      <c r="F435" s="5"/>
      <c r="G435" s="11" t="str">
        <f>IF(ISERROR(AVERAGE(F$13:F435)),"n/a",AVERAGE(F$13:F435))</f>
        <v>n/a</v>
      </c>
      <c r="H435" s="11" t="str">
        <f t="shared" si="61"/>
        <v>n/a</v>
      </c>
      <c r="J435" s="5"/>
      <c r="K435" s="5"/>
      <c r="L435" s="5"/>
      <c r="M435" s="5"/>
      <c r="N435" s="5"/>
      <c r="O435" s="8" t="str">
        <f t="shared" si="59"/>
        <v>n/a</v>
      </c>
      <c r="Q435" s="5"/>
      <c r="R435" s="5"/>
      <c r="S435" s="5"/>
      <c r="U435" s="6"/>
      <c r="V435" s="9" t="str">
        <f t="shared" si="62"/>
        <v/>
      </c>
      <c r="W435" s="9" t="str">
        <f t="shared" si="63"/>
        <v/>
      </c>
      <c r="X435" s="10">
        <f>SUM(V$13:V435)/COUNTA(B$13:B435)</f>
        <v>0</v>
      </c>
      <c r="Z435" s="5"/>
      <c r="AA435" s="5"/>
      <c r="AC435" s="7"/>
      <c r="AE435" s="54" t="e">
        <f t="shared" si="64"/>
        <v>#N/A</v>
      </c>
      <c r="AF435" s="4" t="e">
        <f t="shared" si="60"/>
        <v>#N/A</v>
      </c>
    </row>
    <row r="436" spans="2:32">
      <c r="B436" s="5">
        <f t="shared" si="65"/>
        <v>424</v>
      </c>
      <c r="C436" s="5"/>
      <c r="E436" s="13"/>
      <c r="F436" s="5"/>
      <c r="G436" s="11" t="str">
        <f>IF(ISERROR(AVERAGE(F$13:F436)),"n/a",AVERAGE(F$13:F436))</f>
        <v>n/a</v>
      </c>
      <c r="H436" s="11" t="str">
        <f t="shared" si="61"/>
        <v>n/a</v>
      </c>
      <c r="J436" s="5"/>
      <c r="K436" s="5"/>
      <c r="L436" s="5"/>
      <c r="M436" s="5"/>
      <c r="N436" s="5"/>
      <c r="O436" s="8" t="str">
        <f t="shared" si="59"/>
        <v>n/a</v>
      </c>
      <c r="Q436" s="5"/>
      <c r="R436" s="5"/>
      <c r="S436" s="5"/>
      <c r="U436" s="6"/>
      <c r="V436" s="9" t="str">
        <f t="shared" si="62"/>
        <v/>
      </c>
      <c r="W436" s="9" t="str">
        <f t="shared" si="63"/>
        <v/>
      </c>
      <c r="X436" s="10">
        <f>SUM(V$13:V436)/COUNTA(B$13:B436)</f>
        <v>0</v>
      </c>
      <c r="Z436" s="5"/>
      <c r="AA436" s="5"/>
      <c r="AC436" s="7"/>
      <c r="AE436" s="54" t="e">
        <f t="shared" si="64"/>
        <v>#N/A</v>
      </c>
      <c r="AF436" s="4" t="e">
        <f t="shared" si="60"/>
        <v>#N/A</v>
      </c>
    </row>
    <row r="437" spans="2:32">
      <c r="B437" s="5">
        <f t="shared" si="65"/>
        <v>425</v>
      </c>
      <c r="C437" s="5"/>
      <c r="E437" s="13"/>
      <c r="F437" s="5"/>
      <c r="G437" s="11" t="str">
        <f>IF(ISERROR(AVERAGE(F$13:F437)),"n/a",AVERAGE(F$13:F437))</f>
        <v>n/a</v>
      </c>
      <c r="H437" s="11" t="str">
        <f t="shared" si="61"/>
        <v>n/a</v>
      </c>
      <c r="J437" s="5"/>
      <c r="K437" s="5"/>
      <c r="L437" s="5"/>
      <c r="M437" s="5"/>
      <c r="N437" s="5"/>
      <c r="O437" s="8" t="str">
        <f t="shared" si="59"/>
        <v>n/a</v>
      </c>
      <c r="Q437" s="5"/>
      <c r="R437" s="5"/>
      <c r="S437" s="5"/>
      <c r="U437" s="6"/>
      <c r="V437" s="9" t="str">
        <f t="shared" si="62"/>
        <v/>
      </c>
      <c r="W437" s="9" t="str">
        <f t="shared" si="63"/>
        <v/>
      </c>
      <c r="X437" s="10">
        <f>SUM(V$13:V437)/COUNTA(B$13:B437)</f>
        <v>0</v>
      </c>
      <c r="Z437" s="5"/>
      <c r="AA437" s="5"/>
      <c r="AC437" s="7"/>
      <c r="AE437" s="54" t="e">
        <f t="shared" si="64"/>
        <v>#N/A</v>
      </c>
      <c r="AF437" s="4" t="e">
        <f t="shared" si="60"/>
        <v>#N/A</v>
      </c>
    </row>
    <row r="438" spans="2:32">
      <c r="B438" s="5">
        <f t="shared" si="65"/>
        <v>426</v>
      </c>
      <c r="C438" s="5"/>
      <c r="E438" s="13"/>
      <c r="F438" s="5"/>
      <c r="G438" s="11" t="str">
        <f>IF(ISERROR(AVERAGE(F$13:F438)),"n/a",AVERAGE(F$13:F438))</f>
        <v>n/a</v>
      </c>
      <c r="H438" s="11" t="str">
        <f t="shared" si="61"/>
        <v>n/a</v>
      </c>
      <c r="J438" s="5"/>
      <c r="K438" s="5"/>
      <c r="L438" s="5"/>
      <c r="M438" s="5"/>
      <c r="N438" s="5"/>
      <c r="O438" s="8" t="str">
        <f t="shared" si="59"/>
        <v>n/a</v>
      </c>
      <c r="Q438" s="5"/>
      <c r="R438" s="5"/>
      <c r="S438" s="5"/>
      <c r="U438" s="6"/>
      <c r="V438" s="9" t="str">
        <f t="shared" si="62"/>
        <v/>
      </c>
      <c r="W438" s="9" t="str">
        <f t="shared" si="63"/>
        <v/>
      </c>
      <c r="X438" s="10">
        <f>SUM(V$13:V438)/COUNTA(B$13:B438)</f>
        <v>0</v>
      </c>
      <c r="Z438" s="5"/>
      <c r="AA438" s="5"/>
      <c r="AC438" s="7"/>
      <c r="AE438" s="54" t="e">
        <f t="shared" si="64"/>
        <v>#N/A</v>
      </c>
      <c r="AF438" s="4" t="e">
        <f t="shared" si="60"/>
        <v>#N/A</v>
      </c>
    </row>
    <row r="439" spans="2:32">
      <c r="B439" s="5">
        <f t="shared" si="65"/>
        <v>427</v>
      </c>
      <c r="C439" s="5"/>
      <c r="E439" s="13"/>
      <c r="F439" s="5"/>
      <c r="G439" s="11" t="str">
        <f>IF(ISERROR(AVERAGE(F$13:F439)),"n/a",AVERAGE(F$13:F439))</f>
        <v>n/a</v>
      </c>
      <c r="H439" s="11" t="str">
        <f t="shared" si="61"/>
        <v>n/a</v>
      </c>
      <c r="J439" s="5"/>
      <c r="K439" s="5"/>
      <c r="L439" s="5"/>
      <c r="M439" s="5"/>
      <c r="N439" s="5"/>
      <c r="O439" s="8" t="str">
        <f t="shared" si="59"/>
        <v>n/a</v>
      </c>
      <c r="Q439" s="5"/>
      <c r="R439" s="5"/>
      <c r="S439" s="5"/>
      <c r="U439" s="6"/>
      <c r="V439" s="9" t="str">
        <f t="shared" si="62"/>
        <v/>
      </c>
      <c r="W439" s="9" t="str">
        <f t="shared" si="63"/>
        <v/>
      </c>
      <c r="X439" s="10">
        <f>SUM(V$13:V439)/COUNTA(B$13:B439)</f>
        <v>0</v>
      </c>
      <c r="Z439" s="5"/>
      <c r="AA439" s="5"/>
      <c r="AC439" s="7"/>
      <c r="AE439" s="54" t="e">
        <f t="shared" si="64"/>
        <v>#N/A</v>
      </c>
      <c r="AF439" s="4" t="e">
        <f t="shared" si="60"/>
        <v>#N/A</v>
      </c>
    </row>
    <row r="440" spans="2:32">
      <c r="B440" s="5">
        <f t="shared" si="65"/>
        <v>428</v>
      </c>
      <c r="C440" s="5"/>
      <c r="E440" s="13"/>
      <c r="F440" s="5"/>
      <c r="G440" s="11" t="str">
        <f>IF(ISERROR(AVERAGE(F$13:F440)),"n/a",AVERAGE(F$13:F440))</f>
        <v>n/a</v>
      </c>
      <c r="H440" s="11" t="str">
        <f t="shared" si="61"/>
        <v>n/a</v>
      </c>
      <c r="J440" s="5"/>
      <c r="K440" s="5"/>
      <c r="L440" s="5"/>
      <c r="M440" s="5"/>
      <c r="N440" s="5"/>
      <c r="O440" s="8" t="str">
        <f t="shared" si="59"/>
        <v>n/a</v>
      </c>
      <c r="Q440" s="5"/>
      <c r="R440" s="5"/>
      <c r="S440" s="5"/>
      <c r="U440" s="6"/>
      <c r="V440" s="9" t="str">
        <f t="shared" si="62"/>
        <v/>
      </c>
      <c r="W440" s="9" t="str">
        <f t="shared" si="63"/>
        <v/>
      </c>
      <c r="X440" s="10">
        <f>SUM(V$13:V440)/COUNTA(B$13:B440)</f>
        <v>0</v>
      </c>
      <c r="Z440" s="5"/>
      <c r="AA440" s="5"/>
      <c r="AC440" s="7"/>
      <c r="AE440" s="54" t="e">
        <f t="shared" si="64"/>
        <v>#N/A</v>
      </c>
      <c r="AF440" s="4" t="e">
        <f t="shared" si="60"/>
        <v>#N/A</v>
      </c>
    </row>
    <row r="441" spans="2:32">
      <c r="B441" s="5">
        <f t="shared" si="65"/>
        <v>429</v>
      </c>
      <c r="C441" s="5"/>
      <c r="E441" s="13"/>
      <c r="F441" s="5"/>
      <c r="G441" s="11" t="str">
        <f>IF(ISERROR(AVERAGE(F$13:F441)),"n/a",AVERAGE(F$13:F441))</f>
        <v>n/a</v>
      </c>
      <c r="H441" s="11" t="str">
        <f t="shared" si="61"/>
        <v>n/a</v>
      </c>
      <c r="J441" s="5"/>
      <c r="K441" s="5"/>
      <c r="L441" s="5"/>
      <c r="M441" s="5"/>
      <c r="N441" s="5"/>
      <c r="O441" s="8" t="str">
        <f t="shared" si="59"/>
        <v>n/a</v>
      </c>
      <c r="Q441" s="5"/>
      <c r="R441" s="5"/>
      <c r="S441" s="5"/>
      <c r="U441" s="6"/>
      <c r="V441" s="9" t="str">
        <f t="shared" si="62"/>
        <v/>
      </c>
      <c r="W441" s="9" t="str">
        <f t="shared" si="63"/>
        <v/>
      </c>
      <c r="X441" s="10">
        <f>SUM(V$13:V441)/COUNTA(B$13:B441)</f>
        <v>0</v>
      </c>
      <c r="Z441" s="5"/>
      <c r="AA441" s="5"/>
      <c r="AC441" s="7"/>
      <c r="AE441" s="54" t="e">
        <f t="shared" si="64"/>
        <v>#N/A</v>
      </c>
      <c r="AF441" s="4" t="e">
        <f t="shared" si="60"/>
        <v>#N/A</v>
      </c>
    </row>
    <row r="442" spans="2:32">
      <c r="B442" s="5">
        <f t="shared" si="65"/>
        <v>430</v>
      </c>
      <c r="C442" s="5"/>
      <c r="E442" s="13"/>
      <c r="F442" s="5"/>
      <c r="G442" s="11" t="str">
        <f>IF(ISERROR(AVERAGE(F$13:F442)),"n/a",AVERAGE(F$13:F442))</f>
        <v>n/a</v>
      </c>
      <c r="H442" s="11" t="str">
        <f t="shared" si="61"/>
        <v>n/a</v>
      </c>
      <c r="J442" s="5"/>
      <c r="K442" s="5"/>
      <c r="L442" s="5"/>
      <c r="M442" s="5"/>
      <c r="N442" s="5"/>
      <c r="O442" s="8" t="str">
        <f t="shared" si="59"/>
        <v>n/a</v>
      </c>
      <c r="Q442" s="5"/>
      <c r="R442" s="5"/>
      <c r="S442" s="5"/>
      <c r="U442" s="6"/>
      <c r="V442" s="9" t="str">
        <f t="shared" si="62"/>
        <v/>
      </c>
      <c r="W442" s="9" t="str">
        <f t="shared" si="63"/>
        <v/>
      </c>
      <c r="X442" s="10">
        <f>SUM(V$13:V442)/COUNTA(B$13:B442)</f>
        <v>0</v>
      </c>
      <c r="Z442" s="5"/>
      <c r="AA442" s="5"/>
      <c r="AC442" s="7"/>
      <c r="AE442" s="54" t="e">
        <f t="shared" si="64"/>
        <v>#N/A</v>
      </c>
      <c r="AF442" s="4" t="e">
        <f t="shared" si="60"/>
        <v>#N/A</v>
      </c>
    </row>
    <row r="443" spans="2:32">
      <c r="B443" s="5">
        <f t="shared" si="65"/>
        <v>431</v>
      </c>
      <c r="C443" s="5"/>
      <c r="E443" s="13"/>
      <c r="F443" s="5"/>
      <c r="G443" s="11" t="str">
        <f>IF(ISERROR(AVERAGE(F$13:F443)),"n/a",AVERAGE(F$13:F443))</f>
        <v>n/a</v>
      </c>
      <c r="H443" s="11" t="str">
        <f t="shared" si="61"/>
        <v>n/a</v>
      </c>
      <c r="J443" s="5"/>
      <c r="K443" s="5"/>
      <c r="L443" s="5"/>
      <c r="M443" s="5"/>
      <c r="N443" s="5"/>
      <c r="O443" s="8" t="str">
        <f t="shared" si="59"/>
        <v>n/a</v>
      </c>
      <c r="Q443" s="5"/>
      <c r="R443" s="5"/>
      <c r="S443" s="5"/>
      <c r="U443" s="6"/>
      <c r="V443" s="9" t="str">
        <f t="shared" si="62"/>
        <v/>
      </c>
      <c r="W443" s="9" t="str">
        <f t="shared" si="63"/>
        <v/>
      </c>
      <c r="X443" s="10">
        <f>SUM(V$13:V443)/COUNTA(B$13:B443)</f>
        <v>0</v>
      </c>
      <c r="Z443" s="5"/>
      <c r="AA443" s="5"/>
      <c r="AC443" s="7"/>
      <c r="AE443" s="54" t="e">
        <f t="shared" si="64"/>
        <v>#N/A</v>
      </c>
      <c r="AF443" s="4" t="e">
        <f t="shared" si="60"/>
        <v>#N/A</v>
      </c>
    </row>
    <row r="444" spans="2:32">
      <c r="B444" s="5">
        <f t="shared" si="65"/>
        <v>432</v>
      </c>
      <c r="C444" s="5"/>
      <c r="E444" s="13"/>
      <c r="F444" s="5"/>
      <c r="G444" s="11" t="str">
        <f>IF(ISERROR(AVERAGE(F$13:F444)),"n/a",AVERAGE(F$13:F444))</f>
        <v>n/a</v>
      </c>
      <c r="H444" s="11" t="str">
        <f t="shared" si="61"/>
        <v>n/a</v>
      </c>
      <c r="J444" s="5"/>
      <c r="K444" s="5"/>
      <c r="L444" s="5"/>
      <c r="M444" s="5"/>
      <c r="N444" s="5"/>
      <c r="O444" s="8" t="str">
        <f t="shared" si="59"/>
        <v>n/a</v>
      </c>
      <c r="Q444" s="5"/>
      <c r="R444" s="5"/>
      <c r="S444" s="5"/>
      <c r="U444" s="6"/>
      <c r="V444" s="9" t="str">
        <f t="shared" si="62"/>
        <v/>
      </c>
      <c r="W444" s="9" t="str">
        <f t="shared" si="63"/>
        <v/>
      </c>
      <c r="X444" s="10">
        <f>SUM(V$13:V444)/COUNTA(B$13:B444)</f>
        <v>0</v>
      </c>
      <c r="Z444" s="5"/>
      <c r="AA444" s="5"/>
      <c r="AC444" s="7"/>
      <c r="AE444" s="54" t="e">
        <f t="shared" si="64"/>
        <v>#N/A</v>
      </c>
      <c r="AF444" s="4" t="e">
        <f t="shared" si="60"/>
        <v>#N/A</v>
      </c>
    </row>
    <row r="445" spans="2:32">
      <c r="B445" s="5">
        <f t="shared" si="65"/>
        <v>433</v>
      </c>
      <c r="C445" s="5"/>
      <c r="E445" s="13"/>
      <c r="F445" s="5"/>
      <c r="G445" s="11" t="str">
        <f>IF(ISERROR(AVERAGE(F$13:F445)),"n/a",AVERAGE(F$13:F445))</f>
        <v>n/a</v>
      </c>
      <c r="H445" s="11" t="str">
        <f t="shared" si="61"/>
        <v>n/a</v>
      </c>
      <c r="J445" s="5"/>
      <c r="K445" s="5"/>
      <c r="L445" s="5"/>
      <c r="M445" s="5"/>
      <c r="N445" s="5"/>
      <c r="O445" s="8" t="str">
        <f t="shared" si="59"/>
        <v>n/a</v>
      </c>
      <c r="Q445" s="5"/>
      <c r="R445" s="5"/>
      <c r="S445" s="5"/>
      <c r="U445" s="6"/>
      <c r="V445" s="9" t="str">
        <f t="shared" si="62"/>
        <v/>
      </c>
      <c r="W445" s="9" t="str">
        <f t="shared" si="63"/>
        <v/>
      </c>
      <c r="X445" s="10">
        <f>SUM(V$13:V445)/COUNTA(B$13:B445)</f>
        <v>0</v>
      </c>
      <c r="Z445" s="5"/>
      <c r="AA445" s="5"/>
      <c r="AC445" s="7"/>
      <c r="AE445" s="54" t="e">
        <f t="shared" si="64"/>
        <v>#N/A</v>
      </c>
      <c r="AF445" s="4" t="e">
        <f t="shared" si="60"/>
        <v>#N/A</v>
      </c>
    </row>
    <row r="446" spans="2:32">
      <c r="B446" s="5">
        <f t="shared" si="65"/>
        <v>434</v>
      </c>
      <c r="C446" s="5"/>
      <c r="E446" s="13"/>
      <c r="F446" s="5"/>
      <c r="G446" s="11" t="str">
        <f>IF(ISERROR(AVERAGE(F$13:F446)),"n/a",AVERAGE(F$13:F446))</f>
        <v>n/a</v>
      </c>
      <c r="H446" s="11" t="str">
        <f t="shared" si="61"/>
        <v>n/a</v>
      </c>
      <c r="J446" s="5"/>
      <c r="K446" s="5"/>
      <c r="L446" s="5"/>
      <c r="M446" s="5"/>
      <c r="N446" s="5"/>
      <c r="O446" s="8" t="str">
        <f t="shared" si="59"/>
        <v>n/a</v>
      </c>
      <c r="Q446" s="5"/>
      <c r="R446" s="5"/>
      <c r="S446" s="5"/>
      <c r="U446" s="6"/>
      <c r="V446" s="9" t="str">
        <f t="shared" si="62"/>
        <v/>
      </c>
      <c r="W446" s="9" t="str">
        <f t="shared" si="63"/>
        <v/>
      </c>
      <c r="X446" s="10">
        <f>SUM(V$13:V446)/COUNTA(B$13:B446)</f>
        <v>0</v>
      </c>
      <c r="Z446" s="5"/>
      <c r="AA446" s="5"/>
      <c r="AC446" s="7"/>
      <c r="AE446" s="54" t="e">
        <f t="shared" si="64"/>
        <v>#N/A</v>
      </c>
      <c r="AF446" s="4" t="e">
        <f t="shared" si="60"/>
        <v>#N/A</v>
      </c>
    </row>
    <row r="447" spans="2:32">
      <c r="B447" s="5">
        <f t="shared" si="65"/>
        <v>435</v>
      </c>
      <c r="C447" s="5"/>
      <c r="E447" s="13"/>
      <c r="F447" s="5"/>
      <c r="G447" s="11" t="str">
        <f>IF(ISERROR(AVERAGE(F$13:F447)),"n/a",AVERAGE(F$13:F447))</f>
        <v>n/a</v>
      </c>
      <c r="H447" s="11" t="str">
        <f t="shared" si="61"/>
        <v>n/a</v>
      </c>
      <c r="J447" s="5"/>
      <c r="K447" s="5"/>
      <c r="L447" s="5"/>
      <c r="M447" s="5"/>
      <c r="N447" s="5"/>
      <c r="O447" s="8" t="str">
        <f t="shared" si="59"/>
        <v>n/a</v>
      </c>
      <c r="Q447" s="5"/>
      <c r="R447" s="5"/>
      <c r="S447" s="5"/>
      <c r="U447" s="6"/>
      <c r="V447" s="9" t="str">
        <f t="shared" si="62"/>
        <v/>
      </c>
      <c r="W447" s="9" t="str">
        <f t="shared" si="63"/>
        <v/>
      </c>
      <c r="X447" s="10">
        <f>SUM(V$13:V447)/COUNTA(B$13:B447)</f>
        <v>0</v>
      </c>
      <c r="Z447" s="5"/>
      <c r="AA447" s="5"/>
      <c r="AC447" s="7"/>
      <c r="AE447" s="54" t="e">
        <f t="shared" si="64"/>
        <v>#N/A</v>
      </c>
      <c r="AF447" s="4" t="e">
        <f t="shared" si="60"/>
        <v>#N/A</v>
      </c>
    </row>
    <row r="448" spans="2:32">
      <c r="B448" s="5">
        <f t="shared" si="65"/>
        <v>436</v>
      </c>
      <c r="C448" s="5"/>
      <c r="E448" s="13"/>
      <c r="F448" s="5"/>
      <c r="G448" s="11" t="str">
        <f>IF(ISERROR(AVERAGE(F$13:F448)),"n/a",AVERAGE(F$13:F448))</f>
        <v>n/a</v>
      </c>
      <c r="H448" s="11" t="str">
        <f t="shared" si="61"/>
        <v>n/a</v>
      </c>
      <c r="J448" s="5"/>
      <c r="K448" s="5"/>
      <c r="L448" s="5"/>
      <c r="M448" s="5"/>
      <c r="N448" s="5"/>
      <c r="O448" s="8" t="str">
        <f t="shared" si="59"/>
        <v>n/a</v>
      </c>
      <c r="Q448" s="5"/>
      <c r="R448" s="5"/>
      <c r="S448" s="5"/>
      <c r="U448" s="6"/>
      <c r="V448" s="9" t="str">
        <f t="shared" si="62"/>
        <v/>
      </c>
      <c r="W448" s="9" t="str">
        <f t="shared" si="63"/>
        <v/>
      </c>
      <c r="X448" s="10">
        <f>SUM(V$13:V448)/COUNTA(B$13:B448)</f>
        <v>0</v>
      </c>
      <c r="Z448" s="5"/>
      <c r="AA448" s="5"/>
      <c r="AC448" s="7"/>
      <c r="AE448" s="54" t="e">
        <f t="shared" si="64"/>
        <v>#N/A</v>
      </c>
      <c r="AF448" s="4" t="e">
        <f t="shared" si="60"/>
        <v>#N/A</v>
      </c>
    </row>
    <row r="449" spans="2:32">
      <c r="B449" s="5">
        <f t="shared" si="65"/>
        <v>437</v>
      </c>
      <c r="C449" s="5"/>
      <c r="E449" s="13"/>
      <c r="F449" s="5"/>
      <c r="G449" s="11" t="str">
        <f>IF(ISERROR(AVERAGE(F$13:F449)),"n/a",AVERAGE(F$13:F449))</f>
        <v>n/a</v>
      </c>
      <c r="H449" s="11" t="str">
        <f t="shared" si="61"/>
        <v>n/a</v>
      </c>
      <c r="J449" s="5"/>
      <c r="K449" s="5"/>
      <c r="L449" s="5"/>
      <c r="M449" s="5"/>
      <c r="N449" s="5"/>
      <c r="O449" s="8" t="str">
        <f t="shared" si="59"/>
        <v>n/a</v>
      </c>
      <c r="Q449" s="5"/>
      <c r="R449" s="5"/>
      <c r="S449" s="5"/>
      <c r="U449" s="6"/>
      <c r="V449" s="9" t="str">
        <f t="shared" si="62"/>
        <v/>
      </c>
      <c r="W449" s="9" t="str">
        <f t="shared" si="63"/>
        <v/>
      </c>
      <c r="X449" s="10">
        <f>SUM(V$13:V449)/COUNTA(B$13:B449)</f>
        <v>0</v>
      </c>
      <c r="Z449" s="5"/>
      <c r="AA449" s="5"/>
      <c r="AC449" s="7"/>
      <c r="AE449" s="54" t="e">
        <f t="shared" si="64"/>
        <v>#N/A</v>
      </c>
      <c r="AF449" s="4" t="e">
        <f t="shared" si="60"/>
        <v>#N/A</v>
      </c>
    </row>
    <row r="450" spans="2:32">
      <c r="B450" s="5">
        <f t="shared" si="65"/>
        <v>438</v>
      </c>
      <c r="C450" s="5"/>
      <c r="E450" s="13"/>
      <c r="F450" s="5"/>
      <c r="G450" s="11" t="str">
        <f>IF(ISERROR(AVERAGE(F$13:F450)),"n/a",AVERAGE(F$13:F450))</f>
        <v>n/a</v>
      </c>
      <c r="H450" s="11" t="str">
        <f t="shared" si="61"/>
        <v>n/a</v>
      </c>
      <c r="J450" s="5"/>
      <c r="K450" s="5"/>
      <c r="L450" s="5"/>
      <c r="M450" s="5"/>
      <c r="N450" s="5"/>
      <c r="O450" s="8" t="str">
        <f t="shared" si="59"/>
        <v>n/a</v>
      </c>
      <c r="Q450" s="5"/>
      <c r="R450" s="5"/>
      <c r="S450" s="5"/>
      <c r="U450" s="6"/>
      <c r="V450" s="9" t="str">
        <f t="shared" si="62"/>
        <v/>
      </c>
      <c r="W450" s="9" t="str">
        <f t="shared" si="63"/>
        <v/>
      </c>
      <c r="X450" s="10">
        <f>SUM(V$13:V450)/COUNTA(B$13:B450)</f>
        <v>0</v>
      </c>
      <c r="Z450" s="5"/>
      <c r="AA450" s="5"/>
      <c r="AC450" s="7"/>
      <c r="AE450" s="54" t="e">
        <f t="shared" si="64"/>
        <v>#N/A</v>
      </c>
      <c r="AF450" s="4" t="e">
        <f t="shared" si="60"/>
        <v>#N/A</v>
      </c>
    </row>
    <row r="451" spans="2:32">
      <c r="B451" s="5">
        <f t="shared" si="65"/>
        <v>439</v>
      </c>
      <c r="C451" s="5"/>
      <c r="E451" s="13"/>
      <c r="F451" s="5"/>
      <c r="G451" s="11" t="str">
        <f>IF(ISERROR(AVERAGE(F$13:F451)),"n/a",AVERAGE(F$13:F451))</f>
        <v>n/a</v>
      </c>
      <c r="H451" s="11" t="str">
        <f t="shared" si="61"/>
        <v>n/a</v>
      </c>
      <c r="J451" s="5"/>
      <c r="K451" s="5"/>
      <c r="L451" s="5"/>
      <c r="M451" s="5"/>
      <c r="N451" s="5"/>
      <c r="O451" s="8" t="str">
        <f t="shared" si="59"/>
        <v>n/a</v>
      </c>
      <c r="Q451" s="5"/>
      <c r="R451" s="5"/>
      <c r="S451" s="5"/>
      <c r="U451" s="6"/>
      <c r="V451" s="9" t="str">
        <f t="shared" si="62"/>
        <v/>
      </c>
      <c r="W451" s="9" t="str">
        <f t="shared" si="63"/>
        <v/>
      </c>
      <c r="X451" s="10">
        <f>SUM(V$13:V451)/COUNTA(B$13:B451)</f>
        <v>0</v>
      </c>
      <c r="Z451" s="5"/>
      <c r="AA451" s="5"/>
      <c r="AC451" s="7"/>
      <c r="AE451" s="54" t="e">
        <f t="shared" si="64"/>
        <v>#N/A</v>
      </c>
      <c r="AF451" s="4" t="e">
        <f t="shared" si="60"/>
        <v>#N/A</v>
      </c>
    </row>
    <row r="452" spans="2:32">
      <c r="B452" s="5">
        <f t="shared" si="65"/>
        <v>440</v>
      </c>
      <c r="C452" s="5"/>
      <c r="E452" s="13"/>
      <c r="F452" s="5"/>
      <c r="G452" s="11" t="str">
        <f>IF(ISERROR(AVERAGE(F$13:F452)),"n/a",AVERAGE(F$13:F452))</f>
        <v>n/a</v>
      </c>
      <c r="H452" s="11" t="str">
        <f t="shared" si="61"/>
        <v>n/a</v>
      </c>
      <c r="J452" s="5"/>
      <c r="K452" s="5"/>
      <c r="L452" s="5"/>
      <c r="M452" s="5"/>
      <c r="N452" s="5"/>
      <c r="O452" s="8" t="str">
        <f t="shared" si="59"/>
        <v>n/a</v>
      </c>
      <c r="Q452" s="5"/>
      <c r="R452" s="5"/>
      <c r="S452" s="5"/>
      <c r="U452" s="6"/>
      <c r="V452" s="9" t="str">
        <f t="shared" si="62"/>
        <v/>
      </c>
      <c r="W452" s="9" t="str">
        <f t="shared" si="63"/>
        <v/>
      </c>
      <c r="X452" s="10">
        <f>SUM(V$13:V452)/COUNTA(B$13:B452)</f>
        <v>0</v>
      </c>
      <c r="Z452" s="5"/>
      <c r="AA452" s="5"/>
      <c r="AC452" s="7"/>
      <c r="AE452" s="54" t="e">
        <f t="shared" si="64"/>
        <v>#N/A</v>
      </c>
      <c r="AF452" s="4" t="e">
        <f t="shared" si="60"/>
        <v>#N/A</v>
      </c>
    </row>
    <row r="453" spans="2:32">
      <c r="B453" s="5">
        <f t="shared" si="65"/>
        <v>441</v>
      </c>
      <c r="C453" s="5"/>
      <c r="E453" s="13"/>
      <c r="F453" s="5"/>
      <c r="G453" s="11" t="str">
        <f>IF(ISERROR(AVERAGE(F$13:F453)),"n/a",AVERAGE(F$13:F453))</f>
        <v>n/a</v>
      </c>
      <c r="H453" s="11" t="str">
        <f t="shared" si="61"/>
        <v>n/a</v>
      </c>
      <c r="J453" s="5"/>
      <c r="K453" s="5"/>
      <c r="L453" s="5"/>
      <c r="M453" s="5"/>
      <c r="N453" s="5"/>
      <c r="O453" s="8" t="str">
        <f t="shared" si="59"/>
        <v>n/a</v>
      </c>
      <c r="Q453" s="5"/>
      <c r="R453" s="5"/>
      <c r="S453" s="5"/>
      <c r="U453" s="6"/>
      <c r="V453" s="9" t="str">
        <f t="shared" si="62"/>
        <v/>
      </c>
      <c r="W453" s="9" t="str">
        <f t="shared" si="63"/>
        <v/>
      </c>
      <c r="X453" s="10">
        <f>SUM(V$13:V453)/COUNTA(B$13:B453)</f>
        <v>0</v>
      </c>
      <c r="Z453" s="5"/>
      <c r="AA453" s="5"/>
      <c r="AC453" s="7"/>
      <c r="AE453" s="54" t="e">
        <f t="shared" si="64"/>
        <v>#N/A</v>
      </c>
      <c r="AF453" s="4" t="e">
        <f t="shared" si="60"/>
        <v>#N/A</v>
      </c>
    </row>
    <row r="454" spans="2:32">
      <c r="B454" s="5">
        <f t="shared" si="65"/>
        <v>442</v>
      </c>
      <c r="C454" s="5"/>
      <c r="E454" s="13"/>
      <c r="F454" s="5"/>
      <c r="G454" s="11" t="str">
        <f>IF(ISERROR(AVERAGE(F$13:F454)),"n/a",AVERAGE(F$13:F454))</f>
        <v>n/a</v>
      </c>
      <c r="H454" s="11" t="str">
        <f t="shared" si="61"/>
        <v>n/a</v>
      </c>
      <c r="J454" s="5"/>
      <c r="K454" s="5"/>
      <c r="L454" s="5"/>
      <c r="M454" s="5"/>
      <c r="N454" s="5"/>
      <c r="O454" s="8" t="str">
        <f t="shared" si="59"/>
        <v>n/a</v>
      </c>
      <c r="Q454" s="5"/>
      <c r="R454" s="5"/>
      <c r="S454" s="5"/>
      <c r="U454" s="6"/>
      <c r="V454" s="9" t="str">
        <f t="shared" si="62"/>
        <v/>
      </c>
      <c r="W454" s="9" t="str">
        <f t="shared" si="63"/>
        <v/>
      </c>
      <c r="X454" s="10">
        <f>SUM(V$13:V454)/COUNTA(B$13:B454)</f>
        <v>0</v>
      </c>
      <c r="Z454" s="5"/>
      <c r="AA454" s="5"/>
      <c r="AC454" s="7"/>
      <c r="AE454" s="54" t="e">
        <f t="shared" si="64"/>
        <v>#N/A</v>
      </c>
      <c r="AF454" s="4" t="e">
        <f t="shared" si="60"/>
        <v>#N/A</v>
      </c>
    </row>
    <row r="455" spans="2:32">
      <c r="B455" s="5">
        <f t="shared" si="65"/>
        <v>443</v>
      </c>
      <c r="C455" s="5"/>
      <c r="E455" s="13"/>
      <c r="F455" s="5"/>
      <c r="G455" s="11" t="str">
        <f>IF(ISERROR(AVERAGE(F$13:F455)),"n/a",AVERAGE(F$13:F455))</f>
        <v>n/a</v>
      </c>
      <c r="H455" s="11" t="str">
        <f t="shared" si="61"/>
        <v>n/a</v>
      </c>
      <c r="J455" s="5"/>
      <c r="K455" s="5"/>
      <c r="L455" s="5"/>
      <c r="M455" s="5"/>
      <c r="N455" s="5"/>
      <c r="O455" s="8" t="str">
        <f t="shared" si="59"/>
        <v>n/a</v>
      </c>
      <c r="Q455" s="5"/>
      <c r="R455" s="5"/>
      <c r="S455" s="5"/>
      <c r="U455" s="6"/>
      <c r="V455" s="9" t="str">
        <f t="shared" si="62"/>
        <v/>
      </c>
      <c r="W455" s="9" t="str">
        <f t="shared" si="63"/>
        <v/>
      </c>
      <c r="X455" s="10">
        <f>SUM(V$13:V455)/COUNTA(B$13:B455)</f>
        <v>0</v>
      </c>
      <c r="Z455" s="5"/>
      <c r="AA455" s="5"/>
      <c r="AC455" s="7"/>
      <c r="AE455" s="54" t="e">
        <f t="shared" si="64"/>
        <v>#N/A</v>
      </c>
      <c r="AF455" s="4" t="e">
        <f t="shared" si="60"/>
        <v>#N/A</v>
      </c>
    </row>
    <row r="456" spans="2:32">
      <c r="B456" s="5">
        <f t="shared" si="65"/>
        <v>444</v>
      </c>
      <c r="C456" s="5"/>
      <c r="E456" s="13"/>
      <c r="F456" s="5"/>
      <c r="G456" s="11" t="str">
        <f>IF(ISERROR(AVERAGE(F$13:F456)),"n/a",AVERAGE(F$13:F456))</f>
        <v>n/a</v>
      </c>
      <c r="H456" s="11" t="str">
        <f t="shared" si="61"/>
        <v>n/a</v>
      </c>
      <c r="J456" s="5"/>
      <c r="K456" s="5"/>
      <c r="L456" s="5"/>
      <c r="M456" s="5"/>
      <c r="N456" s="5"/>
      <c r="O456" s="8" t="str">
        <f t="shared" si="59"/>
        <v>n/a</v>
      </c>
      <c r="Q456" s="5"/>
      <c r="R456" s="5"/>
      <c r="S456" s="5"/>
      <c r="U456" s="6"/>
      <c r="V456" s="9" t="str">
        <f t="shared" si="62"/>
        <v/>
      </c>
      <c r="W456" s="9" t="str">
        <f t="shared" si="63"/>
        <v/>
      </c>
      <c r="X456" s="10">
        <f>SUM(V$13:V456)/COUNTA(B$13:B456)</f>
        <v>0</v>
      </c>
      <c r="Z456" s="5"/>
      <c r="AA456" s="5"/>
      <c r="AC456" s="7"/>
      <c r="AE456" s="54" t="e">
        <f t="shared" si="64"/>
        <v>#N/A</v>
      </c>
      <c r="AF456" s="4" t="e">
        <f t="shared" si="60"/>
        <v>#N/A</v>
      </c>
    </row>
    <row r="457" spans="2:32">
      <c r="B457" s="5">
        <f t="shared" si="65"/>
        <v>445</v>
      </c>
      <c r="C457" s="5"/>
      <c r="E457" s="13"/>
      <c r="F457" s="5"/>
      <c r="G457" s="11" t="str">
        <f>IF(ISERROR(AVERAGE(F$13:F457)),"n/a",AVERAGE(F$13:F457))</f>
        <v>n/a</v>
      </c>
      <c r="H457" s="11" t="str">
        <f t="shared" si="61"/>
        <v>n/a</v>
      </c>
      <c r="J457" s="5"/>
      <c r="K457" s="5"/>
      <c r="L457" s="5"/>
      <c r="M457" s="5"/>
      <c r="N457" s="5"/>
      <c r="O457" s="8" t="str">
        <f t="shared" si="59"/>
        <v>n/a</v>
      </c>
      <c r="Q457" s="5"/>
      <c r="R457" s="5"/>
      <c r="S457" s="5"/>
      <c r="U457" s="6"/>
      <c r="V457" s="9" t="str">
        <f t="shared" si="62"/>
        <v/>
      </c>
      <c r="W457" s="9" t="str">
        <f t="shared" si="63"/>
        <v/>
      </c>
      <c r="X457" s="10">
        <f>SUM(V$13:V457)/COUNTA(B$13:B457)</f>
        <v>0</v>
      </c>
      <c r="Z457" s="5"/>
      <c r="AA457" s="5"/>
      <c r="AC457" s="7"/>
      <c r="AE457" s="54" t="e">
        <f t="shared" si="64"/>
        <v>#N/A</v>
      </c>
      <c r="AF457" s="4" t="e">
        <f t="shared" si="60"/>
        <v>#N/A</v>
      </c>
    </row>
    <row r="458" spans="2:32">
      <c r="B458" s="5">
        <f t="shared" si="65"/>
        <v>446</v>
      </c>
      <c r="C458" s="5"/>
      <c r="E458" s="13"/>
      <c r="F458" s="5"/>
      <c r="G458" s="11" t="str">
        <f>IF(ISERROR(AVERAGE(F$13:F458)),"n/a",AVERAGE(F$13:F458))</f>
        <v>n/a</v>
      </c>
      <c r="H458" s="11" t="str">
        <f t="shared" si="61"/>
        <v>n/a</v>
      </c>
      <c r="J458" s="5"/>
      <c r="K458" s="5"/>
      <c r="L458" s="5"/>
      <c r="M458" s="5"/>
      <c r="N458" s="5"/>
      <c r="O458" s="8" t="str">
        <f t="shared" si="59"/>
        <v>n/a</v>
      </c>
      <c r="Q458" s="5"/>
      <c r="R458" s="5"/>
      <c r="S458" s="5"/>
      <c r="U458" s="6"/>
      <c r="V458" s="9" t="str">
        <f t="shared" si="62"/>
        <v/>
      </c>
      <c r="W458" s="9" t="str">
        <f t="shared" si="63"/>
        <v/>
      </c>
      <c r="X458" s="10">
        <f>SUM(V$13:V458)/COUNTA(B$13:B458)</f>
        <v>0</v>
      </c>
      <c r="Z458" s="5"/>
      <c r="AA458" s="5"/>
      <c r="AC458" s="7"/>
      <c r="AE458" s="54" t="e">
        <f t="shared" si="64"/>
        <v>#N/A</v>
      </c>
      <c r="AF458" s="4" t="e">
        <f t="shared" si="60"/>
        <v>#N/A</v>
      </c>
    </row>
    <row r="459" spans="2:32">
      <c r="B459" s="5">
        <f t="shared" si="65"/>
        <v>447</v>
      </c>
      <c r="C459" s="5"/>
      <c r="E459" s="13"/>
      <c r="F459" s="5"/>
      <c r="G459" s="11" t="str">
        <f>IF(ISERROR(AVERAGE(F$13:F459)),"n/a",AVERAGE(F$13:F459))</f>
        <v>n/a</v>
      </c>
      <c r="H459" s="11" t="str">
        <f t="shared" si="61"/>
        <v>n/a</v>
      </c>
      <c r="J459" s="5"/>
      <c r="K459" s="5"/>
      <c r="L459" s="5"/>
      <c r="M459" s="5"/>
      <c r="N459" s="5"/>
      <c r="O459" s="8" t="str">
        <f t="shared" si="59"/>
        <v>n/a</v>
      </c>
      <c r="Q459" s="5"/>
      <c r="R459" s="5"/>
      <c r="S459" s="5"/>
      <c r="U459" s="6"/>
      <c r="V459" s="9" t="str">
        <f t="shared" si="62"/>
        <v/>
      </c>
      <c r="W459" s="9" t="str">
        <f t="shared" si="63"/>
        <v/>
      </c>
      <c r="X459" s="10">
        <f>SUM(V$13:V459)/COUNTA(B$13:B459)</f>
        <v>0</v>
      </c>
      <c r="Z459" s="5"/>
      <c r="AA459" s="5"/>
      <c r="AC459" s="7"/>
      <c r="AE459" s="54" t="e">
        <f t="shared" si="64"/>
        <v>#N/A</v>
      </c>
      <c r="AF459" s="4" t="e">
        <f t="shared" si="60"/>
        <v>#N/A</v>
      </c>
    </row>
    <row r="460" spans="2:32">
      <c r="B460" s="5">
        <f t="shared" si="65"/>
        <v>448</v>
      </c>
      <c r="C460" s="5"/>
      <c r="E460" s="13"/>
      <c r="F460" s="5"/>
      <c r="G460" s="11" t="str">
        <f>IF(ISERROR(AVERAGE(F$13:F460)),"n/a",AVERAGE(F$13:F460))</f>
        <v>n/a</v>
      </c>
      <c r="H460" s="11" t="str">
        <f t="shared" si="61"/>
        <v>n/a</v>
      </c>
      <c r="J460" s="5"/>
      <c r="K460" s="5"/>
      <c r="L460" s="5"/>
      <c r="M460" s="5"/>
      <c r="N460" s="5"/>
      <c r="O460" s="8" t="str">
        <f t="shared" si="59"/>
        <v>n/a</v>
      </c>
      <c r="Q460" s="5"/>
      <c r="R460" s="5"/>
      <c r="S460" s="5"/>
      <c r="U460" s="6"/>
      <c r="V460" s="9" t="str">
        <f t="shared" si="62"/>
        <v/>
      </c>
      <c r="W460" s="9" t="str">
        <f t="shared" si="63"/>
        <v/>
      </c>
      <c r="X460" s="10">
        <f>SUM(V$13:V460)/COUNTA(B$13:B460)</f>
        <v>0</v>
      </c>
      <c r="Z460" s="5"/>
      <c r="AA460" s="5"/>
      <c r="AC460" s="7"/>
      <c r="AE460" s="54" t="e">
        <f t="shared" si="64"/>
        <v>#N/A</v>
      </c>
      <c r="AF460" s="4" t="e">
        <f t="shared" si="60"/>
        <v>#N/A</v>
      </c>
    </row>
    <row r="461" spans="2:32">
      <c r="B461" s="5">
        <f t="shared" si="65"/>
        <v>449</v>
      </c>
      <c r="C461" s="5"/>
      <c r="E461" s="13"/>
      <c r="F461" s="5"/>
      <c r="G461" s="11" t="str">
        <f>IF(ISERROR(AVERAGE(F$13:F461)),"n/a",AVERAGE(F$13:F461))</f>
        <v>n/a</v>
      </c>
      <c r="H461" s="11" t="str">
        <f t="shared" si="61"/>
        <v>n/a</v>
      </c>
      <c r="J461" s="5"/>
      <c r="K461" s="5"/>
      <c r="L461" s="5"/>
      <c r="M461" s="5"/>
      <c r="N461" s="5"/>
      <c r="O461" s="8" t="str">
        <f t="shared" ref="O461:O524" si="66">IF(J461=1,"A",IF(K461=1,"B",IF(L461=1,"C",IF(M461=1,"D",IF(N461=1,"E","n/a")))))</f>
        <v>n/a</v>
      </c>
      <c r="Q461" s="5"/>
      <c r="R461" s="5"/>
      <c r="S461" s="5"/>
      <c r="U461" s="6"/>
      <c r="V461" s="9" t="str">
        <f t="shared" si="62"/>
        <v/>
      </c>
      <c r="W461" s="9" t="str">
        <f t="shared" si="63"/>
        <v/>
      </c>
      <c r="X461" s="10">
        <f>SUM(V$13:V461)/COUNTA(B$13:B461)</f>
        <v>0</v>
      </c>
      <c r="Z461" s="5"/>
      <c r="AA461" s="5"/>
      <c r="AC461" s="7"/>
      <c r="AE461" s="54" t="e">
        <f t="shared" si="64"/>
        <v>#N/A</v>
      </c>
      <c r="AF461" s="4" t="e">
        <f t="shared" ref="AF461:AF524" si="67">HLOOKUP(C461,$K$6:$O$7,2,FALSE)</f>
        <v>#N/A</v>
      </c>
    </row>
    <row r="462" spans="2:32">
      <c r="B462" s="5">
        <f t="shared" si="65"/>
        <v>450</v>
      </c>
      <c r="C462" s="5"/>
      <c r="E462" s="13"/>
      <c r="F462" s="5"/>
      <c r="G462" s="11" t="str">
        <f>IF(ISERROR(AVERAGE(F$13:F462)),"n/a",AVERAGE(F$13:F462))</f>
        <v>n/a</v>
      </c>
      <c r="H462" s="11" t="str">
        <f t="shared" ref="H462:H525" si="68">G462</f>
        <v>n/a</v>
      </c>
      <c r="J462" s="5"/>
      <c r="K462" s="5"/>
      <c r="L462" s="5"/>
      <c r="M462" s="5"/>
      <c r="N462" s="5"/>
      <c r="O462" s="8" t="str">
        <f t="shared" si="66"/>
        <v>n/a</v>
      </c>
      <c r="Q462" s="5"/>
      <c r="R462" s="5"/>
      <c r="S462" s="5"/>
      <c r="U462" s="6"/>
      <c r="V462" s="9" t="str">
        <f t="shared" ref="V462:V525" si="69">IF(O462="n/a","",IF(O462=U462,1,""))</f>
        <v/>
      </c>
      <c r="W462" s="9" t="str">
        <f t="shared" ref="W462:W525" si="70">IF(O462="n/a","",IF(O462&lt;&gt;U462,1,""))</f>
        <v/>
      </c>
      <c r="X462" s="10">
        <f>SUM(V$13:V462)/COUNTA(B$13:B462)</f>
        <v>0</v>
      </c>
      <c r="Z462" s="5"/>
      <c r="AA462" s="5"/>
      <c r="AC462" s="7"/>
      <c r="AE462" s="54" t="e">
        <f t="shared" ref="AE462:AE525" si="71">+IF($F$4=0,0,IF(W462=1,1,IF(OR(R462*$F$8=1,S462*$F$9=1,F462&gt;=AF462),2,0)))</f>
        <v>#N/A</v>
      </c>
      <c r="AF462" s="4" t="e">
        <f t="shared" si="67"/>
        <v>#N/A</v>
      </c>
    </row>
    <row r="463" spans="2:32">
      <c r="B463" s="5">
        <f t="shared" si="65"/>
        <v>451</v>
      </c>
      <c r="C463" s="5"/>
      <c r="E463" s="13"/>
      <c r="F463" s="5"/>
      <c r="G463" s="11" t="str">
        <f>IF(ISERROR(AVERAGE(F$13:F463)),"n/a",AVERAGE(F$13:F463))</f>
        <v>n/a</v>
      </c>
      <c r="H463" s="11" t="str">
        <f t="shared" si="68"/>
        <v>n/a</v>
      </c>
      <c r="J463" s="5"/>
      <c r="K463" s="5"/>
      <c r="L463" s="5"/>
      <c r="M463" s="5"/>
      <c r="N463" s="5"/>
      <c r="O463" s="8" t="str">
        <f t="shared" si="66"/>
        <v>n/a</v>
      </c>
      <c r="Q463" s="5"/>
      <c r="R463" s="5"/>
      <c r="S463" s="5"/>
      <c r="U463" s="6"/>
      <c r="V463" s="9" t="str">
        <f t="shared" si="69"/>
        <v/>
      </c>
      <c r="W463" s="9" t="str">
        <f t="shared" si="70"/>
        <v/>
      </c>
      <c r="X463" s="10">
        <f>SUM(V$13:V463)/COUNTA(B$13:B463)</f>
        <v>0</v>
      </c>
      <c r="Z463" s="5"/>
      <c r="AA463" s="5"/>
      <c r="AC463" s="7"/>
      <c r="AE463" s="54" t="e">
        <f t="shared" si="71"/>
        <v>#N/A</v>
      </c>
      <c r="AF463" s="4" t="e">
        <f t="shared" si="67"/>
        <v>#N/A</v>
      </c>
    </row>
    <row r="464" spans="2:32">
      <c r="B464" s="5">
        <f t="shared" si="65"/>
        <v>452</v>
      </c>
      <c r="C464" s="5"/>
      <c r="E464" s="13"/>
      <c r="F464" s="5"/>
      <c r="G464" s="11" t="str">
        <f>IF(ISERROR(AVERAGE(F$13:F464)),"n/a",AVERAGE(F$13:F464))</f>
        <v>n/a</v>
      </c>
      <c r="H464" s="11" t="str">
        <f t="shared" si="68"/>
        <v>n/a</v>
      </c>
      <c r="J464" s="5"/>
      <c r="K464" s="5"/>
      <c r="L464" s="5"/>
      <c r="M464" s="5"/>
      <c r="N464" s="5"/>
      <c r="O464" s="8" t="str">
        <f t="shared" si="66"/>
        <v>n/a</v>
      </c>
      <c r="Q464" s="5"/>
      <c r="R464" s="5"/>
      <c r="S464" s="5"/>
      <c r="U464" s="6"/>
      <c r="V464" s="9" t="str">
        <f t="shared" si="69"/>
        <v/>
      </c>
      <c r="W464" s="9" t="str">
        <f t="shared" si="70"/>
        <v/>
      </c>
      <c r="X464" s="10">
        <f>SUM(V$13:V464)/COUNTA(B$13:B464)</f>
        <v>0</v>
      </c>
      <c r="Z464" s="5"/>
      <c r="AA464" s="5"/>
      <c r="AC464" s="7"/>
      <c r="AE464" s="54" t="e">
        <f t="shared" si="71"/>
        <v>#N/A</v>
      </c>
      <c r="AF464" s="4" t="e">
        <f t="shared" si="67"/>
        <v>#N/A</v>
      </c>
    </row>
    <row r="465" spans="2:32">
      <c r="B465" s="5">
        <f t="shared" si="65"/>
        <v>453</v>
      </c>
      <c r="C465" s="5"/>
      <c r="E465" s="13"/>
      <c r="F465" s="5"/>
      <c r="G465" s="11" t="str">
        <f>IF(ISERROR(AVERAGE(F$13:F465)),"n/a",AVERAGE(F$13:F465))</f>
        <v>n/a</v>
      </c>
      <c r="H465" s="11" t="str">
        <f t="shared" si="68"/>
        <v>n/a</v>
      </c>
      <c r="J465" s="5"/>
      <c r="K465" s="5"/>
      <c r="L465" s="5"/>
      <c r="M465" s="5"/>
      <c r="N465" s="5"/>
      <c r="O465" s="8" t="str">
        <f t="shared" si="66"/>
        <v>n/a</v>
      </c>
      <c r="Q465" s="5"/>
      <c r="R465" s="5"/>
      <c r="S465" s="5"/>
      <c r="U465" s="6"/>
      <c r="V465" s="9" t="str">
        <f t="shared" si="69"/>
        <v/>
      </c>
      <c r="W465" s="9" t="str">
        <f t="shared" si="70"/>
        <v/>
      </c>
      <c r="X465" s="10">
        <f>SUM(V$13:V465)/COUNTA(B$13:B465)</f>
        <v>0</v>
      </c>
      <c r="Z465" s="5"/>
      <c r="AA465" s="5"/>
      <c r="AC465" s="7"/>
      <c r="AE465" s="54" t="e">
        <f t="shared" si="71"/>
        <v>#N/A</v>
      </c>
      <c r="AF465" s="4" t="e">
        <f t="shared" si="67"/>
        <v>#N/A</v>
      </c>
    </row>
    <row r="466" spans="2:32">
      <c r="B466" s="5">
        <f t="shared" si="65"/>
        <v>454</v>
      </c>
      <c r="C466" s="5"/>
      <c r="E466" s="13"/>
      <c r="F466" s="5"/>
      <c r="G466" s="11" t="str">
        <f>IF(ISERROR(AVERAGE(F$13:F466)),"n/a",AVERAGE(F$13:F466))</f>
        <v>n/a</v>
      </c>
      <c r="H466" s="11" t="str">
        <f t="shared" si="68"/>
        <v>n/a</v>
      </c>
      <c r="J466" s="5"/>
      <c r="K466" s="5"/>
      <c r="L466" s="5"/>
      <c r="M466" s="5"/>
      <c r="N466" s="5"/>
      <c r="O466" s="8" t="str">
        <f t="shared" si="66"/>
        <v>n/a</v>
      </c>
      <c r="Q466" s="5"/>
      <c r="R466" s="5"/>
      <c r="S466" s="5"/>
      <c r="U466" s="6"/>
      <c r="V466" s="9" t="str">
        <f t="shared" si="69"/>
        <v/>
      </c>
      <c r="W466" s="9" t="str">
        <f t="shared" si="70"/>
        <v/>
      </c>
      <c r="X466" s="10">
        <f>SUM(V$13:V466)/COUNTA(B$13:B466)</f>
        <v>0</v>
      </c>
      <c r="Z466" s="5"/>
      <c r="AA466" s="5"/>
      <c r="AC466" s="7"/>
      <c r="AE466" s="54" t="e">
        <f t="shared" si="71"/>
        <v>#N/A</v>
      </c>
      <c r="AF466" s="4" t="e">
        <f t="shared" si="67"/>
        <v>#N/A</v>
      </c>
    </row>
    <row r="467" spans="2:32">
      <c r="B467" s="5">
        <f t="shared" ref="B467:B530" si="72">+B466+1</f>
        <v>455</v>
      </c>
      <c r="C467" s="5"/>
      <c r="E467" s="13"/>
      <c r="F467" s="5"/>
      <c r="G467" s="11" t="str">
        <f>IF(ISERROR(AVERAGE(F$13:F467)),"n/a",AVERAGE(F$13:F467))</f>
        <v>n/a</v>
      </c>
      <c r="H467" s="11" t="str">
        <f t="shared" si="68"/>
        <v>n/a</v>
      </c>
      <c r="J467" s="5"/>
      <c r="K467" s="5"/>
      <c r="L467" s="5"/>
      <c r="M467" s="5"/>
      <c r="N467" s="5"/>
      <c r="O467" s="8" t="str">
        <f t="shared" si="66"/>
        <v>n/a</v>
      </c>
      <c r="Q467" s="5"/>
      <c r="R467" s="5"/>
      <c r="S467" s="5"/>
      <c r="U467" s="6"/>
      <c r="V467" s="9" t="str">
        <f t="shared" si="69"/>
        <v/>
      </c>
      <c r="W467" s="9" t="str">
        <f t="shared" si="70"/>
        <v/>
      </c>
      <c r="X467" s="10">
        <f>SUM(V$13:V467)/COUNTA(B$13:B467)</f>
        <v>0</v>
      </c>
      <c r="Z467" s="5"/>
      <c r="AA467" s="5"/>
      <c r="AC467" s="7"/>
      <c r="AE467" s="54" t="e">
        <f t="shared" si="71"/>
        <v>#N/A</v>
      </c>
      <c r="AF467" s="4" t="e">
        <f t="shared" si="67"/>
        <v>#N/A</v>
      </c>
    </row>
    <row r="468" spans="2:32">
      <c r="B468" s="5">
        <f t="shared" si="72"/>
        <v>456</v>
      </c>
      <c r="C468" s="5"/>
      <c r="E468" s="13"/>
      <c r="F468" s="5"/>
      <c r="G468" s="11" t="str">
        <f>IF(ISERROR(AVERAGE(F$13:F468)),"n/a",AVERAGE(F$13:F468))</f>
        <v>n/a</v>
      </c>
      <c r="H468" s="11" t="str">
        <f t="shared" si="68"/>
        <v>n/a</v>
      </c>
      <c r="J468" s="5"/>
      <c r="K468" s="5"/>
      <c r="L468" s="5"/>
      <c r="M468" s="5"/>
      <c r="N468" s="5"/>
      <c r="O468" s="8" t="str">
        <f t="shared" si="66"/>
        <v>n/a</v>
      </c>
      <c r="Q468" s="5"/>
      <c r="R468" s="5"/>
      <c r="S468" s="5"/>
      <c r="U468" s="6"/>
      <c r="V468" s="9" t="str">
        <f t="shared" si="69"/>
        <v/>
      </c>
      <c r="W468" s="9" t="str">
        <f t="shared" si="70"/>
        <v/>
      </c>
      <c r="X468" s="10">
        <f>SUM(V$13:V468)/COUNTA(B$13:B468)</f>
        <v>0</v>
      </c>
      <c r="Z468" s="5"/>
      <c r="AA468" s="5"/>
      <c r="AC468" s="7"/>
      <c r="AE468" s="54" t="e">
        <f t="shared" si="71"/>
        <v>#N/A</v>
      </c>
      <c r="AF468" s="4" t="e">
        <f t="shared" si="67"/>
        <v>#N/A</v>
      </c>
    </row>
    <row r="469" spans="2:32">
      <c r="B469" s="5">
        <f t="shared" si="72"/>
        <v>457</v>
      </c>
      <c r="C469" s="5"/>
      <c r="E469" s="13"/>
      <c r="F469" s="5"/>
      <c r="G469" s="11" t="str">
        <f>IF(ISERROR(AVERAGE(F$13:F469)),"n/a",AVERAGE(F$13:F469))</f>
        <v>n/a</v>
      </c>
      <c r="H469" s="11" t="str">
        <f t="shared" si="68"/>
        <v>n/a</v>
      </c>
      <c r="J469" s="5"/>
      <c r="K469" s="5"/>
      <c r="L469" s="5"/>
      <c r="M469" s="5"/>
      <c r="N469" s="5"/>
      <c r="O469" s="8" t="str">
        <f t="shared" si="66"/>
        <v>n/a</v>
      </c>
      <c r="Q469" s="5"/>
      <c r="R469" s="5"/>
      <c r="S469" s="5"/>
      <c r="U469" s="6"/>
      <c r="V469" s="9" t="str">
        <f t="shared" si="69"/>
        <v/>
      </c>
      <c r="W469" s="9" t="str">
        <f t="shared" si="70"/>
        <v/>
      </c>
      <c r="X469" s="10">
        <f>SUM(V$13:V469)/COUNTA(B$13:B469)</f>
        <v>0</v>
      </c>
      <c r="Z469" s="5"/>
      <c r="AA469" s="5"/>
      <c r="AC469" s="7"/>
      <c r="AE469" s="54" t="e">
        <f t="shared" si="71"/>
        <v>#N/A</v>
      </c>
      <c r="AF469" s="4" t="e">
        <f t="shared" si="67"/>
        <v>#N/A</v>
      </c>
    </row>
    <row r="470" spans="2:32">
      <c r="B470" s="5">
        <f t="shared" si="72"/>
        <v>458</v>
      </c>
      <c r="C470" s="5"/>
      <c r="E470" s="13"/>
      <c r="F470" s="5"/>
      <c r="G470" s="11" t="str">
        <f>IF(ISERROR(AVERAGE(F$13:F470)),"n/a",AVERAGE(F$13:F470))</f>
        <v>n/a</v>
      </c>
      <c r="H470" s="11" t="str">
        <f t="shared" si="68"/>
        <v>n/a</v>
      </c>
      <c r="J470" s="5"/>
      <c r="K470" s="5"/>
      <c r="L470" s="5"/>
      <c r="M470" s="5"/>
      <c r="N470" s="5"/>
      <c r="O470" s="8" t="str">
        <f t="shared" si="66"/>
        <v>n/a</v>
      </c>
      <c r="Q470" s="5"/>
      <c r="R470" s="5"/>
      <c r="S470" s="5"/>
      <c r="U470" s="6"/>
      <c r="V470" s="9" t="str">
        <f t="shared" si="69"/>
        <v/>
      </c>
      <c r="W470" s="9" t="str">
        <f t="shared" si="70"/>
        <v/>
      </c>
      <c r="X470" s="10">
        <f>SUM(V$13:V470)/COUNTA(B$13:B470)</f>
        <v>0</v>
      </c>
      <c r="Z470" s="5"/>
      <c r="AA470" s="5"/>
      <c r="AC470" s="7"/>
      <c r="AE470" s="54" t="e">
        <f t="shared" si="71"/>
        <v>#N/A</v>
      </c>
      <c r="AF470" s="4" t="e">
        <f t="shared" si="67"/>
        <v>#N/A</v>
      </c>
    </row>
    <row r="471" spans="2:32">
      <c r="B471" s="5">
        <f t="shared" si="72"/>
        <v>459</v>
      </c>
      <c r="C471" s="5"/>
      <c r="E471" s="13"/>
      <c r="F471" s="5"/>
      <c r="G471" s="11" t="str">
        <f>IF(ISERROR(AVERAGE(F$13:F471)),"n/a",AVERAGE(F$13:F471))</f>
        <v>n/a</v>
      </c>
      <c r="H471" s="11" t="str">
        <f t="shared" si="68"/>
        <v>n/a</v>
      </c>
      <c r="J471" s="5"/>
      <c r="K471" s="5"/>
      <c r="L471" s="5"/>
      <c r="M471" s="5"/>
      <c r="N471" s="5"/>
      <c r="O471" s="8" t="str">
        <f t="shared" si="66"/>
        <v>n/a</v>
      </c>
      <c r="Q471" s="5"/>
      <c r="R471" s="5"/>
      <c r="S471" s="5"/>
      <c r="U471" s="6"/>
      <c r="V471" s="9" t="str">
        <f t="shared" si="69"/>
        <v/>
      </c>
      <c r="W471" s="9" t="str">
        <f t="shared" si="70"/>
        <v/>
      </c>
      <c r="X471" s="10">
        <f>SUM(V$13:V471)/COUNTA(B$13:B471)</f>
        <v>0</v>
      </c>
      <c r="Z471" s="5"/>
      <c r="AA471" s="5"/>
      <c r="AC471" s="7"/>
      <c r="AE471" s="54" t="e">
        <f t="shared" si="71"/>
        <v>#N/A</v>
      </c>
      <c r="AF471" s="4" t="e">
        <f t="shared" si="67"/>
        <v>#N/A</v>
      </c>
    </row>
    <row r="472" spans="2:32">
      <c r="B472" s="5">
        <f t="shared" si="72"/>
        <v>460</v>
      </c>
      <c r="C472" s="5"/>
      <c r="E472" s="13"/>
      <c r="F472" s="5"/>
      <c r="G472" s="11" t="str">
        <f>IF(ISERROR(AVERAGE(F$13:F472)),"n/a",AVERAGE(F$13:F472))</f>
        <v>n/a</v>
      </c>
      <c r="H472" s="11" t="str">
        <f t="shared" si="68"/>
        <v>n/a</v>
      </c>
      <c r="J472" s="5"/>
      <c r="K472" s="5"/>
      <c r="L472" s="5"/>
      <c r="M472" s="5"/>
      <c r="N472" s="5"/>
      <c r="O472" s="8" t="str">
        <f t="shared" si="66"/>
        <v>n/a</v>
      </c>
      <c r="Q472" s="5"/>
      <c r="R472" s="5"/>
      <c r="S472" s="5"/>
      <c r="U472" s="6"/>
      <c r="V472" s="9" t="str">
        <f t="shared" si="69"/>
        <v/>
      </c>
      <c r="W472" s="9" t="str">
        <f t="shared" si="70"/>
        <v/>
      </c>
      <c r="X472" s="10">
        <f>SUM(V$13:V472)/COUNTA(B$13:B472)</f>
        <v>0</v>
      </c>
      <c r="Z472" s="5"/>
      <c r="AA472" s="5"/>
      <c r="AC472" s="7"/>
      <c r="AE472" s="54" t="e">
        <f t="shared" si="71"/>
        <v>#N/A</v>
      </c>
      <c r="AF472" s="4" t="e">
        <f t="shared" si="67"/>
        <v>#N/A</v>
      </c>
    </row>
    <row r="473" spans="2:32">
      <c r="B473" s="5">
        <f t="shared" si="72"/>
        <v>461</v>
      </c>
      <c r="C473" s="5"/>
      <c r="E473" s="13"/>
      <c r="F473" s="5"/>
      <c r="G473" s="11" t="str">
        <f>IF(ISERROR(AVERAGE(F$13:F473)),"n/a",AVERAGE(F$13:F473))</f>
        <v>n/a</v>
      </c>
      <c r="H473" s="11" t="str">
        <f t="shared" si="68"/>
        <v>n/a</v>
      </c>
      <c r="J473" s="5"/>
      <c r="K473" s="5"/>
      <c r="L473" s="5"/>
      <c r="M473" s="5"/>
      <c r="N473" s="5"/>
      <c r="O473" s="8" t="str">
        <f t="shared" si="66"/>
        <v>n/a</v>
      </c>
      <c r="Q473" s="5"/>
      <c r="R473" s="5"/>
      <c r="S473" s="5"/>
      <c r="U473" s="6"/>
      <c r="V473" s="9" t="str">
        <f t="shared" si="69"/>
        <v/>
      </c>
      <c r="W473" s="9" t="str">
        <f t="shared" si="70"/>
        <v/>
      </c>
      <c r="X473" s="10">
        <f>SUM(V$13:V473)/COUNTA(B$13:B473)</f>
        <v>0</v>
      </c>
      <c r="Z473" s="5"/>
      <c r="AA473" s="5"/>
      <c r="AC473" s="7"/>
      <c r="AE473" s="54" t="e">
        <f t="shared" si="71"/>
        <v>#N/A</v>
      </c>
      <c r="AF473" s="4" t="e">
        <f t="shared" si="67"/>
        <v>#N/A</v>
      </c>
    </row>
    <row r="474" spans="2:32">
      <c r="B474" s="5">
        <f t="shared" si="72"/>
        <v>462</v>
      </c>
      <c r="C474" s="5"/>
      <c r="E474" s="13"/>
      <c r="F474" s="5"/>
      <c r="G474" s="11" t="str">
        <f>IF(ISERROR(AVERAGE(F$13:F474)),"n/a",AVERAGE(F$13:F474))</f>
        <v>n/a</v>
      </c>
      <c r="H474" s="11" t="str">
        <f t="shared" si="68"/>
        <v>n/a</v>
      </c>
      <c r="J474" s="5"/>
      <c r="K474" s="5"/>
      <c r="L474" s="5"/>
      <c r="M474" s="5"/>
      <c r="N474" s="5"/>
      <c r="O474" s="8" t="str">
        <f t="shared" si="66"/>
        <v>n/a</v>
      </c>
      <c r="Q474" s="5"/>
      <c r="R474" s="5"/>
      <c r="S474" s="5"/>
      <c r="U474" s="6"/>
      <c r="V474" s="9" t="str">
        <f t="shared" si="69"/>
        <v/>
      </c>
      <c r="W474" s="9" t="str">
        <f t="shared" si="70"/>
        <v/>
      </c>
      <c r="X474" s="10">
        <f>SUM(V$13:V474)/COUNTA(B$13:B474)</f>
        <v>0</v>
      </c>
      <c r="Z474" s="5"/>
      <c r="AA474" s="5"/>
      <c r="AC474" s="7"/>
      <c r="AE474" s="54" t="e">
        <f t="shared" si="71"/>
        <v>#N/A</v>
      </c>
      <c r="AF474" s="4" t="e">
        <f t="shared" si="67"/>
        <v>#N/A</v>
      </c>
    </row>
    <row r="475" spans="2:32">
      <c r="B475" s="5">
        <f t="shared" si="72"/>
        <v>463</v>
      </c>
      <c r="C475" s="5"/>
      <c r="E475" s="13"/>
      <c r="F475" s="5"/>
      <c r="G475" s="11" t="str">
        <f>IF(ISERROR(AVERAGE(F$13:F475)),"n/a",AVERAGE(F$13:F475))</f>
        <v>n/a</v>
      </c>
      <c r="H475" s="11" t="str">
        <f t="shared" si="68"/>
        <v>n/a</v>
      </c>
      <c r="J475" s="5"/>
      <c r="K475" s="5"/>
      <c r="L475" s="5"/>
      <c r="M475" s="5"/>
      <c r="N475" s="5"/>
      <c r="O475" s="8" t="str">
        <f t="shared" si="66"/>
        <v>n/a</v>
      </c>
      <c r="Q475" s="5"/>
      <c r="R475" s="5"/>
      <c r="S475" s="5"/>
      <c r="U475" s="6"/>
      <c r="V475" s="9" t="str">
        <f t="shared" si="69"/>
        <v/>
      </c>
      <c r="W475" s="9" t="str">
        <f t="shared" si="70"/>
        <v/>
      </c>
      <c r="X475" s="10">
        <f>SUM(V$13:V475)/COUNTA(B$13:B475)</f>
        <v>0</v>
      </c>
      <c r="Z475" s="5"/>
      <c r="AA475" s="5"/>
      <c r="AC475" s="7"/>
      <c r="AE475" s="54" t="e">
        <f t="shared" si="71"/>
        <v>#N/A</v>
      </c>
      <c r="AF475" s="4" t="e">
        <f t="shared" si="67"/>
        <v>#N/A</v>
      </c>
    </row>
    <row r="476" spans="2:32">
      <c r="B476" s="5">
        <f t="shared" si="72"/>
        <v>464</v>
      </c>
      <c r="C476" s="5"/>
      <c r="E476" s="13"/>
      <c r="F476" s="5"/>
      <c r="G476" s="11" t="str">
        <f>IF(ISERROR(AVERAGE(F$13:F476)),"n/a",AVERAGE(F$13:F476))</f>
        <v>n/a</v>
      </c>
      <c r="H476" s="11" t="str">
        <f t="shared" si="68"/>
        <v>n/a</v>
      </c>
      <c r="J476" s="5"/>
      <c r="K476" s="5"/>
      <c r="L476" s="5"/>
      <c r="M476" s="5"/>
      <c r="N476" s="5"/>
      <c r="O476" s="8" t="str">
        <f t="shared" si="66"/>
        <v>n/a</v>
      </c>
      <c r="Q476" s="5"/>
      <c r="R476" s="5"/>
      <c r="S476" s="5"/>
      <c r="U476" s="6"/>
      <c r="V476" s="9" t="str">
        <f t="shared" si="69"/>
        <v/>
      </c>
      <c r="W476" s="9" t="str">
        <f t="shared" si="70"/>
        <v/>
      </c>
      <c r="X476" s="10">
        <f>SUM(V$13:V476)/COUNTA(B$13:B476)</f>
        <v>0</v>
      </c>
      <c r="Z476" s="5"/>
      <c r="AA476" s="5"/>
      <c r="AC476" s="7"/>
      <c r="AE476" s="54" t="e">
        <f t="shared" si="71"/>
        <v>#N/A</v>
      </c>
      <c r="AF476" s="4" t="e">
        <f t="shared" si="67"/>
        <v>#N/A</v>
      </c>
    </row>
    <row r="477" spans="2:32">
      <c r="B477" s="5">
        <f t="shared" si="72"/>
        <v>465</v>
      </c>
      <c r="C477" s="5"/>
      <c r="E477" s="13"/>
      <c r="F477" s="5"/>
      <c r="G477" s="11" t="str">
        <f>IF(ISERROR(AVERAGE(F$13:F477)),"n/a",AVERAGE(F$13:F477))</f>
        <v>n/a</v>
      </c>
      <c r="H477" s="11" t="str">
        <f t="shared" si="68"/>
        <v>n/a</v>
      </c>
      <c r="J477" s="5"/>
      <c r="K477" s="5"/>
      <c r="L477" s="5"/>
      <c r="M477" s="5"/>
      <c r="N477" s="5"/>
      <c r="O477" s="8" t="str">
        <f t="shared" si="66"/>
        <v>n/a</v>
      </c>
      <c r="Q477" s="5"/>
      <c r="R477" s="5"/>
      <c r="S477" s="5"/>
      <c r="U477" s="6"/>
      <c r="V477" s="9" t="str">
        <f t="shared" si="69"/>
        <v/>
      </c>
      <c r="W477" s="9" t="str">
        <f t="shared" si="70"/>
        <v/>
      </c>
      <c r="X477" s="10">
        <f>SUM(V$13:V477)/COUNTA(B$13:B477)</f>
        <v>0</v>
      </c>
      <c r="Z477" s="5"/>
      <c r="AA477" s="5"/>
      <c r="AC477" s="7"/>
      <c r="AE477" s="54" t="e">
        <f t="shared" si="71"/>
        <v>#N/A</v>
      </c>
      <c r="AF477" s="4" t="e">
        <f t="shared" si="67"/>
        <v>#N/A</v>
      </c>
    </row>
    <row r="478" spans="2:32">
      <c r="B478" s="5">
        <f t="shared" si="72"/>
        <v>466</v>
      </c>
      <c r="C478" s="5"/>
      <c r="E478" s="13"/>
      <c r="F478" s="5"/>
      <c r="G478" s="11" t="str">
        <f>IF(ISERROR(AVERAGE(F$13:F478)),"n/a",AVERAGE(F$13:F478))</f>
        <v>n/a</v>
      </c>
      <c r="H478" s="11" t="str">
        <f t="shared" si="68"/>
        <v>n/a</v>
      </c>
      <c r="J478" s="5"/>
      <c r="K478" s="5"/>
      <c r="L478" s="5"/>
      <c r="M478" s="5"/>
      <c r="N478" s="5"/>
      <c r="O478" s="8" t="str">
        <f t="shared" si="66"/>
        <v>n/a</v>
      </c>
      <c r="Q478" s="5"/>
      <c r="R478" s="5"/>
      <c r="S478" s="5"/>
      <c r="U478" s="6"/>
      <c r="V478" s="9" t="str">
        <f t="shared" si="69"/>
        <v/>
      </c>
      <c r="W478" s="9" t="str">
        <f t="shared" si="70"/>
        <v/>
      </c>
      <c r="X478" s="10">
        <f>SUM(V$13:V478)/COUNTA(B$13:B478)</f>
        <v>0</v>
      </c>
      <c r="Z478" s="5"/>
      <c r="AA478" s="5"/>
      <c r="AC478" s="7"/>
      <c r="AE478" s="54" t="e">
        <f t="shared" si="71"/>
        <v>#N/A</v>
      </c>
      <c r="AF478" s="4" t="e">
        <f t="shared" si="67"/>
        <v>#N/A</v>
      </c>
    </row>
    <row r="479" spans="2:32">
      <c r="B479" s="5">
        <f t="shared" si="72"/>
        <v>467</v>
      </c>
      <c r="C479" s="5"/>
      <c r="E479" s="13"/>
      <c r="F479" s="5"/>
      <c r="G479" s="11" t="str">
        <f>IF(ISERROR(AVERAGE(F$13:F479)),"n/a",AVERAGE(F$13:F479))</f>
        <v>n/a</v>
      </c>
      <c r="H479" s="11" t="str">
        <f t="shared" si="68"/>
        <v>n/a</v>
      </c>
      <c r="J479" s="5"/>
      <c r="K479" s="5"/>
      <c r="L479" s="5"/>
      <c r="M479" s="5"/>
      <c r="N479" s="5"/>
      <c r="O479" s="8" t="str">
        <f t="shared" si="66"/>
        <v>n/a</v>
      </c>
      <c r="Q479" s="5"/>
      <c r="R479" s="5"/>
      <c r="S479" s="5"/>
      <c r="U479" s="6"/>
      <c r="V479" s="9" t="str">
        <f t="shared" si="69"/>
        <v/>
      </c>
      <c r="W479" s="9" t="str">
        <f t="shared" si="70"/>
        <v/>
      </c>
      <c r="X479" s="10">
        <f>SUM(V$13:V479)/COUNTA(B$13:B479)</f>
        <v>0</v>
      </c>
      <c r="Z479" s="5"/>
      <c r="AA479" s="5"/>
      <c r="AC479" s="7"/>
      <c r="AE479" s="54" t="e">
        <f t="shared" si="71"/>
        <v>#N/A</v>
      </c>
      <c r="AF479" s="4" t="e">
        <f t="shared" si="67"/>
        <v>#N/A</v>
      </c>
    </row>
    <row r="480" spans="2:32">
      <c r="B480" s="5">
        <f t="shared" si="72"/>
        <v>468</v>
      </c>
      <c r="C480" s="5"/>
      <c r="E480" s="13"/>
      <c r="F480" s="5"/>
      <c r="G480" s="11" t="str">
        <f>IF(ISERROR(AVERAGE(F$13:F480)),"n/a",AVERAGE(F$13:F480))</f>
        <v>n/a</v>
      </c>
      <c r="H480" s="11" t="str">
        <f t="shared" si="68"/>
        <v>n/a</v>
      </c>
      <c r="J480" s="5"/>
      <c r="K480" s="5"/>
      <c r="L480" s="5"/>
      <c r="M480" s="5"/>
      <c r="N480" s="5"/>
      <c r="O480" s="8" t="str">
        <f t="shared" si="66"/>
        <v>n/a</v>
      </c>
      <c r="Q480" s="5"/>
      <c r="R480" s="5"/>
      <c r="S480" s="5"/>
      <c r="U480" s="6"/>
      <c r="V480" s="9" t="str">
        <f t="shared" si="69"/>
        <v/>
      </c>
      <c r="W480" s="9" t="str">
        <f t="shared" si="70"/>
        <v/>
      </c>
      <c r="X480" s="10">
        <f>SUM(V$13:V480)/COUNTA(B$13:B480)</f>
        <v>0</v>
      </c>
      <c r="Z480" s="5"/>
      <c r="AA480" s="5"/>
      <c r="AC480" s="7"/>
      <c r="AE480" s="54" t="e">
        <f t="shared" si="71"/>
        <v>#N/A</v>
      </c>
      <c r="AF480" s="4" t="e">
        <f t="shared" si="67"/>
        <v>#N/A</v>
      </c>
    </row>
    <row r="481" spans="2:32">
      <c r="B481" s="5">
        <f t="shared" si="72"/>
        <v>469</v>
      </c>
      <c r="C481" s="5"/>
      <c r="E481" s="13"/>
      <c r="F481" s="5"/>
      <c r="G481" s="11" t="str">
        <f>IF(ISERROR(AVERAGE(F$13:F481)),"n/a",AVERAGE(F$13:F481))</f>
        <v>n/a</v>
      </c>
      <c r="H481" s="11" t="str">
        <f t="shared" si="68"/>
        <v>n/a</v>
      </c>
      <c r="J481" s="5"/>
      <c r="K481" s="5"/>
      <c r="L481" s="5"/>
      <c r="M481" s="5"/>
      <c r="N481" s="5"/>
      <c r="O481" s="8" t="str">
        <f t="shared" si="66"/>
        <v>n/a</v>
      </c>
      <c r="Q481" s="5"/>
      <c r="R481" s="5"/>
      <c r="S481" s="5"/>
      <c r="U481" s="6"/>
      <c r="V481" s="9" t="str">
        <f t="shared" si="69"/>
        <v/>
      </c>
      <c r="W481" s="9" t="str">
        <f t="shared" si="70"/>
        <v/>
      </c>
      <c r="X481" s="10">
        <f>SUM(V$13:V481)/COUNTA(B$13:B481)</f>
        <v>0</v>
      </c>
      <c r="Z481" s="5"/>
      <c r="AA481" s="5"/>
      <c r="AC481" s="7"/>
      <c r="AE481" s="54" t="e">
        <f t="shared" si="71"/>
        <v>#N/A</v>
      </c>
      <c r="AF481" s="4" t="e">
        <f t="shared" si="67"/>
        <v>#N/A</v>
      </c>
    </row>
    <row r="482" spans="2:32">
      <c r="B482" s="5">
        <f t="shared" si="72"/>
        <v>470</v>
      </c>
      <c r="C482" s="5"/>
      <c r="E482" s="13"/>
      <c r="F482" s="5"/>
      <c r="G482" s="11" t="str">
        <f>IF(ISERROR(AVERAGE(F$13:F482)),"n/a",AVERAGE(F$13:F482))</f>
        <v>n/a</v>
      </c>
      <c r="H482" s="11" t="str">
        <f t="shared" si="68"/>
        <v>n/a</v>
      </c>
      <c r="J482" s="5"/>
      <c r="K482" s="5"/>
      <c r="L482" s="5"/>
      <c r="M482" s="5"/>
      <c r="N482" s="5"/>
      <c r="O482" s="8" t="str">
        <f t="shared" si="66"/>
        <v>n/a</v>
      </c>
      <c r="Q482" s="5"/>
      <c r="R482" s="5"/>
      <c r="S482" s="5"/>
      <c r="U482" s="6"/>
      <c r="V482" s="9" t="str">
        <f t="shared" si="69"/>
        <v/>
      </c>
      <c r="W482" s="9" t="str">
        <f t="shared" si="70"/>
        <v/>
      </c>
      <c r="X482" s="10">
        <f>SUM(V$13:V482)/COUNTA(B$13:B482)</f>
        <v>0</v>
      </c>
      <c r="Z482" s="5"/>
      <c r="AA482" s="5"/>
      <c r="AC482" s="7"/>
      <c r="AE482" s="54" t="e">
        <f t="shared" si="71"/>
        <v>#N/A</v>
      </c>
      <c r="AF482" s="4" t="e">
        <f t="shared" si="67"/>
        <v>#N/A</v>
      </c>
    </row>
    <row r="483" spans="2:32">
      <c r="B483" s="5">
        <f t="shared" si="72"/>
        <v>471</v>
      </c>
      <c r="C483" s="5"/>
      <c r="E483" s="13"/>
      <c r="F483" s="5"/>
      <c r="G483" s="11" t="str">
        <f>IF(ISERROR(AVERAGE(F$13:F483)),"n/a",AVERAGE(F$13:F483))</f>
        <v>n/a</v>
      </c>
      <c r="H483" s="11" t="str">
        <f t="shared" si="68"/>
        <v>n/a</v>
      </c>
      <c r="J483" s="5"/>
      <c r="K483" s="5"/>
      <c r="L483" s="5"/>
      <c r="M483" s="5"/>
      <c r="N483" s="5"/>
      <c r="O483" s="8" t="str">
        <f t="shared" si="66"/>
        <v>n/a</v>
      </c>
      <c r="Q483" s="5"/>
      <c r="R483" s="5"/>
      <c r="S483" s="5"/>
      <c r="U483" s="6"/>
      <c r="V483" s="9" t="str">
        <f t="shared" si="69"/>
        <v/>
      </c>
      <c r="W483" s="9" t="str">
        <f t="shared" si="70"/>
        <v/>
      </c>
      <c r="X483" s="10">
        <f>SUM(V$13:V483)/COUNTA(B$13:B483)</f>
        <v>0</v>
      </c>
      <c r="Z483" s="5"/>
      <c r="AA483" s="5"/>
      <c r="AC483" s="7"/>
      <c r="AE483" s="54" t="e">
        <f t="shared" si="71"/>
        <v>#N/A</v>
      </c>
      <c r="AF483" s="4" t="e">
        <f t="shared" si="67"/>
        <v>#N/A</v>
      </c>
    </row>
    <row r="484" spans="2:32">
      <c r="B484" s="5">
        <f t="shared" si="72"/>
        <v>472</v>
      </c>
      <c r="C484" s="5"/>
      <c r="E484" s="13"/>
      <c r="F484" s="5"/>
      <c r="G484" s="11" t="str">
        <f>IF(ISERROR(AVERAGE(F$13:F484)),"n/a",AVERAGE(F$13:F484))</f>
        <v>n/a</v>
      </c>
      <c r="H484" s="11" t="str">
        <f t="shared" si="68"/>
        <v>n/a</v>
      </c>
      <c r="J484" s="5"/>
      <c r="K484" s="5"/>
      <c r="L484" s="5"/>
      <c r="M484" s="5"/>
      <c r="N484" s="5"/>
      <c r="O484" s="8" t="str">
        <f t="shared" si="66"/>
        <v>n/a</v>
      </c>
      <c r="Q484" s="5"/>
      <c r="R484" s="5"/>
      <c r="S484" s="5"/>
      <c r="U484" s="6"/>
      <c r="V484" s="9" t="str">
        <f t="shared" si="69"/>
        <v/>
      </c>
      <c r="W484" s="9" t="str">
        <f t="shared" si="70"/>
        <v/>
      </c>
      <c r="X484" s="10">
        <f>SUM(V$13:V484)/COUNTA(B$13:B484)</f>
        <v>0</v>
      </c>
      <c r="Z484" s="5"/>
      <c r="AA484" s="5"/>
      <c r="AC484" s="7"/>
      <c r="AE484" s="54" t="e">
        <f t="shared" si="71"/>
        <v>#N/A</v>
      </c>
      <c r="AF484" s="4" t="e">
        <f t="shared" si="67"/>
        <v>#N/A</v>
      </c>
    </row>
    <row r="485" spans="2:32">
      <c r="B485" s="5">
        <f t="shared" si="72"/>
        <v>473</v>
      </c>
      <c r="C485" s="5"/>
      <c r="E485" s="13"/>
      <c r="F485" s="5"/>
      <c r="G485" s="11" t="str">
        <f>IF(ISERROR(AVERAGE(F$13:F485)),"n/a",AVERAGE(F$13:F485))</f>
        <v>n/a</v>
      </c>
      <c r="H485" s="11" t="str">
        <f t="shared" si="68"/>
        <v>n/a</v>
      </c>
      <c r="J485" s="5"/>
      <c r="K485" s="5"/>
      <c r="L485" s="5"/>
      <c r="M485" s="5"/>
      <c r="N485" s="5"/>
      <c r="O485" s="8" t="str">
        <f t="shared" si="66"/>
        <v>n/a</v>
      </c>
      <c r="Q485" s="5"/>
      <c r="R485" s="5"/>
      <c r="S485" s="5"/>
      <c r="U485" s="6"/>
      <c r="V485" s="9" t="str">
        <f t="shared" si="69"/>
        <v/>
      </c>
      <c r="W485" s="9" t="str">
        <f t="shared" si="70"/>
        <v/>
      </c>
      <c r="X485" s="10">
        <f>SUM(V$13:V485)/COUNTA(B$13:B485)</f>
        <v>0</v>
      </c>
      <c r="Z485" s="5"/>
      <c r="AA485" s="5"/>
      <c r="AC485" s="7"/>
      <c r="AE485" s="54" t="e">
        <f t="shared" si="71"/>
        <v>#N/A</v>
      </c>
      <c r="AF485" s="4" t="e">
        <f t="shared" si="67"/>
        <v>#N/A</v>
      </c>
    </row>
    <row r="486" spans="2:32">
      <c r="B486" s="5">
        <f t="shared" si="72"/>
        <v>474</v>
      </c>
      <c r="C486" s="5"/>
      <c r="E486" s="13"/>
      <c r="F486" s="5"/>
      <c r="G486" s="11" t="str">
        <f>IF(ISERROR(AVERAGE(F$13:F486)),"n/a",AVERAGE(F$13:F486))</f>
        <v>n/a</v>
      </c>
      <c r="H486" s="11" t="str">
        <f t="shared" si="68"/>
        <v>n/a</v>
      </c>
      <c r="J486" s="5"/>
      <c r="K486" s="5"/>
      <c r="L486" s="5"/>
      <c r="M486" s="5"/>
      <c r="N486" s="5"/>
      <c r="O486" s="8" t="str">
        <f t="shared" si="66"/>
        <v>n/a</v>
      </c>
      <c r="Q486" s="5"/>
      <c r="R486" s="5"/>
      <c r="S486" s="5"/>
      <c r="U486" s="6"/>
      <c r="V486" s="9" t="str">
        <f t="shared" si="69"/>
        <v/>
      </c>
      <c r="W486" s="9" t="str">
        <f t="shared" si="70"/>
        <v/>
      </c>
      <c r="X486" s="10">
        <f>SUM(V$13:V486)/COUNTA(B$13:B486)</f>
        <v>0</v>
      </c>
      <c r="Z486" s="5"/>
      <c r="AA486" s="5"/>
      <c r="AC486" s="7"/>
      <c r="AE486" s="54" t="e">
        <f t="shared" si="71"/>
        <v>#N/A</v>
      </c>
      <c r="AF486" s="4" t="e">
        <f t="shared" si="67"/>
        <v>#N/A</v>
      </c>
    </row>
    <row r="487" spans="2:32">
      <c r="B487" s="5">
        <f t="shared" si="72"/>
        <v>475</v>
      </c>
      <c r="C487" s="5"/>
      <c r="E487" s="13"/>
      <c r="F487" s="5"/>
      <c r="G487" s="11" t="str">
        <f>IF(ISERROR(AVERAGE(F$13:F487)),"n/a",AVERAGE(F$13:F487))</f>
        <v>n/a</v>
      </c>
      <c r="H487" s="11" t="str">
        <f t="shared" si="68"/>
        <v>n/a</v>
      </c>
      <c r="J487" s="5"/>
      <c r="K487" s="5"/>
      <c r="L487" s="5"/>
      <c r="M487" s="5"/>
      <c r="N487" s="5"/>
      <c r="O487" s="8" t="str">
        <f t="shared" si="66"/>
        <v>n/a</v>
      </c>
      <c r="Q487" s="5"/>
      <c r="R487" s="5"/>
      <c r="S487" s="5"/>
      <c r="U487" s="6"/>
      <c r="V487" s="9" t="str">
        <f t="shared" si="69"/>
        <v/>
      </c>
      <c r="W487" s="9" t="str">
        <f t="shared" si="70"/>
        <v/>
      </c>
      <c r="X487" s="10">
        <f>SUM(V$13:V487)/COUNTA(B$13:B487)</f>
        <v>0</v>
      </c>
      <c r="Z487" s="5"/>
      <c r="AA487" s="5"/>
      <c r="AC487" s="7"/>
      <c r="AE487" s="54" t="e">
        <f t="shared" si="71"/>
        <v>#N/A</v>
      </c>
      <c r="AF487" s="4" t="e">
        <f t="shared" si="67"/>
        <v>#N/A</v>
      </c>
    </row>
    <row r="488" spans="2:32">
      <c r="B488" s="5">
        <f t="shared" si="72"/>
        <v>476</v>
      </c>
      <c r="C488" s="5"/>
      <c r="E488" s="13"/>
      <c r="F488" s="5"/>
      <c r="G488" s="11" t="str">
        <f>IF(ISERROR(AVERAGE(F$13:F488)),"n/a",AVERAGE(F$13:F488))</f>
        <v>n/a</v>
      </c>
      <c r="H488" s="11" t="str">
        <f t="shared" si="68"/>
        <v>n/a</v>
      </c>
      <c r="J488" s="5"/>
      <c r="K488" s="5"/>
      <c r="L488" s="5"/>
      <c r="M488" s="5"/>
      <c r="N488" s="5"/>
      <c r="O488" s="8" t="str">
        <f t="shared" si="66"/>
        <v>n/a</v>
      </c>
      <c r="Q488" s="5"/>
      <c r="R488" s="5"/>
      <c r="S488" s="5"/>
      <c r="U488" s="6"/>
      <c r="V488" s="9" t="str">
        <f t="shared" si="69"/>
        <v/>
      </c>
      <c r="W488" s="9" t="str">
        <f t="shared" si="70"/>
        <v/>
      </c>
      <c r="X488" s="10">
        <f>SUM(V$13:V488)/COUNTA(B$13:B488)</f>
        <v>0</v>
      </c>
      <c r="Z488" s="5"/>
      <c r="AA488" s="5"/>
      <c r="AC488" s="7"/>
      <c r="AE488" s="54" t="e">
        <f t="shared" si="71"/>
        <v>#N/A</v>
      </c>
      <c r="AF488" s="4" t="e">
        <f t="shared" si="67"/>
        <v>#N/A</v>
      </c>
    </row>
    <row r="489" spans="2:32">
      <c r="B489" s="5">
        <f t="shared" si="72"/>
        <v>477</v>
      </c>
      <c r="C489" s="5"/>
      <c r="E489" s="13"/>
      <c r="F489" s="5"/>
      <c r="G489" s="11" t="str">
        <f>IF(ISERROR(AVERAGE(F$13:F489)),"n/a",AVERAGE(F$13:F489))</f>
        <v>n/a</v>
      </c>
      <c r="H489" s="11" t="str">
        <f t="shared" si="68"/>
        <v>n/a</v>
      </c>
      <c r="J489" s="5"/>
      <c r="K489" s="5"/>
      <c r="L489" s="5"/>
      <c r="M489" s="5"/>
      <c r="N489" s="5"/>
      <c r="O489" s="8" t="str">
        <f t="shared" si="66"/>
        <v>n/a</v>
      </c>
      <c r="Q489" s="5"/>
      <c r="R489" s="5"/>
      <c r="S489" s="5"/>
      <c r="U489" s="6"/>
      <c r="V489" s="9" t="str">
        <f t="shared" si="69"/>
        <v/>
      </c>
      <c r="W489" s="9" t="str">
        <f t="shared" si="70"/>
        <v/>
      </c>
      <c r="X489" s="10">
        <f>SUM(V$13:V489)/COUNTA(B$13:B489)</f>
        <v>0</v>
      </c>
      <c r="Z489" s="5"/>
      <c r="AA489" s="5"/>
      <c r="AC489" s="7"/>
      <c r="AE489" s="54" t="e">
        <f t="shared" si="71"/>
        <v>#N/A</v>
      </c>
      <c r="AF489" s="4" t="e">
        <f t="shared" si="67"/>
        <v>#N/A</v>
      </c>
    </row>
    <row r="490" spans="2:32">
      <c r="B490" s="5">
        <f t="shared" si="72"/>
        <v>478</v>
      </c>
      <c r="C490" s="5"/>
      <c r="E490" s="13"/>
      <c r="F490" s="5"/>
      <c r="G490" s="11" t="str">
        <f>IF(ISERROR(AVERAGE(F$13:F490)),"n/a",AVERAGE(F$13:F490))</f>
        <v>n/a</v>
      </c>
      <c r="H490" s="11" t="str">
        <f t="shared" si="68"/>
        <v>n/a</v>
      </c>
      <c r="J490" s="5"/>
      <c r="K490" s="5"/>
      <c r="L490" s="5"/>
      <c r="M490" s="5"/>
      <c r="N490" s="5"/>
      <c r="O490" s="8" t="str">
        <f t="shared" si="66"/>
        <v>n/a</v>
      </c>
      <c r="Q490" s="5"/>
      <c r="R490" s="5"/>
      <c r="S490" s="5"/>
      <c r="U490" s="6"/>
      <c r="V490" s="9" t="str">
        <f t="shared" si="69"/>
        <v/>
      </c>
      <c r="W490" s="9" t="str">
        <f t="shared" si="70"/>
        <v/>
      </c>
      <c r="X490" s="10">
        <f>SUM(V$13:V490)/COUNTA(B$13:B490)</f>
        <v>0</v>
      </c>
      <c r="Z490" s="5"/>
      <c r="AA490" s="5"/>
      <c r="AC490" s="7"/>
      <c r="AE490" s="54" t="e">
        <f t="shared" si="71"/>
        <v>#N/A</v>
      </c>
      <c r="AF490" s="4" t="e">
        <f t="shared" si="67"/>
        <v>#N/A</v>
      </c>
    </row>
    <row r="491" spans="2:32">
      <c r="B491" s="5">
        <f t="shared" si="72"/>
        <v>479</v>
      </c>
      <c r="C491" s="5"/>
      <c r="E491" s="13"/>
      <c r="F491" s="5"/>
      <c r="G491" s="11" t="str">
        <f>IF(ISERROR(AVERAGE(F$13:F491)),"n/a",AVERAGE(F$13:F491))</f>
        <v>n/a</v>
      </c>
      <c r="H491" s="11" t="str">
        <f t="shared" si="68"/>
        <v>n/a</v>
      </c>
      <c r="J491" s="5"/>
      <c r="K491" s="5"/>
      <c r="L491" s="5"/>
      <c r="M491" s="5"/>
      <c r="N491" s="5"/>
      <c r="O491" s="8" t="str">
        <f t="shared" si="66"/>
        <v>n/a</v>
      </c>
      <c r="Q491" s="5"/>
      <c r="R491" s="5"/>
      <c r="S491" s="5"/>
      <c r="U491" s="6"/>
      <c r="V491" s="9" t="str">
        <f t="shared" si="69"/>
        <v/>
      </c>
      <c r="W491" s="9" t="str">
        <f t="shared" si="70"/>
        <v/>
      </c>
      <c r="X491" s="10">
        <f>SUM(V$13:V491)/COUNTA(B$13:B491)</f>
        <v>0</v>
      </c>
      <c r="Z491" s="5"/>
      <c r="AA491" s="5"/>
      <c r="AC491" s="7"/>
      <c r="AE491" s="54" t="e">
        <f t="shared" si="71"/>
        <v>#N/A</v>
      </c>
      <c r="AF491" s="4" t="e">
        <f t="shared" si="67"/>
        <v>#N/A</v>
      </c>
    </row>
    <row r="492" spans="2:32">
      <c r="B492" s="5">
        <f t="shared" si="72"/>
        <v>480</v>
      </c>
      <c r="C492" s="5"/>
      <c r="E492" s="13"/>
      <c r="F492" s="5"/>
      <c r="G492" s="11" t="str">
        <f>IF(ISERROR(AVERAGE(F$13:F492)),"n/a",AVERAGE(F$13:F492))</f>
        <v>n/a</v>
      </c>
      <c r="H492" s="11" t="str">
        <f t="shared" si="68"/>
        <v>n/a</v>
      </c>
      <c r="J492" s="5"/>
      <c r="K492" s="5"/>
      <c r="L492" s="5"/>
      <c r="M492" s="5"/>
      <c r="N492" s="5"/>
      <c r="O492" s="8" t="str">
        <f t="shared" si="66"/>
        <v>n/a</v>
      </c>
      <c r="Q492" s="5"/>
      <c r="R492" s="5"/>
      <c r="S492" s="5"/>
      <c r="U492" s="6"/>
      <c r="V492" s="9" t="str">
        <f t="shared" si="69"/>
        <v/>
      </c>
      <c r="W492" s="9" t="str">
        <f t="shared" si="70"/>
        <v/>
      </c>
      <c r="X492" s="10">
        <f>SUM(V$13:V492)/COUNTA(B$13:B492)</f>
        <v>0</v>
      </c>
      <c r="Z492" s="5"/>
      <c r="AA492" s="5"/>
      <c r="AC492" s="7"/>
      <c r="AE492" s="54" t="e">
        <f t="shared" si="71"/>
        <v>#N/A</v>
      </c>
      <c r="AF492" s="4" t="e">
        <f t="shared" si="67"/>
        <v>#N/A</v>
      </c>
    </row>
    <row r="493" spans="2:32">
      <c r="B493" s="5">
        <f t="shared" si="72"/>
        <v>481</v>
      </c>
      <c r="C493" s="5"/>
      <c r="E493" s="13"/>
      <c r="F493" s="5"/>
      <c r="G493" s="11" t="str">
        <f>IF(ISERROR(AVERAGE(F$13:F493)),"n/a",AVERAGE(F$13:F493))</f>
        <v>n/a</v>
      </c>
      <c r="H493" s="11" t="str">
        <f t="shared" si="68"/>
        <v>n/a</v>
      </c>
      <c r="J493" s="5"/>
      <c r="K493" s="5"/>
      <c r="L493" s="5"/>
      <c r="M493" s="5"/>
      <c r="N493" s="5"/>
      <c r="O493" s="8" t="str">
        <f t="shared" si="66"/>
        <v>n/a</v>
      </c>
      <c r="Q493" s="5"/>
      <c r="R493" s="5"/>
      <c r="S493" s="5"/>
      <c r="U493" s="6"/>
      <c r="V493" s="9" t="str">
        <f t="shared" si="69"/>
        <v/>
      </c>
      <c r="W493" s="9" t="str">
        <f t="shared" si="70"/>
        <v/>
      </c>
      <c r="X493" s="10">
        <f>SUM(V$13:V493)/COUNTA(B$13:B493)</f>
        <v>0</v>
      </c>
      <c r="Z493" s="5"/>
      <c r="AA493" s="5"/>
      <c r="AC493" s="7"/>
      <c r="AE493" s="54" t="e">
        <f t="shared" si="71"/>
        <v>#N/A</v>
      </c>
      <c r="AF493" s="4" t="e">
        <f t="shared" si="67"/>
        <v>#N/A</v>
      </c>
    </row>
    <row r="494" spans="2:32">
      <c r="B494" s="5">
        <f t="shared" si="72"/>
        <v>482</v>
      </c>
      <c r="C494" s="5"/>
      <c r="E494" s="13"/>
      <c r="F494" s="5"/>
      <c r="G494" s="11" t="str">
        <f>IF(ISERROR(AVERAGE(F$13:F494)),"n/a",AVERAGE(F$13:F494))</f>
        <v>n/a</v>
      </c>
      <c r="H494" s="11" t="str">
        <f t="shared" si="68"/>
        <v>n/a</v>
      </c>
      <c r="J494" s="5"/>
      <c r="K494" s="5"/>
      <c r="L494" s="5"/>
      <c r="M494" s="5"/>
      <c r="N494" s="5"/>
      <c r="O494" s="8" t="str">
        <f t="shared" si="66"/>
        <v>n/a</v>
      </c>
      <c r="Q494" s="5"/>
      <c r="R494" s="5"/>
      <c r="S494" s="5"/>
      <c r="U494" s="6"/>
      <c r="V494" s="9" t="str">
        <f t="shared" si="69"/>
        <v/>
      </c>
      <c r="W494" s="9" t="str">
        <f t="shared" si="70"/>
        <v/>
      </c>
      <c r="X494" s="10">
        <f>SUM(V$13:V494)/COUNTA(B$13:B494)</f>
        <v>0</v>
      </c>
      <c r="Z494" s="5"/>
      <c r="AA494" s="5"/>
      <c r="AC494" s="7"/>
      <c r="AE494" s="54" t="e">
        <f t="shared" si="71"/>
        <v>#N/A</v>
      </c>
      <c r="AF494" s="4" t="e">
        <f t="shared" si="67"/>
        <v>#N/A</v>
      </c>
    </row>
    <row r="495" spans="2:32">
      <c r="B495" s="5">
        <f t="shared" si="72"/>
        <v>483</v>
      </c>
      <c r="C495" s="5"/>
      <c r="E495" s="13"/>
      <c r="F495" s="5"/>
      <c r="G495" s="11" t="str">
        <f>IF(ISERROR(AVERAGE(F$13:F495)),"n/a",AVERAGE(F$13:F495))</f>
        <v>n/a</v>
      </c>
      <c r="H495" s="11" t="str">
        <f t="shared" si="68"/>
        <v>n/a</v>
      </c>
      <c r="J495" s="5"/>
      <c r="K495" s="5"/>
      <c r="L495" s="5"/>
      <c r="M495" s="5"/>
      <c r="N495" s="5"/>
      <c r="O495" s="8" t="str">
        <f t="shared" si="66"/>
        <v>n/a</v>
      </c>
      <c r="Q495" s="5"/>
      <c r="R495" s="5"/>
      <c r="S495" s="5"/>
      <c r="U495" s="6"/>
      <c r="V495" s="9" t="str">
        <f t="shared" si="69"/>
        <v/>
      </c>
      <c r="W495" s="9" t="str">
        <f t="shared" si="70"/>
        <v/>
      </c>
      <c r="X495" s="10">
        <f>SUM(V$13:V495)/COUNTA(B$13:B495)</f>
        <v>0</v>
      </c>
      <c r="Z495" s="5"/>
      <c r="AA495" s="5"/>
      <c r="AC495" s="7"/>
      <c r="AE495" s="54" t="e">
        <f t="shared" si="71"/>
        <v>#N/A</v>
      </c>
      <c r="AF495" s="4" t="e">
        <f t="shared" si="67"/>
        <v>#N/A</v>
      </c>
    </row>
    <row r="496" spans="2:32">
      <c r="B496" s="5">
        <f t="shared" si="72"/>
        <v>484</v>
      </c>
      <c r="C496" s="5"/>
      <c r="E496" s="13"/>
      <c r="F496" s="5"/>
      <c r="G496" s="11" t="str">
        <f>IF(ISERROR(AVERAGE(F$13:F496)),"n/a",AVERAGE(F$13:F496))</f>
        <v>n/a</v>
      </c>
      <c r="H496" s="11" t="str">
        <f t="shared" si="68"/>
        <v>n/a</v>
      </c>
      <c r="J496" s="5"/>
      <c r="K496" s="5"/>
      <c r="L496" s="5"/>
      <c r="M496" s="5"/>
      <c r="N496" s="5"/>
      <c r="O496" s="8" t="str">
        <f t="shared" si="66"/>
        <v>n/a</v>
      </c>
      <c r="Q496" s="5"/>
      <c r="R496" s="5"/>
      <c r="S496" s="5"/>
      <c r="U496" s="6"/>
      <c r="V496" s="9" t="str">
        <f t="shared" si="69"/>
        <v/>
      </c>
      <c r="W496" s="9" t="str">
        <f t="shared" si="70"/>
        <v/>
      </c>
      <c r="X496" s="10">
        <f>SUM(V$13:V496)/COUNTA(B$13:B496)</f>
        <v>0</v>
      </c>
      <c r="Z496" s="5"/>
      <c r="AA496" s="5"/>
      <c r="AC496" s="7"/>
      <c r="AE496" s="54" t="e">
        <f t="shared" si="71"/>
        <v>#N/A</v>
      </c>
      <c r="AF496" s="4" t="e">
        <f t="shared" si="67"/>
        <v>#N/A</v>
      </c>
    </row>
    <row r="497" spans="2:32">
      <c r="B497" s="5">
        <f t="shared" si="72"/>
        <v>485</v>
      </c>
      <c r="C497" s="5"/>
      <c r="E497" s="13"/>
      <c r="F497" s="5"/>
      <c r="G497" s="11" t="str">
        <f>IF(ISERROR(AVERAGE(F$13:F497)),"n/a",AVERAGE(F$13:F497))</f>
        <v>n/a</v>
      </c>
      <c r="H497" s="11" t="str">
        <f t="shared" si="68"/>
        <v>n/a</v>
      </c>
      <c r="J497" s="5"/>
      <c r="K497" s="5"/>
      <c r="L497" s="5"/>
      <c r="M497" s="5"/>
      <c r="N497" s="5"/>
      <c r="O497" s="8" t="str">
        <f t="shared" si="66"/>
        <v>n/a</v>
      </c>
      <c r="Q497" s="5"/>
      <c r="R497" s="5"/>
      <c r="S497" s="5"/>
      <c r="U497" s="6"/>
      <c r="V497" s="9" t="str">
        <f t="shared" si="69"/>
        <v/>
      </c>
      <c r="W497" s="9" t="str">
        <f t="shared" si="70"/>
        <v/>
      </c>
      <c r="X497" s="10">
        <f>SUM(V$13:V497)/COUNTA(B$13:B497)</f>
        <v>0</v>
      </c>
      <c r="Z497" s="5"/>
      <c r="AA497" s="5"/>
      <c r="AC497" s="7"/>
      <c r="AE497" s="54" t="e">
        <f t="shared" si="71"/>
        <v>#N/A</v>
      </c>
      <c r="AF497" s="4" t="e">
        <f t="shared" si="67"/>
        <v>#N/A</v>
      </c>
    </row>
    <row r="498" spans="2:32">
      <c r="B498" s="5">
        <f t="shared" si="72"/>
        <v>486</v>
      </c>
      <c r="C498" s="5"/>
      <c r="E498" s="13"/>
      <c r="F498" s="5"/>
      <c r="G498" s="11" t="str">
        <f>IF(ISERROR(AVERAGE(F$13:F498)),"n/a",AVERAGE(F$13:F498))</f>
        <v>n/a</v>
      </c>
      <c r="H498" s="11" t="str">
        <f t="shared" si="68"/>
        <v>n/a</v>
      </c>
      <c r="J498" s="5"/>
      <c r="K498" s="5"/>
      <c r="L498" s="5"/>
      <c r="M498" s="5"/>
      <c r="N498" s="5"/>
      <c r="O498" s="8" t="str">
        <f t="shared" si="66"/>
        <v>n/a</v>
      </c>
      <c r="Q498" s="5"/>
      <c r="R498" s="5"/>
      <c r="S498" s="5"/>
      <c r="U498" s="6"/>
      <c r="V498" s="9" t="str">
        <f t="shared" si="69"/>
        <v/>
      </c>
      <c r="W498" s="9" t="str">
        <f t="shared" si="70"/>
        <v/>
      </c>
      <c r="X498" s="10">
        <f>SUM(V$13:V498)/COUNTA(B$13:B498)</f>
        <v>0</v>
      </c>
      <c r="Z498" s="5"/>
      <c r="AA498" s="5"/>
      <c r="AC498" s="7"/>
      <c r="AE498" s="54" t="e">
        <f t="shared" si="71"/>
        <v>#N/A</v>
      </c>
      <c r="AF498" s="4" t="e">
        <f t="shared" si="67"/>
        <v>#N/A</v>
      </c>
    </row>
    <row r="499" spans="2:32">
      <c r="B499" s="5">
        <f t="shared" si="72"/>
        <v>487</v>
      </c>
      <c r="C499" s="5"/>
      <c r="E499" s="13"/>
      <c r="F499" s="5"/>
      <c r="G499" s="11" t="str">
        <f>IF(ISERROR(AVERAGE(F$13:F499)),"n/a",AVERAGE(F$13:F499))</f>
        <v>n/a</v>
      </c>
      <c r="H499" s="11" t="str">
        <f t="shared" si="68"/>
        <v>n/a</v>
      </c>
      <c r="J499" s="5"/>
      <c r="K499" s="5"/>
      <c r="L499" s="5"/>
      <c r="M499" s="5"/>
      <c r="N499" s="5"/>
      <c r="O499" s="8" t="str">
        <f t="shared" si="66"/>
        <v>n/a</v>
      </c>
      <c r="Q499" s="5"/>
      <c r="R499" s="5"/>
      <c r="S499" s="5"/>
      <c r="U499" s="6"/>
      <c r="V499" s="9" t="str">
        <f t="shared" si="69"/>
        <v/>
      </c>
      <c r="W499" s="9" t="str">
        <f t="shared" si="70"/>
        <v/>
      </c>
      <c r="X499" s="10">
        <f>SUM(V$13:V499)/COUNTA(B$13:B499)</f>
        <v>0</v>
      </c>
      <c r="Z499" s="5"/>
      <c r="AA499" s="5"/>
      <c r="AC499" s="7"/>
      <c r="AE499" s="54" t="e">
        <f t="shared" si="71"/>
        <v>#N/A</v>
      </c>
      <c r="AF499" s="4" t="e">
        <f t="shared" si="67"/>
        <v>#N/A</v>
      </c>
    </row>
    <row r="500" spans="2:32">
      <c r="B500" s="5">
        <f t="shared" si="72"/>
        <v>488</v>
      </c>
      <c r="C500" s="5"/>
      <c r="E500" s="13"/>
      <c r="F500" s="5"/>
      <c r="G500" s="11" t="str">
        <f>IF(ISERROR(AVERAGE(F$13:F500)),"n/a",AVERAGE(F$13:F500))</f>
        <v>n/a</v>
      </c>
      <c r="H500" s="11" t="str">
        <f t="shared" si="68"/>
        <v>n/a</v>
      </c>
      <c r="J500" s="5"/>
      <c r="K500" s="5"/>
      <c r="L500" s="5"/>
      <c r="M500" s="5"/>
      <c r="N500" s="5"/>
      <c r="O500" s="8" t="str">
        <f t="shared" si="66"/>
        <v>n/a</v>
      </c>
      <c r="Q500" s="5"/>
      <c r="R500" s="5"/>
      <c r="S500" s="5"/>
      <c r="U500" s="6"/>
      <c r="V500" s="9" t="str">
        <f t="shared" si="69"/>
        <v/>
      </c>
      <c r="W500" s="9" t="str">
        <f t="shared" si="70"/>
        <v/>
      </c>
      <c r="X500" s="10">
        <f>SUM(V$13:V500)/COUNTA(B$13:B500)</f>
        <v>0</v>
      </c>
      <c r="Z500" s="5"/>
      <c r="AA500" s="5"/>
      <c r="AC500" s="7"/>
      <c r="AE500" s="54" t="e">
        <f t="shared" si="71"/>
        <v>#N/A</v>
      </c>
      <c r="AF500" s="4" t="e">
        <f t="shared" si="67"/>
        <v>#N/A</v>
      </c>
    </row>
    <row r="501" spans="2:32">
      <c r="B501" s="5">
        <f t="shared" si="72"/>
        <v>489</v>
      </c>
      <c r="C501" s="5"/>
      <c r="E501" s="13"/>
      <c r="F501" s="5"/>
      <c r="G501" s="11" t="str">
        <f>IF(ISERROR(AVERAGE(F$13:F501)),"n/a",AVERAGE(F$13:F501))</f>
        <v>n/a</v>
      </c>
      <c r="H501" s="11" t="str">
        <f t="shared" si="68"/>
        <v>n/a</v>
      </c>
      <c r="J501" s="5"/>
      <c r="K501" s="5"/>
      <c r="L501" s="5"/>
      <c r="M501" s="5"/>
      <c r="N501" s="5"/>
      <c r="O501" s="8" t="str">
        <f t="shared" si="66"/>
        <v>n/a</v>
      </c>
      <c r="Q501" s="5"/>
      <c r="R501" s="5"/>
      <c r="S501" s="5"/>
      <c r="U501" s="6"/>
      <c r="V501" s="9" t="str">
        <f t="shared" si="69"/>
        <v/>
      </c>
      <c r="W501" s="9" t="str">
        <f t="shared" si="70"/>
        <v/>
      </c>
      <c r="X501" s="10">
        <f>SUM(V$13:V501)/COUNTA(B$13:B501)</f>
        <v>0</v>
      </c>
      <c r="Z501" s="5"/>
      <c r="AA501" s="5"/>
      <c r="AC501" s="7"/>
      <c r="AE501" s="54" t="e">
        <f t="shared" si="71"/>
        <v>#N/A</v>
      </c>
      <c r="AF501" s="4" t="e">
        <f t="shared" si="67"/>
        <v>#N/A</v>
      </c>
    </row>
    <row r="502" spans="2:32">
      <c r="B502" s="5">
        <f t="shared" si="72"/>
        <v>490</v>
      </c>
      <c r="C502" s="5"/>
      <c r="E502" s="13"/>
      <c r="F502" s="5"/>
      <c r="G502" s="11" t="str">
        <f>IF(ISERROR(AVERAGE(F$13:F502)),"n/a",AVERAGE(F$13:F502))</f>
        <v>n/a</v>
      </c>
      <c r="H502" s="11" t="str">
        <f t="shared" si="68"/>
        <v>n/a</v>
      </c>
      <c r="J502" s="5"/>
      <c r="K502" s="5"/>
      <c r="L502" s="5"/>
      <c r="M502" s="5"/>
      <c r="N502" s="5"/>
      <c r="O502" s="8" t="str">
        <f t="shared" si="66"/>
        <v>n/a</v>
      </c>
      <c r="Q502" s="5"/>
      <c r="R502" s="5"/>
      <c r="S502" s="5"/>
      <c r="U502" s="6"/>
      <c r="V502" s="9" t="str">
        <f t="shared" si="69"/>
        <v/>
      </c>
      <c r="W502" s="9" t="str">
        <f t="shared" si="70"/>
        <v/>
      </c>
      <c r="X502" s="10">
        <f>SUM(V$13:V502)/COUNTA(B$13:B502)</f>
        <v>0</v>
      </c>
      <c r="Z502" s="5"/>
      <c r="AA502" s="5"/>
      <c r="AC502" s="7"/>
      <c r="AE502" s="54" t="e">
        <f t="shared" si="71"/>
        <v>#N/A</v>
      </c>
      <c r="AF502" s="4" t="e">
        <f t="shared" si="67"/>
        <v>#N/A</v>
      </c>
    </row>
    <row r="503" spans="2:32">
      <c r="B503" s="5">
        <f t="shared" si="72"/>
        <v>491</v>
      </c>
      <c r="C503" s="5"/>
      <c r="E503" s="13"/>
      <c r="F503" s="5"/>
      <c r="G503" s="11" t="str">
        <f>IF(ISERROR(AVERAGE(F$13:F503)),"n/a",AVERAGE(F$13:F503))</f>
        <v>n/a</v>
      </c>
      <c r="H503" s="11" t="str">
        <f t="shared" si="68"/>
        <v>n/a</v>
      </c>
      <c r="J503" s="5"/>
      <c r="K503" s="5"/>
      <c r="L503" s="5"/>
      <c r="M503" s="5"/>
      <c r="N503" s="5"/>
      <c r="O503" s="8" t="str">
        <f t="shared" si="66"/>
        <v>n/a</v>
      </c>
      <c r="Q503" s="5"/>
      <c r="R503" s="5"/>
      <c r="S503" s="5"/>
      <c r="U503" s="6"/>
      <c r="V503" s="9" t="str">
        <f t="shared" si="69"/>
        <v/>
      </c>
      <c r="W503" s="9" t="str">
        <f t="shared" si="70"/>
        <v/>
      </c>
      <c r="X503" s="10">
        <f>SUM(V$13:V503)/COUNTA(B$13:B503)</f>
        <v>0</v>
      </c>
      <c r="Z503" s="5"/>
      <c r="AA503" s="5"/>
      <c r="AC503" s="7"/>
      <c r="AE503" s="54" t="e">
        <f t="shared" si="71"/>
        <v>#N/A</v>
      </c>
      <c r="AF503" s="4" t="e">
        <f t="shared" si="67"/>
        <v>#N/A</v>
      </c>
    </row>
    <row r="504" spans="2:32">
      <c r="B504" s="5">
        <f t="shared" si="72"/>
        <v>492</v>
      </c>
      <c r="C504" s="5"/>
      <c r="E504" s="13"/>
      <c r="F504" s="5"/>
      <c r="G504" s="11" t="str">
        <f>IF(ISERROR(AVERAGE(F$13:F504)),"n/a",AVERAGE(F$13:F504))</f>
        <v>n/a</v>
      </c>
      <c r="H504" s="11" t="str">
        <f t="shared" si="68"/>
        <v>n/a</v>
      </c>
      <c r="J504" s="5"/>
      <c r="K504" s="5"/>
      <c r="L504" s="5"/>
      <c r="M504" s="5"/>
      <c r="N504" s="5"/>
      <c r="O504" s="8" t="str">
        <f t="shared" si="66"/>
        <v>n/a</v>
      </c>
      <c r="Q504" s="5"/>
      <c r="R504" s="5"/>
      <c r="S504" s="5"/>
      <c r="U504" s="6"/>
      <c r="V504" s="9" t="str">
        <f t="shared" si="69"/>
        <v/>
      </c>
      <c r="W504" s="9" t="str">
        <f t="shared" si="70"/>
        <v/>
      </c>
      <c r="X504" s="10">
        <f>SUM(V$13:V504)/COUNTA(B$13:B504)</f>
        <v>0</v>
      </c>
      <c r="Z504" s="5"/>
      <c r="AA504" s="5"/>
      <c r="AC504" s="7"/>
      <c r="AE504" s="54" t="e">
        <f t="shared" si="71"/>
        <v>#N/A</v>
      </c>
      <c r="AF504" s="4" t="e">
        <f t="shared" si="67"/>
        <v>#N/A</v>
      </c>
    </row>
    <row r="505" spans="2:32">
      <c r="B505" s="5">
        <f t="shared" si="72"/>
        <v>493</v>
      </c>
      <c r="C505" s="5"/>
      <c r="E505" s="13"/>
      <c r="F505" s="5"/>
      <c r="G505" s="11" t="str">
        <f>IF(ISERROR(AVERAGE(F$13:F505)),"n/a",AVERAGE(F$13:F505))</f>
        <v>n/a</v>
      </c>
      <c r="H505" s="11" t="str">
        <f t="shared" si="68"/>
        <v>n/a</v>
      </c>
      <c r="J505" s="5"/>
      <c r="K505" s="5"/>
      <c r="L505" s="5"/>
      <c r="M505" s="5"/>
      <c r="N505" s="5"/>
      <c r="O505" s="8" t="str">
        <f t="shared" si="66"/>
        <v>n/a</v>
      </c>
      <c r="Q505" s="5"/>
      <c r="R505" s="5"/>
      <c r="S505" s="5"/>
      <c r="U505" s="6"/>
      <c r="V505" s="9" t="str">
        <f t="shared" si="69"/>
        <v/>
      </c>
      <c r="W505" s="9" t="str">
        <f t="shared" si="70"/>
        <v/>
      </c>
      <c r="X505" s="10">
        <f>SUM(V$13:V505)/COUNTA(B$13:B505)</f>
        <v>0</v>
      </c>
      <c r="Z505" s="5"/>
      <c r="AA505" s="5"/>
      <c r="AC505" s="7"/>
      <c r="AE505" s="54" t="e">
        <f t="shared" si="71"/>
        <v>#N/A</v>
      </c>
      <c r="AF505" s="4" t="e">
        <f t="shared" si="67"/>
        <v>#N/A</v>
      </c>
    </row>
    <row r="506" spans="2:32">
      <c r="B506" s="5">
        <f t="shared" si="72"/>
        <v>494</v>
      </c>
      <c r="C506" s="5"/>
      <c r="E506" s="13"/>
      <c r="F506" s="5"/>
      <c r="G506" s="11" t="str">
        <f>IF(ISERROR(AVERAGE(F$13:F506)),"n/a",AVERAGE(F$13:F506))</f>
        <v>n/a</v>
      </c>
      <c r="H506" s="11" t="str">
        <f t="shared" si="68"/>
        <v>n/a</v>
      </c>
      <c r="J506" s="5"/>
      <c r="K506" s="5"/>
      <c r="L506" s="5"/>
      <c r="M506" s="5"/>
      <c r="N506" s="5"/>
      <c r="O506" s="8" t="str">
        <f t="shared" si="66"/>
        <v>n/a</v>
      </c>
      <c r="Q506" s="5"/>
      <c r="R506" s="5"/>
      <c r="S506" s="5"/>
      <c r="U506" s="6"/>
      <c r="V506" s="9" t="str">
        <f t="shared" si="69"/>
        <v/>
      </c>
      <c r="W506" s="9" t="str">
        <f t="shared" si="70"/>
        <v/>
      </c>
      <c r="X506" s="10">
        <f>SUM(V$13:V506)/COUNTA(B$13:B506)</f>
        <v>0</v>
      </c>
      <c r="Z506" s="5"/>
      <c r="AA506" s="5"/>
      <c r="AC506" s="7"/>
      <c r="AE506" s="54" t="e">
        <f t="shared" si="71"/>
        <v>#N/A</v>
      </c>
      <c r="AF506" s="4" t="e">
        <f t="shared" si="67"/>
        <v>#N/A</v>
      </c>
    </row>
    <row r="507" spans="2:32">
      <c r="B507" s="5">
        <f t="shared" si="72"/>
        <v>495</v>
      </c>
      <c r="C507" s="5"/>
      <c r="E507" s="13"/>
      <c r="F507" s="5"/>
      <c r="G507" s="11" t="str">
        <f>IF(ISERROR(AVERAGE(F$13:F507)),"n/a",AVERAGE(F$13:F507))</f>
        <v>n/a</v>
      </c>
      <c r="H507" s="11" t="str">
        <f t="shared" si="68"/>
        <v>n/a</v>
      </c>
      <c r="J507" s="5"/>
      <c r="K507" s="5"/>
      <c r="L507" s="5"/>
      <c r="M507" s="5"/>
      <c r="N507" s="5"/>
      <c r="O507" s="8" t="str">
        <f t="shared" si="66"/>
        <v>n/a</v>
      </c>
      <c r="Q507" s="5"/>
      <c r="R507" s="5"/>
      <c r="S507" s="5"/>
      <c r="U507" s="6"/>
      <c r="V507" s="9" t="str">
        <f t="shared" si="69"/>
        <v/>
      </c>
      <c r="W507" s="9" t="str">
        <f t="shared" si="70"/>
        <v/>
      </c>
      <c r="X507" s="10">
        <f>SUM(V$13:V507)/COUNTA(B$13:B507)</f>
        <v>0</v>
      </c>
      <c r="Z507" s="5"/>
      <c r="AA507" s="5"/>
      <c r="AC507" s="7"/>
      <c r="AE507" s="54" t="e">
        <f t="shared" si="71"/>
        <v>#N/A</v>
      </c>
      <c r="AF507" s="4" t="e">
        <f t="shared" si="67"/>
        <v>#N/A</v>
      </c>
    </row>
    <row r="508" spans="2:32">
      <c r="B508" s="5">
        <f t="shared" si="72"/>
        <v>496</v>
      </c>
      <c r="C508" s="5"/>
      <c r="E508" s="13"/>
      <c r="F508" s="5"/>
      <c r="G508" s="11" t="str">
        <f>IF(ISERROR(AVERAGE(F$13:F508)),"n/a",AVERAGE(F$13:F508))</f>
        <v>n/a</v>
      </c>
      <c r="H508" s="11" t="str">
        <f t="shared" si="68"/>
        <v>n/a</v>
      </c>
      <c r="J508" s="5"/>
      <c r="K508" s="5"/>
      <c r="L508" s="5"/>
      <c r="M508" s="5"/>
      <c r="N508" s="5"/>
      <c r="O508" s="8" t="str">
        <f t="shared" si="66"/>
        <v>n/a</v>
      </c>
      <c r="Q508" s="5"/>
      <c r="R508" s="5"/>
      <c r="S508" s="5"/>
      <c r="U508" s="6"/>
      <c r="V508" s="9" t="str">
        <f t="shared" si="69"/>
        <v/>
      </c>
      <c r="W508" s="9" t="str">
        <f t="shared" si="70"/>
        <v/>
      </c>
      <c r="X508" s="10">
        <f>SUM(V$13:V508)/COUNTA(B$13:B508)</f>
        <v>0</v>
      </c>
      <c r="Z508" s="5"/>
      <c r="AA508" s="5"/>
      <c r="AC508" s="7"/>
      <c r="AE508" s="54" t="e">
        <f t="shared" si="71"/>
        <v>#N/A</v>
      </c>
      <c r="AF508" s="4" t="e">
        <f t="shared" si="67"/>
        <v>#N/A</v>
      </c>
    </row>
    <row r="509" spans="2:32">
      <c r="B509" s="5">
        <f t="shared" si="72"/>
        <v>497</v>
      </c>
      <c r="C509" s="5"/>
      <c r="E509" s="13"/>
      <c r="F509" s="5"/>
      <c r="G509" s="11" t="str">
        <f>IF(ISERROR(AVERAGE(F$13:F509)),"n/a",AVERAGE(F$13:F509))</f>
        <v>n/a</v>
      </c>
      <c r="H509" s="11" t="str">
        <f t="shared" si="68"/>
        <v>n/a</v>
      </c>
      <c r="J509" s="5"/>
      <c r="K509" s="5"/>
      <c r="L509" s="5"/>
      <c r="M509" s="5"/>
      <c r="N509" s="5"/>
      <c r="O509" s="8" t="str">
        <f t="shared" si="66"/>
        <v>n/a</v>
      </c>
      <c r="Q509" s="5"/>
      <c r="R509" s="5"/>
      <c r="S509" s="5"/>
      <c r="U509" s="6"/>
      <c r="V509" s="9" t="str">
        <f t="shared" si="69"/>
        <v/>
      </c>
      <c r="W509" s="9" t="str">
        <f t="shared" si="70"/>
        <v/>
      </c>
      <c r="X509" s="10">
        <f>SUM(V$13:V509)/COUNTA(B$13:B509)</f>
        <v>0</v>
      </c>
      <c r="Z509" s="5"/>
      <c r="AA509" s="5"/>
      <c r="AC509" s="7"/>
      <c r="AE509" s="54" t="e">
        <f t="shared" si="71"/>
        <v>#N/A</v>
      </c>
      <c r="AF509" s="4" t="e">
        <f t="shared" si="67"/>
        <v>#N/A</v>
      </c>
    </row>
    <row r="510" spans="2:32">
      <c r="B510" s="5">
        <f t="shared" si="72"/>
        <v>498</v>
      </c>
      <c r="C510" s="5"/>
      <c r="E510" s="13"/>
      <c r="F510" s="5"/>
      <c r="G510" s="11" t="str">
        <f>IF(ISERROR(AVERAGE(F$13:F510)),"n/a",AVERAGE(F$13:F510))</f>
        <v>n/a</v>
      </c>
      <c r="H510" s="11" t="str">
        <f t="shared" si="68"/>
        <v>n/a</v>
      </c>
      <c r="J510" s="5"/>
      <c r="K510" s="5"/>
      <c r="L510" s="5"/>
      <c r="M510" s="5"/>
      <c r="N510" s="5"/>
      <c r="O510" s="8" t="str">
        <f t="shared" si="66"/>
        <v>n/a</v>
      </c>
      <c r="Q510" s="5"/>
      <c r="R510" s="5"/>
      <c r="S510" s="5"/>
      <c r="U510" s="6"/>
      <c r="V510" s="9" t="str">
        <f t="shared" si="69"/>
        <v/>
      </c>
      <c r="W510" s="9" t="str">
        <f t="shared" si="70"/>
        <v/>
      </c>
      <c r="X510" s="10">
        <f>SUM(V$13:V510)/COUNTA(B$13:B510)</f>
        <v>0</v>
      </c>
      <c r="Z510" s="5"/>
      <c r="AA510" s="5"/>
      <c r="AC510" s="7"/>
      <c r="AE510" s="54" t="e">
        <f t="shared" si="71"/>
        <v>#N/A</v>
      </c>
      <c r="AF510" s="4" t="e">
        <f t="shared" si="67"/>
        <v>#N/A</v>
      </c>
    </row>
    <row r="511" spans="2:32">
      <c r="B511" s="5">
        <f t="shared" si="72"/>
        <v>499</v>
      </c>
      <c r="C511" s="5"/>
      <c r="E511" s="13"/>
      <c r="F511" s="5"/>
      <c r="G511" s="11" t="str">
        <f>IF(ISERROR(AVERAGE(F$13:F511)),"n/a",AVERAGE(F$13:F511))</f>
        <v>n/a</v>
      </c>
      <c r="H511" s="11" t="str">
        <f t="shared" si="68"/>
        <v>n/a</v>
      </c>
      <c r="J511" s="5"/>
      <c r="K511" s="5"/>
      <c r="L511" s="5"/>
      <c r="M511" s="5"/>
      <c r="N511" s="5"/>
      <c r="O511" s="8" t="str">
        <f t="shared" si="66"/>
        <v>n/a</v>
      </c>
      <c r="Q511" s="5"/>
      <c r="R511" s="5"/>
      <c r="S511" s="5"/>
      <c r="U511" s="6"/>
      <c r="V511" s="9" t="str">
        <f t="shared" si="69"/>
        <v/>
      </c>
      <c r="W511" s="9" t="str">
        <f t="shared" si="70"/>
        <v/>
      </c>
      <c r="X511" s="10">
        <f>SUM(V$13:V511)/COUNTA(B$13:B511)</f>
        <v>0</v>
      </c>
      <c r="Z511" s="5"/>
      <c r="AA511" s="5"/>
      <c r="AC511" s="7"/>
      <c r="AE511" s="54" t="e">
        <f t="shared" si="71"/>
        <v>#N/A</v>
      </c>
      <c r="AF511" s="4" t="e">
        <f t="shared" si="67"/>
        <v>#N/A</v>
      </c>
    </row>
    <row r="512" spans="2:32">
      <c r="B512" s="5">
        <f t="shared" si="72"/>
        <v>500</v>
      </c>
      <c r="C512" s="5"/>
      <c r="E512" s="13"/>
      <c r="F512" s="5"/>
      <c r="G512" s="11" t="str">
        <f>IF(ISERROR(AVERAGE(F$13:F512)),"n/a",AVERAGE(F$13:F512))</f>
        <v>n/a</v>
      </c>
      <c r="H512" s="11" t="str">
        <f t="shared" si="68"/>
        <v>n/a</v>
      </c>
      <c r="J512" s="5"/>
      <c r="K512" s="5"/>
      <c r="L512" s="5"/>
      <c r="M512" s="5"/>
      <c r="N512" s="5"/>
      <c r="O512" s="8" t="str">
        <f t="shared" si="66"/>
        <v>n/a</v>
      </c>
      <c r="Q512" s="5"/>
      <c r="R512" s="5"/>
      <c r="S512" s="5"/>
      <c r="U512" s="6"/>
      <c r="V512" s="9" t="str">
        <f t="shared" si="69"/>
        <v/>
      </c>
      <c r="W512" s="9" t="str">
        <f t="shared" si="70"/>
        <v/>
      </c>
      <c r="X512" s="10">
        <f>SUM(V$13:V512)/COUNTA(B$13:B512)</f>
        <v>0</v>
      </c>
      <c r="Z512" s="5"/>
      <c r="AA512" s="5"/>
      <c r="AC512" s="7"/>
      <c r="AE512" s="54" t="e">
        <f t="shared" si="71"/>
        <v>#N/A</v>
      </c>
      <c r="AF512" s="4" t="e">
        <f t="shared" si="67"/>
        <v>#N/A</v>
      </c>
    </row>
    <row r="513" spans="2:32">
      <c r="B513" s="5">
        <f t="shared" si="72"/>
        <v>501</v>
      </c>
      <c r="C513" s="5"/>
      <c r="E513" s="13"/>
      <c r="F513" s="5"/>
      <c r="G513" s="11" t="str">
        <f>IF(ISERROR(AVERAGE(F$13:F513)),"n/a",AVERAGE(F$13:F513))</f>
        <v>n/a</v>
      </c>
      <c r="H513" s="11" t="str">
        <f t="shared" si="68"/>
        <v>n/a</v>
      </c>
      <c r="J513" s="5"/>
      <c r="K513" s="5"/>
      <c r="L513" s="5"/>
      <c r="M513" s="5"/>
      <c r="N513" s="5"/>
      <c r="O513" s="8" t="str">
        <f t="shared" si="66"/>
        <v>n/a</v>
      </c>
      <c r="Q513" s="5"/>
      <c r="R513" s="5"/>
      <c r="S513" s="5"/>
      <c r="U513" s="6"/>
      <c r="V513" s="9" t="str">
        <f t="shared" si="69"/>
        <v/>
      </c>
      <c r="W513" s="9" t="str">
        <f t="shared" si="70"/>
        <v/>
      </c>
      <c r="X513" s="10">
        <f>SUM(V$13:V513)/COUNTA(B$13:B513)</f>
        <v>0</v>
      </c>
      <c r="Z513" s="5"/>
      <c r="AA513" s="5"/>
      <c r="AC513" s="7"/>
      <c r="AE513" s="54" t="e">
        <f t="shared" si="71"/>
        <v>#N/A</v>
      </c>
      <c r="AF513" s="4" t="e">
        <f t="shared" si="67"/>
        <v>#N/A</v>
      </c>
    </row>
    <row r="514" spans="2:32">
      <c r="B514" s="5">
        <f t="shared" si="72"/>
        <v>502</v>
      </c>
      <c r="C514" s="5"/>
      <c r="E514" s="13"/>
      <c r="F514" s="5"/>
      <c r="G514" s="11" t="str">
        <f>IF(ISERROR(AVERAGE(F$13:F514)),"n/a",AVERAGE(F$13:F514))</f>
        <v>n/a</v>
      </c>
      <c r="H514" s="11" t="str">
        <f t="shared" si="68"/>
        <v>n/a</v>
      </c>
      <c r="J514" s="5"/>
      <c r="K514" s="5"/>
      <c r="L514" s="5"/>
      <c r="M514" s="5"/>
      <c r="N514" s="5"/>
      <c r="O514" s="8" t="str">
        <f t="shared" si="66"/>
        <v>n/a</v>
      </c>
      <c r="Q514" s="5"/>
      <c r="R514" s="5"/>
      <c r="S514" s="5"/>
      <c r="U514" s="6"/>
      <c r="V514" s="9" t="str">
        <f t="shared" si="69"/>
        <v/>
      </c>
      <c r="W514" s="9" t="str">
        <f t="shared" si="70"/>
        <v/>
      </c>
      <c r="X514" s="10">
        <f>SUM(V$13:V514)/COUNTA(B$13:B514)</f>
        <v>0</v>
      </c>
      <c r="Z514" s="5"/>
      <c r="AA514" s="5"/>
      <c r="AC514" s="7"/>
      <c r="AE514" s="54" t="e">
        <f t="shared" si="71"/>
        <v>#N/A</v>
      </c>
      <c r="AF514" s="4" t="e">
        <f t="shared" si="67"/>
        <v>#N/A</v>
      </c>
    </row>
    <row r="515" spans="2:32">
      <c r="B515" s="5">
        <f t="shared" si="72"/>
        <v>503</v>
      </c>
      <c r="C515" s="5"/>
      <c r="E515" s="13"/>
      <c r="F515" s="5"/>
      <c r="G515" s="11" t="str">
        <f>IF(ISERROR(AVERAGE(F$13:F515)),"n/a",AVERAGE(F$13:F515))</f>
        <v>n/a</v>
      </c>
      <c r="H515" s="11" t="str">
        <f t="shared" si="68"/>
        <v>n/a</v>
      </c>
      <c r="J515" s="5"/>
      <c r="K515" s="5"/>
      <c r="L515" s="5"/>
      <c r="M515" s="5"/>
      <c r="N515" s="5"/>
      <c r="O515" s="8" t="str">
        <f t="shared" si="66"/>
        <v>n/a</v>
      </c>
      <c r="Q515" s="5"/>
      <c r="R515" s="5"/>
      <c r="S515" s="5"/>
      <c r="U515" s="6"/>
      <c r="V515" s="9" t="str">
        <f t="shared" si="69"/>
        <v/>
      </c>
      <c r="W515" s="9" t="str">
        <f t="shared" si="70"/>
        <v/>
      </c>
      <c r="X515" s="10">
        <f>SUM(V$13:V515)/COUNTA(B$13:B515)</f>
        <v>0</v>
      </c>
      <c r="Z515" s="5"/>
      <c r="AA515" s="5"/>
      <c r="AC515" s="7"/>
      <c r="AE515" s="54" t="e">
        <f t="shared" si="71"/>
        <v>#N/A</v>
      </c>
      <c r="AF515" s="4" t="e">
        <f t="shared" si="67"/>
        <v>#N/A</v>
      </c>
    </row>
    <row r="516" spans="2:32">
      <c r="B516" s="5">
        <f t="shared" si="72"/>
        <v>504</v>
      </c>
      <c r="C516" s="5"/>
      <c r="E516" s="13"/>
      <c r="F516" s="5"/>
      <c r="G516" s="11" t="str">
        <f>IF(ISERROR(AVERAGE(F$13:F516)),"n/a",AVERAGE(F$13:F516))</f>
        <v>n/a</v>
      </c>
      <c r="H516" s="11" t="str">
        <f t="shared" si="68"/>
        <v>n/a</v>
      </c>
      <c r="J516" s="5"/>
      <c r="K516" s="5"/>
      <c r="L516" s="5"/>
      <c r="M516" s="5"/>
      <c r="N516" s="5"/>
      <c r="O516" s="8" t="str">
        <f t="shared" si="66"/>
        <v>n/a</v>
      </c>
      <c r="Q516" s="5"/>
      <c r="R516" s="5"/>
      <c r="S516" s="5"/>
      <c r="U516" s="6"/>
      <c r="V516" s="9" t="str">
        <f t="shared" si="69"/>
        <v/>
      </c>
      <c r="W516" s="9" t="str">
        <f t="shared" si="70"/>
        <v/>
      </c>
      <c r="X516" s="10">
        <f>SUM(V$13:V516)/COUNTA(B$13:B516)</f>
        <v>0</v>
      </c>
      <c r="Z516" s="5"/>
      <c r="AA516" s="5"/>
      <c r="AC516" s="7"/>
      <c r="AE516" s="54" t="e">
        <f t="shared" si="71"/>
        <v>#N/A</v>
      </c>
      <c r="AF516" s="4" t="e">
        <f t="shared" si="67"/>
        <v>#N/A</v>
      </c>
    </row>
    <row r="517" spans="2:32">
      <c r="B517" s="5">
        <f t="shared" si="72"/>
        <v>505</v>
      </c>
      <c r="C517" s="5"/>
      <c r="E517" s="13"/>
      <c r="F517" s="5"/>
      <c r="G517" s="11" t="str">
        <f>IF(ISERROR(AVERAGE(F$13:F517)),"n/a",AVERAGE(F$13:F517))</f>
        <v>n/a</v>
      </c>
      <c r="H517" s="11" t="str">
        <f t="shared" si="68"/>
        <v>n/a</v>
      </c>
      <c r="J517" s="5"/>
      <c r="K517" s="5"/>
      <c r="L517" s="5"/>
      <c r="M517" s="5"/>
      <c r="N517" s="5"/>
      <c r="O517" s="8" t="str">
        <f t="shared" si="66"/>
        <v>n/a</v>
      </c>
      <c r="Q517" s="5"/>
      <c r="R517" s="5"/>
      <c r="S517" s="5"/>
      <c r="U517" s="6"/>
      <c r="V517" s="9" t="str">
        <f t="shared" si="69"/>
        <v/>
      </c>
      <c r="W517" s="9" t="str">
        <f t="shared" si="70"/>
        <v/>
      </c>
      <c r="X517" s="10">
        <f>SUM(V$13:V517)/COUNTA(B$13:B517)</f>
        <v>0</v>
      </c>
      <c r="Z517" s="5"/>
      <c r="AA517" s="5"/>
      <c r="AC517" s="7"/>
      <c r="AE517" s="54" t="e">
        <f t="shared" si="71"/>
        <v>#N/A</v>
      </c>
      <c r="AF517" s="4" t="e">
        <f t="shared" si="67"/>
        <v>#N/A</v>
      </c>
    </row>
    <row r="518" spans="2:32">
      <c r="B518" s="5">
        <f t="shared" si="72"/>
        <v>506</v>
      </c>
      <c r="C518" s="5"/>
      <c r="E518" s="13"/>
      <c r="F518" s="5"/>
      <c r="G518" s="11" t="str">
        <f>IF(ISERROR(AVERAGE(F$13:F518)),"n/a",AVERAGE(F$13:F518))</f>
        <v>n/a</v>
      </c>
      <c r="H518" s="11" t="str">
        <f t="shared" si="68"/>
        <v>n/a</v>
      </c>
      <c r="J518" s="5"/>
      <c r="K518" s="5"/>
      <c r="L518" s="5"/>
      <c r="M518" s="5"/>
      <c r="N518" s="5"/>
      <c r="O518" s="8" t="str">
        <f t="shared" si="66"/>
        <v>n/a</v>
      </c>
      <c r="Q518" s="5"/>
      <c r="R518" s="5"/>
      <c r="S518" s="5"/>
      <c r="U518" s="6"/>
      <c r="V518" s="9" t="str">
        <f t="shared" si="69"/>
        <v/>
      </c>
      <c r="W518" s="9" t="str">
        <f t="shared" si="70"/>
        <v/>
      </c>
      <c r="X518" s="10">
        <f>SUM(V$13:V518)/COUNTA(B$13:B518)</f>
        <v>0</v>
      </c>
      <c r="Z518" s="5"/>
      <c r="AA518" s="5"/>
      <c r="AC518" s="7"/>
      <c r="AE518" s="54" t="e">
        <f t="shared" si="71"/>
        <v>#N/A</v>
      </c>
      <c r="AF518" s="4" t="e">
        <f t="shared" si="67"/>
        <v>#N/A</v>
      </c>
    </row>
    <row r="519" spans="2:32">
      <c r="B519" s="5">
        <f t="shared" si="72"/>
        <v>507</v>
      </c>
      <c r="C519" s="5"/>
      <c r="E519" s="13"/>
      <c r="F519" s="5"/>
      <c r="G519" s="11" t="str">
        <f>IF(ISERROR(AVERAGE(F$13:F519)),"n/a",AVERAGE(F$13:F519))</f>
        <v>n/a</v>
      </c>
      <c r="H519" s="11" t="str">
        <f t="shared" si="68"/>
        <v>n/a</v>
      </c>
      <c r="J519" s="5"/>
      <c r="K519" s="5"/>
      <c r="L519" s="5"/>
      <c r="M519" s="5"/>
      <c r="N519" s="5"/>
      <c r="O519" s="8" t="str">
        <f t="shared" si="66"/>
        <v>n/a</v>
      </c>
      <c r="Q519" s="5"/>
      <c r="R519" s="5"/>
      <c r="S519" s="5"/>
      <c r="U519" s="6"/>
      <c r="V519" s="9" t="str">
        <f t="shared" si="69"/>
        <v/>
      </c>
      <c r="W519" s="9" t="str">
        <f t="shared" si="70"/>
        <v/>
      </c>
      <c r="X519" s="10">
        <f>SUM(V$13:V519)/COUNTA(B$13:B519)</f>
        <v>0</v>
      </c>
      <c r="Z519" s="5"/>
      <c r="AA519" s="5"/>
      <c r="AC519" s="7"/>
      <c r="AE519" s="54" t="e">
        <f t="shared" si="71"/>
        <v>#N/A</v>
      </c>
      <c r="AF519" s="4" t="e">
        <f t="shared" si="67"/>
        <v>#N/A</v>
      </c>
    </row>
    <row r="520" spans="2:32">
      <c r="B520" s="5">
        <f t="shared" si="72"/>
        <v>508</v>
      </c>
      <c r="C520" s="5"/>
      <c r="E520" s="13"/>
      <c r="F520" s="5"/>
      <c r="G520" s="11" t="str">
        <f>IF(ISERROR(AVERAGE(F$13:F520)),"n/a",AVERAGE(F$13:F520))</f>
        <v>n/a</v>
      </c>
      <c r="H520" s="11" t="str">
        <f t="shared" si="68"/>
        <v>n/a</v>
      </c>
      <c r="J520" s="5"/>
      <c r="K520" s="5"/>
      <c r="L520" s="5"/>
      <c r="M520" s="5"/>
      <c r="N520" s="5"/>
      <c r="O520" s="8" t="str">
        <f t="shared" si="66"/>
        <v>n/a</v>
      </c>
      <c r="Q520" s="5"/>
      <c r="R520" s="5"/>
      <c r="S520" s="5"/>
      <c r="U520" s="6"/>
      <c r="V520" s="9" t="str">
        <f t="shared" si="69"/>
        <v/>
      </c>
      <c r="W520" s="9" t="str">
        <f t="shared" si="70"/>
        <v/>
      </c>
      <c r="X520" s="10">
        <f>SUM(V$13:V520)/COUNTA(B$13:B520)</f>
        <v>0</v>
      </c>
      <c r="Z520" s="5"/>
      <c r="AA520" s="5"/>
      <c r="AC520" s="7"/>
      <c r="AE520" s="54" t="e">
        <f t="shared" si="71"/>
        <v>#N/A</v>
      </c>
      <c r="AF520" s="4" t="e">
        <f t="shared" si="67"/>
        <v>#N/A</v>
      </c>
    </row>
    <row r="521" spans="2:32">
      <c r="B521" s="5">
        <f t="shared" si="72"/>
        <v>509</v>
      </c>
      <c r="C521" s="5"/>
      <c r="E521" s="13"/>
      <c r="F521" s="5"/>
      <c r="G521" s="11" t="str">
        <f>IF(ISERROR(AVERAGE(F$13:F521)),"n/a",AVERAGE(F$13:F521))</f>
        <v>n/a</v>
      </c>
      <c r="H521" s="11" t="str">
        <f t="shared" si="68"/>
        <v>n/a</v>
      </c>
      <c r="J521" s="5"/>
      <c r="K521" s="5"/>
      <c r="L521" s="5"/>
      <c r="M521" s="5"/>
      <c r="N521" s="5"/>
      <c r="O521" s="8" t="str">
        <f t="shared" si="66"/>
        <v>n/a</v>
      </c>
      <c r="Q521" s="5"/>
      <c r="R521" s="5"/>
      <c r="S521" s="5"/>
      <c r="U521" s="6"/>
      <c r="V521" s="9" t="str">
        <f t="shared" si="69"/>
        <v/>
      </c>
      <c r="W521" s="9" t="str">
        <f t="shared" si="70"/>
        <v/>
      </c>
      <c r="X521" s="10">
        <f>SUM(V$13:V521)/COUNTA(B$13:B521)</f>
        <v>0</v>
      </c>
      <c r="Z521" s="5"/>
      <c r="AA521" s="5"/>
      <c r="AC521" s="7"/>
      <c r="AE521" s="54" t="e">
        <f t="shared" si="71"/>
        <v>#N/A</v>
      </c>
      <c r="AF521" s="4" t="e">
        <f t="shared" si="67"/>
        <v>#N/A</v>
      </c>
    </row>
    <row r="522" spans="2:32">
      <c r="B522" s="5">
        <f t="shared" si="72"/>
        <v>510</v>
      </c>
      <c r="C522" s="5"/>
      <c r="E522" s="13"/>
      <c r="F522" s="5"/>
      <c r="G522" s="11" t="str">
        <f>IF(ISERROR(AVERAGE(F$13:F522)),"n/a",AVERAGE(F$13:F522))</f>
        <v>n/a</v>
      </c>
      <c r="H522" s="11" t="str">
        <f t="shared" si="68"/>
        <v>n/a</v>
      </c>
      <c r="J522" s="5"/>
      <c r="K522" s="5"/>
      <c r="L522" s="5"/>
      <c r="M522" s="5"/>
      <c r="N522" s="5"/>
      <c r="O522" s="8" t="str">
        <f t="shared" si="66"/>
        <v>n/a</v>
      </c>
      <c r="Q522" s="5"/>
      <c r="R522" s="5"/>
      <c r="S522" s="5"/>
      <c r="U522" s="6"/>
      <c r="V522" s="9" t="str">
        <f t="shared" si="69"/>
        <v/>
      </c>
      <c r="W522" s="9" t="str">
        <f t="shared" si="70"/>
        <v/>
      </c>
      <c r="X522" s="10">
        <f>SUM(V$13:V522)/COUNTA(B$13:B522)</f>
        <v>0</v>
      </c>
      <c r="Z522" s="5"/>
      <c r="AA522" s="5"/>
      <c r="AC522" s="7"/>
      <c r="AE522" s="54" t="e">
        <f t="shared" si="71"/>
        <v>#N/A</v>
      </c>
      <c r="AF522" s="4" t="e">
        <f t="shared" si="67"/>
        <v>#N/A</v>
      </c>
    </row>
    <row r="523" spans="2:32">
      <c r="B523" s="5">
        <f t="shared" si="72"/>
        <v>511</v>
      </c>
      <c r="C523" s="5"/>
      <c r="E523" s="13"/>
      <c r="F523" s="5"/>
      <c r="G523" s="11" t="str">
        <f>IF(ISERROR(AVERAGE(F$13:F523)),"n/a",AVERAGE(F$13:F523))</f>
        <v>n/a</v>
      </c>
      <c r="H523" s="11" t="str">
        <f t="shared" si="68"/>
        <v>n/a</v>
      </c>
      <c r="J523" s="5"/>
      <c r="K523" s="5"/>
      <c r="L523" s="5"/>
      <c r="M523" s="5"/>
      <c r="N523" s="5"/>
      <c r="O523" s="8" t="str">
        <f t="shared" si="66"/>
        <v>n/a</v>
      </c>
      <c r="Q523" s="5"/>
      <c r="R523" s="5"/>
      <c r="S523" s="5"/>
      <c r="U523" s="6"/>
      <c r="V523" s="9" t="str">
        <f t="shared" si="69"/>
        <v/>
      </c>
      <c r="W523" s="9" t="str">
        <f t="shared" si="70"/>
        <v/>
      </c>
      <c r="X523" s="10">
        <f>SUM(V$13:V523)/COUNTA(B$13:B523)</f>
        <v>0</v>
      </c>
      <c r="Z523" s="5"/>
      <c r="AA523" s="5"/>
      <c r="AC523" s="7"/>
      <c r="AE523" s="54" t="e">
        <f t="shared" si="71"/>
        <v>#N/A</v>
      </c>
      <c r="AF523" s="4" t="e">
        <f t="shared" si="67"/>
        <v>#N/A</v>
      </c>
    </row>
    <row r="524" spans="2:32">
      <c r="B524" s="5">
        <f t="shared" si="72"/>
        <v>512</v>
      </c>
      <c r="C524" s="5"/>
      <c r="E524" s="13"/>
      <c r="F524" s="5"/>
      <c r="G524" s="11" t="str">
        <f>IF(ISERROR(AVERAGE(F$13:F524)),"n/a",AVERAGE(F$13:F524))</f>
        <v>n/a</v>
      </c>
      <c r="H524" s="11" t="str">
        <f t="shared" si="68"/>
        <v>n/a</v>
      </c>
      <c r="J524" s="5"/>
      <c r="K524" s="5"/>
      <c r="L524" s="5"/>
      <c r="M524" s="5"/>
      <c r="N524" s="5"/>
      <c r="O524" s="8" t="str">
        <f t="shared" si="66"/>
        <v>n/a</v>
      </c>
      <c r="Q524" s="5"/>
      <c r="R524" s="5"/>
      <c r="S524" s="5"/>
      <c r="U524" s="6"/>
      <c r="V524" s="9" t="str">
        <f t="shared" si="69"/>
        <v/>
      </c>
      <c r="W524" s="9" t="str">
        <f t="shared" si="70"/>
        <v/>
      </c>
      <c r="X524" s="10">
        <f>SUM(V$13:V524)/COUNTA(B$13:B524)</f>
        <v>0</v>
      </c>
      <c r="Z524" s="5"/>
      <c r="AA524" s="5"/>
      <c r="AC524" s="7"/>
      <c r="AE524" s="54" t="e">
        <f t="shared" si="71"/>
        <v>#N/A</v>
      </c>
      <c r="AF524" s="4" t="e">
        <f t="shared" si="67"/>
        <v>#N/A</v>
      </c>
    </row>
    <row r="525" spans="2:32">
      <c r="B525" s="5">
        <f t="shared" si="72"/>
        <v>513</v>
      </c>
      <c r="C525" s="5"/>
      <c r="E525" s="13"/>
      <c r="F525" s="5"/>
      <c r="G525" s="11" t="str">
        <f>IF(ISERROR(AVERAGE(F$13:F525)),"n/a",AVERAGE(F$13:F525))</f>
        <v>n/a</v>
      </c>
      <c r="H525" s="11" t="str">
        <f t="shared" si="68"/>
        <v>n/a</v>
      </c>
      <c r="J525" s="5"/>
      <c r="K525" s="5"/>
      <c r="L525" s="5"/>
      <c r="M525" s="5"/>
      <c r="N525" s="5"/>
      <c r="O525" s="8" t="str">
        <f t="shared" ref="O525:O588" si="73">IF(J525=1,"A",IF(K525=1,"B",IF(L525=1,"C",IF(M525=1,"D",IF(N525=1,"E","n/a")))))</f>
        <v>n/a</v>
      </c>
      <c r="Q525" s="5"/>
      <c r="R525" s="5"/>
      <c r="S525" s="5"/>
      <c r="U525" s="6"/>
      <c r="V525" s="9" t="str">
        <f t="shared" si="69"/>
        <v/>
      </c>
      <c r="W525" s="9" t="str">
        <f t="shared" si="70"/>
        <v/>
      </c>
      <c r="X525" s="10">
        <f>SUM(V$13:V525)/COUNTA(B$13:B525)</f>
        <v>0</v>
      </c>
      <c r="Z525" s="5"/>
      <c r="AA525" s="5"/>
      <c r="AC525" s="7"/>
      <c r="AE525" s="54" t="e">
        <f t="shared" si="71"/>
        <v>#N/A</v>
      </c>
      <c r="AF525" s="4" t="e">
        <f t="shared" ref="AF525:AF588" si="74">HLOOKUP(C525,$K$6:$O$7,2,FALSE)</f>
        <v>#N/A</v>
      </c>
    </row>
    <row r="526" spans="2:32">
      <c r="B526" s="5">
        <f t="shared" si="72"/>
        <v>514</v>
      </c>
      <c r="C526" s="5"/>
      <c r="E526" s="13"/>
      <c r="F526" s="5"/>
      <c r="G526" s="11" t="str">
        <f>IF(ISERROR(AVERAGE(F$13:F526)),"n/a",AVERAGE(F$13:F526))</f>
        <v>n/a</v>
      </c>
      <c r="H526" s="11" t="str">
        <f t="shared" ref="H526:H589" si="75">G526</f>
        <v>n/a</v>
      </c>
      <c r="J526" s="5"/>
      <c r="K526" s="5"/>
      <c r="L526" s="5"/>
      <c r="M526" s="5"/>
      <c r="N526" s="5"/>
      <c r="O526" s="8" t="str">
        <f t="shared" si="73"/>
        <v>n/a</v>
      </c>
      <c r="Q526" s="5"/>
      <c r="R526" s="5"/>
      <c r="S526" s="5"/>
      <c r="U526" s="6"/>
      <c r="V526" s="9" t="str">
        <f t="shared" ref="V526:V589" si="76">IF(O526="n/a","",IF(O526=U526,1,""))</f>
        <v/>
      </c>
      <c r="W526" s="9" t="str">
        <f t="shared" ref="W526:W589" si="77">IF(O526="n/a","",IF(O526&lt;&gt;U526,1,""))</f>
        <v/>
      </c>
      <c r="X526" s="10">
        <f>SUM(V$13:V526)/COUNTA(B$13:B526)</f>
        <v>0</v>
      </c>
      <c r="Z526" s="5"/>
      <c r="AA526" s="5"/>
      <c r="AC526" s="7"/>
      <c r="AE526" s="54" t="e">
        <f t="shared" ref="AE526:AE589" si="78">+IF($F$4=0,0,IF(W526=1,1,IF(OR(R526*$F$8=1,S526*$F$9=1,F526&gt;=AF526),2,0)))</f>
        <v>#N/A</v>
      </c>
      <c r="AF526" s="4" t="e">
        <f t="shared" si="74"/>
        <v>#N/A</v>
      </c>
    </row>
    <row r="527" spans="2:32">
      <c r="B527" s="5">
        <f t="shared" si="72"/>
        <v>515</v>
      </c>
      <c r="C527" s="5"/>
      <c r="E527" s="13"/>
      <c r="F527" s="5"/>
      <c r="G527" s="11" t="str">
        <f>IF(ISERROR(AVERAGE(F$13:F527)),"n/a",AVERAGE(F$13:F527))</f>
        <v>n/a</v>
      </c>
      <c r="H527" s="11" t="str">
        <f t="shared" si="75"/>
        <v>n/a</v>
      </c>
      <c r="J527" s="5"/>
      <c r="K527" s="5"/>
      <c r="L527" s="5"/>
      <c r="M527" s="5"/>
      <c r="N527" s="5"/>
      <c r="O527" s="8" t="str">
        <f t="shared" si="73"/>
        <v>n/a</v>
      </c>
      <c r="Q527" s="5"/>
      <c r="R527" s="5"/>
      <c r="S527" s="5"/>
      <c r="U527" s="6"/>
      <c r="V527" s="9" t="str">
        <f t="shared" si="76"/>
        <v/>
      </c>
      <c r="W527" s="9" t="str">
        <f t="shared" si="77"/>
        <v/>
      </c>
      <c r="X527" s="10">
        <f>SUM(V$13:V527)/COUNTA(B$13:B527)</f>
        <v>0</v>
      </c>
      <c r="Z527" s="5"/>
      <c r="AA527" s="5"/>
      <c r="AC527" s="7"/>
      <c r="AE527" s="54" t="e">
        <f t="shared" si="78"/>
        <v>#N/A</v>
      </c>
      <c r="AF527" s="4" t="e">
        <f t="shared" si="74"/>
        <v>#N/A</v>
      </c>
    </row>
    <row r="528" spans="2:32">
      <c r="B528" s="5">
        <f t="shared" si="72"/>
        <v>516</v>
      </c>
      <c r="C528" s="5"/>
      <c r="E528" s="13"/>
      <c r="F528" s="5"/>
      <c r="G528" s="11" t="str">
        <f>IF(ISERROR(AVERAGE(F$13:F528)),"n/a",AVERAGE(F$13:F528))</f>
        <v>n/a</v>
      </c>
      <c r="H528" s="11" t="str">
        <f t="shared" si="75"/>
        <v>n/a</v>
      </c>
      <c r="J528" s="5"/>
      <c r="K528" s="5"/>
      <c r="L528" s="5"/>
      <c r="M528" s="5"/>
      <c r="N528" s="5"/>
      <c r="O528" s="8" t="str">
        <f t="shared" si="73"/>
        <v>n/a</v>
      </c>
      <c r="Q528" s="5"/>
      <c r="R528" s="5"/>
      <c r="S528" s="5"/>
      <c r="U528" s="6"/>
      <c r="V528" s="9" t="str">
        <f t="shared" si="76"/>
        <v/>
      </c>
      <c r="W528" s="9" t="str">
        <f t="shared" si="77"/>
        <v/>
      </c>
      <c r="X528" s="10">
        <f>SUM(V$13:V528)/COUNTA(B$13:B528)</f>
        <v>0</v>
      </c>
      <c r="Z528" s="5"/>
      <c r="AA528" s="5"/>
      <c r="AC528" s="7"/>
      <c r="AE528" s="54" t="e">
        <f t="shared" si="78"/>
        <v>#N/A</v>
      </c>
      <c r="AF528" s="4" t="e">
        <f t="shared" si="74"/>
        <v>#N/A</v>
      </c>
    </row>
    <row r="529" spans="2:32">
      <c r="B529" s="5">
        <f t="shared" si="72"/>
        <v>517</v>
      </c>
      <c r="C529" s="5"/>
      <c r="E529" s="13"/>
      <c r="F529" s="5"/>
      <c r="G529" s="11" t="str">
        <f>IF(ISERROR(AVERAGE(F$13:F529)),"n/a",AVERAGE(F$13:F529))</f>
        <v>n/a</v>
      </c>
      <c r="H529" s="11" t="str">
        <f t="shared" si="75"/>
        <v>n/a</v>
      </c>
      <c r="J529" s="5"/>
      <c r="K529" s="5"/>
      <c r="L529" s="5"/>
      <c r="M529" s="5"/>
      <c r="N529" s="5"/>
      <c r="O529" s="8" t="str">
        <f t="shared" si="73"/>
        <v>n/a</v>
      </c>
      <c r="Q529" s="5"/>
      <c r="R529" s="5"/>
      <c r="S529" s="5"/>
      <c r="U529" s="6"/>
      <c r="V529" s="9" t="str">
        <f t="shared" si="76"/>
        <v/>
      </c>
      <c r="W529" s="9" t="str">
        <f t="shared" si="77"/>
        <v/>
      </c>
      <c r="X529" s="10">
        <f>SUM(V$13:V529)/COUNTA(B$13:B529)</f>
        <v>0</v>
      </c>
      <c r="Z529" s="5"/>
      <c r="AA529" s="5"/>
      <c r="AC529" s="7"/>
      <c r="AE529" s="54" t="e">
        <f t="shared" si="78"/>
        <v>#N/A</v>
      </c>
      <c r="AF529" s="4" t="e">
        <f t="shared" si="74"/>
        <v>#N/A</v>
      </c>
    </row>
    <row r="530" spans="2:32">
      <c r="B530" s="5">
        <f t="shared" si="72"/>
        <v>518</v>
      </c>
      <c r="C530" s="5"/>
      <c r="E530" s="13"/>
      <c r="F530" s="5"/>
      <c r="G530" s="11" t="str">
        <f>IF(ISERROR(AVERAGE(F$13:F530)),"n/a",AVERAGE(F$13:F530))</f>
        <v>n/a</v>
      </c>
      <c r="H530" s="11" t="str">
        <f t="shared" si="75"/>
        <v>n/a</v>
      </c>
      <c r="J530" s="5"/>
      <c r="K530" s="5"/>
      <c r="L530" s="5"/>
      <c r="M530" s="5"/>
      <c r="N530" s="5"/>
      <c r="O530" s="8" t="str">
        <f t="shared" si="73"/>
        <v>n/a</v>
      </c>
      <c r="Q530" s="5"/>
      <c r="R530" s="5"/>
      <c r="S530" s="5"/>
      <c r="U530" s="6"/>
      <c r="V530" s="9" t="str">
        <f t="shared" si="76"/>
        <v/>
      </c>
      <c r="W530" s="9" t="str">
        <f t="shared" si="77"/>
        <v/>
      </c>
      <c r="X530" s="10">
        <f>SUM(V$13:V530)/COUNTA(B$13:B530)</f>
        <v>0</v>
      </c>
      <c r="Z530" s="5"/>
      <c r="AA530" s="5"/>
      <c r="AC530" s="7"/>
      <c r="AE530" s="54" t="e">
        <f t="shared" si="78"/>
        <v>#N/A</v>
      </c>
      <c r="AF530" s="4" t="e">
        <f t="shared" si="74"/>
        <v>#N/A</v>
      </c>
    </row>
    <row r="531" spans="2:32">
      <c r="B531" s="5">
        <f t="shared" ref="B531:B594" si="79">+B530+1</f>
        <v>519</v>
      </c>
      <c r="C531" s="5"/>
      <c r="E531" s="13"/>
      <c r="F531" s="5"/>
      <c r="G531" s="11" t="str">
        <f>IF(ISERROR(AVERAGE(F$13:F531)),"n/a",AVERAGE(F$13:F531))</f>
        <v>n/a</v>
      </c>
      <c r="H531" s="11" t="str">
        <f t="shared" si="75"/>
        <v>n/a</v>
      </c>
      <c r="J531" s="5"/>
      <c r="K531" s="5"/>
      <c r="L531" s="5"/>
      <c r="M531" s="5"/>
      <c r="N531" s="5"/>
      <c r="O531" s="8" t="str">
        <f t="shared" si="73"/>
        <v>n/a</v>
      </c>
      <c r="Q531" s="5"/>
      <c r="R531" s="5"/>
      <c r="S531" s="5"/>
      <c r="U531" s="6"/>
      <c r="V531" s="9" t="str">
        <f t="shared" si="76"/>
        <v/>
      </c>
      <c r="W531" s="9" t="str">
        <f t="shared" si="77"/>
        <v/>
      </c>
      <c r="X531" s="10">
        <f>SUM(V$13:V531)/COUNTA(B$13:B531)</f>
        <v>0</v>
      </c>
      <c r="Z531" s="5"/>
      <c r="AA531" s="5"/>
      <c r="AC531" s="7"/>
      <c r="AE531" s="54" t="e">
        <f t="shared" si="78"/>
        <v>#N/A</v>
      </c>
      <c r="AF531" s="4" t="e">
        <f t="shared" si="74"/>
        <v>#N/A</v>
      </c>
    </row>
    <row r="532" spans="2:32">
      <c r="B532" s="5">
        <f t="shared" si="79"/>
        <v>520</v>
      </c>
      <c r="C532" s="5"/>
      <c r="E532" s="13"/>
      <c r="F532" s="5"/>
      <c r="G532" s="11" t="str">
        <f>IF(ISERROR(AVERAGE(F$13:F532)),"n/a",AVERAGE(F$13:F532))</f>
        <v>n/a</v>
      </c>
      <c r="H532" s="11" t="str">
        <f t="shared" si="75"/>
        <v>n/a</v>
      </c>
      <c r="J532" s="5"/>
      <c r="K532" s="5"/>
      <c r="L532" s="5"/>
      <c r="M532" s="5"/>
      <c r="N532" s="5"/>
      <c r="O532" s="8" t="str">
        <f t="shared" si="73"/>
        <v>n/a</v>
      </c>
      <c r="Q532" s="5"/>
      <c r="R532" s="5"/>
      <c r="S532" s="5"/>
      <c r="U532" s="6"/>
      <c r="V532" s="9" t="str">
        <f t="shared" si="76"/>
        <v/>
      </c>
      <c r="W532" s="9" t="str">
        <f t="shared" si="77"/>
        <v/>
      </c>
      <c r="X532" s="10">
        <f>SUM(V$13:V532)/COUNTA(B$13:B532)</f>
        <v>0</v>
      </c>
      <c r="Z532" s="5"/>
      <c r="AA532" s="5"/>
      <c r="AC532" s="7"/>
      <c r="AE532" s="54" t="e">
        <f t="shared" si="78"/>
        <v>#N/A</v>
      </c>
      <c r="AF532" s="4" t="e">
        <f t="shared" si="74"/>
        <v>#N/A</v>
      </c>
    </row>
    <row r="533" spans="2:32">
      <c r="B533" s="5">
        <f t="shared" si="79"/>
        <v>521</v>
      </c>
      <c r="C533" s="5"/>
      <c r="E533" s="13"/>
      <c r="F533" s="5"/>
      <c r="G533" s="11" t="str">
        <f>IF(ISERROR(AVERAGE(F$13:F533)),"n/a",AVERAGE(F$13:F533))</f>
        <v>n/a</v>
      </c>
      <c r="H533" s="11" t="str">
        <f t="shared" si="75"/>
        <v>n/a</v>
      </c>
      <c r="J533" s="5"/>
      <c r="K533" s="5"/>
      <c r="L533" s="5"/>
      <c r="M533" s="5"/>
      <c r="N533" s="5"/>
      <c r="O533" s="8" t="str">
        <f t="shared" si="73"/>
        <v>n/a</v>
      </c>
      <c r="Q533" s="5"/>
      <c r="R533" s="5"/>
      <c r="S533" s="5"/>
      <c r="U533" s="6"/>
      <c r="V533" s="9" t="str">
        <f t="shared" si="76"/>
        <v/>
      </c>
      <c r="W533" s="9" t="str">
        <f t="shared" si="77"/>
        <v/>
      </c>
      <c r="X533" s="10">
        <f>SUM(V$13:V533)/COUNTA(B$13:B533)</f>
        <v>0</v>
      </c>
      <c r="Z533" s="5"/>
      <c r="AA533" s="5"/>
      <c r="AC533" s="7"/>
      <c r="AE533" s="54" t="e">
        <f t="shared" si="78"/>
        <v>#N/A</v>
      </c>
      <c r="AF533" s="4" t="e">
        <f t="shared" si="74"/>
        <v>#N/A</v>
      </c>
    </row>
    <row r="534" spans="2:32">
      <c r="B534" s="5">
        <f t="shared" si="79"/>
        <v>522</v>
      </c>
      <c r="C534" s="5"/>
      <c r="E534" s="13"/>
      <c r="F534" s="5"/>
      <c r="G534" s="11" t="str">
        <f>IF(ISERROR(AVERAGE(F$13:F534)),"n/a",AVERAGE(F$13:F534))</f>
        <v>n/a</v>
      </c>
      <c r="H534" s="11" t="str">
        <f t="shared" si="75"/>
        <v>n/a</v>
      </c>
      <c r="J534" s="5"/>
      <c r="K534" s="5"/>
      <c r="L534" s="5"/>
      <c r="M534" s="5"/>
      <c r="N534" s="5"/>
      <c r="O534" s="8" t="str">
        <f t="shared" si="73"/>
        <v>n/a</v>
      </c>
      <c r="Q534" s="5"/>
      <c r="R534" s="5"/>
      <c r="S534" s="5"/>
      <c r="U534" s="6"/>
      <c r="V534" s="9" t="str">
        <f t="shared" si="76"/>
        <v/>
      </c>
      <c r="W534" s="9" t="str">
        <f t="shared" si="77"/>
        <v/>
      </c>
      <c r="X534" s="10">
        <f>SUM(V$13:V534)/COUNTA(B$13:B534)</f>
        <v>0</v>
      </c>
      <c r="Z534" s="5"/>
      <c r="AA534" s="5"/>
      <c r="AC534" s="7"/>
      <c r="AE534" s="54" t="e">
        <f t="shared" si="78"/>
        <v>#N/A</v>
      </c>
      <c r="AF534" s="4" t="e">
        <f t="shared" si="74"/>
        <v>#N/A</v>
      </c>
    </row>
    <row r="535" spans="2:32">
      <c r="B535" s="5">
        <f t="shared" si="79"/>
        <v>523</v>
      </c>
      <c r="C535" s="5"/>
      <c r="E535" s="13"/>
      <c r="F535" s="5"/>
      <c r="G535" s="11" t="str">
        <f>IF(ISERROR(AVERAGE(F$13:F535)),"n/a",AVERAGE(F$13:F535))</f>
        <v>n/a</v>
      </c>
      <c r="H535" s="11" t="str">
        <f t="shared" si="75"/>
        <v>n/a</v>
      </c>
      <c r="J535" s="5"/>
      <c r="K535" s="5"/>
      <c r="L535" s="5"/>
      <c r="M535" s="5"/>
      <c r="N535" s="5"/>
      <c r="O535" s="8" t="str">
        <f t="shared" si="73"/>
        <v>n/a</v>
      </c>
      <c r="Q535" s="5"/>
      <c r="R535" s="5"/>
      <c r="S535" s="5"/>
      <c r="U535" s="6"/>
      <c r="V535" s="9" t="str">
        <f t="shared" si="76"/>
        <v/>
      </c>
      <c r="W535" s="9" t="str">
        <f t="shared" si="77"/>
        <v/>
      </c>
      <c r="X535" s="10">
        <f>SUM(V$13:V535)/COUNTA(B$13:B535)</f>
        <v>0</v>
      </c>
      <c r="Z535" s="5"/>
      <c r="AA535" s="5"/>
      <c r="AC535" s="7"/>
      <c r="AE535" s="54" t="e">
        <f t="shared" si="78"/>
        <v>#N/A</v>
      </c>
      <c r="AF535" s="4" t="e">
        <f t="shared" si="74"/>
        <v>#N/A</v>
      </c>
    </row>
    <row r="536" spans="2:32">
      <c r="B536" s="5">
        <f t="shared" si="79"/>
        <v>524</v>
      </c>
      <c r="C536" s="5"/>
      <c r="E536" s="13"/>
      <c r="F536" s="5"/>
      <c r="G536" s="11" t="str">
        <f>IF(ISERROR(AVERAGE(F$13:F536)),"n/a",AVERAGE(F$13:F536))</f>
        <v>n/a</v>
      </c>
      <c r="H536" s="11" t="str">
        <f t="shared" si="75"/>
        <v>n/a</v>
      </c>
      <c r="J536" s="5"/>
      <c r="K536" s="5"/>
      <c r="L536" s="5"/>
      <c r="M536" s="5"/>
      <c r="N536" s="5"/>
      <c r="O536" s="8" t="str">
        <f t="shared" si="73"/>
        <v>n/a</v>
      </c>
      <c r="Q536" s="5"/>
      <c r="R536" s="5"/>
      <c r="S536" s="5"/>
      <c r="U536" s="6"/>
      <c r="V536" s="9" t="str">
        <f t="shared" si="76"/>
        <v/>
      </c>
      <c r="W536" s="9" t="str">
        <f t="shared" si="77"/>
        <v/>
      </c>
      <c r="X536" s="10">
        <f>SUM(V$13:V536)/COUNTA(B$13:B536)</f>
        <v>0</v>
      </c>
      <c r="Z536" s="5"/>
      <c r="AA536" s="5"/>
      <c r="AC536" s="7"/>
      <c r="AE536" s="54" t="e">
        <f t="shared" si="78"/>
        <v>#N/A</v>
      </c>
      <c r="AF536" s="4" t="e">
        <f t="shared" si="74"/>
        <v>#N/A</v>
      </c>
    </row>
    <row r="537" spans="2:32">
      <c r="B537" s="5">
        <f t="shared" si="79"/>
        <v>525</v>
      </c>
      <c r="C537" s="5"/>
      <c r="E537" s="13"/>
      <c r="F537" s="5"/>
      <c r="G537" s="11" t="str">
        <f>IF(ISERROR(AVERAGE(F$13:F537)),"n/a",AVERAGE(F$13:F537))</f>
        <v>n/a</v>
      </c>
      <c r="H537" s="11" t="str">
        <f t="shared" si="75"/>
        <v>n/a</v>
      </c>
      <c r="J537" s="5"/>
      <c r="K537" s="5"/>
      <c r="L537" s="5"/>
      <c r="M537" s="5"/>
      <c r="N537" s="5"/>
      <c r="O537" s="8" t="str">
        <f t="shared" si="73"/>
        <v>n/a</v>
      </c>
      <c r="Q537" s="5"/>
      <c r="R537" s="5"/>
      <c r="S537" s="5"/>
      <c r="U537" s="6"/>
      <c r="V537" s="9" t="str">
        <f t="shared" si="76"/>
        <v/>
      </c>
      <c r="W537" s="9" t="str">
        <f t="shared" si="77"/>
        <v/>
      </c>
      <c r="X537" s="10">
        <f>SUM(V$13:V537)/COUNTA(B$13:B537)</f>
        <v>0</v>
      </c>
      <c r="Z537" s="5"/>
      <c r="AA537" s="5"/>
      <c r="AC537" s="7"/>
      <c r="AE537" s="54" t="e">
        <f t="shared" si="78"/>
        <v>#N/A</v>
      </c>
      <c r="AF537" s="4" t="e">
        <f t="shared" si="74"/>
        <v>#N/A</v>
      </c>
    </row>
    <row r="538" spans="2:32">
      <c r="B538" s="5">
        <f t="shared" si="79"/>
        <v>526</v>
      </c>
      <c r="C538" s="5"/>
      <c r="E538" s="13"/>
      <c r="F538" s="5"/>
      <c r="G538" s="11" t="str">
        <f>IF(ISERROR(AVERAGE(F$13:F538)),"n/a",AVERAGE(F$13:F538))</f>
        <v>n/a</v>
      </c>
      <c r="H538" s="11" t="str">
        <f t="shared" si="75"/>
        <v>n/a</v>
      </c>
      <c r="J538" s="5"/>
      <c r="K538" s="5"/>
      <c r="L538" s="5"/>
      <c r="M538" s="5"/>
      <c r="N538" s="5"/>
      <c r="O538" s="8" t="str">
        <f t="shared" si="73"/>
        <v>n/a</v>
      </c>
      <c r="Q538" s="5"/>
      <c r="R538" s="5"/>
      <c r="S538" s="5"/>
      <c r="U538" s="6"/>
      <c r="V538" s="9" t="str">
        <f t="shared" si="76"/>
        <v/>
      </c>
      <c r="W538" s="9" t="str">
        <f t="shared" si="77"/>
        <v/>
      </c>
      <c r="X538" s="10">
        <f>SUM(V$13:V538)/COUNTA(B$13:B538)</f>
        <v>0</v>
      </c>
      <c r="Z538" s="5"/>
      <c r="AA538" s="5"/>
      <c r="AC538" s="7"/>
      <c r="AE538" s="54" t="e">
        <f t="shared" si="78"/>
        <v>#N/A</v>
      </c>
      <c r="AF538" s="4" t="e">
        <f t="shared" si="74"/>
        <v>#N/A</v>
      </c>
    </row>
    <row r="539" spans="2:32">
      <c r="B539" s="5">
        <f t="shared" si="79"/>
        <v>527</v>
      </c>
      <c r="C539" s="5"/>
      <c r="E539" s="13"/>
      <c r="F539" s="5"/>
      <c r="G539" s="11" t="str">
        <f>IF(ISERROR(AVERAGE(F$13:F539)),"n/a",AVERAGE(F$13:F539))</f>
        <v>n/a</v>
      </c>
      <c r="H539" s="11" t="str">
        <f t="shared" si="75"/>
        <v>n/a</v>
      </c>
      <c r="J539" s="5"/>
      <c r="K539" s="5"/>
      <c r="L539" s="5"/>
      <c r="M539" s="5"/>
      <c r="N539" s="5"/>
      <c r="O539" s="8" t="str">
        <f t="shared" si="73"/>
        <v>n/a</v>
      </c>
      <c r="Q539" s="5"/>
      <c r="R539" s="5"/>
      <c r="S539" s="5"/>
      <c r="U539" s="6"/>
      <c r="V539" s="9" t="str">
        <f t="shared" si="76"/>
        <v/>
      </c>
      <c r="W539" s="9" t="str">
        <f t="shared" si="77"/>
        <v/>
      </c>
      <c r="X539" s="10">
        <f>SUM(V$13:V539)/COUNTA(B$13:B539)</f>
        <v>0</v>
      </c>
      <c r="Z539" s="5"/>
      <c r="AA539" s="5"/>
      <c r="AC539" s="7"/>
      <c r="AE539" s="54" t="e">
        <f t="shared" si="78"/>
        <v>#N/A</v>
      </c>
      <c r="AF539" s="4" t="e">
        <f t="shared" si="74"/>
        <v>#N/A</v>
      </c>
    </row>
    <row r="540" spans="2:32">
      <c r="B540" s="5">
        <f t="shared" si="79"/>
        <v>528</v>
      </c>
      <c r="C540" s="5"/>
      <c r="E540" s="13"/>
      <c r="F540" s="5"/>
      <c r="G540" s="11" t="str">
        <f>IF(ISERROR(AVERAGE(F$13:F540)),"n/a",AVERAGE(F$13:F540))</f>
        <v>n/a</v>
      </c>
      <c r="H540" s="11" t="str">
        <f t="shared" si="75"/>
        <v>n/a</v>
      </c>
      <c r="J540" s="5"/>
      <c r="K540" s="5"/>
      <c r="L540" s="5"/>
      <c r="M540" s="5"/>
      <c r="N540" s="5"/>
      <c r="O540" s="8" t="str">
        <f t="shared" si="73"/>
        <v>n/a</v>
      </c>
      <c r="Q540" s="5"/>
      <c r="R540" s="5"/>
      <c r="S540" s="5"/>
      <c r="U540" s="6"/>
      <c r="V540" s="9" t="str">
        <f t="shared" si="76"/>
        <v/>
      </c>
      <c r="W540" s="9" t="str">
        <f t="shared" si="77"/>
        <v/>
      </c>
      <c r="X540" s="10">
        <f>SUM(V$13:V540)/COUNTA(B$13:B540)</f>
        <v>0</v>
      </c>
      <c r="Z540" s="5"/>
      <c r="AA540" s="5"/>
      <c r="AC540" s="7"/>
      <c r="AE540" s="54" t="e">
        <f t="shared" si="78"/>
        <v>#N/A</v>
      </c>
      <c r="AF540" s="4" t="e">
        <f t="shared" si="74"/>
        <v>#N/A</v>
      </c>
    </row>
    <row r="541" spans="2:32">
      <c r="B541" s="5">
        <f t="shared" si="79"/>
        <v>529</v>
      </c>
      <c r="C541" s="5"/>
      <c r="E541" s="13"/>
      <c r="F541" s="5"/>
      <c r="G541" s="11" t="str">
        <f>IF(ISERROR(AVERAGE(F$13:F541)),"n/a",AVERAGE(F$13:F541))</f>
        <v>n/a</v>
      </c>
      <c r="H541" s="11" t="str">
        <f t="shared" si="75"/>
        <v>n/a</v>
      </c>
      <c r="J541" s="5"/>
      <c r="K541" s="5"/>
      <c r="L541" s="5"/>
      <c r="M541" s="5"/>
      <c r="N541" s="5"/>
      <c r="O541" s="8" t="str">
        <f t="shared" si="73"/>
        <v>n/a</v>
      </c>
      <c r="Q541" s="5"/>
      <c r="R541" s="5"/>
      <c r="S541" s="5"/>
      <c r="U541" s="6"/>
      <c r="V541" s="9" t="str">
        <f t="shared" si="76"/>
        <v/>
      </c>
      <c r="W541" s="9" t="str">
        <f t="shared" si="77"/>
        <v/>
      </c>
      <c r="X541" s="10">
        <f>SUM(V$13:V541)/COUNTA(B$13:B541)</f>
        <v>0</v>
      </c>
      <c r="Z541" s="5"/>
      <c r="AA541" s="5"/>
      <c r="AC541" s="7"/>
      <c r="AE541" s="54" t="e">
        <f t="shared" si="78"/>
        <v>#N/A</v>
      </c>
      <c r="AF541" s="4" t="e">
        <f t="shared" si="74"/>
        <v>#N/A</v>
      </c>
    </row>
    <row r="542" spans="2:32">
      <c r="B542" s="5">
        <f t="shared" si="79"/>
        <v>530</v>
      </c>
      <c r="C542" s="5"/>
      <c r="E542" s="13"/>
      <c r="F542" s="5"/>
      <c r="G542" s="11" t="str">
        <f>IF(ISERROR(AVERAGE(F$13:F542)),"n/a",AVERAGE(F$13:F542))</f>
        <v>n/a</v>
      </c>
      <c r="H542" s="11" t="str">
        <f t="shared" si="75"/>
        <v>n/a</v>
      </c>
      <c r="J542" s="5"/>
      <c r="K542" s="5"/>
      <c r="L542" s="5"/>
      <c r="M542" s="5"/>
      <c r="N542" s="5"/>
      <c r="O542" s="8" t="str">
        <f t="shared" si="73"/>
        <v>n/a</v>
      </c>
      <c r="Q542" s="5"/>
      <c r="R542" s="5"/>
      <c r="S542" s="5"/>
      <c r="U542" s="6"/>
      <c r="V542" s="9" t="str">
        <f t="shared" si="76"/>
        <v/>
      </c>
      <c r="W542" s="9" t="str">
        <f t="shared" si="77"/>
        <v/>
      </c>
      <c r="X542" s="10">
        <f>SUM(V$13:V542)/COUNTA(B$13:B542)</f>
        <v>0</v>
      </c>
      <c r="Z542" s="5"/>
      <c r="AA542" s="5"/>
      <c r="AC542" s="7"/>
      <c r="AE542" s="54" t="e">
        <f t="shared" si="78"/>
        <v>#N/A</v>
      </c>
      <c r="AF542" s="4" t="e">
        <f t="shared" si="74"/>
        <v>#N/A</v>
      </c>
    </row>
    <row r="543" spans="2:32">
      <c r="B543" s="5">
        <f t="shared" si="79"/>
        <v>531</v>
      </c>
      <c r="C543" s="5"/>
      <c r="E543" s="13"/>
      <c r="F543" s="5"/>
      <c r="G543" s="11" t="str">
        <f>IF(ISERROR(AVERAGE(F$13:F543)),"n/a",AVERAGE(F$13:F543))</f>
        <v>n/a</v>
      </c>
      <c r="H543" s="11" t="str">
        <f t="shared" si="75"/>
        <v>n/a</v>
      </c>
      <c r="J543" s="5"/>
      <c r="K543" s="5"/>
      <c r="L543" s="5"/>
      <c r="M543" s="5"/>
      <c r="N543" s="5"/>
      <c r="O543" s="8" t="str">
        <f t="shared" si="73"/>
        <v>n/a</v>
      </c>
      <c r="Q543" s="5"/>
      <c r="R543" s="5"/>
      <c r="S543" s="5"/>
      <c r="U543" s="6"/>
      <c r="V543" s="9" t="str">
        <f t="shared" si="76"/>
        <v/>
      </c>
      <c r="W543" s="9" t="str">
        <f t="shared" si="77"/>
        <v/>
      </c>
      <c r="X543" s="10">
        <f>SUM(V$13:V543)/COUNTA(B$13:B543)</f>
        <v>0</v>
      </c>
      <c r="Z543" s="5"/>
      <c r="AA543" s="5"/>
      <c r="AC543" s="7"/>
      <c r="AE543" s="54" t="e">
        <f t="shared" si="78"/>
        <v>#N/A</v>
      </c>
      <c r="AF543" s="4" t="e">
        <f t="shared" si="74"/>
        <v>#N/A</v>
      </c>
    </row>
    <row r="544" spans="2:32">
      <c r="B544" s="5">
        <f t="shared" si="79"/>
        <v>532</v>
      </c>
      <c r="C544" s="5"/>
      <c r="E544" s="13"/>
      <c r="F544" s="5"/>
      <c r="G544" s="11" t="str">
        <f>IF(ISERROR(AVERAGE(F$13:F544)),"n/a",AVERAGE(F$13:F544))</f>
        <v>n/a</v>
      </c>
      <c r="H544" s="11" t="str">
        <f t="shared" si="75"/>
        <v>n/a</v>
      </c>
      <c r="J544" s="5"/>
      <c r="K544" s="5"/>
      <c r="L544" s="5"/>
      <c r="M544" s="5"/>
      <c r="N544" s="5"/>
      <c r="O544" s="8" t="str">
        <f t="shared" si="73"/>
        <v>n/a</v>
      </c>
      <c r="Q544" s="5"/>
      <c r="R544" s="5"/>
      <c r="S544" s="5"/>
      <c r="U544" s="6"/>
      <c r="V544" s="9" t="str">
        <f t="shared" si="76"/>
        <v/>
      </c>
      <c r="W544" s="9" t="str">
        <f t="shared" si="77"/>
        <v/>
      </c>
      <c r="X544" s="10">
        <f>SUM(V$13:V544)/COUNTA(B$13:B544)</f>
        <v>0</v>
      </c>
      <c r="Z544" s="5"/>
      <c r="AA544" s="5"/>
      <c r="AC544" s="7"/>
      <c r="AE544" s="54" t="e">
        <f t="shared" si="78"/>
        <v>#N/A</v>
      </c>
      <c r="AF544" s="4" t="e">
        <f t="shared" si="74"/>
        <v>#N/A</v>
      </c>
    </row>
    <row r="545" spans="2:32">
      <c r="B545" s="5">
        <f t="shared" si="79"/>
        <v>533</v>
      </c>
      <c r="C545" s="5"/>
      <c r="E545" s="13"/>
      <c r="F545" s="5"/>
      <c r="G545" s="11" t="str">
        <f>IF(ISERROR(AVERAGE(F$13:F545)),"n/a",AVERAGE(F$13:F545))</f>
        <v>n/a</v>
      </c>
      <c r="H545" s="11" t="str">
        <f t="shared" si="75"/>
        <v>n/a</v>
      </c>
      <c r="J545" s="5"/>
      <c r="K545" s="5"/>
      <c r="L545" s="5"/>
      <c r="M545" s="5"/>
      <c r="N545" s="5"/>
      <c r="O545" s="8" t="str">
        <f t="shared" si="73"/>
        <v>n/a</v>
      </c>
      <c r="Q545" s="5"/>
      <c r="R545" s="5"/>
      <c r="S545" s="5"/>
      <c r="U545" s="6"/>
      <c r="V545" s="9" t="str">
        <f t="shared" si="76"/>
        <v/>
      </c>
      <c r="W545" s="9" t="str">
        <f t="shared" si="77"/>
        <v/>
      </c>
      <c r="X545" s="10">
        <f>SUM(V$13:V545)/COUNTA(B$13:B545)</f>
        <v>0</v>
      </c>
      <c r="Z545" s="5"/>
      <c r="AA545" s="5"/>
      <c r="AC545" s="7"/>
      <c r="AE545" s="54" t="e">
        <f t="shared" si="78"/>
        <v>#N/A</v>
      </c>
      <c r="AF545" s="4" t="e">
        <f t="shared" si="74"/>
        <v>#N/A</v>
      </c>
    </row>
    <row r="546" spans="2:32">
      <c r="B546" s="5">
        <f t="shared" si="79"/>
        <v>534</v>
      </c>
      <c r="C546" s="5"/>
      <c r="E546" s="13"/>
      <c r="F546" s="5"/>
      <c r="G546" s="11" t="str">
        <f>IF(ISERROR(AVERAGE(F$13:F546)),"n/a",AVERAGE(F$13:F546))</f>
        <v>n/a</v>
      </c>
      <c r="H546" s="11" t="str">
        <f t="shared" si="75"/>
        <v>n/a</v>
      </c>
      <c r="J546" s="5"/>
      <c r="K546" s="5"/>
      <c r="L546" s="5"/>
      <c r="M546" s="5"/>
      <c r="N546" s="5"/>
      <c r="O546" s="8" t="str">
        <f t="shared" si="73"/>
        <v>n/a</v>
      </c>
      <c r="Q546" s="5"/>
      <c r="R546" s="5"/>
      <c r="S546" s="5"/>
      <c r="U546" s="6"/>
      <c r="V546" s="9" t="str">
        <f t="shared" si="76"/>
        <v/>
      </c>
      <c r="W546" s="9" t="str">
        <f t="shared" si="77"/>
        <v/>
      </c>
      <c r="X546" s="10">
        <f>SUM(V$13:V546)/COUNTA(B$13:B546)</f>
        <v>0</v>
      </c>
      <c r="Z546" s="5"/>
      <c r="AA546" s="5"/>
      <c r="AC546" s="7"/>
      <c r="AE546" s="54" t="e">
        <f t="shared" si="78"/>
        <v>#N/A</v>
      </c>
      <c r="AF546" s="4" t="e">
        <f t="shared" si="74"/>
        <v>#N/A</v>
      </c>
    </row>
    <row r="547" spans="2:32">
      <c r="B547" s="5">
        <f t="shared" si="79"/>
        <v>535</v>
      </c>
      <c r="C547" s="5"/>
      <c r="E547" s="13"/>
      <c r="F547" s="5"/>
      <c r="G547" s="11" t="str">
        <f>IF(ISERROR(AVERAGE(F$13:F547)),"n/a",AVERAGE(F$13:F547))</f>
        <v>n/a</v>
      </c>
      <c r="H547" s="11" t="str">
        <f t="shared" si="75"/>
        <v>n/a</v>
      </c>
      <c r="J547" s="5"/>
      <c r="K547" s="5"/>
      <c r="L547" s="5"/>
      <c r="M547" s="5"/>
      <c r="N547" s="5"/>
      <c r="O547" s="8" t="str">
        <f t="shared" si="73"/>
        <v>n/a</v>
      </c>
      <c r="Q547" s="5"/>
      <c r="R547" s="5"/>
      <c r="S547" s="5"/>
      <c r="U547" s="6"/>
      <c r="V547" s="9" t="str">
        <f t="shared" si="76"/>
        <v/>
      </c>
      <c r="W547" s="9" t="str">
        <f t="shared" si="77"/>
        <v/>
      </c>
      <c r="X547" s="10">
        <f>SUM(V$13:V547)/COUNTA(B$13:B547)</f>
        <v>0</v>
      </c>
      <c r="Z547" s="5"/>
      <c r="AA547" s="5"/>
      <c r="AC547" s="7"/>
      <c r="AE547" s="54" t="e">
        <f t="shared" si="78"/>
        <v>#N/A</v>
      </c>
      <c r="AF547" s="4" t="e">
        <f t="shared" si="74"/>
        <v>#N/A</v>
      </c>
    </row>
    <row r="548" spans="2:32">
      <c r="B548" s="5">
        <f t="shared" si="79"/>
        <v>536</v>
      </c>
      <c r="C548" s="5"/>
      <c r="E548" s="13"/>
      <c r="F548" s="5"/>
      <c r="G548" s="11" t="str">
        <f>IF(ISERROR(AVERAGE(F$13:F548)),"n/a",AVERAGE(F$13:F548))</f>
        <v>n/a</v>
      </c>
      <c r="H548" s="11" t="str">
        <f t="shared" si="75"/>
        <v>n/a</v>
      </c>
      <c r="J548" s="5"/>
      <c r="K548" s="5"/>
      <c r="L548" s="5"/>
      <c r="M548" s="5"/>
      <c r="N548" s="5"/>
      <c r="O548" s="8" t="str">
        <f t="shared" si="73"/>
        <v>n/a</v>
      </c>
      <c r="Q548" s="5"/>
      <c r="R548" s="5"/>
      <c r="S548" s="5"/>
      <c r="U548" s="6"/>
      <c r="V548" s="9" t="str">
        <f t="shared" si="76"/>
        <v/>
      </c>
      <c r="W548" s="9" t="str">
        <f t="shared" si="77"/>
        <v/>
      </c>
      <c r="X548" s="10">
        <f>SUM(V$13:V548)/COUNTA(B$13:B548)</f>
        <v>0</v>
      </c>
      <c r="Z548" s="5"/>
      <c r="AA548" s="5"/>
      <c r="AC548" s="7"/>
      <c r="AE548" s="54" t="e">
        <f t="shared" si="78"/>
        <v>#N/A</v>
      </c>
      <c r="AF548" s="4" t="e">
        <f t="shared" si="74"/>
        <v>#N/A</v>
      </c>
    </row>
    <row r="549" spans="2:32">
      <c r="B549" s="5">
        <f t="shared" si="79"/>
        <v>537</v>
      </c>
      <c r="C549" s="5"/>
      <c r="E549" s="13"/>
      <c r="F549" s="5"/>
      <c r="G549" s="11" t="str">
        <f>IF(ISERROR(AVERAGE(F$13:F549)),"n/a",AVERAGE(F$13:F549))</f>
        <v>n/a</v>
      </c>
      <c r="H549" s="11" t="str">
        <f t="shared" si="75"/>
        <v>n/a</v>
      </c>
      <c r="J549" s="5"/>
      <c r="K549" s="5"/>
      <c r="L549" s="5"/>
      <c r="M549" s="5"/>
      <c r="N549" s="5"/>
      <c r="O549" s="8" t="str">
        <f t="shared" si="73"/>
        <v>n/a</v>
      </c>
      <c r="Q549" s="5"/>
      <c r="R549" s="5"/>
      <c r="S549" s="5"/>
      <c r="U549" s="6"/>
      <c r="V549" s="9" t="str">
        <f t="shared" si="76"/>
        <v/>
      </c>
      <c r="W549" s="9" t="str">
        <f t="shared" si="77"/>
        <v/>
      </c>
      <c r="X549" s="10">
        <f>SUM(V$13:V549)/COUNTA(B$13:B549)</f>
        <v>0</v>
      </c>
      <c r="Z549" s="5"/>
      <c r="AA549" s="5"/>
      <c r="AC549" s="7"/>
      <c r="AE549" s="54" t="e">
        <f t="shared" si="78"/>
        <v>#N/A</v>
      </c>
      <c r="AF549" s="4" t="e">
        <f t="shared" si="74"/>
        <v>#N/A</v>
      </c>
    </row>
    <row r="550" spans="2:32">
      <c r="B550" s="5">
        <f t="shared" si="79"/>
        <v>538</v>
      </c>
      <c r="C550" s="5"/>
      <c r="E550" s="13"/>
      <c r="F550" s="5"/>
      <c r="G550" s="11" t="str">
        <f>IF(ISERROR(AVERAGE(F$13:F550)),"n/a",AVERAGE(F$13:F550))</f>
        <v>n/a</v>
      </c>
      <c r="H550" s="11" t="str">
        <f t="shared" si="75"/>
        <v>n/a</v>
      </c>
      <c r="J550" s="5"/>
      <c r="K550" s="5"/>
      <c r="L550" s="5"/>
      <c r="M550" s="5"/>
      <c r="N550" s="5"/>
      <c r="O550" s="8" t="str">
        <f t="shared" si="73"/>
        <v>n/a</v>
      </c>
      <c r="Q550" s="5"/>
      <c r="R550" s="5"/>
      <c r="S550" s="5"/>
      <c r="U550" s="6"/>
      <c r="V550" s="9" t="str">
        <f t="shared" si="76"/>
        <v/>
      </c>
      <c r="W550" s="9" t="str">
        <f t="shared" si="77"/>
        <v/>
      </c>
      <c r="X550" s="10">
        <f>SUM(V$13:V550)/COUNTA(B$13:B550)</f>
        <v>0</v>
      </c>
      <c r="Z550" s="5"/>
      <c r="AA550" s="5"/>
      <c r="AC550" s="7"/>
      <c r="AE550" s="54" t="e">
        <f t="shared" si="78"/>
        <v>#N/A</v>
      </c>
      <c r="AF550" s="4" t="e">
        <f t="shared" si="74"/>
        <v>#N/A</v>
      </c>
    </row>
    <row r="551" spans="2:32">
      <c r="B551" s="5">
        <f t="shared" si="79"/>
        <v>539</v>
      </c>
      <c r="C551" s="5"/>
      <c r="E551" s="13"/>
      <c r="F551" s="5"/>
      <c r="G551" s="11" t="str">
        <f>IF(ISERROR(AVERAGE(F$13:F551)),"n/a",AVERAGE(F$13:F551))</f>
        <v>n/a</v>
      </c>
      <c r="H551" s="11" t="str">
        <f t="shared" si="75"/>
        <v>n/a</v>
      </c>
      <c r="J551" s="5"/>
      <c r="K551" s="5"/>
      <c r="L551" s="5"/>
      <c r="M551" s="5"/>
      <c r="N551" s="5"/>
      <c r="O551" s="8" t="str">
        <f t="shared" si="73"/>
        <v>n/a</v>
      </c>
      <c r="Q551" s="5"/>
      <c r="R551" s="5"/>
      <c r="S551" s="5"/>
      <c r="U551" s="6"/>
      <c r="V551" s="9" t="str">
        <f t="shared" si="76"/>
        <v/>
      </c>
      <c r="W551" s="9" t="str">
        <f t="shared" si="77"/>
        <v/>
      </c>
      <c r="X551" s="10">
        <f>SUM(V$13:V551)/COUNTA(B$13:B551)</f>
        <v>0</v>
      </c>
      <c r="Z551" s="5"/>
      <c r="AA551" s="5"/>
      <c r="AC551" s="7"/>
      <c r="AE551" s="54" t="e">
        <f t="shared" si="78"/>
        <v>#N/A</v>
      </c>
      <c r="AF551" s="4" t="e">
        <f t="shared" si="74"/>
        <v>#N/A</v>
      </c>
    </row>
    <row r="552" spans="2:32">
      <c r="B552" s="5">
        <f t="shared" si="79"/>
        <v>540</v>
      </c>
      <c r="C552" s="5"/>
      <c r="E552" s="13"/>
      <c r="F552" s="5"/>
      <c r="G552" s="11" t="str">
        <f>IF(ISERROR(AVERAGE(F$13:F552)),"n/a",AVERAGE(F$13:F552))</f>
        <v>n/a</v>
      </c>
      <c r="H552" s="11" t="str">
        <f t="shared" si="75"/>
        <v>n/a</v>
      </c>
      <c r="J552" s="5"/>
      <c r="K552" s="5"/>
      <c r="L552" s="5"/>
      <c r="M552" s="5"/>
      <c r="N552" s="5"/>
      <c r="O552" s="8" t="str">
        <f t="shared" si="73"/>
        <v>n/a</v>
      </c>
      <c r="Q552" s="5"/>
      <c r="R552" s="5"/>
      <c r="S552" s="5"/>
      <c r="U552" s="6"/>
      <c r="V552" s="9" t="str">
        <f t="shared" si="76"/>
        <v/>
      </c>
      <c r="W552" s="9" t="str">
        <f t="shared" si="77"/>
        <v/>
      </c>
      <c r="X552" s="10">
        <f>SUM(V$13:V552)/COUNTA(B$13:B552)</f>
        <v>0</v>
      </c>
      <c r="Z552" s="5"/>
      <c r="AA552" s="5"/>
      <c r="AC552" s="7"/>
      <c r="AE552" s="54" t="e">
        <f t="shared" si="78"/>
        <v>#N/A</v>
      </c>
      <c r="AF552" s="4" t="e">
        <f t="shared" si="74"/>
        <v>#N/A</v>
      </c>
    </row>
    <row r="553" spans="2:32">
      <c r="B553" s="5">
        <f t="shared" si="79"/>
        <v>541</v>
      </c>
      <c r="C553" s="5"/>
      <c r="E553" s="13"/>
      <c r="F553" s="5"/>
      <c r="G553" s="11" t="str">
        <f>IF(ISERROR(AVERAGE(F$13:F553)),"n/a",AVERAGE(F$13:F553))</f>
        <v>n/a</v>
      </c>
      <c r="H553" s="11" t="str">
        <f t="shared" si="75"/>
        <v>n/a</v>
      </c>
      <c r="J553" s="5"/>
      <c r="K553" s="5"/>
      <c r="L553" s="5"/>
      <c r="M553" s="5"/>
      <c r="N553" s="5"/>
      <c r="O553" s="8" t="str">
        <f t="shared" si="73"/>
        <v>n/a</v>
      </c>
      <c r="Q553" s="5"/>
      <c r="R553" s="5"/>
      <c r="S553" s="5"/>
      <c r="U553" s="6"/>
      <c r="V553" s="9" t="str">
        <f t="shared" si="76"/>
        <v/>
      </c>
      <c r="W553" s="9" t="str">
        <f t="shared" si="77"/>
        <v/>
      </c>
      <c r="X553" s="10">
        <f>SUM(V$13:V553)/COUNTA(B$13:B553)</f>
        <v>0</v>
      </c>
      <c r="Z553" s="5"/>
      <c r="AA553" s="5"/>
      <c r="AC553" s="7"/>
      <c r="AE553" s="54" t="e">
        <f t="shared" si="78"/>
        <v>#N/A</v>
      </c>
      <c r="AF553" s="4" t="e">
        <f t="shared" si="74"/>
        <v>#N/A</v>
      </c>
    </row>
    <row r="554" spans="2:32">
      <c r="B554" s="5">
        <f t="shared" si="79"/>
        <v>542</v>
      </c>
      <c r="C554" s="5"/>
      <c r="E554" s="13"/>
      <c r="F554" s="5"/>
      <c r="G554" s="11" t="str">
        <f>IF(ISERROR(AVERAGE(F$13:F554)),"n/a",AVERAGE(F$13:F554))</f>
        <v>n/a</v>
      </c>
      <c r="H554" s="11" t="str">
        <f t="shared" si="75"/>
        <v>n/a</v>
      </c>
      <c r="J554" s="5"/>
      <c r="K554" s="5"/>
      <c r="L554" s="5"/>
      <c r="M554" s="5"/>
      <c r="N554" s="5"/>
      <c r="O554" s="8" t="str">
        <f t="shared" si="73"/>
        <v>n/a</v>
      </c>
      <c r="Q554" s="5"/>
      <c r="R554" s="5"/>
      <c r="S554" s="5"/>
      <c r="U554" s="6"/>
      <c r="V554" s="9" t="str">
        <f t="shared" si="76"/>
        <v/>
      </c>
      <c r="W554" s="9" t="str">
        <f t="shared" si="77"/>
        <v/>
      </c>
      <c r="X554" s="10">
        <f>SUM(V$13:V554)/COUNTA(B$13:B554)</f>
        <v>0</v>
      </c>
      <c r="Z554" s="5"/>
      <c r="AA554" s="5"/>
      <c r="AC554" s="7"/>
      <c r="AE554" s="54" t="e">
        <f t="shared" si="78"/>
        <v>#N/A</v>
      </c>
      <c r="AF554" s="4" t="e">
        <f t="shared" si="74"/>
        <v>#N/A</v>
      </c>
    </row>
    <row r="555" spans="2:32">
      <c r="B555" s="5">
        <f t="shared" si="79"/>
        <v>543</v>
      </c>
      <c r="C555" s="5"/>
      <c r="E555" s="13"/>
      <c r="F555" s="5"/>
      <c r="G555" s="11" t="str">
        <f>IF(ISERROR(AVERAGE(F$13:F555)),"n/a",AVERAGE(F$13:F555))</f>
        <v>n/a</v>
      </c>
      <c r="H555" s="11" t="str">
        <f t="shared" si="75"/>
        <v>n/a</v>
      </c>
      <c r="J555" s="5"/>
      <c r="K555" s="5"/>
      <c r="L555" s="5"/>
      <c r="M555" s="5"/>
      <c r="N555" s="5"/>
      <c r="O555" s="8" t="str">
        <f t="shared" si="73"/>
        <v>n/a</v>
      </c>
      <c r="Q555" s="5"/>
      <c r="R555" s="5"/>
      <c r="S555" s="5"/>
      <c r="U555" s="6"/>
      <c r="V555" s="9" t="str">
        <f t="shared" si="76"/>
        <v/>
      </c>
      <c r="W555" s="9" t="str">
        <f t="shared" si="77"/>
        <v/>
      </c>
      <c r="X555" s="10">
        <f>SUM(V$13:V555)/COUNTA(B$13:B555)</f>
        <v>0</v>
      </c>
      <c r="Z555" s="5"/>
      <c r="AA555" s="5"/>
      <c r="AC555" s="7"/>
      <c r="AE555" s="54" t="e">
        <f t="shared" si="78"/>
        <v>#N/A</v>
      </c>
      <c r="AF555" s="4" t="e">
        <f t="shared" si="74"/>
        <v>#N/A</v>
      </c>
    </row>
    <row r="556" spans="2:32">
      <c r="B556" s="5">
        <f t="shared" si="79"/>
        <v>544</v>
      </c>
      <c r="C556" s="5"/>
      <c r="E556" s="13"/>
      <c r="F556" s="5"/>
      <c r="G556" s="11" t="str">
        <f>IF(ISERROR(AVERAGE(F$13:F556)),"n/a",AVERAGE(F$13:F556))</f>
        <v>n/a</v>
      </c>
      <c r="H556" s="11" t="str">
        <f t="shared" si="75"/>
        <v>n/a</v>
      </c>
      <c r="J556" s="5"/>
      <c r="K556" s="5"/>
      <c r="L556" s="5"/>
      <c r="M556" s="5"/>
      <c r="N556" s="5"/>
      <c r="O556" s="8" t="str">
        <f t="shared" si="73"/>
        <v>n/a</v>
      </c>
      <c r="Q556" s="5"/>
      <c r="R556" s="5"/>
      <c r="S556" s="5"/>
      <c r="U556" s="6"/>
      <c r="V556" s="9" t="str">
        <f t="shared" si="76"/>
        <v/>
      </c>
      <c r="W556" s="9" t="str">
        <f t="shared" si="77"/>
        <v/>
      </c>
      <c r="X556" s="10">
        <f>SUM(V$13:V556)/COUNTA(B$13:B556)</f>
        <v>0</v>
      </c>
      <c r="Z556" s="5"/>
      <c r="AA556" s="5"/>
      <c r="AC556" s="7"/>
      <c r="AE556" s="54" t="e">
        <f t="shared" si="78"/>
        <v>#N/A</v>
      </c>
      <c r="AF556" s="4" t="e">
        <f t="shared" si="74"/>
        <v>#N/A</v>
      </c>
    </row>
    <row r="557" spans="2:32">
      <c r="B557" s="5">
        <f t="shared" si="79"/>
        <v>545</v>
      </c>
      <c r="C557" s="5"/>
      <c r="E557" s="13"/>
      <c r="F557" s="5"/>
      <c r="G557" s="11" t="str">
        <f>IF(ISERROR(AVERAGE(F$13:F557)),"n/a",AVERAGE(F$13:F557))</f>
        <v>n/a</v>
      </c>
      <c r="H557" s="11" t="str">
        <f t="shared" si="75"/>
        <v>n/a</v>
      </c>
      <c r="J557" s="5"/>
      <c r="K557" s="5"/>
      <c r="L557" s="5"/>
      <c r="M557" s="5"/>
      <c r="N557" s="5"/>
      <c r="O557" s="8" t="str">
        <f t="shared" si="73"/>
        <v>n/a</v>
      </c>
      <c r="Q557" s="5"/>
      <c r="R557" s="5"/>
      <c r="S557" s="5"/>
      <c r="U557" s="6"/>
      <c r="V557" s="9" t="str">
        <f t="shared" si="76"/>
        <v/>
      </c>
      <c r="W557" s="9" t="str">
        <f t="shared" si="77"/>
        <v/>
      </c>
      <c r="X557" s="10">
        <f>SUM(V$13:V557)/COUNTA(B$13:B557)</f>
        <v>0</v>
      </c>
      <c r="Z557" s="5"/>
      <c r="AA557" s="5"/>
      <c r="AC557" s="7"/>
      <c r="AE557" s="54" t="e">
        <f t="shared" si="78"/>
        <v>#N/A</v>
      </c>
      <c r="AF557" s="4" t="e">
        <f t="shared" si="74"/>
        <v>#N/A</v>
      </c>
    </row>
    <row r="558" spans="2:32">
      <c r="B558" s="5">
        <f t="shared" si="79"/>
        <v>546</v>
      </c>
      <c r="C558" s="5"/>
      <c r="E558" s="13"/>
      <c r="F558" s="5"/>
      <c r="G558" s="11" t="str">
        <f>IF(ISERROR(AVERAGE(F$13:F558)),"n/a",AVERAGE(F$13:F558))</f>
        <v>n/a</v>
      </c>
      <c r="H558" s="11" t="str">
        <f t="shared" si="75"/>
        <v>n/a</v>
      </c>
      <c r="J558" s="5"/>
      <c r="K558" s="5"/>
      <c r="L558" s="5"/>
      <c r="M558" s="5"/>
      <c r="N558" s="5"/>
      <c r="O558" s="8" t="str">
        <f t="shared" si="73"/>
        <v>n/a</v>
      </c>
      <c r="Q558" s="5"/>
      <c r="R558" s="5"/>
      <c r="S558" s="5"/>
      <c r="U558" s="6"/>
      <c r="V558" s="9" t="str">
        <f t="shared" si="76"/>
        <v/>
      </c>
      <c r="W558" s="9" t="str">
        <f t="shared" si="77"/>
        <v/>
      </c>
      <c r="X558" s="10">
        <f>SUM(V$13:V558)/COUNTA(B$13:B558)</f>
        <v>0</v>
      </c>
      <c r="Z558" s="5"/>
      <c r="AA558" s="5"/>
      <c r="AC558" s="7"/>
      <c r="AE558" s="54" t="e">
        <f t="shared" si="78"/>
        <v>#N/A</v>
      </c>
      <c r="AF558" s="4" t="e">
        <f t="shared" si="74"/>
        <v>#N/A</v>
      </c>
    </row>
    <row r="559" spans="2:32">
      <c r="B559" s="5">
        <f t="shared" si="79"/>
        <v>547</v>
      </c>
      <c r="C559" s="5"/>
      <c r="E559" s="13"/>
      <c r="F559" s="5"/>
      <c r="G559" s="11" t="str">
        <f>IF(ISERROR(AVERAGE(F$13:F559)),"n/a",AVERAGE(F$13:F559))</f>
        <v>n/a</v>
      </c>
      <c r="H559" s="11" t="str">
        <f t="shared" si="75"/>
        <v>n/a</v>
      </c>
      <c r="J559" s="5"/>
      <c r="K559" s="5"/>
      <c r="L559" s="5"/>
      <c r="M559" s="5"/>
      <c r="N559" s="5"/>
      <c r="O559" s="8" t="str">
        <f t="shared" si="73"/>
        <v>n/a</v>
      </c>
      <c r="Q559" s="5"/>
      <c r="R559" s="5"/>
      <c r="S559" s="5"/>
      <c r="U559" s="6"/>
      <c r="V559" s="9" t="str">
        <f t="shared" si="76"/>
        <v/>
      </c>
      <c r="W559" s="9" t="str">
        <f t="shared" si="77"/>
        <v/>
      </c>
      <c r="X559" s="10">
        <f>SUM(V$13:V559)/COUNTA(B$13:B559)</f>
        <v>0</v>
      </c>
      <c r="Z559" s="5"/>
      <c r="AA559" s="5"/>
      <c r="AC559" s="7"/>
      <c r="AE559" s="54" t="e">
        <f t="shared" si="78"/>
        <v>#N/A</v>
      </c>
      <c r="AF559" s="4" t="e">
        <f t="shared" si="74"/>
        <v>#N/A</v>
      </c>
    </row>
    <row r="560" spans="2:32">
      <c r="B560" s="5">
        <f t="shared" si="79"/>
        <v>548</v>
      </c>
      <c r="C560" s="5"/>
      <c r="E560" s="13"/>
      <c r="F560" s="5"/>
      <c r="G560" s="11" t="str">
        <f>IF(ISERROR(AVERAGE(F$13:F560)),"n/a",AVERAGE(F$13:F560))</f>
        <v>n/a</v>
      </c>
      <c r="H560" s="11" t="str">
        <f t="shared" si="75"/>
        <v>n/a</v>
      </c>
      <c r="J560" s="5"/>
      <c r="K560" s="5"/>
      <c r="L560" s="5"/>
      <c r="M560" s="5"/>
      <c r="N560" s="5"/>
      <c r="O560" s="8" t="str">
        <f t="shared" si="73"/>
        <v>n/a</v>
      </c>
      <c r="Q560" s="5"/>
      <c r="R560" s="5"/>
      <c r="S560" s="5"/>
      <c r="U560" s="6"/>
      <c r="V560" s="9" t="str">
        <f t="shared" si="76"/>
        <v/>
      </c>
      <c r="W560" s="9" t="str">
        <f t="shared" si="77"/>
        <v/>
      </c>
      <c r="X560" s="10">
        <f>SUM(V$13:V560)/COUNTA(B$13:B560)</f>
        <v>0</v>
      </c>
      <c r="Z560" s="5"/>
      <c r="AA560" s="5"/>
      <c r="AC560" s="7"/>
      <c r="AE560" s="54" t="e">
        <f t="shared" si="78"/>
        <v>#N/A</v>
      </c>
      <c r="AF560" s="4" t="e">
        <f t="shared" si="74"/>
        <v>#N/A</v>
      </c>
    </row>
    <row r="561" spans="2:32">
      <c r="B561" s="5">
        <f t="shared" si="79"/>
        <v>549</v>
      </c>
      <c r="C561" s="5"/>
      <c r="E561" s="13"/>
      <c r="F561" s="5"/>
      <c r="G561" s="11" t="str">
        <f>IF(ISERROR(AVERAGE(F$13:F561)),"n/a",AVERAGE(F$13:F561))</f>
        <v>n/a</v>
      </c>
      <c r="H561" s="11" t="str">
        <f t="shared" si="75"/>
        <v>n/a</v>
      </c>
      <c r="J561" s="5"/>
      <c r="K561" s="5"/>
      <c r="L561" s="5"/>
      <c r="M561" s="5"/>
      <c r="N561" s="5"/>
      <c r="O561" s="8" t="str">
        <f t="shared" si="73"/>
        <v>n/a</v>
      </c>
      <c r="Q561" s="5"/>
      <c r="R561" s="5"/>
      <c r="S561" s="5"/>
      <c r="U561" s="6"/>
      <c r="V561" s="9" t="str">
        <f t="shared" si="76"/>
        <v/>
      </c>
      <c r="W561" s="9" t="str">
        <f t="shared" si="77"/>
        <v/>
      </c>
      <c r="X561" s="10">
        <f>SUM(V$13:V561)/COUNTA(B$13:B561)</f>
        <v>0</v>
      </c>
      <c r="Z561" s="5"/>
      <c r="AA561" s="5"/>
      <c r="AC561" s="7"/>
      <c r="AE561" s="54" t="e">
        <f t="shared" si="78"/>
        <v>#N/A</v>
      </c>
      <c r="AF561" s="4" t="e">
        <f t="shared" si="74"/>
        <v>#N/A</v>
      </c>
    </row>
    <row r="562" spans="2:32">
      <c r="B562" s="5">
        <f t="shared" si="79"/>
        <v>550</v>
      </c>
      <c r="C562" s="5"/>
      <c r="E562" s="13"/>
      <c r="F562" s="5"/>
      <c r="G562" s="11" t="str">
        <f>IF(ISERROR(AVERAGE(F$13:F562)),"n/a",AVERAGE(F$13:F562))</f>
        <v>n/a</v>
      </c>
      <c r="H562" s="11" t="str">
        <f t="shared" si="75"/>
        <v>n/a</v>
      </c>
      <c r="J562" s="5"/>
      <c r="K562" s="5"/>
      <c r="L562" s="5"/>
      <c r="M562" s="5"/>
      <c r="N562" s="5"/>
      <c r="O562" s="8" t="str">
        <f t="shared" si="73"/>
        <v>n/a</v>
      </c>
      <c r="Q562" s="5"/>
      <c r="R562" s="5"/>
      <c r="S562" s="5"/>
      <c r="U562" s="6"/>
      <c r="V562" s="9" t="str">
        <f t="shared" si="76"/>
        <v/>
      </c>
      <c r="W562" s="9" t="str">
        <f t="shared" si="77"/>
        <v/>
      </c>
      <c r="X562" s="10">
        <f>SUM(V$13:V562)/COUNTA(B$13:B562)</f>
        <v>0</v>
      </c>
      <c r="Z562" s="5"/>
      <c r="AA562" s="5"/>
      <c r="AC562" s="7"/>
      <c r="AE562" s="54" t="e">
        <f t="shared" si="78"/>
        <v>#N/A</v>
      </c>
      <c r="AF562" s="4" t="e">
        <f t="shared" si="74"/>
        <v>#N/A</v>
      </c>
    </row>
    <row r="563" spans="2:32">
      <c r="B563" s="5">
        <f t="shared" si="79"/>
        <v>551</v>
      </c>
      <c r="C563" s="5"/>
      <c r="E563" s="13"/>
      <c r="F563" s="5"/>
      <c r="G563" s="11" t="str">
        <f>IF(ISERROR(AVERAGE(F$13:F563)),"n/a",AVERAGE(F$13:F563))</f>
        <v>n/a</v>
      </c>
      <c r="H563" s="11" t="str">
        <f t="shared" si="75"/>
        <v>n/a</v>
      </c>
      <c r="J563" s="5"/>
      <c r="K563" s="5"/>
      <c r="L563" s="5"/>
      <c r="M563" s="5"/>
      <c r="N563" s="5"/>
      <c r="O563" s="8" t="str">
        <f t="shared" si="73"/>
        <v>n/a</v>
      </c>
      <c r="Q563" s="5"/>
      <c r="R563" s="5"/>
      <c r="S563" s="5"/>
      <c r="U563" s="6"/>
      <c r="V563" s="9" t="str">
        <f t="shared" si="76"/>
        <v/>
      </c>
      <c r="W563" s="9" t="str">
        <f t="shared" si="77"/>
        <v/>
      </c>
      <c r="X563" s="10">
        <f>SUM(V$13:V563)/COUNTA(B$13:B563)</f>
        <v>0</v>
      </c>
      <c r="Z563" s="5"/>
      <c r="AA563" s="5"/>
      <c r="AC563" s="7"/>
      <c r="AE563" s="54" t="e">
        <f t="shared" si="78"/>
        <v>#N/A</v>
      </c>
      <c r="AF563" s="4" t="e">
        <f t="shared" si="74"/>
        <v>#N/A</v>
      </c>
    </row>
    <row r="564" spans="2:32">
      <c r="B564" s="5">
        <f t="shared" si="79"/>
        <v>552</v>
      </c>
      <c r="C564" s="5"/>
      <c r="E564" s="13"/>
      <c r="F564" s="5"/>
      <c r="G564" s="11" t="str">
        <f>IF(ISERROR(AVERAGE(F$13:F564)),"n/a",AVERAGE(F$13:F564))</f>
        <v>n/a</v>
      </c>
      <c r="H564" s="11" t="str">
        <f t="shared" si="75"/>
        <v>n/a</v>
      </c>
      <c r="J564" s="5"/>
      <c r="K564" s="5"/>
      <c r="L564" s="5"/>
      <c r="M564" s="5"/>
      <c r="N564" s="5"/>
      <c r="O564" s="8" t="str">
        <f t="shared" si="73"/>
        <v>n/a</v>
      </c>
      <c r="Q564" s="5"/>
      <c r="R564" s="5"/>
      <c r="S564" s="5"/>
      <c r="U564" s="6"/>
      <c r="V564" s="9" t="str">
        <f t="shared" si="76"/>
        <v/>
      </c>
      <c r="W564" s="9" t="str">
        <f t="shared" si="77"/>
        <v/>
      </c>
      <c r="X564" s="10">
        <f>SUM(V$13:V564)/COUNTA(B$13:B564)</f>
        <v>0</v>
      </c>
      <c r="Z564" s="5"/>
      <c r="AA564" s="5"/>
      <c r="AC564" s="7"/>
      <c r="AE564" s="54" t="e">
        <f t="shared" si="78"/>
        <v>#N/A</v>
      </c>
      <c r="AF564" s="4" t="e">
        <f t="shared" si="74"/>
        <v>#N/A</v>
      </c>
    </row>
    <row r="565" spans="2:32">
      <c r="B565" s="5">
        <f t="shared" si="79"/>
        <v>553</v>
      </c>
      <c r="C565" s="5"/>
      <c r="E565" s="13"/>
      <c r="F565" s="5"/>
      <c r="G565" s="11" t="str">
        <f>IF(ISERROR(AVERAGE(F$13:F565)),"n/a",AVERAGE(F$13:F565))</f>
        <v>n/a</v>
      </c>
      <c r="H565" s="11" t="str">
        <f t="shared" si="75"/>
        <v>n/a</v>
      </c>
      <c r="J565" s="5"/>
      <c r="K565" s="5"/>
      <c r="L565" s="5"/>
      <c r="M565" s="5"/>
      <c r="N565" s="5"/>
      <c r="O565" s="8" t="str">
        <f t="shared" si="73"/>
        <v>n/a</v>
      </c>
      <c r="Q565" s="5"/>
      <c r="R565" s="5"/>
      <c r="S565" s="5"/>
      <c r="U565" s="6"/>
      <c r="V565" s="9" t="str">
        <f t="shared" si="76"/>
        <v/>
      </c>
      <c r="W565" s="9" t="str">
        <f t="shared" si="77"/>
        <v/>
      </c>
      <c r="X565" s="10">
        <f>SUM(V$13:V565)/COUNTA(B$13:B565)</f>
        <v>0</v>
      </c>
      <c r="Z565" s="5"/>
      <c r="AA565" s="5"/>
      <c r="AC565" s="7"/>
      <c r="AE565" s="54" t="e">
        <f t="shared" si="78"/>
        <v>#N/A</v>
      </c>
      <c r="AF565" s="4" t="e">
        <f t="shared" si="74"/>
        <v>#N/A</v>
      </c>
    </row>
    <row r="566" spans="2:32">
      <c r="B566" s="5">
        <f t="shared" si="79"/>
        <v>554</v>
      </c>
      <c r="C566" s="5"/>
      <c r="E566" s="13"/>
      <c r="F566" s="5"/>
      <c r="G566" s="11" t="str">
        <f>IF(ISERROR(AVERAGE(F$13:F566)),"n/a",AVERAGE(F$13:F566))</f>
        <v>n/a</v>
      </c>
      <c r="H566" s="11" t="str">
        <f t="shared" si="75"/>
        <v>n/a</v>
      </c>
      <c r="J566" s="5"/>
      <c r="K566" s="5"/>
      <c r="L566" s="5"/>
      <c r="M566" s="5"/>
      <c r="N566" s="5"/>
      <c r="O566" s="8" t="str">
        <f t="shared" si="73"/>
        <v>n/a</v>
      </c>
      <c r="Q566" s="5"/>
      <c r="R566" s="5"/>
      <c r="S566" s="5"/>
      <c r="U566" s="6"/>
      <c r="V566" s="9" t="str">
        <f t="shared" si="76"/>
        <v/>
      </c>
      <c r="W566" s="9" t="str">
        <f t="shared" si="77"/>
        <v/>
      </c>
      <c r="X566" s="10">
        <f>SUM(V$13:V566)/COUNTA(B$13:B566)</f>
        <v>0</v>
      </c>
      <c r="Z566" s="5"/>
      <c r="AA566" s="5"/>
      <c r="AC566" s="7"/>
      <c r="AE566" s="54" t="e">
        <f t="shared" si="78"/>
        <v>#N/A</v>
      </c>
      <c r="AF566" s="4" t="e">
        <f t="shared" si="74"/>
        <v>#N/A</v>
      </c>
    </row>
    <row r="567" spans="2:32">
      <c r="B567" s="5">
        <f t="shared" si="79"/>
        <v>555</v>
      </c>
      <c r="C567" s="5"/>
      <c r="E567" s="13"/>
      <c r="F567" s="5"/>
      <c r="G567" s="11" t="str">
        <f>IF(ISERROR(AVERAGE(F$13:F567)),"n/a",AVERAGE(F$13:F567))</f>
        <v>n/a</v>
      </c>
      <c r="H567" s="11" t="str">
        <f t="shared" si="75"/>
        <v>n/a</v>
      </c>
      <c r="J567" s="5"/>
      <c r="K567" s="5"/>
      <c r="L567" s="5"/>
      <c r="M567" s="5"/>
      <c r="N567" s="5"/>
      <c r="O567" s="8" t="str">
        <f t="shared" si="73"/>
        <v>n/a</v>
      </c>
      <c r="Q567" s="5"/>
      <c r="R567" s="5"/>
      <c r="S567" s="5"/>
      <c r="U567" s="6"/>
      <c r="V567" s="9" t="str">
        <f t="shared" si="76"/>
        <v/>
      </c>
      <c r="W567" s="9" t="str">
        <f t="shared" si="77"/>
        <v/>
      </c>
      <c r="X567" s="10">
        <f>SUM(V$13:V567)/COUNTA(B$13:B567)</f>
        <v>0</v>
      </c>
      <c r="Z567" s="5"/>
      <c r="AA567" s="5"/>
      <c r="AC567" s="7"/>
      <c r="AE567" s="54" t="e">
        <f t="shared" si="78"/>
        <v>#N/A</v>
      </c>
      <c r="AF567" s="4" t="e">
        <f t="shared" si="74"/>
        <v>#N/A</v>
      </c>
    </row>
    <row r="568" spans="2:32">
      <c r="B568" s="5">
        <f t="shared" si="79"/>
        <v>556</v>
      </c>
      <c r="C568" s="5"/>
      <c r="E568" s="13"/>
      <c r="F568" s="5"/>
      <c r="G568" s="11" t="str">
        <f>IF(ISERROR(AVERAGE(F$13:F568)),"n/a",AVERAGE(F$13:F568))</f>
        <v>n/a</v>
      </c>
      <c r="H568" s="11" t="str">
        <f t="shared" si="75"/>
        <v>n/a</v>
      </c>
      <c r="J568" s="5"/>
      <c r="K568" s="5"/>
      <c r="L568" s="5"/>
      <c r="M568" s="5"/>
      <c r="N568" s="5"/>
      <c r="O568" s="8" t="str">
        <f t="shared" si="73"/>
        <v>n/a</v>
      </c>
      <c r="Q568" s="5"/>
      <c r="R568" s="5"/>
      <c r="S568" s="5"/>
      <c r="U568" s="6"/>
      <c r="V568" s="9" t="str">
        <f t="shared" si="76"/>
        <v/>
      </c>
      <c r="W568" s="9" t="str">
        <f t="shared" si="77"/>
        <v/>
      </c>
      <c r="X568" s="10">
        <f>SUM(V$13:V568)/COUNTA(B$13:B568)</f>
        <v>0</v>
      </c>
      <c r="Z568" s="5"/>
      <c r="AA568" s="5"/>
      <c r="AC568" s="7"/>
      <c r="AE568" s="54" t="e">
        <f t="shared" si="78"/>
        <v>#N/A</v>
      </c>
      <c r="AF568" s="4" t="e">
        <f t="shared" si="74"/>
        <v>#N/A</v>
      </c>
    </row>
    <row r="569" spans="2:32">
      <c r="B569" s="5">
        <f t="shared" si="79"/>
        <v>557</v>
      </c>
      <c r="C569" s="5"/>
      <c r="E569" s="13"/>
      <c r="F569" s="5"/>
      <c r="G569" s="11" t="str">
        <f>IF(ISERROR(AVERAGE(F$13:F569)),"n/a",AVERAGE(F$13:F569))</f>
        <v>n/a</v>
      </c>
      <c r="H569" s="11" t="str">
        <f t="shared" si="75"/>
        <v>n/a</v>
      </c>
      <c r="J569" s="5"/>
      <c r="K569" s="5"/>
      <c r="L569" s="5"/>
      <c r="M569" s="5"/>
      <c r="N569" s="5"/>
      <c r="O569" s="8" t="str">
        <f t="shared" si="73"/>
        <v>n/a</v>
      </c>
      <c r="Q569" s="5"/>
      <c r="R569" s="5"/>
      <c r="S569" s="5"/>
      <c r="U569" s="6"/>
      <c r="V569" s="9" t="str">
        <f t="shared" si="76"/>
        <v/>
      </c>
      <c r="W569" s="9" t="str">
        <f t="shared" si="77"/>
        <v/>
      </c>
      <c r="X569" s="10">
        <f>SUM(V$13:V569)/COUNTA(B$13:B569)</f>
        <v>0</v>
      </c>
      <c r="Z569" s="5"/>
      <c r="AA569" s="5"/>
      <c r="AC569" s="7"/>
      <c r="AE569" s="54" t="e">
        <f t="shared" si="78"/>
        <v>#N/A</v>
      </c>
      <c r="AF569" s="4" t="e">
        <f t="shared" si="74"/>
        <v>#N/A</v>
      </c>
    </row>
    <row r="570" spans="2:32">
      <c r="B570" s="5">
        <f t="shared" si="79"/>
        <v>558</v>
      </c>
      <c r="C570" s="5"/>
      <c r="E570" s="13"/>
      <c r="F570" s="5"/>
      <c r="G570" s="11" t="str">
        <f>IF(ISERROR(AVERAGE(F$13:F570)),"n/a",AVERAGE(F$13:F570))</f>
        <v>n/a</v>
      </c>
      <c r="H570" s="11" t="str">
        <f t="shared" si="75"/>
        <v>n/a</v>
      </c>
      <c r="J570" s="5"/>
      <c r="K570" s="5"/>
      <c r="L570" s="5"/>
      <c r="M570" s="5"/>
      <c r="N570" s="5"/>
      <c r="O570" s="8" t="str">
        <f t="shared" si="73"/>
        <v>n/a</v>
      </c>
      <c r="Q570" s="5"/>
      <c r="R570" s="5"/>
      <c r="S570" s="5"/>
      <c r="U570" s="6"/>
      <c r="V570" s="9" t="str">
        <f t="shared" si="76"/>
        <v/>
      </c>
      <c r="W570" s="9" t="str">
        <f t="shared" si="77"/>
        <v/>
      </c>
      <c r="X570" s="10">
        <f>SUM(V$13:V570)/COUNTA(B$13:B570)</f>
        <v>0</v>
      </c>
      <c r="Z570" s="5"/>
      <c r="AA570" s="5"/>
      <c r="AC570" s="7"/>
      <c r="AE570" s="54" t="e">
        <f t="shared" si="78"/>
        <v>#N/A</v>
      </c>
      <c r="AF570" s="4" t="e">
        <f t="shared" si="74"/>
        <v>#N/A</v>
      </c>
    </row>
    <row r="571" spans="2:32">
      <c r="B571" s="5">
        <f t="shared" si="79"/>
        <v>559</v>
      </c>
      <c r="C571" s="5"/>
      <c r="E571" s="13"/>
      <c r="F571" s="5"/>
      <c r="G571" s="11" t="str">
        <f>IF(ISERROR(AVERAGE(F$13:F571)),"n/a",AVERAGE(F$13:F571))</f>
        <v>n/a</v>
      </c>
      <c r="H571" s="11" t="str">
        <f t="shared" si="75"/>
        <v>n/a</v>
      </c>
      <c r="J571" s="5"/>
      <c r="K571" s="5"/>
      <c r="L571" s="5"/>
      <c r="M571" s="5"/>
      <c r="N571" s="5"/>
      <c r="O571" s="8" t="str">
        <f t="shared" si="73"/>
        <v>n/a</v>
      </c>
      <c r="Q571" s="5"/>
      <c r="R571" s="5"/>
      <c r="S571" s="5"/>
      <c r="U571" s="6"/>
      <c r="V571" s="9" t="str">
        <f t="shared" si="76"/>
        <v/>
      </c>
      <c r="W571" s="9" t="str">
        <f t="shared" si="77"/>
        <v/>
      </c>
      <c r="X571" s="10">
        <f>SUM(V$13:V571)/COUNTA(B$13:B571)</f>
        <v>0</v>
      </c>
      <c r="Z571" s="5"/>
      <c r="AA571" s="5"/>
      <c r="AC571" s="7"/>
      <c r="AE571" s="54" t="e">
        <f t="shared" si="78"/>
        <v>#N/A</v>
      </c>
      <c r="AF571" s="4" t="e">
        <f t="shared" si="74"/>
        <v>#N/A</v>
      </c>
    </row>
    <row r="572" spans="2:32">
      <c r="B572" s="5">
        <f t="shared" si="79"/>
        <v>560</v>
      </c>
      <c r="C572" s="5"/>
      <c r="E572" s="13"/>
      <c r="F572" s="5"/>
      <c r="G572" s="11" t="str">
        <f>IF(ISERROR(AVERAGE(F$13:F572)),"n/a",AVERAGE(F$13:F572))</f>
        <v>n/a</v>
      </c>
      <c r="H572" s="11" t="str">
        <f t="shared" si="75"/>
        <v>n/a</v>
      </c>
      <c r="J572" s="5"/>
      <c r="K572" s="5"/>
      <c r="L572" s="5"/>
      <c r="M572" s="5"/>
      <c r="N572" s="5"/>
      <c r="O572" s="8" t="str">
        <f t="shared" si="73"/>
        <v>n/a</v>
      </c>
      <c r="Q572" s="5"/>
      <c r="R572" s="5"/>
      <c r="S572" s="5"/>
      <c r="U572" s="6"/>
      <c r="V572" s="9" t="str">
        <f t="shared" si="76"/>
        <v/>
      </c>
      <c r="W572" s="9" t="str">
        <f t="shared" si="77"/>
        <v/>
      </c>
      <c r="X572" s="10">
        <f>SUM(V$13:V572)/COUNTA(B$13:B572)</f>
        <v>0</v>
      </c>
      <c r="Z572" s="5"/>
      <c r="AA572" s="5"/>
      <c r="AC572" s="7"/>
      <c r="AE572" s="54" t="e">
        <f t="shared" si="78"/>
        <v>#N/A</v>
      </c>
      <c r="AF572" s="4" t="e">
        <f t="shared" si="74"/>
        <v>#N/A</v>
      </c>
    </row>
    <row r="573" spans="2:32">
      <c r="B573" s="5">
        <f t="shared" si="79"/>
        <v>561</v>
      </c>
      <c r="C573" s="5"/>
      <c r="E573" s="13"/>
      <c r="F573" s="5"/>
      <c r="G573" s="11" t="str">
        <f>IF(ISERROR(AVERAGE(F$13:F573)),"n/a",AVERAGE(F$13:F573))</f>
        <v>n/a</v>
      </c>
      <c r="H573" s="11" t="str">
        <f t="shared" si="75"/>
        <v>n/a</v>
      </c>
      <c r="J573" s="5"/>
      <c r="K573" s="5"/>
      <c r="L573" s="5"/>
      <c r="M573" s="5"/>
      <c r="N573" s="5"/>
      <c r="O573" s="8" t="str">
        <f t="shared" si="73"/>
        <v>n/a</v>
      </c>
      <c r="Q573" s="5"/>
      <c r="R573" s="5"/>
      <c r="S573" s="5"/>
      <c r="U573" s="6"/>
      <c r="V573" s="9" t="str">
        <f t="shared" si="76"/>
        <v/>
      </c>
      <c r="W573" s="9" t="str">
        <f t="shared" si="77"/>
        <v/>
      </c>
      <c r="X573" s="10">
        <f>SUM(V$13:V573)/COUNTA(B$13:B573)</f>
        <v>0</v>
      </c>
      <c r="Z573" s="5"/>
      <c r="AA573" s="5"/>
      <c r="AC573" s="7"/>
      <c r="AE573" s="54" t="e">
        <f t="shared" si="78"/>
        <v>#N/A</v>
      </c>
      <c r="AF573" s="4" t="e">
        <f t="shared" si="74"/>
        <v>#N/A</v>
      </c>
    </row>
    <row r="574" spans="2:32">
      <c r="B574" s="5">
        <f t="shared" si="79"/>
        <v>562</v>
      </c>
      <c r="C574" s="5"/>
      <c r="E574" s="13"/>
      <c r="F574" s="5"/>
      <c r="G574" s="11" t="str">
        <f>IF(ISERROR(AVERAGE(F$13:F574)),"n/a",AVERAGE(F$13:F574))</f>
        <v>n/a</v>
      </c>
      <c r="H574" s="11" t="str">
        <f t="shared" si="75"/>
        <v>n/a</v>
      </c>
      <c r="J574" s="5"/>
      <c r="K574" s="5"/>
      <c r="L574" s="5"/>
      <c r="M574" s="5"/>
      <c r="N574" s="5"/>
      <c r="O574" s="8" t="str">
        <f t="shared" si="73"/>
        <v>n/a</v>
      </c>
      <c r="Q574" s="5"/>
      <c r="R574" s="5"/>
      <c r="S574" s="5"/>
      <c r="U574" s="6"/>
      <c r="V574" s="9" t="str">
        <f t="shared" si="76"/>
        <v/>
      </c>
      <c r="W574" s="9" t="str">
        <f t="shared" si="77"/>
        <v/>
      </c>
      <c r="X574" s="10">
        <f>SUM(V$13:V574)/COUNTA(B$13:B574)</f>
        <v>0</v>
      </c>
      <c r="Z574" s="5"/>
      <c r="AA574" s="5"/>
      <c r="AC574" s="7"/>
      <c r="AE574" s="54" t="e">
        <f t="shared" si="78"/>
        <v>#N/A</v>
      </c>
      <c r="AF574" s="4" t="e">
        <f t="shared" si="74"/>
        <v>#N/A</v>
      </c>
    </row>
    <row r="575" spans="2:32">
      <c r="B575" s="5">
        <f t="shared" si="79"/>
        <v>563</v>
      </c>
      <c r="C575" s="5"/>
      <c r="E575" s="13"/>
      <c r="F575" s="5"/>
      <c r="G575" s="11" t="str">
        <f>IF(ISERROR(AVERAGE(F$13:F575)),"n/a",AVERAGE(F$13:F575))</f>
        <v>n/a</v>
      </c>
      <c r="H575" s="11" t="str">
        <f t="shared" si="75"/>
        <v>n/a</v>
      </c>
      <c r="J575" s="5"/>
      <c r="K575" s="5"/>
      <c r="L575" s="5"/>
      <c r="M575" s="5"/>
      <c r="N575" s="5"/>
      <c r="O575" s="8" t="str">
        <f t="shared" si="73"/>
        <v>n/a</v>
      </c>
      <c r="Q575" s="5"/>
      <c r="R575" s="5"/>
      <c r="S575" s="5"/>
      <c r="U575" s="6"/>
      <c r="V575" s="9" t="str">
        <f t="shared" si="76"/>
        <v/>
      </c>
      <c r="W575" s="9" t="str">
        <f t="shared" si="77"/>
        <v/>
      </c>
      <c r="X575" s="10">
        <f>SUM(V$13:V575)/COUNTA(B$13:B575)</f>
        <v>0</v>
      </c>
      <c r="Z575" s="5"/>
      <c r="AA575" s="5"/>
      <c r="AC575" s="7"/>
      <c r="AE575" s="54" t="e">
        <f t="shared" si="78"/>
        <v>#N/A</v>
      </c>
      <c r="AF575" s="4" t="e">
        <f t="shared" si="74"/>
        <v>#N/A</v>
      </c>
    </row>
    <row r="576" spans="2:32">
      <c r="B576" s="5">
        <f t="shared" si="79"/>
        <v>564</v>
      </c>
      <c r="C576" s="5"/>
      <c r="E576" s="13"/>
      <c r="F576" s="5"/>
      <c r="G576" s="11" t="str">
        <f>IF(ISERROR(AVERAGE(F$13:F576)),"n/a",AVERAGE(F$13:F576))</f>
        <v>n/a</v>
      </c>
      <c r="H576" s="11" t="str">
        <f t="shared" si="75"/>
        <v>n/a</v>
      </c>
      <c r="J576" s="5"/>
      <c r="K576" s="5"/>
      <c r="L576" s="5"/>
      <c r="M576" s="5"/>
      <c r="N576" s="5"/>
      <c r="O576" s="8" t="str">
        <f t="shared" si="73"/>
        <v>n/a</v>
      </c>
      <c r="Q576" s="5"/>
      <c r="R576" s="5"/>
      <c r="S576" s="5"/>
      <c r="U576" s="6"/>
      <c r="V576" s="9" t="str">
        <f t="shared" si="76"/>
        <v/>
      </c>
      <c r="W576" s="9" t="str">
        <f t="shared" si="77"/>
        <v/>
      </c>
      <c r="X576" s="10">
        <f>SUM(V$13:V576)/COUNTA(B$13:B576)</f>
        <v>0</v>
      </c>
      <c r="Z576" s="5"/>
      <c r="AA576" s="5"/>
      <c r="AC576" s="7"/>
      <c r="AE576" s="54" t="e">
        <f t="shared" si="78"/>
        <v>#N/A</v>
      </c>
      <c r="AF576" s="4" t="e">
        <f t="shared" si="74"/>
        <v>#N/A</v>
      </c>
    </row>
    <row r="577" spans="2:32">
      <c r="B577" s="5">
        <f t="shared" si="79"/>
        <v>565</v>
      </c>
      <c r="C577" s="5"/>
      <c r="E577" s="13"/>
      <c r="F577" s="5"/>
      <c r="G577" s="11" t="str">
        <f>IF(ISERROR(AVERAGE(F$13:F577)),"n/a",AVERAGE(F$13:F577))</f>
        <v>n/a</v>
      </c>
      <c r="H577" s="11" t="str">
        <f t="shared" si="75"/>
        <v>n/a</v>
      </c>
      <c r="J577" s="5"/>
      <c r="K577" s="5"/>
      <c r="L577" s="5"/>
      <c r="M577" s="5"/>
      <c r="N577" s="5"/>
      <c r="O577" s="8" t="str">
        <f t="shared" si="73"/>
        <v>n/a</v>
      </c>
      <c r="Q577" s="5"/>
      <c r="R577" s="5"/>
      <c r="S577" s="5"/>
      <c r="U577" s="6"/>
      <c r="V577" s="9" t="str">
        <f t="shared" si="76"/>
        <v/>
      </c>
      <c r="W577" s="9" t="str">
        <f t="shared" si="77"/>
        <v/>
      </c>
      <c r="X577" s="10">
        <f>SUM(V$13:V577)/COUNTA(B$13:B577)</f>
        <v>0</v>
      </c>
      <c r="Z577" s="5"/>
      <c r="AA577" s="5"/>
      <c r="AC577" s="7"/>
      <c r="AE577" s="54" t="e">
        <f t="shared" si="78"/>
        <v>#N/A</v>
      </c>
      <c r="AF577" s="4" t="e">
        <f t="shared" si="74"/>
        <v>#N/A</v>
      </c>
    </row>
    <row r="578" spans="2:32">
      <c r="B578" s="5">
        <f t="shared" si="79"/>
        <v>566</v>
      </c>
      <c r="C578" s="5"/>
      <c r="E578" s="13"/>
      <c r="F578" s="5"/>
      <c r="G578" s="11" t="str">
        <f>IF(ISERROR(AVERAGE(F$13:F578)),"n/a",AVERAGE(F$13:F578))</f>
        <v>n/a</v>
      </c>
      <c r="H578" s="11" t="str">
        <f t="shared" si="75"/>
        <v>n/a</v>
      </c>
      <c r="J578" s="5"/>
      <c r="K578" s="5"/>
      <c r="L578" s="5"/>
      <c r="M578" s="5"/>
      <c r="N578" s="5"/>
      <c r="O578" s="8" t="str">
        <f t="shared" si="73"/>
        <v>n/a</v>
      </c>
      <c r="Q578" s="5"/>
      <c r="R578" s="5"/>
      <c r="S578" s="5"/>
      <c r="U578" s="6"/>
      <c r="V578" s="9" t="str">
        <f t="shared" si="76"/>
        <v/>
      </c>
      <c r="W578" s="9" t="str">
        <f t="shared" si="77"/>
        <v/>
      </c>
      <c r="X578" s="10">
        <f>SUM(V$13:V578)/COUNTA(B$13:B578)</f>
        <v>0</v>
      </c>
      <c r="Z578" s="5"/>
      <c r="AA578" s="5"/>
      <c r="AC578" s="7"/>
      <c r="AE578" s="54" t="e">
        <f t="shared" si="78"/>
        <v>#N/A</v>
      </c>
      <c r="AF578" s="4" t="e">
        <f t="shared" si="74"/>
        <v>#N/A</v>
      </c>
    </row>
    <row r="579" spans="2:32">
      <c r="B579" s="5">
        <f t="shared" si="79"/>
        <v>567</v>
      </c>
      <c r="C579" s="5"/>
      <c r="E579" s="13"/>
      <c r="F579" s="5"/>
      <c r="G579" s="11" t="str">
        <f>IF(ISERROR(AVERAGE(F$13:F579)),"n/a",AVERAGE(F$13:F579))</f>
        <v>n/a</v>
      </c>
      <c r="H579" s="11" t="str">
        <f t="shared" si="75"/>
        <v>n/a</v>
      </c>
      <c r="J579" s="5"/>
      <c r="K579" s="5"/>
      <c r="L579" s="5"/>
      <c r="M579" s="5"/>
      <c r="N579" s="5"/>
      <c r="O579" s="8" t="str">
        <f t="shared" si="73"/>
        <v>n/a</v>
      </c>
      <c r="Q579" s="5"/>
      <c r="R579" s="5"/>
      <c r="S579" s="5"/>
      <c r="U579" s="6"/>
      <c r="V579" s="9" t="str">
        <f t="shared" si="76"/>
        <v/>
      </c>
      <c r="W579" s="9" t="str">
        <f t="shared" si="77"/>
        <v/>
      </c>
      <c r="X579" s="10">
        <f>SUM(V$13:V579)/COUNTA(B$13:B579)</f>
        <v>0</v>
      </c>
      <c r="Z579" s="5"/>
      <c r="AA579" s="5"/>
      <c r="AC579" s="7"/>
      <c r="AE579" s="54" t="e">
        <f t="shared" si="78"/>
        <v>#N/A</v>
      </c>
      <c r="AF579" s="4" t="e">
        <f t="shared" si="74"/>
        <v>#N/A</v>
      </c>
    </row>
    <row r="580" spans="2:32">
      <c r="B580" s="5">
        <f t="shared" si="79"/>
        <v>568</v>
      </c>
      <c r="C580" s="5"/>
      <c r="E580" s="13"/>
      <c r="F580" s="5"/>
      <c r="G580" s="11" t="str">
        <f>IF(ISERROR(AVERAGE(F$13:F580)),"n/a",AVERAGE(F$13:F580))</f>
        <v>n/a</v>
      </c>
      <c r="H580" s="11" t="str">
        <f t="shared" si="75"/>
        <v>n/a</v>
      </c>
      <c r="J580" s="5"/>
      <c r="K580" s="5"/>
      <c r="L580" s="5"/>
      <c r="M580" s="5"/>
      <c r="N580" s="5"/>
      <c r="O580" s="8" t="str">
        <f t="shared" si="73"/>
        <v>n/a</v>
      </c>
      <c r="Q580" s="5"/>
      <c r="R580" s="5"/>
      <c r="S580" s="5"/>
      <c r="U580" s="6"/>
      <c r="V580" s="9" t="str">
        <f t="shared" si="76"/>
        <v/>
      </c>
      <c r="W580" s="9" t="str">
        <f t="shared" si="77"/>
        <v/>
      </c>
      <c r="X580" s="10">
        <f>SUM(V$13:V580)/COUNTA(B$13:B580)</f>
        <v>0</v>
      </c>
      <c r="Z580" s="5"/>
      <c r="AA580" s="5"/>
      <c r="AC580" s="7"/>
      <c r="AE580" s="54" t="e">
        <f t="shared" si="78"/>
        <v>#N/A</v>
      </c>
      <c r="AF580" s="4" t="e">
        <f t="shared" si="74"/>
        <v>#N/A</v>
      </c>
    </row>
    <row r="581" spans="2:32">
      <c r="B581" s="5">
        <f t="shared" si="79"/>
        <v>569</v>
      </c>
      <c r="C581" s="5"/>
      <c r="E581" s="13"/>
      <c r="F581" s="5"/>
      <c r="G581" s="11" t="str">
        <f>IF(ISERROR(AVERAGE(F$13:F581)),"n/a",AVERAGE(F$13:F581))</f>
        <v>n/a</v>
      </c>
      <c r="H581" s="11" t="str">
        <f t="shared" si="75"/>
        <v>n/a</v>
      </c>
      <c r="J581" s="5"/>
      <c r="K581" s="5"/>
      <c r="L581" s="5"/>
      <c r="M581" s="5"/>
      <c r="N581" s="5"/>
      <c r="O581" s="8" t="str">
        <f t="shared" si="73"/>
        <v>n/a</v>
      </c>
      <c r="Q581" s="5"/>
      <c r="R581" s="5"/>
      <c r="S581" s="5"/>
      <c r="U581" s="6"/>
      <c r="V581" s="9" t="str">
        <f t="shared" si="76"/>
        <v/>
      </c>
      <c r="W581" s="9" t="str">
        <f t="shared" si="77"/>
        <v/>
      </c>
      <c r="X581" s="10">
        <f>SUM(V$13:V581)/COUNTA(B$13:B581)</f>
        <v>0</v>
      </c>
      <c r="Z581" s="5"/>
      <c r="AA581" s="5"/>
      <c r="AC581" s="7"/>
      <c r="AE581" s="54" t="e">
        <f t="shared" si="78"/>
        <v>#N/A</v>
      </c>
      <c r="AF581" s="4" t="e">
        <f t="shared" si="74"/>
        <v>#N/A</v>
      </c>
    </row>
    <row r="582" spans="2:32">
      <c r="B582" s="5">
        <f t="shared" si="79"/>
        <v>570</v>
      </c>
      <c r="C582" s="5"/>
      <c r="E582" s="13"/>
      <c r="F582" s="5"/>
      <c r="G582" s="11" t="str">
        <f>IF(ISERROR(AVERAGE(F$13:F582)),"n/a",AVERAGE(F$13:F582))</f>
        <v>n/a</v>
      </c>
      <c r="H582" s="11" t="str">
        <f t="shared" si="75"/>
        <v>n/a</v>
      </c>
      <c r="J582" s="5"/>
      <c r="K582" s="5"/>
      <c r="L582" s="5"/>
      <c r="M582" s="5"/>
      <c r="N582" s="5"/>
      <c r="O582" s="8" t="str">
        <f t="shared" si="73"/>
        <v>n/a</v>
      </c>
      <c r="Q582" s="5"/>
      <c r="R582" s="5"/>
      <c r="S582" s="5"/>
      <c r="U582" s="6"/>
      <c r="V582" s="9" t="str">
        <f t="shared" si="76"/>
        <v/>
      </c>
      <c r="W582" s="9" t="str">
        <f t="shared" si="77"/>
        <v/>
      </c>
      <c r="X582" s="10">
        <f>SUM(V$13:V582)/COUNTA(B$13:B582)</f>
        <v>0</v>
      </c>
      <c r="Z582" s="5"/>
      <c r="AA582" s="5"/>
      <c r="AC582" s="7"/>
      <c r="AE582" s="54" t="e">
        <f t="shared" si="78"/>
        <v>#N/A</v>
      </c>
      <c r="AF582" s="4" t="e">
        <f t="shared" si="74"/>
        <v>#N/A</v>
      </c>
    </row>
    <row r="583" spans="2:32">
      <c r="B583" s="5">
        <f t="shared" si="79"/>
        <v>571</v>
      </c>
      <c r="C583" s="5"/>
      <c r="E583" s="13"/>
      <c r="F583" s="5"/>
      <c r="G583" s="11" t="str">
        <f>IF(ISERROR(AVERAGE(F$13:F583)),"n/a",AVERAGE(F$13:F583))</f>
        <v>n/a</v>
      </c>
      <c r="H583" s="11" t="str">
        <f t="shared" si="75"/>
        <v>n/a</v>
      </c>
      <c r="J583" s="5"/>
      <c r="K583" s="5"/>
      <c r="L583" s="5"/>
      <c r="M583" s="5"/>
      <c r="N583" s="5"/>
      <c r="O583" s="8" t="str">
        <f t="shared" si="73"/>
        <v>n/a</v>
      </c>
      <c r="Q583" s="5"/>
      <c r="R583" s="5"/>
      <c r="S583" s="5"/>
      <c r="U583" s="6"/>
      <c r="V583" s="9" t="str">
        <f t="shared" si="76"/>
        <v/>
      </c>
      <c r="W583" s="9" t="str">
        <f t="shared" si="77"/>
        <v/>
      </c>
      <c r="X583" s="10">
        <f>SUM(V$13:V583)/COUNTA(B$13:B583)</f>
        <v>0</v>
      </c>
      <c r="Z583" s="5"/>
      <c r="AA583" s="5"/>
      <c r="AC583" s="7"/>
      <c r="AE583" s="54" t="e">
        <f t="shared" si="78"/>
        <v>#N/A</v>
      </c>
      <c r="AF583" s="4" t="e">
        <f t="shared" si="74"/>
        <v>#N/A</v>
      </c>
    </row>
    <row r="584" spans="2:32">
      <c r="B584" s="5">
        <f t="shared" si="79"/>
        <v>572</v>
      </c>
      <c r="C584" s="5"/>
      <c r="E584" s="13"/>
      <c r="F584" s="5"/>
      <c r="G584" s="11" t="str">
        <f>IF(ISERROR(AVERAGE(F$13:F584)),"n/a",AVERAGE(F$13:F584))</f>
        <v>n/a</v>
      </c>
      <c r="H584" s="11" t="str">
        <f t="shared" si="75"/>
        <v>n/a</v>
      </c>
      <c r="J584" s="5"/>
      <c r="K584" s="5"/>
      <c r="L584" s="5"/>
      <c r="M584" s="5"/>
      <c r="N584" s="5"/>
      <c r="O584" s="8" t="str">
        <f t="shared" si="73"/>
        <v>n/a</v>
      </c>
      <c r="Q584" s="5"/>
      <c r="R584" s="5"/>
      <c r="S584" s="5"/>
      <c r="U584" s="6"/>
      <c r="V584" s="9" t="str">
        <f t="shared" si="76"/>
        <v/>
      </c>
      <c r="W584" s="9" t="str">
        <f t="shared" si="77"/>
        <v/>
      </c>
      <c r="X584" s="10">
        <f>SUM(V$13:V584)/COUNTA(B$13:B584)</f>
        <v>0</v>
      </c>
      <c r="Z584" s="5"/>
      <c r="AA584" s="5"/>
      <c r="AC584" s="7"/>
      <c r="AE584" s="54" t="e">
        <f t="shared" si="78"/>
        <v>#N/A</v>
      </c>
      <c r="AF584" s="4" t="e">
        <f t="shared" si="74"/>
        <v>#N/A</v>
      </c>
    </row>
    <row r="585" spans="2:32">
      <c r="B585" s="5">
        <f t="shared" si="79"/>
        <v>573</v>
      </c>
      <c r="C585" s="5"/>
      <c r="E585" s="13"/>
      <c r="F585" s="5"/>
      <c r="G585" s="11" t="str">
        <f>IF(ISERROR(AVERAGE(F$13:F585)),"n/a",AVERAGE(F$13:F585))</f>
        <v>n/a</v>
      </c>
      <c r="H585" s="11" t="str">
        <f t="shared" si="75"/>
        <v>n/a</v>
      </c>
      <c r="J585" s="5"/>
      <c r="K585" s="5"/>
      <c r="L585" s="5"/>
      <c r="M585" s="5"/>
      <c r="N585" s="5"/>
      <c r="O585" s="8" t="str">
        <f t="shared" si="73"/>
        <v>n/a</v>
      </c>
      <c r="Q585" s="5"/>
      <c r="R585" s="5"/>
      <c r="S585" s="5"/>
      <c r="U585" s="6"/>
      <c r="V585" s="9" t="str">
        <f t="shared" si="76"/>
        <v/>
      </c>
      <c r="W585" s="9" t="str">
        <f t="shared" si="77"/>
        <v/>
      </c>
      <c r="X585" s="10">
        <f>SUM(V$13:V585)/COUNTA(B$13:B585)</f>
        <v>0</v>
      </c>
      <c r="Z585" s="5"/>
      <c r="AA585" s="5"/>
      <c r="AC585" s="7"/>
      <c r="AE585" s="54" t="e">
        <f t="shared" si="78"/>
        <v>#N/A</v>
      </c>
      <c r="AF585" s="4" t="e">
        <f t="shared" si="74"/>
        <v>#N/A</v>
      </c>
    </row>
    <row r="586" spans="2:32">
      <c r="B586" s="5">
        <f t="shared" si="79"/>
        <v>574</v>
      </c>
      <c r="C586" s="5"/>
      <c r="E586" s="13"/>
      <c r="F586" s="5"/>
      <c r="G586" s="11" t="str">
        <f>IF(ISERROR(AVERAGE(F$13:F586)),"n/a",AVERAGE(F$13:F586))</f>
        <v>n/a</v>
      </c>
      <c r="H586" s="11" t="str">
        <f t="shared" si="75"/>
        <v>n/a</v>
      </c>
      <c r="J586" s="5"/>
      <c r="K586" s="5"/>
      <c r="L586" s="5"/>
      <c r="M586" s="5"/>
      <c r="N586" s="5"/>
      <c r="O586" s="8" t="str">
        <f t="shared" si="73"/>
        <v>n/a</v>
      </c>
      <c r="Q586" s="5"/>
      <c r="R586" s="5"/>
      <c r="S586" s="5"/>
      <c r="U586" s="6"/>
      <c r="V586" s="9" t="str">
        <f t="shared" si="76"/>
        <v/>
      </c>
      <c r="W586" s="9" t="str">
        <f t="shared" si="77"/>
        <v/>
      </c>
      <c r="X586" s="10">
        <f>SUM(V$13:V586)/COUNTA(B$13:B586)</f>
        <v>0</v>
      </c>
      <c r="Z586" s="5"/>
      <c r="AA586" s="5"/>
      <c r="AC586" s="7"/>
      <c r="AE586" s="54" t="e">
        <f t="shared" si="78"/>
        <v>#N/A</v>
      </c>
      <c r="AF586" s="4" t="e">
        <f t="shared" si="74"/>
        <v>#N/A</v>
      </c>
    </row>
    <row r="587" spans="2:32">
      <c r="B587" s="5">
        <f t="shared" si="79"/>
        <v>575</v>
      </c>
      <c r="C587" s="5"/>
      <c r="E587" s="13"/>
      <c r="F587" s="5"/>
      <c r="G587" s="11" t="str">
        <f>IF(ISERROR(AVERAGE(F$13:F587)),"n/a",AVERAGE(F$13:F587))</f>
        <v>n/a</v>
      </c>
      <c r="H587" s="11" t="str">
        <f t="shared" si="75"/>
        <v>n/a</v>
      </c>
      <c r="J587" s="5"/>
      <c r="K587" s="5"/>
      <c r="L587" s="5"/>
      <c r="M587" s="5"/>
      <c r="N587" s="5"/>
      <c r="O587" s="8" t="str">
        <f t="shared" si="73"/>
        <v>n/a</v>
      </c>
      <c r="Q587" s="5"/>
      <c r="R587" s="5"/>
      <c r="S587" s="5"/>
      <c r="U587" s="6"/>
      <c r="V587" s="9" t="str">
        <f t="shared" si="76"/>
        <v/>
      </c>
      <c r="W587" s="9" t="str">
        <f t="shared" si="77"/>
        <v/>
      </c>
      <c r="X587" s="10">
        <f>SUM(V$13:V587)/COUNTA(B$13:B587)</f>
        <v>0</v>
      </c>
      <c r="Z587" s="5"/>
      <c r="AA587" s="5"/>
      <c r="AC587" s="7"/>
      <c r="AE587" s="54" t="e">
        <f t="shared" si="78"/>
        <v>#N/A</v>
      </c>
      <c r="AF587" s="4" t="e">
        <f t="shared" si="74"/>
        <v>#N/A</v>
      </c>
    </row>
    <row r="588" spans="2:32">
      <c r="B588" s="5">
        <f t="shared" si="79"/>
        <v>576</v>
      </c>
      <c r="C588" s="5"/>
      <c r="E588" s="13"/>
      <c r="F588" s="5"/>
      <c r="G588" s="11" t="str">
        <f>IF(ISERROR(AVERAGE(F$13:F588)),"n/a",AVERAGE(F$13:F588))</f>
        <v>n/a</v>
      </c>
      <c r="H588" s="11" t="str">
        <f t="shared" si="75"/>
        <v>n/a</v>
      </c>
      <c r="J588" s="5"/>
      <c r="K588" s="5"/>
      <c r="L588" s="5"/>
      <c r="M588" s="5"/>
      <c r="N588" s="5"/>
      <c r="O588" s="8" t="str">
        <f t="shared" si="73"/>
        <v>n/a</v>
      </c>
      <c r="Q588" s="5"/>
      <c r="R588" s="5"/>
      <c r="S588" s="5"/>
      <c r="U588" s="6"/>
      <c r="V588" s="9" t="str">
        <f t="shared" si="76"/>
        <v/>
      </c>
      <c r="W588" s="9" t="str">
        <f t="shared" si="77"/>
        <v/>
      </c>
      <c r="X588" s="10">
        <f>SUM(V$13:V588)/COUNTA(B$13:B588)</f>
        <v>0</v>
      </c>
      <c r="Z588" s="5"/>
      <c r="AA588" s="5"/>
      <c r="AC588" s="7"/>
      <c r="AE588" s="54" t="e">
        <f t="shared" si="78"/>
        <v>#N/A</v>
      </c>
      <c r="AF588" s="4" t="e">
        <f t="shared" si="74"/>
        <v>#N/A</v>
      </c>
    </row>
    <row r="589" spans="2:32">
      <c r="B589" s="5">
        <f t="shared" si="79"/>
        <v>577</v>
      </c>
      <c r="C589" s="5"/>
      <c r="E589" s="13"/>
      <c r="F589" s="5"/>
      <c r="G589" s="11" t="str">
        <f>IF(ISERROR(AVERAGE(F$13:F589)),"n/a",AVERAGE(F$13:F589))</f>
        <v>n/a</v>
      </c>
      <c r="H589" s="11" t="str">
        <f t="shared" si="75"/>
        <v>n/a</v>
      </c>
      <c r="J589" s="5"/>
      <c r="K589" s="5"/>
      <c r="L589" s="5"/>
      <c r="M589" s="5"/>
      <c r="N589" s="5"/>
      <c r="O589" s="8" t="str">
        <f t="shared" ref="O589:O652" si="80">IF(J589=1,"A",IF(K589=1,"B",IF(L589=1,"C",IF(M589=1,"D",IF(N589=1,"E","n/a")))))</f>
        <v>n/a</v>
      </c>
      <c r="Q589" s="5"/>
      <c r="R589" s="5"/>
      <c r="S589" s="5"/>
      <c r="U589" s="6"/>
      <c r="V589" s="9" t="str">
        <f t="shared" si="76"/>
        <v/>
      </c>
      <c r="W589" s="9" t="str">
        <f t="shared" si="77"/>
        <v/>
      </c>
      <c r="X589" s="10">
        <f>SUM(V$13:V589)/COUNTA(B$13:B589)</f>
        <v>0</v>
      </c>
      <c r="Z589" s="5"/>
      <c r="AA589" s="5"/>
      <c r="AC589" s="7"/>
      <c r="AE589" s="54" t="e">
        <f t="shared" si="78"/>
        <v>#N/A</v>
      </c>
      <c r="AF589" s="4" t="e">
        <f t="shared" ref="AF589:AF652" si="81">HLOOKUP(C589,$K$6:$O$7,2,FALSE)</f>
        <v>#N/A</v>
      </c>
    </row>
    <row r="590" spans="2:32">
      <c r="B590" s="5">
        <f t="shared" si="79"/>
        <v>578</v>
      </c>
      <c r="C590" s="5"/>
      <c r="E590" s="13"/>
      <c r="F590" s="5"/>
      <c r="G590" s="11" t="str">
        <f>IF(ISERROR(AVERAGE(F$13:F590)),"n/a",AVERAGE(F$13:F590))</f>
        <v>n/a</v>
      </c>
      <c r="H590" s="11" t="str">
        <f t="shared" ref="H590:H653" si="82">G590</f>
        <v>n/a</v>
      </c>
      <c r="J590" s="5"/>
      <c r="K590" s="5"/>
      <c r="L590" s="5"/>
      <c r="M590" s="5"/>
      <c r="N590" s="5"/>
      <c r="O590" s="8" t="str">
        <f t="shared" si="80"/>
        <v>n/a</v>
      </c>
      <c r="Q590" s="5"/>
      <c r="R590" s="5"/>
      <c r="S590" s="5"/>
      <c r="U590" s="6"/>
      <c r="V590" s="9" t="str">
        <f t="shared" ref="V590:V653" si="83">IF(O590="n/a","",IF(O590=U590,1,""))</f>
        <v/>
      </c>
      <c r="W590" s="9" t="str">
        <f t="shared" ref="W590:W653" si="84">IF(O590="n/a","",IF(O590&lt;&gt;U590,1,""))</f>
        <v/>
      </c>
      <c r="X590" s="10">
        <f>SUM(V$13:V590)/COUNTA(B$13:B590)</f>
        <v>0</v>
      </c>
      <c r="Z590" s="5"/>
      <c r="AA590" s="5"/>
      <c r="AC590" s="7"/>
      <c r="AE590" s="54" t="e">
        <f t="shared" ref="AE590:AE653" si="85">+IF($F$4=0,0,IF(W590=1,1,IF(OR(R590*$F$8=1,S590*$F$9=1,F590&gt;=AF590),2,0)))</f>
        <v>#N/A</v>
      </c>
      <c r="AF590" s="4" t="e">
        <f t="shared" si="81"/>
        <v>#N/A</v>
      </c>
    </row>
    <row r="591" spans="2:32">
      <c r="B591" s="5">
        <f t="shared" si="79"/>
        <v>579</v>
      </c>
      <c r="C591" s="5"/>
      <c r="E591" s="13"/>
      <c r="F591" s="5"/>
      <c r="G591" s="11" t="str">
        <f>IF(ISERROR(AVERAGE(F$13:F591)),"n/a",AVERAGE(F$13:F591))</f>
        <v>n/a</v>
      </c>
      <c r="H591" s="11" t="str">
        <f t="shared" si="82"/>
        <v>n/a</v>
      </c>
      <c r="J591" s="5"/>
      <c r="K591" s="5"/>
      <c r="L591" s="5"/>
      <c r="M591" s="5"/>
      <c r="N591" s="5"/>
      <c r="O591" s="8" t="str">
        <f t="shared" si="80"/>
        <v>n/a</v>
      </c>
      <c r="Q591" s="5"/>
      <c r="R591" s="5"/>
      <c r="S591" s="5"/>
      <c r="U591" s="6"/>
      <c r="V591" s="9" t="str">
        <f t="shared" si="83"/>
        <v/>
      </c>
      <c r="W591" s="9" t="str">
        <f t="shared" si="84"/>
        <v/>
      </c>
      <c r="X591" s="10">
        <f>SUM(V$13:V591)/COUNTA(B$13:B591)</f>
        <v>0</v>
      </c>
      <c r="Z591" s="5"/>
      <c r="AA591" s="5"/>
      <c r="AC591" s="7"/>
      <c r="AE591" s="54" t="e">
        <f t="shared" si="85"/>
        <v>#N/A</v>
      </c>
      <c r="AF591" s="4" t="e">
        <f t="shared" si="81"/>
        <v>#N/A</v>
      </c>
    </row>
    <row r="592" spans="2:32">
      <c r="B592" s="5">
        <f t="shared" si="79"/>
        <v>580</v>
      </c>
      <c r="C592" s="5"/>
      <c r="E592" s="13"/>
      <c r="F592" s="5"/>
      <c r="G592" s="11" t="str">
        <f>IF(ISERROR(AVERAGE(F$13:F592)),"n/a",AVERAGE(F$13:F592))</f>
        <v>n/a</v>
      </c>
      <c r="H592" s="11" t="str">
        <f t="shared" si="82"/>
        <v>n/a</v>
      </c>
      <c r="J592" s="5"/>
      <c r="K592" s="5"/>
      <c r="L592" s="5"/>
      <c r="M592" s="5"/>
      <c r="N592" s="5"/>
      <c r="O592" s="8" t="str">
        <f t="shared" si="80"/>
        <v>n/a</v>
      </c>
      <c r="Q592" s="5"/>
      <c r="R592" s="5"/>
      <c r="S592" s="5"/>
      <c r="U592" s="6"/>
      <c r="V592" s="9" t="str">
        <f t="shared" si="83"/>
        <v/>
      </c>
      <c r="W592" s="9" t="str">
        <f t="shared" si="84"/>
        <v/>
      </c>
      <c r="X592" s="10">
        <f>SUM(V$13:V592)/COUNTA(B$13:B592)</f>
        <v>0</v>
      </c>
      <c r="Z592" s="5"/>
      <c r="AA592" s="5"/>
      <c r="AC592" s="7"/>
      <c r="AE592" s="54" t="e">
        <f t="shared" si="85"/>
        <v>#N/A</v>
      </c>
      <c r="AF592" s="4" t="e">
        <f t="shared" si="81"/>
        <v>#N/A</v>
      </c>
    </row>
    <row r="593" spans="2:32">
      <c r="B593" s="5">
        <f t="shared" si="79"/>
        <v>581</v>
      </c>
      <c r="C593" s="5"/>
      <c r="E593" s="13"/>
      <c r="F593" s="5"/>
      <c r="G593" s="11" t="str">
        <f>IF(ISERROR(AVERAGE(F$13:F593)),"n/a",AVERAGE(F$13:F593))</f>
        <v>n/a</v>
      </c>
      <c r="H593" s="11" t="str">
        <f t="shared" si="82"/>
        <v>n/a</v>
      </c>
      <c r="J593" s="5"/>
      <c r="K593" s="5"/>
      <c r="L593" s="5"/>
      <c r="M593" s="5"/>
      <c r="N593" s="5"/>
      <c r="O593" s="8" t="str">
        <f t="shared" si="80"/>
        <v>n/a</v>
      </c>
      <c r="Q593" s="5"/>
      <c r="R593" s="5"/>
      <c r="S593" s="5"/>
      <c r="U593" s="6"/>
      <c r="V593" s="9" t="str">
        <f t="shared" si="83"/>
        <v/>
      </c>
      <c r="W593" s="9" t="str">
        <f t="shared" si="84"/>
        <v/>
      </c>
      <c r="X593" s="10">
        <f>SUM(V$13:V593)/COUNTA(B$13:B593)</f>
        <v>0</v>
      </c>
      <c r="Z593" s="5"/>
      <c r="AA593" s="5"/>
      <c r="AC593" s="7"/>
      <c r="AE593" s="54" t="e">
        <f t="shared" si="85"/>
        <v>#N/A</v>
      </c>
      <c r="AF593" s="4" t="e">
        <f t="shared" si="81"/>
        <v>#N/A</v>
      </c>
    </row>
    <row r="594" spans="2:32">
      <c r="B594" s="5">
        <f t="shared" si="79"/>
        <v>582</v>
      </c>
      <c r="C594" s="5"/>
      <c r="E594" s="13"/>
      <c r="F594" s="5"/>
      <c r="G594" s="11" t="str">
        <f>IF(ISERROR(AVERAGE(F$13:F594)),"n/a",AVERAGE(F$13:F594))</f>
        <v>n/a</v>
      </c>
      <c r="H594" s="11" t="str">
        <f t="shared" si="82"/>
        <v>n/a</v>
      </c>
      <c r="J594" s="5"/>
      <c r="K594" s="5"/>
      <c r="L594" s="5"/>
      <c r="M594" s="5"/>
      <c r="N594" s="5"/>
      <c r="O594" s="8" t="str">
        <f t="shared" si="80"/>
        <v>n/a</v>
      </c>
      <c r="Q594" s="5"/>
      <c r="R594" s="5"/>
      <c r="S594" s="5"/>
      <c r="U594" s="6"/>
      <c r="V594" s="9" t="str">
        <f t="shared" si="83"/>
        <v/>
      </c>
      <c r="W594" s="9" t="str">
        <f t="shared" si="84"/>
        <v/>
      </c>
      <c r="X594" s="10">
        <f>SUM(V$13:V594)/COUNTA(B$13:B594)</f>
        <v>0</v>
      </c>
      <c r="Z594" s="5"/>
      <c r="AA594" s="5"/>
      <c r="AC594" s="7"/>
      <c r="AE594" s="54" t="e">
        <f t="shared" si="85"/>
        <v>#N/A</v>
      </c>
      <c r="AF594" s="4" t="e">
        <f t="shared" si="81"/>
        <v>#N/A</v>
      </c>
    </row>
    <row r="595" spans="2:32">
      <c r="B595" s="5">
        <f t="shared" ref="B595:B658" si="86">+B594+1</f>
        <v>583</v>
      </c>
      <c r="C595" s="5"/>
      <c r="E595" s="13"/>
      <c r="F595" s="5"/>
      <c r="G595" s="11" t="str">
        <f>IF(ISERROR(AVERAGE(F$13:F595)),"n/a",AVERAGE(F$13:F595))</f>
        <v>n/a</v>
      </c>
      <c r="H595" s="11" t="str">
        <f t="shared" si="82"/>
        <v>n/a</v>
      </c>
      <c r="J595" s="5"/>
      <c r="K595" s="5"/>
      <c r="L595" s="5"/>
      <c r="M595" s="5"/>
      <c r="N595" s="5"/>
      <c r="O595" s="8" t="str">
        <f t="shared" si="80"/>
        <v>n/a</v>
      </c>
      <c r="Q595" s="5"/>
      <c r="R595" s="5"/>
      <c r="S595" s="5"/>
      <c r="U595" s="6"/>
      <c r="V595" s="9" t="str">
        <f t="shared" si="83"/>
        <v/>
      </c>
      <c r="W595" s="9" t="str">
        <f t="shared" si="84"/>
        <v/>
      </c>
      <c r="X595" s="10">
        <f>SUM(V$13:V595)/COUNTA(B$13:B595)</f>
        <v>0</v>
      </c>
      <c r="Z595" s="5"/>
      <c r="AA595" s="5"/>
      <c r="AC595" s="7"/>
      <c r="AE595" s="54" t="e">
        <f t="shared" si="85"/>
        <v>#N/A</v>
      </c>
      <c r="AF595" s="4" t="e">
        <f t="shared" si="81"/>
        <v>#N/A</v>
      </c>
    </row>
    <row r="596" spans="2:32">
      <c r="B596" s="5">
        <f t="shared" si="86"/>
        <v>584</v>
      </c>
      <c r="C596" s="5"/>
      <c r="E596" s="13"/>
      <c r="F596" s="5"/>
      <c r="G596" s="11" t="str">
        <f>IF(ISERROR(AVERAGE(F$13:F596)),"n/a",AVERAGE(F$13:F596))</f>
        <v>n/a</v>
      </c>
      <c r="H596" s="11" t="str">
        <f t="shared" si="82"/>
        <v>n/a</v>
      </c>
      <c r="J596" s="5"/>
      <c r="K596" s="5"/>
      <c r="L596" s="5"/>
      <c r="M596" s="5"/>
      <c r="N596" s="5"/>
      <c r="O596" s="8" t="str">
        <f t="shared" si="80"/>
        <v>n/a</v>
      </c>
      <c r="Q596" s="5"/>
      <c r="R596" s="5"/>
      <c r="S596" s="5"/>
      <c r="U596" s="6"/>
      <c r="V596" s="9" t="str">
        <f t="shared" si="83"/>
        <v/>
      </c>
      <c r="W596" s="9" t="str">
        <f t="shared" si="84"/>
        <v/>
      </c>
      <c r="X596" s="10">
        <f>SUM(V$13:V596)/COUNTA(B$13:B596)</f>
        <v>0</v>
      </c>
      <c r="Z596" s="5"/>
      <c r="AA596" s="5"/>
      <c r="AC596" s="7"/>
      <c r="AE596" s="54" t="e">
        <f t="shared" si="85"/>
        <v>#N/A</v>
      </c>
      <c r="AF596" s="4" t="e">
        <f t="shared" si="81"/>
        <v>#N/A</v>
      </c>
    </row>
    <row r="597" spans="2:32">
      <c r="B597" s="5">
        <f t="shared" si="86"/>
        <v>585</v>
      </c>
      <c r="C597" s="5"/>
      <c r="E597" s="13"/>
      <c r="F597" s="5"/>
      <c r="G597" s="11" t="str">
        <f>IF(ISERROR(AVERAGE(F$13:F597)),"n/a",AVERAGE(F$13:F597))</f>
        <v>n/a</v>
      </c>
      <c r="H597" s="11" t="str">
        <f t="shared" si="82"/>
        <v>n/a</v>
      </c>
      <c r="J597" s="5"/>
      <c r="K597" s="5"/>
      <c r="L597" s="5"/>
      <c r="M597" s="5"/>
      <c r="N597" s="5"/>
      <c r="O597" s="8" t="str">
        <f t="shared" si="80"/>
        <v>n/a</v>
      </c>
      <c r="Q597" s="5"/>
      <c r="R597" s="5"/>
      <c r="S597" s="5"/>
      <c r="U597" s="6"/>
      <c r="V597" s="9" t="str">
        <f t="shared" si="83"/>
        <v/>
      </c>
      <c r="W597" s="9" t="str">
        <f t="shared" si="84"/>
        <v/>
      </c>
      <c r="X597" s="10">
        <f>SUM(V$13:V597)/COUNTA(B$13:B597)</f>
        <v>0</v>
      </c>
      <c r="Z597" s="5"/>
      <c r="AA597" s="5"/>
      <c r="AC597" s="7"/>
      <c r="AE597" s="54" t="e">
        <f t="shared" si="85"/>
        <v>#N/A</v>
      </c>
      <c r="AF597" s="4" t="e">
        <f t="shared" si="81"/>
        <v>#N/A</v>
      </c>
    </row>
    <row r="598" spans="2:32">
      <c r="B598" s="5">
        <f t="shared" si="86"/>
        <v>586</v>
      </c>
      <c r="C598" s="5"/>
      <c r="E598" s="13"/>
      <c r="F598" s="5"/>
      <c r="G598" s="11" t="str">
        <f>IF(ISERROR(AVERAGE(F$13:F598)),"n/a",AVERAGE(F$13:F598))</f>
        <v>n/a</v>
      </c>
      <c r="H598" s="11" t="str">
        <f t="shared" si="82"/>
        <v>n/a</v>
      </c>
      <c r="J598" s="5"/>
      <c r="K598" s="5"/>
      <c r="L598" s="5"/>
      <c r="M598" s="5"/>
      <c r="N598" s="5"/>
      <c r="O598" s="8" t="str">
        <f t="shared" si="80"/>
        <v>n/a</v>
      </c>
      <c r="Q598" s="5"/>
      <c r="R598" s="5"/>
      <c r="S598" s="5"/>
      <c r="U598" s="6"/>
      <c r="V598" s="9" t="str">
        <f t="shared" si="83"/>
        <v/>
      </c>
      <c r="W598" s="9" t="str">
        <f t="shared" si="84"/>
        <v/>
      </c>
      <c r="X598" s="10">
        <f>SUM(V$13:V598)/COUNTA(B$13:B598)</f>
        <v>0</v>
      </c>
      <c r="Z598" s="5"/>
      <c r="AA598" s="5"/>
      <c r="AC598" s="7"/>
      <c r="AE598" s="54" t="e">
        <f t="shared" si="85"/>
        <v>#N/A</v>
      </c>
      <c r="AF598" s="4" t="e">
        <f t="shared" si="81"/>
        <v>#N/A</v>
      </c>
    </row>
    <row r="599" spans="2:32">
      <c r="B599" s="5">
        <f t="shared" si="86"/>
        <v>587</v>
      </c>
      <c r="C599" s="5"/>
      <c r="E599" s="13"/>
      <c r="F599" s="5"/>
      <c r="G599" s="11" t="str">
        <f>IF(ISERROR(AVERAGE(F$13:F599)),"n/a",AVERAGE(F$13:F599))</f>
        <v>n/a</v>
      </c>
      <c r="H599" s="11" t="str">
        <f t="shared" si="82"/>
        <v>n/a</v>
      </c>
      <c r="J599" s="5"/>
      <c r="K599" s="5"/>
      <c r="L599" s="5"/>
      <c r="M599" s="5"/>
      <c r="N599" s="5"/>
      <c r="O599" s="8" t="str">
        <f t="shared" si="80"/>
        <v>n/a</v>
      </c>
      <c r="Q599" s="5"/>
      <c r="R599" s="5"/>
      <c r="S599" s="5"/>
      <c r="U599" s="6"/>
      <c r="V599" s="9" t="str">
        <f t="shared" si="83"/>
        <v/>
      </c>
      <c r="W599" s="9" t="str">
        <f t="shared" si="84"/>
        <v/>
      </c>
      <c r="X599" s="10">
        <f>SUM(V$13:V599)/COUNTA(B$13:B599)</f>
        <v>0</v>
      </c>
      <c r="Z599" s="5"/>
      <c r="AA599" s="5"/>
      <c r="AC599" s="7"/>
      <c r="AE599" s="54" t="e">
        <f t="shared" si="85"/>
        <v>#N/A</v>
      </c>
      <c r="AF599" s="4" t="e">
        <f t="shared" si="81"/>
        <v>#N/A</v>
      </c>
    </row>
    <row r="600" spans="2:32">
      <c r="B600" s="5">
        <f t="shared" si="86"/>
        <v>588</v>
      </c>
      <c r="C600" s="5"/>
      <c r="E600" s="13"/>
      <c r="F600" s="5"/>
      <c r="G600" s="11" t="str">
        <f>IF(ISERROR(AVERAGE(F$13:F600)),"n/a",AVERAGE(F$13:F600))</f>
        <v>n/a</v>
      </c>
      <c r="H600" s="11" t="str">
        <f t="shared" si="82"/>
        <v>n/a</v>
      </c>
      <c r="J600" s="5"/>
      <c r="K600" s="5"/>
      <c r="L600" s="5"/>
      <c r="M600" s="5"/>
      <c r="N600" s="5"/>
      <c r="O600" s="8" t="str">
        <f t="shared" si="80"/>
        <v>n/a</v>
      </c>
      <c r="Q600" s="5"/>
      <c r="R600" s="5"/>
      <c r="S600" s="5"/>
      <c r="U600" s="6"/>
      <c r="V600" s="9" t="str">
        <f t="shared" si="83"/>
        <v/>
      </c>
      <c r="W600" s="9" t="str">
        <f t="shared" si="84"/>
        <v/>
      </c>
      <c r="X600" s="10">
        <f>SUM(V$13:V600)/COUNTA(B$13:B600)</f>
        <v>0</v>
      </c>
      <c r="Z600" s="5"/>
      <c r="AA600" s="5"/>
      <c r="AC600" s="7"/>
      <c r="AE600" s="54" t="e">
        <f t="shared" si="85"/>
        <v>#N/A</v>
      </c>
      <c r="AF600" s="4" t="e">
        <f t="shared" si="81"/>
        <v>#N/A</v>
      </c>
    </row>
    <row r="601" spans="2:32">
      <c r="B601" s="5">
        <f t="shared" si="86"/>
        <v>589</v>
      </c>
      <c r="C601" s="5"/>
      <c r="E601" s="13"/>
      <c r="F601" s="5"/>
      <c r="G601" s="11" t="str">
        <f>IF(ISERROR(AVERAGE(F$13:F601)),"n/a",AVERAGE(F$13:F601))</f>
        <v>n/a</v>
      </c>
      <c r="H601" s="11" t="str">
        <f t="shared" si="82"/>
        <v>n/a</v>
      </c>
      <c r="J601" s="5"/>
      <c r="K601" s="5"/>
      <c r="L601" s="5"/>
      <c r="M601" s="5"/>
      <c r="N601" s="5"/>
      <c r="O601" s="8" t="str">
        <f t="shared" si="80"/>
        <v>n/a</v>
      </c>
      <c r="Q601" s="5"/>
      <c r="R601" s="5"/>
      <c r="S601" s="5"/>
      <c r="U601" s="6"/>
      <c r="V601" s="9" t="str">
        <f t="shared" si="83"/>
        <v/>
      </c>
      <c r="W601" s="9" t="str">
        <f t="shared" si="84"/>
        <v/>
      </c>
      <c r="X601" s="10">
        <f>SUM(V$13:V601)/COUNTA(B$13:B601)</f>
        <v>0</v>
      </c>
      <c r="Z601" s="5"/>
      <c r="AA601" s="5"/>
      <c r="AC601" s="7"/>
      <c r="AE601" s="54" t="e">
        <f t="shared" si="85"/>
        <v>#N/A</v>
      </c>
      <c r="AF601" s="4" t="e">
        <f t="shared" si="81"/>
        <v>#N/A</v>
      </c>
    </row>
    <row r="602" spans="2:32">
      <c r="B602" s="5">
        <f t="shared" si="86"/>
        <v>590</v>
      </c>
      <c r="C602" s="5"/>
      <c r="E602" s="13"/>
      <c r="F602" s="5"/>
      <c r="G602" s="11" t="str">
        <f>IF(ISERROR(AVERAGE(F$13:F602)),"n/a",AVERAGE(F$13:F602))</f>
        <v>n/a</v>
      </c>
      <c r="H602" s="11" t="str">
        <f t="shared" si="82"/>
        <v>n/a</v>
      </c>
      <c r="J602" s="5"/>
      <c r="K602" s="5"/>
      <c r="L602" s="5"/>
      <c r="M602" s="5"/>
      <c r="N602" s="5"/>
      <c r="O602" s="8" t="str">
        <f t="shared" si="80"/>
        <v>n/a</v>
      </c>
      <c r="Q602" s="5"/>
      <c r="R602" s="5"/>
      <c r="S602" s="5"/>
      <c r="U602" s="6"/>
      <c r="V602" s="9" t="str">
        <f t="shared" si="83"/>
        <v/>
      </c>
      <c r="W602" s="9" t="str">
        <f t="shared" si="84"/>
        <v/>
      </c>
      <c r="X602" s="10">
        <f>SUM(V$13:V602)/COUNTA(B$13:B602)</f>
        <v>0</v>
      </c>
      <c r="Z602" s="5"/>
      <c r="AA602" s="5"/>
      <c r="AC602" s="7"/>
      <c r="AE602" s="54" t="e">
        <f t="shared" si="85"/>
        <v>#N/A</v>
      </c>
      <c r="AF602" s="4" t="e">
        <f t="shared" si="81"/>
        <v>#N/A</v>
      </c>
    </row>
    <row r="603" spans="2:32">
      <c r="B603" s="5">
        <f t="shared" si="86"/>
        <v>591</v>
      </c>
      <c r="C603" s="5"/>
      <c r="E603" s="13"/>
      <c r="F603" s="5"/>
      <c r="G603" s="11" t="str">
        <f>IF(ISERROR(AVERAGE(F$13:F603)),"n/a",AVERAGE(F$13:F603))</f>
        <v>n/a</v>
      </c>
      <c r="H603" s="11" t="str">
        <f t="shared" si="82"/>
        <v>n/a</v>
      </c>
      <c r="J603" s="5"/>
      <c r="K603" s="5"/>
      <c r="L603" s="5"/>
      <c r="M603" s="5"/>
      <c r="N603" s="5"/>
      <c r="O603" s="8" t="str">
        <f t="shared" si="80"/>
        <v>n/a</v>
      </c>
      <c r="Q603" s="5"/>
      <c r="R603" s="5"/>
      <c r="S603" s="5"/>
      <c r="U603" s="6"/>
      <c r="V603" s="9" t="str">
        <f t="shared" si="83"/>
        <v/>
      </c>
      <c r="W603" s="9" t="str">
        <f t="shared" si="84"/>
        <v/>
      </c>
      <c r="X603" s="10">
        <f>SUM(V$13:V603)/COUNTA(B$13:B603)</f>
        <v>0</v>
      </c>
      <c r="Z603" s="5"/>
      <c r="AA603" s="5"/>
      <c r="AC603" s="7"/>
      <c r="AE603" s="54" t="e">
        <f t="shared" si="85"/>
        <v>#N/A</v>
      </c>
      <c r="AF603" s="4" t="e">
        <f t="shared" si="81"/>
        <v>#N/A</v>
      </c>
    </row>
    <row r="604" spans="2:32">
      <c r="B604" s="5">
        <f t="shared" si="86"/>
        <v>592</v>
      </c>
      <c r="C604" s="5"/>
      <c r="E604" s="13"/>
      <c r="F604" s="5"/>
      <c r="G604" s="11" t="str">
        <f>IF(ISERROR(AVERAGE(F$13:F604)),"n/a",AVERAGE(F$13:F604))</f>
        <v>n/a</v>
      </c>
      <c r="H604" s="11" t="str">
        <f t="shared" si="82"/>
        <v>n/a</v>
      </c>
      <c r="J604" s="5"/>
      <c r="K604" s="5"/>
      <c r="L604" s="5"/>
      <c r="M604" s="5"/>
      <c r="N604" s="5"/>
      <c r="O604" s="8" t="str">
        <f t="shared" si="80"/>
        <v>n/a</v>
      </c>
      <c r="Q604" s="5"/>
      <c r="R604" s="5"/>
      <c r="S604" s="5"/>
      <c r="U604" s="6"/>
      <c r="V604" s="9" t="str">
        <f t="shared" si="83"/>
        <v/>
      </c>
      <c r="W604" s="9" t="str">
        <f t="shared" si="84"/>
        <v/>
      </c>
      <c r="X604" s="10">
        <f>SUM(V$13:V604)/COUNTA(B$13:B604)</f>
        <v>0</v>
      </c>
      <c r="Z604" s="5"/>
      <c r="AA604" s="5"/>
      <c r="AC604" s="7"/>
      <c r="AE604" s="54" t="e">
        <f t="shared" si="85"/>
        <v>#N/A</v>
      </c>
      <c r="AF604" s="4" t="e">
        <f t="shared" si="81"/>
        <v>#N/A</v>
      </c>
    </row>
    <row r="605" spans="2:32">
      <c r="B605" s="5">
        <f t="shared" si="86"/>
        <v>593</v>
      </c>
      <c r="C605" s="5"/>
      <c r="E605" s="13"/>
      <c r="F605" s="5"/>
      <c r="G605" s="11" t="str">
        <f>IF(ISERROR(AVERAGE(F$13:F605)),"n/a",AVERAGE(F$13:F605))</f>
        <v>n/a</v>
      </c>
      <c r="H605" s="11" t="str">
        <f t="shared" si="82"/>
        <v>n/a</v>
      </c>
      <c r="J605" s="5"/>
      <c r="K605" s="5"/>
      <c r="L605" s="5"/>
      <c r="M605" s="5"/>
      <c r="N605" s="5"/>
      <c r="O605" s="8" t="str">
        <f t="shared" si="80"/>
        <v>n/a</v>
      </c>
      <c r="Q605" s="5"/>
      <c r="R605" s="5"/>
      <c r="S605" s="5"/>
      <c r="U605" s="6"/>
      <c r="V605" s="9" t="str">
        <f t="shared" si="83"/>
        <v/>
      </c>
      <c r="W605" s="9" t="str">
        <f t="shared" si="84"/>
        <v/>
      </c>
      <c r="X605" s="10">
        <f>SUM(V$13:V605)/COUNTA(B$13:B605)</f>
        <v>0</v>
      </c>
      <c r="Z605" s="5"/>
      <c r="AA605" s="5"/>
      <c r="AC605" s="7"/>
      <c r="AE605" s="54" t="e">
        <f t="shared" si="85"/>
        <v>#N/A</v>
      </c>
      <c r="AF605" s="4" t="e">
        <f t="shared" si="81"/>
        <v>#N/A</v>
      </c>
    </row>
    <row r="606" spans="2:32">
      <c r="B606" s="5">
        <f t="shared" si="86"/>
        <v>594</v>
      </c>
      <c r="C606" s="5"/>
      <c r="E606" s="13"/>
      <c r="F606" s="5"/>
      <c r="G606" s="11" t="str">
        <f>IF(ISERROR(AVERAGE(F$13:F606)),"n/a",AVERAGE(F$13:F606))</f>
        <v>n/a</v>
      </c>
      <c r="H606" s="11" t="str">
        <f t="shared" si="82"/>
        <v>n/a</v>
      </c>
      <c r="J606" s="5"/>
      <c r="K606" s="5"/>
      <c r="L606" s="5"/>
      <c r="M606" s="5"/>
      <c r="N606" s="5"/>
      <c r="O606" s="8" t="str">
        <f t="shared" si="80"/>
        <v>n/a</v>
      </c>
      <c r="Q606" s="5"/>
      <c r="R606" s="5"/>
      <c r="S606" s="5"/>
      <c r="U606" s="6"/>
      <c r="V606" s="9" t="str">
        <f t="shared" si="83"/>
        <v/>
      </c>
      <c r="W606" s="9" t="str">
        <f t="shared" si="84"/>
        <v/>
      </c>
      <c r="X606" s="10">
        <f>SUM(V$13:V606)/COUNTA(B$13:B606)</f>
        <v>0</v>
      </c>
      <c r="Z606" s="5"/>
      <c r="AA606" s="5"/>
      <c r="AC606" s="7"/>
      <c r="AE606" s="54" t="e">
        <f t="shared" si="85"/>
        <v>#N/A</v>
      </c>
      <c r="AF606" s="4" t="e">
        <f t="shared" si="81"/>
        <v>#N/A</v>
      </c>
    </row>
    <row r="607" spans="2:32">
      <c r="B607" s="5">
        <f t="shared" si="86"/>
        <v>595</v>
      </c>
      <c r="C607" s="5"/>
      <c r="E607" s="13"/>
      <c r="F607" s="5"/>
      <c r="G607" s="11" t="str">
        <f>IF(ISERROR(AVERAGE(F$13:F607)),"n/a",AVERAGE(F$13:F607))</f>
        <v>n/a</v>
      </c>
      <c r="H607" s="11" t="str">
        <f t="shared" si="82"/>
        <v>n/a</v>
      </c>
      <c r="J607" s="5"/>
      <c r="K607" s="5"/>
      <c r="L607" s="5"/>
      <c r="M607" s="5"/>
      <c r="N607" s="5"/>
      <c r="O607" s="8" t="str">
        <f t="shared" si="80"/>
        <v>n/a</v>
      </c>
      <c r="Q607" s="5"/>
      <c r="R607" s="5"/>
      <c r="S607" s="5"/>
      <c r="U607" s="6"/>
      <c r="V607" s="9" t="str">
        <f t="shared" si="83"/>
        <v/>
      </c>
      <c r="W607" s="9" t="str">
        <f t="shared" si="84"/>
        <v/>
      </c>
      <c r="X607" s="10">
        <f>SUM(V$13:V607)/COUNTA(B$13:B607)</f>
        <v>0</v>
      </c>
      <c r="Z607" s="5"/>
      <c r="AA607" s="5"/>
      <c r="AC607" s="7"/>
      <c r="AE607" s="54" t="e">
        <f t="shared" si="85"/>
        <v>#N/A</v>
      </c>
      <c r="AF607" s="4" t="e">
        <f t="shared" si="81"/>
        <v>#N/A</v>
      </c>
    </row>
    <row r="608" spans="2:32">
      <c r="B608" s="5">
        <f t="shared" si="86"/>
        <v>596</v>
      </c>
      <c r="C608" s="5"/>
      <c r="E608" s="13"/>
      <c r="F608" s="5"/>
      <c r="G608" s="11" t="str">
        <f>IF(ISERROR(AVERAGE(F$13:F608)),"n/a",AVERAGE(F$13:F608))</f>
        <v>n/a</v>
      </c>
      <c r="H608" s="11" t="str">
        <f t="shared" si="82"/>
        <v>n/a</v>
      </c>
      <c r="J608" s="5"/>
      <c r="K608" s="5"/>
      <c r="L608" s="5"/>
      <c r="M608" s="5"/>
      <c r="N608" s="5"/>
      <c r="O608" s="8" t="str">
        <f t="shared" si="80"/>
        <v>n/a</v>
      </c>
      <c r="Q608" s="5"/>
      <c r="R608" s="5"/>
      <c r="S608" s="5"/>
      <c r="U608" s="6"/>
      <c r="V608" s="9" t="str">
        <f t="shared" si="83"/>
        <v/>
      </c>
      <c r="W608" s="9" t="str">
        <f t="shared" si="84"/>
        <v/>
      </c>
      <c r="X608" s="10">
        <f>SUM(V$13:V608)/COUNTA(B$13:B608)</f>
        <v>0</v>
      </c>
      <c r="Z608" s="5"/>
      <c r="AA608" s="5"/>
      <c r="AC608" s="7"/>
      <c r="AE608" s="54" t="e">
        <f t="shared" si="85"/>
        <v>#N/A</v>
      </c>
      <c r="AF608" s="4" t="e">
        <f t="shared" si="81"/>
        <v>#N/A</v>
      </c>
    </row>
    <row r="609" spans="2:32">
      <c r="B609" s="5">
        <f t="shared" si="86"/>
        <v>597</v>
      </c>
      <c r="C609" s="5"/>
      <c r="E609" s="13"/>
      <c r="F609" s="5"/>
      <c r="G609" s="11" t="str">
        <f>IF(ISERROR(AVERAGE(F$13:F609)),"n/a",AVERAGE(F$13:F609))</f>
        <v>n/a</v>
      </c>
      <c r="H609" s="11" t="str">
        <f t="shared" si="82"/>
        <v>n/a</v>
      </c>
      <c r="J609" s="5"/>
      <c r="K609" s="5"/>
      <c r="L609" s="5"/>
      <c r="M609" s="5"/>
      <c r="N609" s="5"/>
      <c r="O609" s="8" t="str">
        <f t="shared" si="80"/>
        <v>n/a</v>
      </c>
      <c r="Q609" s="5"/>
      <c r="R609" s="5"/>
      <c r="S609" s="5"/>
      <c r="U609" s="6"/>
      <c r="V609" s="9" t="str">
        <f t="shared" si="83"/>
        <v/>
      </c>
      <c r="W609" s="9" t="str">
        <f t="shared" si="84"/>
        <v/>
      </c>
      <c r="X609" s="10">
        <f>SUM(V$13:V609)/COUNTA(B$13:B609)</f>
        <v>0</v>
      </c>
      <c r="Z609" s="5"/>
      <c r="AA609" s="5"/>
      <c r="AC609" s="7"/>
      <c r="AE609" s="54" t="e">
        <f t="shared" si="85"/>
        <v>#N/A</v>
      </c>
      <c r="AF609" s="4" t="e">
        <f t="shared" si="81"/>
        <v>#N/A</v>
      </c>
    </row>
    <row r="610" spans="2:32">
      <c r="B610" s="5">
        <f t="shared" si="86"/>
        <v>598</v>
      </c>
      <c r="C610" s="5"/>
      <c r="E610" s="13"/>
      <c r="F610" s="5"/>
      <c r="G610" s="11" t="str">
        <f>IF(ISERROR(AVERAGE(F$13:F610)),"n/a",AVERAGE(F$13:F610))</f>
        <v>n/a</v>
      </c>
      <c r="H610" s="11" t="str">
        <f t="shared" si="82"/>
        <v>n/a</v>
      </c>
      <c r="J610" s="5"/>
      <c r="K610" s="5"/>
      <c r="L610" s="5"/>
      <c r="M610" s="5"/>
      <c r="N610" s="5"/>
      <c r="O610" s="8" t="str">
        <f t="shared" si="80"/>
        <v>n/a</v>
      </c>
      <c r="Q610" s="5"/>
      <c r="R610" s="5"/>
      <c r="S610" s="5"/>
      <c r="U610" s="6"/>
      <c r="V610" s="9" t="str">
        <f t="shared" si="83"/>
        <v/>
      </c>
      <c r="W610" s="9" t="str">
        <f t="shared" si="84"/>
        <v/>
      </c>
      <c r="X610" s="10">
        <f>SUM(V$13:V610)/COUNTA(B$13:B610)</f>
        <v>0</v>
      </c>
      <c r="Z610" s="5"/>
      <c r="AA610" s="5"/>
      <c r="AC610" s="7"/>
      <c r="AE610" s="54" t="e">
        <f t="shared" si="85"/>
        <v>#N/A</v>
      </c>
      <c r="AF610" s="4" t="e">
        <f t="shared" si="81"/>
        <v>#N/A</v>
      </c>
    </row>
    <row r="611" spans="2:32">
      <c r="B611" s="5">
        <f t="shared" si="86"/>
        <v>599</v>
      </c>
      <c r="C611" s="5"/>
      <c r="E611" s="13"/>
      <c r="F611" s="5"/>
      <c r="G611" s="11" t="str">
        <f>IF(ISERROR(AVERAGE(F$13:F611)),"n/a",AVERAGE(F$13:F611))</f>
        <v>n/a</v>
      </c>
      <c r="H611" s="11" t="str">
        <f t="shared" si="82"/>
        <v>n/a</v>
      </c>
      <c r="J611" s="5"/>
      <c r="K611" s="5"/>
      <c r="L611" s="5"/>
      <c r="M611" s="5"/>
      <c r="N611" s="5"/>
      <c r="O611" s="8" t="str">
        <f t="shared" si="80"/>
        <v>n/a</v>
      </c>
      <c r="Q611" s="5"/>
      <c r="R611" s="5"/>
      <c r="S611" s="5"/>
      <c r="U611" s="6"/>
      <c r="V611" s="9" t="str">
        <f t="shared" si="83"/>
        <v/>
      </c>
      <c r="W611" s="9" t="str">
        <f t="shared" si="84"/>
        <v/>
      </c>
      <c r="X611" s="10">
        <f>SUM(V$13:V611)/COUNTA(B$13:B611)</f>
        <v>0</v>
      </c>
      <c r="Z611" s="5"/>
      <c r="AA611" s="5"/>
      <c r="AC611" s="7"/>
      <c r="AE611" s="54" t="e">
        <f t="shared" si="85"/>
        <v>#N/A</v>
      </c>
      <c r="AF611" s="4" t="e">
        <f t="shared" si="81"/>
        <v>#N/A</v>
      </c>
    </row>
    <row r="612" spans="2:32">
      <c r="B612" s="5">
        <f t="shared" si="86"/>
        <v>600</v>
      </c>
      <c r="C612" s="5"/>
      <c r="E612" s="13"/>
      <c r="F612" s="5"/>
      <c r="G612" s="11" t="str">
        <f>IF(ISERROR(AVERAGE(F$13:F612)),"n/a",AVERAGE(F$13:F612))</f>
        <v>n/a</v>
      </c>
      <c r="H612" s="11" t="str">
        <f t="shared" si="82"/>
        <v>n/a</v>
      </c>
      <c r="J612" s="5"/>
      <c r="K612" s="5"/>
      <c r="L612" s="5"/>
      <c r="M612" s="5"/>
      <c r="N612" s="5"/>
      <c r="O612" s="8" t="str">
        <f t="shared" si="80"/>
        <v>n/a</v>
      </c>
      <c r="Q612" s="5"/>
      <c r="R612" s="5"/>
      <c r="S612" s="5"/>
      <c r="U612" s="6"/>
      <c r="V612" s="9" t="str">
        <f t="shared" si="83"/>
        <v/>
      </c>
      <c r="W612" s="9" t="str">
        <f t="shared" si="84"/>
        <v/>
      </c>
      <c r="X612" s="10">
        <f>SUM(V$13:V612)/COUNTA(B$13:B612)</f>
        <v>0</v>
      </c>
      <c r="Z612" s="5"/>
      <c r="AA612" s="5"/>
      <c r="AC612" s="7"/>
      <c r="AE612" s="54" t="e">
        <f t="shared" si="85"/>
        <v>#N/A</v>
      </c>
      <c r="AF612" s="4" t="e">
        <f t="shared" si="81"/>
        <v>#N/A</v>
      </c>
    </row>
    <row r="613" spans="2:32">
      <c r="B613" s="5">
        <f t="shared" si="86"/>
        <v>601</v>
      </c>
      <c r="C613" s="5"/>
      <c r="E613" s="13"/>
      <c r="F613" s="5"/>
      <c r="G613" s="11" t="str">
        <f>IF(ISERROR(AVERAGE(F$13:F613)),"n/a",AVERAGE(F$13:F613))</f>
        <v>n/a</v>
      </c>
      <c r="H613" s="11" t="str">
        <f t="shared" si="82"/>
        <v>n/a</v>
      </c>
      <c r="J613" s="5"/>
      <c r="K613" s="5"/>
      <c r="L613" s="5"/>
      <c r="M613" s="5"/>
      <c r="N613" s="5"/>
      <c r="O613" s="8" t="str">
        <f t="shared" si="80"/>
        <v>n/a</v>
      </c>
      <c r="Q613" s="5"/>
      <c r="R613" s="5"/>
      <c r="S613" s="5"/>
      <c r="U613" s="6"/>
      <c r="V613" s="9" t="str">
        <f t="shared" si="83"/>
        <v/>
      </c>
      <c r="W613" s="9" t="str">
        <f t="shared" si="84"/>
        <v/>
      </c>
      <c r="X613" s="10">
        <f>SUM(V$13:V613)/COUNTA(B$13:B613)</f>
        <v>0</v>
      </c>
      <c r="Z613" s="5"/>
      <c r="AA613" s="5"/>
      <c r="AC613" s="7"/>
      <c r="AE613" s="54" t="e">
        <f t="shared" si="85"/>
        <v>#N/A</v>
      </c>
      <c r="AF613" s="4" t="e">
        <f t="shared" si="81"/>
        <v>#N/A</v>
      </c>
    </row>
    <row r="614" spans="2:32">
      <c r="B614" s="5">
        <f t="shared" si="86"/>
        <v>602</v>
      </c>
      <c r="C614" s="5"/>
      <c r="E614" s="13"/>
      <c r="F614" s="5"/>
      <c r="G614" s="11" t="str">
        <f>IF(ISERROR(AVERAGE(F$13:F614)),"n/a",AVERAGE(F$13:F614))</f>
        <v>n/a</v>
      </c>
      <c r="H614" s="11" t="str">
        <f t="shared" si="82"/>
        <v>n/a</v>
      </c>
      <c r="J614" s="5"/>
      <c r="K614" s="5"/>
      <c r="L614" s="5"/>
      <c r="M614" s="5"/>
      <c r="N614" s="5"/>
      <c r="O614" s="8" t="str">
        <f t="shared" si="80"/>
        <v>n/a</v>
      </c>
      <c r="Q614" s="5"/>
      <c r="R614" s="5"/>
      <c r="S614" s="5"/>
      <c r="U614" s="6"/>
      <c r="V614" s="9" t="str">
        <f t="shared" si="83"/>
        <v/>
      </c>
      <c r="W614" s="9" t="str">
        <f t="shared" si="84"/>
        <v/>
      </c>
      <c r="X614" s="10">
        <f>SUM(V$13:V614)/COUNTA(B$13:B614)</f>
        <v>0</v>
      </c>
      <c r="Z614" s="5"/>
      <c r="AA614" s="5"/>
      <c r="AC614" s="7"/>
      <c r="AE614" s="54" t="e">
        <f t="shared" si="85"/>
        <v>#N/A</v>
      </c>
      <c r="AF614" s="4" t="e">
        <f t="shared" si="81"/>
        <v>#N/A</v>
      </c>
    </row>
    <row r="615" spans="2:32">
      <c r="B615" s="5">
        <f t="shared" si="86"/>
        <v>603</v>
      </c>
      <c r="C615" s="5"/>
      <c r="E615" s="13"/>
      <c r="F615" s="5"/>
      <c r="G615" s="11" t="str">
        <f>IF(ISERROR(AVERAGE(F$13:F615)),"n/a",AVERAGE(F$13:F615))</f>
        <v>n/a</v>
      </c>
      <c r="H615" s="11" t="str">
        <f t="shared" si="82"/>
        <v>n/a</v>
      </c>
      <c r="J615" s="5"/>
      <c r="K615" s="5"/>
      <c r="L615" s="5"/>
      <c r="M615" s="5"/>
      <c r="N615" s="5"/>
      <c r="O615" s="8" t="str">
        <f t="shared" si="80"/>
        <v>n/a</v>
      </c>
      <c r="Q615" s="5"/>
      <c r="R615" s="5"/>
      <c r="S615" s="5"/>
      <c r="U615" s="6"/>
      <c r="V615" s="9" t="str">
        <f t="shared" si="83"/>
        <v/>
      </c>
      <c r="W615" s="9" t="str">
        <f t="shared" si="84"/>
        <v/>
      </c>
      <c r="X615" s="10">
        <f>SUM(V$13:V615)/COUNTA(B$13:B615)</f>
        <v>0</v>
      </c>
      <c r="Z615" s="5"/>
      <c r="AA615" s="5"/>
      <c r="AC615" s="7"/>
      <c r="AE615" s="54" t="e">
        <f t="shared" si="85"/>
        <v>#N/A</v>
      </c>
      <c r="AF615" s="4" t="e">
        <f t="shared" si="81"/>
        <v>#N/A</v>
      </c>
    </row>
    <row r="616" spans="2:32">
      <c r="B616" s="5">
        <f t="shared" si="86"/>
        <v>604</v>
      </c>
      <c r="C616" s="5"/>
      <c r="E616" s="13"/>
      <c r="F616" s="5"/>
      <c r="G616" s="11" t="str">
        <f>IF(ISERROR(AVERAGE(F$13:F616)),"n/a",AVERAGE(F$13:F616))</f>
        <v>n/a</v>
      </c>
      <c r="H616" s="11" t="str">
        <f t="shared" si="82"/>
        <v>n/a</v>
      </c>
      <c r="J616" s="5"/>
      <c r="K616" s="5"/>
      <c r="L616" s="5"/>
      <c r="M616" s="5"/>
      <c r="N616" s="5"/>
      <c r="O616" s="8" t="str">
        <f t="shared" si="80"/>
        <v>n/a</v>
      </c>
      <c r="Q616" s="5"/>
      <c r="R616" s="5"/>
      <c r="S616" s="5"/>
      <c r="U616" s="6"/>
      <c r="V616" s="9" t="str">
        <f t="shared" si="83"/>
        <v/>
      </c>
      <c r="W616" s="9" t="str">
        <f t="shared" si="84"/>
        <v/>
      </c>
      <c r="X616" s="10">
        <f>SUM(V$13:V616)/COUNTA(B$13:B616)</f>
        <v>0</v>
      </c>
      <c r="Z616" s="5"/>
      <c r="AA616" s="5"/>
      <c r="AC616" s="7"/>
      <c r="AE616" s="54" t="e">
        <f t="shared" si="85"/>
        <v>#N/A</v>
      </c>
      <c r="AF616" s="4" t="e">
        <f t="shared" si="81"/>
        <v>#N/A</v>
      </c>
    </row>
    <row r="617" spans="2:32">
      <c r="B617" s="5">
        <f t="shared" si="86"/>
        <v>605</v>
      </c>
      <c r="C617" s="5"/>
      <c r="E617" s="13"/>
      <c r="F617" s="5"/>
      <c r="G617" s="11" t="str">
        <f>IF(ISERROR(AVERAGE(F$13:F617)),"n/a",AVERAGE(F$13:F617))</f>
        <v>n/a</v>
      </c>
      <c r="H617" s="11" t="str">
        <f t="shared" si="82"/>
        <v>n/a</v>
      </c>
      <c r="J617" s="5"/>
      <c r="K617" s="5"/>
      <c r="L617" s="5"/>
      <c r="M617" s="5"/>
      <c r="N617" s="5"/>
      <c r="O617" s="8" t="str">
        <f t="shared" si="80"/>
        <v>n/a</v>
      </c>
      <c r="Q617" s="5"/>
      <c r="R617" s="5"/>
      <c r="S617" s="5"/>
      <c r="U617" s="6"/>
      <c r="V617" s="9" t="str">
        <f t="shared" si="83"/>
        <v/>
      </c>
      <c r="W617" s="9" t="str">
        <f t="shared" si="84"/>
        <v/>
      </c>
      <c r="X617" s="10">
        <f>SUM(V$13:V617)/COUNTA(B$13:B617)</f>
        <v>0</v>
      </c>
      <c r="Z617" s="5"/>
      <c r="AA617" s="5"/>
      <c r="AC617" s="7"/>
      <c r="AE617" s="54" t="e">
        <f t="shared" si="85"/>
        <v>#N/A</v>
      </c>
      <c r="AF617" s="4" t="e">
        <f t="shared" si="81"/>
        <v>#N/A</v>
      </c>
    </row>
    <row r="618" spans="2:32">
      <c r="B618" s="5">
        <f t="shared" si="86"/>
        <v>606</v>
      </c>
      <c r="C618" s="5"/>
      <c r="E618" s="13"/>
      <c r="F618" s="5"/>
      <c r="G618" s="11" t="str">
        <f>IF(ISERROR(AVERAGE(F$13:F618)),"n/a",AVERAGE(F$13:F618))</f>
        <v>n/a</v>
      </c>
      <c r="H618" s="11" t="str">
        <f t="shared" si="82"/>
        <v>n/a</v>
      </c>
      <c r="J618" s="5"/>
      <c r="K618" s="5"/>
      <c r="L618" s="5"/>
      <c r="M618" s="5"/>
      <c r="N618" s="5"/>
      <c r="O618" s="8" t="str">
        <f t="shared" si="80"/>
        <v>n/a</v>
      </c>
      <c r="Q618" s="5"/>
      <c r="R618" s="5"/>
      <c r="S618" s="5"/>
      <c r="U618" s="6"/>
      <c r="V618" s="9" t="str">
        <f t="shared" si="83"/>
        <v/>
      </c>
      <c r="W618" s="9" t="str">
        <f t="shared" si="84"/>
        <v/>
      </c>
      <c r="X618" s="10">
        <f>SUM(V$13:V618)/COUNTA(B$13:B618)</f>
        <v>0</v>
      </c>
      <c r="Z618" s="5"/>
      <c r="AA618" s="5"/>
      <c r="AC618" s="7"/>
      <c r="AE618" s="54" t="e">
        <f t="shared" si="85"/>
        <v>#N/A</v>
      </c>
      <c r="AF618" s="4" t="e">
        <f t="shared" si="81"/>
        <v>#N/A</v>
      </c>
    </row>
    <row r="619" spans="2:32">
      <c r="B619" s="5">
        <f t="shared" si="86"/>
        <v>607</v>
      </c>
      <c r="C619" s="5"/>
      <c r="E619" s="13"/>
      <c r="F619" s="5"/>
      <c r="G619" s="11" t="str">
        <f>IF(ISERROR(AVERAGE(F$13:F619)),"n/a",AVERAGE(F$13:F619))</f>
        <v>n/a</v>
      </c>
      <c r="H619" s="11" t="str">
        <f t="shared" si="82"/>
        <v>n/a</v>
      </c>
      <c r="J619" s="5"/>
      <c r="K619" s="5"/>
      <c r="L619" s="5"/>
      <c r="M619" s="5"/>
      <c r="N619" s="5"/>
      <c r="O619" s="8" t="str">
        <f t="shared" si="80"/>
        <v>n/a</v>
      </c>
      <c r="Q619" s="5"/>
      <c r="R619" s="5"/>
      <c r="S619" s="5"/>
      <c r="U619" s="6"/>
      <c r="V619" s="9" t="str">
        <f t="shared" si="83"/>
        <v/>
      </c>
      <c r="W619" s="9" t="str">
        <f t="shared" si="84"/>
        <v/>
      </c>
      <c r="X619" s="10">
        <f>SUM(V$13:V619)/COUNTA(B$13:B619)</f>
        <v>0</v>
      </c>
      <c r="Z619" s="5"/>
      <c r="AA619" s="5"/>
      <c r="AC619" s="7"/>
      <c r="AE619" s="54" t="e">
        <f t="shared" si="85"/>
        <v>#N/A</v>
      </c>
      <c r="AF619" s="4" t="e">
        <f t="shared" si="81"/>
        <v>#N/A</v>
      </c>
    </row>
    <row r="620" spans="2:32">
      <c r="B620" s="5">
        <f t="shared" si="86"/>
        <v>608</v>
      </c>
      <c r="C620" s="5"/>
      <c r="E620" s="13"/>
      <c r="F620" s="5"/>
      <c r="G620" s="11" t="str">
        <f>IF(ISERROR(AVERAGE(F$13:F620)),"n/a",AVERAGE(F$13:F620))</f>
        <v>n/a</v>
      </c>
      <c r="H620" s="11" t="str">
        <f t="shared" si="82"/>
        <v>n/a</v>
      </c>
      <c r="J620" s="5"/>
      <c r="K620" s="5"/>
      <c r="L620" s="5"/>
      <c r="M620" s="5"/>
      <c r="N620" s="5"/>
      <c r="O620" s="8" t="str">
        <f t="shared" si="80"/>
        <v>n/a</v>
      </c>
      <c r="Q620" s="5"/>
      <c r="R620" s="5"/>
      <c r="S620" s="5"/>
      <c r="U620" s="6"/>
      <c r="V620" s="9" t="str">
        <f t="shared" si="83"/>
        <v/>
      </c>
      <c r="W620" s="9" t="str">
        <f t="shared" si="84"/>
        <v/>
      </c>
      <c r="X620" s="10">
        <f>SUM(V$13:V620)/COUNTA(B$13:B620)</f>
        <v>0</v>
      </c>
      <c r="Z620" s="5"/>
      <c r="AA620" s="5"/>
      <c r="AC620" s="7"/>
      <c r="AE620" s="54" t="e">
        <f t="shared" si="85"/>
        <v>#N/A</v>
      </c>
      <c r="AF620" s="4" t="e">
        <f t="shared" si="81"/>
        <v>#N/A</v>
      </c>
    </row>
    <row r="621" spans="2:32">
      <c r="B621" s="5">
        <f t="shared" si="86"/>
        <v>609</v>
      </c>
      <c r="C621" s="5"/>
      <c r="E621" s="13"/>
      <c r="F621" s="5"/>
      <c r="G621" s="11" t="str">
        <f>IF(ISERROR(AVERAGE(F$13:F621)),"n/a",AVERAGE(F$13:F621))</f>
        <v>n/a</v>
      </c>
      <c r="H621" s="11" t="str">
        <f t="shared" si="82"/>
        <v>n/a</v>
      </c>
      <c r="J621" s="5"/>
      <c r="K621" s="5"/>
      <c r="L621" s="5"/>
      <c r="M621" s="5"/>
      <c r="N621" s="5"/>
      <c r="O621" s="8" t="str">
        <f t="shared" si="80"/>
        <v>n/a</v>
      </c>
      <c r="Q621" s="5"/>
      <c r="R621" s="5"/>
      <c r="S621" s="5"/>
      <c r="U621" s="6"/>
      <c r="V621" s="9" t="str">
        <f t="shared" si="83"/>
        <v/>
      </c>
      <c r="W621" s="9" t="str">
        <f t="shared" si="84"/>
        <v/>
      </c>
      <c r="X621" s="10">
        <f>SUM(V$13:V621)/COUNTA(B$13:B621)</f>
        <v>0</v>
      </c>
      <c r="Z621" s="5"/>
      <c r="AA621" s="5"/>
      <c r="AC621" s="7"/>
      <c r="AE621" s="54" t="e">
        <f t="shared" si="85"/>
        <v>#N/A</v>
      </c>
      <c r="AF621" s="4" t="e">
        <f t="shared" si="81"/>
        <v>#N/A</v>
      </c>
    </row>
    <row r="622" spans="2:32">
      <c r="B622" s="5">
        <f t="shared" si="86"/>
        <v>610</v>
      </c>
      <c r="C622" s="5"/>
      <c r="E622" s="13"/>
      <c r="F622" s="5"/>
      <c r="G622" s="11" t="str">
        <f>IF(ISERROR(AVERAGE(F$13:F622)),"n/a",AVERAGE(F$13:F622))</f>
        <v>n/a</v>
      </c>
      <c r="H622" s="11" t="str">
        <f t="shared" si="82"/>
        <v>n/a</v>
      </c>
      <c r="J622" s="5"/>
      <c r="K622" s="5"/>
      <c r="L622" s="5"/>
      <c r="M622" s="5"/>
      <c r="N622" s="5"/>
      <c r="O622" s="8" t="str">
        <f t="shared" si="80"/>
        <v>n/a</v>
      </c>
      <c r="Q622" s="5"/>
      <c r="R622" s="5"/>
      <c r="S622" s="5"/>
      <c r="U622" s="6"/>
      <c r="V622" s="9" t="str">
        <f t="shared" si="83"/>
        <v/>
      </c>
      <c r="W622" s="9" t="str">
        <f t="shared" si="84"/>
        <v/>
      </c>
      <c r="X622" s="10">
        <f>SUM(V$13:V622)/COUNTA(B$13:B622)</f>
        <v>0</v>
      </c>
      <c r="Z622" s="5"/>
      <c r="AA622" s="5"/>
      <c r="AC622" s="7"/>
      <c r="AE622" s="54" t="e">
        <f t="shared" si="85"/>
        <v>#N/A</v>
      </c>
      <c r="AF622" s="4" t="e">
        <f t="shared" si="81"/>
        <v>#N/A</v>
      </c>
    </row>
    <row r="623" spans="2:32">
      <c r="B623" s="5">
        <f t="shared" si="86"/>
        <v>611</v>
      </c>
      <c r="C623" s="5"/>
      <c r="E623" s="13"/>
      <c r="F623" s="5"/>
      <c r="G623" s="11" t="str">
        <f>IF(ISERROR(AVERAGE(F$13:F623)),"n/a",AVERAGE(F$13:F623))</f>
        <v>n/a</v>
      </c>
      <c r="H623" s="11" t="str">
        <f t="shared" si="82"/>
        <v>n/a</v>
      </c>
      <c r="J623" s="5"/>
      <c r="K623" s="5"/>
      <c r="L623" s="5"/>
      <c r="M623" s="5"/>
      <c r="N623" s="5"/>
      <c r="O623" s="8" t="str">
        <f t="shared" si="80"/>
        <v>n/a</v>
      </c>
      <c r="Q623" s="5"/>
      <c r="R623" s="5"/>
      <c r="S623" s="5"/>
      <c r="U623" s="6"/>
      <c r="V623" s="9" t="str">
        <f t="shared" si="83"/>
        <v/>
      </c>
      <c r="W623" s="9" t="str">
        <f t="shared" si="84"/>
        <v/>
      </c>
      <c r="X623" s="10">
        <f>SUM(V$13:V623)/COUNTA(B$13:B623)</f>
        <v>0</v>
      </c>
      <c r="Z623" s="5"/>
      <c r="AA623" s="5"/>
      <c r="AC623" s="7"/>
      <c r="AE623" s="54" t="e">
        <f t="shared" si="85"/>
        <v>#N/A</v>
      </c>
      <c r="AF623" s="4" t="e">
        <f t="shared" si="81"/>
        <v>#N/A</v>
      </c>
    </row>
    <row r="624" spans="2:32">
      <c r="B624" s="5">
        <f t="shared" si="86"/>
        <v>612</v>
      </c>
      <c r="C624" s="5"/>
      <c r="E624" s="13"/>
      <c r="F624" s="5"/>
      <c r="G624" s="11" t="str">
        <f>IF(ISERROR(AVERAGE(F$13:F624)),"n/a",AVERAGE(F$13:F624))</f>
        <v>n/a</v>
      </c>
      <c r="H624" s="11" t="str">
        <f t="shared" si="82"/>
        <v>n/a</v>
      </c>
      <c r="J624" s="5"/>
      <c r="K624" s="5"/>
      <c r="L624" s="5"/>
      <c r="M624" s="5"/>
      <c r="N624" s="5"/>
      <c r="O624" s="8" t="str">
        <f t="shared" si="80"/>
        <v>n/a</v>
      </c>
      <c r="Q624" s="5"/>
      <c r="R624" s="5"/>
      <c r="S624" s="5"/>
      <c r="U624" s="6"/>
      <c r="V624" s="9" t="str">
        <f t="shared" si="83"/>
        <v/>
      </c>
      <c r="W624" s="9" t="str">
        <f t="shared" si="84"/>
        <v/>
      </c>
      <c r="X624" s="10">
        <f>SUM(V$13:V624)/COUNTA(B$13:B624)</f>
        <v>0</v>
      </c>
      <c r="Z624" s="5"/>
      <c r="AA624" s="5"/>
      <c r="AC624" s="7"/>
      <c r="AE624" s="54" t="e">
        <f t="shared" si="85"/>
        <v>#N/A</v>
      </c>
      <c r="AF624" s="4" t="e">
        <f t="shared" si="81"/>
        <v>#N/A</v>
      </c>
    </row>
    <row r="625" spans="2:32">
      <c r="B625" s="5">
        <f t="shared" si="86"/>
        <v>613</v>
      </c>
      <c r="C625" s="5"/>
      <c r="E625" s="13"/>
      <c r="F625" s="5"/>
      <c r="G625" s="11" t="str">
        <f>IF(ISERROR(AVERAGE(F$13:F625)),"n/a",AVERAGE(F$13:F625))</f>
        <v>n/a</v>
      </c>
      <c r="H625" s="11" t="str">
        <f t="shared" si="82"/>
        <v>n/a</v>
      </c>
      <c r="J625" s="5"/>
      <c r="K625" s="5"/>
      <c r="L625" s="5"/>
      <c r="M625" s="5"/>
      <c r="N625" s="5"/>
      <c r="O625" s="8" t="str">
        <f t="shared" si="80"/>
        <v>n/a</v>
      </c>
      <c r="Q625" s="5"/>
      <c r="R625" s="5"/>
      <c r="S625" s="5"/>
      <c r="U625" s="6"/>
      <c r="V625" s="9" t="str">
        <f t="shared" si="83"/>
        <v/>
      </c>
      <c r="W625" s="9" t="str">
        <f t="shared" si="84"/>
        <v/>
      </c>
      <c r="X625" s="10">
        <f>SUM(V$13:V625)/COUNTA(B$13:B625)</f>
        <v>0</v>
      </c>
      <c r="Z625" s="5"/>
      <c r="AA625" s="5"/>
      <c r="AC625" s="7"/>
      <c r="AE625" s="54" t="e">
        <f t="shared" si="85"/>
        <v>#N/A</v>
      </c>
      <c r="AF625" s="4" t="e">
        <f t="shared" si="81"/>
        <v>#N/A</v>
      </c>
    </row>
    <row r="626" spans="2:32">
      <c r="B626" s="5">
        <f t="shared" si="86"/>
        <v>614</v>
      </c>
      <c r="C626" s="5"/>
      <c r="E626" s="13"/>
      <c r="F626" s="5"/>
      <c r="G626" s="11" t="str">
        <f>IF(ISERROR(AVERAGE(F$13:F626)),"n/a",AVERAGE(F$13:F626))</f>
        <v>n/a</v>
      </c>
      <c r="H626" s="11" t="str">
        <f t="shared" si="82"/>
        <v>n/a</v>
      </c>
      <c r="J626" s="5"/>
      <c r="K626" s="5"/>
      <c r="L626" s="5"/>
      <c r="M626" s="5"/>
      <c r="N626" s="5"/>
      <c r="O626" s="8" t="str">
        <f t="shared" si="80"/>
        <v>n/a</v>
      </c>
      <c r="Q626" s="5"/>
      <c r="R626" s="5"/>
      <c r="S626" s="5"/>
      <c r="U626" s="6"/>
      <c r="V626" s="9" t="str">
        <f t="shared" si="83"/>
        <v/>
      </c>
      <c r="W626" s="9" t="str">
        <f t="shared" si="84"/>
        <v/>
      </c>
      <c r="X626" s="10">
        <f>SUM(V$13:V626)/COUNTA(B$13:B626)</f>
        <v>0</v>
      </c>
      <c r="Z626" s="5"/>
      <c r="AA626" s="5"/>
      <c r="AC626" s="7"/>
      <c r="AE626" s="54" t="e">
        <f t="shared" si="85"/>
        <v>#N/A</v>
      </c>
      <c r="AF626" s="4" t="e">
        <f t="shared" si="81"/>
        <v>#N/A</v>
      </c>
    </row>
    <row r="627" spans="2:32">
      <c r="B627" s="5">
        <f t="shared" si="86"/>
        <v>615</v>
      </c>
      <c r="C627" s="5"/>
      <c r="E627" s="13"/>
      <c r="F627" s="5"/>
      <c r="G627" s="11" t="str">
        <f>IF(ISERROR(AVERAGE(F$13:F627)),"n/a",AVERAGE(F$13:F627))</f>
        <v>n/a</v>
      </c>
      <c r="H627" s="11" t="str">
        <f t="shared" si="82"/>
        <v>n/a</v>
      </c>
      <c r="J627" s="5"/>
      <c r="K627" s="5"/>
      <c r="L627" s="5"/>
      <c r="M627" s="5"/>
      <c r="N627" s="5"/>
      <c r="O627" s="8" t="str">
        <f t="shared" si="80"/>
        <v>n/a</v>
      </c>
      <c r="Q627" s="5"/>
      <c r="R627" s="5"/>
      <c r="S627" s="5"/>
      <c r="U627" s="6"/>
      <c r="V627" s="9" t="str">
        <f t="shared" si="83"/>
        <v/>
      </c>
      <c r="W627" s="9" t="str">
        <f t="shared" si="84"/>
        <v/>
      </c>
      <c r="X627" s="10">
        <f>SUM(V$13:V627)/COUNTA(B$13:B627)</f>
        <v>0</v>
      </c>
      <c r="Z627" s="5"/>
      <c r="AA627" s="5"/>
      <c r="AC627" s="7"/>
      <c r="AE627" s="54" t="e">
        <f t="shared" si="85"/>
        <v>#N/A</v>
      </c>
      <c r="AF627" s="4" t="e">
        <f t="shared" si="81"/>
        <v>#N/A</v>
      </c>
    </row>
    <row r="628" spans="2:32">
      <c r="B628" s="5">
        <f t="shared" si="86"/>
        <v>616</v>
      </c>
      <c r="C628" s="5"/>
      <c r="E628" s="13"/>
      <c r="F628" s="5"/>
      <c r="G628" s="11" t="str">
        <f>IF(ISERROR(AVERAGE(F$13:F628)),"n/a",AVERAGE(F$13:F628))</f>
        <v>n/a</v>
      </c>
      <c r="H628" s="11" t="str">
        <f t="shared" si="82"/>
        <v>n/a</v>
      </c>
      <c r="J628" s="5"/>
      <c r="K628" s="5"/>
      <c r="L628" s="5"/>
      <c r="M628" s="5"/>
      <c r="N628" s="5"/>
      <c r="O628" s="8" t="str">
        <f t="shared" si="80"/>
        <v>n/a</v>
      </c>
      <c r="Q628" s="5"/>
      <c r="R628" s="5"/>
      <c r="S628" s="5"/>
      <c r="U628" s="6"/>
      <c r="V628" s="9" t="str">
        <f t="shared" si="83"/>
        <v/>
      </c>
      <c r="W628" s="9" t="str">
        <f t="shared" si="84"/>
        <v/>
      </c>
      <c r="X628" s="10">
        <f>SUM(V$13:V628)/COUNTA(B$13:B628)</f>
        <v>0</v>
      </c>
      <c r="Z628" s="5"/>
      <c r="AA628" s="5"/>
      <c r="AC628" s="7"/>
      <c r="AE628" s="54" t="e">
        <f t="shared" si="85"/>
        <v>#N/A</v>
      </c>
      <c r="AF628" s="4" t="e">
        <f t="shared" si="81"/>
        <v>#N/A</v>
      </c>
    </row>
    <row r="629" spans="2:32">
      <c r="B629" s="5">
        <f t="shared" si="86"/>
        <v>617</v>
      </c>
      <c r="C629" s="5"/>
      <c r="E629" s="13"/>
      <c r="F629" s="5"/>
      <c r="G629" s="11" t="str">
        <f>IF(ISERROR(AVERAGE(F$13:F629)),"n/a",AVERAGE(F$13:F629))</f>
        <v>n/a</v>
      </c>
      <c r="H629" s="11" t="str">
        <f t="shared" si="82"/>
        <v>n/a</v>
      </c>
      <c r="J629" s="5"/>
      <c r="K629" s="5"/>
      <c r="L629" s="5"/>
      <c r="M629" s="5"/>
      <c r="N629" s="5"/>
      <c r="O629" s="8" t="str">
        <f t="shared" si="80"/>
        <v>n/a</v>
      </c>
      <c r="Q629" s="5"/>
      <c r="R629" s="5"/>
      <c r="S629" s="5"/>
      <c r="U629" s="6"/>
      <c r="V629" s="9" t="str">
        <f t="shared" si="83"/>
        <v/>
      </c>
      <c r="W629" s="9" t="str">
        <f t="shared" si="84"/>
        <v/>
      </c>
      <c r="X629" s="10">
        <f>SUM(V$13:V629)/COUNTA(B$13:B629)</f>
        <v>0</v>
      </c>
      <c r="Z629" s="5"/>
      <c r="AA629" s="5"/>
      <c r="AC629" s="7"/>
      <c r="AE629" s="54" t="e">
        <f t="shared" si="85"/>
        <v>#N/A</v>
      </c>
      <c r="AF629" s="4" t="e">
        <f t="shared" si="81"/>
        <v>#N/A</v>
      </c>
    </row>
    <row r="630" spans="2:32">
      <c r="B630" s="5">
        <f t="shared" si="86"/>
        <v>618</v>
      </c>
      <c r="C630" s="5"/>
      <c r="E630" s="13"/>
      <c r="F630" s="5"/>
      <c r="G630" s="11" t="str">
        <f>IF(ISERROR(AVERAGE(F$13:F630)),"n/a",AVERAGE(F$13:F630))</f>
        <v>n/a</v>
      </c>
      <c r="H630" s="11" t="str">
        <f t="shared" si="82"/>
        <v>n/a</v>
      </c>
      <c r="J630" s="5"/>
      <c r="K630" s="5"/>
      <c r="L630" s="5"/>
      <c r="M630" s="5"/>
      <c r="N630" s="5"/>
      <c r="O630" s="8" t="str">
        <f t="shared" si="80"/>
        <v>n/a</v>
      </c>
      <c r="Q630" s="5"/>
      <c r="R630" s="5"/>
      <c r="S630" s="5"/>
      <c r="U630" s="6"/>
      <c r="V630" s="9" t="str">
        <f t="shared" si="83"/>
        <v/>
      </c>
      <c r="W630" s="9" t="str">
        <f t="shared" si="84"/>
        <v/>
      </c>
      <c r="X630" s="10">
        <f>SUM(V$13:V630)/COUNTA(B$13:B630)</f>
        <v>0</v>
      </c>
      <c r="Z630" s="5"/>
      <c r="AA630" s="5"/>
      <c r="AC630" s="7"/>
      <c r="AE630" s="54" t="e">
        <f t="shared" si="85"/>
        <v>#N/A</v>
      </c>
      <c r="AF630" s="4" t="e">
        <f t="shared" si="81"/>
        <v>#N/A</v>
      </c>
    </row>
    <row r="631" spans="2:32">
      <c r="B631" s="5">
        <f t="shared" si="86"/>
        <v>619</v>
      </c>
      <c r="C631" s="5"/>
      <c r="E631" s="13"/>
      <c r="F631" s="5"/>
      <c r="G631" s="11" t="str">
        <f>IF(ISERROR(AVERAGE(F$13:F631)),"n/a",AVERAGE(F$13:F631))</f>
        <v>n/a</v>
      </c>
      <c r="H631" s="11" t="str">
        <f t="shared" si="82"/>
        <v>n/a</v>
      </c>
      <c r="J631" s="5"/>
      <c r="K631" s="5"/>
      <c r="L631" s="5"/>
      <c r="M631" s="5"/>
      <c r="N631" s="5"/>
      <c r="O631" s="8" t="str">
        <f t="shared" si="80"/>
        <v>n/a</v>
      </c>
      <c r="Q631" s="5"/>
      <c r="R631" s="5"/>
      <c r="S631" s="5"/>
      <c r="U631" s="6"/>
      <c r="V631" s="9" t="str">
        <f t="shared" si="83"/>
        <v/>
      </c>
      <c r="W631" s="9" t="str">
        <f t="shared" si="84"/>
        <v/>
      </c>
      <c r="X631" s="10">
        <f>SUM(V$13:V631)/COUNTA(B$13:B631)</f>
        <v>0</v>
      </c>
      <c r="Z631" s="5"/>
      <c r="AA631" s="5"/>
      <c r="AC631" s="7"/>
      <c r="AE631" s="54" t="e">
        <f t="shared" si="85"/>
        <v>#N/A</v>
      </c>
      <c r="AF631" s="4" t="e">
        <f t="shared" si="81"/>
        <v>#N/A</v>
      </c>
    </row>
    <row r="632" spans="2:32">
      <c r="B632" s="5">
        <f t="shared" si="86"/>
        <v>620</v>
      </c>
      <c r="C632" s="5"/>
      <c r="E632" s="13"/>
      <c r="F632" s="5"/>
      <c r="G632" s="11" t="str">
        <f>IF(ISERROR(AVERAGE(F$13:F632)),"n/a",AVERAGE(F$13:F632))</f>
        <v>n/a</v>
      </c>
      <c r="H632" s="11" t="str">
        <f t="shared" si="82"/>
        <v>n/a</v>
      </c>
      <c r="J632" s="5"/>
      <c r="K632" s="5"/>
      <c r="L632" s="5"/>
      <c r="M632" s="5"/>
      <c r="N632" s="5"/>
      <c r="O632" s="8" t="str">
        <f t="shared" si="80"/>
        <v>n/a</v>
      </c>
      <c r="Q632" s="5"/>
      <c r="R632" s="5"/>
      <c r="S632" s="5"/>
      <c r="U632" s="6"/>
      <c r="V632" s="9" t="str">
        <f t="shared" si="83"/>
        <v/>
      </c>
      <c r="W632" s="9" t="str">
        <f t="shared" si="84"/>
        <v/>
      </c>
      <c r="X632" s="10">
        <f>SUM(V$13:V632)/COUNTA(B$13:B632)</f>
        <v>0</v>
      </c>
      <c r="Z632" s="5"/>
      <c r="AA632" s="5"/>
      <c r="AC632" s="7"/>
      <c r="AE632" s="54" t="e">
        <f t="shared" si="85"/>
        <v>#N/A</v>
      </c>
      <c r="AF632" s="4" t="e">
        <f t="shared" si="81"/>
        <v>#N/A</v>
      </c>
    </row>
    <row r="633" spans="2:32">
      <c r="B633" s="5">
        <f t="shared" si="86"/>
        <v>621</v>
      </c>
      <c r="C633" s="5"/>
      <c r="E633" s="13"/>
      <c r="F633" s="5"/>
      <c r="G633" s="11" t="str">
        <f>IF(ISERROR(AVERAGE(F$13:F633)),"n/a",AVERAGE(F$13:F633))</f>
        <v>n/a</v>
      </c>
      <c r="H633" s="11" t="str">
        <f t="shared" si="82"/>
        <v>n/a</v>
      </c>
      <c r="J633" s="5"/>
      <c r="K633" s="5"/>
      <c r="L633" s="5"/>
      <c r="M633" s="5"/>
      <c r="N633" s="5"/>
      <c r="O633" s="8" t="str">
        <f t="shared" si="80"/>
        <v>n/a</v>
      </c>
      <c r="Q633" s="5"/>
      <c r="R633" s="5"/>
      <c r="S633" s="5"/>
      <c r="U633" s="6"/>
      <c r="V633" s="9" t="str">
        <f t="shared" si="83"/>
        <v/>
      </c>
      <c r="W633" s="9" t="str">
        <f t="shared" si="84"/>
        <v/>
      </c>
      <c r="X633" s="10">
        <f>SUM(V$13:V633)/COUNTA(B$13:B633)</f>
        <v>0</v>
      </c>
      <c r="Z633" s="5"/>
      <c r="AA633" s="5"/>
      <c r="AC633" s="7"/>
      <c r="AE633" s="54" t="e">
        <f t="shared" si="85"/>
        <v>#N/A</v>
      </c>
      <c r="AF633" s="4" t="e">
        <f t="shared" si="81"/>
        <v>#N/A</v>
      </c>
    </row>
    <row r="634" spans="2:32">
      <c r="B634" s="5">
        <f t="shared" si="86"/>
        <v>622</v>
      </c>
      <c r="C634" s="5"/>
      <c r="E634" s="13"/>
      <c r="F634" s="5"/>
      <c r="G634" s="11" t="str">
        <f>IF(ISERROR(AVERAGE(F$13:F634)),"n/a",AVERAGE(F$13:F634))</f>
        <v>n/a</v>
      </c>
      <c r="H634" s="11" t="str">
        <f t="shared" si="82"/>
        <v>n/a</v>
      </c>
      <c r="J634" s="5"/>
      <c r="K634" s="5"/>
      <c r="L634" s="5"/>
      <c r="M634" s="5"/>
      <c r="N634" s="5"/>
      <c r="O634" s="8" t="str">
        <f t="shared" si="80"/>
        <v>n/a</v>
      </c>
      <c r="Q634" s="5"/>
      <c r="R634" s="5"/>
      <c r="S634" s="5"/>
      <c r="U634" s="6"/>
      <c r="V634" s="9" t="str">
        <f t="shared" si="83"/>
        <v/>
      </c>
      <c r="W634" s="9" t="str">
        <f t="shared" si="84"/>
        <v/>
      </c>
      <c r="X634" s="10">
        <f>SUM(V$13:V634)/COUNTA(B$13:B634)</f>
        <v>0</v>
      </c>
      <c r="Z634" s="5"/>
      <c r="AA634" s="5"/>
      <c r="AC634" s="7"/>
      <c r="AE634" s="54" t="e">
        <f t="shared" si="85"/>
        <v>#N/A</v>
      </c>
      <c r="AF634" s="4" t="e">
        <f t="shared" si="81"/>
        <v>#N/A</v>
      </c>
    </row>
    <row r="635" spans="2:32">
      <c r="B635" s="5">
        <f t="shared" si="86"/>
        <v>623</v>
      </c>
      <c r="C635" s="5"/>
      <c r="E635" s="13"/>
      <c r="F635" s="5"/>
      <c r="G635" s="11" t="str">
        <f>IF(ISERROR(AVERAGE(F$13:F635)),"n/a",AVERAGE(F$13:F635))</f>
        <v>n/a</v>
      </c>
      <c r="H635" s="11" t="str">
        <f t="shared" si="82"/>
        <v>n/a</v>
      </c>
      <c r="J635" s="5"/>
      <c r="K635" s="5"/>
      <c r="L635" s="5"/>
      <c r="M635" s="5"/>
      <c r="N635" s="5"/>
      <c r="O635" s="8" t="str">
        <f t="shared" si="80"/>
        <v>n/a</v>
      </c>
      <c r="Q635" s="5"/>
      <c r="R635" s="5"/>
      <c r="S635" s="5"/>
      <c r="U635" s="6"/>
      <c r="V635" s="9" t="str">
        <f t="shared" si="83"/>
        <v/>
      </c>
      <c r="W635" s="9" t="str">
        <f t="shared" si="84"/>
        <v/>
      </c>
      <c r="X635" s="10">
        <f>SUM(V$13:V635)/COUNTA(B$13:B635)</f>
        <v>0</v>
      </c>
      <c r="Z635" s="5"/>
      <c r="AA635" s="5"/>
      <c r="AC635" s="7"/>
      <c r="AE635" s="54" t="e">
        <f t="shared" si="85"/>
        <v>#N/A</v>
      </c>
      <c r="AF635" s="4" t="e">
        <f t="shared" si="81"/>
        <v>#N/A</v>
      </c>
    </row>
    <row r="636" spans="2:32">
      <c r="B636" s="5">
        <f t="shared" si="86"/>
        <v>624</v>
      </c>
      <c r="C636" s="5"/>
      <c r="E636" s="13"/>
      <c r="F636" s="5"/>
      <c r="G636" s="11" t="str">
        <f>IF(ISERROR(AVERAGE(F$13:F636)),"n/a",AVERAGE(F$13:F636))</f>
        <v>n/a</v>
      </c>
      <c r="H636" s="11" t="str">
        <f t="shared" si="82"/>
        <v>n/a</v>
      </c>
      <c r="J636" s="5"/>
      <c r="K636" s="5"/>
      <c r="L636" s="5"/>
      <c r="M636" s="5"/>
      <c r="N636" s="5"/>
      <c r="O636" s="8" t="str">
        <f t="shared" si="80"/>
        <v>n/a</v>
      </c>
      <c r="Q636" s="5"/>
      <c r="R636" s="5"/>
      <c r="S636" s="5"/>
      <c r="U636" s="6"/>
      <c r="V636" s="9" t="str">
        <f t="shared" si="83"/>
        <v/>
      </c>
      <c r="W636" s="9" t="str">
        <f t="shared" si="84"/>
        <v/>
      </c>
      <c r="X636" s="10">
        <f>SUM(V$13:V636)/COUNTA(B$13:B636)</f>
        <v>0</v>
      </c>
      <c r="Z636" s="5"/>
      <c r="AA636" s="5"/>
      <c r="AC636" s="7"/>
      <c r="AE636" s="54" t="e">
        <f t="shared" si="85"/>
        <v>#N/A</v>
      </c>
      <c r="AF636" s="4" t="e">
        <f t="shared" si="81"/>
        <v>#N/A</v>
      </c>
    </row>
    <row r="637" spans="2:32">
      <c r="B637" s="5">
        <f t="shared" si="86"/>
        <v>625</v>
      </c>
      <c r="C637" s="5"/>
      <c r="E637" s="13"/>
      <c r="F637" s="5"/>
      <c r="G637" s="11" t="str">
        <f>IF(ISERROR(AVERAGE(F$13:F637)),"n/a",AVERAGE(F$13:F637))</f>
        <v>n/a</v>
      </c>
      <c r="H637" s="11" t="str">
        <f t="shared" si="82"/>
        <v>n/a</v>
      </c>
      <c r="J637" s="5"/>
      <c r="K637" s="5"/>
      <c r="L637" s="5"/>
      <c r="M637" s="5"/>
      <c r="N637" s="5"/>
      <c r="O637" s="8" t="str">
        <f t="shared" si="80"/>
        <v>n/a</v>
      </c>
      <c r="Q637" s="5"/>
      <c r="R637" s="5"/>
      <c r="S637" s="5"/>
      <c r="U637" s="6"/>
      <c r="V637" s="9" t="str">
        <f t="shared" si="83"/>
        <v/>
      </c>
      <c r="W637" s="9" t="str">
        <f t="shared" si="84"/>
        <v/>
      </c>
      <c r="X637" s="10">
        <f>SUM(V$13:V637)/COUNTA(B$13:B637)</f>
        <v>0</v>
      </c>
      <c r="Z637" s="5"/>
      <c r="AA637" s="5"/>
      <c r="AC637" s="7"/>
      <c r="AE637" s="54" t="e">
        <f t="shared" si="85"/>
        <v>#N/A</v>
      </c>
      <c r="AF637" s="4" t="e">
        <f t="shared" si="81"/>
        <v>#N/A</v>
      </c>
    </row>
    <row r="638" spans="2:32">
      <c r="B638" s="5">
        <f t="shared" si="86"/>
        <v>626</v>
      </c>
      <c r="C638" s="5"/>
      <c r="E638" s="13"/>
      <c r="F638" s="5"/>
      <c r="G638" s="11" t="str">
        <f>IF(ISERROR(AVERAGE(F$13:F638)),"n/a",AVERAGE(F$13:F638))</f>
        <v>n/a</v>
      </c>
      <c r="H638" s="11" t="str">
        <f t="shared" si="82"/>
        <v>n/a</v>
      </c>
      <c r="J638" s="5"/>
      <c r="K638" s="5"/>
      <c r="L638" s="5"/>
      <c r="M638" s="5"/>
      <c r="N638" s="5"/>
      <c r="O638" s="8" t="str">
        <f t="shared" si="80"/>
        <v>n/a</v>
      </c>
      <c r="Q638" s="5"/>
      <c r="R638" s="5"/>
      <c r="S638" s="5"/>
      <c r="U638" s="6"/>
      <c r="V638" s="9" t="str">
        <f t="shared" si="83"/>
        <v/>
      </c>
      <c r="W638" s="9" t="str">
        <f t="shared" si="84"/>
        <v/>
      </c>
      <c r="X638" s="10">
        <f>SUM(V$13:V638)/COUNTA(B$13:B638)</f>
        <v>0</v>
      </c>
      <c r="Z638" s="5"/>
      <c r="AA638" s="5"/>
      <c r="AC638" s="7"/>
      <c r="AE638" s="54" t="e">
        <f t="shared" si="85"/>
        <v>#N/A</v>
      </c>
      <c r="AF638" s="4" t="e">
        <f t="shared" si="81"/>
        <v>#N/A</v>
      </c>
    </row>
    <row r="639" spans="2:32">
      <c r="B639" s="5">
        <f t="shared" si="86"/>
        <v>627</v>
      </c>
      <c r="C639" s="5"/>
      <c r="E639" s="13"/>
      <c r="F639" s="5"/>
      <c r="G639" s="11" t="str">
        <f>IF(ISERROR(AVERAGE(F$13:F639)),"n/a",AVERAGE(F$13:F639))</f>
        <v>n/a</v>
      </c>
      <c r="H639" s="11" t="str">
        <f t="shared" si="82"/>
        <v>n/a</v>
      </c>
      <c r="J639" s="5"/>
      <c r="K639" s="5"/>
      <c r="L639" s="5"/>
      <c r="M639" s="5"/>
      <c r="N639" s="5"/>
      <c r="O639" s="8" t="str">
        <f t="shared" si="80"/>
        <v>n/a</v>
      </c>
      <c r="Q639" s="5"/>
      <c r="R639" s="5"/>
      <c r="S639" s="5"/>
      <c r="U639" s="6"/>
      <c r="V639" s="9" t="str">
        <f t="shared" si="83"/>
        <v/>
      </c>
      <c r="W639" s="9" t="str">
        <f t="shared" si="84"/>
        <v/>
      </c>
      <c r="X639" s="10">
        <f>SUM(V$13:V639)/COUNTA(B$13:B639)</f>
        <v>0</v>
      </c>
      <c r="Z639" s="5"/>
      <c r="AA639" s="5"/>
      <c r="AC639" s="7"/>
      <c r="AE639" s="54" t="e">
        <f t="shared" si="85"/>
        <v>#N/A</v>
      </c>
      <c r="AF639" s="4" t="e">
        <f t="shared" si="81"/>
        <v>#N/A</v>
      </c>
    </row>
    <row r="640" spans="2:32">
      <c r="B640" s="5">
        <f t="shared" si="86"/>
        <v>628</v>
      </c>
      <c r="C640" s="5"/>
      <c r="E640" s="13"/>
      <c r="F640" s="5"/>
      <c r="G640" s="11" t="str">
        <f>IF(ISERROR(AVERAGE(F$13:F640)),"n/a",AVERAGE(F$13:F640))</f>
        <v>n/a</v>
      </c>
      <c r="H640" s="11" t="str">
        <f t="shared" si="82"/>
        <v>n/a</v>
      </c>
      <c r="J640" s="5"/>
      <c r="K640" s="5"/>
      <c r="L640" s="5"/>
      <c r="M640" s="5"/>
      <c r="N640" s="5"/>
      <c r="O640" s="8" t="str">
        <f t="shared" si="80"/>
        <v>n/a</v>
      </c>
      <c r="Q640" s="5"/>
      <c r="R640" s="5"/>
      <c r="S640" s="5"/>
      <c r="U640" s="6"/>
      <c r="V640" s="9" t="str">
        <f t="shared" si="83"/>
        <v/>
      </c>
      <c r="W640" s="9" t="str">
        <f t="shared" si="84"/>
        <v/>
      </c>
      <c r="X640" s="10">
        <f>SUM(V$13:V640)/COUNTA(B$13:B640)</f>
        <v>0</v>
      </c>
      <c r="Z640" s="5"/>
      <c r="AA640" s="5"/>
      <c r="AC640" s="7"/>
      <c r="AE640" s="54" t="e">
        <f t="shared" si="85"/>
        <v>#N/A</v>
      </c>
      <c r="AF640" s="4" t="e">
        <f t="shared" si="81"/>
        <v>#N/A</v>
      </c>
    </row>
    <row r="641" spans="2:32">
      <c r="B641" s="5">
        <f t="shared" si="86"/>
        <v>629</v>
      </c>
      <c r="C641" s="5"/>
      <c r="E641" s="13"/>
      <c r="F641" s="5"/>
      <c r="G641" s="11" t="str">
        <f>IF(ISERROR(AVERAGE(F$13:F641)),"n/a",AVERAGE(F$13:F641))</f>
        <v>n/a</v>
      </c>
      <c r="H641" s="11" t="str">
        <f t="shared" si="82"/>
        <v>n/a</v>
      </c>
      <c r="J641" s="5"/>
      <c r="K641" s="5"/>
      <c r="L641" s="5"/>
      <c r="M641" s="5"/>
      <c r="N641" s="5"/>
      <c r="O641" s="8" t="str">
        <f t="shared" si="80"/>
        <v>n/a</v>
      </c>
      <c r="Q641" s="5"/>
      <c r="R641" s="5"/>
      <c r="S641" s="5"/>
      <c r="U641" s="6"/>
      <c r="V641" s="9" t="str">
        <f t="shared" si="83"/>
        <v/>
      </c>
      <c r="W641" s="9" t="str">
        <f t="shared" si="84"/>
        <v/>
      </c>
      <c r="X641" s="10">
        <f>SUM(V$13:V641)/COUNTA(B$13:B641)</f>
        <v>0</v>
      </c>
      <c r="Z641" s="5"/>
      <c r="AA641" s="5"/>
      <c r="AC641" s="7"/>
      <c r="AE641" s="54" t="e">
        <f t="shared" si="85"/>
        <v>#N/A</v>
      </c>
      <c r="AF641" s="4" t="e">
        <f t="shared" si="81"/>
        <v>#N/A</v>
      </c>
    </row>
    <row r="642" spans="2:32">
      <c r="B642" s="5">
        <f t="shared" si="86"/>
        <v>630</v>
      </c>
      <c r="C642" s="5"/>
      <c r="E642" s="13"/>
      <c r="F642" s="5"/>
      <c r="G642" s="11" t="str">
        <f>IF(ISERROR(AVERAGE(F$13:F642)),"n/a",AVERAGE(F$13:F642))</f>
        <v>n/a</v>
      </c>
      <c r="H642" s="11" t="str">
        <f t="shared" si="82"/>
        <v>n/a</v>
      </c>
      <c r="J642" s="5"/>
      <c r="K642" s="5"/>
      <c r="L642" s="5"/>
      <c r="M642" s="5"/>
      <c r="N642" s="5"/>
      <c r="O642" s="8" t="str">
        <f t="shared" si="80"/>
        <v>n/a</v>
      </c>
      <c r="Q642" s="5"/>
      <c r="R642" s="5"/>
      <c r="S642" s="5"/>
      <c r="U642" s="6"/>
      <c r="V642" s="9" t="str">
        <f t="shared" si="83"/>
        <v/>
      </c>
      <c r="W642" s="9" t="str">
        <f t="shared" si="84"/>
        <v/>
      </c>
      <c r="X642" s="10">
        <f>SUM(V$13:V642)/COUNTA(B$13:B642)</f>
        <v>0</v>
      </c>
      <c r="Z642" s="5"/>
      <c r="AA642" s="5"/>
      <c r="AC642" s="7"/>
      <c r="AE642" s="54" t="e">
        <f t="shared" si="85"/>
        <v>#N/A</v>
      </c>
      <c r="AF642" s="4" t="e">
        <f t="shared" si="81"/>
        <v>#N/A</v>
      </c>
    </row>
    <row r="643" spans="2:32">
      <c r="B643" s="5">
        <f t="shared" si="86"/>
        <v>631</v>
      </c>
      <c r="C643" s="5"/>
      <c r="E643" s="13"/>
      <c r="F643" s="5"/>
      <c r="G643" s="11" t="str">
        <f>IF(ISERROR(AVERAGE(F$13:F643)),"n/a",AVERAGE(F$13:F643))</f>
        <v>n/a</v>
      </c>
      <c r="H643" s="11" t="str">
        <f t="shared" si="82"/>
        <v>n/a</v>
      </c>
      <c r="J643" s="5"/>
      <c r="K643" s="5"/>
      <c r="L643" s="5"/>
      <c r="M643" s="5"/>
      <c r="N643" s="5"/>
      <c r="O643" s="8" t="str">
        <f t="shared" si="80"/>
        <v>n/a</v>
      </c>
      <c r="Q643" s="5"/>
      <c r="R643" s="5"/>
      <c r="S643" s="5"/>
      <c r="U643" s="6"/>
      <c r="V643" s="9" t="str">
        <f t="shared" si="83"/>
        <v/>
      </c>
      <c r="W643" s="9" t="str">
        <f t="shared" si="84"/>
        <v/>
      </c>
      <c r="X643" s="10">
        <f>SUM(V$13:V643)/COUNTA(B$13:B643)</f>
        <v>0</v>
      </c>
      <c r="Z643" s="5"/>
      <c r="AA643" s="5"/>
      <c r="AC643" s="7"/>
      <c r="AE643" s="54" t="e">
        <f t="shared" si="85"/>
        <v>#N/A</v>
      </c>
      <c r="AF643" s="4" t="e">
        <f t="shared" si="81"/>
        <v>#N/A</v>
      </c>
    </row>
    <row r="644" spans="2:32">
      <c r="B644" s="5">
        <f t="shared" si="86"/>
        <v>632</v>
      </c>
      <c r="C644" s="5"/>
      <c r="E644" s="13"/>
      <c r="F644" s="5"/>
      <c r="G644" s="11" t="str">
        <f>IF(ISERROR(AVERAGE(F$13:F644)),"n/a",AVERAGE(F$13:F644))</f>
        <v>n/a</v>
      </c>
      <c r="H644" s="11" t="str">
        <f t="shared" si="82"/>
        <v>n/a</v>
      </c>
      <c r="J644" s="5"/>
      <c r="K644" s="5"/>
      <c r="L644" s="5"/>
      <c r="M644" s="5"/>
      <c r="N644" s="5"/>
      <c r="O644" s="8" t="str">
        <f t="shared" si="80"/>
        <v>n/a</v>
      </c>
      <c r="Q644" s="5"/>
      <c r="R644" s="5"/>
      <c r="S644" s="5"/>
      <c r="U644" s="6"/>
      <c r="V644" s="9" t="str">
        <f t="shared" si="83"/>
        <v/>
      </c>
      <c r="W644" s="9" t="str">
        <f t="shared" si="84"/>
        <v/>
      </c>
      <c r="X644" s="10">
        <f>SUM(V$13:V644)/COUNTA(B$13:B644)</f>
        <v>0</v>
      </c>
      <c r="Z644" s="5"/>
      <c r="AA644" s="5"/>
      <c r="AC644" s="7"/>
      <c r="AE644" s="54" t="e">
        <f t="shared" si="85"/>
        <v>#N/A</v>
      </c>
      <c r="AF644" s="4" t="e">
        <f t="shared" si="81"/>
        <v>#N/A</v>
      </c>
    </row>
    <row r="645" spans="2:32">
      <c r="B645" s="5">
        <f t="shared" si="86"/>
        <v>633</v>
      </c>
      <c r="C645" s="5"/>
      <c r="E645" s="13"/>
      <c r="F645" s="5"/>
      <c r="G645" s="11" t="str">
        <f>IF(ISERROR(AVERAGE(F$13:F645)),"n/a",AVERAGE(F$13:F645))</f>
        <v>n/a</v>
      </c>
      <c r="H645" s="11" t="str">
        <f t="shared" si="82"/>
        <v>n/a</v>
      </c>
      <c r="J645" s="5"/>
      <c r="K645" s="5"/>
      <c r="L645" s="5"/>
      <c r="M645" s="5"/>
      <c r="N645" s="5"/>
      <c r="O645" s="8" t="str">
        <f t="shared" si="80"/>
        <v>n/a</v>
      </c>
      <c r="Q645" s="5"/>
      <c r="R645" s="5"/>
      <c r="S645" s="5"/>
      <c r="U645" s="6"/>
      <c r="V645" s="9" t="str">
        <f t="shared" si="83"/>
        <v/>
      </c>
      <c r="W645" s="9" t="str">
        <f t="shared" si="84"/>
        <v/>
      </c>
      <c r="X645" s="10">
        <f>SUM(V$13:V645)/COUNTA(B$13:B645)</f>
        <v>0</v>
      </c>
      <c r="Z645" s="5"/>
      <c r="AA645" s="5"/>
      <c r="AC645" s="7"/>
      <c r="AE645" s="54" t="e">
        <f t="shared" si="85"/>
        <v>#N/A</v>
      </c>
      <c r="AF645" s="4" t="e">
        <f t="shared" si="81"/>
        <v>#N/A</v>
      </c>
    </row>
    <row r="646" spans="2:32">
      <c r="B646" s="5">
        <f t="shared" si="86"/>
        <v>634</v>
      </c>
      <c r="C646" s="5"/>
      <c r="E646" s="13"/>
      <c r="F646" s="5"/>
      <c r="G646" s="11" t="str">
        <f>IF(ISERROR(AVERAGE(F$13:F646)),"n/a",AVERAGE(F$13:F646))</f>
        <v>n/a</v>
      </c>
      <c r="H646" s="11" t="str">
        <f t="shared" si="82"/>
        <v>n/a</v>
      </c>
      <c r="J646" s="5"/>
      <c r="K646" s="5"/>
      <c r="L646" s="5"/>
      <c r="M646" s="5"/>
      <c r="N646" s="5"/>
      <c r="O646" s="8" t="str">
        <f t="shared" si="80"/>
        <v>n/a</v>
      </c>
      <c r="Q646" s="5"/>
      <c r="R646" s="5"/>
      <c r="S646" s="5"/>
      <c r="U646" s="6"/>
      <c r="V646" s="9" t="str">
        <f t="shared" si="83"/>
        <v/>
      </c>
      <c r="W646" s="9" t="str">
        <f t="shared" si="84"/>
        <v/>
      </c>
      <c r="X646" s="10">
        <f>SUM(V$13:V646)/COUNTA(B$13:B646)</f>
        <v>0</v>
      </c>
      <c r="Z646" s="5"/>
      <c r="AA646" s="5"/>
      <c r="AC646" s="7"/>
      <c r="AE646" s="54" t="e">
        <f t="shared" si="85"/>
        <v>#N/A</v>
      </c>
      <c r="AF646" s="4" t="e">
        <f t="shared" si="81"/>
        <v>#N/A</v>
      </c>
    </row>
    <row r="647" spans="2:32">
      <c r="B647" s="5">
        <f t="shared" si="86"/>
        <v>635</v>
      </c>
      <c r="C647" s="5"/>
      <c r="E647" s="13"/>
      <c r="F647" s="5"/>
      <c r="G647" s="11" t="str">
        <f>IF(ISERROR(AVERAGE(F$13:F647)),"n/a",AVERAGE(F$13:F647))</f>
        <v>n/a</v>
      </c>
      <c r="H647" s="11" t="str">
        <f t="shared" si="82"/>
        <v>n/a</v>
      </c>
      <c r="J647" s="5"/>
      <c r="K647" s="5"/>
      <c r="L647" s="5"/>
      <c r="M647" s="5"/>
      <c r="N647" s="5"/>
      <c r="O647" s="8" t="str">
        <f t="shared" si="80"/>
        <v>n/a</v>
      </c>
      <c r="Q647" s="5"/>
      <c r="R647" s="5"/>
      <c r="S647" s="5"/>
      <c r="U647" s="6"/>
      <c r="V647" s="9" t="str">
        <f t="shared" si="83"/>
        <v/>
      </c>
      <c r="W647" s="9" t="str">
        <f t="shared" si="84"/>
        <v/>
      </c>
      <c r="X647" s="10">
        <f>SUM(V$13:V647)/COUNTA(B$13:B647)</f>
        <v>0</v>
      </c>
      <c r="Z647" s="5"/>
      <c r="AA647" s="5"/>
      <c r="AC647" s="7"/>
      <c r="AE647" s="54" t="e">
        <f t="shared" si="85"/>
        <v>#N/A</v>
      </c>
      <c r="AF647" s="4" t="e">
        <f t="shared" si="81"/>
        <v>#N/A</v>
      </c>
    </row>
    <row r="648" spans="2:32">
      <c r="B648" s="5">
        <f t="shared" si="86"/>
        <v>636</v>
      </c>
      <c r="C648" s="5"/>
      <c r="E648" s="13"/>
      <c r="F648" s="5"/>
      <c r="G648" s="11" t="str">
        <f>IF(ISERROR(AVERAGE(F$13:F648)),"n/a",AVERAGE(F$13:F648))</f>
        <v>n/a</v>
      </c>
      <c r="H648" s="11" t="str">
        <f t="shared" si="82"/>
        <v>n/a</v>
      </c>
      <c r="J648" s="5"/>
      <c r="K648" s="5"/>
      <c r="L648" s="5"/>
      <c r="M648" s="5"/>
      <c r="N648" s="5"/>
      <c r="O648" s="8" t="str">
        <f t="shared" si="80"/>
        <v>n/a</v>
      </c>
      <c r="Q648" s="5"/>
      <c r="R648" s="5"/>
      <c r="S648" s="5"/>
      <c r="U648" s="6"/>
      <c r="V648" s="9" t="str">
        <f t="shared" si="83"/>
        <v/>
      </c>
      <c r="W648" s="9" t="str">
        <f t="shared" si="84"/>
        <v/>
      </c>
      <c r="X648" s="10">
        <f>SUM(V$13:V648)/COUNTA(B$13:B648)</f>
        <v>0</v>
      </c>
      <c r="Z648" s="5"/>
      <c r="AA648" s="5"/>
      <c r="AC648" s="7"/>
      <c r="AE648" s="54" t="e">
        <f t="shared" si="85"/>
        <v>#N/A</v>
      </c>
      <c r="AF648" s="4" t="e">
        <f t="shared" si="81"/>
        <v>#N/A</v>
      </c>
    </row>
    <row r="649" spans="2:32">
      <c r="B649" s="5">
        <f t="shared" si="86"/>
        <v>637</v>
      </c>
      <c r="C649" s="5"/>
      <c r="E649" s="13"/>
      <c r="F649" s="5"/>
      <c r="G649" s="11" t="str">
        <f>IF(ISERROR(AVERAGE(F$13:F649)),"n/a",AVERAGE(F$13:F649))</f>
        <v>n/a</v>
      </c>
      <c r="H649" s="11" t="str">
        <f t="shared" si="82"/>
        <v>n/a</v>
      </c>
      <c r="J649" s="5"/>
      <c r="K649" s="5"/>
      <c r="L649" s="5"/>
      <c r="M649" s="5"/>
      <c r="N649" s="5"/>
      <c r="O649" s="8" t="str">
        <f t="shared" si="80"/>
        <v>n/a</v>
      </c>
      <c r="Q649" s="5"/>
      <c r="R649" s="5"/>
      <c r="S649" s="5"/>
      <c r="U649" s="6"/>
      <c r="V649" s="9" t="str">
        <f t="shared" si="83"/>
        <v/>
      </c>
      <c r="W649" s="9" t="str">
        <f t="shared" si="84"/>
        <v/>
      </c>
      <c r="X649" s="10">
        <f>SUM(V$13:V649)/COUNTA(B$13:B649)</f>
        <v>0</v>
      </c>
      <c r="Z649" s="5"/>
      <c r="AA649" s="5"/>
      <c r="AC649" s="7"/>
      <c r="AE649" s="54" t="e">
        <f t="shared" si="85"/>
        <v>#N/A</v>
      </c>
      <c r="AF649" s="4" t="e">
        <f t="shared" si="81"/>
        <v>#N/A</v>
      </c>
    </row>
    <row r="650" spans="2:32">
      <c r="B650" s="5">
        <f t="shared" si="86"/>
        <v>638</v>
      </c>
      <c r="C650" s="5"/>
      <c r="E650" s="13"/>
      <c r="F650" s="5"/>
      <c r="G650" s="11" t="str">
        <f>IF(ISERROR(AVERAGE(F$13:F650)),"n/a",AVERAGE(F$13:F650))</f>
        <v>n/a</v>
      </c>
      <c r="H650" s="11" t="str">
        <f t="shared" si="82"/>
        <v>n/a</v>
      </c>
      <c r="J650" s="5"/>
      <c r="K650" s="5"/>
      <c r="L650" s="5"/>
      <c r="M650" s="5"/>
      <c r="N650" s="5"/>
      <c r="O650" s="8" t="str">
        <f t="shared" si="80"/>
        <v>n/a</v>
      </c>
      <c r="Q650" s="5"/>
      <c r="R650" s="5"/>
      <c r="S650" s="5"/>
      <c r="U650" s="6"/>
      <c r="V650" s="9" t="str">
        <f t="shared" si="83"/>
        <v/>
      </c>
      <c r="W650" s="9" t="str">
        <f t="shared" si="84"/>
        <v/>
      </c>
      <c r="X650" s="10">
        <f>SUM(V$13:V650)/COUNTA(B$13:B650)</f>
        <v>0</v>
      </c>
      <c r="Z650" s="5"/>
      <c r="AA650" s="5"/>
      <c r="AC650" s="7"/>
      <c r="AE650" s="54" t="e">
        <f t="shared" si="85"/>
        <v>#N/A</v>
      </c>
      <c r="AF650" s="4" t="e">
        <f t="shared" si="81"/>
        <v>#N/A</v>
      </c>
    </row>
    <row r="651" spans="2:32">
      <c r="B651" s="5">
        <f t="shared" si="86"/>
        <v>639</v>
      </c>
      <c r="C651" s="5"/>
      <c r="E651" s="13"/>
      <c r="F651" s="5"/>
      <c r="G651" s="11" t="str">
        <f>IF(ISERROR(AVERAGE(F$13:F651)),"n/a",AVERAGE(F$13:F651))</f>
        <v>n/a</v>
      </c>
      <c r="H651" s="11" t="str">
        <f t="shared" si="82"/>
        <v>n/a</v>
      </c>
      <c r="J651" s="5"/>
      <c r="K651" s="5"/>
      <c r="L651" s="5"/>
      <c r="M651" s="5"/>
      <c r="N651" s="5"/>
      <c r="O651" s="8" t="str">
        <f t="shared" si="80"/>
        <v>n/a</v>
      </c>
      <c r="Q651" s="5"/>
      <c r="R651" s="5"/>
      <c r="S651" s="5"/>
      <c r="U651" s="6"/>
      <c r="V651" s="9" t="str">
        <f t="shared" si="83"/>
        <v/>
      </c>
      <c r="W651" s="9" t="str">
        <f t="shared" si="84"/>
        <v/>
      </c>
      <c r="X651" s="10">
        <f>SUM(V$13:V651)/COUNTA(B$13:B651)</f>
        <v>0</v>
      </c>
      <c r="Z651" s="5"/>
      <c r="AA651" s="5"/>
      <c r="AC651" s="7"/>
      <c r="AE651" s="54" t="e">
        <f t="shared" si="85"/>
        <v>#N/A</v>
      </c>
      <c r="AF651" s="4" t="e">
        <f t="shared" si="81"/>
        <v>#N/A</v>
      </c>
    </row>
    <row r="652" spans="2:32">
      <c r="B652" s="5">
        <f t="shared" si="86"/>
        <v>640</v>
      </c>
      <c r="C652" s="5"/>
      <c r="E652" s="13"/>
      <c r="F652" s="5"/>
      <c r="G652" s="11" t="str">
        <f>IF(ISERROR(AVERAGE(F$13:F652)),"n/a",AVERAGE(F$13:F652))</f>
        <v>n/a</v>
      </c>
      <c r="H652" s="11" t="str">
        <f t="shared" si="82"/>
        <v>n/a</v>
      </c>
      <c r="J652" s="5"/>
      <c r="K652" s="5"/>
      <c r="L652" s="5"/>
      <c r="M652" s="5"/>
      <c r="N652" s="5"/>
      <c r="O652" s="8" t="str">
        <f t="shared" si="80"/>
        <v>n/a</v>
      </c>
      <c r="Q652" s="5"/>
      <c r="R652" s="5"/>
      <c r="S652" s="5"/>
      <c r="U652" s="6"/>
      <c r="V652" s="9" t="str">
        <f t="shared" si="83"/>
        <v/>
      </c>
      <c r="W652" s="9" t="str">
        <f t="shared" si="84"/>
        <v/>
      </c>
      <c r="X652" s="10">
        <f>SUM(V$13:V652)/COUNTA(B$13:B652)</f>
        <v>0</v>
      </c>
      <c r="Z652" s="5"/>
      <c r="AA652" s="5"/>
      <c r="AC652" s="7"/>
      <c r="AE652" s="54" t="e">
        <f t="shared" si="85"/>
        <v>#N/A</v>
      </c>
      <c r="AF652" s="4" t="e">
        <f t="shared" si="81"/>
        <v>#N/A</v>
      </c>
    </row>
    <row r="653" spans="2:32">
      <c r="B653" s="5">
        <f t="shared" si="86"/>
        <v>641</v>
      </c>
      <c r="C653" s="5"/>
      <c r="E653" s="13"/>
      <c r="F653" s="5"/>
      <c r="G653" s="11" t="str">
        <f>IF(ISERROR(AVERAGE(F$13:F653)),"n/a",AVERAGE(F$13:F653))</f>
        <v>n/a</v>
      </c>
      <c r="H653" s="11" t="str">
        <f t="shared" si="82"/>
        <v>n/a</v>
      </c>
      <c r="J653" s="5"/>
      <c r="K653" s="5"/>
      <c r="L653" s="5"/>
      <c r="M653" s="5"/>
      <c r="N653" s="5"/>
      <c r="O653" s="8" t="str">
        <f t="shared" ref="O653:O716" si="87">IF(J653=1,"A",IF(K653=1,"B",IF(L653=1,"C",IF(M653=1,"D",IF(N653=1,"E","n/a")))))</f>
        <v>n/a</v>
      </c>
      <c r="Q653" s="5"/>
      <c r="R653" s="5"/>
      <c r="S653" s="5"/>
      <c r="U653" s="6"/>
      <c r="V653" s="9" t="str">
        <f t="shared" si="83"/>
        <v/>
      </c>
      <c r="W653" s="9" t="str">
        <f t="shared" si="84"/>
        <v/>
      </c>
      <c r="X653" s="10">
        <f>SUM(V$13:V653)/COUNTA(B$13:B653)</f>
        <v>0</v>
      </c>
      <c r="Z653" s="5"/>
      <c r="AA653" s="5"/>
      <c r="AC653" s="7"/>
      <c r="AE653" s="54" t="e">
        <f t="shared" si="85"/>
        <v>#N/A</v>
      </c>
      <c r="AF653" s="4" t="e">
        <f t="shared" ref="AF653:AF716" si="88">HLOOKUP(C653,$K$6:$O$7,2,FALSE)</f>
        <v>#N/A</v>
      </c>
    </row>
    <row r="654" spans="2:32">
      <c r="B654" s="5">
        <f t="shared" si="86"/>
        <v>642</v>
      </c>
      <c r="C654" s="5"/>
      <c r="E654" s="13"/>
      <c r="F654" s="5"/>
      <c r="G654" s="11" t="str">
        <f>IF(ISERROR(AVERAGE(F$13:F654)),"n/a",AVERAGE(F$13:F654))</f>
        <v>n/a</v>
      </c>
      <c r="H654" s="11" t="str">
        <f t="shared" ref="H654:H717" si="89">G654</f>
        <v>n/a</v>
      </c>
      <c r="J654" s="5"/>
      <c r="K654" s="5"/>
      <c r="L654" s="5"/>
      <c r="M654" s="5"/>
      <c r="N654" s="5"/>
      <c r="O654" s="8" t="str">
        <f t="shared" si="87"/>
        <v>n/a</v>
      </c>
      <c r="Q654" s="5"/>
      <c r="R654" s="5"/>
      <c r="S654" s="5"/>
      <c r="U654" s="6"/>
      <c r="V654" s="9" t="str">
        <f t="shared" ref="V654:V717" si="90">IF(O654="n/a","",IF(O654=U654,1,""))</f>
        <v/>
      </c>
      <c r="W654" s="9" t="str">
        <f t="shared" ref="W654:W717" si="91">IF(O654="n/a","",IF(O654&lt;&gt;U654,1,""))</f>
        <v/>
      </c>
      <c r="X654" s="10">
        <f>SUM(V$13:V654)/COUNTA(B$13:B654)</f>
        <v>0</v>
      </c>
      <c r="Z654" s="5"/>
      <c r="AA654" s="5"/>
      <c r="AC654" s="7"/>
      <c r="AE654" s="54" t="e">
        <f t="shared" ref="AE654:AE717" si="92">+IF($F$4=0,0,IF(W654=1,1,IF(OR(R654*$F$8=1,S654*$F$9=1,F654&gt;=AF654),2,0)))</f>
        <v>#N/A</v>
      </c>
      <c r="AF654" s="4" t="e">
        <f t="shared" si="88"/>
        <v>#N/A</v>
      </c>
    </row>
    <row r="655" spans="2:32">
      <c r="B655" s="5">
        <f t="shared" si="86"/>
        <v>643</v>
      </c>
      <c r="C655" s="5"/>
      <c r="E655" s="13"/>
      <c r="F655" s="5"/>
      <c r="G655" s="11" t="str">
        <f>IF(ISERROR(AVERAGE(F$13:F655)),"n/a",AVERAGE(F$13:F655))</f>
        <v>n/a</v>
      </c>
      <c r="H655" s="11" t="str">
        <f t="shared" si="89"/>
        <v>n/a</v>
      </c>
      <c r="J655" s="5"/>
      <c r="K655" s="5"/>
      <c r="L655" s="5"/>
      <c r="M655" s="5"/>
      <c r="N655" s="5"/>
      <c r="O655" s="8" t="str">
        <f t="shared" si="87"/>
        <v>n/a</v>
      </c>
      <c r="Q655" s="5"/>
      <c r="R655" s="5"/>
      <c r="S655" s="5"/>
      <c r="U655" s="6"/>
      <c r="V655" s="9" t="str">
        <f t="shared" si="90"/>
        <v/>
      </c>
      <c r="W655" s="9" t="str">
        <f t="shared" si="91"/>
        <v/>
      </c>
      <c r="X655" s="10">
        <f>SUM(V$13:V655)/COUNTA(B$13:B655)</f>
        <v>0</v>
      </c>
      <c r="Z655" s="5"/>
      <c r="AA655" s="5"/>
      <c r="AC655" s="7"/>
      <c r="AE655" s="54" t="e">
        <f t="shared" si="92"/>
        <v>#N/A</v>
      </c>
      <c r="AF655" s="4" t="e">
        <f t="shared" si="88"/>
        <v>#N/A</v>
      </c>
    </row>
    <row r="656" spans="2:32">
      <c r="B656" s="5">
        <f t="shared" si="86"/>
        <v>644</v>
      </c>
      <c r="C656" s="5"/>
      <c r="E656" s="13"/>
      <c r="F656" s="5"/>
      <c r="G656" s="11" t="str">
        <f>IF(ISERROR(AVERAGE(F$13:F656)),"n/a",AVERAGE(F$13:F656))</f>
        <v>n/a</v>
      </c>
      <c r="H656" s="11" t="str">
        <f t="shared" si="89"/>
        <v>n/a</v>
      </c>
      <c r="J656" s="5"/>
      <c r="K656" s="5"/>
      <c r="L656" s="5"/>
      <c r="M656" s="5"/>
      <c r="N656" s="5"/>
      <c r="O656" s="8" t="str">
        <f t="shared" si="87"/>
        <v>n/a</v>
      </c>
      <c r="Q656" s="5"/>
      <c r="R656" s="5"/>
      <c r="S656" s="5"/>
      <c r="U656" s="6"/>
      <c r="V656" s="9" t="str">
        <f t="shared" si="90"/>
        <v/>
      </c>
      <c r="W656" s="9" t="str">
        <f t="shared" si="91"/>
        <v/>
      </c>
      <c r="X656" s="10">
        <f>SUM(V$13:V656)/COUNTA(B$13:B656)</f>
        <v>0</v>
      </c>
      <c r="Z656" s="5"/>
      <c r="AA656" s="5"/>
      <c r="AC656" s="7"/>
      <c r="AE656" s="54" t="e">
        <f t="shared" si="92"/>
        <v>#N/A</v>
      </c>
      <c r="AF656" s="4" t="e">
        <f t="shared" si="88"/>
        <v>#N/A</v>
      </c>
    </row>
    <row r="657" spans="2:32">
      <c r="B657" s="5">
        <f t="shared" si="86"/>
        <v>645</v>
      </c>
      <c r="C657" s="5"/>
      <c r="E657" s="13"/>
      <c r="F657" s="5"/>
      <c r="G657" s="11" t="str">
        <f>IF(ISERROR(AVERAGE(F$13:F657)),"n/a",AVERAGE(F$13:F657))</f>
        <v>n/a</v>
      </c>
      <c r="H657" s="11" t="str">
        <f t="shared" si="89"/>
        <v>n/a</v>
      </c>
      <c r="J657" s="5"/>
      <c r="K657" s="5"/>
      <c r="L657" s="5"/>
      <c r="M657" s="5"/>
      <c r="N657" s="5"/>
      <c r="O657" s="8" t="str">
        <f t="shared" si="87"/>
        <v>n/a</v>
      </c>
      <c r="Q657" s="5"/>
      <c r="R657" s="5"/>
      <c r="S657" s="5"/>
      <c r="U657" s="6"/>
      <c r="V657" s="9" t="str">
        <f t="shared" si="90"/>
        <v/>
      </c>
      <c r="W657" s="9" t="str">
        <f t="shared" si="91"/>
        <v/>
      </c>
      <c r="X657" s="10">
        <f>SUM(V$13:V657)/COUNTA(B$13:B657)</f>
        <v>0</v>
      </c>
      <c r="Z657" s="5"/>
      <c r="AA657" s="5"/>
      <c r="AC657" s="7"/>
      <c r="AE657" s="54" t="e">
        <f t="shared" si="92"/>
        <v>#N/A</v>
      </c>
      <c r="AF657" s="4" t="e">
        <f t="shared" si="88"/>
        <v>#N/A</v>
      </c>
    </row>
    <row r="658" spans="2:32">
      <c r="B658" s="5">
        <f t="shared" si="86"/>
        <v>646</v>
      </c>
      <c r="C658" s="5"/>
      <c r="E658" s="13"/>
      <c r="F658" s="5"/>
      <c r="G658" s="11" t="str">
        <f>IF(ISERROR(AVERAGE(F$13:F658)),"n/a",AVERAGE(F$13:F658))</f>
        <v>n/a</v>
      </c>
      <c r="H658" s="11" t="str">
        <f t="shared" si="89"/>
        <v>n/a</v>
      </c>
      <c r="J658" s="5"/>
      <c r="K658" s="5"/>
      <c r="L658" s="5"/>
      <c r="M658" s="5"/>
      <c r="N658" s="5"/>
      <c r="O658" s="8" t="str">
        <f t="shared" si="87"/>
        <v>n/a</v>
      </c>
      <c r="Q658" s="5"/>
      <c r="R658" s="5"/>
      <c r="S658" s="5"/>
      <c r="U658" s="6"/>
      <c r="V658" s="9" t="str">
        <f t="shared" si="90"/>
        <v/>
      </c>
      <c r="W658" s="9" t="str">
        <f t="shared" si="91"/>
        <v/>
      </c>
      <c r="X658" s="10">
        <f>SUM(V$13:V658)/COUNTA(B$13:B658)</f>
        <v>0</v>
      </c>
      <c r="Z658" s="5"/>
      <c r="AA658" s="5"/>
      <c r="AC658" s="7"/>
      <c r="AE658" s="54" t="e">
        <f t="shared" si="92"/>
        <v>#N/A</v>
      </c>
      <c r="AF658" s="4" t="e">
        <f t="shared" si="88"/>
        <v>#N/A</v>
      </c>
    </row>
    <row r="659" spans="2:32">
      <c r="B659" s="5">
        <f t="shared" ref="B659:B722" si="93">+B658+1</f>
        <v>647</v>
      </c>
      <c r="C659" s="5"/>
      <c r="E659" s="13"/>
      <c r="F659" s="5"/>
      <c r="G659" s="11" t="str">
        <f>IF(ISERROR(AVERAGE(F$13:F659)),"n/a",AVERAGE(F$13:F659))</f>
        <v>n/a</v>
      </c>
      <c r="H659" s="11" t="str">
        <f t="shared" si="89"/>
        <v>n/a</v>
      </c>
      <c r="J659" s="5"/>
      <c r="K659" s="5"/>
      <c r="L659" s="5"/>
      <c r="M659" s="5"/>
      <c r="N659" s="5"/>
      <c r="O659" s="8" t="str">
        <f t="shared" si="87"/>
        <v>n/a</v>
      </c>
      <c r="Q659" s="5"/>
      <c r="R659" s="5"/>
      <c r="S659" s="5"/>
      <c r="U659" s="6"/>
      <c r="V659" s="9" t="str">
        <f t="shared" si="90"/>
        <v/>
      </c>
      <c r="W659" s="9" t="str">
        <f t="shared" si="91"/>
        <v/>
      </c>
      <c r="X659" s="10">
        <f>SUM(V$13:V659)/COUNTA(B$13:B659)</f>
        <v>0</v>
      </c>
      <c r="Z659" s="5"/>
      <c r="AA659" s="5"/>
      <c r="AC659" s="7"/>
      <c r="AE659" s="54" t="e">
        <f t="shared" si="92"/>
        <v>#N/A</v>
      </c>
      <c r="AF659" s="4" t="e">
        <f t="shared" si="88"/>
        <v>#N/A</v>
      </c>
    </row>
    <row r="660" spans="2:32">
      <c r="B660" s="5">
        <f t="shared" si="93"/>
        <v>648</v>
      </c>
      <c r="C660" s="5"/>
      <c r="E660" s="13"/>
      <c r="F660" s="5"/>
      <c r="G660" s="11" t="str">
        <f>IF(ISERROR(AVERAGE(F$13:F660)),"n/a",AVERAGE(F$13:F660))</f>
        <v>n/a</v>
      </c>
      <c r="H660" s="11" t="str">
        <f t="shared" si="89"/>
        <v>n/a</v>
      </c>
      <c r="J660" s="5"/>
      <c r="K660" s="5"/>
      <c r="L660" s="5"/>
      <c r="M660" s="5"/>
      <c r="N660" s="5"/>
      <c r="O660" s="8" t="str">
        <f t="shared" si="87"/>
        <v>n/a</v>
      </c>
      <c r="Q660" s="5"/>
      <c r="R660" s="5"/>
      <c r="S660" s="5"/>
      <c r="U660" s="6"/>
      <c r="V660" s="9" t="str">
        <f t="shared" si="90"/>
        <v/>
      </c>
      <c r="W660" s="9" t="str">
        <f t="shared" si="91"/>
        <v/>
      </c>
      <c r="X660" s="10">
        <f>SUM(V$13:V660)/COUNTA(B$13:B660)</f>
        <v>0</v>
      </c>
      <c r="Z660" s="5"/>
      <c r="AA660" s="5"/>
      <c r="AC660" s="7"/>
      <c r="AE660" s="54" t="e">
        <f t="shared" si="92"/>
        <v>#N/A</v>
      </c>
      <c r="AF660" s="4" t="e">
        <f t="shared" si="88"/>
        <v>#N/A</v>
      </c>
    </row>
    <row r="661" spans="2:32">
      <c r="B661" s="5">
        <f t="shared" si="93"/>
        <v>649</v>
      </c>
      <c r="C661" s="5"/>
      <c r="E661" s="13"/>
      <c r="F661" s="5"/>
      <c r="G661" s="11" t="str">
        <f>IF(ISERROR(AVERAGE(F$13:F661)),"n/a",AVERAGE(F$13:F661))</f>
        <v>n/a</v>
      </c>
      <c r="H661" s="11" t="str">
        <f t="shared" si="89"/>
        <v>n/a</v>
      </c>
      <c r="J661" s="5"/>
      <c r="K661" s="5"/>
      <c r="L661" s="5"/>
      <c r="M661" s="5"/>
      <c r="N661" s="5"/>
      <c r="O661" s="8" t="str">
        <f t="shared" si="87"/>
        <v>n/a</v>
      </c>
      <c r="Q661" s="5"/>
      <c r="R661" s="5"/>
      <c r="S661" s="5"/>
      <c r="U661" s="6"/>
      <c r="V661" s="9" t="str">
        <f t="shared" si="90"/>
        <v/>
      </c>
      <c r="W661" s="9" t="str">
        <f t="shared" si="91"/>
        <v/>
      </c>
      <c r="X661" s="10">
        <f>SUM(V$13:V661)/COUNTA(B$13:B661)</f>
        <v>0</v>
      </c>
      <c r="Z661" s="5"/>
      <c r="AA661" s="5"/>
      <c r="AC661" s="7"/>
      <c r="AE661" s="54" t="e">
        <f t="shared" si="92"/>
        <v>#N/A</v>
      </c>
      <c r="AF661" s="4" t="e">
        <f t="shared" si="88"/>
        <v>#N/A</v>
      </c>
    </row>
    <row r="662" spans="2:32">
      <c r="B662" s="5">
        <f t="shared" si="93"/>
        <v>650</v>
      </c>
      <c r="C662" s="5"/>
      <c r="E662" s="13"/>
      <c r="F662" s="5"/>
      <c r="G662" s="11" t="str">
        <f>IF(ISERROR(AVERAGE(F$13:F662)),"n/a",AVERAGE(F$13:F662))</f>
        <v>n/a</v>
      </c>
      <c r="H662" s="11" t="str">
        <f t="shared" si="89"/>
        <v>n/a</v>
      </c>
      <c r="J662" s="5"/>
      <c r="K662" s="5"/>
      <c r="L662" s="5"/>
      <c r="M662" s="5"/>
      <c r="N662" s="5"/>
      <c r="O662" s="8" t="str">
        <f t="shared" si="87"/>
        <v>n/a</v>
      </c>
      <c r="Q662" s="5"/>
      <c r="R662" s="5"/>
      <c r="S662" s="5"/>
      <c r="U662" s="6"/>
      <c r="V662" s="9" t="str">
        <f t="shared" si="90"/>
        <v/>
      </c>
      <c r="W662" s="9" t="str">
        <f t="shared" si="91"/>
        <v/>
      </c>
      <c r="X662" s="10">
        <f>SUM(V$13:V662)/COUNTA(B$13:B662)</f>
        <v>0</v>
      </c>
      <c r="Z662" s="5"/>
      <c r="AA662" s="5"/>
      <c r="AC662" s="7"/>
      <c r="AE662" s="54" t="e">
        <f t="shared" si="92"/>
        <v>#N/A</v>
      </c>
      <c r="AF662" s="4" t="e">
        <f t="shared" si="88"/>
        <v>#N/A</v>
      </c>
    </row>
    <row r="663" spans="2:32">
      <c r="B663" s="5">
        <f t="shared" si="93"/>
        <v>651</v>
      </c>
      <c r="C663" s="5"/>
      <c r="E663" s="13"/>
      <c r="F663" s="5"/>
      <c r="G663" s="11" t="str">
        <f>IF(ISERROR(AVERAGE(F$13:F663)),"n/a",AVERAGE(F$13:F663))</f>
        <v>n/a</v>
      </c>
      <c r="H663" s="11" t="str">
        <f t="shared" si="89"/>
        <v>n/a</v>
      </c>
      <c r="J663" s="5"/>
      <c r="K663" s="5"/>
      <c r="L663" s="5"/>
      <c r="M663" s="5"/>
      <c r="N663" s="5"/>
      <c r="O663" s="8" t="str">
        <f t="shared" si="87"/>
        <v>n/a</v>
      </c>
      <c r="Q663" s="5"/>
      <c r="R663" s="5"/>
      <c r="S663" s="5"/>
      <c r="U663" s="6"/>
      <c r="V663" s="9" t="str">
        <f t="shared" si="90"/>
        <v/>
      </c>
      <c r="W663" s="9" t="str">
        <f t="shared" si="91"/>
        <v/>
      </c>
      <c r="X663" s="10">
        <f>SUM(V$13:V663)/COUNTA(B$13:B663)</f>
        <v>0</v>
      </c>
      <c r="Z663" s="5"/>
      <c r="AA663" s="5"/>
      <c r="AC663" s="7"/>
      <c r="AE663" s="54" t="e">
        <f t="shared" si="92"/>
        <v>#N/A</v>
      </c>
      <c r="AF663" s="4" t="e">
        <f t="shared" si="88"/>
        <v>#N/A</v>
      </c>
    </row>
    <row r="664" spans="2:32">
      <c r="B664" s="5">
        <f t="shared" si="93"/>
        <v>652</v>
      </c>
      <c r="C664" s="5"/>
      <c r="E664" s="13"/>
      <c r="F664" s="5"/>
      <c r="G664" s="11" t="str">
        <f>IF(ISERROR(AVERAGE(F$13:F664)),"n/a",AVERAGE(F$13:F664))</f>
        <v>n/a</v>
      </c>
      <c r="H664" s="11" t="str">
        <f t="shared" si="89"/>
        <v>n/a</v>
      </c>
      <c r="J664" s="5"/>
      <c r="K664" s="5"/>
      <c r="L664" s="5"/>
      <c r="M664" s="5"/>
      <c r="N664" s="5"/>
      <c r="O664" s="8" t="str">
        <f t="shared" si="87"/>
        <v>n/a</v>
      </c>
      <c r="Q664" s="5"/>
      <c r="R664" s="5"/>
      <c r="S664" s="5"/>
      <c r="U664" s="6"/>
      <c r="V664" s="9" t="str">
        <f t="shared" si="90"/>
        <v/>
      </c>
      <c r="W664" s="9" t="str">
        <f t="shared" si="91"/>
        <v/>
      </c>
      <c r="X664" s="10">
        <f>SUM(V$13:V664)/COUNTA(B$13:B664)</f>
        <v>0</v>
      </c>
      <c r="Z664" s="5"/>
      <c r="AA664" s="5"/>
      <c r="AC664" s="7"/>
      <c r="AE664" s="54" t="e">
        <f t="shared" si="92"/>
        <v>#N/A</v>
      </c>
      <c r="AF664" s="4" t="e">
        <f t="shared" si="88"/>
        <v>#N/A</v>
      </c>
    </row>
    <row r="665" spans="2:32">
      <c r="B665" s="5">
        <f t="shared" si="93"/>
        <v>653</v>
      </c>
      <c r="C665" s="5"/>
      <c r="E665" s="13"/>
      <c r="F665" s="5"/>
      <c r="G665" s="11" t="str">
        <f>IF(ISERROR(AVERAGE(F$13:F665)),"n/a",AVERAGE(F$13:F665))</f>
        <v>n/a</v>
      </c>
      <c r="H665" s="11" t="str">
        <f t="shared" si="89"/>
        <v>n/a</v>
      </c>
      <c r="J665" s="5"/>
      <c r="K665" s="5"/>
      <c r="L665" s="5"/>
      <c r="M665" s="5"/>
      <c r="N665" s="5"/>
      <c r="O665" s="8" t="str">
        <f t="shared" si="87"/>
        <v>n/a</v>
      </c>
      <c r="Q665" s="5"/>
      <c r="R665" s="5"/>
      <c r="S665" s="5"/>
      <c r="U665" s="6"/>
      <c r="V665" s="9" t="str">
        <f t="shared" si="90"/>
        <v/>
      </c>
      <c r="W665" s="9" t="str">
        <f t="shared" si="91"/>
        <v/>
      </c>
      <c r="X665" s="10">
        <f>SUM(V$13:V665)/COUNTA(B$13:B665)</f>
        <v>0</v>
      </c>
      <c r="Z665" s="5"/>
      <c r="AA665" s="5"/>
      <c r="AC665" s="7"/>
      <c r="AE665" s="54" t="e">
        <f t="shared" si="92"/>
        <v>#N/A</v>
      </c>
      <c r="AF665" s="4" t="e">
        <f t="shared" si="88"/>
        <v>#N/A</v>
      </c>
    </row>
    <row r="666" spans="2:32">
      <c r="B666" s="5">
        <f t="shared" si="93"/>
        <v>654</v>
      </c>
      <c r="C666" s="5"/>
      <c r="E666" s="13"/>
      <c r="F666" s="5"/>
      <c r="G666" s="11" t="str">
        <f>IF(ISERROR(AVERAGE(F$13:F666)),"n/a",AVERAGE(F$13:F666))</f>
        <v>n/a</v>
      </c>
      <c r="H666" s="11" t="str">
        <f t="shared" si="89"/>
        <v>n/a</v>
      </c>
      <c r="J666" s="5"/>
      <c r="K666" s="5"/>
      <c r="L666" s="5"/>
      <c r="M666" s="5"/>
      <c r="N666" s="5"/>
      <c r="O666" s="8" t="str">
        <f t="shared" si="87"/>
        <v>n/a</v>
      </c>
      <c r="Q666" s="5"/>
      <c r="R666" s="5"/>
      <c r="S666" s="5"/>
      <c r="U666" s="6"/>
      <c r="V666" s="9" t="str">
        <f t="shared" si="90"/>
        <v/>
      </c>
      <c r="W666" s="9" t="str">
        <f t="shared" si="91"/>
        <v/>
      </c>
      <c r="X666" s="10">
        <f>SUM(V$13:V666)/COUNTA(B$13:B666)</f>
        <v>0</v>
      </c>
      <c r="Z666" s="5"/>
      <c r="AA666" s="5"/>
      <c r="AC666" s="7"/>
      <c r="AE666" s="54" t="e">
        <f t="shared" si="92"/>
        <v>#N/A</v>
      </c>
      <c r="AF666" s="4" t="e">
        <f t="shared" si="88"/>
        <v>#N/A</v>
      </c>
    </row>
    <row r="667" spans="2:32">
      <c r="B667" s="5">
        <f t="shared" si="93"/>
        <v>655</v>
      </c>
      <c r="C667" s="5"/>
      <c r="E667" s="13"/>
      <c r="F667" s="5"/>
      <c r="G667" s="11" t="str">
        <f>IF(ISERROR(AVERAGE(F$13:F667)),"n/a",AVERAGE(F$13:F667))</f>
        <v>n/a</v>
      </c>
      <c r="H667" s="11" t="str">
        <f t="shared" si="89"/>
        <v>n/a</v>
      </c>
      <c r="J667" s="5"/>
      <c r="K667" s="5"/>
      <c r="L667" s="5"/>
      <c r="M667" s="5"/>
      <c r="N667" s="5"/>
      <c r="O667" s="8" t="str">
        <f t="shared" si="87"/>
        <v>n/a</v>
      </c>
      <c r="Q667" s="5"/>
      <c r="R667" s="5"/>
      <c r="S667" s="5"/>
      <c r="U667" s="6"/>
      <c r="V667" s="9" t="str">
        <f t="shared" si="90"/>
        <v/>
      </c>
      <c r="W667" s="9" t="str">
        <f t="shared" si="91"/>
        <v/>
      </c>
      <c r="X667" s="10">
        <f>SUM(V$13:V667)/COUNTA(B$13:B667)</f>
        <v>0</v>
      </c>
      <c r="Z667" s="5"/>
      <c r="AA667" s="5"/>
      <c r="AC667" s="7"/>
      <c r="AE667" s="54" t="e">
        <f t="shared" si="92"/>
        <v>#N/A</v>
      </c>
      <c r="AF667" s="4" t="e">
        <f t="shared" si="88"/>
        <v>#N/A</v>
      </c>
    </row>
    <row r="668" spans="2:32">
      <c r="B668" s="5">
        <f t="shared" si="93"/>
        <v>656</v>
      </c>
      <c r="C668" s="5"/>
      <c r="E668" s="13"/>
      <c r="F668" s="5"/>
      <c r="G668" s="11" t="str">
        <f>IF(ISERROR(AVERAGE(F$13:F668)),"n/a",AVERAGE(F$13:F668))</f>
        <v>n/a</v>
      </c>
      <c r="H668" s="11" t="str">
        <f t="shared" si="89"/>
        <v>n/a</v>
      </c>
      <c r="J668" s="5"/>
      <c r="K668" s="5"/>
      <c r="L668" s="5"/>
      <c r="M668" s="5"/>
      <c r="N668" s="5"/>
      <c r="O668" s="8" t="str">
        <f t="shared" si="87"/>
        <v>n/a</v>
      </c>
      <c r="Q668" s="5"/>
      <c r="R668" s="5"/>
      <c r="S668" s="5"/>
      <c r="U668" s="6"/>
      <c r="V668" s="9" t="str">
        <f t="shared" si="90"/>
        <v/>
      </c>
      <c r="W668" s="9" t="str">
        <f t="shared" si="91"/>
        <v/>
      </c>
      <c r="X668" s="10">
        <f>SUM(V$13:V668)/COUNTA(B$13:B668)</f>
        <v>0</v>
      </c>
      <c r="Z668" s="5"/>
      <c r="AA668" s="5"/>
      <c r="AC668" s="7"/>
      <c r="AE668" s="54" t="e">
        <f t="shared" si="92"/>
        <v>#N/A</v>
      </c>
      <c r="AF668" s="4" t="e">
        <f t="shared" si="88"/>
        <v>#N/A</v>
      </c>
    </row>
    <row r="669" spans="2:32">
      <c r="B669" s="5">
        <f t="shared" si="93"/>
        <v>657</v>
      </c>
      <c r="C669" s="5"/>
      <c r="E669" s="13"/>
      <c r="F669" s="5"/>
      <c r="G669" s="11" t="str">
        <f>IF(ISERROR(AVERAGE(F$13:F669)),"n/a",AVERAGE(F$13:F669))</f>
        <v>n/a</v>
      </c>
      <c r="H669" s="11" t="str">
        <f t="shared" si="89"/>
        <v>n/a</v>
      </c>
      <c r="J669" s="5"/>
      <c r="K669" s="5"/>
      <c r="L669" s="5"/>
      <c r="M669" s="5"/>
      <c r="N669" s="5"/>
      <c r="O669" s="8" t="str">
        <f t="shared" si="87"/>
        <v>n/a</v>
      </c>
      <c r="Q669" s="5"/>
      <c r="R669" s="5"/>
      <c r="S669" s="5"/>
      <c r="U669" s="6"/>
      <c r="V669" s="9" t="str">
        <f t="shared" si="90"/>
        <v/>
      </c>
      <c r="W669" s="9" t="str">
        <f t="shared" si="91"/>
        <v/>
      </c>
      <c r="X669" s="10">
        <f>SUM(V$13:V669)/COUNTA(B$13:B669)</f>
        <v>0</v>
      </c>
      <c r="Z669" s="5"/>
      <c r="AA669" s="5"/>
      <c r="AC669" s="7"/>
      <c r="AE669" s="54" t="e">
        <f t="shared" si="92"/>
        <v>#N/A</v>
      </c>
      <c r="AF669" s="4" t="e">
        <f t="shared" si="88"/>
        <v>#N/A</v>
      </c>
    </row>
    <row r="670" spans="2:32">
      <c r="B670" s="5">
        <f t="shared" si="93"/>
        <v>658</v>
      </c>
      <c r="C670" s="5"/>
      <c r="E670" s="13"/>
      <c r="F670" s="5"/>
      <c r="G670" s="11" t="str">
        <f>IF(ISERROR(AVERAGE(F$13:F670)),"n/a",AVERAGE(F$13:F670))</f>
        <v>n/a</v>
      </c>
      <c r="H670" s="11" t="str">
        <f t="shared" si="89"/>
        <v>n/a</v>
      </c>
      <c r="J670" s="5"/>
      <c r="K670" s="5"/>
      <c r="L670" s="5"/>
      <c r="M670" s="5"/>
      <c r="N670" s="5"/>
      <c r="O670" s="8" t="str">
        <f t="shared" si="87"/>
        <v>n/a</v>
      </c>
      <c r="Q670" s="5"/>
      <c r="R670" s="5"/>
      <c r="S670" s="5"/>
      <c r="U670" s="6"/>
      <c r="V670" s="9" t="str">
        <f t="shared" si="90"/>
        <v/>
      </c>
      <c r="W670" s="9" t="str">
        <f t="shared" si="91"/>
        <v/>
      </c>
      <c r="X670" s="10">
        <f>SUM(V$13:V670)/COUNTA(B$13:B670)</f>
        <v>0</v>
      </c>
      <c r="Z670" s="5"/>
      <c r="AA670" s="5"/>
      <c r="AC670" s="7"/>
      <c r="AE670" s="54" t="e">
        <f t="shared" si="92"/>
        <v>#N/A</v>
      </c>
      <c r="AF670" s="4" t="e">
        <f t="shared" si="88"/>
        <v>#N/A</v>
      </c>
    </row>
    <row r="671" spans="2:32">
      <c r="B671" s="5">
        <f t="shared" si="93"/>
        <v>659</v>
      </c>
      <c r="C671" s="5"/>
      <c r="E671" s="13"/>
      <c r="F671" s="5"/>
      <c r="G671" s="11" t="str">
        <f>IF(ISERROR(AVERAGE(F$13:F671)),"n/a",AVERAGE(F$13:F671))</f>
        <v>n/a</v>
      </c>
      <c r="H671" s="11" t="str">
        <f t="shared" si="89"/>
        <v>n/a</v>
      </c>
      <c r="J671" s="5"/>
      <c r="K671" s="5"/>
      <c r="L671" s="5"/>
      <c r="M671" s="5"/>
      <c r="N671" s="5"/>
      <c r="O671" s="8" t="str">
        <f t="shared" si="87"/>
        <v>n/a</v>
      </c>
      <c r="Q671" s="5"/>
      <c r="R671" s="5"/>
      <c r="S671" s="5"/>
      <c r="U671" s="6"/>
      <c r="V671" s="9" t="str">
        <f t="shared" si="90"/>
        <v/>
      </c>
      <c r="W671" s="9" t="str">
        <f t="shared" si="91"/>
        <v/>
      </c>
      <c r="X671" s="10">
        <f>SUM(V$13:V671)/COUNTA(B$13:B671)</f>
        <v>0</v>
      </c>
      <c r="Z671" s="5"/>
      <c r="AA671" s="5"/>
      <c r="AC671" s="7"/>
      <c r="AE671" s="54" t="e">
        <f t="shared" si="92"/>
        <v>#N/A</v>
      </c>
      <c r="AF671" s="4" t="e">
        <f t="shared" si="88"/>
        <v>#N/A</v>
      </c>
    </row>
    <row r="672" spans="2:32">
      <c r="B672" s="5">
        <f t="shared" si="93"/>
        <v>660</v>
      </c>
      <c r="C672" s="5"/>
      <c r="E672" s="13"/>
      <c r="F672" s="5"/>
      <c r="G672" s="11" t="str">
        <f>IF(ISERROR(AVERAGE(F$13:F672)),"n/a",AVERAGE(F$13:F672))</f>
        <v>n/a</v>
      </c>
      <c r="H672" s="11" t="str">
        <f t="shared" si="89"/>
        <v>n/a</v>
      </c>
      <c r="J672" s="5"/>
      <c r="K672" s="5"/>
      <c r="L672" s="5"/>
      <c r="M672" s="5"/>
      <c r="N672" s="5"/>
      <c r="O672" s="8" t="str">
        <f t="shared" si="87"/>
        <v>n/a</v>
      </c>
      <c r="Q672" s="5"/>
      <c r="R672" s="5"/>
      <c r="S672" s="5"/>
      <c r="U672" s="6"/>
      <c r="V672" s="9" t="str">
        <f t="shared" si="90"/>
        <v/>
      </c>
      <c r="W672" s="9" t="str">
        <f t="shared" si="91"/>
        <v/>
      </c>
      <c r="X672" s="10">
        <f>SUM(V$13:V672)/COUNTA(B$13:B672)</f>
        <v>0</v>
      </c>
      <c r="Z672" s="5"/>
      <c r="AA672" s="5"/>
      <c r="AC672" s="7"/>
      <c r="AE672" s="54" t="e">
        <f t="shared" si="92"/>
        <v>#N/A</v>
      </c>
      <c r="AF672" s="4" t="e">
        <f t="shared" si="88"/>
        <v>#N/A</v>
      </c>
    </row>
    <row r="673" spans="2:32">
      <c r="B673" s="5">
        <f t="shared" si="93"/>
        <v>661</v>
      </c>
      <c r="C673" s="5"/>
      <c r="E673" s="13"/>
      <c r="F673" s="5"/>
      <c r="G673" s="11" t="str">
        <f>IF(ISERROR(AVERAGE(F$13:F673)),"n/a",AVERAGE(F$13:F673))</f>
        <v>n/a</v>
      </c>
      <c r="H673" s="11" t="str">
        <f t="shared" si="89"/>
        <v>n/a</v>
      </c>
      <c r="J673" s="5"/>
      <c r="K673" s="5"/>
      <c r="L673" s="5"/>
      <c r="M673" s="5"/>
      <c r="N673" s="5"/>
      <c r="O673" s="8" t="str">
        <f t="shared" si="87"/>
        <v>n/a</v>
      </c>
      <c r="Q673" s="5"/>
      <c r="R673" s="5"/>
      <c r="S673" s="5"/>
      <c r="U673" s="6"/>
      <c r="V673" s="9" t="str">
        <f t="shared" si="90"/>
        <v/>
      </c>
      <c r="W673" s="9" t="str">
        <f t="shared" si="91"/>
        <v/>
      </c>
      <c r="X673" s="10">
        <f>SUM(V$13:V673)/COUNTA(B$13:B673)</f>
        <v>0</v>
      </c>
      <c r="Z673" s="5"/>
      <c r="AA673" s="5"/>
      <c r="AC673" s="7"/>
      <c r="AE673" s="54" t="e">
        <f t="shared" si="92"/>
        <v>#N/A</v>
      </c>
      <c r="AF673" s="4" t="e">
        <f t="shared" si="88"/>
        <v>#N/A</v>
      </c>
    </row>
    <row r="674" spans="2:32">
      <c r="B674" s="5">
        <f t="shared" si="93"/>
        <v>662</v>
      </c>
      <c r="C674" s="5"/>
      <c r="E674" s="13"/>
      <c r="F674" s="5"/>
      <c r="G674" s="11" t="str">
        <f>IF(ISERROR(AVERAGE(F$13:F674)),"n/a",AVERAGE(F$13:F674))</f>
        <v>n/a</v>
      </c>
      <c r="H674" s="11" t="str">
        <f t="shared" si="89"/>
        <v>n/a</v>
      </c>
      <c r="J674" s="5"/>
      <c r="K674" s="5"/>
      <c r="L674" s="5"/>
      <c r="M674" s="5"/>
      <c r="N674" s="5"/>
      <c r="O674" s="8" t="str">
        <f t="shared" si="87"/>
        <v>n/a</v>
      </c>
      <c r="Q674" s="5"/>
      <c r="R674" s="5"/>
      <c r="S674" s="5"/>
      <c r="U674" s="6"/>
      <c r="V674" s="9" t="str">
        <f t="shared" si="90"/>
        <v/>
      </c>
      <c r="W674" s="9" t="str">
        <f t="shared" si="91"/>
        <v/>
      </c>
      <c r="X674" s="10">
        <f>SUM(V$13:V674)/COUNTA(B$13:B674)</f>
        <v>0</v>
      </c>
      <c r="Z674" s="5"/>
      <c r="AA674" s="5"/>
      <c r="AC674" s="7"/>
      <c r="AE674" s="54" t="e">
        <f t="shared" si="92"/>
        <v>#N/A</v>
      </c>
      <c r="AF674" s="4" t="e">
        <f t="shared" si="88"/>
        <v>#N/A</v>
      </c>
    </row>
    <row r="675" spans="2:32">
      <c r="B675" s="5">
        <f t="shared" si="93"/>
        <v>663</v>
      </c>
      <c r="C675" s="5"/>
      <c r="E675" s="13"/>
      <c r="F675" s="5"/>
      <c r="G675" s="11" t="str">
        <f>IF(ISERROR(AVERAGE(F$13:F675)),"n/a",AVERAGE(F$13:F675))</f>
        <v>n/a</v>
      </c>
      <c r="H675" s="11" t="str">
        <f t="shared" si="89"/>
        <v>n/a</v>
      </c>
      <c r="J675" s="5"/>
      <c r="K675" s="5"/>
      <c r="L675" s="5"/>
      <c r="M675" s="5"/>
      <c r="N675" s="5"/>
      <c r="O675" s="8" t="str">
        <f t="shared" si="87"/>
        <v>n/a</v>
      </c>
      <c r="Q675" s="5"/>
      <c r="R675" s="5"/>
      <c r="S675" s="5"/>
      <c r="U675" s="6"/>
      <c r="V675" s="9" t="str">
        <f t="shared" si="90"/>
        <v/>
      </c>
      <c r="W675" s="9" t="str">
        <f t="shared" si="91"/>
        <v/>
      </c>
      <c r="X675" s="10">
        <f>SUM(V$13:V675)/COUNTA(B$13:B675)</f>
        <v>0</v>
      </c>
      <c r="Z675" s="5"/>
      <c r="AA675" s="5"/>
      <c r="AC675" s="7"/>
      <c r="AE675" s="54" t="e">
        <f t="shared" si="92"/>
        <v>#N/A</v>
      </c>
      <c r="AF675" s="4" t="e">
        <f t="shared" si="88"/>
        <v>#N/A</v>
      </c>
    </row>
    <row r="676" spans="2:32">
      <c r="B676" s="5">
        <f t="shared" si="93"/>
        <v>664</v>
      </c>
      <c r="C676" s="5"/>
      <c r="E676" s="13"/>
      <c r="F676" s="5"/>
      <c r="G676" s="11" t="str">
        <f>IF(ISERROR(AVERAGE(F$13:F676)),"n/a",AVERAGE(F$13:F676))</f>
        <v>n/a</v>
      </c>
      <c r="H676" s="11" t="str">
        <f t="shared" si="89"/>
        <v>n/a</v>
      </c>
      <c r="J676" s="5"/>
      <c r="K676" s="5"/>
      <c r="L676" s="5"/>
      <c r="M676" s="5"/>
      <c r="N676" s="5"/>
      <c r="O676" s="8" t="str">
        <f t="shared" si="87"/>
        <v>n/a</v>
      </c>
      <c r="Q676" s="5"/>
      <c r="R676" s="5"/>
      <c r="S676" s="5"/>
      <c r="U676" s="6"/>
      <c r="V676" s="9" t="str">
        <f t="shared" si="90"/>
        <v/>
      </c>
      <c r="W676" s="9" t="str">
        <f t="shared" si="91"/>
        <v/>
      </c>
      <c r="X676" s="10">
        <f>SUM(V$13:V676)/COUNTA(B$13:B676)</f>
        <v>0</v>
      </c>
      <c r="Z676" s="5"/>
      <c r="AA676" s="5"/>
      <c r="AC676" s="7"/>
      <c r="AE676" s="54" t="e">
        <f t="shared" si="92"/>
        <v>#N/A</v>
      </c>
      <c r="AF676" s="4" t="e">
        <f t="shared" si="88"/>
        <v>#N/A</v>
      </c>
    </row>
    <row r="677" spans="2:32">
      <c r="B677" s="5">
        <f t="shared" si="93"/>
        <v>665</v>
      </c>
      <c r="C677" s="5"/>
      <c r="E677" s="13"/>
      <c r="F677" s="5"/>
      <c r="G677" s="11" t="str">
        <f>IF(ISERROR(AVERAGE(F$13:F677)),"n/a",AVERAGE(F$13:F677))</f>
        <v>n/a</v>
      </c>
      <c r="H677" s="11" t="str">
        <f t="shared" si="89"/>
        <v>n/a</v>
      </c>
      <c r="J677" s="5"/>
      <c r="K677" s="5"/>
      <c r="L677" s="5"/>
      <c r="M677" s="5"/>
      <c r="N677" s="5"/>
      <c r="O677" s="8" t="str">
        <f t="shared" si="87"/>
        <v>n/a</v>
      </c>
      <c r="Q677" s="5"/>
      <c r="R677" s="5"/>
      <c r="S677" s="5"/>
      <c r="U677" s="6"/>
      <c r="V677" s="9" t="str">
        <f t="shared" si="90"/>
        <v/>
      </c>
      <c r="W677" s="9" t="str">
        <f t="shared" si="91"/>
        <v/>
      </c>
      <c r="X677" s="10">
        <f>SUM(V$13:V677)/COUNTA(B$13:B677)</f>
        <v>0</v>
      </c>
      <c r="Z677" s="5"/>
      <c r="AA677" s="5"/>
      <c r="AC677" s="7"/>
      <c r="AE677" s="54" t="e">
        <f t="shared" si="92"/>
        <v>#N/A</v>
      </c>
      <c r="AF677" s="4" t="e">
        <f t="shared" si="88"/>
        <v>#N/A</v>
      </c>
    </row>
    <row r="678" spans="2:32">
      <c r="B678" s="5">
        <f t="shared" si="93"/>
        <v>666</v>
      </c>
      <c r="C678" s="5"/>
      <c r="E678" s="13"/>
      <c r="F678" s="5"/>
      <c r="G678" s="11" t="str">
        <f>IF(ISERROR(AVERAGE(F$13:F678)),"n/a",AVERAGE(F$13:F678))</f>
        <v>n/a</v>
      </c>
      <c r="H678" s="11" t="str">
        <f t="shared" si="89"/>
        <v>n/a</v>
      </c>
      <c r="J678" s="5"/>
      <c r="K678" s="5"/>
      <c r="L678" s="5"/>
      <c r="M678" s="5"/>
      <c r="N678" s="5"/>
      <c r="O678" s="8" t="str">
        <f t="shared" si="87"/>
        <v>n/a</v>
      </c>
      <c r="Q678" s="5"/>
      <c r="R678" s="5"/>
      <c r="S678" s="5"/>
      <c r="U678" s="6"/>
      <c r="V678" s="9" t="str">
        <f t="shared" si="90"/>
        <v/>
      </c>
      <c r="W678" s="9" t="str">
        <f t="shared" si="91"/>
        <v/>
      </c>
      <c r="X678" s="10">
        <f>SUM(V$13:V678)/COUNTA(B$13:B678)</f>
        <v>0</v>
      </c>
      <c r="Z678" s="5"/>
      <c r="AA678" s="5"/>
      <c r="AC678" s="7"/>
      <c r="AE678" s="54" t="e">
        <f t="shared" si="92"/>
        <v>#N/A</v>
      </c>
      <c r="AF678" s="4" t="e">
        <f t="shared" si="88"/>
        <v>#N/A</v>
      </c>
    </row>
    <row r="679" spans="2:32">
      <c r="B679" s="5">
        <f t="shared" si="93"/>
        <v>667</v>
      </c>
      <c r="C679" s="5"/>
      <c r="E679" s="13"/>
      <c r="F679" s="5"/>
      <c r="G679" s="11" t="str">
        <f>IF(ISERROR(AVERAGE(F$13:F679)),"n/a",AVERAGE(F$13:F679))</f>
        <v>n/a</v>
      </c>
      <c r="H679" s="11" t="str">
        <f t="shared" si="89"/>
        <v>n/a</v>
      </c>
      <c r="J679" s="5"/>
      <c r="K679" s="5"/>
      <c r="L679" s="5"/>
      <c r="M679" s="5"/>
      <c r="N679" s="5"/>
      <c r="O679" s="8" t="str">
        <f t="shared" si="87"/>
        <v>n/a</v>
      </c>
      <c r="Q679" s="5"/>
      <c r="R679" s="5"/>
      <c r="S679" s="5"/>
      <c r="U679" s="6"/>
      <c r="V679" s="9" t="str">
        <f t="shared" si="90"/>
        <v/>
      </c>
      <c r="W679" s="9" t="str">
        <f t="shared" si="91"/>
        <v/>
      </c>
      <c r="X679" s="10">
        <f>SUM(V$13:V679)/COUNTA(B$13:B679)</f>
        <v>0</v>
      </c>
      <c r="Z679" s="5"/>
      <c r="AA679" s="5"/>
      <c r="AC679" s="7"/>
      <c r="AE679" s="54" t="e">
        <f t="shared" si="92"/>
        <v>#N/A</v>
      </c>
      <c r="AF679" s="4" t="e">
        <f t="shared" si="88"/>
        <v>#N/A</v>
      </c>
    </row>
    <row r="680" spans="2:32">
      <c r="B680" s="5">
        <f t="shared" si="93"/>
        <v>668</v>
      </c>
      <c r="C680" s="5"/>
      <c r="E680" s="13"/>
      <c r="F680" s="5"/>
      <c r="G680" s="11" t="str">
        <f>IF(ISERROR(AVERAGE(F$13:F680)),"n/a",AVERAGE(F$13:F680))</f>
        <v>n/a</v>
      </c>
      <c r="H680" s="11" t="str">
        <f t="shared" si="89"/>
        <v>n/a</v>
      </c>
      <c r="J680" s="5"/>
      <c r="K680" s="5"/>
      <c r="L680" s="5"/>
      <c r="M680" s="5"/>
      <c r="N680" s="5"/>
      <c r="O680" s="8" t="str">
        <f t="shared" si="87"/>
        <v>n/a</v>
      </c>
      <c r="Q680" s="5"/>
      <c r="R680" s="5"/>
      <c r="S680" s="5"/>
      <c r="U680" s="6"/>
      <c r="V680" s="9" t="str">
        <f t="shared" si="90"/>
        <v/>
      </c>
      <c r="W680" s="9" t="str">
        <f t="shared" si="91"/>
        <v/>
      </c>
      <c r="X680" s="10">
        <f>SUM(V$13:V680)/COUNTA(B$13:B680)</f>
        <v>0</v>
      </c>
      <c r="Z680" s="5"/>
      <c r="AA680" s="5"/>
      <c r="AC680" s="7"/>
      <c r="AE680" s="54" t="e">
        <f t="shared" si="92"/>
        <v>#N/A</v>
      </c>
      <c r="AF680" s="4" t="e">
        <f t="shared" si="88"/>
        <v>#N/A</v>
      </c>
    </row>
    <row r="681" spans="2:32">
      <c r="B681" s="5">
        <f t="shared" si="93"/>
        <v>669</v>
      </c>
      <c r="C681" s="5"/>
      <c r="E681" s="13"/>
      <c r="F681" s="5"/>
      <c r="G681" s="11" t="str">
        <f>IF(ISERROR(AVERAGE(F$13:F681)),"n/a",AVERAGE(F$13:F681))</f>
        <v>n/a</v>
      </c>
      <c r="H681" s="11" t="str">
        <f t="shared" si="89"/>
        <v>n/a</v>
      </c>
      <c r="J681" s="5"/>
      <c r="K681" s="5"/>
      <c r="L681" s="5"/>
      <c r="M681" s="5"/>
      <c r="N681" s="5"/>
      <c r="O681" s="8" t="str">
        <f t="shared" si="87"/>
        <v>n/a</v>
      </c>
      <c r="Q681" s="5"/>
      <c r="R681" s="5"/>
      <c r="S681" s="5"/>
      <c r="U681" s="6"/>
      <c r="V681" s="9" t="str">
        <f t="shared" si="90"/>
        <v/>
      </c>
      <c r="W681" s="9" t="str">
        <f t="shared" si="91"/>
        <v/>
      </c>
      <c r="X681" s="10">
        <f>SUM(V$13:V681)/COUNTA(B$13:B681)</f>
        <v>0</v>
      </c>
      <c r="Z681" s="5"/>
      <c r="AA681" s="5"/>
      <c r="AC681" s="7"/>
      <c r="AE681" s="54" t="e">
        <f t="shared" si="92"/>
        <v>#N/A</v>
      </c>
      <c r="AF681" s="4" t="e">
        <f t="shared" si="88"/>
        <v>#N/A</v>
      </c>
    </row>
    <row r="682" spans="2:32">
      <c r="B682" s="5">
        <f t="shared" si="93"/>
        <v>670</v>
      </c>
      <c r="C682" s="5"/>
      <c r="E682" s="13"/>
      <c r="F682" s="5"/>
      <c r="G682" s="11" t="str">
        <f>IF(ISERROR(AVERAGE(F$13:F682)),"n/a",AVERAGE(F$13:F682))</f>
        <v>n/a</v>
      </c>
      <c r="H682" s="11" t="str">
        <f t="shared" si="89"/>
        <v>n/a</v>
      </c>
      <c r="J682" s="5"/>
      <c r="K682" s="5"/>
      <c r="L682" s="5"/>
      <c r="M682" s="5"/>
      <c r="N682" s="5"/>
      <c r="O682" s="8" t="str">
        <f t="shared" si="87"/>
        <v>n/a</v>
      </c>
      <c r="Q682" s="5"/>
      <c r="R682" s="5"/>
      <c r="S682" s="5"/>
      <c r="U682" s="6"/>
      <c r="V682" s="9" t="str">
        <f t="shared" si="90"/>
        <v/>
      </c>
      <c r="W682" s="9" t="str">
        <f t="shared" si="91"/>
        <v/>
      </c>
      <c r="X682" s="10">
        <f>SUM(V$13:V682)/COUNTA(B$13:B682)</f>
        <v>0</v>
      </c>
      <c r="Z682" s="5"/>
      <c r="AA682" s="5"/>
      <c r="AC682" s="7"/>
      <c r="AE682" s="54" t="e">
        <f t="shared" si="92"/>
        <v>#N/A</v>
      </c>
      <c r="AF682" s="4" t="e">
        <f t="shared" si="88"/>
        <v>#N/A</v>
      </c>
    </row>
    <row r="683" spans="2:32">
      <c r="B683" s="5">
        <f t="shared" si="93"/>
        <v>671</v>
      </c>
      <c r="C683" s="5"/>
      <c r="E683" s="13"/>
      <c r="F683" s="5"/>
      <c r="G683" s="11" t="str">
        <f>IF(ISERROR(AVERAGE(F$13:F683)),"n/a",AVERAGE(F$13:F683))</f>
        <v>n/a</v>
      </c>
      <c r="H683" s="11" t="str">
        <f t="shared" si="89"/>
        <v>n/a</v>
      </c>
      <c r="J683" s="5"/>
      <c r="K683" s="5"/>
      <c r="L683" s="5"/>
      <c r="M683" s="5"/>
      <c r="N683" s="5"/>
      <c r="O683" s="8" t="str">
        <f t="shared" si="87"/>
        <v>n/a</v>
      </c>
      <c r="Q683" s="5"/>
      <c r="R683" s="5"/>
      <c r="S683" s="5"/>
      <c r="U683" s="6"/>
      <c r="V683" s="9" t="str">
        <f t="shared" si="90"/>
        <v/>
      </c>
      <c r="W683" s="9" t="str">
        <f t="shared" si="91"/>
        <v/>
      </c>
      <c r="X683" s="10">
        <f>SUM(V$13:V683)/COUNTA(B$13:B683)</f>
        <v>0</v>
      </c>
      <c r="Z683" s="5"/>
      <c r="AA683" s="5"/>
      <c r="AC683" s="7"/>
      <c r="AE683" s="54" t="e">
        <f t="shared" si="92"/>
        <v>#N/A</v>
      </c>
      <c r="AF683" s="4" t="e">
        <f t="shared" si="88"/>
        <v>#N/A</v>
      </c>
    </row>
    <row r="684" spans="2:32">
      <c r="B684" s="5">
        <f t="shared" si="93"/>
        <v>672</v>
      </c>
      <c r="C684" s="5"/>
      <c r="E684" s="13"/>
      <c r="F684" s="5"/>
      <c r="G684" s="11" t="str">
        <f>IF(ISERROR(AVERAGE(F$13:F684)),"n/a",AVERAGE(F$13:F684))</f>
        <v>n/a</v>
      </c>
      <c r="H684" s="11" t="str">
        <f t="shared" si="89"/>
        <v>n/a</v>
      </c>
      <c r="J684" s="5"/>
      <c r="K684" s="5"/>
      <c r="L684" s="5"/>
      <c r="M684" s="5"/>
      <c r="N684" s="5"/>
      <c r="O684" s="8" t="str">
        <f t="shared" si="87"/>
        <v>n/a</v>
      </c>
      <c r="Q684" s="5"/>
      <c r="R684" s="5"/>
      <c r="S684" s="5"/>
      <c r="U684" s="6"/>
      <c r="V684" s="9" t="str">
        <f t="shared" si="90"/>
        <v/>
      </c>
      <c r="W684" s="9" t="str">
        <f t="shared" si="91"/>
        <v/>
      </c>
      <c r="X684" s="10">
        <f>SUM(V$13:V684)/COUNTA(B$13:B684)</f>
        <v>0</v>
      </c>
      <c r="Z684" s="5"/>
      <c r="AA684" s="5"/>
      <c r="AC684" s="7"/>
      <c r="AE684" s="54" t="e">
        <f t="shared" si="92"/>
        <v>#N/A</v>
      </c>
      <c r="AF684" s="4" t="e">
        <f t="shared" si="88"/>
        <v>#N/A</v>
      </c>
    </row>
    <row r="685" spans="2:32">
      <c r="B685" s="5">
        <f t="shared" si="93"/>
        <v>673</v>
      </c>
      <c r="C685" s="5"/>
      <c r="E685" s="13"/>
      <c r="F685" s="5"/>
      <c r="G685" s="11" t="str">
        <f>IF(ISERROR(AVERAGE(F$13:F685)),"n/a",AVERAGE(F$13:F685))</f>
        <v>n/a</v>
      </c>
      <c r="H685" s="11" t="str">
        <f t="shared" si="89"/>
        <v>n/a</v>
      </c>
      <c r="J685" s="5"/>
      <c r="K685" s="5"/>
      <c r="L685" s="5"/>
      <c r="M685" s="5"/>
      <c r="N685" s="5"/>
      <c r="O685" s="8" t="str">
        <f t="shared" si="87"/>
        <v>n/a</v>
      </c>
      <c r="Q685" s="5"/>
      <c r="R685" s="5"/>
      <c r="S685" s="5"/>
      <c r="U685" s="6"/>
      <c r="V685" s="9" t="str">
        <f t="shared" si="90"/>
        <v/>
      </c>
      <c r="W685" s="9" t="str">
        <f t="shared" si="91"/>
        <v/>
      </c>
      <c r="X685" s="10">
        <f>SUM(V$13:V685)/COUNTA(B$13:B685)</f>
        <v>0</v>
      </c>
      <c r="Z685" s="5"/>
      <c r="AA685" s="5"/>
      <c r="AC685" s="7"/>
      <c r="AE685" s="54" t="e">
        <f t="shared" si="92"/>
        <v>#N/A</v>
      </c>
      <c r="AF685" s="4" t="e">
        <f t="shared" si="88"/>
        <v>#N/A</v>
      </c>
    </row>
    <row r="686" spans="2:32">
      <c r="B686" s="5">
        <f t="shared" si="93"/>
        <v>674</v>
      </c>
      <c r="C686" s="5"/>
      <c r="E686" s="13"/>
      <c r="F686" s="5"/>
      <c r="G686" s="11" t="str">
        <f>IF(ISERROR(AVERAGE(F$13:F686)),"n/a",AVERAGE(F$13:F686))</f>
        <v>n/a</v>
      </c>
      <c r="H686" s="11" t="str">
        <f t="shared" si="89"/>
        <v>n/a</v>
      </c>
      <c r="J686" s="5"/>
      <c r="K686" s="5"/>
      <c r="L686" s="5"/>
      <c r="M686" s="5"/>
      <c r="N686" s="5"/>
      <c r="O686" s="8" t="str">
        <f t="shared" si="87"/>
        <v>n/a</v>
      </c>
      <c r="Q686" s="5"/>
      <c r="R686" s="5"/>
      <c r="S686" s="5"/>
      <c r="U686" s="6"/>
      <c r="V686" s="9" t="str">
        <f t="shared" si="90"/>
        <v/>
      </c>
      <c r="W686" s="9" t="str">
        <f t="shared" si="91"/>
        <v/>
      </c>
      <c r="X686" s="10">
        <f>SUM(V$13:V686)/COUNTA(B$13:B686)</f>
        <v>0</v>
      </c>
      <c r="Z686" s="5"/>
      <c r="AA686" s="5"/>
      <c r="AC686" s="7"/>
      <c r="AE686" s="54" t="e">
        <f t="shared" si="92"/>
        <v>#N/A</v>
      </c>
      <c r="AF686" s="4" t="e">
        <f t="shared" si="88"/>
        <v>#N/A</v>
      </c>
    </row>
    <row r="687" spans="2:32">
      <c r="B687" s="5">
        <f t="shared" si="93"/>
        <v>675</v>
      </c>
      <c r="C687" s="5"/>
      <c r="E687" s="13"/>
      <c r="F687" s="5"/>
      <c r="G687" s="11" t="str">
        <f>IF(ISERROR(AVERAGE(F$13:F687)),"n/a",AVERAGE(F$13:F687))</f>
        <v>n/a</v>
      </c>
      <c r="H687" s="11" t="str">
        <f t="shared" si="89"/>
        <v>n/a</v>
      </c>
      <c r="J687" s="5"/>
      <c r="K687" s="5"/>
      <c r="L687" s="5"/>
      <c r="M687" s="5"/>
      <c r="N687" s="5"/>
      <c r="O687" s="8" t="str">
        <f t="shared" si="87"/>
        <v>n/a</v>
      </c>
      <c r="Q687" s="5"/>
      <c r="R687" s="5"/>
      <c r="S687" s="5"/>
      <c r="U687" s="6"/>
      <c r="V687" s="9" t="str">
        <f t="shared" si="90"/>
        <v/>
      </c>
      <c r="W687" s="9" t="str">
        <f t="shared" si="91"/>
        <v/>
      </c>
      <c r="X687" s="10">
        <f>SUM(V$13:V687)/COUNTA(B$13:B687)</f>
        <v>0</v>
      </c>
      <c r="Z687" s="5"/>
      <c r="AA687" s="5"/>
      <c r="AC687" s="7"/>
      <c r="AE687" s="54" t="e">
        <f t="shared" si="92"/>
        <v>#N/A</v>
      </c>
      <c r="AF687" s="4" t="e">
        <f t="shared" si="88"/>
        <v>#N/A</v>
      </c>
    </row>
    <row r="688" spans="2:32">
      <c r="B688" s="5">
        <f t="shared" si="93"/>
        <v>676</v>
      </c>
      <c r="C688" s="5"/>
      <c r="E688" s="13"/>
      <c r="F688" s="5"/>
      <c r="G688" s="11" t="str">
        <f>IF(ISERROR(AVERAGE(F$13:F688)),"n/a",AVERAGE(F$13:F688))</f>
        <v>n/a</v>
      </c>
      <c r="H688" s="11" t="str">
        <f t="shared" si="89"/>
        <v>n/a</v>
      </c>
      <c r="J688" s="5"/>
      <c r="K688" s="5"/>
      <c r="L688" s="5"/>
      <c r="M688" s="5"/>
      <c r="N688" s="5"/>
      <c r="O688" s="8" t="str">
        <f t="shared" si="87"/>
        <v>n/a</v>
      </c>
      <c r="Q688" s="5"/>
      <c r="R688" s="5"/>
      <c r="S688" s="5"/>
      <c r="U688" s="6"/>
      <c r="V688" s="9" t="str">
        <f t="shared" si="90"/>
        <v/>
      </c>
      <c r="W688" s="9" t="str">
        <f t="shared" si="91"/>
        <v/>
      </c>
      <c r="X688" s="10">
        <f>SUM(V$13:V688)/COUNTA(B$13:B688)</f>
        <v>0</v>
      </c>
      <c r="Z688" s="5"/>
      <c r="AA688" s="5"/>
      <c r="AC688" s="7"/>
      <c r="AE688" s="54" t="e">
        <f t="shared" si="92"/>
        <v>#N/A</v>
      </c>
      <c r="AF688" s="4" t="e">
        <f t="shared" si="88"/>
        <v>#N/A</v>
      </c>
    </row>
    <row r="689" spans="2:32">
      <c r="B689" s="5">
        <f t="shared" si="93"/>
        <v>677</v>
      </c>
      <c r="C689" s="5"/>
      <c r="E689" s="13"/>
      <c r="F689" s="5"/>
      <c r="G689" s="11" t="str">
        <f>IF(ISERROR(AVERAGE(F$13:F689)),"n/a",AVERAGE(F$13:F689))</f>
        <v>n/a</v>
      </c>
      <c r="H689" s="11" t="str">
        <f t="shared" si="89"/>
        <v>n/a</v>
      </c>
      <c r="J689" s="5"/>
      <c r="K689" s="5"/>
      <c r="L689" s="5"/>
      <c r="M689" s="5"/>
      <c r="N689" s="5"/>
      <c r="O689" s="8" t="str">
        <f t="shared" si="87"/>
        <v>n/a</v>
      </c>
      <c r="Q689" s="5"/>
      <c r="R689" s="5"/>
      <c r="S689" s="5"/>
      <c r="U689" s="6"/>
      <c r="V689" s="9" t="str">
        <f t="shared" si="90"/>
        <v/>
      </c>
      <c r="W689" s="9" t="str">
        <f t="shared" si="91"/>
        <v/>
      </c>
      <c r="X689" s="10">
        <f>SUM(V$13:V689)/COUNTA(B$13:B689)</f>
        <v>0</v>
      </c>
      <c r="Z689" s="5"/>
      <c r="AA689" s="5"/>
      <c r="AC689" s="7"/>
      <c r="AE689" s="54" t="e">
        <f t="shared" si="92"/>
        <v>#N/A</v>
      </c>
      <c r="AF689" s="4" t="e">
        <f t="shared" si="88"/>
        <v>#N/A</v>
      </c>
    </row>
    <row r="690" spans="2:32">
      <c r="B690" s="5">
        <f t="shared" si="93"/>
        <v>678</v>
      </c>
      <c r="C690" s="5"/>
      <c r="E690" s="13"/>
      <c r="F690" s="5"/>
      <c r="G690" s="11" t="str">
        <f>IF(ISERROR(AVERAGE(F$13:F690)),"n/a",AVERAGE(F$13:F690))</f>
        <v>n/a</v>
      </c>
      <c r="H690" s="11" t="str">
        <f t="shared" si="89"/>
        <v>n/a</v>
      </c>
      <c r="J690" s="5"/>
      <c r="K690" s="5"/>
      <c r="L690" s="5"/>
      <c r="M690" s="5"/>
      <c r="N690" s="5"/>
      <c r="O690" s="8" t="str">
        <f t="shared" si="87"/>
        <v>n/a</v>
      </c>
      <c r="Q690" s="5"/>
      <c r="R690" s="5"/>
      <c r="S690" s="5"/>
      <c r="U690" s="6"/>
      <c r="V690" s="9" t="str">
        <f t="shared" si="90"/>
        <v/>
      </c>
      <c r="W690" s="9" t="str">
        <f t="shared" si="91"/>
        <v/>
      </c>
      <c r="X690" s="10">
        <f>SUM(V$13:V690)/COUNTA(B$13:B690)</f>
        <v>0</v>
      </c>
      <c r="Z690" s="5"/>
      <c r="AA690" s="5"/>
      <c r="AC690" s="7"/>
      <c r="AE690" s="54" t="e">
        <f t="shared" si="92"/>
        <v>#N/A</v>
      </c>
      <c r="AF690" s="4" t="e">
        <f t="shared" si="88"/>
        <v>#N/A</v>
      </c>
    </row>
    <row r="691" spans="2:32">
      <c r="B691" s="5">
        <f t="shared" si="93"/>
        <v>679</v>
      </c>
      <c r="C691" s="5"/>
      <c r="E691" s="13"/>
      <c r="F691" s="5"/>
      <c r="G691" s="11" t="str">
        <f>IF(ISERROR(AVERAGE(F$13:F691)),"n/a",AVERAGE(F$13:F691))</f>
        <v>n/a</v>
      </c>
      <c r="H691" s="11" t="str">
        <f t="shared" si="89"/>
        <v>n/a</v>
      </c>
      <c r="J691" s="5"/>
      <c r="K691" s="5"/>
      <c r="L691" s="5"/>
      <c r="M691" s="5"/>
      <c r="N691" s="5"/>
      <c r="O691" s="8" t="str">
        <f t="shared" si="87"/>
        <v>n/a</v>
      </c>
      <c r="Q691" s="5"/>
      <c r="R691" s="5"/>
      <c r="S691" s="5"/>
      <c r="U691" s="6"/>
      <c r="V691" s="9" t="str">
        <f t="shared" si="90"/>
        <v/>
      </c>
      <c r="W691" s="9" t="str">
        <f t="shared" si="91"/>
        <v/>
      </c>
      <c r="X691" s="10">
        <f>SUM(V$13:V691)/COUNTA(B$13:B691)</f>
        <v>0</v>
      </c>
      <c r="Z691" s="5"/>
      <c r="AA691" s="5"/>
      <c r="AC691" s="7"/>
      <c r="AE691" s="54" t="e">
        <f t="shared" si="92"/>
        <v>#N/A</v>
      </c>
      <c r="AF691" s="4" t="e">
        <f t="shared" si="88"/>
        <v>#N/A</v>
      </c>
    </row>
    <row r="692" spans="2:32">
      <c r="B692" s="5">
        <f t="shared" si="93"/>
        <v>680</v>
      </c>
      <c r="C692" s="5"/>
      <c r="E692" s="13"/>
      <c r="F692" s="5"/>
      <c r="G692" s="11" t="str">
        <f>IF(ISERROR(AVERAGE(F$13:F692)),"n/a",AVERAGE(F$13:F692))</f>
        <v>n/a</v>
      </c>
      <c r="H692" s="11" t="str">
        <f t="shared" si="89"/>
        <v>n/a</v>
      </c>
      <c r="J692" s="5"/>
      <c r="K692" s="5"/>
      <c r="L692" s="5"/>
      <c r="M692" s="5"/>
      <c r="N692" s="5"/>
      <c r="O692" s="8" t="str">
        <f t="shared" si="87"/>
        <v>n/a</v>
      </c>
      <c r="Q692" s="5"/>
      <c r="R692" s="5"/>
      <c r="S692" s="5"/>
      <c r="U692" s="6"/>
      <c r="V692" s="9" t="str">
        <f t="shared" si="90"/>
        <v/>
      </c>
      <c r="W692" s="9" t="str">
        <f t="shared" si="91"/>
        <v/>
      </c>
      <c r="X692" s="10">
        <f>SUM(V$13:V692)/COUNTA(B$13:B692)</f>
        <v>0</v>
      </c>
      <c r="Z692" s="5"/>
      <c r="AA692" s="5"/>
      <c r="AC692" s="7"/>
      <c r="AE692" s="54" t="e">
        <f t="shared" si="92"/>
        <v>#N/A</v>
      </c>
      <c r="AF692" s="4" t="e">
        <f t="shared" si="88"/>
        <v>#N/A</v>
      </c>
    </row>
    <row r="693" spans="2:32">
      <c r="B693" s="5">
        <f t="shared" si="93"/>
        <v>681</v>
      </c>
      <c r="C693" s="5"/>
      <c r="E693" s="13"/>
      <c r="F693" s="5"/>
      <c r="G693" s="11" t="str">
        <f>IF(ISERROR(AVERAGE(F$13:F693)),"n/a",AVERAGE(F$13:F693))</f>
        <v>n/a</v>
      </c>
      <c r="H693" s="11" t="str">
        <f t="shared" si="89"/>
        <v>n/a</v>
      </c>
      <c r="J693" s="5"/>
      <c r="K693" s="5"/>
      <c r="L693" s="5"/>
      <c r="M693" s="5"/>
      <c r="N693" s="5"/>
      <c r="O693" s="8" t="str">
        <f t="shared" si="87"/>
        <v>n/a</v>
      </c>
      <c r="Q693" s="5"/>
      <c r="R693" s="5"/>
      <c r="S693" s="5"/>
      <c r="U693" s="6"/>
      <c r="V693" s="9" t="str">
        <f t="shared" si="90"/>
        <v/>
      </c>
      <c r="W693" s="9" t="str">
        <f t="shared" si="91"/>
        <v/>
      </c>
      <c r="X693" s="10">
        <f>SUM(V$13:V693)/COUNTA(B$13:B693)</f>
        <v>0</v>
      </c>
      <c r="Z693" s="5"/>
      <c r="AA693" s="5"/>
      <c r="AC693" s="7"/>
      <c r="AE693" s="54" t="e">
        <f t="shared" si="92"/>
        <v>#N/A</v>
      </c>
      <c r="AF693" s="4" t="e">
        <f t="shared" si="88"/>
        <v>#N/A</v>
      </c>
    </row>
    <row r="694" spans="2:32">
      <c r="B694" s="5">
        <f t="shared" si="93"/>
        <v>682</v>
      </c>
      <c r="C694" s="5"/>
      <c r="E694" s="13"/>
      <c r="F694" s="5"/>
      <c r="G694" s="11" t="str">
        <f>IF(ISERROR(AVERAGE(F$13:F694)),"n/a",AVERAGE(F$13:F694))</f>
        <v>n/a</v>
      </c>
      <c r="H694" s="11" t="str">
        <f t="shared" si="89"/>
        <v>n/a</v>
      </c>
      <c r="J694" s="5"/>
      <c r="K694" s="5"/>
      <c r="L694" s="5"/>
      <c r="M694" s="5"/>
      <c r="N694" s="5"/>
      <c r="O694" s="8" t="str">
        <f t="shared" si="87"/>
        <v>n/a</v>
      </c>
      <c r="Q694" s="5"/>
      <c r="R694" s="5"/>
      <c r="S694" s="5"/>
      <c r="U694" s="6"/>
      <c r="V694" s="9" t="str">
        <f t="shared" si="90"/>
        <v/>
      </c>
      <c r="W694" s="9" t="str">
        <f t="shared" si="91"/>
        <v/>
      </c>
      <c r="X694" s="10">
        <f>SUM(V$13:V694)/COUNTA(B$13:B694)</f>
        <v>0</v>
      </c>
      <c r="Z694" s="5"/>
      <c r="AA694" s="5"/>
      <c r="AC694" s="7"/>
      <c r="AE694" s="54" t="e">
        <f t="shared" si="92"/>
        <v>#N/A</v>
      </c>
      <c r="AF694" s="4" t="e">
        <f t="shared" si="88"/>
        <v>#N/A</v>
      </c>
    </row>
    <row r="695" spans="2:32">
      <c r="B695" s="5">
        <f t="shared" si="93"/>
        <v>683</v>
      </c>
      <c r="C695" s="5"/>
      <c r="E695" s="13"/>
      <c r="F695" s="5"/>
      <c r="G695" s="11" t="str">
        <f>IF(ISERROR(AVERAGE(F$13:F695)),"n/a",AVERAGE(F$13:F695))</f>
        <v>n/a</v>
      </c>
      <c r="H695" s="11" t="str">
        <f t="shared" si="89"/>
        <v>n/a</v>
      </c>
      <c r="J695" s="5"/>
      <c r="K695" s="5"/>
      <c r="L695" s="5"/>
      <c r="M695" s="5"/>
      <c r="N695" s="5"/>
      <c r="O695" s="8" t="str">
        <f t="shared" si="87"/>
        <v>n/a</v>
      </c>
      <c r="Q695" s="5"/>
      <c r="R695" s="5"/>
      <c r="S695" s="5"/>
      <c r="U695" s="6"/>
      <c r="V695" s="9" t="str">
        <f t="shared" si="90"/>
        <v/>
      </c>
      <c r="W695" s="9" t="str">
        <f t="shared" si="91"/>
        <v/>
      </c>
      <c r="X695" s="10">
        <f>SUM(V$13:V695)/COUNTA(B$13:B695)</f>
        <v>0</v>
      </c>
      <c r="Z695" s="5"/>
      <c r="AA695" s="5"/>
      <c r="AC695" s="7"/>
      <c r="AE695" s="54" t="e">
        <f t="shared" si="92"/>
        <v>#N/A</v>
      </c>
      <c r="AF695" s="4" t="e">
        <f t="shared" si="88"/>
        <v>#N/A</v>
      </c>
    </row>
    <row r="696" spans="2:32">
      <c r="B696" s="5">
        <f t="shared" si="93"/>
        <v>684</v>
      </c>
      <c r="C696" s="5"/>
      <c r="E696" s="13"/>
      <c r="F696" s="5"/>
      <c r="G696" s="11" t="str">
        <f>IF(ISERROR(AVERAGE(F$13:F696)),"n/a",AVERAGE(F$13:F696))</f>
        <v>n/a</v>
      </c>
      <c r="H696" s="11" t="str">
        <f t="shared" si="89"/>
        <v>n/a</v>
      </c>
      <c r="J696" s="5"/>
      <c r="K696" s="5"/>
      <c r="L696" s="5"/>
      <c r="M696" s="5"/>
      <c r="N696" s="5"/>
      <c r="O696" s="8" t="str">
        <f t="shared" si="87"/>
        <v>n/a</v>
      </c>
      <c r="Q696" s="5"/>
      <c r="R696" s="5"/>
      <c r="S696" s="5"/>
      <c r="U696" s="6"/>
      <c r="V696" s="9" t="str">
        <f t="shared" si="90"/>
        <v/>
      </c>
      <c r="W696" s="9" t="str">
        <f t="shared" si="91"/>
        <v/>
      </c>
      <c r="X696" s="10">
        <f>SUM(V$13:V696)/COUNTA(B$13:B696)</f>
        <v>0</v>
      </c>
      <c r="Z696" s="5"/>
      <c r="AA696" s="5"/>
      <c r="AC696" s="7"/>
      <c r="AE696" s="54" t="e">
        <f t="shared" si="92"/>
        <v>#N/A</v>
      </c>
      <c r="AF696" s="4" t="e">
        <f t="shared" si="88"/>
        <v>#N/A</v>
      </c>
    </row>
    <row r="697" spans="2:32">
      <c r="B697" s="5">
        <f t="shared" si="93"/>
        <v>685</v>
      </c>
      <c r="C697" s="5"/>
      <c r="E697" s="13"/>
      <c r="F697" s="5"/>
      <c r="G697" s="11" t="str">
        <f>IF(ISERROR(AVERAGE(F$13:F697)),"n/a",AVERAGE(F$13:F697))</f>
        <v>n/a</v>
      </c>
      <c r="H697" s="11" t="str">
        <f t="shared" si="89"/>
        <v>n/a</v>
      </c>
      <c r="J697" s="5"/>
      <c r="K697" s="5"/>
      <c r="L697" s="5"/>
      <c r="M697" s="5"/>
      <c r="N697" s="5"/>
      <c r="O697" s="8" t="str">
        <f t="shared" si="87"/>
        <v>n/a</v>
      </c>
      <c r="Q697" s="5"/>
      <c r="R697" s="5"/>
      <c r="S697" s="5"/>
      <c r="U697" s="6"/>
      <c r="V697" s="9" t="str">
        <f t="shared" si="90"/>
        <v/>
      </c>
      <c r="W697" s="9" t="str">
        <f t="shared" si="91"/>
        <v/>
      </c>
      <c r="X697" s="10">
        <f>SUM(V$13:V697)/COUNTA(B$13:B697)</f>
        <v>0</v>
      </c>
      <c r="Z697" s="5"/>
      <c r="AA697" s="5"/>
      <c r="AC697" s="7"/>
      <c r="AE697" s="54" t="e">
        <f t="shared" si="92"/>
        <v>#N/A</v>
      </c>
      <c r="AF697" s="4" t="e">
        <f t="shared" si="88"/>
        <v>#N/A</v>
      </c>
    </row>
    <row r="698" spans="2:32">
      <c r="B698" s="5">
        <f t="shared" si="93"/>
        <v>686</v>
      </c>
      <c r="C698" s="5"/>
      <c r="E698" s="13"/>
      <c r="F698" s="5"/>
      <c r="G698" s="11" t="str">
        <f>IF(ISERROR(AVERAGE(F$13:F698)),"n/a",AVERAGE(F$13:F698))</f>
        <v>n/a</v>
      </c>
      <c r="H698" s="11" t="str">
        <f t="shared" si="89"/>
        <v>n/a</v>
      </c>
      <c r="J698" s="5"/>
      <c r="K698" s="5"/>
      <c r="L698" s="5"/>
      <c r="M698" s="5"/>
      <c r="N698" s="5"/>
      <c r="O698" s="8" t="str">
        <f t="shared" si="87"/>
        <v>n/a</v>
      </c>
      <c r="Q698" s="5"/>
      <c r="R698" s="5"/>
      <c r="S698" s="5"/>
      <c r="U698" s="6"/>
      <c r="V698" s="9" t="str">
        <f t="shared" si="90"/>
        <v/>
      </c>
      <c r="W698" s="9" t="str">
        <f t="shared" si="91"/>
        <v/>
      </c>
      <c r="X698" s="10">
        <f>SUM(V$13:V698)/COUNTA(B$13:B698)</f>
        <v>0</v>
      </c>
      <c r="Z698" s="5"/>
      <c r="AA698" s="5"/>
      <c r="AC698" s="7"/>
      <c r="AE698" s="54" t="e">
        <f t="shared" si="92"/>
        <v>#N/A</v>
      </c>
      <c r="AF698" s="4" t="e">
        <f t="shared" si="88"/>
        <v>#N/A</v>
      </c>
    </row>
    <row r="699" spans="2:32">
      <c r="B699" s="5">
        <f t="shared" si="93"/>
        <v>687</v>
      </c>
      <c r="C699" s="5"/>
      <c r="E699" s="13"/>
      <c r="F699" s="5"/>
      <c r="G699" s="11" t="str">
        <f>IF(ISERROR(AVERAGE(F$13:F699)),"n/a",AVERAGE(F$13:F699))</f>
        <v>n/a</v>
      </c>
      <c r="H699" s="11" t="str">
        <f t="shared" si="89"/>
        <v>n/a</v>
      </c>
      <c r="J699" s="5"/>
      <c r="K699" s="5"/>
      <c r="L699" s="5"/>
      <c r="M699" s="5"/>
      <c r="N699" s="5"/>
      <c r="O699" s="8" t="str">
        <f t="shared" si="87"/>
        <v>n/a</v>
      </c>
      <c r="Q699" s="5"/>
      <c r="R699" s="5"/>
      <c r="S699" s="5"/>
      <c r="U699" s="6"/>
      <c r="V699" s="9" t="str">
        <f t="shared" si="90"/>
        <v/>
      </c>
      <c r="W699" s="9" t="str">
        <f t="shared" si="91"/>
        <v/>
      </c>
      <c r="X699" s="10">
        <f>SUM(V$13:V699)/COUNTA(B$13:B699)</f>
        <v>0</v>
      </c>
      <c r="Z699" s="5"/>
      <c r="AA699" s="5"/>
      <c r="AC699" s="7"/>
      <c r="AE699" s="54" t="e">
        <f t="shared" si="92"/>
        <v>#N/A</v>
      </c>
      <c r="AF699" s="4" t="e">
        <f t="shared" si="88"/>
        <v>#N/A</v>
      </c>
    </row>
    <row r="700" spans="2:32">
      <c r="B700" s="5">
        <f t="shared" si="93"/>
        <v>688</v>
      </c>
      <c r="C700" s="5"/>
      <c r="E700" s="13"/>
      <c r="F700" s="5"/>
      <c r="G700" s="11" t="str">
        <f>IF(ISERROR(AVERAGE(F$13:F700)),"n/a",AVERAGE(F$13:F700))</f>
        <v>n/a</v>
      </c>
      <c r="H700" s="11" t="str">
        <f t="shared" si="89"/>
        <v>n/a</v>
      </c>
      <c r="J700" s="5"/>
      <c r="K700" s="5"/>
      <c r="L700" s="5"/>
      <c r="M700" s="5"/>
      <c r="N700" s="5"/>
      <c r="O700" s="8" t="str">
        <f t="shared" si="87"/>
        <v>n/a</v>
      </c>
      <c r="Q700" s="5"/>
      <c r="R700" s="5"/>
      <c r="S700" s="5"/>
      <c r="U700" s="6"/>
      <c r="V700" s="9" t="str">
        <f t="shared" si="90"/>
        <v/>
      </c>
      <c r="W700" s="9" t="str">
        <f t="shared" si="91"/>
        <v/>
      </c>
      <c r="X700" s="10">
        <f>SUM(V$13:V700)/COUNTA(B$13:B700)</f>
        <v>0</v>
      </c>
      <c r="Z700" s="5"/>
      <c r="AA700" s="5"/>
      <c r="AC700" s="7"/>
      <c r="AE700" s="54" t="e">
        <f t="shared" si="92"/>
        <v>#N/A</v>
      </c>
      <c r="AF700" s="4" t="e">
        <f t="shared" si="88"/>
        <v>#N/A</v>
      </c>
    </row>
    <row r="701" spans="2:32">
      <c r="B701" s="5">
        <f t="shared" si="93"/>
        <v>689</v>
      </c>
      <c r="C701" s="5"/>
      <c r="E701" s="13"/>
      <c r="F701" s="5"/>
      <c r="G701" s="11" t="str">
        <f>IF(ISERROR(AVERAGE(F$13:F701)),"n/a",AVERAGE(F$13:F701))</f>
        <v>n/a</v>
      </c>
      <c r="H701" s="11" t="str">
        <f t="shared" si="89"/>
        <v>n/a</v>
      </c>
      <c r="J701" s="5"/>
      <c r="K701" s="5"/>
      <c r="L701" s="5"/>
      <c r="M701" s="5"/>
      <c r="N701" s="5"/>
      <c r="O701" s="8" t="str">
        <f t="shared" si="87"/>
        <v>n/a</v>
      </c>
      <c r="Q701" s="5"/>
      <c r="R701" s="5"/>
      <c r="S701" s="5"/>
      <c r="U701" s="6"/>
      <c r="V701" s="9" t="str">
        <f t="shared" si="90"/>
        <v/>
      </c>
      <c r="W701" s="9" t="str">
        <f t="shared" si="91"/>
        <v/>
      </c>
      <c r="X701" s="10">
        <f>SUM(V$13:V701)/COUNTA(B$13:B701)</f>
        <v>0</v>
      </c>
      <c r="Z701" s="5"/>
      <c r="AA701" s="5"/>
      <c r="AC701" s="7"/>
      <c r="AE701" s="54" t="e">
        <f t="shared" si="92"/>
        <v>#N/A</v>
      </c>
      <c r="AF701" s="4" t="e">
        <f t="shared" si="88"/>
        <v>#N/A</v>
      </c>
    </row>
    <row r="702" spans="2:32">
      <c r="B702" s="5">
        <f t="shared" si="93"/>
        <v>690</v>
      </c>
      <c r="C702" s="5"/>
      <c r="E702" s="13"/>
      <c r="F702" s="5"/>
      <c r="G702" s="11" t="str">
        <f>IF(ISERROR(AVERAGE(F$13:F702)),"n/a",AVERAGE(F$13:F702))</f>
        <v>n/a</v>
      </c>
      <c r="H702" s="11" t="str">
        <f t="shared" si="89"/>
        <v>n/a</v>
      </c>
      <c r="J702" s="5"/>
      <c r="K702" s="5"/>
      <c r="L702" s="5"/>
      <c r="M702" s="5"/>
      <c r="N702" s="5"/>
      <c r="O702" s="8" t="str">
        <f t="shared" si="87"/>
        <v>n/a</v>
      </c>
      <c r="Q702" s="5"/>
      <c r="R702" s="5"/>
      <c r="S702" s="5"/>
      <c r="U702" s="6"/>
      <c r="V702" s="9" t="str">
        <f t="shared" si="90"/>
        <v/>
      </c>
      <c r="W702" s="9" t="str">
        <f t="shared" si="91"/>
        <v/>
      </c>
      <c r="X702" s="10">
        <f>SUM(V$13:V702)/COUNTA(B$13:B702)</f>
        <v>0</v>
      </c>
      <c r="Z702" s="5"/>
      <c r="AA702" s="5"/>
      <c r="AC702" s="7"/>
      <c r="AE702" s="54" t="e">
        <f t="shared" si="92"/>
        <v>#N/A</v>
      </c>
      <c r="AF702" s="4" t="e">
        <f t="shared" si="88"/>
        <v>#N/A</v>
      </c>
    </row>
    <row r="703" spans="2:32">
      <c r="B703" s="5">
        <f t="shared" si="93"/>
        <v>691</v>
      </c>
      <c r="C703" s="5"/>
      <c r="E703" s="13"/>
      <c r="F703" s="5"/>
      <c r="G703" s="11" t="str">
        <f>IF(ISERROR(AVERAGE(F$13:F703)),"n/a",AVERAGE(F$13:F703))</f>
        <v>n/a</v>
      </c>
      <c r="H703" s="11" t="str">
        <f t="shared" si="89"/>
        <v>n/a</v>
      </c>
      <c r="J703" s="5"/>
      <c r="K703" s="5"/>
      <c r="L703" s="5"/>
      <c r="M703" s="5"/>
      <c r="N703" s="5"/>
      <c r="O703" s="8" t="str">
        <f t="shared" si="87"/>
        <v>n/a</v>
      </c>
      <c r="Q703" s="5"/>
      <c r="R703" s="5"/>
      <c r="S703" s="5"/>
      <c r="U703" s="6"/>
      <c r="V703" s="9" t="str">
        <f t="shared" si="90"/>
        <v/>
      </c>
      <c r="W703" s="9" t="str">
        <f t="shared" si="91"/>
        <v/>
      </c>
      <c r="X703" s="10">
        <f>SUM(V$13:V703)/COUNTA(B$13:B703)</f>
        <v>0</v>
      </c>
      <c r="Z703" s="5"/>
      <c r="AA703" s="5"/>
      <c r="AC703" s="7"/>
      <c r="AE703" s="54" t="e">
        <f t="shared" si="92"/>
        <v>#N/A</v>
      </c>
      <c r="AF703" s="4" t="e">
        <f t="shared" si="88"/>
        <v>#N/A</v>
      </c>
    </row>
    <row r="704" spans="2:32">
      <c r="B704" s="5">
        <f t="shared" si="93"/>
        <v>692</v>
      </c>
      <c r="C704" s="5"/>
      <c r="E704" s="13"/>
      <c r="F704" s="5"/>
      <c r="G704" s="11" t="str">
        <f>IF(ISERROR(AVERAGE(F$13:F704)),"n/a",AVERAGE(F$13:F704))</f>
        <v>n/a</v>
      </c>
      <c r="H704" s="11" t="str">
        <f t="shared" si="89"/>
        <v>n/a</v>
      </c>
      <c r="J704" s="5"/>
      <c r="K704" s="5"/>
      <c r="L704" s="5"/>
      <c r="M704" s="5"/>
      <c r="N704" s="5"/>
      <c r="O704" s="8" t="str">
        <f t="shared" si="87"/>
        <v>n/a</v>
      </c>
      <c r="Q704" s="5"/>
      <c r="R704" s="5"/>
      <c r="S704" s="5"/>
      <c r="U704" s="6"/>
      <c r="V704" s="9" t="str">
        <f t="shared" si="90"/>
        <v/>
      </c>
      <c r="W704" s="9" t="str">
        <f t="shared" si="91"/>
        <v/>
      </c>
      <c r="X704" s="10">
        <f>SUM(V$13:V704)/COUNTA(B$13:B704)</f>
        <v>0</v>
      </c>
      <c r="Z704" s="5"/>
      <c r="AA704" s="5"/>
      <c r="AC704" s="7"/>
      <c r="AE704" s="54" t="e">
        <f t="shared" si="92"/>
        <v>#N/A</v>
      </c>
      <c r="AF704" s="4" t="e">
        <f t="shared" si="88"/>
        <v>#N/A</v>
      </c>
    </row>
    <row r="705" spans="2:32">
      <c r="B705" s="5">
        <f t="shared" si="93"/>
        <v>693</v>
      </c>
      <c r="C705" s="5"/>
      <c r="E705" s="13"/>
      <c r="F705" s="5"/>
      <c r="G705" s="11" t="str">
        <f>IF(ISERROR(AVERAGE(F$13:F705)),"n/a",AVERAGE(F$13:F705))</f>
        <v>n/a</v>
      </c>
      <c r="H705" s="11" t="str">
        <f t="shared" si="89"/>
        <v>n/a</v>
      </c>
      <c r="J705" s="5"/>
      <c r="K705" s="5"/>
      <c r="L705" s="5"/>
      <c r="M705" s="5"/>
      <c r="N705" s="5"/>
      <c r="O705" s="8" t="str">
        <f t="shared" si="87"/>
        <v>n/a</v>
      </c>
      <c r="Q705" s="5"/>
      <c r="R705" s="5"/>
      <c r="S705" s="5"/>
      <c r="U705" s="6"/>
      <c r="V705" s="9" t="str">
        <f t="shared" si="90"/>
        <v/>
      </c>
      <c r="W705" s="9" t="str">
        <f t="shared" si="91"/>
        <v/>
      </c>
      <c r="X705" s="10">
        <f>SUM(V$13:V705)/COUNTA(B$13:B705)</f>
        <v>0</v>
      </c>
      <c r="Z705" s="5"/>
      <c r="AA705" s="5"/>
      <c r="AC705" s="7"/>
      <c r="AE705" s="54" t="e">
        <f t="shared" si="92"/>
        <v>#N/A</v>
      </c>
      <c r="AF705" s="4" t="e">
        <f t="shared" si="88"/>
        <v>#N/A</v>
      </c>
    </row>
    <row r="706" spans="2:32">
      <c r="B706" s="5">
        <f t="shared" si="93"/>
        <v>694</v>
      </c>
      <c r="C706" s="5"/>
      <c r="E706" s="13"/>
      <c r="F706" s="5"/>
      <c r="G706" s="11" t="str">
        <f>IF(ISERROR(AVERAGE(F$13:F706)),"n/a",AVERAGE(F$13:F706))</f>
        <v>n/a</v>
      </c>
      <c r="H706" s="11" t="str">
        <f t="shared" si="89"/>
        <v>n/a</v>
      </c>
      <c r="J706" s="5"/>
      <c r="K706" s="5"/>
      <c r="L706" s="5"/>
      <c r="M706" s="5"/>
      <c r="N706" s="5"/>
      <c r="O706" s="8" t="str">
        <f t="shared" si="87"/>
        <v>n/a</v>
      </c>
      <c r="Q706" s="5"/>
      <c r="R706" s="5"/>
      <c r="S706" s="5"/>
      <c r="U706" s="6"/>
      <c r="V706" s="9" t="str">
        <f t="shared" si="90"/>
        <v/>
      </c>
      <c r="W706" s="9" t="str">
        <f t="shared" si="91"/>
        <v/>
      </c>
      <c r="X706" s="10">
        <f>SUM(V$13:V706)/COUNTA(B$13:B706)</f>
        <v>0</v>
      </c>
      <c r="Z706" s="5"/>
      <c r="AA706" s="5"/>
      <c r="AC706" s="7"/>
      <c r="AE706" s="54" t="e">
        <f t="shared" si="92"/>
        <v>#N/A</v>
      </c>
      <c r="AF706" s="4" t="e">
        <f t="shared" si="88"/>
        <v>#N/A</v>
      </c>
    </row>
    <row r="707" spans="2:32">
      <c r="B707" s="5">
        <f t="shared" si="93"/>
        <v>695</v>
      </c>
      <c r="C707" s="5"/>
      <c r="E707" s="13"/>
      <c r="F707" s="5"/>
      <c r="G707" s="11" t="str">
        <f>IF(ISERROR(AVERAGE(F$13:F707)),"n/a",AVERAGE(F$13:F707))</f>
        <v>n/a</v>
      </c>
      <c r="H707" s="11" t="str">
        <f t="shared" si="89"/>
        <v>n/a</v>
      </c>
      <c r="J707" s="5"/>
      <c r="K707" s="5"/>
      <c r="L707" s="5"/>
      <c r="M707" s="5"/>
      <c r="N707" s="5"/>
      <c r="O707" s="8" t="str">
        <f t="shared" si="87"/>
        <v>n/a</v>
      </c>
      <c r="Q707" s="5"/>
      <c r="R707" s="5"/>
      <c r="S707" s="5"/>
      <c r="U707" s="6"/>
      <c r="V707" s="9" t="str">
        <f t="shared" si="90"/>
        <v/>
      </c>
      <c r="W707" s="9" t="str">
        <f t="shared" si="91"/>
        <v/>
      </c>
      <c r="X707" s="10">
        <f>SUM(V$13:V707)/COUNTA(B$13:B707)</f>
        <v>0</v>
      </c>
      <c r="Z707" s="5"/>
      <c r="AA707" s="5"/>
      <c r="AC707" s="7"/>
      <c r="AE707" s="54" t="e">
        <f t="shared" si="92"/>
        <v>#N/A</v>
      </c>
      <c r="AF707" s="4" t="e">
        <f t="shared" si="88"/>
        <v>#N/A</v>
      </c>
    </row>
    <row r="708" spans="2:32">
      <c r="B708" s="5">
        <f t="shared" si="93"/>
        <v>696</v>
      </c>
      <c r="C708" s="5"/>
      <c r="E708" s="13"/>
      <c r="F708" s="5"/>
      <c r="G708" s="11" t="str">
        <f>IF(ISERROR(AVERAGE(F$13:F708)),"n/a",AVERAGE(F$13:F708))</f>
        <v>n/a</v>
      </c>
      <c r="H708" s="11" t="str">
        <f t="shared" si="89"/>
        <v>n/a</v>
      </c>
      <c r="J708" s="5"/>
      <c r="K708" s="5"/>
      <c r="L708" s="5"/>
      <c r="M708" s="5"/>
      <c r="N708" s="5"/>
      <c r="O708" s="8" t="str">
        <f t="shared" si="87"/>
        <v>n/a</v>
      </c>
      <c r="Q708" s="5"/>
      <c r="R708" s="5"/>
      <c r="S708" s="5"/>
      <c r="U708" s="6"/>
      <c r="V708" s="9" t="str">
        <f t="shared" si="90"/>
        <v/>
      </c>
      <c r="W708" s="9" t="str">
        <f t="shared" si="91"/>
        <v/>
      </c>
      <c r="X708" s="10">
        <f>SUM(V$13:V708)/COUNTA(B$13:B708)</f>
        <v>0</v>
      </c>
      <c r="Z708" s="5"/>
      <c r="AA708" s="5"/>
      <c r="AC708" s="7"/>
      <c r="AE708" s="54" t="e">
        <f t="shared" si="92"/>
        <v>#N/A</v>
      </c>
      <c r="AF708" s="4" t="e">
        <f t="shared" si="88"/>
        <v>#N/A</v>
      </c>
    </row>
    <row r="709" spans="2:32">
      <c r="B709" s="5">
        <f t="shared" si="93"/>
        <v>697</v>
      </c>
      <c r="C709" s="5"/>
      <c r="E709" s="13"/>
      <c r="F709" s="5"/>
      <c r="G709" s="11" t="str">
        <f>IF(ISERROR(AVERAGE(F$13:F709)),"n/a",AVERAGE(F$13:F709))</f>
        <v>n/a</v>
      </c>
      <c r="H709" s="11" t="str">
        <f t="shared" si="89"/>
        <v>n/a</v>
      </c>
      <c r="J709" s="5"/>
      <c r="K709" s="5"/>
      <c r="L709" s="5"/>
      <c r="M709" s="5"/>
      <c r="N709" s="5"/>
      <c r="O709" s="8" t="str">
        <f t="shared" si="87"/>
        <v>n/a</v>
      </c>
      <c r="Q709" s="5"/>
      <c r="R709" s="5"/>
      <c r="S709" s="5"/>
      <c r="U709" s="6"/>
      <c r="V709" s="9" t="str">
        <f t="shared" si="90"/>
        <v/>
      </c>
      <c r="W709" s="9" t="str">
        <f t="shared" si="91"/>
        <v/>
      </c>
      <c r="X709" s="10">
        <f>SUM(V$13:V709)/COUNTA(B$13:B709)</f>
        <v>0</v>
      </c>
      <c r="Z709" s="5"/>
      <c r="AA709" s="5"/>
      <c r="AC709" s="7"/>
      <c r="AE709" s="54" t="e">
        <f t="shared" si="92"/>
        <v>#N/A</v>
      </c>
      <c r="AF709" s="4" t="e">
        <f t="shared" si="88"/>
        <v>#N/A</v>
      </c>
    </row>
    <row r="710" spans="2:32">
      <c r="B710" s="5">
        <f t="shared" si="93"/>
        <v>698</v>
      </c>
      <c r="C710" s="5"/>
      <c r="E710" s="13"/>
      <c r="F710" s="5"/>
      <c r="G710" s="11" t="str">
        <f>IF(ISERROR(AVERAGE(F$13:F710)),"n/a",AVERAGE(F$13:F710))</f>
        <v>n/a</v>
      </c>
      <c r="H710" s="11" t="str">
        <f t="shared" si="89"/>
        <v>n/a</v>
      </c>
      <c r="J710" s="5"/>
      <c r="K710" s="5"/>
      <c r="L710" s="5"/>
      <c r="M710" s="5"/>
      <c r="N710" s="5"/>
      <c r="O710" s="8" t="str">
        <f t="shared" si="87"/>
        <v>n/a</v>
      </c>
      <c r="Q710" s="5"/>
      <c r="R710" s="5"/>
      <c r="S710" s="5"/>
      <c r="U710" s="6"/>
      <c r="V710" s="9" t="str">
        <f t="shared" si="90"/>
        <v/>
      </c>
      <c r="W710" s="9" t="str">
        <f t="shared" si="91"/>
        <v/>
      </c>
      <c r="X710" s="10">
        <f>SUM(V$13:V710)/COUNTA(B$13:B710)</f>
        <v>0</v>
      </c>
      <c r="Z710" s="5"/>
      <c r="AA710" s="5"/>
      <c r="AC710" s="7"/>
      <c r="AE710" s="54" t="e">
        <f t="shared" si="92"/>
        <v>#N/A</v>
      </c>
      <c r="AF710" s="4" t="e">
        <f t="shared" si="88"/>
        <v>#N/A</v>
      </c>
    </row>
    <row r="711" spans="2:32">
      <c r="B711" s="5">
        <f t="shared" si="93"/>
        <v>699</v>
      </c>
      <c r="C711" s="5"/>
      <c r="E711" s="13"/>
      <c r="F711" s="5"/>
      <c r="G711" s="11" t="str">
        <f>IF(ISERROR(AVERAGE(F$13:F711)),"n/a",AVERAGE(F$13:F711))</f>
        <v>n/a</v>
      </c>
      <c r="H711" s="11" t="str">
        <f t="shared" si="89"/>
        <v>n/a</v>
      </c>
      <c r="J711" s="5"/>
      <c r="K711" s="5"/>
      <c r="L711" s="5"/>
      <c r="M711" s="5"/>
      <c r="N711" s="5"/>
      <c r="O711" s="8" t="str">
        <f t="shared" si="87"/>
        <v>n/a</v>
      </c>
      <c r="Q711" s="5"/>
      <c r="R711" s="5"/>
      <c r="S711" s="5"/>
      <c r="U711" s="6"/>
      <c r="V711" s="9" t="str">
        <f t="shared" si="90"/>
        <v/>
      </c>
      <c r="W711" s="9" t="str">
        <f t="shared" si="91"/>
        <v/>
      </c>
      <c r="X711" s="10">
        <f>SUM(V$13:V711)/COUNTA(B$13:B711)</f>
        <v>0</v>
      </c>
      <c r="Z711" s="5"/>
      <c r="AA711" s="5"/>
      <c r="AC711" s="7"/>
      <c r="AE711" s="54" t="e">
        <f t="shared" si="92"/>
        <v>#N/A</v>
      </c>
      <c r="AF711" s="4" t="e">
        <f t="shared" si="88"/>
        <v>#N/A</v>
      </c>
    </row>
    <row r="712" spans="2:32">
      <c r="B712" s="5">
        <f t="shared" si="93"/>
        <v>700</v>
      </c>
      <c r="C712" s="5"/>
      <c r="E712" s="13"/>
      <c r="F712" s="5"/>
      <c r="G712" s="11" t="str">
        <f>IF(ISERROR(AVERAGE(F$13:F712)),"n/a",AVERAGE(F$13:F712))</f>
        <v>n/a</v>
      </c>
      <c r="H712" s="11" t="str">
        <f t="shared" si="89"/>
        <v>n/a</v>
      </c>
      <c r="J712" s="5"/>
      <c r="K712" s="5"/>
      <c r="L712" s="5"/>
      <c r="M712" s="5"/>
      <c r="N712" s="5"/>
      <c r="O712" s="8" t="str">
        <f t="shared" si="87"/>
        <v>n/a</v>
      </c>
      <c r="Q712" s="5"/>
      <c r="R712" s="5"/>
      <c r="S712" s="5"/>
      <c r="U712" s="6"/>
      <c r="V712" s="9" t="str">
        <f t="shared" si="90"/>
        <v/>
      </c>
      <c r="W712" s="9" t="str">
        <f t="shared" si="91"/>
        <v/>
      </c>
      <c r="X712" s="10">
        <f>SUM(V$13:V712)/COUNTA(B$13:B712)</f>
        <v>0</v>
      </c>
      <c r="Z712" s="5"/>
      <c r="AA712" s="5"/>
      <c r="AC712" s="7"/>
      <c r="AE712" s="54" t="e">
        <f t="shared" si="92"/>
        <v>#N/A</v>
      </c>
      <c r="AF712" s="4" t="e">
        <f t="shared" si="88"/>
        <v>#N/A</v>
      </c>
    </row>
    <row r="713" spans="2:32">
      <c r="B713" s="5">
        <f t="shared" si="93"/>
        <v>701</v>
      </c>
      <c r="C713" s="5"/>
      <c r="E713" s="13"/>
      <c r="F713" s="5"/>
      <c r="G713" s="11" t="str">
        <f>IF(ISERROR(AVERAGE(F$13:F713)),"n/a",AVERAGE(F$13:F713))</f>
        <v>n/a</v>
      </c>
      <c r="H713" s="11" t="str">
        <f t="shared" si="89"/>
        <v>n/a</v>
      </c>
      <c r="J713" s="5"/>
      <c r="K713" s="5"/>
      <c r="L713" s="5"/>
      <c r="M713" s="5"/>
      <c r="N713" s="5"/>
      <c r="O713" s="8" t="str">
        <f t="shared" si="87"/>
        <v>n/a</v>
      </c>
      <c r="Q713" s="5"/>
      <c r="R713" s="5"/>
      <c r="S713" s="5"/>
      <c r="U713" s="6"/>
      <c r="V713" s="9" t="str">
        <f t="shared" si="90"/>
        <v/>
      </c>
      <c r="W713" s="9" t="str">
        <f t="shared" si="91"/>
        <v/>
      </c>
      <c r="X713" s="10">
        <f>SUM(V$13:V713)/COUNTA(B$13:B713)</f>
        <v>0</v>
      </c>
      <c r="Z713" s="5"/>
      <c r="AA713" s="5"/>
      <c r="AC713" s="7"/>
      <c r="AE713" s="54" t="e">
        <f t="shared" si="92"/>
        <v>#N/A</v>
      </c>
      <c r="AF713" s="4" t="e">
        <f t="shared" si="88"/>
        <v>#N/A</v>
      </c>
    </row>
    <row r="714" spans="2:32">
      <c r="B714" s="5">
        <f t="shared" si="93"/>
        <v>702</v>
      </c>
      <c r="C714" s="5"/>
      <c r="E714" s="13"/>
      <c r="F714" s="5"/>
      <c r="G714" s="11" t="str">
        <f>IF(ISERROR(AVERAGE(F$13:F714)),"n/a",AVERAGE(F$13:F714))</f>
        <v>n/a</v>
      </c>
      <c r="H714" s="11" t="str">
        <f t="shared" si="89"/>
        <v>n/a</v>
      </c>
      <c r="J714" s="5"/>
      <c r="K714" s="5"/>
      <c r="L714" s="5"/>
      <c r="M714" s="5"/>
      <c r="N714" s="5"/>
      <c r="O714" s="8" t="str">
        <f t="shared" si="87"/>
        <v>n/a</v>
      </c>
      <c r="Q714" s="5"/>
      <c r="R714" s="5"/>
      <c r="S714" s="5"/>
      <c r="U714" s="6"/>
      <c r="V714" s="9" t="str">
        <f t="shared" si="90"/>
        <v/>
      </c>
      <c r="W714" s="9" t="str">
        <f t="shared" si="91"/>
        <v/>
      </c>
      <c r="X714" s="10">
        <f>SUM(V$13:V714)/COUNTA(B$13:B714)</f>
        <v>0</v>
      </c>
      <c r="Z714" s="5"/>
      <c r="AA714" s="5"/>
      <c r="AC714" s="7"/>
      <c r="AE714" s="54" t="e">
        <f t="shared" si="92"/>
        <v>#N/A</v>
      </c>
      <c r="AF714" s="4" t="e">
        <f t="shared" si="88"/>
        <v>#N/A</v>
      </c>
    </row>
    <row r="715" spans="2:32">
      <c r="B715" s="5">
        <f t="shared" si="93"/>
        <v>703</v>
      </c>
      <c r="C715" s="5"/>
      <c r="E715" s="13"/>
      <c r="F715" s="5"/>
      <c r="G715" s="11" t="str">
        <f>IF(ISERROR(AVERAGE(F$13:F715)),"n/a",AVERAGE(F$13:F715))</f>
        <v>n/a</v>
      </c>
      <c r="H715" s="11" t="str">
        <f t="shared" si="89"/>
        <v>n/a</v>
      </c>
      <c r="J715" s="5"/>
      <c r="K715" s="5"/>
      <c r="L715" s="5"/>
      <c r="M715" s="5"/>
      <c r="N715" s="5"/>
      <c r="O715" s="8" t="str">
        <f t="shared" si="87"/>
        <v>n/a</v>
      </c>
      <c r="Q715" s="5"/>
      <c r="R715" s="5"/>
      <c r="S715" s="5"/>
      <c r="U715" s="6"/>
      <c r="V715" s="9" t="str">
        <f t="shared" si="90"/>
        <v/>
      </c>
      <c r="W715" s="9" t="str">
        <f t="shared" si="91"/>
        <v/>
      </c>
      <c r="X715" s="10">
        <f>SUM(V$13:V715)/COUNTA(B$13:B715)</f>
        <v>0</v>
      </c>
      <c r="Z715" s="5"/>
      <c r="AA715" s="5"/>
      <c r="AC715" s="7"/>
      <c r="AE715" s="54" t="e">
        <f t="shared" si="92"/>
        <v>#N/A</v>
      </c>
      <c r="AF715" s="4" t="e">
        <f t="shared" si="88"/>
        <v>#N/A</v>
      </c>
    </row>
    <row r="716" spans="2:32">
      <c r="B716" s="5">
        <f t="shared" si="93"/>
        <v>704</v>
      </c>
      <c r="C716" s="5"/>
      <c r="E716" s="13"/>
      <c r="F716" s="5"/>
      <c r="G716" s="11" t="str">
        <f>IF(ISERROR(AVERAGE(F$13:F716)),"n/a",AVERAGE(F$13:F716))</f>
        <v>n/a</v>
      </c>
      <c r="H716" s="11" t="str">
        <f t="shared" si="89"/>
        <v>n/a</v>
      </c>
      <c r="J716" s="5"/>
      <c r="K716" s="5"/>
      <c r="L716" s="5"/>
      <c r="M716" s="5"/>
      <c r="N716" s="5"/>
      <c r="O716" s="8" t="str">
        <f t="shared" si="87"/>
        <v>n/a</v>
      </c>
      <c r="Q716" s="5"/>
      <c r="R716" s="5"/>
      <c r="S716" s="5"/>
      <c r="U716" s="6"/>
      <c r="V716" s="9" t="str">
        <f t="shared" si="90"/>
        <v/>
      </c>
      <c r="W716" s="9" t="str">
        <f t="shared" si="91"/>
        <v/>
      </c>
      <c r="X716" s="10">
        <f>SUM(V$13:V716)/COUNTA(B$13:B716)</f>
        <v>0</v>
      </c>
      <c r="Z716" s="5"/>
      <c r="AA716" s="5"/>
      <c r="AC716" s="7"/>
      <c r="AE716" s="54" t="e">
        <f t="shared" si="92"/>
        <v>#N/A</v>
      </c>
      <c r="AF716" s="4" t="e">
        <f t="shared" si="88"/>
        <v>#N/A</v>
      </c>
    </row>
    <row r="717" spans="2:32">
      <c r="B717" s="5">
        <f t="shared" si="93"/>
        <v>705</v>
      </c>
      <c r="C717" s="5"/>
      <c r="E717" s="13"/>
      <c r="F717" s="5"/>
      <c r="G717" s="11" t="str">
        <f>IF(ISERROR(AVERAGE(F$13:F717)),"n/a",AVERAGE(F$13:F717))</f>
        <v>n/a</v>
      </c>
      <c r="H717" s="11" t="str">
        <f t="shared" si="89"/>
        <v>n/a</v>
      </c>
      <c r="J717" s="5"/>
      <c r="K717" s="5"/>
      <c r="L717" s="5"/>
      <c r="M717" s="5"/>
      <c r="N717" s="5"/>
      <c r="O717" s="8" t="str">
        <f t="shared" ref="O717:O780" si="94">IF(J717=1,"A",IF(K717=1,"B",IF(L717=1,"C",IF(M717=1,"D",IF(N717=1,"E","n/a")))))</f>
        <v>n/a</v>
      </c>
      <c r="Q717" s="5"/>
      <c r="R717" s="5"/>
      <c r="S717" s="5"/>
      <c r="U717" s="6"/>
      <c r="V717" s="9" t="str">
        <f t="shared" si="90"/>
        <v/>
      </c>
      <c r="W717" s="9" t="str">
        <f t="shared" si="91"/>
        <v/>
      </c>
      <c r="X717" s="10">
        <f>SUM(V$13:V717)/COUNTA(B$13:B717)</f>
        <v>0</v>
      </c>
      <c r="Z717" s="5"/>
      <c r="AA717" s="5"/>
      <c r="AC717" s="7"/>
      <c r="AE717" s="54" t="e">
        <f t="shared" si="92"/>
        <v>#N/A</v>
      </c>
      <c r="AF717" s="4" t="e">
        <f t="shared" ref="AF717:AF780" si="95">HLOOKUP(C717,$K$6:$O$7,2,FALSE)</f>
        <v>#N/A</v>
      </c>
    </row>
    <row r="718" spans="2:32">
      <c r="B718" s="5">
        <f t="shared" si="93"/>
        <v>706</v>
      </c>
      <c r="C718" s="5"/>
      <c r="E718" s="13"/>
      <c r="F718" s="5"/>
      <c r="G718" s="11" t="str">
        <f>IF(ISERROR(AVERAGE(F$13:F718)),"n/a",AVERAGE(F$13:F718))</f>
        <v>n/a</v>
      </c>
      <c r="H718" s="11" t="str">
        <f t="shared" ref="H718:H781" si="96">G718</f>
        <v>n/a</v>
      </c>
      <c r="J718" s="5"/>
      <c r="K718" s="5"/>
      <c r="L718" s="5"/>
      <c r="M718" s="5"/>
      <c r="N718" s="5"/>
      <c r="O718" s="8" t="str">
        <f t="shared" si="94"/>
        <v>n/a</v>
      </c>
      <c r="Q718" s="5"/>
      <c r="R718" s="5"/>
      <c r="S718" s="5"/>
      <c r="U718" s="6"/>
      <c r="V718" s="9" t="str">
        <f t="shared" ref="V718:V781" si="97">IF(O718="n/a","",IF(O718=U718,1,""))</f>
        <v/>
      </c>
      <c r="W718" s="9" t="str">
        <f t="shared" ref="W718:W781" si="98">IF(O718="n/a","",IF(O718&lt;&gt;U718,1,""))</f>
        <v/>
      </c>
      <c r="X718" s="10">
        <f>SUM(V$13:V718)/COUNTA(B$13:B718)</f>
        <v>0</v>
      </c>
      <c r="Z718" s="5"/>
      <c r="AA718" s="5"/>
      <c r="AC718" s="7"/>
      <c r="AE718" s="54" t="e">
        <f t="shared" ref="AE718:AE781" si="99">+IF($F$4=0,0,IF(W718=1,1,IF(OR(R718*$F$8=1,S718*$F$9=1,F718&gt;=AF718),2,0)))</f>
        <v>#N/A</v>
      </c>
      <c r="AF718" s="4" t="e">
        <f t="shared" si="95"/>
        <v>#N/A</v>
      </c>
    </row>
    <row r="719" spans="2:32">
      <c r="B719" s="5">
        <f t="shared" si="93"/>
        <v>707</v>
      </c>
      <c r="C719" s="5"/>
      <c r="E719" s="13"/>
      <c r="F719" s="5"/>
      <c r="G719" s="11" t="str">
        <f>IF(ISERROR(AVERAGE(F$13:F719)),"n/a",AVERAGE(F$13:F719))</f>
        <v>n/a</v>
      </c>
      <c r="H719" s="11" t="str">
        <f t="shared" si="96"/>
        <v>n/a</v>
      </c>
      <c r="J719" s="5"/>
      <c r="K719" s="5"/>
      <c r="L719" s="5"/>
      <c r="M719" s="5"/>
      <c r="N719" s="5"/>
      <c r="O719" s="8" t="str">
        <f t="shared" si="94"/>
        <v>n/a</v>
      </c>
      <c r="Q719" s="5"/>
      <c r="R719" s="5"/>
      <c r="S719" s="5"/>
      <c r="U719" s="6"/>
      <c r="V719" s="9" t="str">
        <f t="shared" si="97"/>
        <v/>
      </c>
      <c r="W719" s="9" t="str">
        <f t="shared" si="98"/>
        <v/>
      </c>
      <c r="X719" s="10">
        <f>SUM(V$13:V719)/COUNTA(B$13:B719)</f>
        <v>0</v>
      </c>
      <c r="Z719" s="5"/>
      <c r="AA719" s="5"/>
      <c r="AC719" s="7"/>
      <c r="AE719" s="54" t="e">
        <f t="shared" si="99"/>
        <v>#N/A</v>
      </c>
      <c r="AF719" s="4" t="e">
        <f t="shared" si="95"/>
        <v>#N/A</v>
      </c>
    </row>
    <row r="720" spans="2:32">
      <c r="B720" s="5">
        <f t="shared" si="93"/>
        <v>708</v>
      </c>
      <c r="C720" s="5"/>
      <c r="E720" s="13"/>
      <c r="F720" s="5"/>
      <c r="G720" s="11" t="str">
        <f>IF(ISERROR(AVERAGE(F$13:F720)),"n/a",AVERAGE(F$13:F720))</f>
        <v>n/a</v>
      </c>
      <c r="H720" s="11" t="str">
        <f t="shared" si="96"/>
        <v>n/a</v>
      </c>
      <c r="J720" s="5"/>
      <c r="K720" s="5"/>
      <c r="L720" s="5"/>
      <c r="M720" s="5"/>
      <c r="N720" s="5"/>
      <c r="O720" s="8" t="str">
        <f t="shared" si="94"/>
        <v>n/a</v>
      </c>
      <c r="Q720" s="5"/>
      <c r="R720" s="5"/>
      <c r="S720" s="5"/>
      <c r="U720" s="6"/>
      <c r="V720" s="9" t="str">
        <f t="shared" si="97"/>
        <v/>
      </c>
      <c r="W720" s="9" t="str">
        <f t="shared" si="98"/>
        <v/>
      </c>
      <c r="X720" s="10">
        <f>SUM(V$13:V720)/COUNTA(B$13:B720)</f>
        <v>0</v>
      </c>
      <c r="Z720" s="5"/>
      <c r="AA720" s="5"/>
      <c r="AC720" s="7"/>
      <c r="AE720" s="54" t="e">
        <f t="shared" si="99"/>
        <v>#N/A</v>
      </c>
      <c r="AF720" s="4" t="e">
        <f t="shared" si="95"/>
        <v>#N/A</v>
      </c>
    </row>
    <row r="721" spans="2:32">
      <c r="B721" s="5">
        <f t="shared" si="93"/>
        <v>709</v>
      </c>
      <c r="C721" s="5"/>
      <c r="E721" s="13"/>
      <c r="F721" s="5"/>
      <c r="G721" s="11" t="str">
        <f>IF(ISERROR(AVERAGE(F$13:F721)),"n/a",AVERAGE(F$13:F721))</f>
        <v>n/a</v>
      </c>
      <c r="H721" s="11" t="str">
        <f t="shared" si="96"/>
        <v>n/a</v>
      </c>
      <c r="J721" s="5"/>
      <c r="K721" s="5"/>
      <c r="L721" s="5"/>
      <c r="M721" s="5"/>
      <c r="N721" s="5"/>
      <c r="O721" s="8" t="str">
        <f t="shared" si="94"/>
        <v>n/a</v>
      </c>
      <c r="Q721" s="5"/>
      <c r="R721" s="5"/>
      <c r="S721" s="5"/>
      <c r="U721" s="6"/>
      <c r="V721" s="9" t="str">
        <f t="shared" si="97"/>
        <v/>
      </c>
      <c r="W721" s="9" t="str">
        <f t="shared" si="98"/>
        <v/>
      </c>
      <c r="X721" s="10">
        <f>SUM(V$13:V721)/COUNTA(B$13:B721)</f>
        <v>0</v>
      </c>
      <c r="Z721" s="5"/>
      <c r="AA721" s="5"/>
      <c r="AC721" s="7"/>
      <c r="AE721" s="54" t="e">
        <f t="shared" si="99"/>
        <v>#N/A</v>
      </c>
      <c r="AF721" s="4" t="e">
        <f t="shared" si="95"/>
        <v>#N/A</v>
      </c>
    </row>
    <row r="722" spans="2:32">
      <c r="B722" s="5">
        <f t="shared" si="93"/>
        <v>710</v>
      </c>
      <c r="C722" s="5"/>
      <c r="E722" s="13"/>
      <c r="F722" s="5"/>
      <c r="G722" s="11" t="str">
        <f>IF(ISERROR(AVERAGE(F$13:F722)),"n/a",AVERAGE(F$13:F722))</f>
        <v>n/a</v>
      </c>
      <c r="H722" s="11" t="str">
        <f t="shared" si="96"/>
        <v>n/a</v>
      </c>
      <c r="J722" s="5"/>
      <c r="K722" s="5"/>
      <c r="L722" s="5"/>
      <c r="M722" s="5"/>
      <c r="N722" s="5"/>
      <c r="O722" s="8" t="str">
        <f t="shared" si="94"/>
        <v>n/a</v>
      </c>
      <c r="Q722" s="5"/>
      <c r="R722" s="5"/>
      <c r="S722" s="5"/>
      <c r="U722" s="6"/>
      <c r="V722" s="9" t="str">
        <f t="shared" si="97"/>
        <v/>
      </c>
      <c r="W722" s="9" t="str">
        <f t="shared" si="98"/>
        <v/>
      </c>
      <c r="X722" s="10">
        <f>SUM(V$13:V722)/COUNTA(B$13:B722)</f>
        <v>0</v>
      </c>
      <c r="Z722" s="5"/>
      <c r="AA722" s="5"/>
      <c r="AC722" s="7"/>
      <c r="AE722" s="54" t="e">
        <f t="shared" si="99"/>
        <v>#N/A</v>
      </c>
      <c r="AF722" s="4" t="e">
        <f t="shared" si="95"/>
        <v>#N/A</v>
      </c>
    </row>
    <row r="723" spans="2:32">
      <c r="B723" s="5">
        <f t="shared" ref="B723:B786" si="100">+B722+1</f>
        <v>711</v>
      </c>
      <c r="C723" s="5"/>
      <c r="E723" s="13"/>
      <c r="F723" s="5"/>
      <c r="G723" s="11" t="str">
        <f>IF(ISERROR(AVERAGE(F$13:F723)),"n/a",AVERAGE(F$13:F723))</f>
        <v>n/a</v>
      </c>
      <c r="H723" s="11" t="str">
        <f t="shared" si="96"/>
        <v>n/a</v>
      </c>
      <c r="J723" s="5"/>
      <c r="K723" s="5"/>
      <c r="L723" s="5"/>
      <c r="M723" s="5"/>
      <c r="N723" s="5"/>
      <c r="O723" s="8" t="str">
        <f t="shared" si="94"/>
        <v>n/a</v>
      </c>
      <c r="Q723" s="5"/>
      <c r="R723" s="5"/>
      <c r="S723" s="5"/>
      <c r="U723" s="6"/>
      <c r="V723" s="9" t="str">
        <f t="shared" si="97"/>
        <v/>
      </c>
      <c r="W723" s="9" t="str">
        <f t="shared" si="98"/>
        <v/>
      </c>
      <c r="X723" s="10">
        <f>SUM(V$13:V723)/COUNTA(B$13:B723)</f>
        <v>0</v>
      </c>
      <c r="Z723" s="5"/>
      <c r="AA723" s="5"/>
      <c r="AC723" s="7"/>
      <c r="AE723" s="54" t="e">
        <f t="shared" si="99"/>
        <v>#N/A</v>
      </c>
      <c r="AF723" s="4" t="e">
        <f t="shared" si="95"/>
        <v>#N/A</v>
      </c>
    </row>
    <row r="724" spans="2:32">
      <c r="B724" s="5">
        <f t="shared" si="100"/>
        <v>712</v>
      </c>
      <c r="C724" s="5"/>
      <c r="E724" s="13"/>
      <c r="F724" s="5"/>
      <c r="G724" s="11" t="str">
        <f>IF(ISERROR(AVERAGE(F$13:F724)),"n/a",AVERAGE(F$13:F724))</f>
        <v>n/a</v>
      </c>
      <c r="H724" s="11" t="str">
        <f t="shared" si="96"/>
        <v>n/a</v>
      </c>
      <c r="J724" s="5"/>
      <c r="K724" s="5"/>
      <c r="L724" s="5"/>
      <c r="M724" s="5"/>
      <c r="N724" s="5"/>
      <c r="O724" s="8" t="str">
        <f t="shared" si="94"/>
        <v>n/a</v>
      </c>
      <c r="Q724" s="5"/>
      <c r="R724" s="5"/>
      <c r="S724" s="5"/>
      <c r="U724" s="6"/>
      <c r="V724" s="9" t="str">
        <f t="shared" si="97"/>
        <v/>
      </c>
      <c r="W724" s="9" t="str">
        <f t="shared" si="98"/>
        <v/>
      </c>
      <c r="X724" s="10">
        <f>SUM(V$13:V724)/COUNTA(B$13:B724)</f>
        <v>0</v>
      </c>
      <c r="Z724" s="5"/>
      <c r="AA724" s="5"/>
      <c r="AC724" s="7"/>
      <c r="AE724" s="54" t="e">
        <f t="shared" si="99"/>
        <v>#N/A</v>
      </c>
      <c r="AF724" s="4" t="e">
        <f t="shared" si="95"/>
        <v>#N/A</v>
      </c>
    </row>
    <row r="725" spans="2:32">
      <c r="B725" s="5">
        <f t="shared" si="100"/>
        <v>713</v>
      </c>
      <c r="C725" s="5"/>
      <c r="E725" s="13"/>
      <c r="F725" s="5"/>
      <c r="G725" s="11" t="str">
        <f>IF(ISERROR(AVERAGE(F$13:F725)),"n/a",AVERAGE(F$13:F725))</f>
        <v>n/a</v>
      </c>
      <c r="H725" s="11" t="str">
        <f t="shared" si="96"/>
        <v>n/a</v>
      </c>
      <c r="J725" s="5"/>
      <c r="K725" s="5"/>
      <c r="L725" s="5"/>
      <c r="M725" s="5"/>
      <c r="N725" s="5"/>
      <c r="O725" s="8" t="str">
        <f t="shared" si="94"/>
        <v>n/a</v>
      </c>
      <c r="Q725" s="5"/>
      <c r="R725" s="5"/>
      <c r="S725" s="5"/>
      <c r="U725" s="6"/>
      <c r="V725" s="9" t="str">
        <f t="shared" si="97"/>
        <v/>
      </c>
      <c r="W725" s="9" t="str">
        <f t="shared" si="98"/>
        <v/>
      </c>
      <c r="X725" s="10">
        <f>SUM(V$13:V725)/COUNTA(B$13:B725)</f>
        <v>0</v>
      </c>
      <c r="Z725" s="5"/>
      <c r="AA725" s="5"/>
      <c r="AC725" s="7"/>
      <c r="AE725" s="54" t="e">
        <f t="shared" si="99"/>
        <v>#N/A</v>
      </c>
      <c r="AF725" s="4" t="e">
        <f t="shared" si="95"/>
        <v>#N/A</v>
      </c>
    </row>
    <row r="726" spans="2:32">
      <c r="B726" s="5">
        <f t="shared" si="100"/>
        <v>714</v>
      </c>
      <c r="C726" s="5"/>
      <c r="E726" s="13"/>
      <c r="F726" s="5"/>
      <c r="G726" s="11" t="str">
        <f>IF(ISERROR(AVERAGE(F$13:F726)),"n/a",AVERAGE(F$13:F726))</f>
        <v>n/a</v>
      </c>
      <c r="H726" s="11" t="str">
        <f t="shared" si="96"/>
        <v>n/a</v>
      </c>
      <c r="J726" s="5"/>
      <c r="K726" s="5"/>
      <c r="L726" s="5"/>
      <c r="M726" s="5"/>
      <c r="N726" s="5"/>
      <c r="O726" s="8" t="str">
        <f t="shared" si="94"/>
        <v>n/a</v>
      </c>
      <c r="Q726" s="5"/>
      <c r="R726" s="5"/>
      <c r="S726" s="5"/>
      <c r="U726" s="6"/>
      <c r="V726" s="9" t="str">
        <f t="shared" si="97"/>
        <v/>
      </c>
      <c r="W726" s="9" t="str">
        <f t="shared" si="98"/>
        <v/>
      </c>
      <c r="X726" s="10">
        <f>SUM(V$13:V726)/COUNTA(B$13:B726)</f>
        <v>0</v>
      </c>
      <c r="Z726" s="5"/>
      <c r="AA726" s="5"/>
      <c r="AC726" s="7"/>
      <c r="AE726" s="54" t="e">
        <f t="shared" si="99"/>
        <v>#N/A</v>
      </c>
      <c r="AF726" s="4" t="e">
        <f t="shared" si="95"/>
        <v>#N/A</v>
      </c>
    </row>
    <row r="727" spans="2:32">
      <c r="B727" s="5">
        <f t="shared" si="100"/>
        <v>715</v>
      </c>
      <c r="C727" s="5"/>
      <c r="E727" s="13"/>
      <c r="F727" s="5"/>
      <c r="G727" s="11" t="str">
        <f>IF(ISERROR(AVERAGE(F$13:F727)),"n/a",AVERAGE(F$13:F727))</f>
        <v>n/a</v>
      </c>
      <c r="H727" s="11" t="str">
        <f t="shared" si="96"/>
        <v>n/a</v>
      </c>
      <c r="J727" s="5"/>
      <c r="K727" s="5"/>
      <c r="L727" s="5"/>
      <c r="M727" s="5"/>
      <c r="N727" s="5"/>
      <c r="O727" s="8" t="str">
        <f t="shared" si="94"/>
        <v>n/a</v>
      </c>
      <c r="Q727" s="5"/>
      <c r="R727" s="5"/>
      <c r="S727" s="5"/>
      <c r="U727" s="6"/>
      <c r="V727" s="9" t="str">
        <f t="shared" si="97"/>
        <v/>
      </c>
      <c r="W727" s="9" t="str">
        <f t="shared" si="98"/>
        <v/>
      </c>
      <c r="X727" s="10">
        <f>SUM(V$13:V727)/COUNTA(B$13:B727)</f>
        <v>0</v>
      </c>
      <c r="Z727" s="5"/>
      <c r="AA727" s="5"/>
      <c r="AC727" s="7"/>
      <c r="AE727" s="54" t="e">
        <f t="shared" si="99"/>
        <v>#N/A</v>
      </c>
      <c r="AF727" s="4" t="e">
        <f t="shared" si="95"/>
        <v>#N/A</v>
      </c>
    </row>
    <row r="728" spans="2:32">
      <c r="B728" s="5">
        <f t="shared" si="100"/>
        <v>716</v>
      </c>
      <c r="C728" s="5"/>
      <c r="E728" s="13"/>
      <c r="F728" s="5"/>
      <c r="G728" s="11" t="str">
        <f>IF(ISERROR(AVERAGE(F$13:F728)),"n/a",AVERAGE(F$13:F728))</f>
        <v>n/a</v>
      </c>
      <c r="H728" s="11" t="str">
        <f t="shared" si="96"/>
        <v>n/a</v>
      </c>
      <c r="J728" s="5"/>
      <c r="K728" s="5"/>
      <c r="L728" s="5"/>
      <c r="M728" s="5"/>
      <c r="N728" s="5"/>
      <c r="O728" s="8" t="str">
        <f t="shared" si="94"/>
        <v>n/a</v>
      </c>
      <c r="Q728" s="5"/>
      <c r="R728" s="5"/>
      <c r="S728" s="5"/>
      <c r="U728" s="6"/>
      <c r="V728" s="9" t="str">
        <f t="shared" si="97"/>
        <v/>
      </c>
      <c r="W728" s="9" t="str">
        <f t="shared" si="98"/>
        <v/>
      </c>
      <c r="X728" s="10">
        <f>SUM(V$13:V728)/COUNTA(B$13:B728)</f>
        <v>0</v>
      </c>
      <c r="Z728" s="5"/>
      <c r="AA728" s="5"/>
      <c r="AC728" s="7"/>
      <c r="AE728" s="54" t="e">
        <f t="shared" si="99"/>
        <v>#N/A</v>
      </c>
      <c r="AF728" s="4" t="e">
        <f t="shared" si="95"/>
        <v>#N/A</v>
      </c>
    </row>
    <row r="729" spans="2:32">
      <c r="B729" s="5">
        <f t="shared" si="100"/>
        <v>717</v>
      </c>
      <c r="C729" s="5"/>
      <c r="E729" s="13"/>
      <c r="F729" s="5"/>
      <c r="G729" s="11" t="str">
        <f>IF(ISERROR(AVERAGE(F$13:F729)),"n/a",AVERAGE(F$13:F729))</f>
        <v>n/a</v>
      </c>
      <c r="H729" s="11" t="str">
        <f t="shared" si="96"/>
        <v>n/a</v>
      </c>
      <c r="J729" s="5"/>
      <c r="K729" s="5"/>
      <c r="L729" s="5"/>
      <c r="M729" s="5"/>
      <c r="N729" s="5"/>
      <c r="O729" s="8" t="str">
        <f t="shared" si="94"/>
        <v>n/a</v>
      </c>
      <c r="Q729" s="5"/>
      <c r="R729" s="5"/>
      <c r="S729" s="5"/>
      <c r="U729" s="6"/>
      <c r="V729" s="9" t="str">
        <f t="shared" si="97"/>
        <v/>
      </c>
      <c r="W729" s="9" t="str">
        <f t="shared" si="98"/>
        <v/>
      </c>
      <c r="X729" s="10">
        <f>SUM(V$13:V729)/COUNTA(B$13:B729)</f>
        <v>0</v>
      </c>
      <c r="Z729" s="5"/>
      <c r="AA729" s="5"/>
      <c r="AC729" s="7"/>
      <c r="AE729" s="54" t="e">
        <f t="shared" si="99"/>
        <v>#N/A</v>
      </c>
      <c r="AF729" s="4" t="e">
        <f t="shared" si="95"/>
        <v>#N/A</v>
      </c>
    </row>
    <row r="730" spans="2:32">
      <c r="B730" s="5">
        <f t="shared" si="100"/>
        <v>718</v>
      </c>
      <c r="C730" s="5"/>
      <c r="E730" s="13"/>
      <c r="F730" s="5"/>
      <c r="G730" s="11" t="str">
        <f>IF(ISERROR(AVERAGE(F$13:F730)),"n/a",AVERAGE(F$13:F730))</f>
        <v>n/a</v>
      </c>
      <c r="H730" s="11" t="str">
        <f t="shared" si="96"/>
        <v>n/a</v>
      </c>
      <c r="J730" s="5"/>
      <c r="K730" s="5"/>
      <c r="L730" s="5"/>
      <c r="M730" s="5"/>
      <c r="N730" s="5"/>
      <c r="O730" s="8" t="str">
        <f t="shared" si="94"/>
        <v>n/a</v>
      </c>
      <c r="Q730" s="5"/>
      <c r="R730" s="5"/>
      <c r="S730" s="5"/>
      <c r="U730" s="6"/>
      <c r="V730" s="9" t="str">
        <f t="shared" si="97"/>
        <v/>
      </c>
      <c r="W730" s="9" t="str">
        <f t="shared" si="98"/>
        <v/>
      </c>
      <c r="X730" s="10">
        <f>SUM(V$13:V730)/COUNTA(B$13:B730)</f>
        <v>0</v>
      </c>
      <c r="Z730" s="5"/>
      <c r="AA730" s="5"/>
      <c r="AC730" s="7"/>
      <c r="AE730" s="54" t="e">
        <f t="shared" si="99"/>
        <v>#N/A</v>
      </c>
      <c r="AF730" s="4" t="e">
        <f t="shared" si="95"/>
        <v>#N/A</v>
      </c>
    </row>
    <row r="731" spans="2:32">
      <c r="B731" s="5">
        <f t="shared" si="100"/>
        <v>719</v>
      </c>
      <c r="C731" s="5"/>
      <c r="E731" s="13"/>
      <c r="F731" s="5"/>
      <c r="G731" s="11" t="str">
        <f>IF(ISERROR(AVERAGE(F$13:F731)),"n/a",AVERAGE(F$13:F731))</f>
        <v>n/a</v>
      </c>
      <c r="H731" s="11" t="str">
        <f t="shared" si="96"/>
        <v>n/a</v>
      </c>
      <c r="J731" s="5"/>
      <c r="K731" s="5"/>
      <c r="L731" s="5"/>
      <c r="M731" s="5"/>
      <c r="N731" s="5"/>
      <c r="O731" s="8" t="str">
        <f t="shared" si="94"/>
        <v>n/a</v>
      </c>
      <c r="Q731" s="5"/>
      <c r="R731" s="5"/>
      <c r="S731" s="5"/>
      <c r="U731" s="6"/>
      <c r="V731" s="9" t="str">
        <f t="shared" si="97"/>
        <v/>
      </c>
      <c r="W731" s="9" t="str">
        <f t="shared" si="98"/>
        <v/>
      </c>
      <c r="X731" s="10">
        <f>SUM(V$13:V731)/COUNTA(B$13:B731)</f>
        <v>0</v>
      </c>
      <c r="Z731" s="5"/>
      <c r="AA731" s="5"/>
      <c r="AC731" s="7"/>
      <c r="AE731" s="54" t="e">
        <f t="shared" si="99"/>
        <v>#N/A</v>
      </c>
      <c r="AF731" s="4" t="e">
        <f t="shared" si="95"/>
        <v>#N/A</v>
      </c>
    </row>
    <row r="732" spans="2:32">
      <c r="B732" s="5">
        <f t="shared" si="100"/>
        <v>720</v>
      </c>
      <c r="C732" s="5"/>
      <c r="E732" s="13"/>
      <c r="F732" s="5"/>
      <c r="G732" s="11" t="str">
        <f>IF(ISERROR(AVERAGE(F$13:F732)),"n/a",AVERAGE(F$13:F732))</f>
        <v>n/a</v>
      </c>
      <c r="H732" s="11" t="str">
        <f t="shared" si="96"/>
        <v>n/a</v>
      </c>
      <c r="J732" s="5"/>
      <c r="K732" s="5"/>
      <c r="L732" s="5"/>
      <c r="M732" s="5"/>
      <c r="N732" s="5"/>
      <c r="O732" s="8" t="str">
        <f t="shared" si="94"/>
        <v>n/a</v>
      </c>
      <c r="Q732" s="5"/>
      <c r="R732" s="5"/>
      <c r="S732" s="5"/>
      <c r="U732" s="6"/>
      <c r="V732" s="9" t="str">
        <f t="shared" si="97"/>
        <v/>
      </c>
      <c r="W732" s="9" t="str">
        <f t="shared" si="98"/>
        <v/>
      </c>
      <c r="X732" s="10">
        <f>SUM(V$13:V732)/COUNTA(B$13:B732)</f>
        <v>0</v>
      </c>
      <c r="Z732" s="5"/>
      <c r="AA732" s="5"/>
      <c r="AC732" s="7"/>
      <c r="AE732" s="54" t="e">
        <f t="shared" si="99"/>
        <v>#N/A</v>
      </c>
      <c r="AF732" s="4" t="e">
        <f t="shared" si="95"/>
        <v>#N/A</v>
      </c>
    </row>
    <row r="733" spans="2:32">
      <c r="B733" s="5">
        <f t="shared" si="100"/>
        <v>721</v>
      </c>
      <c r="C733" s="5"/>
      <c r="E733" s="13"/>
      <c r="F733" s="5"/>
      <c r="G733" s="11" t="str">
        <f>IF(ISERROR(AVERAGE(F$13:F733)),"n/a",AVERAGE(F$13:F733))</f>
        <v>n/a</v>
      </c>
      <c r="H733" s="11" t="str">
        <f t="shared" si="96"/>
        <v>n/a</v>
      </c>
      <c r="J733" s="5"/>
      <c r="K733" s="5"/>
      <c r="L733" s="5"/>
      <c r="M733" s="5"/>
      <c r="N733" s="5"/>
      <c r="O733" s="8" t="str">
        <f t="shared" si="94"/>
        <v>n/a</v>
      </c>
      <c r="Q733" s="5"/>
      <c r="R733" s="5"/>
      <c r="S733" s="5"/>
      <c r="U733" s="6"/>
      <c r="V733" s="9" t="str">
        <f t="shared" si="97"/>
        <v/>
      </c>
      <c r="W733" s="9" t="str">
        <f t="shared" si="98"/>
        <v/>
      </c>
      <c r="X733" s="10">
        <f>SUM(V$13:V733)/COUNTA(B$13:B733)</f>
        <v>0</v>
      </c>
      <c r="Z733" s="5"/>
      <c r="AA733" s="5"/>
      <c r="AC733" s="7"/>
      <c r="AE733" s="54" t="e">
        <f t="shared" si="99"/>
        <v>#N/A</v>
      </c>
      <c r="AF733" s="4" t="e">
        <f t="shared" si="95"/>
        <v>#N/A</v>
      </c>
    </row>
    <row r="734" spans="2:32">
      <c r="B734" s="5">
        <f t="shared" si="100"/>
        <v>722</v>
      </c>
      <c r="C734" s="5"/>
      <c r="E734" s="13"/>
      <c r="F734" s="5"/>
      <c r="G734" s="11" t="str">
        <f>IF(ISERROR(AVERAGE(F$13:F734)),"n/a",AVERAGE(F$13:F734))</f>
        <v>n/a</v>
      </c>
      <c r="H734" s="11" t="str">
        <f t="shared" si="96"/>
        <v>n/a</v>
      </c>
      <c r="J734" s="5"/>
      <c r="K734" s="5"/>
      <c r="L734" s="5"/>
      <c r="M734" s="5"/>
      <c r="N734" s="5"/>
      <c r="O734" s="8" t="str">
        <f t="shared" si="94"/>
        <v>n/a</v>
      </c>
      <c r="Q734" s="5"/>
      <c r="R734" s="5"/>
      <c r="S734" s="5"/>
      <c r="U734" s="6"/>
      <c r="V734" s="9" t="str">
        <f t="shared" si="97"/>
        <v/>
      </c>
      <c r="W734" s="9" t="str">
        <f t="shared" si="98"/>
        <v/>
      </c>
      <c r="X734" s="10">
        <f>SUM(V$13:V734)/COUNTA(B$13:B734)</f>
        <v>0</v>
      </c>
      <c r="Z734" s="5"/>
      <c r="AA734" s="5"/>
      <c r="AC734" s="7"/>
      <c r="AE734" s="54" t="e">
        <f t="shared" si="99"/>
        <v>#N/A</v>
      </c>
      <c r="AF734" s="4" t="e">
        <f t="shared" si="95"/>
        <v>#N/A</v>
      </c>
    </row>
    <row r="735" spans="2:32">
      <c r="B735" s="5">
        <f t="shared" si="100"/>
        <v>723</v>
      </c>
      <c r="C735" s="5"/>
      <c r="E735" s="13"/>
      <c r="F735" s="5"/>
      <c r="G735" s="11" t="str">
        <f>IF(ISERROR(AVERAGE(F$13:F735)),"n/a",AVERAGE(F$13:F735))</f>
        <v>n/a</v>
      </c>
      <c r="H735" s="11" t="str">
        <f t="shared" si="96"/>
        <v>n/a</v>
      </c>
      <c r="J735" s="5"/>
      <c r="K735" s="5"/>
      <c r="L735" s="5"/>
      <c r="M735" s="5"/>
      <c r="N735" s="5"/>
      <c r="O735" s="8" t="str">
        <f t="shared" si="94"/>
        <v>n/a</v>
      </c>
      <c r="Q735" s="5"/>
      <c r="R735" s="5"/>
      <c r="S735" s="5"/>
      <c r="U735" s="6"/>
      <c r="V735" s="9" t="str">
        <f t="shared" si="97"/>
        <v/>
      </c>
      <c r="W735" s="9" t="str">
        <f t="shared" si="98"/>
        <v/>
      </c>
      <c r="X735" s="10">
        <f>SUM(V$13:V735)/COUNTA(B$13:B735)</f>
        <v>0</v>
      </c>
      <c r="Z735" s="5"/>
      <c r="AA735" s="5"/>
      <c r="AC735" s="7"/>
      <c r="AE735" s="54" t="e">
        <f t="shared" si="99"/>
        <v>#N/A</v>
      </c>
      <c r="AF735" s="4" t="e">
        <f t="shared" si="95"/>
        <v>#N/A</v>
      </c>
    </row>
    <row r="736" spans="2:32">
      <c r="B736" s="5">
        <f t="shared" si="100"/>
        <v>724</v>
      </c>
      <c r="C736" s="5"/>
      <c r="E736" s="13"/>
      <c r="F736" s="5"/>
      <c r="G736" s="11" t="str">
        <f>IF(ISERROR(AVERAGE(F$13:F736)),"n/a",AVERAGE(F$13:F736))</f>
        <v>n/a</v>
      </c>
      <c r="H736" s="11" t="str">
        <f t="shared" si="96"/>
        <v>n/a</v>
      </c>
      <c r="J736" s="5"/>
      <c r="K736" s="5"/>
      <c r="L736" s="5"/>
      <c r="M736" s="5"/>
      <c r="N736" s="5"/>
      <c r="O736" s="8" t="str">
        <f t="shared" si="94"/>
        <v>n/a</v>
      </c>
      <c r="Q736" s="5"/>
      <c r="R736" s="5"/>
      <c r="S736" s="5"/>
      <c r="U736" s="6"/>
      <c r="V736" s="9" t="str">
        <f t="shared" si="97"/>
        <v/>
      </c>
      <c r="W736" s="9" t="str">
        <f t="shared" si="98"/>
        <v/>
      </c>
      <c r="X736" s="10">
        <f>SUM(V$13:V736)/COUNTA(B$13:B736)</f>
        <v>0</v>
      </c>
      <c r="Z736" s="5"/>
      <c r="AA736" s="5"/>
      <c r="AC736" s="7"/>
      <c r="AE736" s="54" t="e">
        <f t="shared" si="99"/>
        <v>#N/A</v>
      </c>
      <c r="AF736" s="4" t="e">
        <f t="shared" si="95"/>
        <v>#N/A</v>
      </c>
    </row>
    <row r="737" spans="2:32">
      <c r="B737" s="5">
        <f t="shared" si="100"/>
        <v>725</v>
      </c>
      <c r="C737" s="5"/>
      <c r="E737" s="13"/>
      <c r="F737" s="5"/>
      <c r="G737" s="11" t="str">
        <f>IF(ISERROR(AVERAGE(F$13:F737)),"n/a",AVERAGE(F$13:F737))</f>
        <v>n/a</v>
      </c>
      <c r="H737" s="11" t="str">
        <f t="shared" si="96"/>
        <v>n/a</v>
      </c>
      <c r="J737" s="5"/>
      <c r="K737" s="5"/>
      <c r="L737" s="5"/>
      <c r="M737" s="5"/>
      <c r="N737" s="5"/>
      <c r="O737" s="8" t="str">
        <f t="shared" si="94"/>
        <v>n/a</v>
      </c>
      <c r="Q737" s="5"/>
      <c r="R737" s="5"/>
      <c r="S737" s="5"/>
      <c r="U737" s="6"/>
      <c r="V737" s="9" t="str">
        <f t="shared" si="97"/>
        <v/>
      </c>
      <c r="W737" s="9" t="str">
        <f t="shared" si="98"/>
        <v/>
      </c>
      <c r="X737" s="10">
        <f>SUM(V$13:V737)/COUNTA(B$13:B737)</f>
        <v>0</v>
      </c>
      <c r="Z737" s="5"/>
      <c r="AA737" s="5"/>
      <c r="AC737" s="7"/>
      <c r="AE737" s="54" t="e">
        <f t="shared" si="99"/>
        <v>#N/A</v>
      </c>
      <c r="AF737" s="4" t="e">
        <f t="shared" si="95"/>
        <v>#N/A</v>
      </c>
    </row>
    <row r="738" spans="2:32">
      <c r="B738" s="5">
        <f t="shared" si="100"/>
        <v>726</v>
      </c>
      <c r="C738" s="5"/>
      <c r="E738" s="13"/>
      <c r="F738" s="5"/>
      <c r="G738" s="11" t="str">
        <f>IF(ISERROR(AVERAGE(F$13:F738)),"n/a",AVERAGE(F$13:F738))</f>
        <v>n/a</v>
      </c>
      <c r="H738" s="11" t="str">
        <f t="shared" si="96"/>
        <v>n/a</v>
      </c>
      <c r="J738" s="5"/>
      <c r="K738" s="5"/>
      <c r="L738" s="5"/>
      <c r="M738" s="5"/>
      <c r="N738" s="5"/>
      <c r="O738" s="8" t="str">
        <f t="shared" si="94"/>
        <v>n/a</v>
      </c>
      <c r="Q738" s="5"/>
      <c r="R738" s="5"/>
      <c r="S738" s="5"/>
      <c r="U738" s="6"/>
      <c r="V738" s="9" t="str">
        <f t="shared" si="97"/>
        <v/>
      </c>
      <c r="W738" s="9" t="str">
        <f t="shared" si="98"/>
        <v/>
      </c>
      <c r="X738" s="10">
        <f>SUM(V$13:V738)/COUNTA(B$13:B738)</f>
        <v>0</v>
      </c>
      <c r="Z738" s="5"/>
      <c r="AA738" s="5"/>
      <c r="AC738" s="7"/>
      <c r="AE738" s="54" t="e">
        <f t="shared" si="99"/>
        <v>#N/A</v>
      </c>
      <c r="AF738" s="4" t="e">
        <f t="shared" si="95"/>
        <v>#N/A</v>
      </c>
    </row>
    <row r="739" spans="2:32">
      <c r="B739" s="5">
        <f t="shared" si="100"/>
        <v>727</v>
      </c>
      <c r="C739" s="5"/>
      <c r="E739" s="13"/>
      <c r="F739" s="5"/>
      <c r="G739" s="11" t="str">
        <f>IF(ISERROR(AVERAGE(F$13:F739)),"n/a",AVERAGE(F$13:F739))</f>
        <v>n/a</v>
      </c>
      <c r="H739" s="11" t="str">
        <f t="shared" si="96"/>
        <v>n/a</v>
      </c>
      <c r="J739" s="5"/>
      <c r="K739" s="5"/>
      <c r="L739" s="5"/>
      <c r="M739" s="5"/>
      <c r="N739" s="5"/>
      <c r="O739" s="8" t="str">
        <f t="shared" si="94"/>
        <v>n/a</v>
      </c>
      <c r="Q739" s="5"/>
      <c r="R739" s="5"/>
      <c r="S739" s="5"/>
      <c r="U739" s="6"/>
      <c r="V739" s="9" t="str">
        <f t="shared" si="97"/>
        <v/>
      </c>
      <c r="W739" s="9" t="str">
        <f t="shared" si="98"/>
        <v/>
      </c>
      <c r="X739" s="10">
        <f>SUM(V$13:V739)/COUNTA(B$13:B739)</f>
        <v>0</v>
      </c>
      <c r="Z739" s="5"/>
      <c r="AA739" s="5"/>
      <c r="AC739" s="7"/>
      <c r="AE739" s="54" t="e">
        <f t="shared" si="99"/>
        <v>#N/A</v>
      </c>
      <c r="AF739" s="4" t="e">
        <f t="shared" si="95"/>
        <v>#N/A</v>
      </c>
    </row>
    <row r="740" spans="2:32">
      <c r="B740" s="5">
        <f t="shared" si="100"/>
        <v>728</v>
      </c>
      <c r="C740" s="5"/>
      <c r="E740" s="13"/>
      <c r="F740" s="5"/>
      <c r="G740" s="11" t="str">
        <f>IF(ISERROR(AVERAGE(F$13:F740)),"n/a",AVERAGE(F$13:F740))</f>
        <v>n/a</v>
      </c>
      <c r="H740" s="11" t="str">
        <f t="shared" si="96"/>
        <v>n/a</v>
      </c>
      <c r="J740" s="5"/>
      <c r="K740" s="5"/>
      <c r="L740" s="5"/>
      <c r="M740" s="5"/>
      <c r="N740" s="5"/>
      <c r="O740" s="8" t="str">
        <f t="shared" si="94"/>
        <v>n/a</v>
      </c>
      <c r="Q740" s="5"/>
      <c r="R740" s="5"/>
      <c r="S740" s="5"/>
      <c r="U740" s="6"/>
      <c r="V740" s="9" t="str">
        <f t="shared" si="97"/>
        <v/>
      </c>
      <c r="W740" s="9" t="str">
        <f t="shared" si="98"/>
        <v/>
      </c>
      <c r="X740" s="10">
        <f>SUM(V$13:V740)/COUNTA(B$13:B740)</f>
        <v>0</v>
      </c>
      <c r="Z740" s="5"/>
      <c r="AA740" s="5"/>
      <c r="AC740" s="7"/>
      <c r="AE740" s="54" t="e">
        <f t="shared" si="99"/>
        <v>#N/A</v>
      </c>
      <c r="AF740" s="4" t="e">
        <f t="shared" si="95"/>
        <v>#N/A</v>
      </c>
    </row>
    <row r="741" spans="2:32">
      <c r="B741" s="5">
        <f t="shared" si="100"/>
        <v>729</v>
      </c>
      <c r="C741" s="5"/>
      <c r="E741" s="13"/>
      <c r="F741" s="5"/>
      <c r="G741" s="11" t="str">
        <f>IF(ISERROR(AVERAGE(F$13:F741)),"n/a",AVERAGE(F$13:F741))</f>
        <v>n/a</v>
      </c>
      <c r="H741" s="11" t="str">
        <f t="shared" si="96"/>
        <v>n/a</v>
      </c>
      <c r="J741" s="5"/>
      <c r="K741" s="5"/>
      <c r="L741" s="5"/>
      <c r="M741" s="5"/>
      <c r="N741" s="5"/>
      <c r="O741" s="8" t="str">
        <f t="shared" si="94"/>
        <v>n/a</v>
      </c>
      <c r="Q741" s="5"/>
      <c r="R741" s="5"/>
      <c r="S741" s="5"/>
      <c r="U741" s="6"/>
      <c r="V741" s="9" t="str">
        <f t="shared" si="97"/>
        <v/>
      </c>
      <c r="W741" s="9" t="str">
        <f t="shared" si="98"/>
        <v/>
      </c>
      <c r="X741" s="10">
        <f>SUM(V$13:V741)/COUNTA(B$13:B741)</f>
        <v>0</v>
      </c>
      <c r="Z741" s="5"/>
      <c r="AA741" s="5"/>
      <c r="AC741" s="7"/>
      <c r="AE741" s="54" t="e">
        <f t="shared" si="99"/>
        <v>#N/A</v>
      </c>
      <c r="AF741" s="4" t="e">
        <f t="shared" si="95"/>
        <v>#N/A</v>
      </c>
    </row>
    <row r="742" spans="2:32">
      <c r="B742" s="5">
        <f t="shared" si="100"/>
        <v>730</v>
      </c>
      <c r="C742" s="5"/>
      <c r="E742" s="13"/>
      <c r="F742" s="5"/>
      <c r="G742" s="11" t="str">
        <f>IF(ISERROR(AVERAGE(F$13:F742)),"n/a",AVERAGE(F$13:F742))</f>
        <v>n/a</v>
      </c>
      <c r="H742" s="11" t="str">
        <f t="shared" si="96"/>
        <v>n/a</v>
      </c>
      <c r="J742" s="5"/>
      <c r="K742" s="5"/>
      <c r="L742" s="5"/>
      <c r="M742" s="5"/>
      <c r="N742" s="5"/>
      <c r="O742" s="8" t="str">
        <f t="shared" si="94"/>
        <v>n/a</v>
      </c>
      <c r="Q742" s="5"/>
      <c r="R742" s="5"/>
      <c r="S742" s="5"/>
      <c r="U742" s="6"/>
      <c r="V742" s="9" t="str">
        <f t="shared" si="97"/>
        <v/>
      </c>
      <c r="W742" s="9" t="str">
        <f t="shared" si="98"/>
        <v/>
      </c>
      <c r="X742" s="10">
        <f>SUM(V$13:V742)/COUNTA(B$13:B742)</f>
        <v>0</v>
      </c>
      <c r="Z742" s="5"/>
      <c r="AA742" s="5"/>
      <c r="AC742" s="7"/>
      <c r="AE742" s="54" t="e">
        <f t="shared" si="99"/>
        <v>#N/A</v>
      </c>
      <c r="AF742" s="4" t="e">
        <f t="shared" si="95"/>
        <v>#N/A</v>
      </c>
    </row>
    <row r="743" spans="2:32">
      <c r="B743" s="5">
        <f t="shared" si="100"/>
        <v>731</v>
      </c>
      <c r="C743" s="5"/>
      <c r="E743" s="13"/>
      <c r="F743" s="5"/>
      <c r="G743" s="11" t="str">
        <f>IF(ISERROR(AVERAGE(F$13:F743)),"n/a",AVERAGE(F$13:F743))</f>
        <v>n/a</v>
      </c>
      <c r="H743" s="11" t="str">
        <f t="shared" si="96"/>
        <v>n/a</v>
      </c>
      <c r="J743" s="5"/>
      <c r="K743" s="5"/>
      <c r="L743" s="5"/>
      <c r="M743" s="5"/>
      <c r="N743" s="5"/>
      <c r="O743" s="8" t="str">
        <f t="shared" si="94"/>
        <v>n/a</v>
      </c>
      <c r="Q743" s="5"/>
      <c r="R743" s="5"/>
      <c r="S743" s="5"/>
      <c r="U743" s="6"/>
      <c r="V743" s="9" t="str">
        <f t="shared" si="97"/>
        <v/>
      </c>
      <c r="W743" s="9" t="str">
        <f t="shared" si="98"/>
        <v/>
      </c>
      <c r="X743" s="10">
        <f>SUM(V$13:V743)/COUNTA(B$13:B743)</f>
        <v>0</v>
      </c>
      <c r="Z743" s="5"/>
      <c r="AA743" s="5"/>
      <c r="AC743" s="7"/>
      <c r="AE743" s="54" t="e">
        <f t="shared" si="99"/>
        <v>#N/A</v>
      </c>
      <c r="AF743" s="4" t="e">
        <f t="shared" si="95"/>
        <v>#N/A</v>
      </c>
    </row>
    <row r="744" spans="2:32">
      <c r="B744" s="5">
        <f t="shared" si="100"/>
        <v>732</v>
      </c>
      <c r="C744" s="5"/>
      <c r="E744" s="13"/>
      <c r="F744" s="5"/>
      <c r="G744" s="11" t="str">
        <f>IF(ISERROR(AVERAGE(F$13:F744)),"n/a",AVERAGE(F$13:F744))</f>
        <v>n/a</v>
      </c>
      <c r="H744" s="11" t="str">
        <f t="shared" si="96"/>
        <v>n/a</v>
      </c>
      <c r="J744" s="5"/>
      <c r="K744" s="5"/>
      <c r="L744" s="5"/>
      <c r="M744" s="5"/>
      <c r="N744" s="5"/>
      <c r="O744" s="8" t="str">
        <f t="shared" si="94"/>
        <v>n/a</v>
      </c>
      <c r="Q744" s="5"/>
      <c r="R744" s="5"/>
      <c r="S744" s="5"/>
      <c r="U744" s="6"/>
      <c r="V744" s="9" t="str">
        <f t="shared" si="97"/>
        <v/>
      </c>
      <c r="W744" s="9" t="str">
        <f t="shared" si="98"/>
        <v/>
      </c>
      <c r="X744" s="10">
        <f>SUM(V$13:V744)/COUNTA(B$13:B744)</f>
        <v>0</v>
      </c>
      <c r="Z744" s="5"/>
      <c r="AA744" s="5"/>
      <c r="AC744" s="7"/>
      <c r="AE744" s="54" t="e">
        <f t="shared" si="99"/>
        <v>#N/A</v>
      </c>
      <c r="AF744" s="4" t="e">
        <f t="shared" si="95"/>
        <v>#N/A</v>
      </c>
    </row>
    <row r="745" spans="2:32">
      <c r="B745" s="5">
        <f t="shared" si="100"/>
        <v>733</v>
      </c>
      <c r="C745" s="5"/>
      <c r="E745" s="13"/>
      <c r="F745" s="5"/>
      <c r="G745" s="11" t="str">
        <f>IF(ISERROR(AVERAGE(F$13:F745)),"n/a",AVERAGE(F$13:F745))</f>
        <v>n/a</v>
      </c>
      <c r="H745" s="11" t="str">
        <f t="shared" si="96"/>
        <v>n/a</v>
      </c>
      <c r="J745" s="5"/>
      <c r="K745" s="5"/>
      <c r="L745" s="5"/>
      <c r="M745" s="5"/>
      <c r="N745" s="5"/>
      <c r="O745" s="8" t="str">
        <f t="shared" si="94"/>
        <v>n/a</v>
      </c>
      <c r="Q745" s="5"/>
      <c r="R745" s="5"/>
      <c r="S745" s="5"/>
      <c r="U745" s="6"/>
      <c r="V745" s="9" t="str">
        <f t="shared" si="97"/>
        <v/>
      </c>
      <c r="W745" s="9" t="str">
        <f t="shared" si="98"/>
        <v/>
      </c>
      <c r="X745" s="10">
        <f>SUM(V$13:V745)/COUNTA(B$13:B745)</f>
        <v>0</v>
      </c>
      <c r="Z745" s="5"/>
      <c r="AA745" s="5"/>
      <c r="AC745" s="7"/>
      <c r="AE745" s="54" t="e">
        <f t="shared" si="99"/>
        <v>#N/A</v>
      </c>
      <c r="AF745" s="4" t="e">
        <f t="shared" si="95"/>
        <v>#N/A</v>
      </c>
    </row>
    <row r="746" spans="2:32">
      <c r="B746" s="5">
        <f t="shared" si="100"/>
        <v>734</v>
      </c>
      <c r="C746" s="5"/>
      <c r="E746" s="13"/>
      <c r="F746" s="5"/>
      <c r="G746" s="11" t="str">
        <f>IF(ISERROR(AVERAGE(F$13:F746)),"n/a",AVERAGE(F$13:F746))</f>
        <v>n/a</v>
      </c>
      <c r="H746" s="11" t="str">
        <f t="shared" si="96"/>
        <v>n/a</v>
      </c>
      <c r="J746" s="5"/>
      <c r="K746" s="5"/>
      <c r="L746" s="5"/>
      <c r="M746" s="5"/>
      <c r="N746" s="5"/>
      <c r="O746" s="8" t="str">
        <f t="shared" si="94"/>
        <v>n/a</v>
      </c>
      <c r="Q746" s="5"/>
      <c r="R746" s="5"/>
      <c r="S746" s="5"/>
      <c r="U746" s="6"/>
      <c r="V746" s="9" t="str">
        <f t="shared" si="97"/>
        <v/>
      </c>
      <c r="W746" s="9" t="str">
        <f t="shared" si="98"/>
        <v/>
      </c>
      <c r="X746" s="10">
        <f>SUM(V$13:V746)/COUNTA(B$13:B746)</f>
        <v>0</v>
      </c>
      <c r="Z746" s="5"/>
      <c r="AA746" s="5"/>
      <c r="AC746" s="7"/>
      <c r="AE746" s="54" t="e">
        <f t="shared" si="99"/>
        <v>#N/A</v>
      </c>
      <c r="AF746" s="4" t="e">
        <f t="shared" si="95"/>
        <v>#N/A</v>
      </c>
    </row>
    <row r="747" spans="2:32">
      <c r="B747" s="5">
        <f t="shared" si="100"/>
        <v>735</v>
      </c>
      <c r="C747" s="5"/>
      <c r="E747" s="13"/>
      <c r="F747" s="5"/>
      <c r="G747" s="11" t="str">
        <f>IF(ISERROR(AVERAGE(F$13:F747)),"n/a",AVERAGE(F$13:F747))</f>
        <v>n/a</v>
      </c>
      <c r="H747" s="11" t="str">
        <f t="shared" si="96"/>
        <v>n/a</v>
      </c>
      <c r="J747" s="5"/>
      <c r="K747" s="5"/>
      <c r="L747" s="5"/>
      <c r="M747" s="5"/>
      <c r="N747" s="5"/>
      <c r="O747" s="8" t="str">
        <f t="shared" si="94"/>
        <v>n/a</v>
      </c>
      <c r="Q747" s="5"/>
      <c r="R747" s="5"/>
      <c r="S747" s="5"/>
      <c r="U747" s="6"/>
      <c r="V747" s="9" t="str">
        <f t="shared" si="97"/>
        <v/>
      </c>
      <c r="W747" s="9" t="str">
        <f t="shared" si="98"/>
        <v/>
      </c>
      <c r="X747" s="10">
        <f>SUM(V$13:V747)/COUNTA(B$13:B747)</f>
        <v>0</v>
      </c>
      <c r="Z747" s="5"/>
      <c r="AA747" s="5"/>
      <c r="AC747" s="7"/>
      <c r="AE747" s="54" t="e">
        <f t="shared" si="99"/>
        <v>#N/A</v>
      </c>
      <c r="AF747" s="4" t="e">
        <f t="shared" si="95"/>
        <v>#N/A</v>
      </c>
    </row>
    <row r="748" spans="2:32">
      <c r="B748" s="5">
        <f t="shared" si="100"/>
        <v>736</v>
      </c>
      <c r="C748" s="5"/>
      <c r="E748" s="13"/>
      <c r="F748" s="5"/>
      <c r="G748" s="11" t="str">
        <f>IF(ISERROR(AVERAGE(F$13:F748)),"n/a",AVERAGE(F$13:F748))</f>
        <v>n/a</v>
      </c>
      <c r="H748" s="11" t="str">
        <f t="shared" si="96"/>
        <v>n/a</v>
      </c>
      <c r="J748" s="5"/>
      <c r="K748" s="5"/>
      <c r="L748" s="5"/>
      <c r="M748" s="5"/>
      <c r="N748" s="5"/>
      <c r="O748" s="8" t="str">
        <f t="shared" si="94"/>
        <v>n/a</v>
      </c>
      <c r="Q748" s="5"/>
      <c r="R748" s="5"/>
      <c r="S748" s="5"/>
      <c r="U748" s="6"/>
      <c r="V748" s="9" t="str">
        <f t="shared" si="97"/>
        <v/>
      </c>
      <c r="W748" s="9" t="str">
        <f t="shared" si="98"/>
        <v/>
      </c>
      <c r="X748" s="10">
        <f>SUM(V$13:V748)/COUNTA(B$13:B748)</f>
        <v>0</v>
      </c>
      <c r="Z748" s="5"/>
      <c r="AA748" s="5"/>
      <c r="AC748" s="7"/>
      <c r="AE748" s="54" t="e">
        <f t="shared" si="99"/>
        <v>#N/A</v>
      </c>
      <c r="AF748" s="4" t="e">
        <f t="shared" si="95"/>
        <v>#N/A</v>
      </c>
    </row>
    <row r="749" spans="2:32">
      <c r="B749" s="5">
        <f t="shared" si="100"/>
        <v>737</v>
      </c>
      <c r="C749" s="5"/>
      <c r="E749" s="13"/>
      <c r="F749" s="5"/>
      <c r="G749" s="11" t="str">
        <f>IF(ISERROR(AVERAGE(F$13:F749)),"n/a",AVERAGE(F$13:F749))</f>
        <v>n/a</v>
      </c>
      <c r="H749" s="11" t="str">
        <f t="shared" si="96"/>
        <v>n/a</v>
      </c>
      <c r="J749" s="5"/>
      <c r="K749" s="5"/>
      <c r="L749" s="5"/>
      <c r="M749" s="5"/>
      <c r="N749" s="5"/>
      <c r="O749" s="8" t="str">
        <f t="shared" si="94"/>
        <v>n/a</v>
      </c>
      <c r="Q749" s="5"/>
      <c r="R749" s="5"/>
      <c r="S749" s="5"/>
      <c r="U749" s="6"/>
      <c r="V749" s="9" t="str">
        <f t="shared" si="97"/>
        <v/>
      </c>
      <c r="W749" s="9" t="str">
        <f t="shared" si="98"/>
        <v/>
      </c>
      <c r="X749" s="10">
        <f>SUM(V$13:V749)/COUNTA(B$13:B749)</f>
        <v>0</v>
      </c>
      <c r="Z749" s="5"/>
      <c r="AA749" s="5"/>
      <c r="AC749" s="7"/>
      <c r="AE749" s="54" t="e">
        <f t="shared" si="99"/>
        <v>#N/A</v>
      </c>
      <c r="AF749" s="4" t="e">
        <f t="shared" si="95"/>
        <v>#N/A</v>
      </c>
    </row>
    <row r="750" spans="2:32">
      <c r="B750" s="5">
        <f t="shared" si="100"/>
        <v>738</v>
      </c>
      <c r="C750" s="5"/>
      <c r="E750" s="13"/>
      <c r="F750" s="5"/>
      <c r="G750" s="11" t="str">
        <f>IF(ISERROR(AVERAGE(F$13:F750)),"n/a",AVERAGE(F$13:F750))</f>
        <v>n/a</v>
      </c>
      <c r="H750" s="11" t="str">
        <f t="shared" si="96"/>
        <v>n/a</v>
      </c>
      <c r="J750" s="5"/>
      <c r="K750" s="5"/>
      <c r="L750" s="5"/>
      <c r="M750" s="5"/>
      <c r="N750" s="5"/>
      <c r="O750" s="8" t="str">
        <f t="shared" si="94"/>
        <v>n/a</v>
      </c>
      <c r="Q750" s="5"/>
      <c r="R750" s="5"/>
      <c r="S750" s="5"/>
      <c r="U750" s="6"/>
      <c r="V750" s="9" t="str">
        <f t="shared" si="97"/>
        <v/>
      </c>
      <c r="W750" s="9" t="str">
        <f t="shared" si="98"/>
        <v/>
      </c>
      <c r="X750" s="10">
        <f>SUM(V$13:V750)/COUNTA(B$13:B750)</f>
        <v>0</v>
      </c>
      <c r="Z750" s="5"/>
      <c r="AA750" s="5"/>
      <c r="AC750" s="7"/>
      <c r="AE750" s="54" t="e">
        <f t="shared" si="99"/>
        <v>#N/A</v>
      </c>
      <c r="AF750" s="4" t="e">
        <f t="shared" si="95"/>
        <v>#N/A</v>
      </c>
    </row>
    <row r="751" spans="2:32">
      <c r="B751" s="5">
        <f t="shared" si="100"/>
        <v>739</v>
      </c>
      <c r="C751" s="5"/>
      <c r="E751" s="13"/>
      <c r="F751" s="5"/>
      <c r="G751" s="11" t="str">
        <f>IF(ISERROR(AVERAGE(F$13:F751)),"n/a",AVERAGE(F$13:F751))</f>
        <v>n/a</v>
      </c>
      <c r="H751" s="11" t="str">
        <f t="shared" si="96"/>
        <v>n/a</v>
      </c>
      <c r="J751" s="5"/>
      <c r="K751" s="5"/>
      <c r="L751" s="5"/>
      <c r="M751" s="5"/>
      <c r="N751" s="5"/>
      <c r="O751" s="8" t="str">
        <f t="shared" si="94"/>
        <v>n/a</v>
      </c>
      <c r="Q751" s="5"/>
      <c r="R751" s="5"/>
      <c r="S751" s="5"/>
      <c r="U751" s="6"/>
      <c r="V751" s="9" t="str">
        <f t="shared" si="97"/>
        <v/>
      </c>
      <c r="W751" s="9" t="str">
        <f t="shared" si="98"/>
        <v/>
      </c>
      <c r="X751" s="10">
        <f>SUM(V$13:V751)/COUNTA(B$13:B751)</f>
        <v>0</v>
      </c>
      <c r="Z751" s="5"/>
      <c r="AA751" s="5"/>
      <c r="AC751" s="7"/>
      <c r="AE751" s="54" t="e">
        <f t="shared" si="99"/>
        <v>#N/A</v>
      </c>
      <c r="AF751" s="4" t="e">
        <f t="shared" si="95"/>
        <v>#N/A</v>
      </c>
    </row>
    <row r="752" spans="2:32">
      <c r="B752" s="5">
        <f t="shared" si="100"/>
        <v>740</v>
      </c>
      <c r="C752" s="5"/>
      <c r="E752" s="13"/>
      <c r="F752" s="5"/>
      <c r="G752" s="11" t="str">
        <f>IF(ISERROR(AVERAGE(F$13:F752)),"n/a",AVERAGE(F$13:F752))</f>
        <v>n/a</v>
      </c>
      <c r="H752" s="11" t="str">
        <f t="shared" si="96"/>
        <v>n/a</v>
      </c>
      <c r="J752" s="5"/>
      <c r="K752" s="5"/>
      <c r="L752" s="5"/>
      <c r="M752" s="5"/>
      <c r="N752" s="5"/>
      <c r="O752" s="8" t="str">
        <f t="shared" si="94"/>
        <v>n/a</v>
      </c>
      <c r="Q752" s="5"/>
      <c r="R752" s="5"/>
      <c r="S752" s="5"/>
      <c r="U752" s="6"/>
      <c r="V752" s="9" t="str">
        <f t="shared" si="97"/>
        <v/>
      </c>
      <c r="W752" s="9" t="str">
        <f t="shared" si="98"/>
        <v/>
      </c>
      <c r="X752" s="10">
        <f>SUM(V$13:V752)/COUNTA(B$13:B752)</f>
        <v>0</v>
      </c>
      <c r="Z752" s="5"/>
      <c r="AA752" s="5"/>
      <c r="AC752" s="7"/>
      <c r="AE752" s="54" t="e">
        <f t="shared" si="99"/>
        <v>#N/A</v>
      </c>
      <c r="AF752" s="4" t="e">
        <f t="shared" si="95"/>
        <v>#N/A</v>
      </c>
    </row>
    <row r="753" spans="2:32">
      <c r="B753" s="5">
        <f t="shared" si="100"/>
        <v>741</v>
      </c>
      <c r="C753" s="5"/>
      <c r="E753" s="13"/>
      <c r="F753" s="5"/>
      <c r="G753" s="11" t="str">
        <f>IF(ISERROR(AVERAGE(F$13:F753)),"n/a",AVERAGE(F$13:F753))</f>
        <v>n/a</v>
      </c>
      <c r="H753" s="11" t="str">
        <f t="shared" si="96"/>
        <v>n/a</v>
      </c>
      <c r="J753" s="5"/>
      <c r="K753" s="5"/>
      <c r="L753" s="5"/>
      <c r="M753" s="5"/>
      <c r="N753" s="5"/>
      <c r="O753" s="8" t="str">
        <f t="shared" si="94"/>
        <v>n/a</v>
      </c>
      <c r="Q753" s="5"/>
      <c r="R753" s="5"/>
      <c r="S753" s="5"/>
      <c r="U753" s="6"/>
      <c r="V753" s="9" t="str">
        <f t="shared" si="97"/>
        <v/>
      </c>
      <c r="W753" s="9" t="str">
        <f t="shared" si="98"/>
        <v/>
      </c>
      <c r="X753" s="10">
        <f>SUM(V$13:V753)/COUNTA(B$13:B753)</f>
        <v>0</v>
      </c>
      <c r="Z753" s="5"/>
      <c r="AA753" s="5"/>
      <c r="AC753" s="7"/>
      <c r="AE753" s="54" t="e">
        <f t="shared" si="99"/>
        <v>#N/A</v>
      </c>
      <c r="AF753" s="4" t="e">
        <f t="shared" si="95"/>
        <v>#N/A</v>
      </c>
    </row>
    <row r="754" spans="2:32">
      <c r="B754" s="5">
        <f t="shared" si="100"/>
        <v>742</v>
      </c>
      <c r="C754" s="5"/>
      <c r="E754" s="13"/>
      <c r="F754" s="5"/>
      <c r="G754" s="11" t="str">
        <f>IF(ISERROR(AVERAGE(F$13:F754)),"n/a",AVERAGE(F$13:F754))</f>
        <v>n/a</v>
      </c>
      <c r="H754" s="11" t="str">
        <f t="shared" si="96"/>
        <v>n/a</v>
      </c>
      <c r="J754" s="5"/>
      <c r="K754" s="5"/>
      <c r="L754" s="5"/>
      <c r="M754" s="5"/>
      <c r="N754" s="5"/>
      <c r="O754" s="8" t="str">
        <f t="shared" si="94"/>
        <v>n/a</v>
      </c>
      <c r="Q754" s="5"/>
      <c r="R754" s="5"/>
      <c r="S754" s="5"/>
      <c r="U754" s="6"/>
      <c r="V754" s="9" t="str">
        <f t="shared" si="97"/>
        <v/>
      </c>
      <c r="W754" s="9" t="str">
        <f t="shared" si="98"/>
        <v/>
      </c>
      <c r="X754" s="10">
        <f>SUM(V$13:V754)/COUNTA(B$13:B754)</f>
        <v>0</v>
      </c>
      <c r="Z754" s="5"/>
      <c r="AA754" s="5"/>
      <c r="AC754" s="7"/>
      <c r="AE754" s="54" t="e">
        <f t="shared" si="99"/>
        <v>#N/A</v>
      </c>
      <c r="AF754" s="4" t="e">
        <f t="shared" si="95"/>
        <v>#N/A</v>
      </c>
    </row>
    <row r="755" spans="2:32">
      <c r="B755" s="5">
        <f t="shared" si="100"/>
        <v>743</v>
      </c>
      <c r="C755" s="5"/>
      <c r="E755" s="13"/>
      <c r="F755" s="5"/>
      <c r="G755" s="11" t="str">
        <f>IF(ISERROR(AVERAGE(F$13:F755)),"n/a",AVERAGE(F$13:F755))</f>
        <v>n/a</v>
      </c>
      <c r="H755" s="11" t="str">
        <f t="shared" si="96"/>
        <v>n/a</v>
      </c>
      <c r="J755" s="5"/>
      <c r="K755" s="5"/>
      <c r="L755" s="5"/>
      <c r="M755" s="5"/>
      <c r="N755" s="5"/>
      <c r="O755" s="8" t="str">
        <f t="shared" si="94"/>
        <v>n/a</v>
      </c>
      <c r="Q755" s="5"/>
      <c r="R755" s="5"/>
      <c r="S755" s="5"/>
      <c r="U755" s="6"/>
      <c r="V755" s="9" t="str">
        <f t="shared" si="97"/>
        <v/>
      </c>
      <c r="W755" s="9" t="str">
        <f t="shared" si="98"/>
        <v/>
      </c>
      <c r="X755" s="10">
        <f>SUM(V$13:V755)/COUNTA(B$13:B755)</f>
        <v>0</v>
      </c>
      <c r="Z755" s="5"/>
      <c r="AA755" s="5"/>
      <c r="AC755" s="7"/>
      <c r="AE755" s="54" t="e">
        <f t="shared" si="99"/>
        <v>#N/A</v>
      </c>
      <c r="AF755" s="4" t="e">
        <f t="shared" si="95"/>
        <v>#N/A</v>
      </c>
    </row>
    <row r="756" spans="2:32">
      <c r="B756" s="5">
        <f t="shared" si="100"/>
        <v>744</v>
      </c>
      <c r="C756" s="5"/>
      <c r="E756" s="13"/>
      <c r="F756" s="5"/>
      <c r="G756" s="11" t="str">
        <f>IF(ISERROR(AVERAGE(F$13:F756)),"n/a",AVERAGE(F$13:F756))</f>
        <v>n/a</v>
      </c>
      <c r="H756" s="11" t="str">
        <f t="shared" si="96"/>
        <v>n/a</v>
      </c>
      <c r="J756" s="5"/>
      <c r="K756" s="5"/>
      <c r="L756" s="5"/>
      <c r="M756" s="5"/>
      <c r="N756" s="5"/>
      <c r="O756" s="8" t="str">
        <f t="shared" si="94"/>
        <v>n/a</v>
      </c>
      <c r="Q756" s="5"/>
      <c r="R756" s="5"/>
      <c r="S756" s="5"/>
      <c r="U756" s="6"/>
      <c r="V756" s="9" t="str">
        <f t="shared" si="97"/>
        <v/>
      </c>
      <c r="W756" s="9" t="str">
        <f t="shared" si="98"/>
        <v/>
      </c>
      <c r="X756" s="10">
        <f>SUM(V$13:V756)/COUNTA(B$13:B756)</f>
        <v>0</v>
      </c>
      <c r="Z756" s="5"/>
      <c r="AA756" s="5"/>
      <c r="AC756" s="7"/>
      <c r="AE756" s="54" t="e">
        <f t="shared" si="99"/>
        <v>#N/A</v>
      </c>
      <c r="AF756" s="4" t="e">
        <f t="shared" si="95"/>
        <v>#N/A</v>
      </c>
    </row>
    <row r="757" spans="2:32">
      <c r="B757" s="5">
        <f t="shared" si="100"/>
        <v>745</v>
      </c>
      <c r="C757" s="5"/>
      <c r="E757" s="13"/>
      <c r="F757" s="5"/>
      <c r="G757" s="11" t="str">
        <f>IF(ISERROR(AVERAGE(F$13:F757)),"n/a",AVERAGE(F$13:F757))</f>
        <v>n/a</v>
      </c>
      <c r="H757" s="11" t="str">
        <f t="shared" si="96"/>
        <v>n/a</v>
      </c>
      <c r="J757" s="5"/>
      <c r="K757" s="5"/>
      <c r="L757" s="5"/>
      <c r="M757" s="5"/>
      <c r="N757" s="5"/>
      <c r="O757" s="8" t="str">
        <f t="shared" si="94"/>
        <v>n/a</v>
      </c>
      <c r="Q757" s="5"/>
      <c r="R757" s="5"/>
      <c r="S757" s="5"/>
      <c r="U757" s="6"/>
      <c r="V757" s="9" t="str">
        <f t="shared" si="97"/>
        <v/>
      </c>
      <c r="W757" s="9" t="str">
        <f t="shared" si="98"/>
        <v/>
      </c>
      <c r="X757" s="10">
        <f>SUM(V$13:V757)/COUNTA(B$13:B757)</f>
        <v>0</v>
      </c>
      <c r="Z757" s="5"/>
      <c r="AA757" s="5"/>
      <c r="AC757" s="7"/>
      <c r="AE757" s="54" t="e">
        <f t="shared" si="99"/>
        <v>#N/A</v>
      </c>
      <c r="AF757" s="4" t="e">
        <f t="shared" si="95"/>
        <v>#N/A</v>
      </c>
    </row>
    <row r="758" spans="2:32">
      <c r="B758" s="5">
        <f t="shared" si="100"/>
        <v>746</v>
      </c>
      <c r="C758" s="5"/>
      <c r="E758" s="13"/>
      <c r="F758" s="5"/>
      <c r="G758" s="11" t="str">
        <f>IF(ISERROR(AVERAGE(F$13:F758)),"n/a",AVERAGE(F$13:F758))</f>
        <v>n/a</v>
      </c>
      <c r="H758" s="11" t="str">
        <f t="shared" si="96"/>
        <v>n/a</v>
      </c>
      <c r="J758" s="5"/>
      <c r="K758" s="5"/>
      <c r="L758" s="5"/>
      <c r="M758" s="5"/>
      <c r="N758" s="5"/>
      <c r="O758" s="8" t="str">
        <f t="shared" si="94"/>
        <v>n/a</v>
      </c>
      <c r="Q758" s="5"/>
      <c r="R758" s="5"/>
      <c r="S758" s="5"/>
      <c r="U758" s="6"/>
      <c r="V758" s="9" t="str">
        <f t="shared" si="97"/>
        <v/>
      </c>
      <c r="W758" s="9" t="str">
        <f t="shared" si="98"/>
        <v/>
      </c>
      <c r="X758" s="10">
        <f>SUM(V$13:V758)/COUNTA(B$13:B758)</f>
        <v>0</v>
      </c>
      <c r="Z758" s="5"/>
      <c r="AA758" s="5"/>
      <c r="AC758" s="7"/>
      <c r="AE758" s="54" t="e">
        <f t="shared" si="99"/>
        <v>#N/A</v>
      </c>
      <c r="AF758" s="4" t="e">
        <f t="shared" si="95"/>
        <v>#N/A</v>
      </c>
    </row>
    <row r="759" spans="2:32">
      <c r="B759" s="5">
        <f t="shared" si="100"/>
        <v>747</v>
      </c>
      <c r="C759" s="5"/>
      <c r="E759" s="13"/>
      <c r="F759" s="5"/>
      <c r="G759" s="11" t="str">
        <f>IF(ISERROR(AVERAGE(F$13:F759)),"n/a",AVERAGE(F$13:F759))</f>
        <v>n/a</v>
      </c>
      <c r="H759" s="11" t="str">
        <f t="shared" si="96"/>
        <v>n/a</v>
      </c>
      <c r="J759" s="5"/>
      <c r="K759" s="5"/>
      <c r="L759" s="5"/>
      <c r="M759" s="5"/>
      <c r="N759" s="5"/>
      <c r="O759" s="8" t="str">
        <f t="shared" si="94"/>
        <v>n/a</v>
      </c>
      <c r="Q759" s="5"/>
      <c r="R759" s="5"/>
      <c r="S759" s="5"/>
      <c r="U759" s="6"/>
      <c r="V759" s="9" t="str">
        <f t="shared" si="97"/>
        <v/>
      </c>
      <c r="W759" s="9" t="str">
        <f t="shared" si="98"/>
        <v/>
      </c>
      <c r="X759" s="10">
        <f>SUM(V$13:V759)/COUNTA(B$13:B759)</f>
        <v>0</v>
      </c>
      <c r="Z759" s="5"/>
      <c r="AA759" s="5"/>
      <c r="AC759" s="7"/>
      <c r="AE759" s="54" t="e">
        <f t="shared" si="99"/>
        <v>#N/A</v>
      </c>
      <c r="AF759" s="4" t="e">
        <f t="shared" si="95"/>
        <v>#N/A</v>
      </c>
    </row>
    <row r="760" spans="2:32">
      <c r="B760" s="5">
        <f t="shared" si="100"/>
        <v>748</v>
      </c>
      <c r="C760" s="5"/>
      <c r="E760" s="13"/>
      <c r="F760" s="5"/>
      <c r="G760" s="11" t="str">
        <f>IF(ISERROR(AVERAGE(F$13:F760)),"n/a",AVERAGE(F$13:F760))</f>
        <v>n/a</v>
      </c>
      <c r="H760" s="11" t="str">
        <f t="shared" si="96"/>
        <v>n/a</v>
      </c>
      <c r="J760" s="5"/>
      <c r="K760" s="5"/>
      <c r="L760" s="5"/>
      <c r="M760" s="5"/>
      <c r="N760" s="5"/>
      <c r="O760" s="8" t="str">
        <f t="shared" si="94"/>
        <v>n/a</v>
      </c>
      <c r="Q760" s="5"/>
      <c r="R760" s="5"/>
      <c r="S760" s="5"/>
      <c r="U760" s="6"/>
      <c r="V760" s="9" t="str">
        <f t="shared" si="97"/>
        <v/>
      </c>
      <c r="W760" s="9" t="str">
        <f t="shared" si="98"/>
        <v/>
      </c>
      <c r="X760" s="10">
        <f>SUM(V$13:V760)/COUNTA(B$13:B760)</f>
        <v>0</v>
      </c>
      <c r="Z760" s="5"/>
      <c r="AA760" s="5"/>
      <c r="AC760" s="7"/>
      <c r="AE760" s="54" t="e">
        <f t="shared" si="99"/>
        <v>#N/A</v>
      </c>
      <c r="AF760" s="4" t="e">
        <f t="shared" si="95"/>
        <v>#N/A</v>
      </c>
    </row>
    <row r="761" spans="2:32">
      <c r="B761" s="5">
        <f t="shared" si="100"/>
        <v>749</v>
      </c>
      <c r="C761" s="5"/>
      <c r="E761" s="13"/>
      <c r="F761" s="5"/>
      <c r="G761" s="11" t="str">
        <f>IF(ISERROR(AVERAGE(F$13:F761)),"n/a",AVERAGE(F$13:F761))</f>
        <v>n/a</v>
      </c>
      <c r="H761" s="11" t="str">
        <f t="shared" si="96"/>
        <v>n/a</v>
      </c>
      <c r="J761" s="5"/>
      <c r="K761" s="5"/>
      <c r="L761" s="5"/>
      <c r="M761" s="5"/>
      <c r="N761" s="5"/>
      <c r="O761" s="8" t="str">
        <f t="shared" si="94"/>
        <v>n/a</v>
      </c>
      <c r="Q761" s="5"/>
      <c r="R761" s="5"/>
      <c r="S761" s="5"/>
      <c r="U761" s="6"/>
      <c r="V761" s="9" t="str">
        <f t="shared" si="97"/>
        <v/>
      </c>
      <c r="W761" s="9" t="str">
        <f t="shared" si="98"/>
        <v/>
      </c>
      <c r="X761" s="10">
        <f>SUM(V$13:V761)/COUNTA(B$13:B761)</f>
        <v>0</v>
      </c>
      <c r="Z761" s="5"/>
      <c r="AA761" s="5"/>
      <c r="AC761" s="7"/>
      <c r="AE761" s="54" t="e">
        <f t="shared" si="99"/>
        <v>#N/A</v>
      </c>
      <c r="AF761" s="4" t="e">
        <f t="shared" si="95"/>
        <v>#N/A</v>
      </c>
    </row>
    <row r="762" spans="2:32">
      <c r="B762" s="5">
        <f t="shared" si="100"/>
        <v>750</v>
      </c>
      <c r="C762" s="5"/>
      <c r="E762" s="13"/>
      <c r="F762" s="5"/>
      <c r="G762" s="11" t="str">
        <f>IF(ISERROR(AVERAGE(F$13:F762)),"n/a",AVERAGE(F$13:F762))</f>
        <v>n/a</v>
      </c>
      <c r="H762" s="11" t="str">
        <f t="shared" si="96"/>
        <v>n/a</v>
      </c>
      <c r="J762" s="5"/>
      <c r="K762" s="5"/>
      <c r="L762" s="5"/>
      <c r="M762" s="5"/>
      <c r="N762" s="5"/>
      <c r="O762" s="8" t="str">
        <f t="shared" si="94"/>
        <v>n/a</v>
      </c>
      <c r="Q762" s="5"/>
      <c r="R762" s="5"/>
      <c r="S762" s="5"/>
      <c r="U762" s="6"/>
      <c r="V762" s="9" t="str">
        <f t="shared" si="97"/>
        <v/>
      </c>
      <c r="W762" s="9" t="str">
        <f t="shared" si="98"/>
        <v/>
      </c>
      <c r="X762" s="10">
        <f>SUM(V$13:V762)/COUNTA(B$13:B762)</f>
        <v>0</v>
      </c>
      <c r="Z762" s="5"/>
      <c r="AA762" s="5"/>
      <c r="AC762" s="7"/>
      <c r="AE762" s="54" t="e">
        <f t="shared" si="99"/>
        <v>#N/A</v>
      </c>
      <c r="AF762" s="4" t="e">
        <f t="shared" si="95"/>
        <v>#N/A</v>
      </c>
    </row>
    <row r="763" spans="2:32">
      <c r="B763" s="5">
        <f t="shared" si="100"/>
        <v>751</v>
      </c>
      <c r="C763" s="5"/>
      <c r="E763" s="13"/>
      <c r="F763" s="5"/>
      <c r="G763" s="11" t="str">
        <f>IF(ISERROR(AVERAGE(F$13:F763)),"n/a",AVERAGE(F$13:F763))</f>
        <v>n/a</v>
      </c>
      <c r="H763" s="11" t="str">
        <f t="shared" si="96"/>
        <v>n/a</v>
      </c>
      <c r="J763" s="5"/>
      <c r="K763" s="5"/>
      <c r="L763" s="5"/>
      <c r="M763" s="5"/>
      <c r="N763" s="5"/>
      <c r="O763" s="8" t="str">
        <f t="shared" si="94"/>
        <v>n/a</v>
      </c>
      <c r="Q763" s="5"/>
      <c r="R763" s="5"/>
      <c r="S763" s="5"/>
      <c r="U763" s="6"/>
      <c r="V763" s="9" t="str">
        <f t="shared" si="97"/>
        <v/>
      </c>
      <c r="W763" s="9" t="str">
        <f t="shared" si="98"/>
        <v/>
      </c>
      <c r="X763" s="10">
        <f>SUM(V$13:V763)/COUNTA(B$13:B763)</f>
        <v>0</v>
      </c>
      <c r="Z763" s="5"/>
      <c r="AA763" s="5"/>
      <c r="AC763" s="7"/>
      <c r="AE763" s="54" t="e">
        <f t="shared" si="99"/>
        <v>#N/A</v>
      </c>
      <c r="AF763" s="4" t="e">
        <f t="shared" si="95"/>
        <v>#N/A</v>
      </c>
    </row>
    <row r="764" spans="2:32">
      <c r="B764" s="5">
        <f t="shared" si="100"/>
        <v>752</v>
      </c>
      <c r="C764" s="5"/>
      <c r="E764" s="13"/>
      <c r="F764" s="5"/>
      <c r="G764" s="11" t="str">
        <f>IF(ISERROR(AVERAGE(F$13:F764)),"n/a",AVERAGE(F$13:F764))</f>
        <v>n/a</v>
      </c>
      <c r="H764" s="11" t="str">
        <f t="shared" si="96"/>
        <v>n/a</v>
      </c>
      <c r="J764" s="5"/>
      <c r="K764" s="5"/>
      <c r="L764" s="5"/>
      <c r="M764" s="5"/>
      <c r="N764" s="5"/>
      <c r="O764" s="8" t="str">
        <f t="shared" si="94"/>
        <v>n/a</v>
      </c>
      <c r="Q764" s="5"/>
      <c r="R764" s="5"/>
      <c r="S764" s="5"/>
      <c r="U764" s="6"/>
      <c r="V764" s="9" t="str">
        <f t="shared" si="97"/>
        <v/>
      </c>
      <c r="W764" s="9" t="str">
        <f t="shared" si="98"/>
        <v/>
      </c>
      <c r="X764" s="10">
        <f>SUM(V$13:V764)/COUNTA(B$13:B764)</f>
        <v>0</v>
      </c>
      <c r="Z764" s="5"/>
      <c r="AA764" s="5"/>
      <c r="AC764" s="7"/>
      <c r="AE764" s="54" t="e">
        <f t="shared" si="99"/>
        <v>#N/A</v>
      </c>
      <c r="AF764" s="4" t="e">
        <f t="shared" si="95"/>
        <v>#N/A</v>
      </c>
    </row>
    <row r="765" spans="2:32">
      <c r="B765" s="5">
        <f t="shared" si="100"/>
        <v>753</v>
      </c>
      <c r="C765" s="5"/>
      <c r="E765" s="13"/>
      <c r="F765" s="5"/>
      <c r="G765" s="11" t="str">
        <f>IF(ISERROR(AVERAGE(F$13:F765)),"n/a",AVERAGE(F$13:F765))</f>
        <v>n/a</v>
      </c>
      <c r="H765" s="11" t="str">
        <f t="shared" si="96"/>
        <v>n/a</v>
      </c>
      <c r="J765" s="5"/>
      <c r="K765" s="5"/>
      <c r="L765" s="5"/>
      <c r="M765" s="5"/>
      <c r="N765" s="5"/>
      <c r="O765" s="8" t="str">
        <f t="shared" si="94"/>
        <v>n/a</v>
      </c>
      <c r="Q765" s="5"/>
      <c r="R765" s="5"/>
      <c r="S765" s="5"/>
      <c r="U765" s="6"/>
      <c r="V765" s="9" t="str">
        <f t="shared" si="97"/>
        <v/>
      </c>
      <c r="W765" s="9" t="str">
        <f t="shared" si="98"/>
        <v/>
      </c>
      <c r="X765" s="10">
        <f>SUM(V$13:V765)/COUNTA(B$13:B765)</f>
        <v>0</v>
      </c>
      <c r="Z765" s="5"/>
      <c r="AA765" s="5"/>
      <c r="AC765" s="7"/>
      <c r="AE765" s="54" t="e">
        <f t="shared" si="99"/>
        <v>#N/A</v>
      </c>
      <c r="AF765" s="4" t="e">
        <f t="shared" si="95"/>
        <v>#N/A</v>
      </c>
    </row>
    <row r="766" spans="2:32">
      <c r="B766" s="5">
        <f t="shared" si="100"/>
        <v>754</v>
      </c>
      <c r="C766" s="5"/>
      <c r="E766" s="13"/>
      <c r="F766" s="5"/>
      <c r="G766" s="11" t="str">
        <f>IF(ISERROR(AVERAGE(F$13:F766)),"n/a",AVERAGE(F$13:F766))</f>
        <v>n/a</v>
      </c>
      <c r="H766" s="11" t="str">
        <f t="shared" si="96"/>
        <v>n/a</v>
      </c>
      <c r="J766" s="5"/>
      <c r="K766" s="5"/>
      <c r="L766" s="5"/>
      <c r="M766" s="5"/>
      <c r="N766" s="5"/>
      <c r="O766" s="8" t="str">
        <f t="shared" si="94"/>
        <v>n/a</v>
      </c>
      <c r="Q766" s="5"/>
      <c r="R766" s="5"/>
      <c r="S766" s="5"/>
      <c r="U766" s="6"/>
      <c r="V766" s="9" t="str">
        <f t="shared" si="97"/>
        <v/>
      </c>
      <c r="W766" s="9" t="str">
        <f t="shared" si="98"/>
        <v/>
      </c>
      <c r="X766" s="10">
        <f>SUM(V$13:V766)/COUNTA(B$13:B766)</f>
        <v>0</v>
      </c>
      <c r="Z766" s="5"/>
      <c r="AA766" s="5"/>
      <c r="AC766" s="7"/>
      <c r="AE766" s="54" t="e">
        <f t="shared" si="99"/>
        <v>#N/A</v>
      </c>
      <c r="AF766" s="4" t="e">
        <f t="shared" si="95"/>
        <v>#N/A</v>
      </c>
    </row>
    <row r="767" spans="2:32">
      <c r="B767" s="5">
        <f t="shared" si="100"/>
        <v>755</v>
      </c>
      <c r="C767" s="5"/>
      <c r="E767" s="13"/>
      <c r="F767" s="5"/>
      <c r="G767" s="11" t="str">
        <f>IF(ISERROR(AVERAGE(F$13:F767)),"n/a",AVERAGE(F$13:F767))</f>
        <v>n/a</v>
      </c>
      <c r="H767" s="11" t="str">
        <f t="shared" si="96"/>
        <v>n/a</v>
      </c>
      <c r="J767" s="5"/>
      <c r="K767" s="5"/>
      <c r="L767" s="5"/>
      <c r="M767" s="5"/>
      <c r="N767" s="5"/>
      <c r="O767" s="8" t="str">
        <f t="shared" si="94"/>
        <v>n/a</v>
      </c>
      <c r="Q767" s="5"/>
      <c r="R767" s="5"/>
      <c r="S767" s="5"/>
      <c r="U767" s="6"/>
      <c r="V767" s="9" t="str">
        <f t="shared" si="97"/>
        <v/>
      </c>
      <c r="W767" s="9" t="str">
        <f t="shared" si="98"/>
        <v/>
      </c>
      <c r="X767" s="10">
        <f>SUM(V$13:V767)/COUNTA(B$13:B767)</f>
        <v>0</v>
      </c>
      <c r="Z767" s="5"/>
      <c r="AA767" s="5"/>
      <c r="AC767" s="7"/>
      <c r="AE767" s="54" t="e">
        <f t="shared" si="99"/>
        <v>#N/A</v>
      </c>
      <c r="AF767" s="4" t="e">
        <f t="shared" si="95"/>
        <v>#N/A</v>
      </c>
    </row>
    <row r="768" spans="2:32">
      <c r="B768" s="5">
        <f t="shared" si="100"/>
        <v>756</v>
      </c>
      <c r="C768" s="5"/>
      <c r="E768" s="13"/>
      <c r="F768" s="5"/>
      <c r="G768" s="11" t="str">
        <f>IF(ISERROR(AVERAGE(F$13:F768)),"n/a",AVERAGE(F$13:F768))</f>
        <v>n/a</v>
      </c>
      <c r="H768" s="11" t="str">
        <f t="shared" si="96"/>
        <v>n/a</v>
      </c>
      <c r="J768" s="5"/>
      <c r="K768" s="5"/>
      <c r="L768" s="5"/>
      <c r="M768" s="5"/>
      <c r="N768" s="5"/>
      <c r="O768" s="8" t="str">
        <f t="shared" si="94"/>
        <v>n/a</v>
      </c>
      <c r="Q768" s="5"/>
      <c r="R768" s="5"/>
      <c r="S768" s="5"/>
      <c r="U768" s="6"/>
      <c r="V768" s="9" t="str">
        <f t="shared" si="97"/>
        <v/>
      </c>
      <c r="W768" s="9" t="str">
        <f t="shared" si="98"/>
        <v/>
      </c>
      <c r="X768" s="10">
        <f>SUM(V$13:V768)/COUNTA(B$13:B768)</f>
        <v>0</v>
      </c>
      <c r="Z768" s="5"/>
      <c r="AA768" s="5"/>
      <c r="AC768" s="7"/>
      <c r="AE768" s="54" t="e">
        <f t="shared" si="99"/>
        <v>#N/A</v>
      </c>
      <c r="AF768" s="4" t="e">
        <f t="shared" si="95"/>
        <v>#N/A</v>
      </c>
    </row>
    <row r="769" spans="2:32">
      <c r="B769" s="5">
        <f t="shared" si="100"/>
        <v>757</v>
      </c>
      <c r="C769" s="5"/>
      <c r="E769" s="13"/>
      <c r="F769" s="5"/>
      <c r="G769" s="11" t="str">
        <f>IF(ISERROR(AVERAGE(F$13:F769)),"n/a",AVERAGE(F$13:F769))</f>
        <v>n/a</v>
      </c>
      <c r="H769" s="11" t="str">
        <f t="shared" si="96"/>
        <v>n/a</v>
      </c>
      <c r="J769" s="5"/>
      <c r="K769" s="5"/>
      <c r="L769" s="5"/>
      <c r="M769" s="5"/>
      <c r="N769" s="5"/>
      <c r="O769" s="8" t="str">
        <f t="shared" si="94"/>
        <v>n/a</v>
      </c>
      <c r="Q769" s="5"/>
      <c r="R769" s="5"/>
      <c r="S769" s="5"/>
      <c r="U769" s="6"/>
      <c r="V769" s="9" t="str">
        <f t="shared" si="97"/>
        <v/>
      </c>
      <c r="W769" s="9" t="str">
        <f t="shared" si="98"/>
        <v/>
      </c>
      <c r="X769" s="10">
        <f>SUM(V$13:V769)/COUNTA(B$13:B769)</f>
        <v>0</v>
      </c>
      <c r="Z769" s="5"/>
      <c r="AA769" s="5"/>
      <c r="AC769" s="7"/>
      <c r="AE769" s="54" t="e">
        <f t="shared" si="99"/>
        <v>#N/A</v>
      </c>
      <c r="AF769" s="4" t="e">
        <f t="shared" si="95"/>
        <v>#N/A</v>
      </c>
    </row>
    <row r="770" spans="2:32">
      <c r="B770" s="5">
        <f t="shared" si="100"/>
        <v>758</v>
      </c>
      <c r="C770" s="5"/>
      <c r="E770" s="13"/>
      <c r="F770" s="5"/>
      <c r="G770" s="11" t="str">
        <f>IF(ISERROR(AVERAGE(F$13:F770)),"n/a",AVERAGE(F$13:F770))</f>
        <v>n/a</v>
      </c>
      <c r="H770" s="11" t="str">
        <f t="shared" si="96"/>
        <v>n/a</v>
      </c>
      <c r="J770" s="5"/>
      <c r="K770" s="5"/>
      <c r="L770" s="5"/>
      <c r="M770" s="5"/>
      <c r="N770" s="5"/>
      <c r="O770" s="8" t="str">
        <f t="shared" si="94"/>
        <v>n/a</v>
      </c>
      <c r="Q770" s="5"/>
      <c r="R770" s="5"/>
      <c r="S770" s="5"/>
      <c r="U770" s="6"/>
      <c r="V770" s="9" t="str">
        <f t="shared" si="97"/>
        <v/>
      </c>
      <c r="W770" s="9" t="str">
        <f t="shared" si="98"/>
        <v/>
      </c>
      <c r="X770" s="10">
        <f>SUM(V$13:V770)/COUNTA(B$13:B770)</f>
        <v>0</v>
      </c>
      <c r="Z770" s="5"/>
      <c r="AA770" s="5"/>
      <c r="AC770" s="7"/>
      <c r="AE770" s="54" t="e">
        <f t="shared" si="99"/>
        <v>#N/A</v>
      </c>
      <c r="AF770" s="4" t="e">
        <f t="shared" si="95"/>
        <v>#N/A</v>
      </c>
    </row>
    <row r="771" spans="2:32">
      <c r="B771" s="5">
        <f t="shared" si="100"/>
        <v>759</v>
      </c>
      <c r="C771" s="5"/>
      <c r="E771" s="13"/>
      <c r="F771" s="5"/>
      <c r="G771" s="11" t="str">
        <f>IF(ISERROR(AVERAGE(F$13:F771)),"n/a",AVERAGE(F$13:F771))</f>
        <v>n/a</v>
      </c>
      <c r="H771" s="11" t="str">
        <f t="shared" si="96"/>
        <v>n/a</v>
      </c>
      <c r="J771" s="5"/>
      <c r="K771" s="5"/>
      <c r="L771" s="5"/>
      <c r="M771" s="5"/>
      <c r="N771" s="5"/>
      <c r="O771" s="8" t="str">
        <f t="shared" si="94"/>
        <v>n/a</v>
      </c>
      <c r="Q771" s="5"/>
      <c r="R771" s="5"/>
      <c r="S771" s="5"/>
      <c r="U771" s="6"/>
      <c r="V771" s="9" t="str">
        <f t="shared" si="97"/>
        <v/>
      </c>
      <c r="W771" s="9" t="str">
        <f t="shared" si="98"/>
        <v/>
      </c>
      <c r="X771" s="10">
        <f>SUM(V$13:V771)/COUNTA(B$13:B771)</f>
        <v>0</v>
      </c>
      <c r="Z771" s="5"/>
      <c r="AA771" s="5"/>
      <c r="AC771" s="7"/>
      <c r="AE771" s="54" t="e">
        <f t="shared" si="99"/>
        <v>#N/A</v>
      </c>
      <c r="AF771" s="4" t="e">
        <f t="shared" si="95"/>
        <v>#N/A</v>
      </c>
    </row>
    <row r="772" spans="2:32">
      <c r="B772" s="5">
        <f t="shared" si="100"/>
        <v>760</v>
      </c>
      <c r="C772" s="5"/>
      <c r="E772" s="13"/>
      <c r="F772" s="5"/>
      <c r="G772" s="11" t="str">
        <f>IF(ISERROR(AVERAGE(F$13:F772)),"n/a",AVERAGE(F$13:F772))</f>
        <v>n/a</v>
      </c>
      <c r="H772" s="11" t="str">
        <f t="shared" si="96"/>
        <v>n/a</v>
      </c>
      <c r="J772" s="5"/>
      <c r="K772" s="5"/>
      <c r="L772" s="5"/>
      <c r="M772" s="5"/>
      <c r="N772" s="5"/>
      <c r="O772" s="8" t="str">
        <f t="shared" si="94"/>
        <v>n/a</v>
      </c>
      <c r="Q772" s="5"/>
      <c r="R772" s="5"/>
      <c r="S772" s="5"/>
      <c r="U772" s="6"/>
      <c r="V772" s="9" t="str">
        <f t="shared" si="97"/>
        <v/>
      </c>
      <c r="W772" s="9" t="str">
        <f t="shared" si="98"/>
        <v/>
      </c>
      <c r="X772" s="10">
        <f>SUM(V$13:V772)/COUNTA(B$13:B772)</f>
        <v>0</v>
      </c>
      <c r="Z772" s="5"/>
      <c r="AA772" s="5"/>
      <c r="AC772" s="7"/>
      <c r="AE772" s="54" t="e">
        <f t="shared" si="99"/>
        <v>#N/A</v>
      </c>
      <c r="AF772" s="4" t="e">
        <f t="shared" si="95"/>
        <v>#N/A</v>
      </c>
    </row>
    <row r="773" spans="2:32">
      <c r="B773" s="5">
        <f t="shared" si="100"/>
        <v>761</v>
      </c>
      <c r="C773" s="5"/>
      <c r="E773" s="13"/>
      <c r="F773" s="5"/>
      <c r="G773" s="11" t="str">
        <f>IF(ISERROR(AVERAGE(F$13:F773)),"n/a",AVERAGE(F$13:F773))</f>
        <v>n/a</v>
      </c>
      <c r="H773" s="11" t="str">
        <f t="shared" si="96"/>
        <v>n/a</v>
      </c>
      <c r="J773" s="5"/>
      <c r="K773" s="5"/>
      <c r="L773" s="5"/>
      <c r="M773" s="5"/>
      <c r="N773" s="5"/>
      <c r="O773" s="8" t="str">
        <f t="shared" si="94"/>
        <v>n/a</v>
      </c>
      <c r="Q773" s="5"/>
      <c r="R773" s="5"/>
      <c r="S773" s="5"/>
      <c r="U773" s="6"/>
      <c r="V773" s="9" t="str">
        <f t="shared" si="97"/>
        <v/>
      </c>
      <c r="W773" s="9" t="str">
        <f t="shared" si="98"/>
        <v/>
      </c>
      <c r="X773" s="10">
        <f>SUM(V$13:V773)/COUNTA(B$13:B773)</f>
        <v>0</v>
      </c>
      <c r="Z773" s="5"/>
      <c r="AA773" s="5"/>
      <c r="AC773" s="7"/>
      <c r="AE773" s="54" t="e">
        <f t="shared" si="99"/>
        <v>#N/A</v>
      </c>
      <c r="AF773" s="4" t="e">
        <f t="shared" si="95"/>
        <v>#N/A</v>
      </c>
    </row>
    <row r="774" spans="2:32">
      <c r="B774" s="5">
        <f t="shared" si="100"/>
        <v>762</v>
      </c>
      <c r="C774" s="5"/>
      <c r="E774" s="13"/>
      <c r="F774" s="5"/>
      <c r="G774" s="11" t="str">
        <f>IF(ISERROR(AVERAGE(F$13:F774)),"n/a",AVERAGE(F$13:F774))</f>
        <v>n/a</v>
      </c>
      <c r="H774" s="11" t="str">
        <f t="shared" si="96"/>
        <v>n/a</v>
      </c>
      <c r="J774" s="5"/>
      <c r="K774" s="5"/>
      <c r="L774" s="5"/>
      <c r="M774" s="5"/>
      <c r="N774" s="5"/>
      <c r="O774" s="8" t="str">
        <f t="shared" si="94"/>
        <v>n/a</v>
      </c>
      <c r="Q774" s="5"/>
      <c r="R774" s="5"/>
      <c r="S774" s="5"/>
      <c r="U774" s="6"/>
      <c r="V774" s="9" t="str">
        <f t="shared" si="97"/>
        <v/>
      </c>
      <c r="W774" s="9" t="str">
        <f t="shared" si="98"/>
        <v/>
      </c>
      <c r="X774" s="10">
        <f>SUM(V$13:V774)/COUNTA(B$13:B774)</f>
        <v>0</v>
      </c>
      <c r="Z774" s="5"/>
      <c r="AA774" s="5"/>
      <c r="AC774" s="7"/>
      <c r="AE774" s="54" t="e">
        <f t="shared" si="99"/>
        <v>#N/A</v>
      </c>
      <c r="AF774" s="4" t="e">
        <f t="shared" si="95"/>
        <v>#N/A</v>
      </c>
    </row>
    <row r="775" spans="2:32">
      <c r="B775" s="5">
        <f t="shared" si="100"/>
        <v>763</v>
      </c>
      <c r="C775" s="5"/>
      <c r="E775" s="13"/>
      <c r="F775" s="5"/>
      <c r="G775" s="11" t="str">
        <f>IF(ISERROR(AVERAGE(F$13:F775)),"n/a",AVERAGE(F$13:F775))</f>
        <v>n/a</v>
      </c>
      <c r="H775" s="11" t="str">
        <f t="shared" si="96"/>
        <v>n/a</v>
      </c>
      <c r="J775" s="5"/>
      <c r="K775" s="5"/>
      <c r="L775" s="5"/>
      <c r="M775" s="5"/>
      <c r="N775" s="5"/>
      <c r="O775" s="8" t="str">
        <f t="shared" si="94"/>
        <v>n/a</v>
      </c>
      <c r="Q775" s="5"/>
      <c r="R775" s="5"/>
      <c r="S775" s="5"/>
      <c r="U775" s="6"/>
      <c r="V775" s="9" t="str">
        <f t="shared" si="97"/>
        <v/>
      </c>
      <c r="W775" s="9" t="str">
        <f t="shared" si="98"/>
        <v/>
      </c>
      <c r="X775" s="10">
        <f>SUM(V$13:V775)/COUNTA(B$13:B775)</f>
        <v>0</v>
      </c>
      <c r="Z775" s="5"/>
      <c r="AA775" s="5"/>
      <c r="AC775" s="7"/>
      <c r="AE775" s="54" t="e">
        <f t="shared" si="99"/>
        <v>#N/A</v>
      </c>
      <c r="AF775" s="4" t="e">
        <f t="shared" si="95"/>
        <v>#N/A</v>
      </c>
    </row>
    <row r="776" spans="2:32">
      <c r="B776" s="5">
        <f t="shared" si="100"/>
        <v>764</v>
      </c>
      <c r="C776" s="5"/>
      <c r="E776" s="13"/>
      <c r="F776" s="5"/>
      <c r="G776" s="11" t="str">
        <f>IF(ISERROR(AVERAGE(F$13:F776)),"n/a",AVERAGE(F$13:F776))</f>
        <v>n/a</v>
      </c>
      <c r="H776" s="11" t="str">
        <f t="shared" si="96"/>
        <v>n/a</v>
      </c>
      <c r="J776" s="5"/>
      <c r="K776" s="5"/>
      <c r="L776" s="5"/>
      <c r="M776" s="5"/>
      <c r="N776" s="5"/>
      <c r="O776" s="8" t="str">
        <f t="shared" si="94"/>
        <v>n/a</v>
      </c>
      <c r="Q776" s="5"/>
      <c r="R776" s="5"/>
      <c r="S776" s="5"/>
      <c r="U776" s="6"/>
      <c r="V776" s="9" t="str">
        <f t="shared" si="97"/>
        <v/>
      </c>
      <c r="W776" s="9" t="str">
        <f t="shared" si="98"/>
        <v/>
      </c>
      <c r="X776" s="10">
        <f>SUM(V$13:V776)/COUNTA(B$13:B776)</f>
        <v>0</v>
      </c>
      <c r="Z776" s="5"/>
      <c r="AA776" s="5"/>
      <c r="AC776" s="7"/>
      <c r="AE776" s="54" t="e">
        <f t="shared" si="99"/>
        <v>#N/A</v>
      </c>
      <c r="AF776" s="4" t="e">
        <f t="shared" si="95"/>
        <v>#N/A</v>
      </c>
    </row>
    <row r="777" spans="2:32">
      <c r="B777" s="5">
        <f t="shared" si="100"/>
        <v>765</v>
      </c>
      <c r="C777" s="5"/>
      <c r="E777" s="13"/>
      <c r="F777" s="5"/>
      <c r="G777" s="11" t="str">
        <f>IF(ISERROR(AVERAGE(F$13:F777)),"n/a",AVERAGE(F$13:F777))</f>
        <v>n/a</v>
      </c>
      <c r="H777" s="11" t="str">
        <f t="shared" si="96"/>
        <v>n/a</v>
      </c>
      <c r="J777" s="5"/>
      <c r="K777" s="5"/>
      <c r="L777" s="5"/>
      <c r="M777" s="5"/>
      <c r="N777" s="5"/>
      <c r="O777" s="8" t="str">
        <f t="shared" si="94"/>
        <v>n/a</v>
      </c>
      <c r="Q777" s="5"/>
      <c r="R777" s="5"/>
      <c r="S777" s="5"/>
      <c r="U777" s="6"/>
      <c r="V777" s="9" t="str">
        <f t="shared" si="97"/>
        <v/>
      </c>
      <c r="W777" s="9" t="str">
        <f t="shared" si="98"/>
        <v/>
      </c>
      <c r="X777" s="10">
        <f>SUM(V$13:V777)/COUNTA(B$13:B777)</f>
        <v>0</v>
      </c>
      <c r="Z777" s="5"/>
      <c r="AA777" s="5"/>
      <c r="AC777" s="7"/>
      <c r="AE777" s="54" t="e">
        <f t="shared" si="99"/>
        <v>#N/A</v>
      </c>
      <c r="AF777" s="4" t="e">
        <f t="shared" si="95"/>
        <v>#N/A</v>
      </c>
    </row>
    <row r="778" spans="2:32">
      <c r="B778" s="5">
        <f t="shared" si="100"/>
        <v>766</v>
      </c>
      <c r="C778" s="5"/>
      <c r="E778" s="13"/>
      <c r="F778" s="5"/>
      <c r="G778" s="11" t="str">
        <f>IF(ISERROR(AVERAGE(F$13:F778)),"n/a",AVERAGE(F$13:F778))</f>
        <v>n/a</v>
      </c>
      <c r="H778" s="11" t="str">
        <f t="shared" si="96"/>
        <v>n/a</v>
      </c>
      <c r="J778" s="5"/>
      <c r="K778" s="5"/>
      <c r="L778" s="5"/>
      <c r="M778" s="5"/>
      <c r="N778" s="5"/>
      <c r="O778" s="8" t="str">
        <f t="shared" si="94"/>
        <v>n/a</v>
      </c>
      <c r="Q778" s="5"/>
      <c r="R778" s="5"/>
      <c r="S778" s="5"/>
      <c r="U778" s="6"/>
      <c r="V778" s="9" t="str">
        <f t="shared" si="97"/>
        <v/>
      </c>
      <c r="W778" s="9" t="str">
        <f t="shared" si="98"/>
        <v/>
      </c>
      <c r="X778" s="10">
        <f>SUM(V$13:V778)/COUNTA(B$13:B778)</f>
        <v>0</v>
      </c>
      <c r="Z778" s="5"/>
      <c r="AA778" s="5"/>
      <c r="AC778" s="7"/>
      <c r="AE778" s="54" t="e">
        <f t="shared" si="99"/>
        <v>#N/A</v>
      </c>
      <c r="AF778" s="4" t="e">
        <f t="shared" si="95"/>
        <v>#N/A</v>
      </c>
    </row>
    <row r="779" spans="2:32">
      <c r="B779" s="5">
        <f t="shared" si="100"/>
        <v>767</v>
      </c>
      <c r="C779" s="5"/>
      <c r="E779" s="13"/>
      <c r="F779" s="5"/>
      <c r="G779" s="11" t="str">
        <f>IF(ISERROR(AVERAGE(F$13:F779)),"n/a",AVERAGE(F$13:F779))</f>
        <v>n/a</v>
      </c>
      <c r="H779" s="11" t="str">
        <f t="shared" si="96"/>
        <v>n/a</v>
      </c>
      <c r="J779" s="5"/>
      <c r="K779" s="5"/>
      <c r="L779" s="5"/>
      <c r="M779" s="5"/>
      <c r="N779" s="5"/>
      <c r="O779" s="8" t="str">
        <f t="shared" si="94"/>
        <v>n/a</v>
      </c>
      <c r="Q779" s="5"/>
      <c r="R779" s="5"/>
      <c r="S779" s="5"/>
      <c r="U779" s="6"/>
      <c r="V779" s="9" t="str">
        <f t="shared" si="97"/>
        <v/>
      </c>
      <c r="W779" s="9" t="str">
        <f t="shared" si="98"/>
        <v/>
      </c>
      <c r="X779" s="10">
        <f>SUM(V$13:V779)/COUNTA(B$13:B779)</f>
        <v>0</v>
      </c>
      <c r="Z779" s="5"/>
      <c r="AA779" s="5"/>
      <c r="AC779" s="7"/>
      <c r="AE779" s="54" t="e">
        <f t="shared" si="99"/>
        <v>#N/A</v>
      </c>
      <c r="AF779" s="4" t="e">
        <f t="shared" si="95"/>
        <v>#N/A</v>
      </c>
    </row>
    <row r="780" spans="2:32">
      <c r="B780" s="5">
        <f t="shared" si="100"/>
        <v>768</v>
      </c>
      <c r="C780" s="5"/>
      <c r="E780" s="13"/>
      <c r="F780" s="5"/>
      <c r="G780" s="11" t="str">
        <f>IF(ISERROR(AVERAGE(F$13:F780)),"n/a",AVERAGE(F$13:F780))</f>
        <v>n/a</v>
      </c>
      <c r="H780" s="11" t="str">
        <f t="shared" si="96"/>
        <v>n/a</v>
      </c>
      <c r="J780" s="5"/>
      <c r="K780" s="5"/>
      <c r="L780" s="5"/>
      <c r="M780" s="5"/>
      <c r="N780" s="5"/>
      <c r="O780" s="8" t="str">
        <f t="shared" si="94"/>
        <v>n/a</v>
      </c>
      <c r="Q780" s="5"/>
      <c r="R780" s="5"/>
      <c r="S780" s="5"/>
      <c r="U780" s="6"/>
      <c r="V780" s="9" t="str">
        <f t="shared" si="97"/>
        <v/>
      </c>
      <c r="W780" s="9" t="str">
        <f t="shared" si="98"/>
        <v/>
      </c>
      <c r="X780" s="10">
        <f>SUM(V$13:V780)/COUNTA(B$13:B780)</f>
        <v>0</v>
      </c>
      <c r="Z780" s="5"/>
      <c r="AA780" s="5"/>
      <c r="AC780" s="7"/>
      <c r="AE780" s="54" t="e">
        <f t="shared" si="99"/>
        <v>#N/A</v>
      </c>
      <c r="AF780" s="4" t="e">
        <f t="shared" si="95"/>
        <v>#N/A</v>
      </c>
    </row>
    <row r="781" spans="2:32">
      <c r="B781" s="5">
        <f t="shared" si="100"/>
        <v>769</v>
      </c>
      <c r="C781" s="5"/>
      <c r="E781" s="13"/>
      <c r="F781" s="5"/>
      <c r="G781" s="11" t="str">
        <f>IF(ISERROR(AVERAGE(F$13:F781)),"n/a",AVERAGE(F$13:F781))</f>
        <v>n/a</v>
      </c>
      <c r="H781" s="11" t="str">
        <f t="shared" si="96"/>
        <v>n/a</v>
      </c>
      <c r="J781" s="5"/>
      <c r="K781" s="5"/>
      <c r="L781" s="5"/>
      <c r="M781" s="5"/>
      <c r="N781" s="5"/>
      <c r="O781" s="8" t="str">
        <f t="shared" ref="O781:O844" si="101">IF(J781=1,"A",IF(K781=1,"B",IF(L781=1,"C",IF(M781=1,"D",IF(N781=1,"E","n/a")))))</f>
        <v>n/a</v>
      </c>
      <c r="Q781" s="5"/>
      <c r="R781" s="5"/>
      <c r="S781" s="5"/>
      <c r="U781" s="6"/>
      <c r="V781" s="9" t="str">
        <f t="shared" si="97"/>
        <v/>
      </c>
      <c r="W781" s="9" t="str">
        <f t="shared" si="98"/>
        <v/>
      </c>
      <c r="X781" s="10">
        <f>SUM(V$13:V781)/COUNTA(B$13:B781)</f>
        <v>0</v>
      </c>
      <c r="Z781" s="5"/>
      <c r="AA781" s="5"/>
      <c r="AC781" s="7"/>
      <c r="AE781" s="54" t="e">
        <f t="shared" si="99"/>
        <v>#N/A</v>
      </c>
      <c r="AF781" s="4" t="e">
        <f t="shared" ref="AF781:AF844" si="102">HLOOKUP(C781,$K$6:$O$7,2,FALSE)</f>
        <v>#N/A</v>
      </c>
    </row>
    <row r="782" spans="2:32">
      <c r="B782" s="5">
        <f t="shared" si="100"/>
        <v>770</v>
      </c>
      <c r="C782" s="5"/>
      <c r="E782" s="13"/>
      <c r="F782" s="5"/>
      <c r="G782" s="11" t="str">
        <f>IF(ISERROR(AVERAGE(F$13:F782)),"n/a",AVERAGE(F$13:F782))</f>
        <v>n/a</v>
      </c>
      <c r="H782" s="11" t="str">
        <f t="shared" ref="H782:H845" si="103">G782</f>
        <v>n/a</v>
      </c>
      <c r="J782" s="5"/>
      <c r="K782" s="5"/>
      <c r="L782" s="5"/>
      <c r="M782" s="5"/>
      <c r="N782" s="5"/>
      <c r="O782" s="8" t="str">
        <f t="shared" si="101"/>
        <v>n/a</v>
      </c>
      <c r="Q782" s="5"/>
      <c r="R782" s="5"/>
      <c r="S782" s="5"/>
      <c r="U782" s="6"/>
      <c r="V782" s="9" t="str">
        <f t="shared" ref="V782:V845" si="104">IF(O782="n/a","",IF(O782=U782,1,""))</f>
        <v/>
      </c>
      <c r="W782" s="9" t="str">
        <f t="shared" ref="W782:W845" si="105">IF(O782="n/a","",IF(O782&lt;&gt;U782,1,""))</f>
        <v/>
      </c>
      <c r="X782" s="10">
        <f>SUM(V$13:V782)/COUNTA(B$13:B782)</f>
        <v>0</v>
      </c>
      <c r="Z782" s="5"/>
      <c r="AA782" s="5"/>
      <c r="AC782" s="7"/>
      <c r="AE782" s="54" t="e">
        <f t="shared" ref="AE782:AE845" si="106">+IF($F$4=0,0,IF(W782=1,1,IF(OR(R782*$F$8=1,S782*$F$9=1,F782&gt;=AF782),2,0)))</f>
        <v>#N/A</v>
      </c>
      <c r="AF782" s="4" t="e">
        <f t="shared" si="102"/>
        <v>#N/A</v>
      </c>
    </row>
    <row r="783" spans="2:32">
      <c r="B783" s="5">
        <f t="shared" si="100"/>
        <v>771</v>
      </c>
      <c r="C783" s="5"/>
      <c r="E783" s="13"/>
      <c r="F783" s="5"/>
      <c r="G783" s="11" t="str">
        <f>IF(ISERROR(AVERAGE(F$13:F783)),"n/a",AVERAGE(F$13:F783))</f>
        <v>n/a</v>
      </c>
      <c r="H783" s="11" t="str">
        <f t="shared" si="103"/>
        <v>n/a</v>
      </c>
      <c r="J783" s="5"/>
      <c r="K783" s="5"/>
      <c r="L783" s="5"/>
      <c r="M783" s="5"/>
      <c r="N783" s="5"/>
      <c r="O783" s="8" t="str">
        <f t="shared" si="101"/>
        <v>n/a</v>
      </c>
      <c r="Q783" s="5"/>
      <c r="R783" s="5"/>
      <c r="S783" s="5"/>
      <c r="U783" s="6"/>
      <c r="V783" s="9" t="str">
        <f t="shared" si="104"/>
        <v/>
      </c>
      <c r="W783" s="9" t="str">
        <f t="shared" si="105"/>
        <v/>
      </c>
      <c r="X783" s="10">
        <f>SUM(V$13:V783)/COUNTA(B$13:B783)</f>
        <v>0</v>
      </c>
      <c r="Z783" s="5"/>
      <c r="AA783" s="5"/>
      <c r="AC783" s="7"/>
      <c r="AE783" s="54" t="e">
        <f t="shared" si="106"/>
        <v>#N/A</v>
      </c>
      <c r="AF783" s="4" t="e">
        <f t="shared" si="102"/>
        <v>#N/A</v>
      </c>
    </row>
    <row r="784" spans="2:32">
      <c r="B784" s="5">
        <f t="shared" si="100"/>
        <v>772</v>
      </c>
      <c r="C784" s="5"/>
      <c r="E784" s="13"/>
      <c r="F784" s="5"/>
      <c r="G784" s="11" t="str">
        <f>IF(ISERROR(AVERAGE(F$13:F784)),"n/a",AVERAGE(F$13:F784))</f>
        <v>n/a</v>
      </c>
      <c r="H784" s="11" t="str">
        <f t="shared" si="103"/>
        <v>n/a</v>
      </c>
      <c r="J784" s="5"/>
      <c r="K784" s="5"/>
      <c r="L784" s="5"/>
      <c r="M784" s="5"/>
      <c r="N784" s="5"/>
      <c r="O784" s="8" t="str">
        <f t="shared" si="101"/>
        <v>n/a</v>
      </c>
      <c r="Q784" s="5"/>
      <c r="R784" s="5"/>
      <c r="S784" s="5"/>
      <c r="U784" s="6"/>
      <c r="V784" s="9" t="str">
        <f t="shared" si="104"/>
        <v/>
      </c>
      <c r="W784" s="9" t="str">
        <f t="shared" si="105"/>
        <v/>
      </c>
      <c r="X784" s="10">
        <f>SUM(V$13:V784)/COUNTA(B$13:B784)</f>
        <v>0</v>
      </c>
      <c r="Z784" s="5"/>
      <c r="AA784" s="5"/>
      <c r="AC784" s="7"/>
      <c r="AE784" s="54" t="e">
        <f t="shared" si="106"/>
        <v>#N/A</v>
      </c>
      <c r="AF784" s="4" t="e">
        <f t="shared" si="102"/>
        <v>#N/A</v>
      </c>
    </row>
    <row r="785" spans="2:32">
      <c r="B785" s="5">
        <f t="shared" si="100"/>
        <v>773</v>
      </c>
      <c r="C785" s="5"/>
      <c r="E785" s="13"/>
      <c r="F785" s="5"/>
      <c r="G785" s="11" t="str">
        <f>IF(ISERROR(AVERAGE(F$13:F785)),"n/a",AVERAGE(F$13:F785))</f>
        <v>n/a</v>
      </c>
      <c r="H785" s="11" t="str">
        <f t="shared" si="103"/>
        <v>n/a</v>
      </c>
      <c r="J785" s="5"/>
      <c r="K785" s="5"/>
      <c r="L785" s="5"/>
      <c r="M785" s="5"/>
      <c r="N785" s="5"/>
      <c r="O785" s="8" t="str">
        <f t="shared" si="101"/>
        <v>n/a</v>
      </c>
      <c r="Q785" s="5"/>
      <c r="R785" s="5"/>
      <c r="S785" s="5"/>
      <c r="U785" s="6"/>
      <c r="V785" s="9" t="str">
        <f t="shared" si="104"/>
        <v/>
      </c>
      <c r="W785" s="9" t="str">
        <f t="shared" si="105"/>
        <v/>
      </c>
      <c r="X785" s="10">
        <f>SUM(V$13:V785)/COUNTA(B$13:B785)</f>
        <v>0</v>
      </c>
      <c r="Z785" s="5"/>
      <c r="AA785" s="5"/>
      <c r="AC785" s="7"/>
      <c r="AE785" s="54" t="e">
        <f t="shared" si="106"/>
        <v>#N/A</v>
      </c>
      <c r="AF785" s="4" t="e">
        <f t="shared" si="102"/>
        <v>#N/A</v>
      </c>
    </row>
    <row r="786" spans="2:32">
      <c r="B786" s="5">
        <f t="shared" si="100"/>
        <v>774</v>
      </c>
      <c r="C786" s="5"/>
      <c r="E786" s="13"/>
      <c r="F786" s="5"/>
      <c r="G786" s="11" t="str">
        <f>IF(ISERROR(AVERAGE(F$13:F786)),"n/a",AVERAGE(F$13:F786))</f>
        <v>n/a</v>
      </c>
      <c r="H786" s="11" t="str">
        <f t="shared" si="103"/>
        <v>n/a</v>
      </c>
      <c r="J786" s="5"/>
      <c r="K786" s="5"/>
      <c r="L786" s="5"/>
      <c r="M786" s="5"/>
      <c r="N786" s="5"/>
      <c r="O786" s="8" t="str">
        <f t="shared" si="101"/>
        <v>n/a</v>
      </c>
      <c r="Q786" s="5"/>
      <c r="R786" s="5"/>
      <c r="S786" s="5"/>
      <c r="U786" s="6"/>
      <c r="V786" s="9" t="str">
        <f t="shared" si="104"/>
        <v/>
      </c>
      <c r="W786" s="9" t="str">
        <f t="shared" si="105"/>
        <v/>
      </c>
      <c r="X786" s="10">
        <f>SUM(V$13:V786)/COUNTA(B$13:B786)</f>
        <v>0</v>
      </c>
      <c r="Z786" s="5"/>
      <c r="AA786" s="5"/>
      <c r="AC786" s="7"/>
      <c r="AE786" s="54" t="e">
        <f t="shared" si="106"/>
        <v>#N/A</v>
      </c>
      <c r="AF786" s="4" t="e">
        <f t="shared" si="102"/>
        <v>#N/A</v>
      </c>
    </row>
    <row r="787" spans="2:32">
      <c r="B787" s="5">
        <f t="shared" ref="B787:B850" si="107">+B786+1</f>
        <v>775</v>
      </c>
      <c r="C787" s="5"/>
      <c r="E787" s="13"/>
      <c r="F787" s="5"/>
      <c r="G787" s="11" t="str">
        <f>IF(ISERROR(AVERAGE(F$13:F787)),"n/a",AVERAGE(F$13:F787))</f>
        <v>n/a</v>
      </c>
      <c r="H787" s="11" t="str">
        <f t="shared" si="103"/>
        <v>n/a</v>
      </c>
      <c r="J787" s="5"/>
      <c r="K787" s="5"/>
      <c r="L787" s="5"/>
      <c r="M787" s="5"/>
      <c r="N787" s="5"/>
      <c r="O787" s="8" t="str">
        <f t="shared" si="101"/>
        <v>n/a</v>
      </c>
      <c r="Q787" s="5"/>
      <c r="R787" s="5"/>
      <c r="S787" s="5"/>
      <c r="U787" s="6"/>
      <c r="V787" s="9" t="str">
        <f t="shared" si="104"/>
        <v/>
      </c>
      <c r="W787" s="9" t="str">
        <f t="shared" si="105"/>
        <v/>
      </c>
      <c r="X787" s="10">
        <f>SUM(V$13:V787)/COUNTA(B$13:B787)</f>
        <v>0</v>
      </c>
      <c r="Z787" s="5"/>
      <c r="AA787" s="5"/>
      <c r="AC787" s="7"/>
      <c r="AE787" s="54" t="e">
        <f t="shared" si="106"/>
        <v>#N/A</v>
      </c>
      <c r="AF787" s="4" t="e">
        <f t="shared" si="102"/>
        <v>#N/A</v>
      </c>
    </row>
    <row r="788" spans="2:32">
      <c r="B788" s="5">
        <f t="shared" si="107"/>
        <v>776</v>
      </c>
      <c r="C788" s="5"/>
      <c r="E788" s="13"/>
      <c r="F788" s="5"/>
      <c r="G788" s="11" t="str">
        <f>IF(ISERROR(AVERAGE(F$13:F788)),"n/a",AVERAGE(F$13:F788))</f>
        <v>n/a</v>
      </c>
      <c r="H788" s="11" t="str">
        <f t="shared" si="103"/>
        <v>n/a</v>
      </c>
      <c r="J788" s="5"/>
      <c r="K788" s="5"/>
      <c r="L788" s="5"/>
      <c r="M788" s="5"/>
      <c r="N788" s="5"/>
      <c r="O788" s="8" t="str">
        <f t="shared" si="101"/>
        <v>n/a</v>
      </c>
      <c r="Q788" s="5"/>
      <c r="R788" s="5"/>
      <c r="S788" s="5"/>
      <c r="U788" s="6"/>
      <c r="V788" s="9" t="str">
        <f t="shared" si="104"/>
        <v/>
      </c>
      <c r="W788" s="9" t="str">
        <f t="shared" si="105"/>
        <v/>
      </c>
      <c r="X788" s="10">
        <f>SUM(V$13:V788)/COUNTA(B$13:B788)</f>
        <v>0</v>
      </c>
      <c r="Z788" s="5"/>
      <c r="AA788" s="5"/>
      <c r="AC788" s="7"/>
      <c r="AE788" s="54" t="e">
        <f t="shared" si="106"/>
        <v>#N/A</v>
      </c>
      <c r="AF788" s="4" t="e">
        <f t="shared" si="102"/>
        <v>#N/A</v>
      </c>
    </row>
    <row r="789" spans="2:32">
      <c r="B789" s="5">
        <f t="shared" si="107"/>
        <v>777</v>
      </c>
      <c r="C789" s="5"/>
      <c r="E789" s="13"/>
      <c r="F789" s="5"/>
      <c r="G789" s="11" t="str">
        <f>IF(ISERROR(AVERAGE(F$13:F789)),"n/a",AVERAGE(F$13:F789))</f>
        <v>n/a</v>
      </c>
      <c r="H789" s="11" t="str">
        <f t="shared" si="103"/>
        <v>n/a</v>
      </c>
      <c r="J789" s="5"/>
      <c r="K789" s="5"/>
      <c r="L789" s="5"/>
      <c r="M789" s="5"/>
      <c r="N789" s="5"/>
      <c r="O789" s="8" t="str">
        <f t="shared" si="101"/>
        <v>n/a</v>
      </c>
      <c r="Q789" s="5"/>
      <c r="R789" s="5"/>
      <c r="S789" s="5"/>
      <c r="U789" s="6"/>
      <c r="V789" s="9" t="str">
        <f t="shared" si="104"/>
        <v/>
      </c>
      <c r="W789" s="9" t="str">
        <f t="shared" si="105"/>
        <v/>
      </c>
      <c r="X789" s="10">
        <f>SUM(V$13:V789)/COUNTA(B$13:B789)</f>
        <v>0</v>
      </c>
      <c r="Z789" s="5"/>
      <c r="AA789" s="5"/>
      <c r="AC789" s="7"/>
      <c r="AE789" s="54" t="e">
        <f t="shared" si="106"/>
        <v>#N/A</v>
      </c>
      <c r="AF789" s="4" t="e">
        <f t="shared" si="102"/>
        <v>#N/A</v>
      </c>
    </row>
    <row r="790" spans="2:32">
      <c r="B790" s="5">
        <f t="shared" si="107"/>
        <v>778</v>
      </c>
      <c r="C790" s="5"/>
      <c r="E790" s="13"/>
      <c r="F790" s="5"/>
      <c r="G790" s="11" t="str">
        <f>IF(ISERROR(AVERAGE(F$13:F790)),"n/a",AVERAGE(F$13:F790))</f>
        <v>n/a</v>
      </c>
      <c r="H790" s="11" t="str">
        <f t="shared" si="103"/>
        <v>n/a</v>
      </c>
      <c r="J790" s="5"/>
      <c r="K790" s="5"/>
      <c r="L790" s="5"/>
      <c r="M790" s="5"/>
      <c r="N790" s="5"/>
      <c r="O790" s="8" t="str">
        <f t="shared" si="101"/>
        <v>n/a</v>
      </c>
      <c r="Q790" s="5"/>
      <c r="R790" s="5"/>
      <c r="S790" s="5"/>
      <c r="U790" s="6"/>
      <c r="V790" s="9" t="str">
        <f t="shared" si="104"/>
        <v/>
      </c>
      <c r="W790" s="9" t="str">
        <f t="shared" si="105"/>
        <v/>
      </c>
      <c r="X790" s="10">
        <f>SUM(V$13:V790)/COUNTA(B$13:B790)</f>
        <v>0</v>
      </c>
      <c r="Z790" s="5"/>
      <c r="AA790" s="5"/>
      <c r="AC790" s="7"/>
      <c r="AE790" s="54" t="e">
        <f t="shared" si="106"/>
        <v>#N/A</v>
      </c>
      <c r="AF790" s="4" t="e">
        <f t="shared" si="102"/>
        <v>#N/A</v>
      </c>
    </row>
    <row r="791" spans="2:32">
      <c r="B791" s="5">
        <f t="shared" si="107"/>
        <v>779</v>
      </c>
      <c r="C791" s="5"/>
      <c r="E791" s="13"/>
      <c r="F791" s="5"/>
      <c r="G791" s="11" t="str">
        <f>IF(ISERROR(AVERAGE(F$13:F791)),"n/a",AVERAGE(F$13:F791))</f>
        <v>n/a</v>
      </c>
      <c r="H791" s="11" t="str">
        <f t="shared" si="103"/>
        <v>n/a</v>
      </c>
      <c r="J791" s="5"/>
      <c r="K791" s="5"/>
      <c r="L791" s="5"/>
      <c r="M791" s="5"/>
      <c r="N791" s="5"/>
      <c r="O791" s="8" t="str">
        <f t="shared" si="101"/>
        <v>n/a</v>
      </c>
      <c r="Q791" s="5"/>
      <c r="R791" s="5"/>
      <c r="S791" s="5"/>
      <c r="U791" s="6"/>
      <c r="V791" s="9" t="str">
        <f t="shared" si="104"/>
        <v/>
      </c>
      <c r="W791" s="9" t="str">
        <f t="shared" si="105"/>
        <v/>
      </c>
      <c r="X791" s="10">
        <f>SUM(V$13:V791)/COUNTA(B$13:B791)</f>
        <v>0</v>
      </c>
      <c r="Z791" s="5"/>
      <c r="AA791" s="5"/>
      <c r="AC791" s="7"/>
      <c r="AE791" s="54" t="e">
        <f t="shared" si="106"/>
        <v>#N/A</v>
      </c>
      <c r="AF791" s="4" t="e">
        <f t="shared" si="102"/>
        <v>#N/A</v>
      </c>
    </row>
    <row r="792" spans="2:32">
      <c r="B792" s="5">
        <f t="shared" si="107"/>
        <v>780</v>
      </c>
      <c r="C792" s="5"/>
      <c r="E792" s="13"/>
      <c r="F792" s="5"/>
      <c r="G792" s="11" t="str">
        <f>IF(ISERROR(AVERAGE(F$13:F792)),"n/a",AVERAGE(F$13:F792))</f>
        <v>n/a</v>
      </c>
      <c r="H792" s="11" t="str">
        <f t="shared" si="103"/>
        <v>n/a</v>
      </c>
      <c r="J792" s="5"/>
      <c r="K792" s="5"/>
      <c r="L792" s="5"/>
      <c r="M792" s="5"/>
      <c r="N792" s="5"/>
      <c r="O792" s="8" t="str">
        <f t="shared" si="101"/>
        <v>n/a</v>
      </c>
      <c r="Q792" s="5"/>
      <c r="R792" s="5"/>
      <c r="S792" s="5"/>
      <c r="U792" s="6"/>
      <c r="V792" s="9" t="str">
        <f t="shared" si="104"/>
        <v/>
      </c>
      <c r="W792" s="9" t="str">
        <f t="shared" si="105"/>
        <v/>
      </c>
      <c r="X792" s="10">
        <f>SUM(V$13:V792)/COUNTA(B$13:B792)</f>
        <v>0</v>
      </c>
      <c r="Z792" s="5"/>
      <c r="AA792" s="5"/>
      <c r="AC792" s="7"/>
      <c r="AE792" s="54" t="e">
        <f t="shared" si="106"/>
        <v>#N/A</v>
      </c>
      <c r="AF792" s="4" t="e">
        <f t="shared" si="102"/>
        <v>#N/A</v>
      </c>
    </row>
    <row r="793" spans="2:32">
      <c r="B793" s="5">
        <f t="shared" si="107"/>
        <v>781</v>
      </c>
      <c r="C793" s="5"/>
      <c r="E793" s="13"/>
      <c r="F793" s="5"/>
      <c r="G793" s="11" t="str">
        <f>IF(ISERROR(AVERAGE(F$13:F793)),"n/a",AVERAGE(F$13:F793))</f>
        <v>n/a</v>
      </c>
      <c r="H793" s="11" t="str">
        <f t="shared" si="103"/>
        <v>n/a</v>
      </c>
      <c r="J793" s="5"/>
      <c r="K793" s="5"/>
      <c r="L793" s="5"/>
      <c r="M793" s="5"/>
      <c r="N793" s="5"/>
      <c r="O793" s="8" t="str">
        <f t="shared" si="101"/>
        <v>n/a</v>
      </c>
      <c r="Q793" s="5"/>
      <c r="R793" s="5"/>
      <c r="S793" s="5"/>
      <c r="U793" s="6"/>
      <c r="V793" s="9" t="str">
        <f t="shared" si="104"/>
        <v/>
      </c>
      <c r="W793" s="9" t="str">
        <f t="shared" si="105"/>
        <v/>
      </c>
      <c r="X793" s="10">
        <f>SUM(V$13:V793)/COUNTA(B$13:B793)</f>
        <v>0</v>
      </c>
      <c r="Z793" s="5"/>
      <c r="AA793" s="5"/>
      <c r="AC793" s="7"/>
      <c r="AE793" s="54" t="e">
        <f t="shared" si="106"/>
        <v>#N/A</v>
      </c>
      <c r="AF793" s="4" t="e">
        <f t="shared" si="102"/>
        <v>#N/A</v>
      </c>
    </row>
    <row r="794" spans="2:32">
      <c r="B794" s="5">
        <f t="shared" si="107"/>
        <v>782</v>
      </c>
      <c r="C794" s="5"/>
      <c r="E794" s="13"/>
      <c r="F794" s="5"/>
      <c r="G794" s="11" t="str">
        <f>IF(ISERROR(AVERAGE(F$13:F794)),"n/a",AVERAGE(F$13:F794))</f>
        <v>n/a</v>
      </c>
      <c r="H794" s="11" t="str">
        <f t="shared" si="103"/>
        <v>n/a</v>
      </c>
      <c r="J794" s="5"/>
      <c r="K794" s="5"/>
      <c r="L794" s="5"/>
      <c r="M794" s="5"/>
      <c r="N794" s="5"/>
      <c r="O794" s="8" t="str">
        <f t="shared" si="101"/>
        <v>n/a</v>
      </c>
      <c r="Q794" s="5"/>
      <c r="R794" s="5"/>
      <c r="S794" s="5"/>
      <c r="U794" s="6"/>
      <c r="V794" s="9" t="str">
        <f t="shared" si="104"/>
        <v/>
      </c>
      <c r="W794" s="9" t="str">
        <f t="shared" si="105"/>
        <v/>
      </c>
      <c r="X794" s="10">
        <f>SUM(V$13:V794)/COUNTA(B$13:B794)</f>
        <v>0</v>
      </c>
      <c r="Z794" s="5"/>
      <c r="AA794" s="5"/>
      <c r="AC794" s="7"/>
      <c r="AE794" s="54" t="e">
        <f t="shared" si="106"/>
        <v>#N/A</v>
      </c>
      <c r="AF794" s="4" t="e">
        <f t="shared" si="102"/>
        <v>#N/A</v>
      </c>
    </row>
    <row r="795" spans="2:32">
      <c r="B795" s="5">
        <f t="shared" si="107"/>
        <v>783</v>
      </c>
      <c r="C795" s="5"/>
      <c r="E795" s="13"/>
      <c r="F795" s="5"/>
      <c r="G795" s="11" t="str">
        <f>IF(ISERROR(AVERAGE(F$13:F795)),"n/a",AVERAGE(F$13:F795))</f>
        <v>n/a</v>
      </c>
      <c r="H795" s="11" t="str">
        <f t="shared" si="103"/>
        <v>n/a</v>
      </c>
      <c r="J795" s="5"/>
      <c r="K795" s="5"/>
      <c r="L795" s="5"/>
      <c r="M795" s="5"/>
      <c r="N795" s="5"/>
      <c r="O795" s="8" t="str">
        <f t="shared" si="101"/>
        <v>n/a</v>
      </c>
      <c r="Q795" s="5"/>
      <c r="R795" s="5"/>
      <c r="S795" s="5"/>
      <c r="U795" s="6"/>
      <c r="V795" s="9" t="str">
        <f t="shared" si="104"/>
        <v/>
      </c>
      <c r="W795" s="9" t="str">
        <f t="shared" si="105"/>
        <v/>
      </c>
      <c r="X795" s="10">
        <f>SUM(V$13:V795)/COUNTA(B$13:B795)</f>
        <v>0</v>
      </c>
      <c r="Z795" s="5"/>
      <c r="AA795" s="5"/>
      <c r="AC795" s="7"/>
      <c r="AE795" s="54" t="e">
        <f t="shared" si="106"/>
        <v>#N/A</v>
      </c>
      <c r="AF795" s="4" t="e">
        <f t="shared" si="102"/>
        <v>#N/A</v>
      </c>
    </row>
    <row r="796" spans="2:32">
      <c r="B796" s="5">
        <f t="shared" si="107"/>
        <v>784</v>
      </c>
      <c r="C796" s="5"/>
      <c r="E796" s="13"/>
      <c r="F796" s="5"/>
      <c r="G796" s="11" t="str">
        <f>IF(ISERROR(AVERAGE(F$13:F796)),"n/a",AVERAGE(F$13:F796))</f>
        <v>n/a</v>
      </c>
      <c r="H796" s="11" t="str">
        <f t="shared" si="103"/>
        <v>n/a</v>
      </c>
      <c r="J796" s="5"/>
      <c r="K796" s="5"/>
      <c r="L796" s="5"/>
      <c r="M796" s="5"/>
      <c r="N796" s="5"/>
      <c r="O796" s="8" t="str">
        <f t="shared" si="101"/>
        <v>n/a</v>
      </c>
      <c r="Q796" s="5"/>
      <c r="R796" s="5"/>
      <c r="S796" s="5"/>
      <c r="U796" s="6"/>
      <c r="V796" s="9" t="str">
        <f t="shared" si="104"/>
        <v/>
      </c>
      <c r="W796" s="9" t="str">
        <f t="shared" si="105"/>
        <v/>
      </c>
      <c r="X796" s="10">
        <f>SUM(V$13:V796)/COUNTA(B$13:B796)</f>
        <v>0</v>
      </c>
      <c r="Z796" s="5"/>
      <c r="AA796" s="5"/>
      <c r="AC796" s="7"/>
      <c r="AE796" s="54" t="e">
        <f t="shared" si="106"/>
        <v>#N/A</v>
      </c>
      <c r="AF796" s="4" t="e">
        <f t="shared" si="102"/>
        <v>#N/A</v>
      </c>
    </row>
    <row r="797" spans="2:32">
      <c r="B797" s="5">
        <f t="shared" si="107"/>
        <v>785</v>
      </c>
      <c r="C797" s="5"/>
      <c r="E797" s="13"/>
      <c r="F797" s="5"/>
      <c r="G797" s="11" t="str">
        <f>IF(ISERROR(AVERAGE(F$13:F797)),"n/a",AVERAGE(F$13:F797))</f>
        <v>n/a</v>
      </c>
      <c r="H797" s="11" t="str">
        <f t="shared" si="103"/>
        <v>n/a</v>
      </c>
      <c r="J797" s="5"/>
      <c r="K797" s="5"/>
      <c r="L797" s="5"/>
      <c r="M797" s="5"/>
      <c r="N797" s="5"/>
      <c r="O797" s="8" t="str">
        <f t="shared" si="101"/>
        <v>n/a</v>
      </c>
      <c r="Q797" s="5"/>
      <c r="R797" s="5"/>
      <c r="S797" s="5"/>
      <c r="U797" s="6"/>
      <c r="V797" s="9" t="str">
        <f t="shared" si="104"/>
        <v/>
      </c>
      <c r="W797" s="9" t="str">
        <f t="shared" si="105"/>
        <v/>
      </c>
      <c r="X797" s="10">
        <f>SUM(V$13:V797)/COUNTA(B$13:B797)</f>
        <v>0</v>
      </c>
      <c r="Z797" s="5"/>
      <c r="AA797" s="5"/>
      <c r="AC797" s="7"/>
      <c r="AE797" s="54" t="e">
        <f t="shared" si="106"/>
        <v>#N/A</v>
      </c>
      <c r="AF797" s="4" t="e">
        <f t="shared" si="102"/>
        <v>#N/A</v>
      </c>
    </row>
    <row r="798" spans="2:32">
      <c r="B798" s="5">
        <f t="shared" si="107"/>
        <v>786</v>
      </c>
      <c r="C798" s="5"/>
      <c r="E798" s="13"/>
      <c r="F798" s="5"/>
      <c r="G798" s="11" t="str">
        <f>IF(ISERROR(AVERAGE(F$13:F798)),"n/a",AVERAGE(F$13:F798))</f>
        <v>n/a</v>
      </c>
      <c r="H798" s="11" t="str">
        <f t="shared" si="103"/>
        <v>n/a</v>
      </c>
      <c r="J798" s="5"/>
      <c r="K798" s="5"/>
      <c r="L798" s="5"/>
      <c r="M798" s="5"/>
      <c r="N798" s="5"/>
      <c r="O798" s="8" t="str">
        <f t="shared" si="101"/>
        <v>n/a</v>
      </c>
      <c r="Q798" s="5"/>
      <c r="R798" s="5"/>
      <c r="S798" s="5"/>
      <c r="U798" s="6"/>
      <c r="V798" s="9" t="str">
        <f t="shared" si="104"/>
        <v/>
      </c>
      <c r="W798" s="9" t="str">
        <f t="shared" si="105"/>
        <v/>
      </c>
      <c r="X798" s="10">
        <f>SUM(V$13:V798)/COUNTA(B$13:B798)</f>
        <v>0</v>
      </c>
      <c r="Z798" s="5"/>
      <c r="AA798" s="5"/>
      <c r="AC798" s="7"/>
      <c r="AE798" s="54" t="e">
        <f t="shared" si="106"/>
        <v>#N/A</v>
      </c>
      <c r="AF798" s="4" t="e">
        <f t="shared" si="102"/>
        <v>#N/A</v>
      </c>
    </row>
    <row r="799" spans="2:32">
      <c r="B799" s="5">
        <f t="shared" si="107"/>
        <v>787</v>
      </c>
      <c r="C799" s="5"/>
      <c r="E799" s="13"/>
      <c r="F799" s="5"/>
      <c r="G799" s="11" t="str">
        <f>IF(ISERROR(AVERAGE(F$13:F799)),"n/a",AVERAGE(F$13:F799))</f>
        <v>n/a</v>
      </c>
      <c r="H799" s="11" t="str">
        <f t="shared" si="103"/>
        <v>n/a</v>
      </c>
      <c r="J799" s="5"/>
      <c r="K799" s="5"/>
      <c r="L799" s="5"/>
      <c r="M799" s="5"/>
      <c r="N799" s="5"/>
      <c r="O799" s="8" t="str">
        <f t="shared" si="101"/>
        <v>n/a</v>
      </c>
      <c r="Q799" s="5"/>
      <c r="R799" s="5"/>
      <c r="S799" s="5"/>
      <c r="U799" s="6"/>
      <c r="V799" s="9" t="str">
        <f t="shared" si="104"/>
        <v/>
      </c>
      <c r="W799" s="9" t="str">
        <f t="shared" si="105"/>
        <v/>
      </c>
      <c r="X799" s="10">
        <f>SUM(V$13:V799)/COUNTA(B$13:B799)</f>
        <v>0</v>
      </c>
      <c r="Z799" s="5"/>
      <c r="AA799" s="5"/>
      <c r="AC799" s="7"/>
      <c r="AE799" s="54" t="e">
        <f t="shared" si="106"/>
        <v>#N/A</v>
      </c>
      <c r="AF799" s="4" t="e">
        <f t="shared" si="102"/>
        <v>#N/A</v>
      </c>
    </row>
    <row r="800" spans="2:32">
      <c r="B800" s="5">
        <f t="shared" si="107"/>
        <v>788</v>
      </c>
      <c r="C800" s="5"/>
      <c r="E800" s="13"/>
      <c r="F800" s="5"/>
      <c r="G800" s="11" t="str">
        <f>IF(ISERROR(AVERAGE(F$13:F800)),"n/a",AVERAGE(F$13:F800))</f>
        <v>n/a</v>
      </c>
      <c r="H800" s="11" t="str">
        <f t="shared" si="103"/>
        <v>n/a</v>
      </c>
      <c r="J800" s="5"/>
      <c r="K800" s="5"/>
      <c r="L800" s="5"/>
      <c r="M800" s="5"/>
      <c r="N800" s="5"/>
      <c r="O800" s="8" t="str">
        <f t="shared" si="101"/>
        <v>n/a</v>
      </c>
      <c r="Q800" s="5"/>
      <c r="R800" s="5"/>
      <c r="S800" s="5"/>
      <c r="U800" s="6"/>
      <c r="V800" s="9" t="str">
        <f t="shared" si="104"/>
        <v/>
      </c>
      <c r="W800" s="9" t="str">
        <f t="shared" si="105"/>
        <v/>
      </c>
      <c r="X800" s="10">
        <f>SUM(V$13:V800)/COUNTA(B$13:B800)</f>
        <v>0</v>
      </c>
      <c r="Z800" s="5"/>
      <c r="AA800" s="5"/>
      <c r="AC800" s="7"/>
      <c r="AE800" s="54" t="e">
        <f t="shared" si="106"/>
        <v>#N/A</v>
      </c>
      <c r="AF800" s="4" t="e">
        <f t="shared" si="102"/>
        <v>#N/A</v>
      </c>
    </row>
    <row r="801" spans="2:32">
      <c r="B801" s="5">
        <f t="shared" si="107"/>
        <v>789</v>
      </c>
      <c r="C801" s="5"/>
      <c r="E801" s="13"/>
      <c r="F801" s="5"/>
      <c r="G801" s="11" t="str">
        <f>IF(ISERROR(AVERAGE(F$13:F801)),"n/a",AVERAGE(F$13:F801))</f>
        <v>n/a</v>
      </c>
      <c r="H801" s="11" t="str">
        <f t="shared" si="103"/>
        <v>n/a</v>
      </c>
      <c r="J801" s="5"/>
      <c r="K801" s="5"/>
      <c r="L801" s="5"/>
      <c r="M801" s="5"/>
      <c r="N801" s="5"/>
      <c r="O801" s="8" t="str">
        <f t="shared" si="101"/>
        <v>n/a</v>
      </c>
      <c r="Q801" s="5"/>
      <c r="R801" s="5"/>
      <c r="S801" s="5"/>
      <c r="U801" s="6"/>
      <c r="V801" s="9" t="str">
        <f t="shared" si="104"/>
        <v/>
      </c>
      <c r="W801" s="9" t="str">
        <f t="shared" si="105"/>
        <v/>
      </c>
      <c r="X801" s="10">
        <f>SUM(V$13:V801)/COUNTA(B$13:B801)</f>
        <v>0</v>
      </c>
      <c r="Z801" s="5"/>
      <c r="AA801" s="5"/>
      <c r="AC801" s="7"/>
      <c r="AE801" s="54" t="e">
        <f t="shared" si="106"/>
        <v>#N/A</v>
      </c>
      <c r="AF801" s="4" t="e">
        <f t="shared" si="102"/>
        <v>#N/A</v>
      </c>
    </row>
    <row r="802" spans="2:32">
      <c r="B802" s="5">
        <f t="shared" si="107"/>
        <v>790</v>
      </c>
      <c r="C802" s="5"/>
      <c r="E802" s="13"/>
      <c r="F802" s="5"/>
      <c r="G802" s="11" t="str">
        <f>IF(ISERROR(AVERAGE(F$13:F802)),"n/a",AVERAGE(F$13:F802))</f>
        <v>n/a</v>
      </c>
      <c r="H802" s="11" t="str">
        <f t="shared" si="103"/>
        <v>n/a</v>
      </c>
      <c r="J802" s="5"/>
      <c r="K802" s="5"/>
      <c r="L802" s="5"/>
      <c r="M802" s="5"/>
      <c r="N802" s="5"/>
      <c r="O802" s="8" t="str">
        <f t="shared" si="101"/>
        <v>n/a</v>
      </c>
      <c r="Q802" s="5"/>
      <c r="R802" s="5"/>
      <c r="S802" s="5"/>
      <c r="U802" s="6"/>
      <c r="V802" s="9" t="str">
        <f t="shared" si="104"/>
        <v/>
      </c>
      <c r="W802" s="9" t="str">
        <f t="shared" si="105"/>
        <v/>
      </c>
      <c r="X802" s="10">
        <f>SUM(V$13:V802)/COUNTA(B$13:B802)</f>
        <v>0</v>
      </c>
      <c r="Z802" s="5"/>
      <c r="AA802" s="5"/>
      <c r="AC802" s="7"/>
      <c r="AE802" s="54" t="e">
        <f t="shared" si="106"/>
        <v>#N/A</v>
      </c>
      <c r="AF802" s="4" t="e">
        <f t="shared" si="102"/>
        <v>#N/A</v>
      </c>
    </row>
    <row r="803" spans="2:32">
      <c r="B803" s="5">
        <f t="shared" si="107"/>
        <v>791</v>
      </c>
      <c r="C803" s="5"/>
      <c r="E803" s="13"/>
      <c r="F803" s="5"/>
      <c r="G803" s="11" t="str">
        <f>IF(ISERROR(AVERAGE(F$13:F803)),"n/a",AVERAGE(F$13:F803))</f>
        <v>n/a</v>
      </c>
      <c r="H803" s="11" t="str">
        <f t="shared" si="103"/>
        <v>n/a</v>
      </c>
      <c r="J803" s="5"/>
      <c r="K803" s="5"/>
      <c r="L803" s="5"/>
      <c r="M803" s="5"/>
      <c r="N803" s="5"/>
      <c r="O803" s="8" t="str">
        <f t="shared" si="101"/>
        <v>n/a</v>
      </c>
      <c r="Q803" s="5"/>
      <c r="R803" s="5"/>
      <c r="S803" s="5"/>
      <c r="U803" s="6"/>
      <c r="V803" s="9" t="str">
        <f t="shared" si="104"/>
        <v/>
      </c>
      <c r="W803" s="9" t="str">
        <f t="shared" si="105"/>
        <v/>
      </c>
      <c r="X803" s="10">
        <f>SUM(V$13:V803)/COUNTA(B$13:B803)</f>
        <v>0</v>
      </c>
      <c r="Z803" s="5"/>
      <c r="AA803" s="5"/>
      <c r="AC803" s="7"/>
      <c r="AE803" s="54" t="e">
        <f t="shared" si="106"/>
        <v>#N/A</v>
      </c>
      <c r="AF803" s="4" t="e">
        <f t="shared" si="102"/>
        <v>#N/A</v>
      </c>
    </row>
    <row r="804" spans="2:32">
      <c r="B804" s="5">
        <f t="shared" si="107"/>
        <v>792</v>
      </c>
      <c r="C804" s="5"/>
      <c r="E804" s="13"/>
      <c r="F804" s="5"/>
      <c r="G804" s="11" t="str">
        <f>IF(ISERROR(AVERAGE(F$13:F804)),"n/a",AVERAGE(F$13:F804))</f>
        <v>n/a</v>
      </c>
      <c r="H804" s="11" t="str">
        <f t="shared" si="103"/>
        <v>n/a</v>
      </c>
      <c r="J804" s="5"/>
      <c r="K804" s="5"/>
      <c r="L804" s="5"/>
      <c r="M804" s="5"/>
      <c r="N804" s="5"/>
      <c r="O804" s="8" t="str">
        <f t="shared" si="101"/>
        <v>n/a</v>
      </c>
      <c r="Q804" s="5"/>
      <c r="R804" s="5"/>
      <c r="S804" s="5"/>
      <c r="U804" s="6"/>
      <c r="V804" s="9" t="str">
        <f t="shared" si="104"/>
        <v/>
      </c>
      <c r="W804" s="9" t="str">
        <f t="shared" si="105"/>
        <v/>
      </c>
      <c r="X804" s="10">
        <f>SUM(V$13:V804)/COUNTA(B$13:B804)</f>
        <v>0</v>
      </c>
      <c r="Z804" s="5"/>
      <c r="AA804" s="5"/>
      <c r="AC804" s="7"/>
      <c r="AE804" s="54" t="e">
        <f t="shared" si="106"/>
        <v>#N/A</v>
      </c>
      <c r="AF804" s="4" t="e">
        <f t="shared" si="102"/>
        <v>#N/A</v>
      </c>
    </row>
    <row r="805" spans="2:32">
      <c r="B805" s="5">
        <f t="shared" si="107"/>
        <v>793</v>
      </c>
      <c r="C805" s="5"/>
      <c r="E805" s="13"/>
      <c r="F805" s="5"/>
      <c r="G805" s="11" t="str">
        <f>IF(ISERROR(AVERAGE(F$13:F805)),"n/a",AVERAGE(F$13:F805))</f>
        <v>n/a</v>
      </c>
      <c r="H805" s="11" t="str">
        <f t="shared" si="103"/>
        <v>n/a</v>
      </c>
      <c r="J805" s="5"/>
      <c r="K805" s="5"/>
      <c r="L805" s="5"/>
      <c r="M805" s="5"/>
      <c r="N805" s="5"/>
      <c r="O805" s="8" t="str">
        <f t="shared" si="101"/>
        <v>n/a</v>
      </c>
      <c r="Q805" s="5"/>
      <c r="R805" s="5"/>
      <c r="S805" s="5"/>
      <c r="U805" s="6"/>
      <c r="V805" s="9" t="str">
        <f t="shared" si="104"/>
        <v/>
      </c>
      <c r="W805" s="9" t="str">
        <f t="shared" si="105"/>
        <v/>
      </c>
      <c r="X805" s="10">
        <f>SUM(V$13:V805)/COUNTA(B$13:B805)</f>
        <v>0</v>
      </c>
      <c r="Z805" s="5"/>
      <c r="AA805" s="5"/>
      <c r="AC805" s="7"/>
      <c r="AE805" s="54" t="e">
        <f t="shared" si="106"/>
        <v>#N/A</v>
      </c>
      <c r="AF805" s="4" t="e">
        <f t="shared" si="102"/>
        <v>#N/A</v>
      </c>
    </row>
    <row r="806" spans="2:32">
      <c r="B806" s="5">
        <f t="shared" si="107"/>
        <v>794</v>
      </c>
      <c r="C806" s="5"/>
      <c r="E806" s="13"/>
      <c r="F806" s="5"/>
      <c r="G806" s="11" t="str">
        <f>IF(ISERROR(AVERAGE(F$13:F806)),"n/a",AVERAGE(F$13:F806))</f>
        <v>n/a</v>
      </c>
      <c r="H806" s="11" t="str">
        <f t="shared" si="103"/>
        <v>n/a</v>
      </c>
      <c r="J806" s="5"/>
      <c r="K806" s="5"/>
      <c r="L806" s="5"/>
      <c r="M806" s="5"/>
      <c r="N806" s="5"/>
      <c r="O806" s="8" t="str">
        <f t="shared" si="101"/>
        <v>n/a</v>
      </c>
      <c r="Q806" s="5"/>
      <c r="R806" s="5"/>
      <c r="S806" s="5"/>
      <c r="U806" s="6"/>
      <c r="V806" s="9" t="str">
        <f t="shared" si="104"/>
        <v/>
      </c>
      <c r="W806" s="9" t="str">
        <f t="shared" si="105"/>
        <v/>
      </c>
      <c r="X806" s="10">
        <f>SUM(V$13:V806)/COUNTA(B$13:B806)</f>
        <v>0</v>
      </c>
      <c r="Z806" s="5"/>
      <c r="AA806" s="5"/>
      <c r="AC806" s="7"/>
      <c r="AE806" s="54" t="e">
        <f t="shared" si="106"/>
        <v>#N/A</v>
      </c>
      <c r="AF806" s="4" t="e">
        <f t="shared" si="102"/>
        <v>#N/A</v>
      </c>
    </row>
    <row r="807" spans="2:32">
      <c r="B807" s="5">
        <f t="shared" si="107"/>
        <v>795</v>
      </c>
      <c r="C807" s="5"/>
      <c r="E807" s="13"/>
      <c r="F807" s="5"/>
      <c r="G807" s="11" t="str">
        <f>IF(ISERROR(AVERAGE(F$13:F807)),"n/a",AVERAGE(F$13:F807))</f>
        <v>n/a</v>
      </c>
      <c r="H807" s="11" t="str">
        <f t="shared" si="103"/>
        <v>n/a</v>
      </c>
      <c r="J807" s="5"/>
      <c r="K807" s="5"/>
      <c r="L807" s="5"/>
      <c r="M807" s="5"/>
      <c r="N807" s="5"/>
      <c r="O807" s="8" t="str">
        <f t="shared" si="101"/>
        <v>n/a</v>
      </c>
      <c r="Q807" s="5"/>
      <c r="R807" s="5"/>
      <c r="S807" s="5"/>
      <c r="U807" s="6"/>
      <c r="V807" s="9" t="str">
        <f t="shared" si="104"/>
        <v/>
      </c>
      <c r="W807" s="9" t="str">
        <f t="shared" si="105"/>
        <v/>
      </c>
      <c r="X807" s="10">
        <f>SUM(V$13:V807)/COUNTA(B$13:B807)</f>
        <v>0</v>
      </c>
      <c r="Z807" s="5"/>
      <c r="AA807" s="5"/>
      <c r="AC807" s="7"/>
      <c r="AE807" s="54" t="e">
        <f t="shared" si="106"/>
        <v>#N/A</v>
      </c>
      <c r="AF807" s="4" t="e">
        <f t="shared" si="102"/>
        <v>#N/A</v>
      </c>
    </row>
    <row r="808" spans="2:32">
      <c r="B808" s="5">
        <f t="shared" si="107"/>
        <v>796</v>
      </c>
      <c r="C808" s="5"/>
      <c r="E808" s="13"/>
      <c r="F808" s="5"/>
      <c r="G808" s="11" t="str">
        <f>IF(ISERROR(AVERAGE(F$13:F808)),"n/a",AVERAGE(F$13:F808))</f>
        <v>n/a</v>
      </c>
      <c r="H808" s="11" t="str">
        <f t="shared" si="103"/>
        <v>n/a</v>
      </c>
      <c r="J808" s="5"/>
      <c r="K808" s="5"/>
      <c r="L808" s="5"/>
      <c r="M808" s="5"/>
      <c r="N808" s="5"/>
      <c r="O808" s="8" t="str">
        <f t="shared" si="101"/>
        <v>n/a</v>
      </c>
      <c r="Q808" s="5"/>
      <c r="R808" s="5"/>
      <c r="S808" s="5"/>
      <c r="U808" s="6"/>
      <c r="V808" s="9" t="str">
        <f t="shared" si="104"/>
        <v/>
      </c>
      <c r="W808" s="9" t="str">
        <f t="shared" si="105"/>
        <v/>
      </c>
      <c r="X808" s="10">
        <f>SUM(V$13:V808)/COUNTA(B$13:B808)</f>
        <v>0</v>
      </c>
      <c r="Z808" s="5"/>
      <c r="AA808" s="5"/>
      <c r="AC808" s="7"/>
      <c r="AE808" s="54" t="e">
        <f t="shared" si="106"/>
        <v>#N/A</v>
      </c>
      <c r="AF808" s="4" t="e">
        <f t="shared" si="102"/>
        <v>#N/A</v>
      </c>
    </row>
    <row r="809" spans="2:32">
      <c r="B809" s="5">
        <f t="shared" si="107"/>
        <v>797</v>
      </c>
      <c r="C809" s="5"/>
      <c r="E809" s="13"/>
      <c r="F809" s="5"/>
      <c r="G809" s="11" t="str">
        <f>IF(ISERROR(AVERAGE(F$13:F809)),"n/a",AVERAGE(F$13:F809))</f>
        <v>n/a</v>
      </c>
      <c r="H809" s="11" t="str">
        <f t="shared" si="103"/>
        <v>n/a</v>
      </c>
      <c r="J809" s="5"/>
      <c r="K809" s="5"/>
      <c r="L809" s="5"/>
      <c r="M809" s="5"/>
      <c r="N809" s="5"/>
      <c r="O809" s="8" t="str">
        <f t="shared" si="101"/>
        <v>n/a</v>
      </c>
      <c r="Q809" s="5"/>
      <c r="R809" s="5"/>
      <c r="S809" s="5"/>
      <c r="U809" s="6"/>
      <c r="V809" s="9" t="str">
        <f t="shared" si="104"/>
        <v/>
      </c>
      <c r="W809" s="9" t="str">
        <f t="shared" si="105"/>
        <v/>
      </c>
      <c r="X809" s="10">
        <f>SUM(V$13:V809)/COUNTA(B$13:B809)</f>
        <v>0</v>
      </c>
      <c r="Z809" s="5"/>
      <c r="AA809" s="5"/>
      <c r="AC809" s="7"/>
      <c r="AE809" s="54" t="e">
        <f t="shared" si="106"/>
        <v>#N/A</v>
      </c>
      <c r="AF809" s="4" t="e">
        <f t="shared" si="102"/>
        <v>#N/A</v>
      </c>
    </row>
    <row r="810" spans="2:32">
      <c r="B810" s="5">
        <f t="shared" si="107"/>
        <v>798</v>
      </c>
      <c r="C810" s="5"/>
      <c r="E810" s="13"/>
      <c r="F810" s="5"/>
      <c r="G810" s="11" t="str">
        <f>IF(ISERROR(AVERAGE(F$13:F810)),"n/a",AVERAGE(F$13:F810))</f>
        <v>n/a</v>
      </c>
      <c r="H810" s="11" t="str">
        <f t="shared" si="103"/>
        <v>n/a</v>
      </c>
      <c r="J810" s="5"/>
      <c r="K810" s="5"/>
      <c r="L810" s="5"/>
      <c r="M810" s="5"/>
      <c r="N810" s="5"/>
      <c r="O810" s="8" t="str">
        <f t="shared" si="101"/>
        <v>n/a</v>
      </c>
      <c r="Q810" s="5"/>
      <c r="R810" s="5"/>
      <c r="S810" s="5"/>
      <c r="U810" s="6"/>
      <c r="V810" s="9" t="str">
        <f t="shared" si="104"/>
        <v/>
      </c>
      <c r="W810" s="9" t="str">
        <f t="shared" si="105"/>
        <v/>
      </c>
      <c r="X810" s="10">
        <f>SUM(V$13:V810)/COUNTA(B$13:B810)</f>
        <v>0</v>
      </c>
      <c r="Z810" s="5"/>
      <c r="AA810" s="5"/>
      <c r="AC810" s="7"/>
      <c r="AE810" s="54" t="e">
        <f t="shared" si="106"/>
        <v>#N/A</v>
      </c>
      <c r="AF810" s="4" t="e">
        <f t="shared" si="102"/>
        <v>#N/A</v>
      </c>
    </row>
    <row r="811" spans="2:32">
      <c r="B811" s="5">
        <f t="shared" si="107"/>
        <v>799</v>
      </c>
      <c r="C811" s="5"/>
      <c r="E811" s="13"/>
      <c r="F811" s="5"/>
      <c r="G811" s="11" t="str">
        <f>IF(ISERROR(AVERAGE(F$13:F811)),"n/a",AVERAGE(F$13:F811))</f>
        <v>n/a</v>
      </c>
      <c r="H811" s="11" t="str">
        <f t="shared" si="103"/>
        <v>n/a</v>
      </c>
      <c r="J811" s="5"/>
      <c r="K811" s="5"/>
      <c r="L811" s="5"/>
      <c r="M811" s="5"/>
      <c r="N811" s="5"/>
      <c r="O811" s="8" t="str">
        <f t="shared" si="101"/>
        <v>n/a</v>
      </c>
      <c r="Q811" s="5"/>
      <c r="R811" s="5"/>
      <c r="S811" s="5"/>
      <c r="U811" s="6"/>
      <c r="V811" s="9" t="str">
        <f t="shared" si="104"/>
        <v/>
      </c>
      <c r="W811" s="9" t="str">
        <f t="shared" si="105"/>
        <v/>
      </c>
      <c r="X811" s="10">
        <f>SUM(V$13:V811)/COUNTA(B$13:B811)</f>
        <v>0</v>
      </c>
      <c r="Z811" s="5"/>
      <c r="AA811" s="5"/>
      <c r="AC811" s="7"/>
      <c r="AE811" s="54" t="e">
        <f t="shared" si="106"/>
        <v>#N/A</v>
      </c>
      <c r="AF811" s="4" t="e">
        <f t="shared" si="102"/>
        <v>#N/A</v>
      </c>
    </row>
    <row r="812" spans="2:32">
      <c r="B812" s="5">
        <f t="shared" si="107"/>
        <v>800</v>
      </c>
      <c r="C812" s="5"/>
      <c r="E812" s="13"/>
      <c r="F812" s="5"/>
      <c r="G812" s="11" t="str">
        <f>IF(ISERROR(AVERAGE(F$13:F812)),"n/a",AVERAGE(F$13:F812))</f>
        <v>n/a</v>
      </c>
      <c r="H812" s="11" t="str">
        <f t="shared" si="103"/>
        <v>n/a</v>
      </c>
      <c r="J812" s="5"/>
      <c r="K812" s="5"/>
      <c r="L812" s="5"/>
      <c r="M812" s="5"/>
      <c r="N812" s="5"/>
      <c r="O812" s="8" t="str">
        <f t="shared" si="101"/>
        <v>n/a</v>
      </c>
      <c r="Q812" s="5"/>
      <c r="R812" s="5"/>
      <c r="S812" s="5"/>
      <c r="U812" s="6"/>
      <c r="V812" s="9" t="str">
        <f t="shared" si="104"/>
        <v/>
      </c>
      <c r="W812" s="9" t="str">
        <f t="shared" si="105"/>
        <v/>
      </c>
      <c r="X812" s="10">
        <f>SUM(V$13:V812)/COUNTA(B$13:B812)</f>
        <v>0</v>
      </c>
      <c r="Z812" s="5"/>
      <c r="AA812" s="5"/>
      <c r="AC812" s="7"/>
      <c r="AE812" s="54" t="e">
        <f t="shared" si="106"/>
        <v>#N/A</v>
      </c>
      <c r="AF812" s="4" t="e">
        <f t="shared" si="102"/>
        <v>#N/A</v>
      </c>
    </row>
    <row r="813" spans="2:32">
      <c r="B813" s="5">
        <f t="shared" si="107"/>
        <v>801</v>
      </c>
      <c r="C813" s="5"/>
      <c r="E813" s="13"/>
      <c r="F813" s="5"/>
      <c r="G813" s="11" t="str">
        <f>IF(ISERROR(AVERAGE(F$13:F813)),"n/a",AVERAGE(F$13:F813))</f>
        <v>n/a</v>
      </c>
      <c r="H813" s="11" t="str">
        <f t="shared" si="103"/>
        <v>n/a</v>
      </c>
      <c r="J813" s="5"/>
      <c r="K813" s="5"/>
      <c r="L813" s="5"/>
      <c r="M813" s="5"/>
      <c r="N813" s="5"/>
      <c r="O813" s="8" t="str">
        <f t="shared" si="101"/>
        <v>n/a</v>
      </c>
      <c r="Q813" s="5"/>
      <c r="R813" s="5"/>
      <c r="S813" s="5"/>
      <c r="U813" s="6"/>
      <c r="V813" s="9" t="str">
        <f t="shared" si="104"/>
        <v/>
      </c>
      <c r="W813" s="9" t="str">
        <f t="shared" si="105"/>
        <v/>
      </c>
      <c r="X813" s="10">
        <f>SUM(V$13:V813)/COUNTA(B$13:B813)</f>
        <v>0</v>
      </c>
      <c r="Z813" s="5"/>
      <c r="AA813" s="5"/>
      <c r="AC813" s="7"/>
      <c r="AE813" s="54" t="e">
        <f t="shared" si="106"/>
        <v>#N/A</v>
      </c>
      <c r="AF813" s="4" t="e">
        <f t="shared" si="102"/>
        <v>#N/A</v>
      </c>
    </row>
    <row r="814" spans="2:32">
      <c r="B814" s="5">
        <f t="shared" si="107"/>
        <v>802</v>
      </c>
      <c r="C814" s="5"/>
      <c r="E814" s="13"/>
      <c r="F814" s="5"/>
      <c r="G814" s="11" t="str">
        <f>IF(ISERROR(AVERAGE(F$13:F814)),"n/a",AVERAGE(F$13:F814))</f>
        <v>n/a</v>
      </c>
      <c r="H814" s="11" t="str">
        <f t="shared" si="103"/>
        <v>n/a</v>
      </c>
      <c r="J814" s="5"/>
      <c r="K814" s="5"/>
      <c r="L814" s="5"/>
      <c r="M814" s="5"/>
      <c r="N814" s="5"/>
      <c r="O814" s="8" t="str">
        <f t="shared" si="101"/>
        <v>n/a</v>
      </c>
      <c r="Q814" s="5"/>
      <c r="R814" s="5"/>
      <c r="S814" s="5"/>
      <c r="U814" s="6"/>
      <c r="V814" s="9" t="str">
        <f t="shared" si="104"/>
        <v/>
      </c>
      <c r="W814" s="9" t="str">
        <f t="shared" si="105"/>
        <v/>
      </c>
      <c r="X814" s="10">
        <f>SUM(V$13:V814)/COUNTA(B$13:B814)</f>
        <v>0</v>
      </c>
      <c r="Z814" s="5"/>
      <c r="AA814" s="5"/>
      <c r="AC814" s="7"/>
      <c r="AE814" s="54" t="e">
        <f t="shared" si="106"/>
        <v>#N/A</v>
      </c>
      <c r="AF814" s="4" t="e">
        <f t="shared" si="102"/>
        <v>#N/A</v>
      </c>
    </row>
    <row r="815" spans="2:32">
      <c r="B815" s="5">
        <f t="shared" si="107"/>
        <v>803</v>
      </c>
      <c r="C815" s="5"/>
      <c r="E815" s="13"/>
      <c r="F815" s="5"/>
      <c r="G815" s="11" t="str">
        <f>IF(ISERROR(AVERAGE(F$13:F815)),"n/a",AVERAGE(F$13:F815))</f>
        <v>n/a</v>
      </c>
      <c r="H815" s="11" t="str">
        <f t="shared" si="103"/>
        <v>n/a</v>
      </c>
      <c r="J815" s="5"/>
      <c r="K815" s="5"/>
      <c r="L815" s="5"/>
      <c r="M815" s="5"/>
      <c r="N815" s="5"/>
      <c r="O815" s="8" t="str">
        <f t="shared" si="101"/>
        <v>n/a</v>
      </c>
      <c r="Q815" s="5"/>
      <c r="R815" s="5"/>
      <c r="S815" s="5"/>
      <c r="U815" s="6"/>
      <c r="V815" s="9" t="str">
        <f t="shared" si="104"/>
        <v/>
      </c>
      <c r="W815" s="9" t="str">
        <f t="shared" si="105"/>
        <v/>
      </c>
      <c r="X815" s="10">
        <f>SUM(V$13:V815)/COUNTA(B$13:B815)</f>
        <v>0</v>
      </c>
      <c r="Z815" s="5"/>
      <c r="AA815" s="5"/>
      <c r="AC815" s="7"/>
      <c r="AE815" s="54" t="e">
        <f t="shared" si="106"/>
        <v>#N/A</v>
      </c>
      <c r="AF815" s="4" t="e">
        <f t="shared" si="102"/>
        <v>#N/A</v>
      </c>
    </row>
    <row r="816" spans="2:32">
      <c r="B816" s="5">
        <f t="shared" si="107"/>
        <v>804</v>
      </c>
      <c r="C816" s="5"/>
      <c r="E816" s="13"/>
      <c r="F816" s="5"/>
      <c r="G816" s="11" t="str">
        <f>IF(ISERROR(AVERAGE(F$13:F816)),"n/a",AVERAGE(F$13:F816))</f>
        <v>n/a</v>
      </c>
      <c r="H816" s="11" t="str">
        <f t="shared" si="103"/>
        <v>n/a</v>
      </c>
      <c r="J816" s="5"/>
      <c r="K816" s="5"/>
      <c r="L816" s="5"/>
      <c r="M816" s="5"/>
      <c r="N816" s="5"/>
      <c r="O816" s="8" t="str">
        <f t="shared" si="101"/>
        <v>n/a</v>
      </c>
      <c r="Q816" s="5"/>
      <c r="R816" s="5"/>
      <c r="S816" s="5"/>
      <c r="U816" s="6"/>
      <c r="V816" s="9" t="str">
        <f t="shared" si="104"/>
        <v/>
      </c>
      <c r="W816" s="9" t="str">
        <f t="shared" si="105"/>
        <v/>
      </c>
      <c r="X816" s="10">
        <f>SUM(V$13:V816)/COUNTA(B$13:B816)</f>
        <v>0</v>
      </c>
      <c r="Z816" s="5"/>
      <c r="AA816" s="5"/>
      <c r="AC816" s="7"/>
      <c r="AE816" s="54" t="e">
        <f t="shared" si="106"/>
        <v>#N/A</v>
      </c>
      <c r="AF816" s="4" t="e">
        <f t="shared" si="102"/>
        <v>#N/A</v>
      </c>
    </row>
    <row r="817" spans="2:32">
      <c r="B817" s="5">
        <f t="shared" si="107"/>
        <v>805</v>
      </c>
      <c r="C817" s="5"/>
      <c r="E817" s="13"/>
      <c r="F817" s="5"/>
      <c r="G817" s="11" t="str">
        <f>IF(ISERROR(AVERAGE(F$13:F817)),"n/a",AVERAGE(F$13:F817))</f>
        <v>n/a</v>
      </c>
      <c r="H817" s="11" t="str">
        <f t="shared" si="103"/>
        <v>n/a</v>
      </c>
      <c r="J817" s="5"/>
      <c r="K817" s="5"/>
      <c r="L817" s="5"/>
      <c r="M817" s="5"/>
      <c r="N817" s="5"/>
      <c r="O817" s="8" t="str">
        <f t="shared" si="101"/>
        <v>n/a</v>
      </c>
      <c r="Q817" s="5"/>
      <c r="R817" s="5"/>
      <c r="S817" s="5"/>
      <c r="U817" s="6"/>
      <c r="V817" s="9" t="str">
        <f t="shared" si="104"/>
        <v/>
      </c>
      <c r="W817" s="9" t="str">
        <f t="shared" si="105"/>
        <v/>
      </c>
      <c r="X817" s="10">
        <f>SUM(V$13:V817)/COUNTA(B$13:B817)</f>
        <v>0</v>
      </c>
      <c r="Z817" s="5"/>
      <c r="AA817" s="5"/>
      <c r="AC817" s="7"/>
      <c r="AE817" s="54" t="e">
        <f t="shared" si="106"/>
        <v>#N/A</v>
      </c>
      <c r="AF817" s="4" t="e">
        <f t="shared" si="102"/>
        <v>#N/A</v>
      </c>
    </row>
    <row r="818" spans="2:32">
      <c r="B818" s="5">
        <f t="shared" si="107"/>
        <v>806</v>
      </c>
      <c r="C818" s="5"/>
      <c r="E818" s="13"/>
      <c r="F818" s="5"/>
      <c r="G818" s="11" t="str">
        <f>IF(ISERROR(AVERAGE(F$13:F818)),"n/a",AVERAGE(F$13:F818))</f>
        <v>n/a</v>
      </c>
      <c r="H818" s="11" t="str">
        <f t="shared" si="103"/>
        <v>n/a</v>
      </c>
      <c r="J818" s="5"/>
      <c r="K818" s="5"/>
      <c r="L818" s="5"/>
      <c r="M818" s="5"/>
      <c r="N818" s="5"/>
      <c r="O818" s="8" t="str">
        <f t="shared" si="101"/>
        <v>n/a</v>
      </c>
      <c r="Q818" s="5"/>
      <c r="R818" s="5"/>
      <c r="S818" s="5"/>
      <c r="U818" s="6"/>
      <c r="V818" s="9" t="str">
        <f t="shared" si="104"/>
        <v/>
      </c>
      <c r="W818" s="9" t="str">
        <f t="shared" si="105"/>
        <v/>
      </c>
      <c r="X818" s="10">
        <f>SUM(V$13:V818)/COUNTA(B$13:B818)</f>
        <v>0</v>
      </c>
      <c r="Z818" s="5"/>
      <c r="AA818" s="5"/>
      <c r="AC818" s="7"/>
      <c r="AE818" s="54" t="e">
        <f t="shared" si="106"/>
        <v>#N/A</v>
      </c>
      <c r="AF818" s="4" t="e">
        <f t="shared" si="102"/>
        <v>#N/A</v>
      </c>
    </row>
    <row r="819" spans="2:32">
      <c r="B819" s="5">
        <f t="shared" si="107"/>
        <v>807</v>
      </c>
      <c r="C819" s="5"/>
      <c r="E819" s="13"/>
      <c r="F819" s="5"/>
      <c r="G819" s="11" t="str">
        <f>IF(ISERROR(AVERAGE(F$13:F819)),"n/a",AVERAGE(F$13:F819))</f>
        <v>n/a</v>
      </c>
      <c r="H819" s="11" t="str">
        <f t="shared" si="103"/>
        <v>n/a</v>
      </c>
      <c r="J819" s="5"/>
      <c r="K819" s="5"/>
      <c r="L819" s="5"/>
      <c r="M819" s="5"/>
      <c r="N819" s="5"/>
      <c r="O819" s="8" t="str">
        <f t="shared" si="101"/>
        <v>n/a</v>
      </c>
      <c r="Q819" s="5"/>
      <c r="R819" s="5"/>
      <c r="S819" s="5"/>
      <c r="U819" s="6"/>
      <c r="V819" s="9" t="str">
        <f t="shared" si="104"/>
        <v/>
      </c>
      <c r="W819" s="9" t="str">
        <f t="shared" si="105"/>
        <v/>
      </c>
      <c r="X819" s="10">
        <f>SUM(V$13:V819)/COUNTA(B$13:B819)</f>
        <v>0</v>
      </c>
      <c r="Z819" s="5"/>
      <c r="AA819" s="5"/>
      <c r="AC819" s="7"/>
      <c r="AE819" s="54" t="e">
        <f t="shared" si="106"/>
        <v>#N/A</v>
      </c>
      <c r="AF819" s="4" t="e">
        <f t="shared" si="102"/>
        <v>#N/A</v>
      </c>
    </row>
    <row r="820" spans="2:32">
      <c r="B820" s="5">
        <f t="shared" si="107"/>
        <v>808</v>
      </c>
      <c r="C820" s="5"/>
      <c r="E820" s="13"/>
      <c r="F820" s="5"/>
      <c r="G820" s="11" t="str">
        <f>IF(ISERROR(AVERAGE(F$13:F820)),"n/a",AVERAGE(F$13:F820))</f>
        <v>n/a</v>
      </c>
      <c r="H820" s="11" t="str">
        <f t="shared" si="103"/>
        <v>n/a</v>
      </c>
      <c r="J820" s="5"/>
      <c r="K820" s="5"/>
      <c r="L820" s="5"/>
      <c r="M820" s="5"/>
      <c r="N820" s="5"/>
      <c r="O820" s="8" t="str">
        <f t="shared" si="101"/>
        <v>n/a</v>
      </c>
      <c r="Q820" s="5"/>
      <c r="R820" s="5"/>
      <c r="S820" s="5"/>
      <c r="U820" s="6"/>
      <c r="V820" s="9" t="str">
        <f t="shared" si="104"/>
        <v/>
      </c>
      <c r="W820" s="9" t="str">
        <f t="shared" si="105"/>
        <v/>
      </c>
      <c r="X820" s="10">
        <f>SUM(V$13:V820)/COUNTA(B$13:B820)</f>
        <v>0</v>
      </c>
      <c r="Z820" s="5"/>
      <c r="AA820" s="5"/>
      <c r="AC820" s="7"/>
      <c r="AE820" s="54" t="e">
        <f t="shared" si="106"/>
        <v>#N/A</v>
      </c>
      <c r="AF820" s="4" t="e">
        <f t="shared" si="102"/>
        <v>#N/A</v>
      </c>
    </row>
    <row r="821" spans="2:32">
      <c r="B821" s="5">
        <f t="shared" si="107"/>
        <v>809</v>
      </c>
      <c r="C821" s="5"/>
      <c r="E821" s="13"/>
      <c r="F821" s="5"/>
      <c r="G821" s="11" t="str">
        <f>IF(ISERROR(AVERAGE(F$13:F821)),"n/a",AVERAGE(F$13:F821))</f>
        <v>n/a</v>
      </c>
      <c r="H821" s="11" t="str">
        <f t="shared" si="103"/>
        <v>n/a</v>
      </c>
      <c r="J821" s="5"/>
      <c r="K821" s="5"/>
      <c r="L821" s="5"/>
      <c r="M821" s="5"/>
      <c r="N821" s="5"/>
      <c r="O821" s="8" t="str">
        <f t="shared" si="101"/>
        <v>n/a</v>
      </c>
      <c r="Q821" s="5"/>
      <c r="R821" s="5"/>
      <c r="S821" s="5"/>
      <c r="U821" s="6"/>
      <c r="V821" s="9" t="str">
        <f t="shared" si="104"/>
        <v/>
      </c>
      <c r="W821" s="9" t="str">
        <f t="shared" si="105"/>
        <v/>
      </c>
      <c r="X821" s="10">
        <f>SUM(V$13:V821)/COUNTA(B$13:B821)</f>
        <v>0</v>
      </c>
      <c r="Z821" s="5"/>
      <c r="AA821" s="5"/>
      <c r="AC821" s="7"/>
      <c r="AE821" s="54" t="e">
        <f t="shared" si="106"/>
        <v>#N/A</v>
      </c>
      <c r="AF821" s="4" t="e">
        <f t="shared" si="102"/>
        <v>#N/A</v>
      </c>
    </row>
    <row r="822" spans="2:32">
      <c r="B822" s="5">
        <f t="shared" si="107"/>
        <v>810</v>
      </c>
      <c r="C822" s="5"/>
      <c r="E822" s="13"/>
      <c r="F822" s="5"/>
      <c r="G822" s="11" t="str">
        <f>IF(ISERROR(AVERAGE(F$13:F822)),"n/a",AVERAGE(F$13:F822))</f>
        <v>n/a</v>
      </c>
      <c r="H822" s="11" t="str">
        <f t="shared" si="103"/>
        <v>n/a</v>
      </c>
      <c r="J822" s="5"/>
      <c r="K822" s="5"/>
      <c r="L822" s="5"/>
      <c r="M822" s="5"/>
      <c r="N822" s="5"/>
      <c r="O822" s="8" t="str">
        <f t="shared" si="101"/>
        <v>n/a</v>
      </c>
      <c r="Q822" s="5"/>
      <c r="R822" s="5"/>
      <c r="S822" s="5"/>
      <c r="U822" s="6"/>
      <c r="V822" s="9" t="str">
        <f t="shared" si="104"/>
        <v/>
      </c>
      <c r="W822" s="9" t="str">
        <f t="shared" si="105"/>
        <v/>
      </c>
      <c r="X822" s="10">
        <f>SUM(V$13:V822)/COUNTA(B$13:B822)</f>
        <v>0</v>
      </c>
      <c r="Z822" s="5"/>
      <c r="AA822" s="5"/>
      <c r="AC822" s="7"/>
      <c r="AE822" s="54" t="e">
        <f t="shared" si="106"/>
        <v>#N/A</v>
      </c>
      <c r="AF822" s="4" t="e">
        <f t="shared" si="102"/>
        <v>#N/A</v>
      </c>
    </row>
    <row r="823" spans="2:32">
      <c r="B823" s="5">
        <f t="shared" si="107"/>
        <v>811</v>
      </c>
      <c r="C823" s="5"/>
      <c r="E823" s="13"/>
      <c r="F823" s="5"/>
      <c r="G823" s="11" t="str">
        <f>IF(ISERROR(AVERAGE(F$13:F823)),"n/a",AVERAGE(F$13:F823))</f>
        <v>n/a</v>
      </c>
      <c r="H823" s="11" t="str">
        <f t="shared" si="103"/>
        <v>n/a</v>
      </c>
      <c r="J823" s="5"/>
      <c r="K823" s="5"/>
      <c r="L823" s="5"/>
      <c r="M823" s="5"/>
      <c r="N823" s="5"/>
      <c r="O823" s="8" t="str">
        <f t="shared" si="101"/>
        <v>n/a</v>
      </c>
      <c r="Q823" s="5"/>
      <c r="R823" s="5"/>
      <c r="S823" s="5"/>
      <c r="U823" s="6"/>
      <c r="V823" s="9" t="str">
        <f t="shared" si="104"/>
        <v/>
      </c>
      <c r="W823" s="9" t="str">
        <f t="shared" si="105"/>
        <v/>
      </c>
      <c r="X823" s="10">
        <f>SUM(V$13:V823)/COUNTA(B$13:B823)</f>
        <v>0</v>
      </c>
      <c r="Z823" s="5"/>
      <c r="AA823" s="5"/>
      <c r="AC823" s="7"/>
      <c r="AE823" s="54" t="e">
        <f t="shared" si="106"/>
        <v>#N/A</v>
      </c>
      <c r="AF823" s="4" t="e">
        <f t="shared" si="102"/>
        <v>#N/A</v>
      </c>
    </row>
    <row r="824" spans="2:32">
      <c r="B824" s="5">
        <f t="shared" si="107"/>
        <v>812</v>
      </c>
      <c r="C824" s="5"/>
      <c r="E824" s="13"/>
      <c r="F824" s="5"/>
      <c r="G824" s="11" t="str">
        <f>IF(ISERROR(AVERAGE(F$13:F824)),"n/a",AVERAGE(F$13:F824))</f>
        <v>n/a</v>
      </c>
      <c r="H824" s="11" t="str">
        <f t="shared" si="103"/>
        <v>n/a</v>
      </c>
      <c r="J824" s="5"/>
      <c r="K824" s="5"/>
      <c r="L824" s="5"/>
      <c r="M824" s="5"/>
      <c r="N824" s="5"/>
      <c r="O824" s="8" t="str">
        <f t="shared" si="101"/>
        <v>n/a</v>
      </c>
      <c r="Q824" s="5"/>
      <c r="R824" s="5"/>
      <c r="S824" s="5"/>
      <c r="U824" s="6"/>
      <c r="V824" s="9" t="str">
        <f t="shared" si="104"/>
        <v/>
      </c>
      <c r="W824" s="9" t="str">
        <f t="shared" si="105"/>
        <v/>
      </c>
      <c r="X824" s="10">
        <f>SUM(V$13:V824)/COUNTA(B$13:B824)</f>
        <v>0</v>
      </c>
      <c r="Z824" s="5"/>
      <c r="AA824" s="5"/>
      <c r="AC824" s="7"/>
      <c r="AE824" s="54" t="e">
        <f t="shared" si="106"/>
        <v>#N/A</v>
      </c>
      <c r="AF824" s="4" t="e">
        <f t="shared" si="102"/>
        <v>#N/A</v>
      </c>
    </row>
    <row r="825" spans="2:32">
      <c r="B825" s="5">
        <f t="shared" si="107"/>
        <v>813</v>
      </c>
      <c r="C825" s="5"/>
      <c r="E825" s="13"/>
      <c r="F825" s="5"/>
      <c r="G825" s="11" t="str">
        <f>IF(ISERROR(AVERAGE(F$13:F825)),"n/a",AVERAGE(F$13:F825))</f>
        <v>n/a</v>
      </c>
      <c r="H825" s="11" t="str">
        <f t="shared" si="103"/>
        <v>n/a</v>
      </c>
      <c r="J825" s="5"/>
      <c r="K825" s="5"/>
      <c r="L825" s="5"/>
      <c r="M825" s="5"/>
      <c r="N825" s="5"/>
      <c r="O825" s="8" t="str">
        <f t="shared" si="101"/>
        <v>n/a</v>
      </c>
      <c r="Q825" s="5"/>
      <c r="R825" s="5"/>
      <c r="S825" s="5"/>
      <c r="U825" s="6"/>
      <c r="V825" s="9" t="str">
        <f t="shared" si="104"/>
        <v/>
      </c>
      <c r="W825" s="9" t="str">
        <f t="shared" si="105"/>
        <v/>
      </c>
      <c r="X825" s="10">
        <f>SUM(V$13:V825)/COUNTA(B$13:B825)</f>
        <v>0</v>
      </c>
      <c r="Z825" s="5"/>
      <c r="AA825" s="5"/>
      <c r="AC825" s="7"/>
      <c r="AE825" s="54" t="e">
        <f t="shared" si="106"/>
        <v>#N/A</v>
      </c>
      <c r="AF825" s="4" t="e">
        <f t="shared" si="102"/>
        <v>#N/A</v>
      </c>
    </row>
    <row r="826" spans="2:32">
      <c r="B826" s="5">
        <f t="shared" si="107"/>
        <v>814</v>
      </c>
      <c r="C826" s="5"/>
      <c r="E826" s="13"/>
      <c r="F826" s="5"/>
      <c r="G826" s="11" t="str">
        <f>IF(ISERROR(AVERAGE(F$13:F826)),"n/a",AVERAGE(F$13:F826))</f>
        <v>n/a</v>
      </c>
      <c r="H826" s="11" t="str">
        <f t="shared" si="103"/>
        <v>n/a</v>
      </c>
      <c r="J826" s="5"/>
      <c r="K826" s="5"/>
      <c r="L826" s="5"/>
      <c r="M826" s="5"/>
      <c r="N826" s="5"/>
      <c r="O826" s="8" t="str">
        <f t="shared" si="101"/>
        <v>n/a</v>
      </c>
      <c r="Q826" s="5"/>
      <c r="R826" s="5"/>
      <c r="S826" s="5"/>
      <c r="U826" s="6"/>
      <c r="V826" s="9" t="str">
        <f t="shared" si="104"/>
        <v/>
      </c>
      <c r="W826" s="9" t="str">
        <f t="shared" si="105"/>
        <v/>
      </c>
      <c r="X826" s="10">
        <f>SUM(V$13:V826)/COUNTA(B$13:B826)</f>
        <v>0</v>
      </c>
      <c r="Z826" s="5"/>
      <c r="AA826" s="5"/>
      <c r="AC826" s="7"/>
      <c r="AE826" s="54" t="e">
        <f t="shared" si="106"/>
        <v>#N/A</v>
      </c>
      <c r="AF826" s="4" t="e">
        <f t="shared" si="102"/>
        <v>#N/A</v>
      </c>
    </row>
    <row r="827" spans="2:32">
      <c r="B827" s="5">
        <f t="shared" si="107"/>
        <v>815</v>
      </c>
      <c r="C827" s="5"/>
      <c r="E827" s="13"/>
      <c r="F827" s="5"/>
      <c r="G827" s="11" t="str">
        <f>IF(ISERROR(AVERAGE(F$13:F827)),"n/a",AVERAGE(F$13:F827))</f>
        <v>n/a</v>
      </c>
      <c r="H827" s="11" t="str">
        <f t="shared" si="103"/>
        <v>n/a</v>
      </c>
      <c r="J827" s="5"/>
      <c r="K827" s="5"/>
      <c r="L827" s="5"/>
      <c r="M827" s="5"/>
      <c r="N827" s="5"/>
      <c r="O827" s="8" t="str">
        <f t="shared" si="101"/>
        <v>n/a</v>
      </c>
      <c r="Q827" s="5"/>
      <c r="R827" s="5"/>
      <c r="S827" s="5"/>
      <c r="U827" s="6"/>
      <c r="V827" s="9" t="str">
        <f t="shared" si="104"/>
        <v/>
      </c>
      <c r="W827" s="9" t="str">
        <f t="shared" si="105"/>
        <v/>
      </c>
      <c r="X827" s="10">
        <f>SUM(V$13:V827)/COUNTA(B$13:B827)</f>
        <v>0</v>
      </c>
      <c r="Z827" s="5"/>
      <c r="AA827" s="5"/>
      <c r="AC827" s="7"/>
      <c r="AE827" s="54" t="e">
        <f t="shared" si="106"/>
        <v>#N/A</v>
      </c>
      <c r="AF827" s="4" t="e">
        <f t="shared" si="102"/>
        <v>#N/A</v>
      </c>
    </row>
    <row r="828" spans="2:32">
      <c r="B828" s="5">
        <f t="shared" si="107"/>
        <v>816</v>
      </c>
      <c r="C828" s="5"/>
      <c r="E828" s="13"/>
      <c r="F828" s="5"/>
      <c r="G828" s="11" t="str">
        <f>IF(ISERROR(AVERAGE(F$13:F828)),"n/a",AVERAGE(F$13:F828))</f>
        <v>n/a</v>
      </c>
      <c r="H828" s="11" t="str">
        <f t="shared" si="103"/>
        <v>n/a</v>
      </c>
      <c r="J828" s="5"/>
      <c r="K828" s="5"/>
      <c r="L828" s="5"/>
      <c r="M828" s="5"/>
      <c r="N828" s="5"/>
      <c r="O828" s="8" t="str">
        <f t="shared" si="101"/>
        <v>n/a</v>
      </c>
      <c r="Q828" s="5"/>
      <c r="R828" s="5"/>
      <c r="S828" s="5"/>
      <c r="U828" s="6"/>
      <c r="V828" s="9" t="str">
        <f t="shared" si="104"/>
        <v/>
      </c>
      <c r="W828" s="9" t="str">
        <f t="shared" si="105"/>
        <v/>
      </c>
      <c r="X828" s="10">
        <f>SUM(V$13:V828)/COUNTA(B$13:B828)</f>
        <v>0</v>
      </c>
      <c r="Z828" s="5"/>
      <c r="AA828" s="5"/>
      <c r="AC828" s="7"/>
      <c r="AE828" s="54" t="e">
        <f t="shared" si="106"/>
        <v>#N/A</v>
      </c>
      <c r="AF828" s="4" t="e">
        <f t="shared" si="102"/>
        <v>#N/A</v>
      </c>
    </row>
    <row r="829" spans="2:32">
      <c r="B829" s="5">
        <f t="shared" si="107"/>
        <v>817</v>
      </c>
      <c r="C829" s="5"/>
      <c r="E829" s="13"/>
      <c r="F829" s="5"/>
      <c r="G829" s="11" t="str">
        <f>IF(ISERROR(AVERAGE(F$13:F829)),"n/a",AVERAGE(F$13:F829))</f>
        <v>n/a</v>
      </c>
      <c r="H829" s="11" t="str">
        <f t="shared" si="103"/>
        <v>n/a</v>
      </c>
      <c r="J829" s="5"/>
      <c r="K829" s="5"/>
      <c r="L829" s="5"/>
      <c r="M829" s="5"/>
      <c r="N829" s="5"/>
      <c r="O829" s="8" t="str">
        <f t="shared" si="101"/>
        <v>n/a</v>
      </c>
      <c r="Q829" s="5"/>
      <c r="R829" s="5"/>
      <c r="S829" s="5"/>
      <c r="U829" s="6"/>
      <c r="V829" s="9" t="str">
        <f t="shared" si="104"/>
        <v/>
      </c>
      <c r="W829" s="9" t="str">
        <f t="shared" si="105"/>
        <v/>
      </c>
      <c r="X829" s="10">
        <f>SUM(V$13:V829)/COUNTA(B$13:B829)</f>
        <v>0</v>
      </c>
      <c r="Z829" s="5"/>
      <c r="AA829" s="5"/>
      <c r="AC829" s="7"/>
      <c r="AE829" s="54" t="e">
        <f t="shared" si="106"/>
        <v>#N/A</v>
      </c>
      <c r="AF829" s="4" t="e">
        <f t="shared" si="102"/>
        <v>#N/A</v>
      </c>
    </row>
    <row r="830" spans="2:32">
      <c r="B830" s="5">
        <f t="shared" si="107"/>
        <v>818</v>
      </c>
      <c r="C830" s="5"/>
      <c r="E830" s="13"/>
      <c r="F830" s="5"/>
      <c r="G830" s="11" t="str">
        <f>IF(ISERROR(AVERAGE(F$13:F830)),"n/a",AVERAGE(F$13:F830))</f>
        <v>n/a</v>
      </c>
      <c r="H830" s="11" t="str">
        <f t="shared" si="103"/>
        <v>n/a</v>
      </c>
      <c r="J830" s="5"/>
      <c r="K830" s="5"/>
      <c r="L830" s="5"/>
      <c r="M830" s="5"/>
      <c r="N830" s="5"/>
      <c r="O830" s="8" t="str">
        <f t="shared" si="101"/>
        <v>n/a</v>
      </c>
      <c r="Q830" s="5"/>
      <c r="R830" s="5"/>
      <c r="S830" s="5"/>
      <c r="U830" s="6"/>
      <c r="V830" s="9" t="str">
        <f t="shared" si="104"/>
        <v/>
      </c>
      <c r="W830" s="9" t="str">
        <f t="shared" si="105"/>
        <v/>
      </c>
      <c r="X830" s="10">
        <f>SUM(V$13:V830)/COUNTA(B$13:B830)</f>
        <v>0</v>
      </c>
      <c r="Z830" s="5"/>
      <c r="AA830" s="5"/>
      <c r="AC830" s="7"/>
      <c r="AE830" s="54" t="e">
        <f t="shared" si="106"/>
        <v>#N/A</v>
      </c>
      <c r="AF830" s="4" t="e">
        <f t="shared" si="102"/>
        <v>#N/A</v>
      </c>
    </row>
    <row r="831" spans="2:32">
      <c r="B831" s="5">
        <f t="shared" si="107"/>
        <v>819</v>
      </c>
      <c r="C831" s="5"/>
      <c r="E831" s="13"/>
      <c r="F831" s="5"/>
      <c r="G831" s="11" t="str">
        <f>IF(ISERROR(AVERAGE(F$13:F831)),"n/a",AVERAGE(F$13:F831))</f>
        <v>n/a</v>
      </c>
      <c r="H831" s="11" t="str">
        <f t="shared" si="103"/>
        <v>n/a</v>
      </c>
      <c r="J831" s="5"/>
      <c r="K831" s="5"/>
      <c r="L831" s="5"/>
      <c r="M831" s="5"/>
      <c r="N831" s="5"/>
      <c r="O831" s="8" t="str">
        <f t="shared" si="101"/>
        <v>n/a</v>
      </c>
      <c r="Q831" s="5"/>
      <c r="R831" s="5"/>
      <c r="S831" s="5"/>
      <c r="U831" s="6"/>
      <c r="V831" s="9" t="str">
        <f t="shared" si="104"/>
        <v/>
      </c>
      <c r="W831" s="9" t="str">
        <f t="shared" si="105"/>
        <v/>
      </c>
      <c r="X831" s="10">
        <f>SUM(V$13:V831)/COUNTA(B$13:B831)</f>
        <v>0</v>
      </c>
      <c r="Z831" s="5"/>
      <c r="AA831" s="5"/>
      <c r="AC831" s="7"/>
      <c r="AE831" s="54" t="e">
        <f t="shared" si="106"/>
        <v>#N/A</v>
      </c>
      <c r="AF831" s="4" t="e">
        <f t="shared" si="102"/>
        <v>#N/A</v>
      </c>
    </row>
    <row r="832" spans="2:32">
      <c r="B832" s="5">
        <f t="shared" si="107"/>
        <v>820</v>
      </c>
      <c r="C832" s="5"/>
      <c r="E832" s="13"/>
      <c r="F832" s="5"/>
      <c r="G832" s="11" t="str">
        <f>IF(ISERROR(AVERAGE(F$13:F832)),"n/a",AVERAGE(F$13:F832))</f>
        <v>n/a</v>
      </c>
      <c r="H832" s="11" t="str">
        <f t="shared" si="103"/>
        <v>n/a</v>
      </c>
      <c r="J832" s="5"/>
      <c r="K832" s="5"/>
      <c r="L832" s="5"/>
      <c r="M832" s="5"/>
      <c r="N832" s="5"/>
      <c r="O832" s="8" t="str">
        <f t="shared" si="101"/>
        <v>n/a</v>
      </c>
      <c r="Q832" s="5"/>
      <c r="R832" s="5"/>
      <c r="S832" s="5"/>
      <c r="U832" s="6"/>
      <c r="V832" s="9" t="str">
        <f t="shared" si="104"/>
        <v/>
      </c>
      <c r="W832" s="9" t="str">
        <f t="shared" si="105"/>
        <v/>
      </c>
      <c r="X832" s="10">
        <f>SUM(V$13:V832)/COUNTA(B$13:B832)</f>
        <v>0</v>
      </c>
      <c r="Z832" s="5"/>
      <c r="AA832" s="5"/>
      <c r="AC832" s="7"/>
      <c r="AE832" s="54" t="e">
        <f t="shared" si="106"/>
        <v>#N/A</v>
      </c>
      <c r="AF832" s="4" t="e">
        <f t="shared" si="102"/>
        <v>#N/A</v>
      </c>
    </row>
    <row r="833" spans="2:32">
      <c r="B833" s="5">
        <f t="shared" si="107"/>
        <v>821</v>
      </c>
      <c r="C833" s="5"/>
      <c r="E833" s="13"/>
      <c r="F833" s="5"/>
      <c r="G833" s="11" t="str">
        <f>IF(ISERROR(AVERAGE(F$13:F833)),"n/a",AVERAGE(F$13:F833))</f>
        <v>n/a</v>
      </c>
      <c r="H833" s="11" t="str">
        <f t="shared" si="103"/>
        <v>n/a</v>
      </c>
      <c r="J833" s="5"/>
      <c r="K833" s="5"/>
      <c r="L833" s="5"/>
      <c r="M833" s="5"/>
      <c r="N833" s="5"/>
      <c r="O833" s="8" t="str">
        <f t="shared" si="101"/>
        <v>n/a</v>
      </c>
      <c r="Q833" s="5"/>
      <c r="R833" s="5"/>
      <c r="S833" s="5"/>
      <c r="U833" s="6"/>
      <c r="V833" s="9" t="str">
        <f t="shared" si="104"/>
        <v/>
      </c>
      <c r="W833" s="9" t="str">
        <f t="shared" si="105"/>
        <v/>
      </c>
      <c r="X833" s="10">
        <f>SUM(V$13:V833)/COUNTA(B$13:B833)</f>
        <v>0</v>
      </c>
      <c r="Z833" s="5"/>
      <c r="AA833" s="5"/>
      <c r="AC833" s="7"/>
      <c r="AE833" s="54" t="e">
        <f t="shared" si="106"/>
        <v>#N/A</v>
      </c>
      <c r="AF833" s="4" t="e">
        <f t="shared" si="102"/>
        <v>#N/A</v>
      </c>
    </row>
    <row r="834" spans="2:32">
      <c r="B834" s="5">
        <f t="shared" si="107"/>
        <v>822</v>
      </c>
      <c r="C834" s="5"/>
      <c r="E834" s="13"/>
      <c r="F834" s="5"/>
      <c r="G834" s="11" t="str">
        <f>IF(ISERROR(AVERAGE(F$13:F834)),"n/a",AVERAGE(F$13:F834))</f>
        <v>n/a</v>
      </c>
      <c r="H834" s="11" t="str">
        <f t="shared" si="103"/>
        <v>n/a</v>
      </c>
      <c r="J834" s="5"/>
      <c r="K834" s="5"/>
      <c r="L834" s="5"/>
      <c r="M834" s="5"/>
      <c r="N834" s="5"/>
      <c r="O834" s="8" t="str">
        <f t="shared" si="101"/>
        <v>n/a</v>
      </c>
      <c r="Q834" s="5"/>
      <c r="R834" s="5"/>
      <c r="S834" s="5"/>
      <c r="U834" s="6"/>
      <c r="V834" s="9" t="str">
        <f t="shared" si="104"/>
        <v/>
      </c>
      <c r="W834" s="9" t="str">
        <f t="shared" si="105"/>
        <v/>
      </c>
      <c r="X834" s="10">
        <f>SUM(V$13:V834)/COUNTA(B$13:B834)</f>
        <v>0</v>
      </c>
      <c r="Z834" s="5"/>
      <c r="AA834" s="5"/>
      <c r="AC834" s="7"/>
      <c r="AE834" s="54" t="e">
        <f t="shared" si="106"/>
        <v>#N/A</v>
      </c>
      <c r="AF834" s="4" t="e">
        <f t="shared" si="102"/>
        <v>#N/A</v>
      </c>
    </row>
    <row r="835" spans="2:32">
      <c r="B835" s="5">
        <f t="shared" si="107"/>
        <v>823</v>
      </c>
      <c r="C835" s="5"/>
      <c r="E835" s="13"/>
      <c r="F835" s="5"/>
      <c r="G835" s="11" t="str">
        <f>IF(ISERROR(AVERAGE(F$13:F835)),"n/a",AVERAGE(F$13:F835))</f>
        <v>n/a</v>
      </c>
      <c r="H835" s="11" t="str">
        <f t="shared" si="103"/>
        <v>n/a</v>
      </c>
      <c r="J835" s="5"/>
      <c r="K835" s="5"/>
      <c r="L835" s="5"/>
      <c r="M835" s="5"/>
      <c r="N835" s="5"/>
      <c r="O835" s="8" t="str">
        <f t="shared" si="101"/>
        <v>n/a</v>
      </c>
      <c r="Q835" s="5"/>
      <c r="R835" s="5"/>
      <c r="S835" s="5"/>
      <c r="U835" s="6"/>
      <c r="V835" s="9" t="str">
        <f t="shared" si="104"/>
        <v/>
      </c>
      <c r="W835" s="9" t="str">
        <f t="shared" si="105"/>
        <v/>
      </c>
      <c r="X835" s="10">
        <f>SUM(V$13:V835)/COUNTA(B$13:B835)</f>
        <v>0</v>
      </c>
      <c r="Z835" s="5"/>
      <c r="AA835" s="5"/>
      <c r="AC835" s="7"/>
      <c r="AE835" s="54" t="e">
        <f t="shared" si="106"/>
        <v>#N/A</v>
      </c>
      <c r="AF835" s="4" t="e">
        <f t="shared" si="102"/>
        <v>#N/A</v>
      </c>
    </row>
    <row r="836" spans="2:32">
      <c r="B836" s="5">
        <f t="shared" si="107"/>
        <v>824</v>
      </c>
      <c r="C836" s="5"/>
      <c r="E836" s="13"/>
      <c r="F836" s="5"/>
      <c r="G836" s="11" t="str">
        <f>IF(ISERROR(AVERAGE(F$13:F836)),"n/a",AVERAGE(F$13:F836))</f>
        <v>n/a</v>
      </c>
      <c r="H836" s="11" t="str">
        <f t="shared" si="103"/>
        <v>n/a</v>
      </c>
      <c r="J836" s="5"/>
      <c r="K836" s="5"/>
      <c r="L836" s="5"/>
      <c r="M836" s="5"/>
      <c r="N836" s="5"/>
      <c r="O836" s="8" t="str">
        <f t="shared" si="101"/>
        <v>n/a</v>
      </c>
      <c r="Q836" s="5"/>
      <c r="R836" s="5"/>
      <c r="S836" s="5"/>
      <c r="U836" s="6"/>
      <c r="V836" s="9" t="str">
        <f t="shared" si="104"/>
        <v/>
      </c>
      <c r="W836" s="9" t="str">
        <f t="shared" si="105"/>
        <v/>
      </c>
      <c r="X836" s="10">
        <f>SUM(V$13:V836)/COUNTA(B$13:B836)</f>
        <v>0</v>
      </c>
      <c r="Z836" s="5"/>
      <c r="AA836" s="5"/>
      <c r="AC836" s="7"/>
      <c r="AE836" s="54" t="e">
        <f t="shared" si="106"/>
        <v>#N/A</v>
      </c>
      <c r="AF836" s="4" t="e">
        <f t="shared" si="102"/>
        <v>#N/A</v>
      </c>
    </row>
    <row r="837" spans="2:32">
      <c r="B837" s="5">
        <f t="shared" si="107"/>
        <v>825</v>
      </c>
      <c r="C837" s="5"/>
      <c r="E837" s="13"/>
      <c r="F837" s="5"/>
      <c r="G837" s="11" t="str">
        <f>IF(ISERROR(AVERAGE(F$13:F837)),"n/a",AVERAGE(F$13:F837))</f>
        <v>n/a</v>
      </c>
      <c r="H837" s="11" t="str">
        <f t="shared" si="103"/>
        <v>n/a</v>
      </c>
      <c r="J837" s="5"/>
      <c r="K837" s="5"/>
      <c r="L837" s="5"/>
      <c r="M837" s="5"/>
      <c r="N837" s="5"/>
      <c r="O837" s="8" t="str">
        <f t="shared" si="101"/>
        <v>n/a</v>
      </c>
      <c r="Q837" s="5"/>
      <c r="R837" s="5"/>
      <c r="S837" s="5"/>
      <c r="U837" s="6"/>
      <c r="V837" s="9" t="str">
        <f t="shared" si="104"/>
        <v/>
      </c>
      <c r="W837" s="9" t="str">
        <f t="shared" si="105"/>
        <v/>
      </c>
      <c r="X837" s="10">
        <f>SUM(V$13:V837)/COUNTA(B$13:B837)</f>
        <v>0</v>
      </c>
      <c r="Z837" s="5"/>
      <c r="AA837" s="5"/>
      <c r="AC837" s="7"/>
      <c r="AE837" s="54" t="e">
        <f t="shared" si="106"/>
        <v>#N/A</v>
      </c>
      <c r="AF837" s="4" t="e">
        <f t="shared" si="102"/>
        <v>#N/A</v>
      </c>
    </row>
    <row r="838" spans="2:32">
      <c r="B838" s="5">
        <f t="shared" si="107"/>
        <v>826</v>
      </c>
      <c r="C838" s="5"/>
      <c r="E838" s="13"/>
      <c r="F838" s="5"/>
      <c r="G838" s="11" t="str">
        <f>IF(ISERROR(AVERAGE(F$13:F838)),"n/a",AVERAGE(F$13:F838))</f>
        <v>n/a</v>
      </c>
      <c r="H838" s="11" t="str">
        <f t="shared" si="103"/>
        <v>n/a</v>
      </c>
      <c r="J838" s="5"/>
      <c r="K838" s="5"/>
      <c r="L838" s="5"/>
      <c r="M838" s="5"/>
      <c r="N838" s="5"/>
      <c r="O838" s="8" t="str">
        <f t="shared" si="101"/>
        <v>n/a</v>
      </c>
      <c r="Q838" s="5"/>
      <c r="R838" s="5"/>
      <c r="S838" s="5"/>
      <c r="U838" s="6"/>
      <c r="V838" s="9" t="str">
        <f t="shared" si="104"/>
        <v/>
      </c>
      <c r="W838" s="9" t="str">
        <f t="shared" si="105"/>
        <v/>
      </c>
      <c r="X838" s="10">
        <f>SUM(V$13:V838)/COUNTA(B$13:B838)</f>
        <v>0</v>
      </c>
      <c r="Z838" s="5"/>
      <c r="AA838" s="5"/>
      <c r="AC838" s="7"/>
      <c r="AE838" s="54" t="e">
        <f t="shared" si="106"/>
        <v>#N/A</v>
      </c>
      <c r="AF838" s="4" t="e">
        <f t="shared" si="102"/>
        <v>#N/A</v>
      </c>
    </row>
    <row r="839" spans="2:32">
      <c r="B839" s="5">
        <f t="shared" si="107"/>
        <v>827</v>
      </c>
      <c r="C839" s="5"/>
      <c r="E839" s="13"/>
      <c r="F839" s="5"/>
      <c r="G839" s="11" t="str">
        <f>IF(ISERROR(AVERAGE(F$13:F839)),"n/a",AVERAGE(F$13:F839))</f>
        <v>n/a</v>
      </c>
      <c r="H839" s="11" t="str">
        <f t="shared" si="103"/>
        <v>n/a</v>
      </c>
      <c r="J839" s="5"/>
      <c r="K839" s="5"/>
      <c r="L839" s="5"/>
      <c r="M839" s="5"/>
      <c r="N839" s="5"/>
      <c r="O839" s="8" t="str">
        <f t="shared" si="101"/>
        <v>n/a</v>
      </c>
      <c r="Q839" s="5"/>
      <c r="R839" s="5"/>
      <c r="S839" s="5"/>
      <c r="U839" s="6"/>
      <c r="V839" s="9" t="str">
        <f t="shared" si="104"/>
        <v/>
      </c>
      <c r="W839" s="9" t="str">
        <f t="shared" si="105"/>
        <v/>
      </c>
      <c r="X839" s="10">
        <f>SUM(V$13:V839)/COUNTA(B$13:B839)</f>
        <v>0</v>
      </c>
      <c r="Z839" s="5"/>
      <c r="AA839" s="5"/>
      <c r="AC839" s="7"/>
      <c r="AE839" s="54" t="e">
        <f t="shared" si="106"/>
        <v>#N/A</v>
      </c>
      <c r="AF839" s="4" t="e">
        <f t="shared" si="102"/>
        <v>#N/A</v>
      </c>
    </row>
    <row r="840" spans="2:32">
      <c r="B840" s="5">
        <f t="shared" si="107"/>
        <v>828</v>
      </c>
      <c r="C840" s="5"/>
      <c r="E840" s="13"/>
      <c r="F840" s="5"/>
      <c r="G840" s="11" t="str">
        <f>IF(ISERROR(AVERAGE(F$13:F840)),"n/a",AVERAGE(F$13:F840))</f>
        <v>n/a</v>
      </c>
      <c r="H840" s="11" t="str">
        <f t="shared" si="103"/>
        <v>n/a</v>
      </c>
      <c r="J840" s="5"/>
      <c r="K840" s="5"/>
      <c r="L840" s="5"/>
      <c r="M840" s="5"/>
      <c r="N840" s="5"/>
      <c r="O840" s="8" t="str">
        <f t="shared" si="101"/>
        <v>n/a</v>
      </c>
      <c r="Q840" s="5"/>
      <c r="R840" s="5"/>
      <c r="S840" s="5"/>
      <c r="U840" s="6"/>
      <c r="V840" s="9" t="str">
        <f t="shared" si="104"/>
        <v/>
      </c>
      <c r="W840" s="9" t="str">
        <f t="shared" si="105"/>
        <v/>
      </c>
      <c r="X840" s="10">
        <f>SUM(V$13:V840)/COUNTA(B$13:B840)</f>
        <v>0</v>
      </c>
      <c r="Z840" s="5"/>
      <c r="AA840" s="5"/>
      <c r="AC840" s="7"/>
      <c r="AE840" s="54" t="e">
        <f t="shared" si="106"/>
        <v>#N/A</v>
      </c>
      <c r="AF840" s="4" t="e">
        <f t="shared" si="102"/>
        <v>#N/A</v>
      </c>
    </row>
    <row r="841" spans="2:32">
      <c r="B841" s="5">
        <f t="shared" si="107"/>
        <v>829</v>
      </c>
      <c r="C841" s="5"/>
      <c r="E841" s="13"/>
      <c r="F841" s="5"/>
      <c r="G841" s="11" t="str">
        <f>IF(ISERROR(AVERAGE(F$13:F841)),"n/a",AVERAGE(F$13:F841))</f>
        <v>n/a</v>
      </c>
      <c r="H841" s="11" t="str">
        <f t="shared" si="103"/>
        <v>n/a</v>
      </c>
      <c r="J841" s="5"/>
      <c r="K841" s="5"/>
      <c r="L841" s="5"/>
      <c r="M841" s="5"/>
      <c r="N841" s="5"/>
      <c r="O841" s="8" t="str">
        <f t="shared" si="101"/>
        <v>n/a</v>
      </c>
      <c r="Q841" s="5"/>
      <c r="R841" s="5"/>
      <c r="S841" s="5"/>
      <c r="U841" s="6"/>
      <c r="V841" s="9" t="str">
        <f t="shared" si="104"/>
        <v/>
      </c>
      <c r="W841" s="9" t="str">
        <f t="shared" si="105"/>
        <v/>
      </c>
      <c r="X841" s="10">
        <f>SUM(V$13:V841)/COUNTA(B$13:B841)</f>
        <v>0</v>
      </c>
      <c r="Z841" s="5"/>
      <c r="AA841" s="5"/>
      <c r="AC841" s="7"/>
      <c r="AE841" s="54" t="e">
        <f t="shared" si="106"/>
        <v>#N/A</v>
      </c>
      <c r="AF841" s="4" t="e">
        <f t="shared" si="102"/>
        <v>#N/A</v>
      </c>
    </row>
    <row r="842" spans="2:32">
      <c r="B842" s="5">
        <f t="shared" si="107"/>
        <v>830</v>
      </c>
      <c r="C842" s="5"/>
      <c r="E842" s="13"/>
      <c r="F842" s="5"/>
      <c r="G842" s="11" t="str">
        <f>IF(ISERROR(AVERAGE(F$13:F842)),"n/a",AVERAGE(F$13:F842))</f>
        <v>n/a</v>
      </c>
      <c r="H842" s="11" t="str">
        <f t="shared" si="103"/>
        <v>n/a</v>
      </c>
      <c r="J842" s="5"/>
      <c r="K842" s="5"/>
      <c r="L842" s="5"/>
      <c r="M842" s="5"/>
      <c r="N842" s="5"/>
      <c r="O842" s="8" t="str">
        <f t="shared" si="101"/>
        <v>n/a</v>
      </c>
      <c r="Q842" s="5"/>
      <c r="R842" s="5"/>
      <c r="S842" s="5"/>
      <c r="U842" s="6"/>
      <c r="V842" s="9" t="str">
        <f t="shared" si="104"/>
        <v/>
      </c>
      <c r="W842" s="9" t="str">
        <f t="shared" si="105"/>
        <v/>
      </c>
      <c r="X842" s="10">
        <f>SUM(V$13:V842)/COUNTA(B$13:B842)</f>
        <v>0</v>
      </c>
      <c r="Z842" s="5"/>
      <c r="AA842" s="5"/>
      <c r="AC842" s="7"/>
      <c r="AE842" s="54" t="e">
        <f t="shared" si="106"/>
        <v>#N/A</v>
      </c>
      <c r="AF842" s="4" t="e">
        <f t="shared" si="102"/>
        <v>#N/A</v>
      </c>
    </row>
    <row r="843" spans="2:32">
      <c r="B843" s="5">
        <f t="shared" si="107"/>
        <v>831</v>
      </c>
      <c r="C843" s="5"/>
      <c r="E843" s="13"/>
      <c r="F843" s="5"/>
      <c r="G843" s="11" t="str">
        <f>IF(ISERROR(AVERAGE(F$13:F843)),"n/a",AVERAGE(F$13:F843))</f>
        <v>n/a</v>
      </c>
      <c r="H843" s="11" t="str">
        <f t="shared" si="103"/>
        <v>n/a</v>
      </c>
      <c r="J843" s="5"/>
      <c r="K843" s="5"/>
      <c r="L843" s="5"/>
      <c r="M843" s="5"/>
      <c r="N843" s="5"/>
      <c r="O843" s="8" t="str">
        <f t="shared" si="101"/>
        <v>n/a</v>
      </c>
      <c r="Q843" s="5"/>
      <c r="R843" s="5"/>
      <c r="S843" s="5"/>
      <c r="U843" s="6"/>
      <c r="V843" s="9" t="str">
        <f t="shared" si="104"/>
        <v/>
      </c>
      <c r="W843" s="9" t="str">
        <f t="shared" si="105"/>
        <v/>
      </c>
      <c r="X843" s="10">
        <f>SUM(V$13:V843)/COUNTA(B$13:B843)</f>
        <v>0</v>
      </c>
      <c r="Z843" s="5"/>
      <c r="AA843" s="5"/>
      <c r="AC843" s="7"/>
      <c r="AE843" s="54" t="e">
        <f t="shared" si="106"/>
        <v>#N/A</v>
      </c>
      <c r="AF843" s="4" t="e">
        <f t="shared" si="102"/>
        <v>#N/A</v>
      </c>
    </row>
    <row r="844" spans="2:32">
      <c r="B844" s="5">
        <f t="shared" si="107"/>
        <v>832</v>
      </c>
      <c r="C844" s="5"/>
      <c r="E844" s="13"/>
      <c r="F844" s="5"/>
      <c r="G844" s="11" t="str">
        <f>IF(ISERROR(AVERAGE(F$13:F844)),"n/a",AVERAGE(F$13:F844))</f>
        <v>n/a</v>
      </c>
      <c r="H844" s="11" t="str">
        <f t="shared" si="103"/>
        <v>n/a</v>
      </c>
      <c r="J844" s="5"/>
      <c r="K844" s="5"/>
      <c r="L844" s="5"/>
      <c r="M844" s="5"/>
      <c r="N844" s="5"/>
      <c r="O844" s="8" t="str">
        <f t="shared" si="101"/>
        <v>n/a</v>
      </c>
      <c r="Q844" s="5"/>
      <c r="R844" s="5"/>
      <c r="S844" s="5"/>
      <c r="U844" s="6"/>
      <c r="V844" s="9" t="str">
        <f t="shared" si="104"/>
        <v/>
      </c>
      <c r="W844" s="9" t="str">
        <f t="shared" si="105"/>
        <v/>
      </c>
      <c r="X844" s="10">
        <f>SUM(V$13:V844)/COUNTA(B$13:B844)</f>
        <v>0</v>
      </c>
      <c r="Z844" s="5"/>
      <c r="AA844" s="5"/>
      <c r="AC844" s="7"/>
      <c r="AE844" s="54" t="e">
        <f t="shared" si="106"/>
        <v>#N/A</v>
      </c>
      <c r="AF844" s="4" t="e">
        <f t="shared" si="102"/>
        <v>#N/A</v>
      </c>
    </row>
    <row r="845" spans="2:32">
      <c r="B845" s="5">
        <f t="shared" si="107"/>
        <v>833</v>
      </c>
      <c r="C845" s="5"/>
      <c r="E845" s="13"/>
      <c r="F845" s="5"/>
      <c r="G845" s="11" t="str">
        <f>IF(ISERROR(AVERAGE(F$13:F845)),"n/a",AVERAGE(F$13:F845))</f>
        <v>n/a</v>
      </c>
      <c r="H845" s="11" t="str">
        <f t="shared" si="103"/>
        <v>n/a</v>
      </c>
      <c r="J845" s="5"/>
      <c r="K845" s="5"/>
      <c r="L845" s="5"/>
      <c r="M845" s="5"/>
      <c r="N845" s="5"/>
      <c r="O845" s="8" t="str">
        <f t="shared" ref="O845:O908" si="108">IF(J845=1,"A",IF(K845=1,"B",IF(L845=1,"C",IF(M845=1,"D",IF(N845=1,"E","n/a")))))</f>
        <v>n/a</v>
      </c>
      <c r="Q845" s="5"/>
      <c r="R845" s="5"/>
      <c r="S845" s="5"/>
      <c r="U845" s="6"/>
      <c r="V845" s="9" t="str">
        <f t="shared" si="104"/>
        <v/>
      </c>
      <c r="W845" s="9" t="str">
        <f t="shared" si="105"/>
        <v/>
      </c>
      <c r="X845" s="10">
        <f>SUM(V$13:V845)/COUNTA(B$13:B845)</f>
        <v>0</v>
      </c>
      <c r="Z845" s="5"/>
      <c r="AA845" s="5"/>
      <c r="AC845" s="7"/>
      <c r="AE845" s="54" t="e">
        <f t="shared" si="106"/>
        <v>#N/A</v>
      </c>
      <c r="AF845" s="4" t="e">
        <f t="shared" ref="AF845:AF908" si="109">HLOOKUP(C845,$K$6:$O$7,2,FALSE)</f>
        <v>#N/A</v>
      </c>
    </row>
    <row r="846" spans="2:32">
      <c r="B846" s="5">
        <f t="shared" si="107"/>
        <v>834</v>
      </c>
      <c r="C846" s="5"/>
      <c r="E846" s="13"/>
      <c r="F846" s="5"/>
      <c r="G846" s="11" t="str">
        <f>IF(ISERROR(AVERAGE(F$13:F846)),"n/a",AVERAGE(F$13:F846))</f>
        <v>n/a</v>
      </c>
      <c r="H846" s="11" t="str">
        <f t="shared" ref="H846:H909" si="110">G846</f>
        <v>n/a</v>
      </c>
      <c r="J846" s="5"/>
      <c r="K846" s="5"/>
      <c r="L846" s="5"/>
      <c r="M846" s="5"/>
      <c r="N846" s="5"/>
      <c r="O846" s="8" t="str">
        <f t="shared" si="108"/>
        <v>n/a</v>
      </c>
      <c r="Q846" s="5"/>
      <c r="R846" s="5"/>
      <c r="S846" s="5"/>
      <c r="U846" s="6"/>
      <c r="V846" s="9" t="str">
        <f t="shared" ref="V846:V909" si="111">IF(O846="n/a","",IF(O846=U846,1,""))</f>
        <v/>
      </c>
      <c r="W846" s="9" t="str">
        <f t="shared" ref="W846:W909" si="112">IF(O846="n/a","",IF(O846&lt;&gt;U846,1,""))</f>
        <v/>
      </c>
      <c r="X846" s="10">
        <f>SUM(V$13:V846)/COUNTA(B$13:B846)</f>
        <v>0</v>
      </c>
      <c r="Z846" s="5"/>
      <c r="AA846" s="5"/>
      <c r="AC846" s="7"/>
      <c r="AE846" s="54" t="e">
        <f t="shared" ref="AE846:AE909" si="113">+IF($F$4=0,0,IF(W846=1,1,IF(OR(R846*$F$8=1,S846*$F$9=1,F846&gt;=AF846),2,0)))</f>
        <v>#N/A</v>
      </c>
      <c r="AF846" s="4" t="e">
        <f t="shared" si="109"/>
        <v>#N/A</v>
      </c>
    </row>
    <row r="847" spans="2:32">
      <c r="B847" s="5">
        <f t="shared" si="107"/>
        <v>835</v>
      </c>
      <c r="C847" s="5"/>
      <c r="E847" s="13"/>
      <c r="F847" s="5"/>
      <c r="G847" s="11" t="str">
        <f>IF(ISERROR(AVERAGE(F$13:F847)),"n/a",AVERAGE(F$13:F847))</f>
        <v>n/a</v>
      </c>
      <c r="H847" s="11" t="str">
        <f t="shared" si="110"/>
        <v>n/a</v>
      </c>
      <c r="J847" s="5"/>
      <c r="K847" s="5"/>
      <c r="L847" s="5"/>
      <c r="M847" s="5"/>
      <c r="N847" s="5"/>
      <c r="O847" s="8" t="str">
        <f t="shared" si="108"/>
        <v>n/a</v>
      </c>
      <c r="Q847" s="5"/>
      <c r="R847" s="5"/>
      <c r="S847" s="5"/>
      <c r="U847" s="6"/>
      <c r="V847" s="9" t="str">
        <f t="shared" si="111"/>
        <v/>
      </c>
      <c r="W847" s="9" t="str">
        <f t="shared" si="112"/>
        <v/>
      </c>
      <c r="X847" s="10">
        <f>SUM(V$13:V847)/COUNTA(B$13:B847)</f>
        <v>0</v>
      </c>
      <c r="Z847" s="5"/>
      <c r="AA847" s="5"/>
      <c r="AC847" s="7"/>
      <c r="AE847" s="54" t="e">
        <f t="shared" si="113"/>
        <v>#N/A</v>
      </c>
      <c r="AF847" s="4" t="e">
        <f t="shared" si="109"/>
        <v>#N/A</v>
      </c>
    </row>
    <row r="848" spans="2:32">
      <c r="B848" s="5">
        <f t="shared" si="107"/>
        <v>836</v>
      </c>
      <c r="C848" s="5"/>
      <c r="E848" s="13"/>
      <c r="F848" s="5"/>
      <c r="G848" s="11" t="str">
        <f>IF(ISERROR(AVERAGE(F$13:F848)),"n/a",AVERAGE(F$13:F848))</f>
        <v>n/a</v>
      </c>
      <c r="H848" s="11" t="str">
        <f t="shared" si="110"/>
        <v>n/a</v>
      </c>
      <c r="J848" s="5"/>
      <c r="K848" s="5"/>
      <c r="L848" s="5"/>
      <c r="M848" s="5"/>
      <c r="N848" s="5"/>
      <c r="O848" s="8" t="str">
        <f t="shared" si="108"/>
        <v>n/a</v>
      </c>
      <c r="Q848" s="5"/>
      <c r="R848" s="5"/>
      <c r="S848" s="5"/>
      <c r="U848" s="6"/>
      <c r="V848" s="9" t="str">
        <f t="shared" si="111"/>
        <v/>
      </c>
      <c r="W848" s="9" t="str">
        <f t="shared" si="112"/>
        <v/>
      </c>
      <c r="X848" s="10">
        <f>SUM(V$13:V848)/COUNTA(B$13:B848)</f>
        <v>0</v>
      </c>
      <c r="Z848" s="5"/>
      <c r="AA848" s="5"/>
      <c r="AC848" s="7"/>
      <c r="AE848" s="54" t="e">
        <f t="shared" si="113"/>
        <v>#N/A</v>
      </c>
      <c r="AF848" s="4" t="e">
        <f t="shared" si="109"/>
        <v>#N/A</v>
      </c>
    </row>
    <row r="849" spans="2:32">
      <c r="B849" s="5">
        <f t="shared" si="107"/>
        <v>837</v>
      </c>
      <c r="C849" s="5"/>
      <c r="E849" s="13"/>
      <c r="F849" s="5"/>
      <c r="G849" s="11" t="str">
        <f>IF(ISERROR(AVERAGE(F$13:F849)),"n/a",AVERAGE(F$13:F849))</f>
        <v>n/a</v>
      </c>
      <c r="H849" s="11" t="str">
        <f t="shared" si="110"/>
        <v>n/a</v>
      </c>
      <c r="J849" s="5"/>
      <c r="K849" s="5"/>
      <c r="L849" s="5"/>
      <c r="M849" s="5"/>
      <c r="N849" s="5"/>
      <c r="O849" s="8" t="str">
        <f t="shared" si="108"/>
        <v>n/a</v>
      </c>
      <c r="Q849" s="5"/>
      <c r="R849" s="5"/>
      <c r="S849" s="5"/>
      <c r="U849" s="6"/>
      <c r="V849" s="9" t="str">
        <f t="shared" si="111"/>
        <v/>
      </c>
      <c r="W849" s="9" t="str">
        <f t="shared" si="112"/>
        <v/>
      </c>
      <c r="X849" s="10">
        <f>SUM(V$13:V849)/COUNTA(B$13:B849)</f>
        <v>0</v>
      </c>
      <c r="Z849" s="5"/>
      <c r="AA849" s="5"/>
      <c r="AC849" s="7"/>
      <c r="AE849" s="54" t="e">
        <f t="shared" si="113"/>
        <v>#N/A</v>
      </c>
      <c r="AF849" s="4" t="e">
        <f t="shared" si="109"/>
        <v>#N/A</v>
      </c>
    </row>
    <row r="850" spans="2:32">
      <c r="B850" s="5">
        <f t="shared" si="107"/>
        <v>838</v>
      </c>
      <c r="C850" s="5"/>
      <c r="E850" s="13"/>
      <c r="F850" s="5"/>
      <c r="G850" s="11" t="str">
        <f>IF(ISERROR(AVERAGE(F$13:F850)),"n/a",AVERAGE(F$13:F850))</f>
        <v>n/a</v>
      </c>
      <c r="H850" s="11" t="str">
        <f t="shared" si="110"/>
        <v>n/a</v>
      </c>
      <c r="J850" s="5"/>
      <c r="K850" s="5"/>
      <c r="L850" s="5"/>
      <c r="M850" s="5"/>
      <c r="N850" s="5"/>
      <c r="O850" s="8" t="str">
        <f t="shared" si="108"/>
        <v>n/a</v>
      </c>
      <c r="Q850" s="5"/>
      <c r="R850" s="5"/>
      <c r="S850" s="5"/>
      <c r="U850" s="6"/>
      <c r="V850" s="9" t="str">
        <f t="shared" si="111"/>
        <v/>
      </c>
      <c r="W850" s="9" t="str">
        <f t="shared" si="112"/>
        <v/>
      </c>
      <c r="X850" s="10">
        <f>SUM(V$13:V850)/COUNTA(B$13:B850)</f>
        <v>0</v>
      </c>
      <c r="Z850" s="5"/>
      <c r="AA850" s="5"/>
      <c r="AC850" s="7"/>
      <c r="AE850" s="54" t="e">
        <f t="shared" si="113"/>
        <v>#N/A</v>
      </c>
      <c r="AF850" s="4" t="e">
        <f t="shared" si="109"/>
        <v>#N/A</v>
      </c>
    </row>
    <row r="851" spans="2:32">
      <c r="B851" s="5">
        <f t="shared" ref="B851:B914" si="114">+B850+1</f>
        <v>839</v>
      </c>
      <c r="C851" s="5"/>
      <c r="E851" s="13"/>
      <c r="F851" s="5"/>
      <c r="G851" s="11" t="str">
        <f>IF(ISERROR(AVERAGE(F$13:F851)),"n/a",AVERAGE(F$13:F851))</f>
        <v>n/a</v>
      </c>
      <c r="H851" s="11" t="str">
        <f t="shared" si="110"/>
        <v>n/a</v>
      </c>
      <c r="J851" s="5"/>
      <c r="K851" s="5"/>
      <c r="L851" s="5"/>
      <c r="M851" s="5"/>
      <c r="N851" s="5"/>
      <c r="O851" s="8" t="str">
        <f t="shared" si="108"/>
        <v>n/a</v>
      </c>
      <c r="Q851" s="5"/>
      <c r="R851" s="5"/>
      <c r="S851" s="5"/>
      <c r="U851" s="6"/>
      <c r="V851" s="9" t="str">
        <f t="shared" si="111"/>
        <v/>
      </c>
      <c r="W851" s="9" t="str">
        <f t="shared" si="112"/>
        <v/>
      </c>
      <c r="X851" s="10">
        <f>SUM(V$13:V851)/COUNTA(B$13:B851)</f>
        <v>0</v>
      </c>
      <c r="Z851" s="5"/>
      <c r="AA851" s="5"/>
      <c r="AC851" s="7"/>
      <c r="AE851" s="54" t="e">
        <f t="shared" si="113"/>
        <v>#N/A</v>
      </c>
      <c r="AF851" s="4" t="e">
        <f t="shared" si="109"/>
        <v>#N/A</v>
      </c>
    </row>
    <row r="852" spans="2:32">
      <c r="B852" s="5">
        <f t="shared" si="114"/>
        <v>840</v>
      </c>
      <c r="C852" s="5"/>
      <c r="E852" s="13"/>
      <c r="F852" s="5"/>
      <c r="G852" s="11" t="str">
        <f>IF(ISERROR(AVERAGE(F$13:F852)),"n/a",AVERAGE(F$13:F852))</f>
        <v>n/a</v>
      </c>
      <c r="H852" s="11" t="str">
        <f t="shared" si="110"/>
        <v>n/a</v>
      </c>
      <c r="J852" s="5"/>
      <c r="K852" s="5"/>
      <c r="L852" s="5"/>
      <c r="M852" s="5"/>
      <c r="N852" s="5"/>
      <c r="O852" s="8" t="str">
        <f t="shared" si="108"/>
        <v>n/a</v>
      </c>
      <c r="Q852" s="5"/>
      <c r="R852" s="5"/>
      <c r="S852" s="5"/>
      <c r="U852" s="6"/>
      <c r="V852" s="9" t="str">
        <f t="shared" si="111"/>
        <v/>
      </c>
      <c r="W852" s="9" t="str">
        <f t="shared" si="112"/>
        <v/>
      </c>
      <c r="X852" s="10">
        <f>SUM(V$13:V852)/COUNTA(B$13:B852)</f>
        <v>0</v>
      </c>
      <c r="Z852" s="5"/>
      <c r="AA852" s="5"/>
      <c r="AC852" s="7"/>
      <c r="AE852" s="54" t="e">
        <f t="shared" si="113"/>
        <v>#N/A</v>
      </c>
      <c r="AF852" s="4" t="e">
        <f t="shared" si="109"/>
        <v>#N/A</v>
      </c>
    </row>
    <row r="853" spans="2:32">
      <c r="B853" s="5">
        <f t="shared" si="114"/>
        <v>841</v>
      </c>
      <c r="C853" s="5"/>
      <c r="E853" s="13"/>
      <c r="F853" s="5"/>
      <c r="G853" s="11" t="str">
        <f>IF(ISERROR(AVERAGE(F$13:F853)),"n/a",AVERAGE(F$13:F853))</f>
        <v>n/a</v>
      </c>
      <c r="H853" s="11" t="str">
        <f t="shared" si="110"/>
        <v>n/a</v>
      </c>
      <c r="J853" s="5"/>
      <c r="K853" s="5"/>
      <c r="L853" s="5"/>
      <c r="M853" s="5"/>
      <c r="N853" s="5"/>
      <c r="O853" s="8" t="str">
        <f t="shared" si="108"/>
        <v>n/a</v>
      </c>
      <c r="Q853" s="5"/>
      <c r="R853" s="5"/>
      <c r="S853" s="5"/>
      <c r="U853" s="6"/>
      <c r="V853" s="9" t="str">
        <f t="shared" si="111"/>
        <v/>
      </c>
      <c r="W853" s="9" t="str">
        <f t="shared" si="112"/>
        <v/>
      </c>
      <c r="X853" s="10">
        <f>SUM(V$13:V853)/COUNTA(B$13:B853)</f>
        <v>0</v>
      </c>
      <c r="Z853" s="5"/>
      <c r="AA853" s="5"/>
      <c r="AC853" s="7"/>
      <c r="AE853" s="54" t="e">
        <f t="shared" si="113"/>
        <v>#N/A</v>
      </c>
      <c r="AF853" s="4" t="e">
        <f t="shared" si="109"/>
        <v>#N/A</v>
      </c>
    </row>
    <row r="854" spans="2:32">
      <c r="B854" s="5">
        <f t="shared" si="114"/>
        <v>842</v>
      </c>
      <c r="C854" s="5"/>
      <c r="E854" s="13"/>
      <c r="F854" s="5"/>
      <c r="G854" s="11" t="str">
        <f>IF(ISERROR(AVERAGE(F$13:F854)),"n/a",AVERAGE(F$13:F854))</f>
        <v>n/a</v>
      </c>
      <c r="H854" s="11" t="str">
        <f t="shared" si="110"/>
        <v>n/a</v>
      </c>
      <c r="J854" s="5"/>
      <c r="K854" s="5"/>
      <c r="L854" s="5"/>
      <c r="M854" s="5"/>
      <c r="N854" s="5"/>
      <c r="O854" s="8" t="str">
        <f t="shared" si="108"/>
        <v>n/a</v>
      </c>
      <c r="Q854" s="5"/>
      <c r="R854" s="5"/>
      <c r="S854" s="5"/>
      <c r="U854" s="6"/>
      <c r="V854" s="9" t="str">
        <f t="shared" si="111"/>
        <v/>
      </c>
      <c r="W854" s="9" t="str">
        <f t="shared" si="112"/>
        <v/>
      </c>
      <c r="X854" s="10">
        <f>SUM(V$13:V854)/COUNTA(B$13:B854)</f>
        <v>0</v>
      </c>
      <c r="Z854" s="5"/>
      <c r="AA854" s="5"/>
      <c r="AC854" s="7"/>
      <c r="AE854" s="54" t="e">
        <f t="shared" si="113"/>
        <v>#N/A</v>
      </c>
      <c r="AF854" s="4" t="e">
        <f t="shared" si="109"/>
        <v>#N/A</v>
      </c>
    </row>
    <row r="855" spans="2:32">
      <c r="B855" s="5">
        <f t="shared" si="114"/>
        <v>843</v>
      </c>
      <c r="C855" s="5"/>
      <c r="E855" s="13"/>
      <c r="F855" s="5"/>
      <c r="G855" s="11" t="str">
        <f>IF(ISERROR(AVERAGE(F$13:F855)),"n/a",AVERAGE(F$13:F855))</f>
        <v>n/a</v>
      </c>
      <c r="H855" s="11" t="str">
        <f t="shared" si="110"/>
        <v>n/a</v>
      </c>
      <c r="J855" s="5"/>
      <c r="K855" s="5"/>
      <c r="L855" s="5"/>
      <c r="M855" s="5"/>
      <c r="N855" s="5"/>
      <c r="O855" s="8" t="str">
        <f t="shared" si="108"/>
        <v>n/a</v>
      </c>
      <c r="Q855" s="5"/>
      <c r="R855" s="5"/>
      <c r="S855" s="5"/>
      <c r="U855" s="6"/>
      <c r="V855" s="9" t="str">
        <f t="shared" si="111"/>
        <v/>
      </c>
      <c r="W855" s="9" t="str">
        <f t="shared" si="112"/>
        <v/>
      </c>
      <c r="X855" s="10">
        <f>SUM(V$13:V855)/COUNTA(B$13:B855)</f>
        <v>0</v>
      </c>
      <c r="Z855" s="5"/>
      <c r="AA855" s="5"/>
      <c r="AC855" s="7"/>
      <c r="AE855" s="54" t="e">
        <f t="shared" si="113"/>
        <v>#N/A</v>
      </c>
      <c r="AF855" s="4" t="e">
        <f t="shared" si="109"/>
        <v>#N/A</v>
      </c>
    </row>
    <row r="856" spans="2:32">
      <c r="B856" s="5">
        <f t="shared" si="114"/>
        <v>844</v>
      </c>
      <c r="C856" s="5"/>
      <c r="E856" s="13"/>
      <c r="F856" s="5"/>
      <c r="G856" s="11" t="str">
        <f>IF(ISERROR(AVERAGE(F$13:F856)),"n/a",AVERAGE(F$13:F856))</f>
        <v>n/a</v>
      </c>
      <c r="H856" s="11" t="str">
        <f t="shared" si="110"/>
        <v>n/a</v>
      </c>
      <c r="J856" s="5"/>
      <c r="K856" s="5"/>
      <c r="L856" s="5"/>
      <c r="M856" s="5"/>
      <c r="N856" s="5"/>
      <c r="O856" s="8" t="str">
        <f t="shared" si="108"/>
        <v>n/a</v>
      </c>
      <c r="Q856" s="5"/>
      <c r="R856" s="5"/>
      <c r="S856" s="5"/>
      <c r="U856" s="6"/>
      <c r="V856" s="9" t="str">
        <f t="shared" si="111"/>
        <v/>
      </c>
      <c r="W856" s="9" t="str">
        <f t="shared" si="112"/>
        <v/>
      </c>
      <c r="X856" s="10">
        <f>SUM(V$13:V856)/COUNTA(B$13:B856)</f>
        <v>0</v>
      </c>
      <c r="Z856" s="5"/>
      <c r="AA856" s="5"/>
      <c r="AC856" s="7"/>
      <c r="AE856" s="54" t="e">
        <f t="shared" si="113"/>
        <v>#N/A</v>
      </c>
      <c r="AF856" s="4" t="e">
        <f t="shared" si="109"/>
        <v>#N/A</v>
      </c>
    </row>
    <row r="857" spans="2:32">
      <c r="B857" s="5">
        <f t="shared" si="114"/>
        <v>845</v>
      </c>
      <c r="C857" s="5"/>
      <c r="E857" s="13"/>
      <c r="F857" s="5"/>
      <c r="G857" s="11" t="str">
        <f>IF(ISERROR(AVERAGE(F$13:F857)),"n/a",AVERAGE(F$13:F857))</f>
        <v>n/a</v>
      </c>
      <c r="H857" s="11" t="str">
        <f t="shared" si="110"/>
        <v>n/a</v>
      </c>
      <c r="J857" s="5"/>
      <c r="K857" s="5"/>
      <c r="L857" s="5"/>
      <c r="M857" s="5"/>
      <c r="N857" s="5"/>
      <c r="O857" s="8" t="str">
        <f t="shared" si="108"/>
        <v>n/a</v>
      </c>
      <c r="Q857" s="5"/>
      <c r="R857" s="5"/>
      <c r="S857" s="5"/>
      <c r="U857" s="6"/>
      <c r="V857" s="9" t="str">
        <f t="shared" si="111"/>
        <v/>
      </c>
      <c r="W857" s="9" t="str">
        <f t="shared" si="112"/>
        <v/>
      </c>
      <c r="X857" s="10">
        <f>SUM(V$13:V857)/COUNTA(B$13:B857)</f>
        <v>0</v>
      </c>
      <c r="Z857" s="5"/>
      <c r="AA857" s="5"/>
      <c r="AC857" s="7"/>
      <c r="AE857" s="54" t="e">
        <f t="shared" si="113"/>
        <v>#N/A</v>
      </c>
      <c r="AF857" s="4" t="e">
        <f t="shared" si="109"/>
        <v>#N/A</v>
      </c>
    </row>
    <row r="858" spans="2:32">
      <c r="B858" s="5">
        <f t="shared" si="114"/>
        <v>846</v>
      </c>
      <c r="C858" s="5"/>
      <c r="E858" s="13"/>
      <c r="F858" s="5"/>
      <c r="G858" s="11" t="str">
        <f>IF(ISERROR(AVERAGE(F$13:F858)),"n/a",AVERAGE(F$13:F858))</f>
        <v>n/a</v>
      </c>
      <c r="H858" s="11" t="str">
        <f t="shared" si="110"/>
        <v>n/a</v>
      </c>
      <c r="J858" s="5"/>
      <c r="K858" s="5"/>
      <c r="L858" s="5"/>
      <c r="M858" s="5"/>
      <c r="N858" s="5"/>
      <c r="O858" s="8" t="str">
        <f t="shared" si="108"/>
        <v>n/a</v>
      </c>
      <c r="Q858" s="5"/>
      <c r="R858" s="5"/>
      <c r="S858" s="5"/>
      <c r="U858" s="6"/>
      <c r="V858" s="9" t="str">
        <f t="shared" si="111"/>
        <v/>
      </c>
      <c r="W858" s="9" t="str">
        <f t="shared" si="112"/>
        <v/>
      </c>
      <c r="X858" s="10">
        <f>SUM(V$13:V858)/COUNTA(B$13:B858)</f>
        <v>0</v>
      </c>
      <c r="Z858" s="5"/>
      <c r="AA858" s="5"/>
      <c r="AC858" s="7"/>
      <c r="AE858" s="54" t="e">
        <f t="shared" si="113"/>
        <v>#N/A</v>
      </c>
      <c r="AF858" s="4" t="e">
        <f t="shared" si="109"/>
        <v>#N/A</v>
      </c>
    </row>
    <row r="859" spans="2:32">
      <c r="B859" s="5">
        <f t="shared" si="114"/>
        <v>847</v>
      </c>
      <c r="C859" s="5"/>
      <c r="E859" s="13"/>
      <c r="F859" s="5"/>
      <c r="G859" s="11" t="str">
        <f>IF(ISERROR(AVERAGE(F$13:F859)),"n/a",AVERAGE(F$13:F859))</f>
        <v>n/a</v>
      </c>
      <c r="H859" s="11" t="str">
        <f t="shared" si="110"/>
        <v>n/a</v>
      </c>
      <c r="J859" s="5"/>
      <c r="K859" s="5"/>
      <c r="L859" s="5"/>
      <c r="M859" s="5"/>
      <c r="N859" s="5"/>
      <c r="O859" s="8" t="str">
        <f t="shared" si="108"/>
        <v>n/a</v>
      </c>
      <c r="Q859" s="5"/>
      <c r="R859" s="5"/>
      <c r="S859" s="5"/>
      <c r="U859" s="6"/>
      <c r="V859" s="9" t="str">
        <f t="shared" si="111"/>
        <v/>
      </c>
      <c r="W859" s="9" t="str">
        <f t="shared" si="112"/>
        <v/>
      </c>
      <c r="X859" s="10">
        <f>SUM(V$13:V859)/COUNTA(B$13:B859)</f>
        <v>0</v>
      </c>
      <c r="Z859" s="5"/>
      <c r="AA859" s="5"/>
      <c r="AC859" s="7"/>
      <c r="AE859" s="54" t="e">
        <f t="shared" si="113"/>
        <v>#N/A</v>
      </c>
      <c r="AF859" s="4" t="e">
        <f t="shared" si="109"/>
        <v>#N/A</v>
      </c>
    </row>
    <row r="860" spans="2:32">
      <c r="B860" s="5">
        <f t="shared" si="114"/>
        <v>848</v>
      </c>
      <c r="C860" s="5"/>
      <c r="E860" s="13"/>
      <c r="F860" s="5"/>
      <c r="G860" s="11" t="str">
        <f>IF(ISERROR(AVERAGE(F$13:F860)),"n/a",AVERAGE(F$13:F860))</f>
        <v>n/a</v>
      </c>
      <c r="H860" s="11" t="str">
        <f t="shared" si="110"/>
        <v>n/a</v>
      </c>
      <c r="J860" s="5"/>
      <c r="K860" s="5"/>
      <c r="L860" s="5"/>
      <c r="M860" s="5"/>
      <c r="N860" s="5"/>
      <c r="O860" s="8" t="str">
        <f t="shared" si="108"/>
        <v>n/a</v>
      </c>
      <c r="Q860" s="5"/>
      <c r="R860" s="5"/>
      <c r="S860" s="5"/>
      <c r="U860" s="6"/>
      <c r="V860" s="9" t="str">
        <f t="shared" si="111"/>
        <v/>
      </c>
      <c r="W860" s="9" t="str">
        <f t="shared" si="112"/>
        <v/>
      </c>
      <c r="X860" s="10">
        <f>SUM(V$13:V860)/COUNTA(B$13:B860)</f>
        <v>0</v>
      </c>
      <c r="Z860" s="5"/>
      <c r="AA860" s="5"/>
      <c r="AC860" s="7"/>
      <c r="AE860" s="54" t="e">
        <f t="shared" si="113"/>
        <v>#N/A</v>
      </c>
      <c r="AF860" s="4" t="e">
        <f t="shared" si="109"/>
        <v>#N/A</v>
      </c>
    </row>
    <row r="861" spans="2:32">
      <c r="B861" s="5">
        <f t="shared" si="114"/>
        <v>849</v>
      </c>
      <c r="C861" s="5"/>
      <c r="E861" s="13"/>
      <c r="F861" s="5"/>
      <c r="G861" s="11" t="str">
        <f>IF(ISERROR(AVERAGE(F$13:F861)),"n/a",AVERAGE(F$13:F861))</f>
        <v>n/a</v>
      </c>
      <c r="H861" s="11" t="str">
        <f t="shared" si="110"/>
        <v>n/a</v>
      </c>
      <c r="J861" s="5"/>
      <c r="K861" s="5"/>
      <c r="L861" s="5"/>
      <c r="M861" s="5"/>
      <c r="N861" s="5"/>
      <c r="O861" s="8" t="str">
        <f t="shared" si="108"/>
        <v>n/a</v>
      </c>
      <c r="Q861" s="5"/>
      <c r="R861" s="5"/>
      <c r="S861" s="5"/>
      <c r="U861" s="6"/>
      <c r="V861" s="9" t="str">
        <f t="shared" si="111"/>
        <v/>
      </c>
      <c r="W861" s="9" t="str">
        <f t="shared" si="112"/>
        <v/>
      </c>
      <c r="X861" s="10">
        <f>SUM(V$13:V861)/COUNTA(B$13:B861)</f>
        <v>0</v>
      </c>
      <c r="Z861" s="5"/>
      <c r="AA861" s="5"/>
      <c r="AC861" s="7"/>
      <c r="AE861" s="54" t="e">
        <f t="shared" si="113"/>
        <v>#N/A</v>
      </c>
      <c r="AF861" s="4" t="e">
        <f t="shared" si="109"/>
        <v>#N/A</v>
      </c>
    </row>
    <row r="862" spans="2:32">
      <c r="B862" s="5">
        <f t="shared" si="114"/>
        <v>850</v>
      </c>
      <c r="C862" s="5"/>
      <c r="E862" s="13"/>
      <c r="F862" s="5"/>
      <c r="G862" s="11" t="str">
        <f>IF(ISERROR(AVERAGE(F$13:F862)),"n/a",AVERAGE(F$13:F862))</f>
        <v>n/a</v>
      </c>
      <c r="H862" s="11" t="str">
        <f t="shared" si="110"/>
        <v>n/a</v>
      </c>
      <c r="J862" s="5"/>
      <c r="K862" s="5"/>
      <c r="L862" s="5"/>
      <c r="M862" s="5"/>
      <c r="N862" s="5"/>
      <c r="O862" s="8" t="str">
        <f t="shared" si="108"/>
        <v>n/a</v>
      </c>
      <c r="Q862" s="5"/>
      <c r="R862" s="5"/>
      <c r="S862" s="5"/>
      <c r="U862" s="6"/>
      <c r="V862" s="9" t="str">
        <f t="shared" si="111"/>
        <v/>
      </c>
      <c r="W862" s="9" t="str">
        <f t="shared" si="112"/>
        <v/>
      </c>
      <c r="X862" s="10">
        <f>SUM(V$13:V862)/COUNTA(B$13:B862)</f>
        <v>0</v>
      </c>
      <c r="Z862" s="5"/>
      <c r="AA862" s="5"/>
      <c r="AC862" s="7"/>
      <c r="AE862" s="54" t="e">
        <f t="shared" si="113"/>
        <v>#N/A</v>
      </c>
      <c r="AF862" s="4" t="e">
        <f t="shared" si="109"/>
        <v>#N/A</v>
      </c>
    </row>
    <row r="863" spans="2:32">
      <c r="B863" s="5">
        <f t="shared" si="114"/>
        <v>851</v>
      </c>
      <c r="C863" s="5"/>
      <c r="E863" s="13"/>
      <c r="F863" s="5"/>
      <c r="G863" s="11" t="str">
        <f>IF(ISERROR(AVERAGE(F$13:F863)),"n/a",AVERAGE(F$13:F863))</f>
        <v>n/a</v>
      </c>
      <c r="H863" s="11" t="str">
        <f t="shared" si="110"/>
        <v>n/a</v>
      </c>
      <c r="J863" s="5"/>
      <c r="K863" s="5"/>
      <c r="L863" s="5"/>
      <c r="M863" s="5"/>
      <c r="N863" s="5"/>
      <c r="O863" s="8" t="str">
        <f t="shared" si="108"/>
        <v>n/a</v>
      </c>
      <c r="Q863" s="5"/>
      <c r="R863" s="5"/>
      <c r="S863" s="5"/>
      <c r="U863" s="6"/>
      <c r="V863" s="9" t="str">
        <f t="shared" si="111"/>
        <v/>
      </c>
      <c r="W863" s="9" t="str">
        <f t="shared" si="112"/>
        <v/>
      </c>
      <c r="X863" s="10">
        <f>SUM(V$13:V863)/COUNTA(B$13:B863)</f>
        <v>0</v>
      </c>
      <c r="Z863" s="5"/>
      <c r="AA863" s="5"/>
      <c r="AC863" s="7"/>
      <c r="AE863" s="54" t="e">
        <f t="shared" si="113"/>
        <v>#N/A</v>
      </c>
      <c r="AF863" s="4" t="e">
        <f t="shared" si="109"/>
        <v>#N/A</v>
      </c>
    </row>
    <row r="864" spans="2:32">
      <c r="B864" s="5">
        <f t="shared" si="114"/>
        <v>852</v>
      </c>
      <c r="C864" s="5"/>
      <c r="E864" s="13"/>
      <c r="F864" s="5"/>
      <c r="G864" s="11" t="str">
        <f>IF(ISERROR(AVERAGE(F$13:F864)),"n/a",AVERAGE(F$13:F864))</f>
        <v>n/a</v>
      </c>
      <c r="H864" s="11" t="str">
        <f t="shared" si="110"/>
        <v>n/a</v>
      </c>
      <c r="J864" s="5"/>
      <c r="K864" s="5"/>
      <c r="L864" s="5"/>
      <c r="M864" s="5"/>
      <c r="N864" s="5"/>
      <c r="O864" s="8" t="str">
        <f t="shared" si="108"/>
        <v>n/a</v>
      </c>
      <c r="Q864" s="5"/>
      <c r="R864" s="5"/>
      <c r="S864" s="5"/>
      <c r="U864" s="6"/>
      <c r="V864" s="9" t="str">
        <f t="shared" si="111"/>
        <v/>
      </c>
      <c r="W864" s="9" t="str">
        <f t="shared" si="112"/>
        <v/>
      </c>
      <c r="X864" s="10">
        <f>SUM(V$13:V864)/COUNTA(B$13:B864)</f>
        <v>0</v>
      </c>
      <c r="Z864" s="5"/>
      <c r="AA864" s="5"/>
      <c r="AC864" s="7"/>
      <c r="AE864" s="54" t="e">
        <f t="shared" si="113"/>
        <v>#N/A</v>
      </c>
      <c r="AF864" s="4" t="e">
        <f t="shared" si="109"/>
        <v>#N/A</v>
      </c>
    </row>
    <row r="865" spans="2:32">
      <c r="B865" s="5">
        <f t="shared" si="114"/>
        <v>853</v>
      </c>
      <c r="C865" s="5"/>
      <c r="E865" s="13"/>
      <c r="F865" s="5"/>
      <c r="G865" s="11" t="str">
        <f>IF(ISERROR(AVERAGE(F$13:F865)),"n/a",AVERAGE(F$13:F865))</f>
        <v>n/a</v>
      </c>
      <c r="H865" s="11" t="str">
        <f t="shared" si="110"/>
        <v>n/a</v>
      </c>
      <c r="J865" s="5"/>
      <c r="K865" s="5"/>
      <c r="L865" s="5"/>
      <c r="M865" s="5"/>
      <c r="N865" s="5"/>
      <c r="O865" s="8" t="str">
        <f t="shared" si="108"/>
        <v>n/a</v>
      </c>
      <c r="Q865" s="5"/>
      <c r="R865" s="5"/>
      <c r="S865" s="5"/>
      <c r="U865" s="6"/>
      <c r="V865" s="9" t="str">
        <f t="shared" si="111"/>
        <v/>
      </c>
      <c r="W865" s="9" t="str">
        <f t="shared" si="112"/>
        <v/>
      </c>
      <c r="X865" s="10">
        <f>SUM(V$13:V865)/COUNTA(B$13:B865)</f>
        <v>0</v>
      </c>
      <c r="Z865" s="5"/>
      <c r="AA865" s="5"/>
      <c r="AC865" s="7"/>
      <c r="AE865" s="54" t="e">
        <f t="shared" si="113"/>
        <v>#N/A</v>
      </c>
      <c r="AF865" s="4" t="e">
        <f t="shared" si="109"/>
        <v>#N/A</v>
      </c>
    </row>
    <row r="866" spans="2:32">
      <c r="B866" s="5">
        <f t="shared" si="114"/>
        <v>854</v>
      </c>
      <c r="C866" s="5"/>
      <c r="E866" s="13"/>
      <c r="F866" s="5"/>
      <c r="G866" s="11" t="str">
        <f>IF(ISERROR(AVERAGE(F$13:F866)),"n/a",AVERAGE(F$13:F866))</f>
        <v>n/a</v>
      </c>
      <c r="H866" s="11" t="str">
        <f t="shared" si="110"/>
        <v>n/a</v>
      </c>
      <c r="J866" s="5"/>
      <c r="K866" s="5"/>
      <c r="L866" s="5"/>
      <c r="M866" s="5"/>
      <c r="N866" s="5"/>
      <c r="O866" s="8" t="str">
        <f t="shared" si="108"/>
        <v>n/a</v>
      </c>
      <c r="Q866" s="5"/>
      <c r="R866" s="5"/>
      <c r="S866" s="5"/>
      <c r="U866" s="6"/>
      <c r="V866" s="9" t="str">
        <f t="shared" si="111"/>
        <v/>
      </c>
      <c r="W866" s="9" t="str">
        <f t="shared" si="112"/>
        <v/>
      </c>
      <c r="X866" s="10">
        <f>SUM(V$13:V866)/COUNTA(B$13:B866)</f>
        <v>0</v>
      </c>
      <c r="Z866" s="5"/>
      <c r="AA866" s="5"/>
      <c r="AC866" s="7"/>
      <c r="AE866" s="54" t="e">
        <f t="shared" si="113"/>
        <v>#N/A</v>
      </c>
      <c r="AF866" s="4" t="e">
        <f t="shared" si="109"/>
        <v>#N/A</v>
      </c>
    </row>
    <row r="867" spans="2:32">
      <c r="B867" s="5">
        <f t="shared" si="114"/>
        <v>855</v>
      </c>
      <c r="C867" s="5"/>
      <c r="E867" s="13"/>
      <c r="F867" s="5"/>
      <c r="G867" s="11" t="str">
        <f>IF(ISERROR(AVERAGE(F$13:F867)),"n/a",AVERAGE(F$13:F867))</f>
        <v>n/a</v>
      </c>
      <c r="H867" s="11" t="str">
        <f t="shared" si="110"/>
        <v>n/a</v>
      </c>
      <c r="J867" s="5"/>
      <c r="K867" s="5"/>
      <c r="L867" s="5"/>
      <c r="M867" s="5"/>
      <c r="N867" s="5"/>
      <c r="O867" s="8" t="str">
        <f t="shared" si="108"/>
        <v>n/a</v>
      </c>
      <c r="Q867" s="5"/>
      <c r="R867" s="5"/>
      <c r="S867" s="5"/>
      <c r="U867" s="6"/>
      <c r="V867" s="9" t="str">
        <f t="shared" si="111"/>
        <v/>
      </c>
      <c r="W867" s="9" t="str">
        <f t="shared" si="112"/>
        <v/>
      </c>
      <c r="X867" s="10">
        <f>SUM(V$13:V867)/COUNTA(B$13:B867)</f>
        <v>0</v>
      </c>
      <c r="Z867" s="5"/>
      <c r="AA867" s="5"/>
      <c r="AC867" s="7"/>
      <c r="AE867" s="54" t="e">
        <f t="shared" si="113"/>
        <v>#N/A</v>
      </c>
      <c r="AF867" s="4" t="e">
        <f t="shared" si="109"/>
        <v>#N/A</v>
      </c>
    </row>
    <row r="868" spans="2:32">
      <c r="B868" s="5">
        <f t="shared" si="114"/>
        <v>856</v>
      </c>
      <c r="C868" s="5"/>
      <c r="E868" s="13"/>
      <c r="F868" s="5"/>
      <c r="G868" s="11" t="str">
        <f>IF(ISERROR(AVERAGE(F$13:F868)),"n/a",AVERAGE(F$13:F868))</f>
        <v>n/a</v>
      </c>
      <c r="H868" s="11" t="str">
        <f t="shared" si="110"/>
        <v>n/a</v>
      </c>
      <c r="J868" s="5"/>
      <c r="K868" s="5"/>
      <c r="L868" s="5"/>
      <c r="M868" s="5"/>
      <c r="N868" s="5"/>
      <c r="O868" s="8" t="str">
        <f t="shared" si="108"/>
        <v>n/a</v>
      </c>
      <c r="Q868" s="5"/>
      <c r="R868" s="5"/>
      <c r="S868" s="5"/>
      <c r="U868" s="6"/>
      <c r="V868" s="9" t="str">
        <f t="shared" si="111"/>
        <v/>
      </c>
      <c r="W868" s="9" t="str">
        <f t="shared" si="112"/>
        <v/>
      </c>
      <c r="X868" s="10">
        <f>SUM(V$13:V868)/COUNTA(B$13:B868)</f>
        <v>0</v>
      </c>
      <c r="Z868" s="5"/>
      <c r="AA868" s="5"/>
      <c r="AC868" s="7"/>
      <c r="AE868" s="54" t="e">
        <f t="shared" si="113"/>
        <v>#N/A</v>
      </c>
      <c r="AF868" s="4" t="e">
        <f t="shared" si="109"/>
        <v>#N/A</v>
      </c>
    </row>
    <row r="869" spans="2:32">
      <c r="B869" s="5">
        <f t="shared" si="114"/>
        <v>857</v>
      </c>
      <c r="C869" s="5"/>
      <c r="E869" s="13"/>
      <c r="F869" s="5"/>
      <c r="G869" s="11" t="str">
        <f>IF(ISERROR(AVERAGE(F$13:F869)),"n/a",AVERAGE(F$13:F869))</f>
        <v>n/a</v>
      </c>
      <c r="H869" s="11" t="str">
        <f t="shared" si="110"/>
        <v>n/a</v>
      </c>
      <c r="J869" s="5"/>
      <c r="K869" s="5"/>
      <c r="L869" s="5"/>
      <c r="M869" s="5"/>
      <c r="N869" s="5"/>
      <c r="O869" s="8" t="str">
        <f t="shared" si="108"/>
        <v>n/a</v>
      </c>
      <c r="Q869" s="5"/>
      <c r="R869" s="5"/>
      <c r="S869" s="5"/>
      <c r="U869" s="6"/>
      <c r="V869" s="9" t="str">
        <f t="shared" si="111"/>
        <v/>
      </c>
      <c r="W869" s="9" t="str">
        <f t="shared" si="112"/>
        <v/>
      </c>
      <c r="X869" s="10">
        <f>SUM(V$13:V869)/COUNTA(B$13:B869)</f>
        <v>0</v>
      </c>
      <c r="Z869" s="5"/>
      <c r="AA869" s="5"/>
      <c r="AC869" s="7"/>
      <c r="AE869" s="54" t="e">
        <f t="shared" si="113"/>
        <v>#N/A</v>
      </c>
      <c r="AF869" s="4" t="e">
        <f t="shared" si="109"/>
        <v>#N/A</v>
      </c>
    </row>
    <row r="870" spans="2:32">
      <c r="B870" s="5">
        <f t="shared" si="114"/>
        <v>858</v>
      </c>
      <c r="C870" s="5"/>
      <c r="E870" s="13"/>
      <c r="F870" s="5"/>
      <c r="G870" s="11" t="str">
        <f>IF(ISERROR(AVERAGE(F$13:F870)),"n/a",AVERAGE(F$13:F870))</f>
        <v>n/a</v>
      </c>
      <c r="H870" s="11" t="str">
        <f t="shared" si="110"/>
        <v>n/a</v>
      </c>
      <c r="J870" s="5"/>
      <c r="K870" s="5"/>
      <c r="L870" s="5"/>
      <c r="M870" s="5"/>
      <c r="N870" s="5"/>
      <c r="O870" s="8" t="str">
        <f t="shared" si="108"/>
        <v>n/a</v>
      </c>
      <c r="Q870" s="5"/>
      <c r="R870" s="5"/>
      <c r="S870" s="5"/>
      <c r="U870" s="6"/>
      <c r="V870" s="9" t="str">
        <f t="shared" si="111"/>
        <v/>
      </c>
      <c r="W870" s="9" t="str">
        <f t="shared" si="112"/>
        <v/>
      </c>
      <c r="X870" s="10">
        <f>SUM(V$13:V870)/COUNTA(B$13:B870)</f>
        <v>0</v>
      </c>
      <c r="Z870" s="5"/>
      <c r="AA870" s="5"/>
      <c r="AC870" s="7"/>
      <c r="AE870" s="54" t="e">
        <f t="shared" si="113"/>
        <v>#N/A</v>
      </c>
      <c r="AF870" s="4" t="e">
        <f t="shared" si="109"/>
        <v>#N/A</v>
      </c>
    </row>
    <row r="871" spans="2:32">
      <c r="B871" s="5">
        <f t="shared" si="114"/>
        <v>859</v>
      </c>
      <c r="C871" s="5"/>
      <c r="E871" s="13"/>
      <c r="F871" s="5"/>
      <c r="G871" s="11" t="str">
        <f>IF(ISERROR(AVERAGE(F$13:F871)),"n/a",AVERAGE(F$13:F871))</f>
        <v>n/a</v>
      </c>
      <c r="H871" s="11" t="str">
        <f t="shared" si="110"/>
        <v>n/a</v>
      </c>
      <c r="J871" s="5"/>
      <c r="K871" s="5"/>
      <c r="L871" s="5"/>
      <c r="M871" s="5"/>
      <c r="N871" s="5"/>
      <c r="O871" s="8" t="str">
        <f t="shared" si="108"/>
        <v>n/a</v>
      </c>
      <c r="Q871" s="5"/>
      <c r="R871" s="5"/>
      <c r="S871" s="5"/>
      <c r="U871" s="6"/>
      <c r="V871" s="9" t="str">
        <f t="shared" si="111"/>
        <v/>
      </c>
      <c r="W871" s="9" t="str">
        <f t="shared" si="112"/>
        <v/>
      </c>
      <c r="X871" s="10">
        <f>SUM(V$13:V871)/COUNTA(B$13:B871)</f>
        <v>0</v>
      </c>
      <c r="Z871" s="5"/>
      <c r="AA871" s="5"/>
      <c r="AC871" s="7"/>
      <c r="AE871" s="54" t="e">
        <f t="shared" si="113"/>
        <v>#N/A</v>
      </c>
      <c r="AF871" s="4" t="e">
        <f t="shared" si="109"/>
        <v>#N/A</v>
      </c>
    </row>
    <row r="872" spans="2:32">
      <c r="B872" s="5">
        <f t="shared" si="114"/>
        <v>860</v>
      </c>
      <c r="C872" s="5"/>
      <c r="E872" s="13"/>
      <c r="F872" s="5"/>
      <c r="G872" s="11" t="str">
        <f>IF(ISERROR(AVERAGE(F$13:F872)),"n/a",AVERAGE(F$13:F872))</f>
        <v>n/a</v>
      </c>
      <c r="H872" s="11" t="str">
        <f t="shared" si="110"/>
        <v>n/a</v>
      </c>
      <c r="J872" s="5"/>
      <c r="K872" s="5"/>
      <c r="L872" s="5"/>
      <c r="M872" s="5"/>
      <c r="N872" s="5"/>
      <c r="O872" s="8" t="str">
        <f t="shared" si="108"/>
        <v>n/a</v>
      </c>
      <c r="Q872" s="5"/>
      <c r="R872" s="5"/>
      <c r="S872" s="5"/>
      <c r="U872" s="6"/>
      <c r="V872" s="9" t="str">
        <f t="shared" si="111"/>
        <v/>
      </c>
      <c r="W872" s="9" t="str">
        <f t="shared" si="112"/>
        <v/>
      </c>
      <c r="X872" s="10">
        <f>SUM(V$13:V872)/COUNTA(B$13:B872)</f>
        <v>0</v>
      </c>
      <c r="Z872" s="5"/>
      <c r="AA872" s="5"/>
      <c r="AC872" s="7"/>
      <c r="AE872" s="54" t="e">
        <f t="shared" si="113"/>
        <v>#N/A</v>
      </c>
      <c r="AF872" s="4" t="e">
        <f t="shared" si="109"/>
        <v>#N/A</v>
      </c>
    </row>
    <row r="873" spans="2:32">
      <c r="B873" s="5">
        <f t="shared" si="114"/>
        <v>861</v>
      </c>
      <c r="C873" s="5"/>
      <c r="E873" s="13"/>
      <c r="F873" s="5"/>
      <c r="G873" s="11" t="str">
        <f>IF(ISERROR(AVERAGE(F$13:F873)),"n/a",AVERAGE(F$13:F873))</f>
        <v>n/a</v>
      </c>
      <c r="H873" s="11" t="str">
        <f t="shared" si="110"/>
        <v>n/a</v>
      </c>
      <c r="J873" s="5"/>
      <c r="K873" s="5"/>
      <c r="L873" s="5"/>
      <c r="M873" s="5"/>
      <c r="N873" s="5"/>
      <c r="O873" s="8" t="str">
        <f t="shared" si="108"/>
        <v>n/a</v>
      </c>
      <c r="Q873" s="5"/>
      <c r="R873" s="5"/>
      <c r="S873" s="5"/>
      <c r="U873" s="6"/>
      <c r="V873" s="9" t="str">
        <f t="shared" si="111"/>
        <v/>
      </c>
      <c r="W873" s="9" t="str">
        <f t="shared" si="112"/>
        <v/>
      </c>
      <c r="X873" s="10">
        <f>SUM(V$13:V873)/COUNTA(B$13:B873)</f>
        <v>0</v>
      </c>
      <c r="Z873" s="5"/>
      <c r="AA873" s="5"/>
      <c r="AC873" s="7"/>
      <c r="AE873" s="54" t="e">
        <f t="shared" si="113"/>
        <v>#N/A</v>
      </c>
      <c r="AF873" s="4" t="e">
        <f t="shared" si="109"/>
        <v>#N/A</v>
      </c>
    </row>
    <row r="874" spans="2:32">
      <c r="B874" s="5">
        <f t="shared" si="114"/>
        <v>862</v>
      </c>
      <c r="C874" s="5"/>
      <c r="E874" s="13"/>
      <c r="F874" s="5"/>
      <c r="G874" s="11" t="str">
        <f>IF(ISERROR(AVERAGE(F$13:F874)),"n/a",AVERAGE(F$13:F874))</f>
        <v>n/a</v>
      </c>
      <c r="H874" s="11" t="str">
        <f t="shared" si="110"/>
        <v>n/a</v>
      </c>
      <c r="J874" s="5"/>
      <c r="K874" s="5"/>
      <c r="L874" s="5"/>
      <c r="M874" s="5"/>
      <c r="N874" s="5"/>
      <c r="O874" s="8" t="str">
        <f t="shared" si="108"/>
        <v>n/a</v>
      </c>
      <c r="Q874" s="5"/>
      <c r="R874" s="5"/>
      <c r="S874" s="5"/>
      <c r="U874" s="6"/>
      <c r="V874" s="9" t="str">
        <f t="shared" si="111"/>
        <v/>
      </c>
      <c r="W874" s="9" t="str">
        <f t="shared" si="112"/>
        <v/>
      </c>
      <c r="X874" s="10">
        <f>SUM(V$13:V874)/COUNTA(B$13:B874)</f>
        <v>0</v>
      </c>
      <c r="Z874" s="5"/>
      <c r="AA874" s="5"/>
      <c r="AC874" s="7"/>
      <c r="AE874" s="54" t="e">
        <f t="shared" si="113"/>
        <v>#N/A</v>
      </c>
      <c r="AF874" s="4" t="e">
        <f t="shared" si="109"/>
        <v>#N/A</v>
      </c>
    </row>
    <row r="875" spans="2:32">
      <c r="B875" s="5">
        <f t="shared" si="114"/>
        <v>863</v>
      </c>
      <c r="C875" s="5"/>
      <c r="E875" s="13"/>
      <c r="F875" s="5"/>
      <c r="G875" s="11" t="str">
        <f>IF(ISERROR(AVERAGE(F$13:F875)),"n/a",AVERAGE(F$13:F875))</f>
        <v>n/a</v>
      </c>
      <c r="H875" s="11" t="str">
        <f t="shared" si="110"/>
        <v>n/a</v>
      </c>
      <c r="J875" s="5"/>
      <c r="K875" s="5"/>
      <c r="L875" s="5"/>
      <c r="M875" s="5"/>
      <c r="N875" s="5"/>
      <c r="O875" s="8" t="str">
        <f t="shared" si="108"/>
        <v>n/a</v>
      </c>
      <c r="Q875" s="5"/>
      <c r="R875" s="5"/>
      <c r="S875" s="5"/>
      <c r="U875" s="6"/>
      <c r="V875" s="9" t="str">
        <f t="shared" si="111"/>
        <v/>
      </c>
      <c r="W875" s="9" t="str">
        <f t="shared" si="112"/>
        <v/>
      </c>
      <c r="X875" s="10">
        <f>SUM(V$13:V875)/COUNTA(B$13:B875)</f>
        <v>0</v>
      </c>
      <c r="Z875" s="5"/>
      <c r="AA875" s="5"/>
      <c r="AC875" s="7"/>
      <c r="AE875" s="54" t="e">
        <f t="shared" si="113"/>
        <v>#N/A</v>
      </c>
      <c r="AF875" s="4" t="e">
        <f t="shared" si="109"/>
        <v>#N/A</v>
      </c>
    </row>
    <row r="876" spans="2:32">
      <c r="B876" s="5">
        <f t="shared" si="114"/>
        <v>864</v>
      </c>
      <c r="C876" s="5"/>
      <c r="E876" s="13"/>
      <c r="F876" s="5"/>
      <c r="G876" s="11" t="str">
        <f>IF(ISERROR(AVERAGE(F$13:F876)),"n/a",AVERAGE(F$13:F876))</f>
        <v>n/a</v>
      </c>
      <c r="H876" s="11" t="str">
        <f t="shared" si="110"/>
        <v>n/a</v>
      </c>
      <c r="J876" s="5"/>
      <c r="K876" s="5"/>
      <c r="L876" s="5"/>
      <c r="M876" s="5"/>
      <c r="N876" s="5"/>
      <c r="O876" s="8" t="str">
        <f t="shared" si="108"/>
        <v>n/a</v>
      </c>
      <c r="Q876" s="5"/>
      <c r="R876" s="5"/>
      <c r="S876" s="5"/>
      <c r="U876" s="6"/>
      <c r="V876" s="9" t="str">
        <f t="shared" si="111"/>
        <v/>
      </c>
      <c r="W876" s="9" t="str">
        <f t="shared" si="112"/>
        <v/>
      </c>
      <c r="X876" s="10">
        <f>SUM(V$13:V876)/COUNTA(B$13:B876)</f>
        <v>0</v>
      </c>
      <c r="Z876" s="5"/>
      <c r="AA876" s="5"/>
      <c r="AC876" s="7"/>
      <c r="AE876" s="54" t="e">
        <f t="shared" si="113"/>
        <v>#N/A</v>
      </c>
      <c r="AF876" s="4" t="e">
        <f t="shared" si="109"/>
        <v>#N/A</v>
      </c>
    </row>
    <row r="877" spans="2:32">
      <c r="B877" s="5">
        <f t="shared" si="114"/>
        <v>865</v>
      </c>
      <c r="C877" s="5"/>
      <c r="E877" s="13"/>
      <c r="F877" s="5"/>
      <c r="G877" s="11" t="str">
        <f>IF(ISERROR(AVERAGE(F$13:F877)),"n/a",AVERAGE(F$13:F877))</f>
        <v>n/a</v>
      </c>
      <c r="H877" s="11" t="str">
        <f t="shared" si="110"/>
        <v>n/a</v>
      </c>
      <c r="J877" s="5"/>
      <c r="K877" s="5"/>
      <c r="L877" s="5"/>
      <c r="M877" s="5"/>
      <c r="N877" s="5"/>
      <c r="O877" s="8" t="str">
        <f t="shared" si="108"/>
        <v>n/a</v>
      </c>
      <c r="Q877" s="5"/>
      <c r="R877" s="5"/>
      <c r="S877" s="5"/>
      <c r="U877" s="6"/>
      <c r="V877" s="9" t="str">
        <f t="shared" si="111"/>
        <v/>
      </c>
      <c r="W877" s="9" t="str">
        <f t="shared" si="112"/>
        <v/>
      </c>
      <c r="X877" s="10">
        <f>SUM(V$13:V877)/COUNTA(B$13:B877)</f>
        <v>0</v>
      </c>
      <c r="Z877" s="5"/>
      <c r="AA877" s="5"/>
      <c r="AC877" s="7"/>
      <c r="AE877" s="54" t="e">
        <f t="shared" si="113"/>
        <v>#N/A</v>
      </c>
      <c r="AF877" s="4" t="e">
        <f t="shared" si="109"/>
        <v>#N/A</v>
      </c>
    </row>
    <row r="878" spans="2:32">
      <c r="B878" s="5">
        <f t="shared" si="114"/>
        <v>866</v>
      </c>
      <c r="C878" s="5"/>
      <c r="E878" s="13"/>
      <c r="F878" s="5"/>
      <c r="G878" s="11" t="str">
        <f>IF(ISERROR(AVERAGE(F$13:F878)),"n/a",AVERAGE(F$13:F878))</f>
        <v>n/a</v>
      </c>
      <c r="H878" s="11" t="str">
        <f t="shared" si="110"/>
        <v>n/a</v>
      </c>
      <c r="J878" s="5"/>
      <c r="K878" s="5"/>
      <c r="L878" s="5"/>
      <c r="M878" s="5"/>
      <c r="N878" s="5"/>
      <c r="O878" s="8" t="str">
        <f t="shared" si="108"/>
        <v>n/a</v>
      </c>
      <c r="Q878" s="5"/>
      <c r="R878" s="5"/>
      <c r="S878" s="5"/>
      <c r="U878" s="6"/>
      <c r="V878" s="9" t="str">
        <f t="shared" si="111"/>
        <v/>
      </c>
      <c r="W878" s="9" t="str">
        <f t="shared" si="112"/>
        <v/>
      </c>
      <c r="X878" s="10">
        <f>SUM(V$13:V878)/COUNTA(B$13:B878)</f>
        <v>0</v>
      </c>
      <c r="Z878" s="5"/>
      <c r="AA878" s="5"/>
      <c r="AC878" s="7"/>
      <c r="AE878" s="54" t="e">
        <f t="shared" si="113"/>
        <v>#N/A</v>
      </c>
      <c r="AF878" s="4" t="e">
        <f t="shared" si="109"/>
        <v>#N/A</v>
      </c>
    </row>
    <row r="879" spans="2:32">
      <c r="B879" s="5">
        <f t="shared" si="114"/>
        <v>867</v>
      </c>
      <c r="C879" s="5"/>
      <c r="E879" s="13"/>
      <c r="F879" s="5"/>
      <c r="G879" s="11" t="str">
        <f>IF(ISERROR(AVERAGE(F$13:F879)),"n/a",AVERAGE(F$13:F879))</f>
        <v>n/a</v>
      </c>
      <c r="H879" s="11" t="str">
        <f t="shared" si="110"/>
        <v>n/a</v>
      </c>
      <c r="J879" s="5"/>
      <c r="K879" s="5"/>
      <c r="L879" s="5"/>
      <c r="M879" s="5"/>
      <c r="N879" s="5"/>
      <c r="O879" s="8" t="str">
        <f t="shared" si="108"/>
        <v>n/a</v>
      </c>
      <c r="Q879" s="5"/>
      <c r="R879" s="5"/>
      <c r="S879" s="5"/>
      <c r="U879" s="6"/>
      <c r="V879" s="9" t="str">
        <f t="shared" si="111"/>
        <v/>
      </c>
      <c r="W879" s="9" t="str">
        <f t="shared" si="112"/>
        <v/>
      </c>
      <c r="X879" s="10">
        <f>SUM(V$13:V879)/COUNTA(B$13:B879)</f>
        <v>0</v>
      </c>
      <c r="Z879" s="5"/>
      <c r="AA879" s="5"/>
      <c r="AC879" s="7"/>
      <c r="AE879" s="54" t="e">
        <f t="shared" si="113"/>
        <v>#N/A</v>
      </c>
      <c r="AF879" s="4" t="e">
        <f t="shared" si="109"/>
        <v>#N/A</v>
      </c>
    </row>
    <row r="880" spans="2:32">
      <c r="B880" s="5">
        <f t="shared" si="114"/>
        <v>868</v>
      </c>
      <c r="C880" s="5"/>
      <c r="E880" s="13"/>
      <c r="F880" s="5"/>
      <c r="G880" s="11" t="str">
        <f>IF(ISERROR(AVERAGE(F$13:F880)),"n/a",AVERAGE(F$13:F880))</f>
        <v>n/a</v>
      </c>
      <c r="H880" s="11" t="str">
        <f t="shared" si="110"/>
        <v>n/a</v>
      </c>
      <c r="J880" s="5"/>
      <c r="K880" s="5"/>
      <c r="L880" s="5"/>
      <c r="M880" s="5"/>
      <c r="N880" s="5"/>
      <c r="O880" s="8" t="str">
        <f t="shared" si="108"/>
        <v>n/a</v>
      </c>
      <c r="Q880" s="5"/>
      <c r="R880" s="5"/>
      <c r="S880" s="5"/>
      <c r="U880" s="6"/>
      <c r="V880" s="9" t="str">
        <f t="shared" si="111"/>
        <v/>
      </c>
      <c r="W880" s="9" t="str">
        <f t="shared" si="112"/>
        <v/>
      </c>
      <c r="X880" s="10">
        <f>SUM(V$13:V880)/COUNTA(B$13:B880)</f>
        <v>0</v>
      </c>
      <c r="Z880" s="5"/>
      <c r="AA880" s="5"/>
      <c r="AC880" s="7"/>
      <c r="AE880" s="54" t="e">
        <f t="shared" si="113"/>
        <v>#N/A</v>
      </c>
      <c r="AF880" s="4" t="e">
        <f t="shared" si="109"/>
        <v>#N/A</v>
      </c>
    </row>
    <row r="881" spans="2:32">
      <c r="B881" s="5">
        <f t="shared" si="114"/>
        <v>869</v>
      </c>
      <c r="C881" s="5"/>
      <c r="E881" s="13"/>
      <c r="F881" s="5"/>
      <c r="G881" s="11" t="str">
        <f>IF(ISERROR(AVERAGE(F$13:F881)),"n/a",AVERAGE(F$13:F881))</f>
        <v>n/a</v>
      </c>
      <c r="H881" s="11" t="str">
        <f t="shared" si="110"/>
        <v>n/a</v>
      </c>
      <c r="J881" s="5"/>
      <c r="K881" s="5"/>
      <c r="L881" s="5"/>
      <c r="M881" s="5"/>
      <c r="N881" s="5"/>
      <c r="O881" s="8" t="str">
        <f t="shared" si="108"/>
        <v>n/a</v>
      </c>
      <c r="Q881" s="5"/>
      <c r="R881" s="5"/>
      <c r="S881" s="5"/>
      <c r="U881" s="6"/>
      <c r="V881" s="9" t="str">
        <f t="shared" si="111"/>
        <v/>
      </c>
      <c r="W881" s="9" t="str">
        <f t="shared" si="112"/>
        <v/>
      </c>
      <c r="X881" s="10">
        <f>SUM(V$13:V881)/COUNTA(B$13:B881)</f>
        <v>0</v>
      </c>
      <c r="Z881" s="5"/>
      <c r="AA881" s="5"/>
      <c r="AC881" s="7"/>
      <c r="AE881" s="54" t="e">
        <f t="shared" si="113"/>
        <v>#N/A</v>
      </c>
      <c r="AF881" s="4" t="e">
        <f t="shared" si="109"/>
        <v>#N/A</v>
      </c>
    </row>
    <row r="882" spans="2:32">
      <c r="B882" s="5">
        <f t="shared" si="114"/>
        <v>870</v>
      </c>
      <c r="C882" s="5"/>
      <c r="E882" s="13"/>
      <c r="F882" s="5"/>
      <c r="G882" s="11" t="str">
        <f>IF(ISERROR(AVERAGE(F$13:F882)),"n/a",AVERAGE(F$13:F882))</f>
        <v>n/a</v>
      </c>
      <c r="H882" s="11" t="str">
        <f t="shared" si="110"/>
        <v>n/a</v>
      </c>
      <c r="J882" s="5"/>
      <c r="K882" s="5"/>
      <c r="L882" s="5"/>
      <c r="M882" s="5"/>
      <c r="N882" s="5"/>
      <c r="O882" s="8" t="str">
        <f t="shared" si="108"/>
        <v>n/a</v>
      </c>
      <c r="Q882" s="5"/>
      <c r="R882" s="5"/>
      <c r="S882" s="5"/>
      <c r="U882" s="6"/>
      <c r="V882" s="9" t="str">
        <f t="shared" si="111"/>
        <v/>
      </c>
      <c r="W882" s="9" t="str">
        <f t="shared" si="112"/>
        <v/>
      </c>
      <c r="X882" s="10">
        <f>SUM(V$13:V882)/COUNTA(B$13:B882)</f>
        <v>0</v>
      </c>
      <c r="Z882" s="5"/>
      <c r="AA882" s="5"/>
      <c r="AC882" s="7"/>
      <c r="AE882" s="54" t="e">
        <f t="shared" si="113"/>
        <v>#N/A</v>
      </c>
      <c r="AF882" s="4" t="e">
        <f t="shared" si="109"/>
        <v>#N/A</v>
      </c>
    </row>
    <row r="883" spans="2:32">
      <c r="B883" s="5">
        <f t="shared" si="114"/>
        <v>871</v>
      </c>
      <c r="C883" s="5"/>
      <c r="E883" s="13"/>
      <c r="F883" s="5"/>
      <c r="G883" s="11" t="str">
        <f>IF(ISERROR(AVERAGE(F$13:F883)),"n/a",AVERAGE(F$13:F883))</f>
        <v>n/a</v>
      </c>
      <c r="H883" s="11" t="str">
        <f t="shared" si="110"/>
        <v>n/a</v>
      </c>
      <c r="J883" s="5"/>
      <c r="K883" s="5"/>
      <c r="L883" s="5"/>
      <c r="M883" s="5"/>
      <c r="N883" s="5"/>
      <c r="O883" s="8" t="str">
        <f t="shared" si="108"/>
        <v>n/a</v>
      </c>
      <c r="Q883" s="5"/>
      <c r="R883" s="5"/>
      <c r="S883" s="5"/>
      <c r="U883" s="6"/>
      <c r="V883" s="9" t="str">
        <f t="shared" si="111"/>
        <v/>
      </c>
      <c r="W883" s="9" t="str">
        <f t="shared" si="112"/>
        <v/>
      </c>
      <c r="X883" s="10">
        <f>SUM(V$13:V883)/COUNTA(B$13:B883)</f>
        <v>0</v>
      </c>
      <c r="Z883" s="5"/>
      <c r="AA883" s="5"/>
      <c r="AC883" s="7"/>
      <c r="AE883" s="54" t="e">
        <f t="shared" si="113"/>
        <v>#N/A</v>
      </c>
      <c r="AF883" s="4" t="e">
        <f t="shared" si="109"/>
        <v>#N/A</v>
      </c>
    </row>
    <row r="884" spans="2:32">
      <c r="B884" s="5">
        <f t="shared" si="114"/>
        <v>872</v>
      </c>
      <c r="C884" s="5"/>
      <c r="E884" s="13"/>
      <c r="F884" s="5"/>
      <c r="G884" s="11" t="str">
        <f>IF(ISERROR(AVERAGE(F$13:F884)),"n/a",AVERAGE(F$13:F884))</f>
        <v>n/a</v>
      </c>
      <c r="H884" s="11" t="str">
        <f t="shared" si="110"/>
        <v>n/a</v>
      </c>
      <c r="J884" s="5"/>
      <c r="K884" s="5"/>
      <c r="L884" s="5"/>
      <c r="M884" s="5"/>
      <c r="N884" s="5"/>
      <c r="O884" s="8" t="str">
        <f t="shared" si="108"/>
        <v>n/a</v>
      </c>
      <c r="Q884" s="5"/>
      <c r="R884" s="5"/>
      <c r="S884" s="5"/>
      <c r="U884" s="6"/>
      <c r="V884" s="9" t="str">
        <f t="shared" si="111"/>
        <v/>
      </c>
      <c r="W884" s="9" t="str">
        <f t="shared" si="112"/>
        <v/>
      </c>
      <c r="X884" s="10">
        <f>SUM(V$13:V884)/COUNTA(B$13:B884)</f>
        <v>0</v>
      </c>
      <c r="Z884" s="5"/>
      <c r="AA884" s="5"/>
      <c r="AC884" s="7"/>
      <c r="AE884" s="54" t="e">
        <f t="shared" si="113"/>
        <v>#N/A</v>
      </c>
      <c r="AF884" s="4" t="e">
        <f t="shared" si="109"/>
        <v>#N/A</v>
      </c>
    </row>
    <row r="885" spans="2:32">
      <c r="B885" s="5">
        <f t="shared" si="114"/>
        <v>873</v>
      </c>
      <c r="C885" s="5"/>
      <c r="E885" s="13"/>
      <c r="F885" s="5"/>
      <c r="G885" s="11" t="str">
        <f>IF(ISERROR(AVERAGE(F$13:F885)),"n/a",AVERAGE(F$13:F885))</f>
        <v>n/a</v>
      </c>
      <c r="H885" s="11" t="str">
        <f t="shared" si="110"/>
        <v>n/a</v>
      </c>
      <c r="J885" s="5"/>
      <c r="K885" s="5"/>
      <c r="L885" s="5"/>
      <c r="M885" s="5"/>
      <c r="N885" s="5"/>
      <c r="O885" s="8" t="str">
        <f t="shared" si="108"/>
        <v>n/a</v>
      </c>
      <c r="Q885" s="5"/>
      <c r="R885" s="5"/>
      <c r="S885" s="5"/>
      <c r="U885" s="6"/>
      <c r="V885" s="9" t="str">
        <f t="shared" si="111"/>
        <v/>
      </c>
      <c r="W885" s="9" t="str">
        <f t="shared" si="112"/>
        <v/>
      </c>
      <c r="X885" s="10">
        <f>SUM(V$13:V885)/COUNTA(B$13:B885)</f>
        <v>0</v>
      </c>
      <c r="Z885" s="5"/>
      <c r="AA885" s="5"/>
      <c r="AC885" s="7"/>
      <c r="AE885" s="54" t="e">
        <f t="shared" si="113"/>
        <v>#N/A</v>
      </c>
      <c r="AF885" s="4" t="e">
        <f t="shared" si="109"/>
        <v>#N/A</v>
      </c>
    </row>
    <row r="886" spans="2:32">
      <c r="B886" s="5">
        <f t="shared" si="114"/>
        <v>874</v>
      </c>
      <c r="C886" s="5"/>
      <c r="E886" s="13"/>
      <c r="F886" s="5"/>
      <c r="G886" s="11" t="str">
        <f>IF(ISERROR(AVERAGE(F$13:F886)),"n/a",AVERAGE(F$13:F886))</f>
        <v>n/a</v>
      </c>
      <c r="H886" s="11" t="str">
        <f t="shared" si="110"/>
        <v>n/a</v>
      </c>
      <c r="J886" s="5"/>
      <c r="K886" s="5"/>
      <c r="L886" s="5"/>
      <c r="M886" s="5"/>
      <c r="N886" s="5"/>
      <c r="O886" s="8" t="str">
        <f t="shared" si="108"/>
        <v>n/a</v>
      </c>
      <c r="Q886" s="5"/>
      <c r="R886" s="5"/>
      <c r="S886" s="5"/>
      <c r="U886" s="6"/>
      <c r="V886" s="9" t="str">
        <f t="shared" si="111"/>
        <v/>
      </c>
      <c r="W886" s="9" t="str">
        <f t="shared" si="112"/>
        <v/>
      </c>
      <c r="X886" s="10">
        <f>SUM(V$13:V886)/COUNTA(B$13:B886)</f>
        <v>0</v>
      </c>
      <c r="Z886" s="5"/>
      <c r="AA886" s="5"/>
      <c r="AC886" s="7"/>
      <c r="AE886" s="54" t="e">
        <f t="shared" si="113"/>
        <v>#N/A</v>
      </c>
      <c r="AF886" s="4" t="e">
        <f t="shared" si="109"/>
        <v>#N/A</v>
      </c>
    </row>
    <row r="887" spans="2:32">
      <c r="B887" s="5">
        <f t="shared" si="114"/>
        <v>875</v>
      </c>
      <c r="C887" s="5"/>
      <c r="E887" s="13"/>
      <c r="F887" s="5"/>
      <c r="G887" s="11" t="str">
        <f>IF(ISERROR(AVERAGE(F$13:F887)),"n/a",AVERAGE(F$13:F887))</f>
        <v>n/a</v>
      </c>
      <c r="H887" s="11" t="str">
        <f t="shared" si="110"/>
        <v>n/a</v>
      </c>
      <c r="J887" s="5"/>
      <c r="K887" s="5"/>
      <c r="L887" s="5"/>
      <c r="M887" s="5"/>
      <c r="N887" s="5"/>
      <c r="O887" s="8" t="str">
        <f t="shared" si="108"/>
        <v>n/a</v>
      </c>
      <c r="Q887" s="5"/>
      <c r="R887" s="5"/>
      <c r="S887" s="5"/>
      <c r="U887" s="6"/>
      <c r="V887" s="9" t="str">
        <f t="shared" si="111"/>
        <v/>
      </c>
      <c r="W887" s="9" t="str">
        <f t="shared" si="112"/>
        <v/>
      </c>
      <c r="X887" s="10">
        <f>SUM(V$13:V887)/COUNTA(B$13:B887)</f>
        <v>0</v>
      </c>
      <c r="Z887" s="5"/>
      <c r="AA887" s="5"/>
      <c r="AC887" s="7"/>
      <c r="AE887" s="54" t="e">
        <f t="shared" si="113"/>
        <v>#N/A</v>
      </c>
      <c r="AF887" s="4" t="e">
        <f t="shared" si="109"/>
        <v>#N/A</v>
      </c>
    </row>
    <row r="888" spans="2:32">
      <c r="B888" s="5">
        <f t="shared" si="114"/>
        <v>876</v>
      </c>
      <c r="C888" s="5"/>
      <c r="E888" s="13"/>
      <c r="F888" s="5"/>
      <c r="G888" s="11" t="str">
        <f>IF(ISERROR(AVERAGE(F$13:F888)),"n/a",AVERAGE(F$13:F888))</f>
        <v>n/a</v>
      </c>
      <c r="H888" s="11" t="str">
        <f t="shared" si="110"/>
        <v>n/a</v>
      </c>
      <c r="J888" s="5"/>
      <c r="K888" s="5"/>
      <c r="L888" s="5"/>
      <c r="M888" s="5"/>
      <c r="N888" s="5"/>
      <c r="O888" s="8" t="str">
        <f t="shared" si="108"/>
        <v>n/a</v>
      </c>
      <c r="Q888" s="5"/>
      <c r="R888" s="5"/>
      <c r="S888" s="5"/>
      <c r="U888" s="6"/>
      <c r="V888" s="9" t="str">
        <f t="shared" si="111"/>
        <v/>
      </c>
      <c r="W888" s="9" t="str">
        <f t="shared" si="112"/>
        <v/>
      </c>
      <c r="X888" s="10">
        <f>SUM(V$13:V888)/COUNTA(B$13:B888)</f>
        <v>0</v>
      </c>
      <c r="Z888" s="5"/>
      <c r="AA888" s="5"/>
      <c r="AC888" s="7"/>
      <c r="AE888" s="54" t="e">
        <f t="shared" si="113"/>
        <v>#N/A</v>
      </c>
      <c r="AF888" s="4" t="e">
        <f t="shared" si="109"/>
        <v>#N/A</v>
      </c>
    </row>
    <row r="889" spans="2:32">
      <c r="B889" s="5">
        <f t="shared" si="114"/>
        <v>877</v>
      </c>
      <c r="C889" s="5"/>
      <c r="E889" s="13"/>
      <c r="F889" s="5"/>
      <c r="G889" s="11" t="str">
        <f>IF(ISERROR(AVERAGE(F$13:F889)),"n/a",AVERAGE(F$13:F889))</f>
        <v>n/a</v>
      </c>
      <c r="H889" s="11" t="str">
        <f t="shared" si="110"/>
        <v>n/a</v>
      </c>
      <c r="J889" s="5"/>
      <c r="K889" s="5"/>
      <c r="L889" s="5"/>
      <c r="M889" s="5"/>
      <c r="N889" s="5"/>
      <c r="O889" s="8" t="str">
        <f t="shared" si="108"/>
        <v>n/a</v>
      </c>
      <c r="Q889" s="5"/>
      <c r="R889" s="5"/>
      <c r="S889" s="5"/>
      <c r="U889" s="6"/>
      <c r="V889" s="9" t="str">
        <f t="shared" si="111"/>
        <v/>
      </c>
      <c r="W889" s="9" t="str">
        <f t="shared" si="112"/>
        <v/>
      </c>
      <c r="X889" s="10">
        <f>SUM(V$13:V889)/COUNTA(B$13:B889)</f>
        <v>0</v>
      </c>
      <c r="Z889" s="5"/>
      <c r="AA889" s="5"/>
      <c r="AC889" s="7"/>
      <c r="AE889" s="54" t="e">
        <f t="shared" si="113"/>
        <v>#N/A</v>
      </c>
      <c r="AF889" s="4" t="e">
        <f t="shared" si="109"/>
        <v>#N/A</v>
      </c>
    </row>
    <row r="890" spans="2:32">
      <c r="B890" s="5">
        <f t="shared" si="114"/>
        <v>878</v>
      </c>
      <c r="C890" s="5"/>
      <c r="E890" s="13"/>
      <c r="F890" s="5"/>
      <c r="G890" s="11" t="str">
        <f>IF(ISERROR(AVERAGE(F$13:F890)),"n/a",AVERAGE(F$13:F890))</f>
        <v>n/a</v>
      </c>
      <c r="H890" s="11" t="str">
        <f t="shared" si="110"/>
        <v>n/a</v>
      </c>
      <c r="J890" s="5"/>
      <c r="K890" s="5"/>
      <c r="L890" s="5"/>
      <c r="M890" s="5"/>
      <c r="N890" s="5"/>
      <c r="O890" s="8" t="str">
        <f t="shared" si="108"/>
        <v>n/a</v>
      </c>
      <c r="Q890" s="5"/>
      <c r="R890" s="5"/>
      <c r="S890" s="5"/>
      <c r="U890" s="6"/>
      <c r="V890" s="9" t="str">
        <f t="shared" si="111"/>
        <v/>
      </c>
      <c r="W890" s="9" t="str">
        <f t="shared" si="112"/>
        <v/>
      </c>
      <c r="X890" s="10">
        <f>SUM(V$13:V890)/COUNTA(B$13:B890)</f>
        <v>0</v>
      </c>
      <c r="Z890" s="5"/>
      <c r="AA890" s="5"/>
      <c r="AC890" s="7"/>
      <c r="AE890" s="54" t="e">
        <f t="shared" si="113"/>
        <v>#N/A</v>
      </c>
      <c r="AF890" s="4" t="e">
        <f t="shared" si="109"/>
        <v>#N/A</v>
      </c>
    </row>
    <row r="891" spans="2:32">
      <c r="B891" s="5">
        <f t="shared" si="114"/>
        <v>879</v>
      </c>
      <c r="C891" s="5"/>
      <c r="E891" s="13"/>
      <c r="F891" s="5"/>
      <c r="G891" s="11" t="str">
        <f>IF(ISERROR(AVERAGE(F$13:F891)),"n/a",AVERAGE(F$13:F891))</f>
        <v>n/a</v>
      </c>
      <c r="H891" s="11" t="str">
        <f t="shared" si="110"/>
        <v>n/a</v>
      </c>
      <c r="J891" s="5"/>
      <c r="K891" s="5"/>
      <c r="L891" s="5"/>
      <c r="M891" s="5"/>
      <c r="N891" s="5"/>
      <c r="O891" s="8" t="str">
        <f t="shared" si="108"/>
        <v>n/a</v>
      </c>
      <c r="Q891" s="5"/>
      <c r="R891" s="5"/>
      <c r="S891" s="5"/>
      <c r="U891" s="6"/>
      <c r="V891" s="9" t="str">
        <f t="shared" si="111"/>
        <v/>
      </c>
      <c r="W891" s="9" t="str">
        <f t="shared" si="112"/>
        <v/>
      </c>
      <c r="X891" s="10">
        <f>SUM(V$13:V891)/COUNTA(B$13:B891)</f>
        <v>0</v>
      </c>
      <c r="Z891" s="5"/>
      <c r="AA891" s="5"/>
      <c r="AC891" s="7"/>
      <c r="AE891" s="54" t="e">
        <f t="shared" si="113"/>
        <v>#N/A</v>
      </c>
      <c r="AF891" s="4" t="e">
        <f t="shared" si="109"/>
        <v>#N/A</v>
      </c>
    </row>
    <row r="892" spans="2:32">
      <c r="B892" s="5">
        <f t="shared" si="114"/>
        <v>880</v>
      </c>
      <c r="C892" s="5"/>
      <c r="E892" s="13"/>
      <c r="F892" s="5"/>
      <c r="G892" s="11" t="str">
        <f>IF(ISERROR(AVERAGE(F$13:F892)),"n/a",AVERAGE(F$13:F892))</f>
        <v>n/a</v>
      </c>
      <c r="H892" s="11" t="str">
        <f t="shared" si="110"/>
        <v>n/a</v>
      </c>
      <c r="J892" s="5"/>
      <c r="K892" s="5"/>
      <c r="L892" s="5"/>
      <c r="M892" s="5"/>
      <c r="N892" s="5"/>
      <c r="O892" s="8" t="str">
        <f t="shared" si="108"/>
        <v>n/a</v>
      </c>
      <c r="Q892" s="5"/>
      <c r="R892" s="5"/>
      <c r="S892" s="5"/>
      <c r="U892" s="6"/>
      <c r="V892" s="9" t="str">
        <f t="shared" si="111"/>
        <v/>
      </c>
      <c r="W892" s="9" t="str">
        <f t="shared" si="112"/>
        <v/>
      </c>
      <c r="X892" s="10">
        <f>SUM(V$13:V892)/COUNTA(B$13:B892)</f>
        <v>0</v>
      </c>
      <c r="Z892" s="5"/>
      <c r="AA892" s="5"/>
      <c r="AC892" s="7"/>
      <c r="AE892" s="54" t="e">
        <f t="shared" si="113"/>
        <v>#N/A</v>
      </c>
      <c r="AF892" s="4" t="e">
        <f t="shared" si="109"/>
        <v>#N/A</v>
      </c>
    </row>
    <row r="893" spans="2:32">
      <c r="B893" s="5">
        <f t="shared" si="114"/>
        <v>881</v>
      </c>
      <c r="C893" s="5"/>
      <c r="E893" s="13"/>
      <c r="F893" s="5"/>
      <c r="G893" s="11" t="str">
        <f>IF(ISERROR(AVERAGE(F$13:F893)),"n/a",AVERAGE(F$13:F893))</f>
        <v>n/a</v>
      </c>
      <c r="H893" s="11" t="str">
        <f t="shared" si="110"/>
        <v>n/a</v>
      </c>
      <c r="J893" s="5"/>
      <c r="K893" s="5"/>
      <c r="L893" s="5"/>
      <c r="M893" s="5"/>
      <c r="N893" s="5"/>
      <c r="O893" s="8" t="str">
        <f t="shared" si="108"/>
        <v>n/a</v>
      </c>
      <c r="Q893" s="5"/>
      <c r="R893" s="5"/>
      <c r="S893" s="5"/>
      <c r="U893" s="6"/>
      <c r="V893" s="9" t="str">
        <f t="shared" si="111"/>
        <v/>
      </c>
      <c r="W893" s="9" t="str">
        <f t="shared" si="112"/>
        <v/>
      </c>
      <c r="X893" s="10">
        <f>SUM(V$13:V893)/COUNTA(B$13:B893)</f>
        <v>0</v>
      </c>
      <c r="Z893" s="5"/>
      <c r="AA893" s="5"/>
      <c r="AC893" s="7"/>
      <c r="AE893" s="54" t="e">
        <f t="shared" si="113"/>
        <v>#N/A</v>
      </c>
      <c r="AF893" s="4" t="e">
        <f t="shared" si="109"/>
        <v>#N/A</v>
      </c>
    </row>
    <row r="894" spans="2:32">
      <c r="B894" s="5">
        <f t="shared" si="114"/>
        <v>882</v>
      </c>
      <c r="C894" s="5"/>
      <c r="E894" s="13"/>
      <c r="F894" s="5"/>
      <c r="G894" s="11" t="str">
        <f>IF(ISERROR(AVERAGE(F$13:F894)),"n/a",AVERAGE(F$13:F894))</f>
        <v>n/a</v>
      </c>
      <c r="H894" s="11" t="str">
        <f t="shared" si="110"/>
        <v>n/a</v>
      </c>
      <c r="J894" s="5"/>
      <c r="K894" s="5"/>
      <c r="L894" s="5"/>
      <c r="M894" s="5"/>
      <c r="N894" s="5"/>
      <c r="O894" s="8" t="str">
        <f t="shared" si="108"/>
        <v>n/a</v>
      </c>
      <c r="Q894" s="5"/>
      <c r="R894" s="5"/>
      <c r="S894" s="5"/>
      <c r="U894" s="6"/>
      <c r="V894" s="9" t="str">
        <f t="shared" si="111"/>
        <v/>
      </c>
      <c r="W894" s="9" t="str">
        <f t="shared" si="112"/>
        <v/>
      </c>
      <c r="X894" s="10">
        <f>SUM(V$13:V894)/COUNTA(B$13:B894)</f>
        <v>0</v>
      </c>
      <c r="Z894" s="5"/>
      <c r="AA894" s="5"/>
      <c r="AC894" s="7"/>
      <c r="AE894" s="54" t="e">
        <f t="shared" si="113"/>
        <v>#N/A</v>
      </c>
      <c r="AF894" s="4" t="e">
        <f t="shared" si="109"/>
        <v>#N/A</v>
      </c>
    </row>
    <row r="895" spans="2:32">
      <c r="B895" s="5">
        <f t="shared" si="114"/>
        <v>883</v>
      </c>
      <c r="C895" s="5"/>
      <c r="E895" s="13"/>
      <c r="F895" s="5"/>
      <c r="G895" s="11" t="str">
        <f>IF(ISERROR(AVERAGE(F$13:F895)),"n/a",AVERAGE(F$13:F895))</f>
        <v>n/a</v>
      </c>
      <c r="H895" s="11" t="str">
        <f t="shared" si="110"/>
        <v>n/a</v>
      </c>
      <c r="J895" s="5"/>
      <c r="K895" s="5"/>
      <c r="L895" s="5"/>
      <c r="M895" s="5"/>
      <c r="N895" s="5"/>
      <c r="O895" s="8" t="str">
        <f t="shared" si="108"/>
        <v>n/a</v>
      </c>
      <c r="Q895" s="5"/>
      <c r="R895" s="5"/>
      <c r="S895" s="5"/>
      <c r="U895" s="6"/>
      <c r="V895" s="9" t="str">
        <f t="shared" si="111"/>
        <v/>
      </c>
      <c r="W895" s="9" t="str">
        <f t="shared" si="112"/>
        <v/>
      </c>
      <c r="X895" s="10">
        <f>SUM(V$13:V895)/COUNTA(B$13:B895)</f>
        <v>0</v>
      </c>
      <c r="Z895" s="5"/>
      <c r="AA895" s="5"/>
      <c r="AC895" s="7"/>
      <c r="AE895" s="54" t="e">
        <f t="shared" si="113"/>
        <v>#N/A</v>
      </c>
      <c r="AF895" s="4" t="e">
        <f t="shared" si="109"/>
        <v>#N/A</v>
      </c>
    </row>
    <row r="896" spans="2:32">
      <c r="B896" s="5">
        <f t="shared" si="114"/>
        <v>884</v>
      </c>
      <c r="C896" s="5"/>
      <c r="E896" s="13"/>
      <c r="F896" s="5"/>
      <c r="G896" s="11" t="str">
        <f>IF(ISERROR(AVERAGE(F$13:F896)),"n/a",AVERAGE(F$13:F896))</f>
        <v>n/a</v>
      </c>
      <c r="H896" s="11" t="str">
        <f t="shared" si="110"/>
        <v>n/a</v>
      </c>
      <c r="J896" s="5"/>
      <c r="K896" s="5"/>
      <c r="L896" s="5"/>
      <c r="M896" s="5"/>
      <c r="N896" s="5"/>
      <c r="O896" s="8" t="str">
        <f t="shared" si="108"/>
        <v>n/a</v>
      </c>
      <c r="Q896" s="5"/>
      <c r="R896" s="5"/>
      <c r="S896" s="5"/>
      <c r="U896" s="6"/>
      <c r="V896" s="9" t="str">
        <f t="shared" si="111"/>
        <v/>
      </c>
      <c r="W896" s="9" t="str">
        <f t="shared" si="112"/>
        <v/>
      </c>
      <c r="X896" s="10">
        <f>SUM(V$13:V896)/COUNTA(B$13:B896)</f>
        <v>0</v>
      </c>
      <c r="Z896" s="5"/>
      <c r="AA896" s="5"/>
      <c r="AC896" s="7"/>
      <c r="AE896" s="54" t="e">
        <f t="shared" si="113"/>
        <v>#N/A</v>
      </c>
      <c r="AF896" s="4" t="e">
        <f t="shared" si="109"/>
        <v>#N/A</v>
      </c>
    </row>
    <row r="897" spans="2:32">
      <c r="B897" s="5">
        <f t="shared" si="114"/>
        <v>885</v>
      </c>
      <c r="C897" s="5"/>
      <c r="E897" s="13"/>
      <c r="F897" s="5"/>
      <c r="G897" s="11" t="str">
        <f>IF(ISERROR(AVERAGE(F$13:F897)),"n/a",AVERAGE(F$13:F897))</f>
        <v>n/a</v>
      </c>
      <c r="H897" s="11" t="str">
        <f t="shared" si="110"/>
        <v>n/a</v>
      </c>
      <c r="J897" s="5"/>
      <c r="K897" s="5"/>
      <c r="L897" s="5"/>
      <c r="M897" s="5"/>
      <c r="N897" s="5"/>
      <c r="O897" s="8" t="str">
        <f t="shared" si="108"/>
        <v>n/a</v>
      </c>
      <c r="Q897" s="5"/>
      <c r="R897" s="5"/>
      <c r="S897" s="5"/>
      <c r="U897" s="6"/>
      <c r="V897" s="9" t="str">
        <f t="shared" si="111"/>
        <v/>
      </c>
      <c r="W897" s="9" t="str">
        <f t="shared" si="112"/>
        <v/>
      </c>
      <c r="X897" s="10">
        <f>SUM(V$13:V897)/COUNTA(B$13:B897)</f>
        <v>0</v>
      </c>
      <c r="Z897" s="5"/>
      <c r="AA897" s="5"/>
      <c r="AC897" s="7"/>
      <c r="AE897" s="54" t="e">
        <f t="shared" si="113"/>
        <v>#N/A</v>
      </c>
      <c r="AF897" s="4" t="e">
        <f t="shared" si="109"/>
        <v>#N/A</v>
      </c>
    </row>
    <row r="898" spans="2:32">
      <c r="B898" s="5">
        <f t="shared" si="114"/>
        <v>886</v>
      </c>
      <c r="C898" s="5"/>
      <c r="E898" s="13"/>
      <c r="F898" s="5"/>
      <c r="G898" s="11" t="str">
        <f>IF(ISERROR(AVERAGE(F$13:F898)),"n/a",AVERAGE(F$13:F898))</f>
        <v>n/a</v>
      </c>
      <c r="H898" s="11" t="str">
        <f t="shared" si="110"/>
        <v>n/a</v>
      </c>
      <c r="J898" s="5"/>
      <c r="K898" s="5"/>
      <c r="L898" s="5"/>
      <c r="M898" s="5"/>
      <c r="N898" s="5"/>
      <c r="O898" s="8" t="str">
        <f t="shared" si="108"/>
        <v>n/a</v>
      </c>
      <c r="Q898" s="5"/>
      <c r="R898" s="5"/>
      <c r="S898" s="5"/>
      <c r="U898" s="6"/>
      <c r="V898" s="9" t="str">
        <f t="shared" si="111"/>
        <v/>
      </c>
      <c r="W898" s="9" t="str">
        <f t="shared" si="112"/>
        <v/>
      </c>
      <c r="X898" s="10">
        <f>SUM(V$13:V898)/COUNTA(B$13:B898)</f>
        <v>0</v>
      </c>
      <c r="Z898" s="5"/>
      <c r="AA898" s="5"/>
      <c r="AC898" s="7"/>
      <c r="AE898" s="54" t="e">
        <f t="shared" si="113"/>
        <v>#N/A</v>
      </c>
      <c r="AF898" s="4" t="e">
        <f t="shared" si="109"/>
        <v>#N/A</v>
      </c>
    </row>
    <row r="899" spans="2:32">
      <c r="B899" s="5">
        <f t="shared" si="114"/>
        <v>887</v>
      </c>
      <c r="C899" s="5"/>
      <c r="E899" s="13"/>
      <c r="F899" s="5"/>
      <c r="G899" s="11" t="str">
        <f>IF(ISERROR(AVERAGE(F$13:F899)),"n/a",AVERAGE(F$13:F899))</f>
        <v>n/a</v>
      </c>
      <c r="H899" s="11" t="str">
        <f t="shared" si="110"/>
        <v>n/a</v>
      </c>
      <c r="J899" s="5"/>
      <c r="K899" s="5"/>
      <c r="L899" s="5"/>
      <c r="M899" s="5"/>
      <c r="N899" s="5"/>
      <c r="O899" s="8" t="str">
        <f t="shared" si="108"/>
        <v>n/a</v>
      </c>
      <c r="Q899" s="5"/>
      <c r="R899" s="5"/>
      <c r="S899" s="5"/>
      <c r="U899" s="6"/>
      <c r="V899" s="9" t="str">
        <f t="shared" si="111"/>
        <v/>
      </c>
      <c r="W899" s="9" t="str">
        <f t="shared" si="112"/>
        <v/>
      </c>
      <c r="X899" s="10">
        <f>SUM(V$13:V899)/COUNTA(B$13:B899)</f>
        <v>0</v>
      </c>
      <c r="Z899" s="5"/>
      <c r="AA899" s="5"/>
      <c r="AC899" s="7"/>
      <c r="AE899" s="54" t="e">
        <f t="shared" si="113"/>
        <v>#N/A</v>
      </c>
      <c r="AF899" s="4" t="e">
        <f t="shared" si="109"/>
        <v>#N/A</v>
      </c>
    </row>
    <row r="900" spans="2:32">
      <c r="B900" s="5">
        <f t="shared" si="114"/>
        <v>888</v>
      </c>
      <c r="C900" s="5"/>
      <c r="E900" s="13"/>
      <c r="F900" s="5"/>
      <c r="G900" s="11" t="str">
        <f>IF(ISERROR(AVERAGE(F$13:F900)),"n/a",AVERAGE(F$13:F900))</f>
        <v>n/a</v>
      </c>
      <c r="H900" s="11" t="str">
        <f t="shared" si="110"/>
        <v>n/a</v>
      </c>
      <c r="J900" s="5"/>
      <c r="K900" s="5"/>
      <c r="L900" s="5"/>
      <c r="M900" s="5"/>
      <c r="N900" s="5"/>
      <c r="O900" s="8" t="str">
        <f t="shared" si="108"/>
        <v>n/a</v>
      </c>
      <c r="Q900" s="5"/>
      <c r="R900" s="5"/>
      <c r="S900" s="5"/>
      <c r="U900" s="6"/>
      <c r="V900" s="9" t="str">
        <f t="shared" si="111"/>
        <v/>
      </c>
      <c r="W900" s="9" t="str">
        <f t="shared" si="112"/>
        <v/>
      </c>
      <c r="X900" s="10">
        <f>SUM(V$13:V900)/COUNTA(B$13:B900)</f>
        <v>0</v>
      </c>
      <c r="Z900" s="5"/>
      <c r="AA900" s="5"/>
      <c r="AC900" s="7"/>
      <c r="AE900" s="54" t="e">
        <f t="shared" si="113"/>
        <v>#N/A</v>
      </c>
      <c r="AF900" s="4" t="e">
        <f t="shared" si="109"/>
        <v>#N/A</v>
      </c>
    </row>
    <row r="901" spans="2:32">
      <c r="B901" s="5">
        <f t="shared" si="114"/>
        <v>889</v>
      </c>
      <c r="C901" s="5"/>
      <c r="E901" s="13"/>
      <c r="F901" s="5"/>
      <c r="G901" s="11" t="str">
        <f>IF(ISERROR(AVERAGE(F$13:F901)),"n/a",AVERAGE(F$13:F901))</f>
        <v>n/a</v>
      </c>
      <c r="H901" s="11" t="str">
        <f t="shared" si="110"/>
        <v>n/a</v>
      </c>
      <c r="J901" s="5"/>
      <c r="K901" s="5"/>
      <c r="L901" s="5"/>
      <c r="M901" s="5"/>
      <c r="N901" s="5"/>
      <c r="O901" s="8" t="str">
        <f t="shared" si="108"/>
        <v>n/a</v>
      </c>
      <c r="Q901" s="5"/>
      <c r="R901" s="5"/>
      <c r="S901" s="5"/>
      <c r="U901" s="6"/>
      <c r="V901" s="9" t="str">
        <f t="shared" si="111"/>
        <v/>
      </c>
      <c r="W901" s="9" t="str">
        <f t="shared" si="112"/>
        <v/>
      </c>
      <c r="X901" s="10">
        <f>SUM(V$13:V901)/COUNTA(B$13:B901)</f>
        <v>0</v>
      </c>
      <c r="Z901" s="5"/>
      <c r="AA901" s="5"/>
      <c r="AC901" s="7"/>
      <c r="AE901" s="54" t="e">
        <f t="shared" si="113"/>
        <v>#N/A</v>
      </c>
      <c r="AF901" s="4" t="e">
        <f t="shared" si="109"/>
        <v>#N/A</v>
      </c>
    </row>
    <row r="902" spans="2:32">
      <c r="B902" s="5">
        <f t="shared" si="114"/>
        <v>890</v>
      </c>
      <c r="C902" s="5"/>
      <c r="E902" s="13"/>
      <c r="F902" s="5"/>
      <c r="G902" s="11" t="str">
        <f>IF(ISERROR(AVERAGE(F$13:F902)),"n/a",AVERAGE(F$13:F902))</f>
        <v>n/a</v>
      </c>
      <c r="H902" s="11" t="str">
        <f t="shared" si="110"/>
        <v>n/a</v>
      </c>
      <c r="J902" s="5"/>
      <c r="K902" s="5"/>
      <c r="L902" s="5"/>
      <c r="M902" s="5"/>
      <c r="N902" s="5"/>
      <c r="O902" s="8" t="str">
        <f t="shared" si="108"/>
        <v>n/a</v>
      </c>
      <c r="Q902" s="5"/>
      <c r="R902" s="5"/>
      <c r="S902" s="5"/>
      <c r="U902" s="6"/>
      <c r="V902" s="9" t="str">
        <f t="shared" si="111"/>
        <v/>
      </c>
      <c r="W902" s="9" t="str">
        <f t="shared" si="112"/>
        <v/>
      </c>
      <c r="X902" s="10">
        <f>SUM(V$13:V902)/COUNTA(B$13:B902)</f>
        <v>0</v>
      </c>
      <c r="Z902" s="5"/>
      <c r="AA902" s="5"/>
      <c r="AC902" s="7"/>
      <c r="AE902" s="54" t="e">
        <f t="shared" si="113"/>
        <v>#N/A</v>
      </c>
      <c r="AF902" s="4" t="e">
        <f t="shared" si="109"/>
        <v>#N/A</v>
      </c>
    </row>
    <row r="903" spans="2:32">
      <c r="B903" s="5">
        <f t="shared" si="114"/>
        <v>891</v>
      </c>
      <c r="C903" s="5"/>
      <c r="E903" s="13"/>
      <c r="F903" s="5"/>
      <c r="G903" s="11" t="str">
        <f>IF(ISERROR(AVERAGE(F$13:F903)),"n/a",AVERAGE(F$13:F903))</f>
        <v>n/a</v>
      </c>
      <c r="H903" s="11" t="str">
        <f t="shared" si="110"/>
        <v>n/a</v>
      </c>
      <c r="J903" s="5"/>
      <c r="K903" s="5"/>
      <c r="L903" s="5"/>
      <c r="M903" s="5"/>
      <c r="N903" s="5"/>
      <c r="O903" s="8" t="str">
        <f t="shared" si="108"/>
        <v>n/a</v>
      </c>
      <c r="Q903" s="5"/>
      <c r="R903" s="5"/>
      <c r="S903" s="5"/>
      <c r="U903" s="6"/>
      <c r="V903" s="9" t="str">
        <f t="shared" si="111"/>
        <v/>
      </c>
      <c r="W903" s="9" t="str">
        <f t="shared" si="112"/>
        <v/>
      </c>
      <c r="X903" s="10">
        <f>SUM(V$13:V903)/COUNTA(B$13:B903)</f>
        <v>0</v>
      </c>
      <c r="Z903" s="5"/>
      <c r="AA903" s="5"/>
      <c r="AC903" s="7"/>
      <c r="AE903" s="54" t="e">
        <f t="shared" si="113"/>
        <v>#N/A</v>
      </c>
      <c r="AF903" s="4" t="e">
        <f t="shared" si="109"/>
        <v>#N/A</v>
      </c>
    </row>
    <row r="904" spans="2:32">
      <c r="B904" s="5">
        <f t="shared" si="114"/>
        <v>892</v>
      </c>
      <c r="C904" s="5"/>
      <c r="E904" s="13"/>
      <c r="F904" s="5"/>
      <c r="G904" s="11" t="str">
        <f>IF(ISERROR(AVERAGE(F$13:F904)),"n/a",AVERAGE(F$13:F904))</f>
        <v>n/a</v>
      </c>
      <c r="H904" s="11" t="str">
        <f t="shared" si="110"/>
        <v>n/a</v>
      </c>
      <c r="J904" s="5"/>
      <c r="K904" s="5"/>
      <c r="L904" s="5"/>
      <c r="M904" s="5"/>
      <c r="N904" s="5"/>
      <c r="O904" s="8" t="str">
        <f t="shared" si="108"/>
        <v>n/a</v>
      </c>
      <c r="Q904" s="5"/>
      <c r="R904" s="5"/>
      <c r="S904" s="5"/>
      <c r="U904" s="6"/>
      <c r="V904" s="9" t="str">
        <f t="shared" si="111"/>
        <v/>
      </c>
      <c r="W904" s="9" t="str">
        <f t="shared" si="112"/>
        <v/>
      </c>
      <c r="X904" s="10">
        <f>SUM(V$13:V904)/COUNTA(B$13:B904)</f>
        <v>0</v>
      </c>
      <c r="Z904" s="5"/>
      <c r="AA904" s="5"/>
      <c r="AC904" s="7"/>
      <c r="AE904" s="54" t="e">
        <f t="shared" si="113"/>
        <v>#N/A</v>
      </c>
      <c r="AF904" s="4" t="e">
        <f t="shared" si="109"/>
        <v>#N/A</v>
      </c>
    </row>
    <row r="905" spans="2:32">
      <c r="B905" s="5">
        <f t="shared" si="114"/>
        <v>893</v>
      </c>
      <c r="C905" s="5"/>
      <c r="E905" s="13"/>
      <c r="F905" s="5"/>
      <c r="G905" s="11" t="str">
        <f>IF(ISERROR(AVERAGE(F$13:F905)),"n/a",AVERAGE(F$13:F905))</f>
        <v>n/a</v>
      </c>
      <c r="H905" s="11" t="str">
        <f t="shared" si="110"/>
        <v>n/a</v>
      </c>
      <c r="J905" s="5"/>
      <c r="K905" s="5"/>
      <c r="L905" s="5"/>
      <c r="M905" s="5"/>
      <c r="N905" s="5"/>
      <c r="O905" s="8" t="str">
        <f t="shared" si="108"/>
        <v>n/a</v>
      </c>
      <c r="Q905" s="5"/>
      <c r="R905" s="5"/>
      <c r="S905" s="5"/>
      <c r="U905" s="6"/>
      <c r="V905" s="9" t="str">
        <f t="shared" si="111"/>
        <v/>
      </c>
      <c r="W905" s="9" t="str">
        <f t="shared" si="112"/>
        <v/>
      </c>
      <c r="X905" s="10">
        <f>SUM(V$13:V905)/COUNTA(B$13:B905)</f>
        <v>0</v>
      </c>
      <c r="Z905" s="5"/>
      <c r="AA905" s="5"/>
      <c r="AC905" s="7"/>
      <c r="AE905" s="54" t="e">
        <f t="shared" si="113"/>
        <v>#N/A</v>
      </c>
      <c r="AF905" s="4" t="e">
        <f t="shared" si="109"/>
        <v>#N/A</v>
      </c>
    </row>
    <row r="906" spans="2:32">
      <c r="B906" s="5">
        <f t="shared" si="114"/>
        <v>894</v>
      </c>
      <c r="C906" s="5"/>
      <c r="E906" s="13"/>
      <c r="F906" s="5"/>
      <c r="G906" s="11" t="str">
        <f>IF(ISERROR(AVERAGE(F$13:F906)),"n/a",AVERAGE(F$13:F906))</f>
        <v>n/a</v>
      </c>
      <c r="H906" s="11" t="str">
        <f t="shared" si="110"/>
        <v>n/a</v>
      </c>
      <c r="J906" s="5"/>
      <c r="K906" s="5"/>
      <c r="L906" s="5"/>
      <c r="M906" s="5"/>
      <c r="N906" s="5"/>
      <c r="O906" s="8" t="str">
        <f t="shared" si="108"/>
        <v>n/a</v>
      </c>
      <c r="Q906" s="5"/>
      <c r="R906" s="5"/>
      <c r="S906" s="5"/>
      <c r="U906" s="6"/>
      <c r="V906" s="9" t="str">
        <f t="shared" si="111"/>
        <v/>
      </c>
      <c r="W906" s="9" t="str">
        <f t="shared" si="112"/>
        <v/>
      </c>
      <c r="X906" s="10">
        <f>SUM(V$13:V906)/COUNTA(B$13:B906)</f>
        <v>0</v>
      </c>
      <c r="Z906" s="5"/>
      <c r="AA906" s="5"/>
      <c r="AC906" s="7"/>
      <c r="AE906" s="54" t="e">
        <f t="shared" si="113"/>
        <v>#N/A</v>
      </c>
      <c r="AF906" s="4" t="e">
        <f t="shared" si="109"/>
        <v>#N/A</v>
      </c>
    </row>
    <row r="907" spans="2:32">
      <c r="B907" s="5">
        <f t="shared" si="114"/>
        <v>895</v>
      </c>
      <c r="C907" s="5"/>
      <c r="E907" s="13"/>
      <c r="F907" s="5"/>
      <c r="G907" s="11" t="str">
        <f>IF(ISERROR(AVERAGE(F$13:F907)),"n/a",AVERAGE(F$13:F907))</f>
        <v>n/a</v>
      </c>
      <c r="H907" s="11" t="str">
        <f t="shared" si="110"/>
        <v>n/a</v>
      </c>
      <c r="J907" s="5"/>
      <c r="K907" s="5"/>
      <c r="L907" s="5"/>
      <c r="M907" s="5"/>
      <c r="N907" s="5"/>
      <c r="O907" s="8" t="str">
        <f t="shared" si="108"/>
        <v>n/a</v>
      </c>
      <c r="Q907" s="5"/>
      <c r="R907" s="5"/>
      <c r="S907" s="5"/>
      <c r="U907" s="6"/>
      <c r="V907" s="9" t="str">
        <f t="shared" si="111"/>
        <v/>
      </c>
      <c r="W907" s="9" t="str">
        <f t="shared" si="112"/>
        <v/>
      </c>
      <c r="X907" s="10">
        <f>SUM(V$13:V907)/COUNTA(B$13:B907)</f>
        <v>0</v>
      </c>
      <c r="Z907" s="5"/>
      <c r="AA907" s="5"/>
      <c r="AC907" s="7"/>
      <c r="AE907" s="54" t="e">
        <f t="shared" si="113"/>
        <v>#N/A</v>
      </c>
      <c r="AF907" s="4" t="e">
        <f t="shared" si="109"/>
        <v>#N/A</v>
      </c>
    </row>
    <row r="908" spans="2:32">
      <c r="B908" s="5">
        <f t="shared" si="114"/>
        <v>896</v>
      </c>
      <c r="C908" s="5"/>
      <c r="E908" s="13"/>
      <c r="F908" s="5"/>
      <c r="G908" s="11" t="str">
        <f>IF(ISERROR(AVERAGE(F$13:F908)),"n/a",AVERAGE(F$13:F908))</f>
        <v>n/a</v>
      </c>
      <c r="H908" s="11" t="str">
        <f t="shared" si="110"/>
        <v>n/a</v>
      </c>
      <c r="J908" s="5"/>
      <c r="K908" s="5"/>
      <c r="L908" s="5"/>
      <c r="M908" s="5"/>
      <c r="N908" s="5"/>
      <c r="O908" s="8" t="str">
        <f t="shared" si="108"/>
        <v>n/a</v>
      </c>
      <c r="Q908" s="5"/>
      <c r="R908" s="5"/>
      <c r="S908" s="5"/>
      <c r="U908" s="6"/>
      <c r="V908" s="9" t="str">
        <f t="shared" si="111"/>
        <v/>
      </c>
      <c r="W908" s="9" t="str">
        <f t="shared" si="112"/>
        <v/>
      </c>
      <c r="X908" s="10">
        <f>SUM(V$13:V908)/COUNTA(B$13:B908)</f>
        <v>0</v>
      </c>
      <c r="Z908" s="5"/>
      <c r="AA908" s="5"/>
      <c r="AC908" s="7"/>
      <c r="AE908" s="54" t="e">
        <f t="shared" si="113"/>
        <v>#N/A</v>
      </c>
      <c r="AF908" s="4" t="e">
        <f t="shared" si="109"/>
        <v>#N/A</v>
      </c>
    </row>
    <row r="909" spans="2:32">
      <c r="B909" s="5">
        <f t="shared" si="114"/>
        <v>897</v>
      </c>
      <c r="C909" s="5"/>
      <c r="E909" s="13"/>
      <c r="F909" s="5"/>
      <c r="G909" s="11" t="str">
        <f>IF(ISERROR(AVERAGE(F$13:F909)),"n/a",AVERAGE(F$13:F909))</f>
        <v>n/a</v>
      </c>
      <c r="H909" s="11" t="str">
        <f t="shared" si="110"/>
        <v>n/a</v>
      </c>
      <c r="J909" s="5"/>
      <c r="K909" s="5"/>
      <c r="L909" s="5"/>
      <c r="M909" s="5"/>
      <c r="N909" s="5"/>
      <c r="O909" s="8" t="str">
        <f t="shared" ref="O909:O972" si="115">IF(J909=1,"A",IF(K909=1,"B",IF(L909=1,"C",IF(M909=1,"D",IF(N909=1,"E","n/a")))))</f>
        <v>n/a</v>
      </c>
      <c r="Q909" s="5"/>
      <c r="R909" s="5"/>
      <c r="S909" s="5"/>
      <c r="U909" s="6"/>
      <c r="V909" s="9" t="str">
        <f t="shared" si="111"/>
        <v/>
      </c>
      <c r="W909" s="9" t="str">
        <f t="shared" si="112"/>
        <v/>
      </c>
      <c r="X909" s="10">
        <f>SUM(V$13:V909)/COUNTA(B$13:B909)</f>
        <v>0</v>
      </c>
      <c r="Z909" s="5"/>
      <c r="AA909" s="5"/>
      <c r="AC909" s="7"/>
      <c r="AE909" s="54" t="e">
        <f t="shared" si="113"/>
        <v>#N/A</v>
      </c>
      <c r="AF909" s="4" t="e">
        <f t="shared" ref="AF909:AF972" si="116">HLOOKUP(C909,$K$6:$O$7,2,FALSE)</f>
        <v>#N/A</v>
      </c>
    </row>
    <row r="910" spans="2:32">
      <c r="B910" s="5">
        <f t="shared" si="114"/>
        <v>898</v>
      </c>
      <c r="C910" s="5"/>
      <c r="E910" s="13"/>
      <c r="F910" s="5"/>
      <c r="G910" s="11" t="str">
        <f>IF(ISERROR(AVERAGE(F$13:F910)),"n/a",AVERAGE(F$13:F910))</f>
        <v>n/a</v>
      </c>
      <c r="H910" s="11" t="str">
        <f t="shared" ref="H910:H973" si="117">G910</f>
        <v>n/a</v>
      </c>
      <c r="J910" s="5"/>
      <c r="K910" s="5"/>
      <c r="L910" s="5"/>
      <c r="M910" s="5"/>
      <c r="N910" s="5"/>
      <c r="O910" s="8" t="str">
        <f t="shared" si="115"/>
        <v>n/a</v>
      </c>
      <c r="Q910" s="5"/>
      <c r="R910" s="5"/>
      <c r="S910" s="5"/>
      <c r="U910" s="6"/>
      <c r="V910" s="9" t="str">
        <f t="shared" ref="V910:V973" si="118">IF(O910="n/a","",IF(O910=U910,1,""))</f>
        <v/>
      </c>
      <c r="W910" s="9" t="str">
        <f t="shared" ref="W910:W973" si="119">IF(O910="n/a","",IF(O910&lt;&gt;U910,1,""))</f>
        <v/>
      </c>
      <c r="X910" s="10">
        <f>SUM(V$13:V910)/COUNTA(B$13:B910)</f>
        <v>0</v>
      </c>
      <c r="Z910" s="5"/>
      <c r="AA910" s="5"/>
      <c r="AC910" s="7"/>
      <c r="AE910" s="54" t="e">
        <f t="shared" ref="AE910:AE973" si="120">+IF($F$4=0,0,IF(W910=1,1,IF(OR(R910*$F$8=1,S910*$F$9=1,F910&gt;=AF910),2,0)))</f>
        <v>#N/A</v>
      </c>
      <c r="AF910" s="4" t="e">
        <f t="shared" si="116"/>
        <v>#N/A</v>
      </c>
    </row>
    <row r="911" spans="2:32">
      <c r="B911" s="5">
        <f t="shared" si="114"/>
        <v>899</v>
      </c>
      <c r="C911" s="5"/>
      <c r="E911" s="13"/>
      <c r="F911" s="5"/>
      <c r="G911" s="11" t="str">
        <f>IF(ISERROR(AVERAGE(F$13:F911)),"n/a",AVERAGE(F$13:F911))</f>
        <v>n/a</v>
      </c>
      <c r="H911" s="11" t="str">
        <f t="shared" si="117"/>
        <v>n/a</v>
      </c>
      <c r="J911" s="5"/>
      <c r="K911" s="5"/>
      <c r="L911" s="5"/>
      <c r="M911" s="5"/>
      <c r="N911" s="5"/>
      <c r="O911" s="8" t="str">
        <f t="shared" si="115"/>
        <v>n/a</v>
      </c>
      <c r="Q911" s="5"/>
      <c r="R911" s="5"/>
      <c r="S911" s="5"/>
      <c r="U911" s="6"/>
      <c r="V911" s="9" t="str">
        <f t="shared" si="118"/>
        <v/>
      </c>
      <c r="W911" s="9" t="str">
        <f t="shared" si="119"/>
        <v/>
      </c>
      <c r="X911" s="10">
        <f>SUM(V$13:V911)/COUNTA(B$13:B911)</f>
        <v>0</v>
      </c>
      <c r="Z911" s="5"/>
      <c r="AA911" s="5"/>
      <c r="AC911" s="7"/>
      <c r="AE911" s="54" t="e">
        <f t="shared" si="120"/>
        <v>#N/A</v>
      </c>
      <c r="AF911" s="4" t="e">
        <f t="shared" si="116"/>
        <v>#N/A</v>
      </c>
    </row>
    <row r="912" spans="2:32">
      <c r="B912" s="5">
        <f t="shared" si="114"/>
        <v>900</v>
      </c>
      <c r="C912" s="5"/>
      <c r="E912" s="13"/>
      <c r="F912" s="5"/>
      <c r="G912" s="11" t="str">
        <f>IF(ISERROR(AVERAGE(F$13:F912)),"n/a",AVERAGE(F$13:F912))</f>
        <v>n/a</v>
      </c>
      <c r="H912" s="11" t="str">
        <f t="shared" si="117"/>
        <v>n/a</v>
      </c>
      <c r="J912" s="5"/>
      <c r="K912" s="5"/>
      <c r="L912" s="5"/>
      <c r="M912" s="5"/>
      <c r="N912" s="5"/>
      <c r="O912" s="8" t="str">
        <f t="shared" si="115"/>
        <v>n/a</v>
      </c>
      <c r="Q912" s="5"/>
      <c r="R912" s="5"/>
      <c r="S912" s="5"/>
      <c r="U912" s="6"/>
      <c r="V912" s="9" t="str">
        <f t="shared" si="118"/>
        <v/>
      </c>
      <c r="W912" s="9" t="str">
        <f t="shared" si="119"/>
        <v/>
      </c>
      <c r="X912" s="10">
        <f>SUM(V$13:V912)/COUNTA(B$13:B912)</f>
        <v>0</v>
      </c>
      <c r="Z912" s="5"/>
      <c r="AA912" s="5"/>
      <c r="AC912" s="7"/>
      <c r="AE912" s="54" t="e">
        <f t="shared" si="120"/>
        <v>#N/A</v>
      </c>
      <c r="AF912" s="4" t="e">
        <f t="shared" si="116"/>
        <v>#N/A</v>
      </c>
    </row>
    <row r="913" spans="2:32">
      <c r="B913" s="5">
        <f t="shared" si="114"/>
        <v>901</v>
      </c>
      <c r="C913" s="5"/>
      <c r="E913" s="13"/>
      <c r="F913" s="5"/>
      <c r="G913" s="11" t="str">
        <f>IF(ISERROR(AVERAGE(F$13:F913)),"n/a",AVERAGE(F$13:F913))</f>
        <v>n/a</v>
      </c>
      <c r="H913" s="11" t="str">
        <f t="shared" si="117"/>
        <v>n/a</v>
      </c>
      <c r="J913" s="5"/>
      <c r="K913" s="5"/>
      <c r="L913" s="5"/>
      <c r="M913" s="5"/>
      <c r="N913" s="5"/>
      <c r="O913" s="8" t="str">
        <f t="shared" si="115"/>
        <v>n/a</v>
      </c>
      <c r="Q913" s="5"/>
      <c r="R913" s="5"/>
      <c r="S913" s="5"/>
      <c r="U913" s="6"/>
      <c r="V913" s="9" t="str">
        <f t="shared" si="118"/>
        <v/>
      </c>
      <c r="W913" s="9" t="str">
        <f t="shared" si="119"/>
        <v/>
      </c>
      <c r="X913" s="10">
        <f>SUM(V$13:V913)/COUNTA(B$13:B913)</f>
        <v>0</v>
      </c>
      <c r="Z913" s="5"/>
      <c r="AA913" s="5"/>
      <c r="AC913" s="7"/>
      <c r="AE913" s="54" t="e">
        <f t="shared" si="120"/>
        <v>#N/A</v>
      </c>
      <c r="AF913" s="4" t="e">
        <f t="shared" si="116"/>
        <v>#N/A</v>
      </c>
    </row>
    <row r="914" spans="2:32">
      <c r="B914" s="5">
        <f t="shared" si="114"/>
        <v>902</v>
      </c>
      <c r="C914" s="5"/>
      <c r="E914" s="13"/>
      <c r="F914" s="5"/>
      <c r="G914" s="11" t="str">
        <f>IF(ISERROR(AVERAGE(F$13:F914)),"n/a",AVERAGE(F$13:F914))</f>
        <v>n/a</v>
      </c>
      <c r="H914" s="11" t="str">
        <f t="shared" si="117"/>
        <v>n/a</v>
      </c>
      <c r="J914" s="5"/>
      <c r="K914" s="5"/>
      <c r="L914" s="5"/>
      <c r="M914" s="5"/>
      <c r="N914" s="5"/>
      <c r="O914" s="8" t="str">
        <f t="shared" si="115"/>
        <v>n/a</v>
      </c>
      <c r="Q914" s="5"/>
      <c r="R914" s="5"/>
      <c r="S914" s="5"/>
      <c r="U914" s="6"/>
      <c r="V914" s="9" t="str">
        <f t="shared" si="118"/>
        <v/>
      </c>
      <c r="W914" s="9" t="str">
        <f t="shared" si="119"/>
        <v/>
      </c>
      <c r="X914" s="10">
        <f>SUM(V$13:V914)/COUNTA(B$13:B914)</f>
        <v>0</v>
      </c>
      <c r="Z914" s="5"/>
      <c r="AA914" s="5"/>
      <c r="AC914" s="7"/>
      <c r="AE914" s="54" t="e">
        <f t="shared" si="120"/>
        <v>#N/A</v>
      </c>
      <c r="AF914" s="4" t="e">
        <f t="shared" si="116"/>
        <v>#N/A</v>
      </c>
    </row>
    <row r="915" spans="2:32">
      <c r="B915" s="5">
        <f t="shared" ref="B915:B978" si="121">+B914+1</f>
        <v>903</v>
      </c>
      <c r="C915" s="5"/>
      <c r="E915" s="13"/>
      <c r="F915" s="5"/>
      <c r="G915" s="11" t="str">
        <f>IF(ISERROR(AVERAGE(F$13:F915)),"n/a",AVERAGE(F$13:F915))</f>
        <v>n/a</v>
      </c>
      <c r="H915" s="11" t="str">
        <f t="shared" si="117"/>
        <v>n/a</v>
      </c>
      <c r="J915" s="5"/>
      <c r="K915" s="5"/>
      <c r="L915" s="5"/>
      <c r="M915" s="5"/>
      <c r="N915" s="5"/>
      <c r="O915" s="8" t="str">
        <f t="shared" si="115"/>
        <v>n/a</v>
      </c>
      <c r="Q915" s="5"/>
      <c r="R915" s="5"/>
      <c r="S915" s="5"/>
      <c r="U915" s="6"/>
      <c r="V915" s="9" t="str">
        <f t="shared" si="118"/>
        <v/>
      </c>
      <c r="W915" s="9" t="str">
        <f t="shared" si="119"/>
        <v/>
      </c>
      <c r="X915" s="10">
        <f>SUM(V$13:V915)/COUNTA(B$13:B915)</f>
        <v>0</v>
      </c>
      <c r="Z915" s="5"/>
      <c r="AA915" s="5"/>
      <c r="AC915" s="7"/>
      <c r="AE915" s="54" t="e">
        <f t="shared" si="120"/>
        <v>#N/A</v>
      </c>
      <c r="AF915" s="4" t="e">
        <f t="shared" si="116"/>
        <v>#N/A</v>
      </c>
    </row>
    <row r="916" spans="2:32">
      <c r="B916" s="5">
        <f t="shared" si="121"/>
        <v>904</v>
      </c>
      <c r="C916" s="5"/>
      <c r="E916" s="13"/>
      <c r="F916" s="5"/>
      <c r="G916" s="11" t="str">
        <f>IF(ISERROR(AVERAGE(F$13:F916)),"n/a",AVERAGE(F$13:F916))</f>
        <v>n/a</v>
      </c>
      <c r="H916" s="11" t="str">
        <f t="shared" si="117"/>
        <v>n/a</v>
      </c>
      <c r="J916" s="5"/>
      <c r="K916" s="5"/>
      <c r="L916" s="5"/>
      <c r="M916" s="5"/>
      <c r="N916" s="5"/>
      <c r="O916" s="8" t="str">
        <f t="shared" si="115"/>
        <v>n/a</v>
      </c>
      <c r="Q916" s="5"/>
      <c r="R916" s="5"/>
      <c r="S916" s="5"/>
      <c r="U916" s="6"/>
      <c r="V916" s="9" t="str">
        <f t="shared" si="118"/>
        <v/>
      </c>
      <c r="W916" s="9" t="str">
        <f t="shared" si="119"/>
        <v/>
      </c>
      <c r="X916" s="10">
        <f>SUM(V$13:V916)/COUNTA(B$13:B916)</f>
        <v>0</v>
      </c>
      <c r="Z916" s="5"/>
      <c r="AA916" s="5"/>
      <c r="AC916" s="7"/>
      <c r="AE916" s="54" t="e">
        <f t="shared" si="120"/>
        <v>#N/A</v>
      </c>
      <c r="AF916" s="4" t="e">
        <f t="shared" si="116"/>
        <v>#N/A</v>
      </c>
    </row>
    <row r="917" spans="2:32">
      <c r="B917" s="5">
        <f t="shared" si="121"/>
        <v>905</v>
      </c>
      <c r="C917" s="5"/>
      <c r="E917" s="13"/>
      <c r="F917" s="5"/>
      <c r="G917" s="11" t="str">
        <f>IF(ISERROR(AVERAGE(F$13:F917)),"n/a",AVERAGE(F$13:F917))</f>
        <v>n/a</v>
      </c>
      <c r="H917" s="11" t="str">
        <f t="shared" si="117"/>
        <v>n/a</v>
      </c>
      <c r="J917" s="5"/>
      <c r="K917" s="5"/>
      <c r="L917" s="5"/>
      <c r="M917" s="5"/>
      <c r="N917" s="5"/>
      <c r="O917" s="8" t="str">
        <f t="shared" si="115"/>
        <v>n/a</v>
      </c>
      <c r="Q917" s="5"/>
      <c r="R917" s="5"/>
      <c r="S917" s="5"/>
      <c r="U917" s="6"/>
      <c r="V917" s="9" t="str">
        <f t="shared" si="118"/>
        <v/>
      </c>
      <c r="W917" s="9" t="str">
        <f t="shared" si="119"/>
        <v/>
      </c>
      <c r="X917" s="10">
        <f>SUM(V$13:V917)/COUNTA(B$13:B917)</f>
        <v>0</v>
      </c>
      <c r="Z917" s="5"/>
      <c r="AA917" s="5"/>
      <c r="AC917" s="7"/>
      <c r="AE917" s="54" t="e">
        <f t="shared" si="120"/>
        <v>#N/A</v>
      </c>
      <c r="AF917" s="4" t="e">
        <f t="shared" si="116"/>
        <v>#N/A</v>
      </c>
    </row>
    <row r="918" spans="2:32">
      <c r="B918" s="5">
        <f t="shared" si="121"/>
        <v>906</v>
      </c>
      <c r="C918" s="5"/>
      <c r="E918" s="13"/>
      <c r="F918" s="5"/>
      <c r="G918" s="11" t="str">
        <f>IF(ISERROR(AVERAGE(F$13:F918)),"n/a",AVERAGE(F$13:F918))</f>
        <v>n/a</v>
      </c>
      <c r="H918" s="11" t="str">
        <f t="shared" si="117"/>
        <v>n/a</v>
      </c>
      <c r="J918" s="5"/>
      <c r="K918" s="5"/>
      <c r="L918" s="5"/>
      <c r="M918" s="5"/>
      <c r="N918" s="5"/>
      <c r="O918" s="8" t="str">
        <f t="shared" si="115"/>
        <v>n/a</v>
      </c>
      <c r="Q918" s="5"/>
      <c r="R918" s="5"/>
      <c r="S918" s="5"/>
      <c r="U918" s="6"/>
      <c r="V918" s="9" t="str">
        <f t="shared" si="118"/>
        <v/>
      </c>
      <c r="W918" s="9" t="str">
        <f t="shared" si="119"/>
        <v/>
      </c>
      <c r="X918" s="10">
        <f>SUM(V$13:V918)/COUNTA(B$13:B918)</f>
        <v>0</v>
      </c>
      <c r="Z918" s="5"/>
      <c r="AA918" s="5"/>
      <c r="AC918" s="7"/>
      <c r="AE918" s="54" t="e">
        <f t="shared" si="120"/>
        <v>#N/A</v>
      </c>
      <c r="AF918" s="4" t="e">
        <f t="shared" si="116"/>
        <v>#N/A</v>
      </c>
    </row>
    <row r="919" spans="2:32">
      <c r="B919" s="5">
        <f t="shared" si="121"/>
        <v>907</v>
      </c>
      <c r="C919" s="5"/>
      <c r="E919" s="13"/>
      <c r="F919" s="5"/>
      <c r="G919" s="11" t="str">
        <f>IF(ISERROR(AVERAGE(F$13:F919)),"n/a",AVERAGE(F$13:F919))</f>
        <v>n/a</v>
      </c>
      <c r="H919" s="11" t="str">
        <f t="shared" si="117"/>
        <v>n/a</v>
      </c>
      <c r="J919" s="5"/>
      <c r="K919" s="5"/>
      <c r="L919" s="5"/>
      <c r="M919" s="5"/>
      <c r="N919" s="5"/>
      <c r="O919" s="8" t="str">
        <f t="shared" si="115"/>
        <v>n/a</v>
      </c>
      <c r="Q919" s="5"/>
      <c r="R919" s="5"/>
      <c r="S919" s="5"/>
      <c r="U919" s="6"/>
      <c r="V919" s="9" t="str">
        <f t="shared" si="118"/>
        <v/>
      </c>
      <c r="W919" s="9" t="str">
        <f t="shared" si="119"/>
        <v/>
      </c>
      <c r="X919" s="10">
        <f>SUM(V$13:V919)/COUNTA(B$13:B919)</f>
        <v>0</v>
      </c>
      <c r="Z919" s="5"/>
      <c r="AA919" s="5"/>
      <c r="AC919" s="7"/>
      <c r="AE919" s="54" t="e">
        <f t="shared" si="120"/>
        <v>#N/A</v>
      </c>
      <c r="AF919" s="4" t="e">
        <f t="shared" si="116"/>
        <v>#N/A</v>
      </c>
    </row>
    <row r="920" spans="2:32">
      <c r="B920" s="5">
        <f t="shared" si="121"/>
        <v>908</v>
      </c>
      <c r="C920" s="5"/>
      <c r="E920" s="13"/>
      <c r="F920" s="5"/>
      <c r="G920" s="11" t="str">
        <f>IF(ISERROR(AVERAGE(F$13:F920)),"n/a",AVERAGE(F$13:F920))</f>
        <v>n/a</v>
      </c>
      <c r="H920" s="11" t="str">
        <f t="shared" si="117"/>
        <v>n/a</v>
      </c>
      <c r="J920" s="5"/>
      <c r="K920" s="5"/>
      <c r="L920" s="5"/>
      <c r="M920" s="5"/>
      <c r="N920" s="5"/>
      <c r="O920" s="8" t="str">
        <f t="shared" si="115"/>
        <v>n/a</v>
      </c>
      <c r="Q920" s="5"/>
      <c r="R920" s="5"/>
      <c r="S920" s="5"/>
      <c r="U920" s="6"/>
      <c r="V920" s="9" t="str">
        <f t="shared" si="118"/>
        <v/>
      </c>
      <c r="W920" s="9" t="str">
        <f t="shared" si="119"/>
        <v/>
      </c>
      <c r="X920" s="10">
        <f>SUM(V$13:V920)/COUNTA(B$13:B920)</f>
        <v>0</v>
      </c>
      <c r="Z920" s="5"/>
      <c r="AA920" s="5"/>
      <c r="AC920" s="7"/>
      <c r="AE920" s="54" t="e">
        <f t="shared" si="120"/>
        <v>#N/A</v>
      </c>
      <c r="AF920" s="4" t="e">
        <f t="shared" si="116"/>
        <v>#N/A</v>
      </c>
    </row>
    <row r="921" spans="2:32">
      <c r="B921" s="5">
        <f t="shared" si="121"/>
        <v>909</v>
      </c>
      <c r="C921" s="5"/>
      <c r="E921" s="13"/>
      <c r="F921" s="5"/>
      <c r="G921" s="11" t="str">
        <f>IF(ISERROR(AVERAGE(F$13:F921)),"n/a",AVERAGE(F$13:F921))</f>
        <v>n/a</v>
      </c>
      <c r="H921" s="11" t="str">
        <f t="shared" si="117"/>
        <v>n/a</v>
      </c>
      <c r="J921" s="5"/>
      <c r="K921" s="5"/>
      <c r="L921" s="5"/>
      <c r="M921" s="5"/>
      <c r="N921" s="5"/>
      <c r="O921" s="8" t="str">
        <f t="shared" si="115"/>
        <v>n/a</v>
      </c>
      <c r="Q921" s="5"/>
      <c r="R921" s="5"/>
      <c r="S921" s="5"/>
      <c r="U921" s="6"/>
      <c r="V921" s="9" t="str">
        <f t="shared" si="118"/>
        <v/>
      </c>
      <c r="W921" s="9" t="str">
        <f t="shared" si="119"/>
        <v/>
      </c>
      <c r="X921" s="10">
        <f>SUM(V$13:V921)/COUNTA(B$13:B921)</f>
        <v>0</v>
      </c>
      <c r="Z921" s="5"/>
      <c r="AA921" s="5"/>
      <c r="AC921" s="7"/>
      <c r="AE921" s="54" t="e">
        <f t="shared" si="120"/>
        <v>#N/A</v>
      </c>
      <c r="AF921" s="4" t="e">
        <f t="shared" si="116"/>
        <v>#N/A</v>
      </c>
    </row>
    <row r="922" spans="2:32">
      <c r="B922" s="5">
        <f t="shared" si="121"/>
        <v>910</v>
      </c>
      <c r="C922" s="5"/>
      <c r="E922" s="13"/>
      <c r="F922" s="5"/>
      <c r="G922" s="11" t="str">
        <f>IF(ISERROR(AVERAGE(F$13:F922)),"n/a",AVERAGE(F$13:F922))</f>
        <v>n/a</v>
      </c>
      <c r="H922" s="11" t="str">
        <f t="shared" si="117"/>
        <v>n/a</v>
      </c>
      <c r="J922" s="5"/>
      <c r="K922" s="5"/>
      <c r="L922" s="5"/>
      <c r="M922" s="5"/>
      <c r="N922" s="5"/>
      <c r="O922" s="8" t="str">
        <f t="shared" si="115"/>
        <v>n/a</v>
      </c>
      <c r="Q922" s="5"/>
      <c r="R922" s="5"/>
      <c r="S922" s="5"/>
      <c r="U922" s="6"/>
      <c r="V922" s="9" t="str">
        <f t="shared" si="118"/>
        <v/>
      </c>
      <c r="W922" s="9" t="str">
        <f t="shared" si="119"/>
        <v/>
      </c>
      <c r="X922" s="10">
        <f>SUM(V$13:V922)/COUNTA(B$13:B922)</f>
        <v>0</v>
      </c>
      <c r="Z922" s="5"/>
      <c r="AA922" s="5"/>
      <c r="AC922" s="7"/>
      <c r="AE922" s="54" t="e">
        <f t="shared" si="120"/>
        <v>#N/A</v>
      </c>
      <c r="AF922" s="4" t="e">
        <f t="shared" si="116"/>
        <v>#N/A</v>
      </c>
    </row>
    <row r="923" spans="2:32">
      <c r="B923" s="5">
        <f t="shared" si="121"/>
        <v>911</v>
      </c>
      <c r="C923" s="5"/>
      <c r="E923" s="13"/>
      <c r="F923" s="5"/>
      <c r="G923" s="11" t="str">
        <f>IF(ISERROR(AVERAGE(F$13:F923)),"n/a",AVERAGE(F$13:F923))</f>
        <v>n/a</v>
      </c>
      <c r="H923" s="11" t="str">
        <f t="shared" si="117"/>
        <v>n/a</v>
      </c>
      <c r="J923" s="5"/>
      <c r="K923" s="5"/>
      <c r="L923" s="5"/>
      <c r="M923" s="5"/>
      <c r="N923" s="5"/>
      <c r="O923" s="8" t="str">
        <f t="shared" si="115"/>
        <v>n/a</v>
      </c>
      <c r="Q923" s="5"/>
      <c r="R923" s="5"/>
      <c r="S923" s="5"/>
      <c r="U923" s="6"/>
      <c r="V923" s="9" t="str">
        <f t="shared" si="118"/>
        <v/>
      </c>
      <c r="W923" s="9" t="str">
        <f t="shared" si="119"/>
        <v/>
      </c>
      <c r="X923" s="10">
        <f>SUM(V$13:V923)/COUNTA(B$13:B923)</f>
        <v>0</v>
      </c>
      <c r="Z923" s="5"/>
      <c r="AA923" s="5"/>
      <c r="AC923" s="7"/>
      <c r="AE923" s="54" t="e">
        <f t="shared" si="120"/>
        <v>#N/A</v>
      </c>
      <c r="AF923" s="4" t="e">
        <f t="shared" si="116"/>
        <v>#N/A</v>
      </c>
    </row>
    <row r="924" spans="2:32">
      <c r="B924" s="5">
        <f t="shared" si="121"/>
        <v>912</v>
      </c>
      <c r="C924" s="5"/>
      <c r="E924" s="13"/>
      <c r="F924" s="5"/>
      <c r="G924" s="11" t="str">
        <f>IF(ISERROR(AVERAGE(F$13:F924)),"n/a",AVERAGE(F$13:F924))</f>
        <v>n/a</v>
      </c>
      <c r="H924" s="11" t="str">
        <f t="shared" si="117"/>
        <v>n/a</v>
      </c>
      <c r="J924" s="5"/>
      <c r="K924" s="5"/>
      <c r="L924" s="5"/>
      <c r="M924" s="5"/>
      <c r="N924" s="5"/>
      <c r="O924" s="8" t="str">
        <f t="shared" si="115"/>
        <v>n/a</v>
      </c>
      <c r="Q924" s="5"/>
      <c r="R924" s="5"/>
      <c r="S924" s="5"/>
      <c r="U924" s="6"/>
      <c r="V924" s="9" t="str">
        <f t="shared" si="118"/>
        <v/>
      </c>
      <c r="W924" s="9" t="str">
        <f t="shared" si="119"/>
        <v/>
      </c>
      <c r="X924" s="10">
        <f>SUM(V$13:V924)/COUNTA(B$13:B924)</f>
        <v>0</v>
      </c>
      <c r="Z924" s="5"/>
      <c r="AA924" s="5"/>
      <c r="AC924" s="7"/>
      <c r="AE924" s="54" t="e">
        <f t="shared" si="120"/>
        <v>#N/A</v>
      </c>
      <c r="AF924" s="4" t="e">
        <f t="shared" si="116"/>
        <v>#N/A</v>
      </c>
    </row>
    <row r="925" spans="2:32">
      <c r="B925" s="5">
        <f t="shared" si="121"/>
        <v>913</v>
      </c>
      <c r="C925" s="5"/>
      <c r="E925" s="13"/>
      <c r="F925" s="5"/>
      <c r="G925" s="11" t="str">
        <f>IF(ISERROR(AVERAGE(F$13:F925)),"n/a",AVERAGE(F$13:F925))</f>
        <v>n/a</v>
      </c>
      <c r="H925" s="11" t="str">
        <f t="shared" si="117"/>
        <v>n/a</v>
      </c>
      <c r="J925" s="5"/>
      <c r="K925" s="5"/>
      <c r="L925" s="5"/>
      <c r="M925" s="5"/>
      <c r="N925" s="5"/>
      <c r="O925" s="8" t="str">
        <f t="shared" si="115"/>
        <v>n/a</v>
      </c>
      <c r="Q925" s="5"/>
      <c r="R925" s="5"/>
      <c r="S925" s="5"/>
      <c r="U925" s="6"/>
      <c r="V925" s="9" t="str">
        <f t="shared" si="118"/>
        <v/>
      </c>
      <c r="W925" s="9" t="str">
        <f t="shared" si="119"/>
        <v/>
      </c>
      <c r="X925" s="10">
        <f>SUM(V$13:V925)/COUNTA(B$13:B925)</f>
        <v>0</v>
      </c>
      <c r="Z925" s="5"/>
      <c r="AA925" s="5"/>
      <c r="AC925" s="7"/>
      <c r="AE925" s="54" t="e">
        <f t="shared" si="120"/>
        <v>#N/A</v>
      </c>
      <c r="AF925" s="4" t="e">
        <f t="shared" si="116"/>
        <v>#N/A</v>
      </c>
    </row>
    <row r="926" spans="2:32">
      <c r="B926" s="5">
        <f t="shared" si="121"/>
        <v>914</v>
      </c>
      <c r="C926" s="5"/>
      <c r="E926" s="13"/>
      <c r="F926" s="5"/>
      <c r="G926" s="11" t="str">
        <f>IF(ISERROR(AVERAGE(F$13:F926)),"n/a",AVERAGE(F$13:F926))</f>
        <v>n/a</v>
      </c>
      <c r="H926" s="11" t="str">
        <f t="shared" si="117"/>
        <v>n/a</v>
      </c>
      <c r="J926" s="5"/>
      <c r="K926" s="5"/>
      <c r="L926" s="5"/>
      <c r="M926" s="5"/>
      <c r="N926" s="5"/>
      <c r="O926" s="8" t="str">
        <f t="shared" si="115"/>
        <v>n/a</v>
      </c>
      <c r="Q926" s="5"/>
      <c r="R926" s="5"/>
      <c r="S926" s="5"/>
      <c r="U926" s="6"/>
      <c r="V926" s="9" t="str">
        <f t="shared" si="118"/>
        <v/>
      </c>
      <c r="W926" s="9" t="str">
        <f t="shared" si="119"/>
        <v/>
      </c>
      <c r="X926" s="10">
        <f>SUM(V$13:V926)/COUNTA(B$13:B926)</f>
        <v>0</v>
      </c>
      <c r="Z926" s="5"/>
      <c r="AA926" s="5"/>
      <c r="AC926" s="7"/>
      <c r="AE926" s="54" t="e">
        <f t="shared" si="120"/>
        <v>#N/A</v>
      </c>
      <c r="AF926" s="4" t="e">
        <f t="shared" si="116"/>
        <v>#N/A</v>
      </c>
    </row>
    <row r="927" spans="2:32">
      <c r="B927" s="5">
        <f t="shared" si="121"/>
        <v>915</v>
      </c>
      <c r="C927" s="5"/>
      <c r="E927" s="13"/>
      <c r="F927" s="5"/>
      <c r="G927" s="11" t="str">
        <f>IF(ISERROR(AVERAGE(F$13:F927)),"n/a",AVERAGE(F$13:F927))</f>
        <v>n/a</v>
      </c>
      <c r="H927" s="11" t="str">
        <f t="shared" si="117"/>
        <v>n/a</v>
      </c>
      <c r="J927" s="5"/>
      <c r="K927" s="5"/>
      <c r="L927" s="5"/>
      <c r="M927" s="5"/>
      <c r="N927" s="5"/>
      <c r="O927" s="8" t="str">
        <f t="shared" si="115"/>
        <v>n/a</v>
      </c>
      <c r="Q927" s="5"/>
      <c r="R927" s="5"/>
      <c r="S927" s="5"/>
      <c r="U927" s="6"/>
      <c r="V927" s="9" t="str">
        <f t="shared" si="118"/>
        <v/>
      </c>
      <c r="W927" s="9" t="str">
        <f t="shared" si="119"/>
        <v/>
      </c>
      <c r="X927" s="10">
        <f>SUM(V$13:V927)/COUNTA(B$13:B927)</f>
        <v>0</v>
      </c>
      <c r="Z927" s="5"/>
      <c r="AA927" s="5"/>
      <c r="AC927" s="7"/>
      <c r="AE927" s="54" t="e">
        <f t="shared" si="120"/>
        <v>#N/A</v>
      </c>
      <c r="AF927" s="4" t="e">
        <f t="shared" si="116"/>
        <v>#N/A</v>
      </c>
    </row>
    <row r="928" spans="2:32">
      <c r="B928" s="5">
        <f t="shared" si="121"/>
        <v>916</v>
      </c>
      <c r="C928" s="5"/>
      <c r="E928" s="13"/>
      <c r="F928" s="5"/>
      <c r="G928" s="11" t="str">
        <f>IF(ISERROR(AVERAGE(F$13:F928)),"n/a",AVERAGE(F$13:F928))</f>
        <v>n/a</v>
      </c>
      <c r="H928" s="11" t="str">
        <f t="shared" si="117"/>
        <v>n/a</v>
      </c>
      <c r="J928" s="5"/>
      <c r="K928" s="5"/>
      <c r="L928" s="5"/>
      <c r="M928" s="5"/>
      <c r="N928" s="5"/>
      <c r="O928" s="8" t="str">
        <f t="shared" si="115"/>
        <v>n/a</v>
      </c>
      <c r="Q928" s="5"/>
      <c r="R928" s="5"/>
      <c r="S928" s="5"/>
      <c r="U928" s="6"/>
      <c r="V928" s="9" t="str">
        <f t="shared" si="118"/>
        <v/>
      </c>
      <c r="W928" s="9" t="str">
        <f t="shared" si="119"/>
        <v/>
      </c>
      <c r="X928" s="10">
        <f>SUM(V$13:V928)/COUNTA(B$13:B928)</f>
        <v>0</v>
      </c>
      <c r="Z928" s="5"/>
      <c r="AA928" s="5"/>
      <c r="AC928" s="7"/>
      <c r="AE928" s="54" t="e">
        <f t="shared" si="120"/>
        <v>#N/A</v>
      </c>
      <c r="AF928" s="4" t="e">
        <f t="shared" si="116"/>
        <v>#N/A</v>
      </c>
    </row>
    <row r="929" spans="2:32">
      <c r="B929" s="5">
        <f t="shared" si="121"/>
        <v>917</v>
      </c>
      <c r="C929" s="5"/>
      <c r="E929" s="13"/>
      <c r="F929" s="5"/>
      <c r="G929" s="11" t="str">
        <f>IF(ISERROR(AVERAGE(F$13:F929)),"n/a",AVERAGE(F$13:F929))</f>
        <v>n/a</v>
      </c>
      <c r="H929" s="11" t="str">
        <f t="shared" si="117"/>
        <v>n/a</v>
      </c>
      <c r="J929" s="5"/>
      <c r="K929" s="5"/>
      <c r="L929" s="5"/>
      <c r="M929" s="5"/>
      <c r="N929" s="5"/>
      <c r="O929" s="8" t="str">
        <f t="shared" si="115"/>
        <v>n/a</v>
      </c>
      <c r="Q929" s="5"/>
      <c r="R929" s="5"/>
      <c r="S929" s="5"/>
      <c r="U929" s="6"/>
      <c r="V929" s="9" t="str">
        <f t="shared" si="118"/>
        <v/>
      </c>
      <c r="W929" s="9" t="str">
        <f t="shared" si="119"/>
        <v/>
      </c>
      <c r="X929" s="10">
        <f>SUM(V$13:V929)/COUNTA(B$13:B929)</f>
        <v>0</v>
      </c>
      <c r="Z929" s="5"/>
      <c r="AA929" s="5"/>
      <c r="AC929" s="7"/>
      <c r="AE929" s="54" t="e">
        <f t="shared" si="120"/>
        <v>#N/A</v>
      </c>
      <c r="AF929" s="4" t="e">
        <f t="shared" si="116"/>
        <v>#N/A</v>
      </c>
    </row>
    <row r="930" spans="2:32">
      <c r="B930" s="5">
        <f t="shared" si="121"/>
        <v>918</v>
      </c>
      <c r="C930" s="5"/>
      <c r="E930" s="13"/>
      <c r="F930" s="5"/>
      <c r="G930" s="11" t="str">
        <f>IF(ISERROR(AVERAGE(F$13:F930)),"n/a",AVERAGE(F$13:F930))</f>
        <v>n/a</v>
      </c>
      <c r="H930" s="11" t="str">
        <f t="shared" si="117"/>
        <v>n/a</v>
      </c>
      <c r="J930" s="5"/>
      <c r="K930" s="5"/>
      <c r="L930" s="5"/>
      <c r="M930" s="5"/>
      <c r="N930" s="5"/>
      <c r="O930" s="8" t="str">
        <f t="shared" si="115"/>
        <v>n/a</v>
      </c>
      <c r="Q930" s="5"/>
      <c r="R930" s="5"/>
      <c r="S930" s="5"/>
      <c r="U930" s="6"/>
      <c r="V930" s="9" t="str">
        <f t="shared" si="118"/>
        <v/>
      </c>
      <c r="W930" s="9" t="str">
        <f t="shared" si="119"/>
        <v/>
      </c>
      <c r="X930" s="10">
        <f>SUM(V$13:V930)/COUNTA(B$13:B930)</f>
        <v>0</v>
      </c>
      <c r="Z930" s="5"/>
      <c r="AA930" s="5"/>
      <c r="AC930" s="7"/>
      <c r="AE930" s="54" t="e">
        <f t="shared" si="120"/>
        <v>#N/A</v>
      </c>
      <c r="AF930" s="4" t="e">
        <f t="shared" si="116"/>
        <v>#N/A</v>
      </c>
    </row>
    <row r="931" spans="2:32">
      <c r="B931" s="5">
        <f t="shared" si="121"/>
        <v>919</v>
      </c>
      <c r="C931" s="5"/>
      <c r="E931" s="13"/>
      <c r="F931" s="5"/>
      <c r="G931" s="11" t="str">
        <f>IF(ISERROR(AVERAGE(F$13:F931)),"n/a",AVERAGE(F$13:F931))</f>
        <v>n/a</v>
      </c>
      <c r="H931" s="11" t="str">
        <f t="shared" si="117"/>
        <v>n/a</v>
      </c>
      <c r="J931" s="5"/>
      <c r="K931" s="5"/>
      <c r="L931" s="5"/>
      <c r="M931" s="5"/>
      <c r="N931" s="5"/>
      <c r="O931" s="8" t="str">
        <f t="shared" si="115"/>
        <v>n/a</v>
      </c>
      <c r="Q931" s="5"/>
      <c r="R931" s="5"/>
      <c r="S931" s="5"/>
      <c r="U931" s="6"/>
      <c r="V931" s="9" t="str">
        <f t="shared" si="118"/>
        <v/>
      </c>
      <c r="W931" s="9" t="str">
        <f t="shared" si="119"/>
        <v/>
      </c>
      <c r="X931" s="10">
        <f>SUM(V$13:V931)/COUNTA(B$13:B931)</f>
        <v>0</v>
      </c>
      <c r="Z931" s="5"/>
      <c r="AA931" s="5"/>
      <c r="AC931" s="7"/>
      <c r="AE931" s="54" t="e">
        <f t="shared" si="120"/>
        <v>#N/A</v>
      </c>
      <c r="AF931" s="4" t="e">
        <f t="shared" si="116"/>
        <v>#N/A</v>
      </c>
    </row>
    <row r="932" spans="2:32">
      <c r="B932" s="5">
        <f t="shared" si="121"/>
        <v>920</v>
      </c>
      <c r="C932" s="5"/>
      <c r="E932" s="13"/>
      <c r="F932" s="5"/>
      <c r="G932" s="11" t="str">
        <f>IF(ISERROR(AVERAGE(F$13:F932)),"n/a",AVERAGE(F$13:F932))</f>
        <v>n/a</v>
      </c>
      <c r="H932" s="11" t="str">
        <f t="shared" si="117"/>
        <v>n/a</v>
      </c>
      <c r="J932" s="5"/>
      <c r="K932" s="5"/>
      <c r="L932" s="5"/>
      <c r="M932" s="5"/>
      <c r="N932" s="5"/>
      <c r="O932" s="8" t="str">
        <f t="shared" si="115"/>
        <v>n/a</v>
      </c>
      <c r="Q932" s="5"/>
      <c r="R932" s="5"/>
      <c r="S932" s="5"/>
      <c r="U932" s="6"/>
      <c r="V932" s="9" t="str">
        <f t="shared" si="118"/>
        <v/>
      </c>
      <c r="W932" s="9" t="str">
        <f t="shared" si="119"/>
        <v/>
      </c>
      <c r="X932" s="10">
        <f>SUM(V$13:V932)/COUNTA(B$13:B932)</f>
        <v>0</v>
      </c>
      <c r="Z932" s="5"/>
      <c r="AA932" s="5"/>
      <c r="AC932" s="7"/>
      <c r="AE932" s="54" t="e">
        <f t="shared" si="120"/>
        <v>#N/A</v>
      </c>
      <c r="AF932" s="4" t="e">
        <f t="shared" si="116"/>
        <v>#N/A</v>
      </c>
    </row>
    <row r="933" spans="2:32">
      <c r="B933" s="5">
        <f t="shared" si="121"/>
        <v>921</v>
      </c>
      <c r="C933" s="5"/>
      <c r="E933" s="13"/>
      <c r="F933" s="5"/>
      <c r="G933" s="11" t="str">
        <f>IF(ISERROR(AVERAGE(F$13:F933)),"n/a",AVERAGE(F$13:F933))</f>
        <v>n/a</v>
      </c>
      <c r="H933" s="11" t="str">
        <f t="shared" si="117"/>
        <v>n/a</v>
      </c>
      <c r="J933" s="5"/>
      <c r="K933" s="5"/>
      <c r="L933" s="5"/>
      <c r="M933" s="5"/>
      <c r="N933" s="5"/>
      <c r="O933" s="8" t="str">
        <f t="shared" si="115"/>
        <v>n/a</v>
      </c>
      <c r="Q933" s="5"/>
      <c r="R933" s="5"/>
      <c r="S933" s="5"/>
      <c r="U933" s="6"/>
      <c r="V933" s="9" t="str">
        <f t="shared" si="118"/>
        <v/>
      </c>
      <c r="W933" s="9" t="str">
        <f t="shared" si="119"/>
        <v/>
      </c>
      <c r="X933" s="10">
        <f>SUM(V$13:V933)/COUNTA(B$13:B933)</f>
        <v>0</v>
      </c>
      <c r="Z933" s="5"/>
      <c r="AA933" s="5"/>
      <c r="AC933" s="7"/>
      <c r="AE933" s="54" t="e">
        <f t="shared" si="120"/>
        <v>#N/A</v>
      </c>
      <c r="AF933" s="4" t="e">
        <f t="shared" si="116"/>
        <v>#N/A</v>
      </c>
    </row>
    <row r="934" spans="2:32">
      <c r="B934" s="5">
        <f t="shared" si="121"/>
        <v>922</v>
      </c>
      <c r="C934" s="5"/>
      <c r="E934" s="13"/>
      <c r="F934" s="5"/>
      <c r="G934" s="11" t="str">
        <f>IF(ISERROR(AVERAGE(F$13:F934)),"n/a",AVERAGE(F$13:F934))</f>
        <v>n/a</v>
      </c>
      <c r="H934" s="11" t="str">
        <f t="shared" si="117"/>
        <v>n/a</v>
      </c>
      <c r="J934" s="5"/>
      <c r="K934" s="5"/>
      <c r="L934" s="5"/>
      <c r="M934" s="5"/>
      <c r="N934" s="5"/>
      <c r="O934" s="8" t="str">
        <f t="shared" si="115"/>
        <v>n/a</v>
      </c>
      <c r="Q934" s="5"/>
      <c r="R934" s="5"/>
      <c r="S934" s="5"/>
      <c r="U934" s="6"/>
      <c r="V934" s="9" t="str">
        <f t="shared" si="118"/>
        <v/>
      </c>
      <c r="W934" s="9" t="str">
        <f t="shared" si="119"/>
        <v/>
      </c>
      <c r="X934" s="10">
        <f>SUM(V$13:V934)/COUNTA(B$13:B934)</f>
        <v>0</v>
      </c>
      <c r="Z934" s="5"/>
      <c r="AA934" s="5"/>
      <c r="AC934" s="7"/>
      <c r="AE934" s="54" t="e">
        <f t="shared" si="120"/>
        <v>#N/A</v>
      </c>
      <c r="AF934" s="4" t="e">
        <f t="shared" si="116"/>
        <v>#N/A</v>
      </c>
    </row>
    <row r="935" spans="2:32">
      <c r="B935" s="5">
        <f t="shared" si="121"/>
        <v>923</v>
      </c>
      <c r="C935" s="5"/>
      <c r="E935" s="13"/>
      <c r="F935" s="5"/>
      <c r="G935" s="11" t="str">
        <f>IF(ISERROR(AVERAGE(F$13:F935)),"n/a",AVERAGE(F$13:F935))</f>
        <v>n/a</v>
      </c>
      <c r="H935" s="11" t="str">
        <f t="shared" si="117"/>
        <v>n/a</v>
      </c>
      <c r="J935" s="5"/>
      <c r="K935" s="5"/>
      <c r="L935" s="5"/>
      <c r="M935" s="5"/>
      <c r="N935" s="5"/>
      <c r="O935" s="8" t="str">
        <f t="shared" si="115"/>
        <v>n/a</v>
      </c>
      <c r="Q935" s="5"/>
      <c r="R935" s="5"/>
      <c r="S935" s="5"/>
      <c r="U935" s="6"/>
      <c r="V935" s="9" t="str">
        <f t="shared" si="118"/>
        <v/>
      </c>
      <c r="W935" s="9" t="str">
        <f t="shared" si="119"/>
        <v/>
      </c>
      <c r="X935" s="10">
        <f>SUM(V$13:V935)/COUNTA(B$13:B935)</f>
        <v>0</v>
      </c>
      <c r="Z935" s="5"/>
      <c r="AA935" s="5"/>
      <c r="AC935" s="7"/>
      <c r="AE935" s="54" t="e">
        <f t="shared" si="120"/>
        <v>#N/A</v>
      </c>
      <c r="AF935" s="4" t="e">
        <f t="shared" si="116"/>
        <v>#N/A</v>
      </c>
    </row>
    <row r="936" spans="2:32">
      <c r="B936" s="5">
        <f t="shared" si="121"/>
        <v>924</v>
      </c>
      <c r="C936" s="5"/>
      <c r="E936" s="13"/>
      <c r="F936" s="5"/>
      <c r="G936" s="11" t="str">
        <f>IF(ISERROR(AVERAGE(F$13:F936)),"n/a",AVERAGE(F$13:F936))</f>
        <v>n/a</v>
      </c>
      <c r="H936" s="11" t="str">
        <f t="shared" si="117"/>
        <v>n/a</v>
      </c>
      <c r="J936" s="5"/>
      <c r="K936" s="5"/>
      <c r="L936" s="5"/>
      <c r="M936" s="5"/>
      <c r="N936" s="5"/>
      <c r="O936" s="8" t="str">
        <f t="shared" si="115"/>
        <v>n/a</v>
      </c>
      <c r="Q936" s="5"/>
      <c r="R936" s="5"/>
      <c r="S936" s="5"/>
      <c r="U936" s="6"/>
      <c r="V936" s="9" t="str">
        <f t="shared" si="118"/>
        <v/>
      </c>
      <c r="W936" s="9" t="str">
        <f t="shared" si="119"/>
        <v/>
      </c>
      <c r="X936" s="10">
        <f>SUM(V$13:V936)/COUNTA(B$13:B936)</f>
        <v>0</v>
      </c>
      <c r="Z936" s="5"/>
      <c r="AA936" s="5"/>
      <c r="AC936" s="7"/>
      <c r="AE936" s="54" t="e">
        <f t="shared" si="120"/>
        <v>#N/A</v>
      </c>
      <c r="AF936" s="4" t="e">
        <f t="shared" si="116"/>
        <v>#N/A</v>
      </c>
    </row>
    <row r="937" spans="2:32">
      <c r="B937" s="5">
        <f t="shared" si="121"/>
        <v>925</v>
      </c>
      <c r="C937" s="5"/>
      <c r="E937" s="13"/>
      <c r="F937" s="5"/>
      <c r="G937" s="11" t="str">
        <f>IF(ISERROR(AVERAGE(F$13:F937)),"n/a",AVERAGE(F$13:F937))</f>
        <v>n/a</v>
      </c>
      <c r="H937" s="11" t="str">
        <f t="shared" si="117"/>
        <v>n/a</v>
      </c>
      <c r="J937" s="5"/>
      <c r="K937" s="5"/>
      <c r="L937" s="5"/>
      <c r="M937" s="5"/>
      <c r="N937" s="5"/>
      <c r="O937" s="8" t="str">
        <f t="shared" si="115"/>
        <v>n/a</v>
      </c>
      <c r="Q937" s="5"/>
      <c r="R937" s="5"/>
      <c r="S937" s="5"/>
      <c r="U937" s="6"/>
      <c r="V937" s="9" t="str">
        <f t="shared" si="118"/>
        <v/>
      </c>
      <c r="W937" s="9" t="str">
        <f t="shared" si="119"/>
        <v/>
      </c>
      <c r="X937" s="10">
        <f>SUM(V$13:V937)/COUNTA(B$13:B937)</f>
        <v>0</v>
      </c>
      <c r="Z937" s="5"/>
      <c r="AA937" s="5"/>
      <c r="AC937" s="7"/>
      <c r="AE937" s="54" t="e">
        <f t="shared" si="120"/>
        <v>#N/A</v>
      </c>
      <c r="AF937" s="4" t="e">
        <f t="shared" si="116"/>
        <v>#N/A</v>
      </c>
    </row>
    <row r="938" spans="2:32">
      <c r="B938" s="5">
        <f t="shared" si="121"/>
        <v>926</v>
      </c>
      <c r="C938" s="5"/>
      <c r="E938" s="13"/>
      <c r="F938" s="5"/>
      <c r="G938" s="11" t="str">
        <f>IF(ISERROR(AVERAGE(F$13:F938)),"n/a",AVERAGE(F$13:F938))</f>
        <v>n/a</v>
      </c>
      <c r="H938" s="11" t="str">
        <f t="shared" si="117"/>
        <v>n/a</v>
      </c>
      <c r="J938" s="5"/>
      <c r="K938" s="5"/>
      <c r="L938" s="5"/>
      <c r="M938" s="5"/>
      <c r="N938" s="5"/>
      <c r="O938" s="8" t="str">
        <f t="shared" si="115"/>
        <v>n/a</v>
      </c>
      <c r="Q938" s="5"/>
      <c r="R938" s="5"/>
      <c r="S938" s="5"/>
      <c r="U938" s="6"/>
      <c r="V938" s="9" t="str">
        <f t="shared" si="118"/>
        <v/>
      </c>
      <c r="W938" s="9" t="str">
        <f t="shared" si="119"/>
        <v/>
      </c>
      <c r="X938" s="10">
        <f>SUM(V$13:V938)/COUNTA(B$13:B938)</f>
        <v>0</v>
      </c>
      <c r="Z938" s="5"/>
      <c r="AA938" s="5"/>
      <c r="AC938" s="7"/>
      <c r="AE938" s="54" t="e">
        <f t="shared" si="120"/>
        <v>#N/A</v>
      </c>
      <c r="AF938" s="4" t="e">
        <f t="shared" si="116"/>
        <v>#N/A</v>
      </c>
    </row>
    <row r="939" spans="2:32">
      <c r="B939" s="5">
        <f t="shared" si="121"/>
        <v>927</v>
      </c>
      <c r="C939" s="5"/>
      <c r="E939" s="13"/>
      <c r="F939" s="5"/>
      <c r="G939" s="11" t="str">
        <f>IF(ISERROR(AVERAGE(F$13:F939)),"n/a",AVERAGE(F$13:F939))</f>
        <v>n/a</v>
      </c>
      <c r="H939" s="11" t="str">
        <f t="shared" si="117"/>
        <v>n/a</v>
      </c>
      <c r="J939" s="5"/>
      <c r="K939" s="5"/>
      <c r="L939" s="5"/>
      <c r="M939" s="5"/>
      <c r="N939" s="5"/>
      <c r="O939" s="8" t="str">
        <f t="shared" si="115"/>
        <v>n/a</v>
      </c>
      <c r="Q939" s="5"/>
      <c r="R939" s="5"/>
      <c r="S939" s="5"/>
      <c r="U939" s="6"/>
      <c r="V939" s="9" t="str">
        <f t="shared" si="118"/>
        <v/>
      </c>
      <c r="W939" s="9" t="str">
        <f t="shared" si="119"/>
        <v/>
      </c>
      <c r="X939" s="10">
        <f>SUM(V$13:V939)/COUNTA(B$13:B939)</f>
        <v>0</v>
      </c>
      <c r="Z939" s="5"/>
      <c r="AA939" s="5"/>
      <c r="AC939" s="7"/>
      <c r="AE939" s="54" t="e">
        <f t="shared" si="120"/>
        <v>#N/A</v>
      </c>
      <c r="AF939" s="4" t="e">
        <f t="shared" si="116"/>
        <v>#N/A</v>
      </c>
    </row>
    <row r="940" spans="2:32">
      <c r="B940" s="5">
        <f t="shared" si="121"/>
        <v>928</v>
      </c>
      <c r="C940" s="5"/>
      <c r="E940" s="13"/>
      <c r="F940" s="5"/>
      <c r="G940" s="11" t="str">
        <f>IF(ISERROR(AVERAGE(F$13:F940)),"n/a",AVERAGE(F$13:F940))</f>
        <v>n/a</v>
      </c>
      <c r="H940" s="11" t="str">
        <f t="shared" si="117"/>
        <v>n/a</v>
      </c>
      <c r="J940" s="5"/>
      <c r="K940" s="5"/>
      <c r="L940" s="5"/>
      <c r="M940" s="5"/>
      <c r="N940" s="5"/>
      <c r="O940" s="8" t="str">
        <f t="shared" si="115"/>
        <v>n/a</v>
      </c>
      <c r="Q940" s="5"/>
      <c r="R940" s="5"/>
      <c r="S940" s="5"/>
      <c r="U940" s="6"/>
      <c r="V940" s="9" t="str">
        <f t="shared" si="118"/>
        <v/>
      </c>
      <c r="W940" s="9" t="str">
        <f t="shared" si="119"/>
        <v/>
      </c>
      <c r="X940" s="10">
        <f>SUM(V$13:V940)/COUNTA(B$13:B940)</f>
        <v>0</v>
      </c>
      <c r="Z940" s="5"/>
      <c r="AA940" s="5"/>
      <c r="AC940" s="7"/>
      <c r="AE940" s="54" t="e">
        <f t="shared" si="120"/>
        <v>#N/A</v>
      </c>
      <c r="AF940" s="4" t="e">
        <f t="shared" si="116"/>
        <v>#N/A</v>
      </c>
    </row>
    <row r="941" spans="2:32">
      <c r="B941" s="5">
        <f t="shared" si="121"/>
        <v>929</v>
      </c>
      <c r="C941" s="5"/>
      <c r="E941" s="13"/>
      <c r="F941" s="5"/>
      <c r="G941" s="11" t="str">
        <f>IF(ISERROR(AVERAGE(F$13:F941)),"n/a",AVERAGE(F$13:F941))</f>
        <v>n/a</v>
      </c>
      <c r="H941" s="11" t="str">
        <f t="shared" si="117"/>
        <v>n/a</v>
      </c>
      <c r="J941" s="5"/>
      <c r="K941" s="5"/>
      <c r="L941" s="5"/>
      <c r="M941" s="5"/>
      <c r="N941" s="5"/>
      <c r="O941" s="8" t="str">
        <f t="shared" si="115"/>
        <v>n/a</v>
      </c>
      <c r="Q941" s="5"/>
      <c r="R941" s="5"/>
      <c r="S941" s="5"/>
      <c r="U941" s="6"/>
      <c r="V941" s="9" t="str">
        <f t="shared" si="118"/>
        <v/>
      </c>
      <c r="W941" s="9" t="str">
        <f t="shared" si="119"/>
        <v/>
      </c>
      <c r="X941" s="10">
        <f>SUM(V$13:V941)/COUNTA(B$13:B941)</f>
        <v>0</v>
      </c>
      <c r="Z941" s="5"/>
      <c r="AA941" s="5"/>
      <c r="AC941" s="7"/>
      <c r="AE941" s="54" t="e">
        <f t="shared" si="120"/>
        <v>#N/A</v>
      </c>
      <c r="AF941" s="4" t="e">
        <f t="shared" si="116"/>
        <v>#N/A</v>
      </c>
    </row>
    <row r="942" spans="2:32">
      <c r="B942" s="5">
        <f t="shared" si="121"/>
        <v>930</v>
      </c>
      <c r="C942" s="5"/>
      <c r="E942" s="13"/>
      <c r="F942" s="5"/>
      <c r="G942" s="11" t="str">
        <f>IF(ISERROR(AVERAGE(F$13:F942)),"n/a",AVERAGE(F$13:F942))</f>
        <v>n/a</v>
      </c>
      <c r="H942" s="11" t="str">
        <f t="shared" si="117"/>
        <v>n/a</v>
      </c>
      <c r="J942" s="5"/>
      <c r="K942" s="5"/>
      <c r="L942" s="5"/>
      <c r="M942" s="5"/>
      <c r="N942" s="5"/>
      <c r="O942" s="8" t="str">
        <f t="shared" si="115"/>
        <v>n/a</v>
      </c>
      <c r="Q942" s="5"/>
      <c r="R942" s="5"/>
      <c r="S942" s="5"/>
      <c r="U942" s="6"/>
      <c r="V942" s="9" t="str">
        <f t="shared" si="118"/>
        <v/>
      </c>
      <c r="W942" s="9" t="str">
        <f t="shared" si="119"/>
        <v/>
      </c>
      <c r="X942" s="10">
        <f>SUM(V$13:V942)/COUNTA(B$13:B942)</f>
        <v>0</v>
      </c>
      <c r="Z942" s="5"/>
      <c r="AA942" s="5"/>
      <c r="AC942" s="7"/>
      <c r="AE942" s="54" t="e">
        <f t="shared" si="120"/>
        <v>#N/A</v>
      </c>
      <c r="AF942" s="4" t="e">
        <f t="shared" si="116"/>
        <v>#N/A</v>
      </c>
    </row>
    <row r="943" spans="2:32">
      <c r="B943" s="5">
        <f t="shared" si="121"/>
        <v>931</v>
      </c>
      <c r="C943" s="5"/>
      <c r="E943" s="13"/>
      <c r="F943" s="5"/>
      <c r="G943" s="11" t="str">
        <f>IF(ISERROR(AVERAGE(F$13:F943)),"n/a",AVERAGE(F$13:F943))</f>
        <v>n/a</v>
      </c>
      <c r="H943" s="11" t="str">
        <f t="shared" si="117"/>
        <v>n/a</v>
      </c>
      <c r="J943" s="5"/>
      <c r="K943" s="5"/>
      <c r="L943" s="5"/>
      <c r="M943" s="5"/>
      <c r="N943" s="5"/>
      <c r="O943" s="8" t="str">
        <f t="shared" si="115"/>
        <v>n/a</v>
      </c>
      <c r="Q943" s="5"/>
      <c r="R943" s="5"/>
      <c r="S943" s="5"/>
      <c r="U943" s="6"/>
      <c r="V943" s="9" t="str">
        <f t="shared" si="118"/>
        <v/>
      </c>
      <c r="W943" s="9" t="str">
        <f t="shared" si="119"/>
        <v/>
      </c>
      <c r="X943" s="10">
        <f>SUM(V$13:V943)/COUNTA(B$13:B943)</f>
        <v>0</v>
      </c>
      <c r="Z943" s="5"/>
      <c r="AA943" s="5"/>
      <c r="AC943" s="7"/>
      <c r="AE943" s="54" t="e">
        <f t="shared" si="120"/>
        <v>#N/A</v>
      </c>
      <c r="AF943" s="4" t="e">
        <f t="shared" si="116"/>
        <v>#N/A</v>
      </c>
    </row>
    <row r="944" spans="2:32">
      <c r="B944" s="5">
        <f t="shared" si="121"/>
        <v>932</v>
      </c>
      <c r="C944" s="5"/>
      <c r="E944" s="13"/>
      <c r="F944" s="5"/>
      <c r="G944" s="11" t="str">
        <f>IF(ISERROR(AVERAGE(F$13:F944)),"n/a",AVERAGE(F$13:F944))</f>
        <v>n/a</v>
      </c>
      <c r="H944" s="11" t="str">
        <f t="shared" si="117"/>
        <v>n/a</v>
      </c>
      <c r="J944" s="5"/>
      <c r="K944" s="5"/>
      <c r="L944" s="5"/>
      <c r="M944" s="5"/>
      <c r="N944" s="5"/>
      <c r="O944" s="8" t="str">
        <f t="shared" si="115"/>
        <v>n/a</v>
      </c>
      <c r="Q944" s="5"/>
      <c r="R944" s="5"/>
      <c r="S944" s="5"/>
      <c r="U944" s="6"/>
      <c r="V944" s="9" t="str">
        <f t="shared" si="118"/>
        <v/>
      </c>
      <c r="W944" s="9" t="str">
        <f t="shared" si="119"/>
        <v/>
      </c>
      <c r="X944" s="10">
        <f>SUM(V$13:V944)/COUNTA(B$13:B944)</f>
        <v>0</v>
      </c>
      <c r="Z944" s="5"/>
      <c r="AA944" s="5"/>
      <c r="AC944" s="7"/>
      <c r="AE944" s="54" t="e">
        <f t="shared" si="120"/>
        <v>#N/A</v>
      </c>
      <c r="AF944" s="4" t="e">
        <f t="shared" si="116"/>
        <v>#N/A</v>
      </c>
    </row>
    <row r="945" spans="2:32">
      <c r="B945" s="5">
        <f t="shared" si="121"/>
        <v>933</v>
      </c>
      <c r="C945" s="5"/>
      <c r="E945" s="13"/>
      <c r="F945" s="5"/>
      <c r="G945" s="11" t="str">
        <f>IF(ISERROR(AVERAGE(F$13:F945)),"n/a",AVERAGE(F$13:F945))</f>
        <v>n/a</v>
      </c>
      <c r="H945" s="11" t="str">
        <f t="shared" si="117"/>
        <v>n/a</v>
      </c>
      <c r="J945" s="5"/>
      <c r="K945" s="5"/>
      <c r="L945" s="5"/>
      <c r="M945" s="5"/>
      <c r="N945" s="5"/>
      <c r="O945" s="8" t="str">
        <f t="shared" si="115"/>
        <v>n/a</v>
      </c>
      <c r="Q945" s="5"/>
      <c r="R945" s="5"/>
      <c r="S945" s="5"/>
      <c r="U945" s="6"/>
      <c r="V945" s="9" t="str">
        <f t="shared" si="118"/>
        <v/>
      </c>
      <c r="W945" s="9" t="str">
        <f t="shared" si="119"/>
        <v/>
      </c>
      <c r="X945" s="10">
        <f>SUM(V$13:V945)/COUNTA(B$13:B945)</f>
        <v>0</v>
      </c>
      <c r="Z945" s="5"/>
      <c r="AA945" s="5"/>
      <c r="AC945" s="7"/>
      <c r="AE945" s="54" t="e">
        <f t="shared" si="120"/>
        <v>#N/A</v>
      </c>
      <c r="AF945" s="4" t="e">
        <f t="shared" si="116"/>
        <v>#N/A</v>
      </c>
    </row>
    <row r="946" spans="2:32">
      <c r="B946" s="5">
        <f t="shared" si="121"/>
        <v>934</v>
      </c>
      <c r="C946" s="5"/>
      <c r="E946" s="13"/>
      <c r="F946" s="5"/>
      <c r="G946" s="11" t="str">
        <f>IF(ISERROR(AVERAGE(F$13:F946)),"n/a",AVERAGE(F$13:F946))</f>
        <v>n/a</v>
      </c>
      <c r="H946" s="11" t="str">
        <f t="shared" si="117"/>
        <v>n/a</v>
      </c>
      <c r="J946" s="5"/>
      <c r="K946" s="5"/>
      <c r="L946" s="5"/>
      <c r="M946" s="5"/>
      <c r="N946" s="5"/>
      <c r="O946" s="8" t="str">
        <f t="shared" si="115"/>
        <v>n/a</v>
      </c>
      <c r="Q946" s="5"/>
      <c r="R946" s="5"/>
      <c r="S946" s="5"/>
      <c r="U946" s="6"/>
      <c r="V946" s="9" t="str">
        <f t="shared" si="118"/>
        <v/>
      </c>
      <c r="W946" s="9" t="str">
        <f t="shared" si="119"/>
        <v/>
      </c>
      <c r="X946" s="10">
        <f>SUM(V$13:V946)/COUNTA(B$13:B946)</f>
        <v>0</v>
      </c>
      <c r="Z946" s="5"/>
      <c r="AA946" s="5"/>
      <c r="AC946" s="7"/>
      <c r="AE946" s="54" t="e">
        <f t="shared" si="120"/>
        <v>#N/A</v>
      </c>
      <c r="AF946" s="4" t="e">
        <f t="shared" si="116"/>
        <v>#N/A</v>
      </c>
    </row>
    <row r="947" spans="2:32">
      <c r="B947" s="5">
        <f t="shared" si="121"/>
        <v>935</v>
      </c>
      <c r="C947" s="5"/>
      <c r="E947" s="13"/>
      <c r="F947" s="5"/>
      <c r="G947" s="11" t="str">
        <f>IF(ISERROR(AVERAGE(F$13:F947)),"n/a",AVERAGE(F$13:F947))</f>
        <v>n/a</v>
      </c>
      <c r="H947" s="11" t="str">
        <f t="shared" si="117"/>
        <v>n/a</v>
      </c>
      <c r="J947" s="5"/>
      <c r="K947" s="5"/>
      <c r="L947" s="5"/>
      <c r="M947" s="5"/>
      <c r="N947" s="5"/>
      <c r="O947" s="8" t="str">
        <f t="shared" si="115"/>
        <v>n/a</v>
      </c>
      <c r="Q947" s="5"/>
      <c r="R947" s="5"/>
      <c r="S947" s="5"/>
      <c r="U947" s="6"/>
      <c r="V947" s="9" t="str">
        <f t="shared" si="118"/>
        <v/>
      </c>
      <c r="W947" s="9" t="str">
        <f t="shared" si="119"/>
        <v/>
      </c>
      <c r="X947" s="10">
        <f>SUM(V$13:V947)/COUNTA(B$13:B947)</f>
        <v>0</v>
      </c>
      <c r="Z947" s="5"/>
      <c r="AA947" s="5"/>
      <c r="AC947" s="7"/>
      <c r="AE947" s="54" t="e">
        <f t="shared" si="120"/>
        <v>#N/A</v>
      </c>
      <c r="AF947" s="4" t="e">
        <f t="shared" si="116"/>
        <v>#N/A</v>
      </c>
    </row>
    <row r="948" spans="2:32">
      <c r="B948" s="5">
        <f t="shared" si="121"/>
        <v>936</v>
      </c>
      <c r="C948" s="5"/>
      <c r="E948" s="13"/>
      <c r="F948" s="5"/>
      <c r="G948" s="11" t="str">
        <f>IF(ISERROR(AVERAGE(F$13:F948)),"n/a",AVERAGE(F$13:F948))</f>
        <v>n/a</v>
      </c>
      <c r="H948" s="11" t="str">
        <f t="shared" si="117"/>
        <v>n/a</v>
      </c>
      <c r="J948" s="5"/>
      <c r="K948" s="5"/>
      <c r="L948" s="5"/>
      <c r="M948" s="5"/>
      <c r="N948" s="5"/>
      <c r="O948" s="8" t="str">
        <f t="shared" si="115"/>
        <v>n/a</v>
      </c>
      <c r="Q948" s="5"/>
      <c r="R948" s="5"/>
      <c r="S948" s="5"/>
      <c r="U948" s="6"/>
      <c r="V948" s="9" t="str">
        <f t="shared" si="118"/>
        <v/>
      </c>
      <c r="W948" s="9" t="str">
        <f t="shared" si="119"/>
        <v/>
      </c>
      <c r="X948" s="10">
        <f>SUM(V$13:V948)/COUNTA(B$13:B948)</f>
        <v>0</v>
      </c>
      <c r="Z948" s="5"/>
      <c r="AA948" s="5"/>
      <c r="AC948" s="7"/>
      <c r="AE948" s="54" t="e">
        <f t="shared" si="120"/>
        <v>#N/A</v>
      </c>
      <c r="AF948" s="4" t="e">
        <f t="shared" si="116"/>
        <v>#N/A</v>
      </c>
    </row>
    <row r="949" spans="2:32">
      <c r="B949" s="5">
        <f t="shared" si="121"/>
        <v>937</v>
      </c>
      <c r="C949" s="5"/>
      <c r="E949" s="13"/>
      <c r="F949" s="5"/>
      <c r="G949" s="11" t="str">
        <f>IF(ISERROR(AVERAGE(F$13:F949)),"n/a",AVERAGE(F$13:F949))</f>
        <v>n/a</v>
      </c>
      <c r="H949" s="11" t="str">
        <f t="shared" si="117"/>
        <v>n/a</v>
      </c>
      <c r="J949" s="5"/>
      <c r="K949" s="5"/>
      <c r="L949" s="5"/>
      <c r="M949" s="5"/>
      <c r="N949" s="5"/>
      <c r="O949" s="8" t="str">
        <f t="shared" si="115"/>
        <v>n/a</v>
      </c>
      <c r="Q949" s="5"/>
      <c r="R949" s="5"/>
      <c r="S949" s="5"/>
      <c r="U949" s="6"/>
      <c r="V949" s="9" t="str">
        <f t="shared" si="118"/>
        <v/>
      </c>
      <c r="W949" s="9" t="str">
        <f t="shared" si="119"/>
        <v/>
      </c>
      <c r="X949" s="10">
        <f>SUM(V$13:V949)/COUNTA(B$13:B949)</f>
        <v>0</v>
      </c>
      <c r="Z949" s="5"/>
      <c r="AA949" s="5"/>
      <c r="AC949" s="7"/>
      <c r="AE949" s="54" t="e">
        <f t="shared" si="120"/>
        <v>#N/A</v>
      </c>
      <c r="AF949" s="4" t="e">
        <f t="shared" si="116"/>
        <v>#N/A</v>
      </c>
    </row>
    <row r="950" spans="2:32">
      <c r="B950" s="5">
        <f t="shared" si="121"/>
        <v>938</v>
      </c>
      <c r="C950" s="5"/>
      <c r="E950" s="13"/>
      <c r="F950" s="5"/>
      <c r="G950" s="11" t="str">
        <f>IF(ISERROR(AVERAGE(F$13:F950)),"n/a",AVERAGE(F$13:F950))</f>
        <v>n/a</v>
      </c>
      <c r="H950" s="11" t="str">
        <f t="shared" si="117"/>
        <v>n/a</v>
      </c>
      <c r="J950" s="5"/>
      <c r="K950" s="5"/>
      <c r="L950" s="5"/>
      <c r="M950" s="5"/>
      <c r="N950" s="5"/>
      <c r="O950" s="8" t="str">
        <f t="shared" si="115"/>
        <v>n/a</v>
      </c>
      <c r="Q950" s="5"/>
      <c r="R950" s="5"/>
      <c r="S950" s="5"/>
      <c r="U950" s="6"/>
      <c r="V950" s="9" t="str">
        <f t="shared" si="118"/>
        <v/>
      </c>
      <c r="W950" s="9" t="str">
        <f t="shared" si="119"/>
        <v/>
      </c>
      <c r="X950" s="10">
        <f>SUM(V$13:V950)/COUNTA(B$13:B950)</f>
        <v>0</v>
      </c>
      <c r="Z950" s="5"/>
      <c r="AA950" s="5"/>
      <c r="AC950" s="7"/>
      <c r="AE950" s="54" t="e">
        <f t="shared" si="120"/>
        <v>#N/A</v>
      </c>
      <c r="AF950" s="4" t="e">
        <f t="shared" si="116"/>
        <v>#N/A</v>
      </c>
    </row>
    <row r="951" spans="2:32">
      <c r="B951" s="5">
        <f t="shared" si="121"/>
        <v>939</v>
      </c>
      <c r="C951" s="5"/>
      <c r="E951" s="13"/>
      <c r="F951" s="5"/>
      <c r="G951" s="11" t="str">
        <f>IF(ISERROR(AVERAGE(F$13:F951)),"n/a",AVERAGE(F$13:F951))</f>
        <v>n/a</v>
      </c>
      <c r="H951" s="11" t="str">
        <f t="shared" si="117"/>
        <v>n/a</v>
      </c>
      <c r="J951" s="5"/>
      <c r="K951" s="5"/>
      <c r="L951" s="5"/>
      <c r="M951" s="5"/>
      <c r="N951" s="5"/>
      <c r="O951" s="8" t="str">
        <f t="shared" si="115"/>
        <v>n/a</v>
      </c>
      <c r="Q951" s="5"/>
      <c r="R951" s="5"/>
      <c r="S951" s="5"/>
      <c r="U951" s="6"/>
      <c r="V951" s="9" t="str">
        <f t="shared" si="118"/>
        <v/>
      </c>
      <c r="W951" s="9" t="str">
        <f t="shared" si="119"/>
        <v/>
      </c>
      <c r="X951" s="10">
        <f>SUM(V$13:V951)/COUNTA(B$13:B951)</f>
        <v>0</v>
      </c>
      <c r="Z951" s="5"/>
      <c r="AA951" s="5"/>
      <c r="AC951" s="7"/>
      <c r="AE951" s="54" t="e">
        <f t="shared" si="120"/>
        <v>#N/A</v>
      </c>
      <c r="AF951" s="4" t="e">
        <f t="shared" si="116"/>
        <v>#N/A</v>
      </c>
    </row>
    <row r="952" spans="2:32">
      <c r="B952" s="5">
        <f t="shared" si="121"/>
        <v>940</v>
      </c>
      <c r="C952" s="5"/>
      <c r="E952" s="13"/>
      <c r="F952" s="5"/>
      <c r="G952" s="11" t="str">
        <f>IF(ISERROR(AVERAGE(F$13:F952)),"n/a",AVERAGE(F$13:F952))</f>
        <v>n/a</v>
      </c>
      <c r="H952" s="11" t="str">
        <f t="shared" si="117"/>
        <v>n/a</v>
      </c>
      <c r="J952" s="5"/>
      <c r="K952" s="5"/>
      <c r="L952" s="5"/>
      <c r="M952" s="5"/>
      <c r="N952" s="5"/>
      <c r="O952" s="8" t="str">
        <f t="shared" si="115"/>
        <v>n/a</v>
      </c>
      <c r="Q952" s="5"/>
      <c r="R952" s="5"/>
      <c r="S952" s="5"/>
      <c r="U952" s="6"/>
      <c r="V952" s="9" t="str">
        <f t="shared" si="118"/>
        <v/>
      </c>
      <c r="W952" s="9" t="str">
        <f t="shared" si="119"/>
        <v/>
      </c>
      <c r="X952" s="10">
        <f>SUM(V$13:V952)/COUNTA(B$13:B952)</f>
        <v>0</v>
      </c>
      <c r="Z952" s="5"/>
      <c r="AA952" s="5"/>
      <c r="AC952" s="7"/>
      <c r="AE952" s="54" t="e">
        <f t="shared" si="120"/>
        <v>#N/A</v>
      </c>
      <c r="AF952" s="4" t="e">
        <f t="shared" si="116"/>
        <v>#N/A</v>
      </c>
    </row>
    <row r="953" spans="2:32">
      <c r="B953" s="5">
        <f t="shared" si="121"/>
        <v>941</v>
      </c>
      <c r="C953" s="5"/>
      <c r="E953" s="13"/>
      <c r="F953" s="5"/>
      <c r="G953" s="11" t="str">
        <f>IF(ISERROR(AVERAGE(F$13:F953)),"n/a",AVERAGE(F$13:F953))</f>
        <v>n/a</v>
      </c>
      <c r="H953" s="11" t="str">
        <f t="shared" si="117"/>
        <v>n/a</v>
      </c>
      <c r="J953" s="5"/>
      <c r="K953" s="5"/>
      <c r="L953" s="5"/>
      <c r="M953" s="5"/>
      <c r="N953" s="5"/>
      <c r="O953" s="8" t="str">
        <f t="shared" si="115"/>
        <v>n/a</v>
      </c>
      <c r="Q953" s="5"/>
      <c r="R953" s="5"/>
      <c r="S953" s="5"/>
      <c r="U953" s="6"/>
      <c r="V953" s="9" t="str">
        <f t="shared" si="118"/>
        <v/>
      </c>
      <c r="W953" s="9" t="str">
        <f t="shared" si="119"/>
        <v/>
      </c>
      <c r="X953" s="10">
        <f>SUM(V$13:V953)/COUNTA(B$13:B953)</f>
        <v>0</v>
      </c>
      <c r="Z953" s="5"/>
      <c r="AA953" s="5"/>
      <c r="AC953" s="7"/>
      <c r="AE953" s="54" t="e">
        <f t="shared" si="120"/>
        <v>#N/A</v>
      </c>
      <c r="AF953" s="4" t="e">
        <f t="shared" si="116"/>
        <v>#N/A</v>
      </c>
    </row>
    <row r="954" spans="2:32">
      <c r="B954" s="5">
        <f t="shared" si="121"/>
        <v>942</v>
      </c>
      <c r="C954" s="5"/>
      <c r="E954" s="13"/>
      <c r="F954" s="5"/>
      <c r="G954" s="11" t="str">
        <f>IF(ISERROR(AVERAGE(F$13:F954)),"n/a",AVERAGE(F$13:F954))</f>
        <v>n/a</v>
      </c>
      <c r="H954" s="11" t="str">
        <f t="shared" si="117"/>
        <v>n/a</v>
      </c>
      <c r="J954" s="5"/>
      <c r="K954" s="5"/>
      <c r="L954" s="5"/>
      <c r="M954" s="5"/>
      <c r="N954" s="5"/>
      <c r="O954" s="8" t="str">
        <f t="shared" si="115"/>
        <v>n/a</v>
      </c>
      <c r="Q954" s="5"/>
      <c r="R954" s="5"/>
      <c r="S954" s="5"/>
      <c r="U954" s="6"/>
      <c r="V954" s="9" t="str">
        <f t="shared" si="118"/>
        <v/>
      </c>
      <c r="W954" s="9" t="str">
        <f t="shared" si="119"/>
        <v/>
      </c>
      <c r="X954" s="10">
        <f>SUM(V$13:V954)/COUNTA(B$13:B954)</f>
        <v>0</v>
      </c>
      <c r="Z954" s="5"/>
      <c r="AA954" s="5"/>
      <c r="AC954" s="7"/>
      <c r="AE954" s="54" t="e">
        <f t="shared" si="120"/>
        <v>#N/A</v>
      </c>
      <c r="AF954" s="4" t="e">
        <f t="shared" si="116"/>
        <v>#N/A</v>
      </c>
    </row>
    <row r="955" spans="2:32">
      <c r="B955" s="5">
        <f t="shared" si="121"/>
        <v>943</v>
      </c>
      <c r="C955" s="5"/>
      <c r="E955" s="13"/>
      <c r="F955" s="5"/>
      <c r="G955" s="11" t="str">
        <f>IF(ISERROR(AVERAGE(F$13:F955)),"n/a",AVERAGE(F$13:F955))</f>
        <v>n/a</v>
      </c>
      <c r="H955" s="11" t="str">
        <f t="shared" si="117"/>
        <v>n/a</v>
      </c>
      <c r="J955" s="5"/>
      <c r="K955" s="5"/>
      <c r="L955" s="5"/>
      <c r="M955" s="5"/>
      <c r="N955" s="5"/>
      <c r="O955" s="8" t="str">
        <f t="shared" si="115"/>
        <v>n/a</v>
      </c>
      <c r="Q955" s="5"/>
      <c r="R955" s="5"/>
      <c r="S955" s="5"/>
      <c r="U955" s="6"/>
      <c r="V955" s="9" t="str">
        <f t="shared" si="118"/>
        <v/>
      </c>
      <c r="W955" s="9" t="str">
        <f t="shared" si="119"/>
        <v/>
      </c>
      <c r="X955" s="10">
        <f>SUM(V$13:V955)/COUNTA(B$13:B955)</f>
        <v>0</v>
      </c>
      <c r="Z955" s="5"/>
      <c r="AA955" s="5"/>
      <c r="AC955" s="7"/>
      <c r="AE955" s="54" t="e">
        <f t="shared" si="120"/>
        <v>#N/A</v>
      </c>
      <c r="AF955" s="4" t="e">
        <f t="shared" si="116"/>
        <v>#N/A</v>
      </c>
    </row>
    <row r="956" spans="2:32">
      <c r="B956" s="5">
        <f t="shared" si="121"/>
        <v>944</v>
      </c>
      <c r="C956" s="5"/>
      <c r="E956" s="13"/>
      <c r="F956" s="5"/>
      <c r="G956" s="11" t="str">
        <f>IF(ISERROR(AVERAGE(F$13:F956)),"n/a",AVERAGE(F$13:F956))</f>
        <v>n/a</v>
      </c>
      <c r="H956" s="11" t="str">
        <f t="shared" si="117"/>
        <v>n/a</v>
      </c>
      <c r="J956" s="5"/>
      <c r="K956" s="5"/>
      <c r="L956" s="5"/>
      <c r="M956" s="5"/>
      <c r="N956" s="5"/>
      <c r="O956" s="8" t="str">
        <f t="shared" si="115"/>
        <v>n/a</v>
      </c>
      <c r="Q956" s="5"/>
      <c r="R956" s="5"/>
      <c r="S956" s="5"/>
      <c r="U956" s="6"/>
      <c r="V956" s="9" t="str">
        <f t="shared" si="118"/>
        <v/>
      </c>
      <c r="W956" s="9" t="str">
        <f t="shared" si="119"/>
        <v/>
      </c>
      <c r="X956" s="10">
        <f>SUM(V$13:V956)/COUNTA(B$13:B956)</f>
        <v>0</v>
      </c>
      <c r="Z956" s="5"/>
      <c r="AA956" s="5"/>
      <c r="AC956" s="7"/>
      <c r="AE956" s="54" t="e">
        <f t="shared" si="120"/>
        <v>#N/A</v>
      </c>
      <c r="AF956" s="4" t="e">
        <f t="shared" si="116"/>
        <v>#N/A</v>
      </c>
    </row>
    <row r="957" spans="2:32">
      <c r="B957" s="5">
        <f t="shared" si="121"/>
        <v>945</v>
      </c>
      <c r="C957" s="5"/>
      <c r="E957" s="13"/>
      <c r="F957" s="5"/>
      <c r="G957" s="11" t="str">
        <f>IF(ISERROR(AVERAGE(F$13:F957)),"n/a",AVERAGE(F$13:F957))</f>
        <v>n/a</v>
      </c>
      <c r="H957" s="11" t="str">
        <f t="shared" si="117"/>
        <v>n/a</v>
      </c>
      <c r="J957" s="5"/>
      <c r="K957" s="5"/>
      <c r="L957" s="5"/>
      <c r="M957" s="5"/>
      <c r="N957" s="5"/>
      <c r="O957" s="8" t="str">
        <f t="shared" si="115"/>
        <v>n/a</v>
      </c>
      <c r="Q957" s="5"/>
      <c r="R957" s="5"/>
      <c r="S957" s="5"/>
      <c r="U957" s="6"/>
      <c r="V957" s="9" t="str">
        <f t="shared" si="118"/>
        <v/>
      </c>
      <c r="W957" s="9" t="str">
        <f t="shared" si="119"/>
        <v/>
      </c>
      <c r="X957" s="10">
        <f>SUM(V$13:V957)/COUNTA(B$13:B957)</f>
        <v>0</v>
      </c>
      <c r="Z957" s="5"/>
      <c r="AA957" s="5"/>
      <c r="AC957" s="7"/>
      <c r="AE957" s="54" t="e">
        <f t="shared" si="120"/>
        <v>#N/A</v>
      </c>
      <c r="AF957" s="4" t="e">
        <f t="shared" si="116"/>
        <v>#N/A</v>
      </c>
    </row>
    <row r="958" spans="2:32">
      <c r="B958" s="5">
        <f t="shared" si="121"/>
        <v>946</v>
      </c>
      <c r="C958" s="5"/>
      <c r="E958" s="13"/>
      <c r="F958" s="5"/>
      <c r="G958" s="11" t="str">
        <f>IF(ISERROR(AVERAGE(F$13:F958)),"n/a",AVERAGE(F$13:F958))</f>
        <v>n/a</v>
      </c>
      <c r="H958" s="11" t="str">
        <f t="shared" si="117"/>
        <v>n/a</v>
      </c>
      <c r="J958" s="5"/>
      <c r="K958" s="5"/>
      <c r="L958" s="5"/>
      <c r="M958" s="5"/>
      <c r="N958" s="5"/>
      <c r="O958" s="8" t="str">
        <f t="shared" si="115"/>
        <v>n/a</v>
      </c>
      <c r="Q958" s="5"/>
      <c r="R958" s="5"/>
      <c r="S958" s="5"/>
      <c r="U958" s="6"/>
      <c r="V958" s="9" t="str">
        <f t="shared" si="118"/>
        <v/>
      </c>
      <c r="W958" s="9" t="str">
        <f t="shared" si="119"/>
        <v/>
      </c>
      <c r="X958" s="10">
        <f>SUM(V$13:V958)/COUNTA(B$13:B958)</f>
        <v>0</v>
      </c>
      <c r="Z958" s="5"/>
      <c r="AA958" s="5"/>
      <c r="AC958" s="7"/>
      <c r="AE958" s="54" t="e">
        <f t="shared" si="120"/>
        <v>#N/A</v>
      </c>
      <c r="AF958" s="4" t="e">
        <f t="shared" si="116"/>
        <v>#N/A</v>
      </c>
    </row>
    <row r="959" spans="2:32">
      <c r="B959" s="5">
        <f t="shared" si="121"/>
        <v>947</v>
      </c>
      <c r="C959" s="5"/>
      <c r="E959" s="13"/>
      <c r="F959" s="5"/>
      <c r="G959" s="11" t="str">
        <f>IF(ISERROR(AVERAGE(F$13:F959)),"n/a",AVERAGE(F$13:F959))</f>
        <v>n/a</v>
      </c>
      <c r="H959" s="11" t="str">
        <f t="shared" si="117"/>
        <v>n/a</v>
      </c>
      <c r="J959" s="5"/>
      <c r="K959" s="5"/>
      <c r="L959" s="5"/>
      <c r="M959" s="5"/>
      <c r="N959" s="5"/>
      <c r="O959" s="8" t="str">
        <f t="shared" si="115"/>
        <v>n/a</v>
      </c>
      <c r="Q959" s="5"/>
      <c r="R959" s="5"/>
      <c r="S959" s="5"/>
      <c r="U959" s="6"/>
      <c r="V959" s="9" t="str">
        <f t="shared" si="118"/>
        <v/>
      </c>
      <c r="W959" s="9" t="str">
        <f t="shared" si="119"/>
        <v/>
      </c>
      <c r="X959" s="10">
        <f>SUM(V$13:V959)/COUNTA(B$13:B959)</f>
        <v>0</v>
      </c>
      <c r="Z959" s="5"/>
      <c r="AA959" s="5"/>
      <c r="AC959" s="7"/>
      <c r="AE959" s="54" t="e">
        <f t="shared" si="120"/>
        <v>#N/A</v>
      </c>
      <c r="AF959" s="4" t="e">
        <f t="shared" si="116"/>
        <v>#N/A</v>
      </c>
    </row>
    <row r="960" spans="2:32">
      <c r="B960" s="5">
        <f t="shared" si="121"/>
        <v>948</v>
      </c>
      <c r="C960" s="5"/>
      <c r="E960" s="13"/>
      <c r="F960" s="5"/>
      <c r="G960" s="11" t="str">
        <f>IF(ISERROR(AVERAGE(F$13:F960)),"n/a",AVERAGE(F$13:F960))</f>
        <v>n/a</v>
      </c>
      <c r="H960" s="11" t="str">
        <f t="shared" si="117"/>
        <v>n/a</v>
      </c>
      <c r="J960" s="5"/>
      <c r="K960" s="5"/>
      <c r="L960" s="5"/>
      <c r="M960" s="5"/>
      <c r="N960" s="5"/>
      <c r="O960" s="8" t="str">
        <f t="shared" si="115"/>
        <v>n/a</v>
      </c>
      <c r="Q960" s="5"/>
      <c r="R960" s="5"/>
      <c r="S960" s="5"/>
      <c r="U960" s="6"/>
      <c r="V960" s="9" t="str">
        <f t="shared" si="118"/>
        <v/>
      </c>
      <c r="W960" s="9" t="str">
        <f t="shared" si="119"/>
        <v/>
      </c>
      <c r="X960" s="10">
        <f>SUM(V$13:V960)/COUNTA(B$13:B960)</f>
        <v>0</v>
      </c>
      <c r="Z960" s="5"/>
      <c r="AA960" s="5"/>
      <c r="AC960" s="7"/>
      <c r="AE960" s="54" t="e">
        <f t="shared" si="120"/>
        <v>#N/A</v>
      </c>
      <c r="AF960" s="4" t="e">
        <f t="shared" si="116"/>
        <v>#N/A</v>
      </c>
    </row>
    <row r="961" spans="2:32">
      <c r="B961" s="5">
        <f t="shared" si="121"/>
        <v>949</v>
      </c>
      <c r="C961" s="5"/>
      <c r="E961" s="13"/>
      <c r="F961" s="5"/>
      <c r="G961" s="11" t="str">
        <f>IF(ISERROR(AVERAGE(F$13:F961)),"n/a",AVERAGE(F$13:F961))</f>
        <v>n/a</v>
      </c>
      <c r="H961" s="11" t="str">
        <f t="shared" si="117"/>
        <v>n/a</v>
      </c>
      <c r="J961" s="5"/>
      <c r="K961" s="5"/>
      <c r="L961" s="5"/>
      <c r="M961" s="5"/>
      <c r="N961" s="5"/>
      <c r="O961" s="8" t="str">
        <f t="shared" si="115"/>
        <v>n/a</v>
      </c>
      <c r="Q961" s="5"/>
      <c r="R961" s="5"/>
      <c r="S961" s="5"/>
      <c r="U961" s="6"/>
      <c r="V961" s="9" t="str">
        <f t="shared" si="118"/>
        <v/>
      </c>
      <c r="W961" s="9" t="str">
        <f t="shared" si="119"/>
        <v/>
      </c>
      <c r="X961" s="10">
        <f>SUM(V$13:V961)/COUNTA(B$13:B961)</f>
        <v>0</v>
      </c>
      <c r="Z961" s="5"/>
      <c r="AA961" s="5"/>
      <c r="AC961" s="7"/>
      <c r="AE961" s="54" t="e">
        <f t="shared" si="120"/>
        <v>#N/A</v>
      </c>
      <c r="AF961" s="4" t="e">
        <f t="shared" si="116"/>
        <v>#N/A</v>
      </c>
    </row>
    <row r="962" spans="2:32">
      <c r="B962" s="5">
        <f t="shared" si="121"/>
        <v>950</v>
      </c>
      <c r="C962" s="5"/>
      <c r="E962" s="13"/>
      <c r="F962" s="5"/>
      <c r="G962" s="11" t="str">
        <f>IF(ISERROR(AVERAGE(F$13:F962)),"n/a",AVERAGE(F$13:F962))</f>
        <v>n/a</v>
      </c>
      <c r="H962" s="11" t="str">
        <f t="shared" si="117"/>
        <v>n/a</v>
      </c>
      <c r="J962" s="5"/>
      <c r="K962" s="5"/>
      <c r="L962" s="5"/>
      <c r="M962" s="5"/>
      <c r="N962" s="5"/>
      <c r="O962" s="8" t="str">
        <f t="shared" si="115"/>
        <v>n/a</v>
      </c>
      <c r="Q962" s="5"/>
      <c r="R962" s="5"/>
      <c r="S962" s="5"/>
      <c r="U962" s="6"/>
      <c r="V962" s="9" t="str">
        <f t="shared" si="118"/>
        <v/>
      </c>
      <c r="W962" s="9" t="str">
        <f t="shared" si="119"/>
        <v/>
      </c>
      <c r="X962" s="10">
        <f>SUM(V$13:V962)/COUNTA(B$13:B962)</f>
        <v>0</v>
      </c>
      <c r="Z962" s="5"/>
      <c r="AA962" s="5"/>
      <c r="AC962" s="7"/>
      <c r="AE962" s="54" t="e">
        <f t="shared" si="120"/>
        <v>#N/A</v>
      </c>
      <c r="AF962" s="4" t="e">
        <f t="shared" si="116"/>
        <v>#N/A</v>
      </c>
    </row>
    <row r="963" spans="2:32">
      <c r="B963" s="5">
        <f t="shared" si="121"/>
        <v>951</v>
      </c>
      <c r="C963" s="5"/>
      <c r="E963" s="13"/>
      <c r="F963" s="5"/>
      <c r="G963" s="11" t="str">
        <f>IF(ISERROR(AVERAGE(F$13:F963)),"n/a",AVERAGE(F$13:F963))</f>
        <v>n/a</v>
      </c>
      <c r="H963" s="11" t="str">
        <f t="shared" si="117"/>
        <v>n/a</v>
      </c>
      <c r="J963" s="5"/>
      <c r="K963" s="5"/>
      <c r="L963" s="5"/>
      <c r="M963" s="5"/>
      <c r="N963" s="5"/>
      <c r="O963" s="8" t="str">
        <f t="shared" si="115"/>
        <v>n/a</v>
      </c>
      <c r="Q963" s="5"/>
      <c r="R963" s="5"/>
      <c r="S963" s="5"/>
      <c r="U963" s="6"/>
      <c r="V963" s="9" t="str">
        <f t="shared" si="118"/>
        <v/>
      </c>
      <c r="W963" s="9" t="str">
        <f t="shared" si="119"/>
        <v/>
      </c>
      <c r="X963" s="10">
        <f>SUM(V$13:V963)/COUNTA(B$13:B963)</f>
        <v>0</v>
      </c>
      <c r="Z963" s="5"/>
      <c r="AA963" s="5"/>
      <c r="AC963" s="7"/>
      <c r="AE963" s="54" t="e">
        <f t="shared" si="120"/>
        <v>#N/A</v>
      </c>
      <c r="AF963" s="4" t="e">
        <f t="shared" si="116"/>
        <v>#N/A</v>
      </c>
    </row>
    <row r="964" spans="2:32">
      <c r="B964" s="5">
        <f t="shared" si="121"/>
        <v>952</v>
      </c>
      <c r="C964" s="5"/>
      <c r="E964" s="13"/>
      <c r="F964" s="5"/>
      <c r="G964" s="11" t="str">
        <f>IF(ISERROR(AVERAGE(F$13:F964)),"n/a",AVERAGE(F$13:F964))</f>
        <v>n/a</v>
      </c>
      <c r="H964" s="11" t="str">
        <f t="shared" si="117"/>
        <v>n/a</v>
      </c>
      <c r="J964" s="5"/>
      <c r="K964" s="5"/>
      <c r="L964" s="5"/>
      <c r="M964" s="5"/>
      <c r="N964" s="5"/>
      <c r="O964" s="8" t="str">
        <f t="shared" si="115"/>
        <v>n/a</v>
      </c>
      <c r="Q964" s="5"/>
      <c r="R964" s="5"/>
      <c r="S964" s="5"/>
      <c r="U964" s="6"/>
      <c r="V964" s="9" t="str">
        <f t="shared" si="118"/>
        <v/>
      </c>
      <c r="W964" s="9" t="str">
        <f t="shared" si="119"/>
        <v/>
      </c>
      <c r="X964" s="10">
        <f>SUM(V$13:V964)/COUNTA(B$13:B964)</f>
        <v>0</v>
      </c>
      <c r="Z964" s="5"/>
      <c r="AA964" s="5"/>
      <c r="AC964" s="7"/>
      <c r="AE964" s="54" t="e">
        <f t="shared" si="120"/>
        <v>#N/A</v>
      </c>
      <c r="AF964" s="4" t="e">
        <f t="shared" si="116"/>
        <v>#N/A</v>
      </c>
    </row>
    <row r="965" spans="2:32">
      <c r="B965" s="5">
        <f t="shared" si="121"/>
        <v>953</v>
      </c>
      <c r="C965" s="5"/>
      <c r="E965" s="13"/>
      <c r="F965" s="5"/>
      <c r="G965" s="11" t="str">
        <f>IF(ISERROR(AVERAGE(F$13:F965)),"n/a",AVERAGE(F$13:F965))</f>
        <v>n/a</v>
      </c>
      <c r="H965" s="11" t="str">
        <f t="shared" si="117"/>
        <v>n/a</v>
      </c>
      <c r="J965" s="5"/>
      <c r="K965" s="5"/>
      <c r="L965" s="5"/>
      <c r="M965" s="5"/>
      <c r="N965" s="5"/>
      <c r="O965" s="8" t="str">
        <f t="shared" si="115"/>
        <v>n/a</v>
      </c>
      <c r="Q965" s="5"/>
      <c r="R965" s="5"/>
      <c r="S965" s="5"/>
      <c r="U965" s="6"/>
      <c r="V965" s="9" t="str">
        <f t="shared" si="118"/>
        <v/>
      </c>
      <c r="W965" s="9" t="str">
        <f t="shared" si="119"/>
        <v/>
      </c>
      <c r="X965" s="10">
        <f>SUM(V$13:V965)/COUNTA(B$13:B965)</f>
        <v>0</v>
      </c>
      <c r="Z965" s="5"/>
      <c r="AA965" s="5"/>
      <c r="AC965" s="7"/>
      <c r="AE965" s="54" t="e">
        <f t="shared" si="120"/>
        <v>#N/A</v>
      </c>
      <c r="AF965" s="4" t="e">
        <f t="shared" si="116"/>
        <v>#N/A</v>
      </c>
    </row>
    <row r="966" spans="2:32">
      <c r="B966" s="5">
        <f t="shared" si="121"/>
        <v>954</v>
      </c>
      <c r="C966" s="5"/>
      <c r="E966" s="13"/>
      <c r="F966" s="5"/>
      <c r="G966" s="11" t="str">
        <f>IF(ISERROR(AVERAGE(F$13:F966)),"n/a",AVERAGE(F$13:F966))</f>
        <v>n/a</v>
      </c>
      <c r="H966" s="11" t="str">
        <f t="shared" si="117"/>
        <v>n/a</v>
      </c>
      <c r="J966" s="5"/>
      <c r="K966" s="5"/>
      <c r="L966" s="5"/>
      <c r="M966" s="5"/>
      <c r="N966" s="5"/>
      <c r="O966" s="8" t="str">
        <f t="shared" si="115"/>
        <v>n/a</v>
      </c>
      <c r="Q966" s="5"/>
      <c r="R966" s="5"/>
      <c r="S966" s="5"/>
      <c r="U966" s="6"/>
      <c r="V966" s="9" t="str">
        <f t="shared" si="118"/>
        <v/>
      </c>
      <c r="W966" s="9" t="str">
        <f t="shared" si="119"/>
        <v/>
      </c>
      <c r="X966" s="10">
        <f>SUM(V$13:V966)/COUNTA(B$13:B966)</f>
        <v>0</v>
      </c>
      <c r="Z966" s="5"/>
      <c r="AA966" s="5"/>
      <c r="AC966" s="7"/>
      <c r="AE966" s="54" t="e">
        <f t="shared" si="120"/>
        <v>#N/A</v>
      </c>
      <c r="AF966" s="4" t="e">
        <f t="shared" si="116"/>
        <v>#N/A</v>
      </c>
    </row>
    <row r="967" spans="2:32">
      <c r="B967" s="5">
        <f t="shared" si="121"/>
        <v>955</v>
      </c>
      <c r="C967" s="5"/>
      <c r="E967" s="13"/>
      <c r="F967" s="5"/>
      <c r="G967" s="11" t="str">
        <f>IF(ISERROR(AVERAGE(F$13:F967)),"n/a",AVERAGE(F$13:F967))</f>
        <v>n/a</v>
      </c>
      <c r="H967" s="11" t="str">
        <f t="shared" si="117"/>
        <v>n/a</v>
      </c>
      <c r="J967" s="5"/>
      <c r="K967" s="5"/>
      <c r="L967" s="5"/>
      <c r="M967" s="5"/>
      <c r="N967" s="5"/>
      <c r="O967" s="8" t="str">
        <f t="shared" si="115"/>
        <v>n/a</v>
      </c>
      <c r="Q967" s="5"/>
      <c r="R967" s="5"/>
      <c r="S967" s="5"/>
      <c r="U967" s="6"/>
      <c r="V967" s="9" t="str">
        <f t="shared" si="118"/>
        <v/>
      </c>
      <c r="W967" s="9" t="str">
        <f t="shared" si="119"/>
        <v/>
      </c>
      <c r="X967" s="10">
        <f>SUM(V$13:V967)/COUNTA(B$13:B967)</f>
        <v>0</v>
      </c>
      <c r="Z967" s="5"/>
      <c r="AA967" s="5"/>
      <c r="AC967" s="7"/>
      <c r="AE967" s="54" t="e">
        <f t="shared" si="120"/>
        <v>#N/A</v>
      </c>
      <c r="AF967" s="4" t="e">
        <f t="shared" si="116"/>
        <v>#N/A</v>
      </c>
    </row>
    <row r="968" spans="2:32">
      <c r="B968" s="5">
        <f t="shared" si="121"/>
        <v>956</v>
      </c>
      <c r="C968" s="5"/>
      <c r="E968" s="13"/>
      <c r="F968" s="5"/>
      <c r="G968" s="11" t="str">
        <f>IF(ISERROR(AVERAGE(F$13:F968)),"n/a",AVERAGE(F$13:F968))</f>
        <v>n/a</v>
      </c>
      <c r="H968" s="11" t="str">
        <f t="shared" si="117"/>
        <v>n/a</v>
      </c>
      <c r="J968" s="5"/>
      <c r="K968" s="5"/>
      <c r="L968" s="5"/>
      <c r="M968" s="5"/>
      <c r="N968" s="5"/>
      <c r="O968" s="8" t="str">
        <f t="shared" si="115"/>
        <v>n/a</v>
      </c>
      <c r="Q968" s="5"/>
      <c r="R968" s="5"/>
      <c r="S968" s="5"/>
      <c r="U968" s="6"/>
      <c r="V968" s="9" t="str">
        <f t="shared" si="118"/>
        <v/>
      </c>
      <c r="W968" s="9" t="str">
        <f t="shared" si="119"/>
        <v/>
      </c>
      <c r="X968" s="10">
        <f>SUM(V$13:V968)/COUNTA(B$13:B968)</f>
        <v>0</v>
      </c>
      <c r="Z968" s="5"/>
      <c r="AA968" s="5"/>
      <c r="AC968" s="7"/>
      <c r="AE968" s="54" t="e">
        <f t="shared" si="120"/>
        <v>#N/A</v>
      </c>
      <c r="AF968" s="4" t="e">
        <f t="shared" si="116"/>
        <v>#N/A</v>
      </c>
    </row>
    <row r="969" spans="2:32">
      <c r="B969" s="5">
        <f t="shared" si="121"/>
        <v>957</v>
      </c>
      <c r="C969" s="5"/>
      <c r="E969" s="13"/>
      <c r="F969" s="5"/>
      <c r="G969" s="11" t="str">
        <f>IF(ISERROR(AVERAGE(F$13:F969)),"n/a",AVERAGE(F$13:F969))</f>
        <v>n/a</v>
      </c>
      <c r="H969" s="11" t="str">
        <f t="shared" si="117"/>
        <v>n/a</v>
      </c>
      <c r="J969" s="5"/>
      <c r="K969" s="5"/>
      <c r="L969" s="5"/>
      <c r="M969" s="5"/>
      <c r="N969" s="5"/>
      <c r="O969" s="8" t="str">
        <f t="shared" si="115"/>
        <v>n/a</v>
      </c>
      <c r="Q969" s="5"/>
      <c r="R969" s="5"/>
      <c r="S969" s="5"/>
      <c r="U969" s="6"/>
      <c r="V969" s="9" t="str">
        <f t="shared" si="118"/>
        <v/>
      </c>
      <c r="W969" s="9" t="str">
        <f t="shared" si="119"/>
        <v/>
      </c>
      <c r="X969" s="10">
        <f>SUM(V$13:V969)/COUNTA(B$13:B969)</f>
        <v>0</v>
      </c>
      <c r="Z969" s="5"/>
      <c r="AA969" s="5"/>
      <c r="AC969" s="7"/>
      <c r="AE969" s="54" t="e">
        <f t="shared" si="120"/>
        <v>#N/A</v>
      </c>
      <c r="AF969" s="4" t="e">
        <f t="shared" si="116"/>
        <v>#N/A</v>
      </c>
    </row>
    <row r="970" spans="2:32">
      <c r="B970" s="5">
        <f t="shared" si="121"/>
        <v>958</v>
      </c>
      <c r="C970" s="5"/>
      <c r="E970" s="13"/>
      <c r="F970" s="5"/>
      <c r="G970" s="11" t="str">
        <f>IF(ISERROR(AVERAGE(F$13:F970)),"n/a",AVERAGE(F$13:F970))</f>
        <v>n/a</v>
      </c>
      <c r="H970" s="11" t="str">
        <f t="shared" si="117"/>
        <v>n/a</v>
      </c>
      <c r="J970" s="5"/>
      <c r="K970" s="5"/>
      <c r="L970" s="5"/>
      <c r="M970" s="5"/>
      <c r="N970" s="5"/>
      <c r="O970" s="8" t="str">
        <f t="shared" si="115"/>
        <v>n/a</v>
      </c>
      <c r="Q970" s="5"/>
      <c r="R970" s="5"/>
      <c r="S970" s="5"/>
      <c r="U970" s="6"/>
      <c r="V970" s="9" t="str">
        <f t="shared" si="118"/>
        <v/>
      </c>
      <c r="W970" s="9" t="str">
        <f t="shared" si="119"/>
        <v/>
      </c>
      <c r="X970" s="10">
        <f>SUM(V$13:V970)/COUNTA(B$13:B970)</f>
        <v>0</v>
      </c>
      <c r="Z970" s="5"/>
      <c r="AA970" s="5"/>
      <c r="AC970" s="7"/>
      <c r="AE970" s="54" t="e">
        <f t="shared" si="120"/>
        <v>#N/A</v>
      </c>
      <c r="AF970" s="4" t="e">
        <f t="shared" si="116"/>
        <v>#N/A</v>
      </c>
    </row>
    <row r="971" spans="2:32">
      <c r="B971" s="5">
        <f t="shared" si="121"/>
        <v>959</v>
      </c>
      <c r="C971" s="5"/>
      <c r="E971" s="13"/>
      <c r="F971" s="5"/>
      <c r="G971" s="11" t="str">
        <f>IF(ISERROR(AVERAGE(F$13:F971)),"n/a",AVERAGE(F$13:F971))</f>
        <v>n/a</v>
      </c>
      <c r="H971" s="11" t="str">
        <f t="shared" si="117"/>
        <v>n/a</v>
      </c>
      <c r="J971" s="5"/>
      <c r="K971" s="5"/>
      <c r="L971" s="5"/>
      <c r="M971" s="5"/>
      <c r="N971" s="5"/>
      <c r="O971" s="8" t="str">
        <f t="shared" si="115"/>
        <v>n/a</v>
      </c>
      <c r="Q971" s="5"/>
      <c r="R971" s="5"/>
      <c r="S971" s="5"/>
      <c r="U971" s="6"/>
      <c r="V971" s="9" t="str">
        <f t="shared" si="118"/>
        <v/>
      </c>
      <c r="W971" s="9" t="str">
        <f t="shared" si="119"/>
        <v/>
      </c>
      <c r="X971" s="10">
        <f>SUM(V$13:V971)/COUNTA(B$13:B971)</f>
        <v>0</v>
      </c>
      <c r="Z971" s="5"/>
      <c r="AA971" s="5"/>
      <c r="AC971" s="7"/>
      <c r="AE971" s="54" t="e">
        <f t="shared" si="120"/>
        <v>#N/A</v>
      </c>
      <c r="AF971" s="4" t="e">
        <f t="shared" si="116"/>
        <v>#N/A</v>
      </c>
    </row>
    <row r="972" spans="2:32">
      <c r="B972" s="5">
        <f t="shared" si="121"/>
        <v>960</v>
      </c>
      <c r="C972" s="5"/>
      <c r="E972" s="13"/>
      <c r="F972" s="5"/>
      <c r="G972" s="11" t="str">
        <f>IF(ISERROR(AVERAGE(F$13:F972)),"n/a",AVERAGE(F$13:F972))</f>
        <v>n/a</v>
      </c>
      <c r="H972" s="11" t="str">
        <f t="shared" si="117"/>
        <v>n/a</v>
      </c>
      <c r="J972" s="5"/>
      <c r="K972" s="5"/>
      <c r="L972" s="5"/>
      <c r="M972" s="5"/>
      <c r="N972" s="5"/>
      <c r="O972" s="8" t="str">
        <f t="shared" si="115"/>
        <v>n/a</v>
      </c>
      <c r="Q972" s="5"/>
      <c r="R972" s="5"/>
      <c r="S972" s="5"/>
      <c r="U972" s="6"/>
      <c r="V972" s="9" t="str">
        <f t="shared" si="118"/>
        <v/>
      </c>
      <c r="W972" s="9" t="str">
        <f t="shared" si="119"/>
        <v/>
      </c>
      <c r="X972" s="10">
        <f>SUM(V$13:V972)/COUNTA(B$13:B972)</f>
        <v>0</v>
      </c>
      <c r="Z972" s="5"/>
      <c r="AA972" s="5"/>
      <c r="AC972" s="7"/>
      <c r="AE972" s="54" t="e">
        <f t="shared" si="120"/>
        <v>#N/A</v>
      </c>
      <c r="AF972" s="4" t="e">
        <f t="shared" si="116"/>
        <v>#N/A</v>
      </c>
    </row>
    <row r="973" spans="2:32">
      <c r="B973" s="5">
        <f t="shared" si="121"/>
        <v>961</v>
      </c>
      <c r="C973" s="5"/>
      <c r="E973" s="13"/>
      <c r="F973" s="5"/>
      <c r="G973" s="11" t="str">
        <f>IF(ISERROR(AVERAGE(F$13:F973)),"n/a",AVERAGE(F$13:F973))</f>
        <v>n/a</v>
      </c>
      <c r="H973" s="11" t="str">
        <f t="shared" si="117"/>
        <v>n/a</v>
      </c>
      <c r="J973" s="5"/>
      <c r="K973" s="5"/>
      <c r="L973" s="5"/>
      <c r="M973" s="5"/>
      <c r="N973" s="5"/>
      <c r="O973" s="8" t="str">
        <f t="shared" ref="O973:O1008" si="122">IF(J973=1,"A",IF(K973=1,"B",IF(L973=1,"C",IF(M973=1,"D",IF(N973=1,"E","n/a")))))</f>
        <v>n/a</v>
      </c>
      <c r="Q973" s="5"/>
      <c r="R973" s="5"/>
      <c r="S973" s="5"/>
      <c r="U973" s="6"/>
      <c r="V973" s="9" t="str">
        <f t="shared" si="118"/>
        <v/>
      </c>
      <c r="W973" s="9" t="str">
        <f t="shared" si="119"/>
        <v/>
      </c>
      <c r="X973" s="10">
        <f>SUM(V$13:V973)/COUNTA(B$13:B973)</f>
        <v>0</v>
      </c>
      <c r="Z973" s="5"/>
      <c r="AA973" s="5"/>
      <c r="AC973" s="7"/>
      <c r="AE973" s="54" t="e">
        <f t="shared" si="120"/>
        <v>#N/A</v>
      </c>
      <c r="AF973" s="4" t="e">
        <f t="shared" ref="AF973:AF1012" si="123">HLOOKUP(C973,$K$6:$O$7,2,FALSE)</f>
        <v>#N/A</v>
      </c>
    </row>
    <row r="974" spans="2:32">
      <c r="B974" s="5">
        <f t="shared" si="121"/>
        <v>962</v>
      </c>
      <c r="C974" s="5"/>
      <c r="E974" s="13"/>
      <c r="F974" s="5"/>
      <c r="G974" s="11" t="str">
        <f>IF(ISERROR(AVERAGE(F$13:F974)),"n/a",AVERAGE(F$13:F974))</f>
        <v>n/a</v>
      </c>
      <c r="H974" s="11" t="str">
        <f t="shared" ref="H974:H1012" si="124">G974</f>
        <v>n/a</v>
      </c>
      <c r="J974" s="5"/>
      <c r="K974" s="5"/>
      <c r="L974" s="5"/>
      <c r="M974" s="5"/>
      <c r="N974" s="5"/>
      <c r="O974" s="8" t="str">
        <f t="shared" si="122"/>
        <v>n/a</v>
      </c>
      <c r="Q974" s="5"/>
      <c r="R974" s="5"/>
      <c r="S974" s="5"/>
      <c r="U974" s="6"/>
      <c r="V974" s="9" t="str">
        <f t="shared" ref="V974:V1012" si="125">IF(O974="n/a","",IF(O974=U974,1,""))</f>
        <v/>
      </c>
      <c r="W974" s="9" t="str">
        <f t="shared" ref="W974:W1012" si="126">IF(O974="n/a","",IF(O974&lt;&gt;U974,1,""))</f>
        <v/>
      </c>
      <c r="X974" s="10">
        <f>SUM(V$13:V974)/COUNTA(B$13:B974)</f>
        <v>0</v>
      </c>
      <c r="Z974" s="5"/>
      <c r="AA974" s="5"/>
      <c r="AC974" s="7"/>
      <c r="AE974" s="54" t="e">
        <f t="shared" ref="AE974:AE1012" si="127">+IF($F$4=0,0,IF(W974=1,1,IF(OR(R974*$F$8=1,S974*$F$9=1,F974&gt;=AF974),2,0)))</f>
        <v>#N/A</v>
      </c>
      <c r="AF974" s="4" t="e">
        <f t="shared" si="123"/>
        <v>#N/A</v>
      </c>
    </row>
    <row r="975" spans="2:32">
      <c r="B975" s="5">
        <f t="shared" si="121"/>
        <v>963</v>
      </c>
      <c r="C975" s="5"/>
      <c r="E975" s="13"/>
      <c r="F975" s="5"/>
      <c r="G975" s="11" t="str">
        <f>IF(ISERROR(AVERAGE(F$13:F975)),"n/a",AVERAGE(F$13:F975))</f>
        <v>n/a</v>
      </c>
      <c r="H975" s="11" t="str">
        <f t="shared" si="124"/>
        <v>n/a</v>
      </c>
      <c r="J975" s="5"/>
      <c r="K975" s="5"/>
      <c r="L975" s="5"/>
      <c r="M975" s="5"/>
      <c r="N975" s="5"/>
      <c r="O975" s="8" t="str">
        <f t="shared" si="122"/>
        <v>n/a</v>
      </c>
      <c r="Q975" s="5"/>
      <c r="R975" s="5"/>
      <c r="S975" s="5"/>
      <c r="U975" s="6"/>
      <c r="V975" s="9" t="str">
        <f t="shared" si="125"/>
        <v/>
      </c>
      <c r="W975" s="9" t="str">
        <f t="shared" si="126"/>
        <v/>
      </c>
      <c r="X975" s="10">
        <f>SUM(V$13:V975)/COUNTA(B$13:B975)</f>
        <v>0</v>
      </c>
      <c r="Z975" s="5"/>
      <c r="AA975" s="5"/>
      <c r="AC975" s="7"/>
      <c r="AE975" s="54" t="e">
        <f t="shared" si="127"/>
        <v>#N/A</v>
      </c>
      <c r="AF975" s="4" t="e">
        <f t="shared" si="123"/>
        <v>#N/A</v>
      </c>
    </row>
    <row r="976" spans="2:32">
      <c r="B976" s="5">
        <f t="shared" si="121"/>
        <v>964</v>
      </c>
      <c r="C976" s="5"/>
      <c r="E976" s="13"/>
      <c r="F976" s="5"/>
      <c r="G976" s="11" t="str">
        <f>IF(ISERROR(AVERAGE(F$13:F976)),"n/a",AVERAGE(F$13:F976))</f>
        <v>n/a</v>
      </c>
      <c r="H976" s="11" t="str">
        <f t="shared" si="124"/>
        <v>n/a</v>
      </c>
      <c r="J976" s="5"/>
      <c r="K976" s="5"/>
      <c r="L976" s="5"/>
      <c r="M976" s="5"/>
      <c r="N976" s="5"/>
      <c r="O976" s="8" t="str">
        <f t="shared" si="122"/>
        <v>n/a</v>
      </c>
      <c r="Q976" s="5"/>
      <c r="R976" s="5"/>
      <c r="S976" s="5"/>
      <c r="U976" s="6"/>
      <c r="V976" s="9" t="str">
        <f t="shared" si="125"/>
        <v/>
      </c>
      <c r="W976" s="9" t="str">
        <f t="shared" si="126"/>
        <v/>
      </c>
      <c r="X976" s="10">
        <f>SUM(V$13:V976)/COUNTA(B$13:B976)</f>
        <v>0</v>
      </c>
      <c r="Z976" s="5"/>
      <c r="AA976" s="5"/>
      <c r="AC976" s="7"/>
      <c r="AE976" s="54" t="e">
        <f t="shared" si="127"/>
        <v>#N/A</v>
      </c>
      <c r="AF976" s="4" t="e">
        <f t="shared" si="123"/>
        <v>#N/A</v>
      </c>
    </row>
    <row r="977" spans="2:32">
      <c r="B977" s="5">
        <f t="shared" si="121"/>
        <v>965</v>
      </c>
      <c r="C977" s="5"/>
      <c r="E977" s="13"/>
      <c r="F977" s="5"/>
      <c r="G977" s="11" t="str">
        <f>IF(ISERROR(AVERAGE(F$13:F977)),"n/a",AVERAGE(F$13:F977))</f>
        <v>n/a</v>
      </c>
      <c r="H977" s="11" t="str">
        <f t="shared" si="124"/>
        <v>n/a</v>
      </c>
      <c r="J977" s="5"/>
      <c r="K977" s="5"/>
      <c r="L977" s="5"/>
      <c r="M977" s="5"/>
      <c r="N977" s="5"/>
      <c r="O977" s="8" t="str">
        <f t="shared" si="122"/>
        <v>n/a</v>
      </c>
      <c r="Q977" s="5"/>
      <c r="R977" s="5"/>
      <c r="S977" s="5"/>
      <c r="U977" s="6"/>
      <c r="V977" s="9" t="str">
        <f t="shared" si="125"/>
        <v/>
      </c>
      <c r="W977" s="9" t="str">
        <f t="shared" si="126"/>
        <v/>
      </c>
      <c r="X977" s="10">
        <f>SUM(V$13:V977)/COUNTA(B$13:B977)</f>
        <v>0</v>
      </c>
      <c r="Z977" s="5"/>
      <c r="AA977" s="5"/>
      <c r="AC977" s="7"/>
      <c r="AE977" s="54" t="e">
        <f t="shared" si="127"/>
        <v>#N/A</v>
      </c>
      <c r="AF977" s="4" t="e">
        <f t="shared" si="123"/>
        <v>#N/A</v>
      </c>
    </row>
    <row r="978" spans="2:32">
      <c r="B978" s="5">
        <f t="shared" si="121"/>
        <v>966</v>
      </c>
      <c r="C978" s="5"/>
      <c r="E978" s="13"/>
      <c r="F978" s="5"/>
      <c r="G978" s="11" t="str">
        <f>IF(ISERROR(AVERAGE(F$13:F978)),"n/a",AVERAGE(F$13:F978))</f>
        <v>n/a</v>
      </c>
      <c r="H978" s="11" t="str">
        <f t="shared" si="124"/>
        <v>n/a</v>
      </c>
      <c r="J978" s="5"/>
      <c r="K978" s="5"/>
      <c r="L978" s="5"/>
      <c r="M978" s="5"/>
      <c r="N978" s="5"/>
      <c r="O978" s="8" t="str">
        <f t="shared" si="122"/>
        <v>n/a</v>
      </c>
      <c r="Q978" s="5"/>
      <c r="R978" s="5"/>
      <c r="S978" s="5"/>
      <c r="U978" s="6"/>
      <c r="V978" s="9" t="str">
        <f t="shared" si="125"/>
        <v/>
      </c>
      <c r="W978" s="9" t="str">
        <f t="shared" si="126"/>
        <v/>
      </c>
      <c r="X978" s="10">
        <f>SUM(V$13:V978)/COUNTA(B$13:B978)</f>
        <v>0</v>
      </c>
      <c r="Z978" s="5"/>
      <c r="AA978" s="5"/>
      <c r="AC978" s="7"/>
      <c r="AE978" s="54" t="e">
        <f t="shared" si="127"/>
        <v>#N/A</v>
      </c>
      <c r="AF978" s="4" t="e">
        <f t="shared" si="123"/>
        <v>#N/A</v>
      </c>
    </row>
    <row r="979" spans="2:32">
      <c r="B979" s="5">
        <f t="shared" ref="B979:B1012" si="128">+B978+1</f>
        <v>967</v>
      </c>
      <c r="C979" s="5"/>
      <c r="E979" s="13"/>
      <c r="F979" s="5"/>
      <c r="G979" s="11" t="str">
        <f>IF(ISERROR(AVERAGE(F$13:F979)),"n/a",AVERAGE(F$13:F979))</f>
        <v>n/a</v>
      </c>
      <c r="H979" s="11" t="str">
        <f t="shared" si="124"/>
        <v>n/a</v>
      </c>
      <c r="J979" s="5"/>
      <c r="K979" s="5"/>
      <c r="L979" s="5"/>
      <c r="M979" s="5"/>
      <c r="N979" s="5"/>
      <c r="O979" s="8" t="str">
        <f t="shared" si="122"/>
        <v>n/a</v>
      </c>
      <c r="Q979" s="5"/>
      <c r="R979" s="5"/>
      <c r="S979" s="5"/>
      <c r="U979" s="6"/>
      <c r="V979" s="9" t="str">
        <f t="shared" si="125"/>
        <v/>
      </c>
      <c r="W979" s="9" t="str">
        <f t="shared" si="126"/>
        <v/>
      </c>
      <c r="X979" s="10">
        <f>SUM(V$13:V979)/COUNTA(B$13:B979)</f>
        <v>0</v>
      </c>
      <c r="Z979" s="5"/>
      <c r="AA979" s="5"/>
      <c r="AC979" s="7"/>
      <c r="AE979" s="54" t="e">
        <f t="shared" si="127"/>
        <v>#N/A</v>
      </c>
      <c r="AF979" s="4" t="e">
        <f t="shared" si="123"/>
        <v>#N/A</v>
      </c>
    </row>
    <row r="980" spans="2:32">
      <c r="B980" s="5">
        <f t="shared" si="128"/>
        <v>968</v>
      </c>
      <c r="C980" s="5"/>
      <c r="E980" s="13"/>
      <c r="F980" s="5"/>
      <c r="G980" s="11" t="str">
        <f>IF(ISERROR(AVERAGE(F$13:F980)),"n/a",AVERAGE(F$13:F980))</f>
        <v>n/a</v>
      </c>
      <c r="H980" s="11" t="str">
        <f t="shared" si="124"/>
        <v>n/a</v>
      </c>
      <c r="J980" s="5"/>
      <c r="K980" s="5"/>
      <c r="L980" s="5"/>
      <c r="M980" s="5"/>
      <c r="N980" s="5"/>
      <c r="O980" s="8" t="str">
        <f t="shared" si="122"/>
        <v>n/a</v>
      </c>
      <c r="Q980" s="5"/>
      <c r="R980" s="5"/>
      <c r="S980" s="5"/>
      <c r="U980" s="6"/>
      <c r="V980" s="9" t="str">
        <f t="shared" si="125"/>
        <v/>
      </c>
      <c r="W980" s="9" t="str">
        <f t="shared" si="126"/>
        <v/>
      </c>
      <c r="X980" s="10">
        <f>SUM(V$13:V980)/COUNTA(B$13:B980)</f>
        <v>0</v>
      </c>
      <c r="Z980" s="5"/>
      <c r="AA980" s="5"/>
      <c r="AC980" s="7"/>
      <c r="AE980" s="54" t="e">
        <f t="shared" si="127"/>
        <v>#N/A</v>
      </c>
      <c r="AF980" s="4" t="e">
        <f t="shared" si="123"/>
        <v>#N/A</v>
      </c>
    </row>
    <row r="981" spans="2:32">
      <c r="B981" s="5">
        <f t="shared" si="128"/>
        <v>969</v>
      </c>
      <c r="C981" s="5"/>
      <c r="E981" s="13"/>
      <c r="F981" s="5"/>
      <c r="G981" s="11" t="str">
        <f>IF(ISERROR(AVERAGE(F$13:F981)),"n/a",AVERAGE(F$13:F981))</f>
        <v>n/a</v>
      </c>
      <c r="H981" s="11" t="str">
        <f t="shared" si="124"/>
        <v>n/a</v>
      </c>
      <c r="J981" s="5"/>
      <c r="K981" s="5"/>
      <c r="L981" s="5"/>
      <c r="M981" s="5"/>
      <c r="N981" s="5"/>
      <c r="O981" s="8" t="str">
        <f t="shared" si="122"/>
        <v>n/a</v>
      </c>
      <c r="Q981" s="5"/>
      <c r="R981" s="5"/>
      <c r="S981" s="5"/>
      <c r="U981" s="6"/>
      <c r="V981" s="9" t="str">
        <f t="shared" si="125"/>
        <v/>
      </c>
      <c r="W981" s="9" t="str">
        <f t="shared" si="126"/>
        <v/>
      </c>
      <c r="X981" s="10">
        <f>SUM(V$13:V981)/COUNTA(B$13:B981)</f>
        <v>0</v>
      </c>
      <c r="Z981" s="5"/>
      <c r="AA981" s="5"/>
      <c r="AC981" s="7"/>
      <c r="AE981" s="54" t="e">
        <f t="shared" si="127"/>
        <v>#N/A</v>
      </c>
      <c r="AF981" s="4" t="e">
        <f t="shared" si="123"/>
        <v>#N/A</v>
      </c>
    </row>
    <row r="982" spans="2:32">
      <c r="B982" s="5">
        <f t="shared" si="128"/>
        <v>970</v>
      </c>
      <c r="C982" s="5"/>
      <c r="E982" s="13"/>
      <c r="F982" s="5"/>
      <c r="G982" s="11" t="str">
        <f>IF(ISERROR(AVERAGE(F$13:F982)),"n/a",AVERAGE(F$13:F982))</f>
        <v>n/a</v>
      </c>
      <c r="H982" s="11" t="str">
        <f t="shared" si="124"/>
        <v>n/a</v>
      </c>
      <c r="J982" s="5"/>
      <c r="K982" s="5"/>
      <c r="L982" s="5"/>
      <c r="M982" s="5"/>
      <c r="N982" s="5"/>
      <c r="O982" s="8" t="str">
        <f t="shared" si="122"/>
        <v>n/a</v>
      </c>
      <c r="Q982" s="5"/>
      <c r="R982" s="5"/>
      <c r="S982" s="5"/>
      <c r="U982" s="6"/>
      <c r="V982" s="9" t="str">
        <f t="shared" si="125"/>
        <v/>
      </c>
      <c r="W982" s="9" t="str">
        <f t="shared" si="126"/>
        <v/>
      </c>
      <c r="X982" s="10">
        <f>SUM(V$13:V982)/COUNTA(B$13:B982)</f>
        <v>0</v>
      </c>
      <c r="Z982" s="5"/>
      <c r="AA982" s="5"/>
      <c r="AC982" s="7"/>
      <c r="AE982" s="54" t="e">
        <f t="shared" si="127"/>
        <v>#N/A</v>
      </c>
      <c r="AF982" s="4" t="e">
        <f t="shared" si="123"/>
        <v>#N/A</v>
      </c>
    </row>
    <row r="983" spans="2:32">
      <c r="B983" s="5">
        <f t="shared" si="128"/>
        <v>971</v>
      </c>
      <c r="C983" s="5"/>
      <c r="E983" s="13"/>
      <c r="F983" s="5"/>
      <c r="G983" s="11" t="str">
        <f>IF(ISERROR(AVERAGE(F$13:F983)),"n/a",AVERAGE(F$13:F983))</f>
        <v>n/a</v>
      </c>
      <c r="H983" s="11" t="str">
        <f t="shared" si="124"/>
        <v>n/a</v>
      </c>
      <c r="J983" s="5"/>
      <c r="K983" s="5"/>
      <c r="L983" s="5"/>
      <c r="M983" s="5"/>
      <c r="N983" s="5"/>
      <c r="O983" s="8" t="str">
        <f t="shared" si="122"/>
        <v>n/a</v>
      </c>
      <c r="Q983" s="5"/>
      <c r="R983" s="5"/>
      <c r="S983" s="5"/>
      <c r="U983" s="6"/>
      <c r="V983" s="9" t="str">
        <f t="shared" si="125"/>
        <v/>
      </c>
      <c r="W983" s="9" t="str">
        <f t="shared" si="126"/>
        <v/>
      </c>
      <c r="X983" s="10">
        <f>SUM(V$13:V983)/COUNTA(B$13:B983)</f>
        <v>0</v>
      </c>
      <c r="Z983" s="5"/>
      <c r="AA983" s="5"/>
      <c r="AC983" s="7"/>
      <c r="AE983" s="54" t="e">
        <f t="shared" si="127"/>
        <v>#N/A</v>
      </c>
      <c r="AF983" s="4" t="e">
        <f t="shared" si="123"/>
        <v>#N/A</v>
      </c>
    </row>
    <row r="984" spans="2:32">
      <c r="B984" s="5">
        <f t="shared" si="128"/>
        <v>972</v>
      </c>
      <c r="C984" s="5"/>
      <c r="E984" s="13"/>
      <c r="F984" s="5"/>
      <c r="G984" s="11" t="str">
        <f>IF(ISERROR(AVERAGE(F$13:F984)),"n/a",AVERAGE(F$13:F984))</f>
        <v>n/a</v>
      </c>
      <c r="H984" s="11" t="str">
        <f t="shared" si="124"/>
        <v>n/a</v>
      </c>
      <c r="J984" s="5"/>
      <c r="K984" s="5"/>
      <c r="L984" s="5"/>
      <c r="M984" s="5"/>
      <c r="N984" s="5"/>
      <c r="O984" s="8" t="str">
        <f t="shared" si="122"/>
        <v>n/a</v>
      </c>
      <c r="Q984" s="5"/>
      <c r="R984" s="5"/>
      <c r="S984" s="5"/>
      <c r="U984" s="6"/>
      <c r="V984" s="9" t="str">
        <f t="shared" si="125"/>
        <v/>
      </c>
      <c r="W984" s="9" t="str">
        <f t="shared" si="126"/>
        <v/>
      </c>
      <c r="X984" s="10">
        <f>SUM(V$13:V984)/COUNTA(B$13:B984)</f>
        <v>0</v>
      </c>
      <c r="Z984" s="5"/>
      <c r="AA984" s="5"/>
      <c r="AC984" s="7"/>
      <c r="AE984" s="54" t="e">
        <f t="shared" si="127"/>
        <v>#N/A</v>
      </c>
      <c r="AF984" s="4" t="e">
        <f t="shared" si="123"/>
        <v>#N/A</v>
      </c>
    </row>
    <row r="985" spans="2:32">
      <c r="B985" s="5">
        <f t="shared" si="128"/>
        <v>973</v>
      </c>
      <c r="C985" s="5"/>
      <c r="E985" s="13"/>
      <c r="F985" s="5"/>
      <c r="G985" s="11" t="str">
        <f>IF(ISERROR(AVERAGE(F$13:F985)),"n/a",AVERAGE(F$13:F985))</f>
        <v>n/a</v>
      </c>
      <c r="H985" s="11" t="str">
        <f t="shared" si="124"/>
        <v>n/a</v>
      </c>
      <c r="J985" s="5"/>
      <c r="K985" s="5"/>
      <c r="L985" s="5"/>
      <c r="M985" s="5"/>
      <c r="N985" s="5"/>
      <c r="O985" s="8" t="str">
        <f t="shared" si="122"/>
        <v>n/a</v>
      </c>
      <c r="Q985" s="5"/>
      <c r="R985" s="5"/>
      <c r="S985" s="5"/>
      <c r="U985" s="6"/>
      <c r="V985" s="9" t="str">
        <f t="shared" si="125"/>
        <v/>
      </c>
      <c r="W985" s="9" t="str">
        <f t="shared" si="126"/>
        <v/>
      </c>
      <c r="X985" s="10">
        <f>SUM(V$13:V985)/COUNTA(B$13:B985)</f>
        <v>0</v>
      </c>
      <c r="Z985" s="5"/>
      <c r="AA985" s="5"/>
      <c r="AC985" s="7"/>
      <c r="AE985" s="54" t="e">
        <f t="shared" si="127"/>
        <v>#N/A</v>
      </c>
      <c r="AF985" s="4" t="e">
        <f t="shared" si="123"/>
        <v>#N/A</v>
      </c>
    </row>
    <row r="986" spans="2:32">
      <c r="B986" s="5">
        <f t="shared" si="128"/>
        <v>974</v>
      </c>
      <c r="C986" s="5"/>
      <c r="E986" s="13"/>
      <c r="F986" s="5"/>
      <c r="G986" s="11" t="str">
        <f>IF(ISERROR(AVERAGE(F$13:F986)),"n/a",AVERAGE(F$13:F986))</f>
        <v>n/a</v>
      </c>
      <c r="H986" s="11" t="str">
        <f t="shared" si="124"/>
        <v>n/a</v>
      </c>
      <c r="J986" s="5"/>
      <c r="K986" s="5"/>
      <c r="L986" s="5"/>
      <c r="M986" s="5"/>
      <c r="N986" s="5"/>
      <c r="O986" s="8" t="str">
        <f t="shared" si="122"/>
        <v>n/a</v>
      </c>
      <c r="Q986" s="5"/>
      <c r="R986" s="5"/>
      <c r="S986" s="5"/>
      <c r="U986" s="6"/>
      <c r="V986" s="9" t="str">
        <f t="shared" si="125"/>
        <v/>
      </c>
      <c r="W986" s="9" t="str">
        <f t="shared" si="126"/>
        <v/>
      </c>
      <c r="X986" s="10">
        <f>SUM(V$13:V986)/COUNTA(B$13:B986)</f>
        <v>0</v>
      </c>
      <c r="Z986" s="5"/>
      <c r="AA986" s="5"/>
      <c r="AC986" s="7"/>
      <c r="AE986" s="54" t="e">
        <f t="shared" si="127"/>
        <v>#N/A</v>
      </c>
      <c r="AF986" s="4" t="e">
        <f t="shared" si="123"/>
        <v>#N/A</v>
      </c>
    </row>
    <row r="987" spans="2:32">
      <c r="B987" s="5">
        <f t="shared" si="128"/>
        <v>975</v>
      </c>
      <c r="C987" s="5"/>
      <c r="E987" s="13"/>
      <c r="F987" s="5"/>
      <c r="G987" s="11" t="str">
        <f>IF(ISERROR(AVERAGE(F$13:F987)),"n/a",AVERAGE(F$13:F987))</f>
        <v>n/a</v>
      </c>
      <c r="H987" s="11" t="str">
        <f t="shared" si="124"/>
        <v>n/a</v>
      </c>
      <c r="J987" s="5"/>
      <c r="K987" s="5"/>
      <c r="L987" s="5"/>
      <c r="M987" s="5"/>
      <c r="N987" s="5"/>
      <c r="O987" s="8" t="str">
        <f t="shared" si="122"/>
        <v>n/a</v>
      </c>
      <c r="Q987" s="5"/>
      <c r="R987" s="5"/>
      <c r="S987" s="5"/>
      <c r="U987" s="6"/>
      <c r="V987" s="9" t="str">
        <f t="shared" si="125"/>
        <v/>
      </c>
      <c r="W987" s="9" t="str">
        <f t="shared" si="126"/>
        <v/>
      </c>
      <c r="X987" s="10">
        <f>SUM(V$13:V987)/COUNTA(B$13:B987)</f>
        <v>0</v>
      </c>
      <c r="Z987" s="5"/>
      <c r="AA987" s="5"/>
      <c r="AC987" s="7"/>
      <c r="AE987" s="54" t="e">
        <f t="shared" si="127"/>
        <v>#N/A</v>
      </c>
      <c r="AF987" s="4" t="e">
        <f t="shared" si="123"/>
        <v>#N/A</v>
      </c>
    </row>
    <row r="988" spans="2:32">
      <c r="B988" s="5">
        <f t="shared" si="128"/>
        <v>976</v>
      </c>
      <c r="C988" s="5"/>
      <c r="E988" s="13"/>
      <c r="F988" s="5"/>
      <c r="G988" s="11" t="str">
        <f>IF(ISERROR(AVERAGE(F$13:F988)),"n/a",AVERAGE(F$13:F988))</f>
        <v>n/a</v>
      </c>
      <c r="H988" s="11" t="str">
        <f t="shared" si="124"/>
        <v>n/a</v>
      </c>
      <c r="J988" s="5"/>
      <c r="K988" s="5"/>
      <c r="L988" s="5"/>
      <c r="M988" s="5"/>
      <c r="N988" s="5"/>
      <c r="O988" s="8" t="str">
        <f t="shared" si="122"/>
        <v>n/a</v>
      </c>
      <c r="Q988" s="5"/>
      <c r="R988" s="5"/>
      <c r="S988" s="5"/>
      <c r="U988" s="6"/>
      <c r="V988" s="9" t="str">
        <f t="shared" si="125"/>
        <v/>
      </c>
      <c r="W988" s="9" t="str">
        <f t="shared" si="126"/>
        <v/>
      </c>
      <c r="X988" s="10">
        <f>SUM(V$13:V988)/COUNTA(B$13:B988)</f>
        <v>0</v>
      </c>
      <c r="Z988" s="5"/>
      <c r="AA988" s="5"/>
      <c r="AC988" s="7"/>
      <c r="AE988" s="54" t="e">
        <f t="shared" si="127"/>
        <v>#N/A</v>
      </c>
      <c r="AF988" s="4" t="e">
        <f t="shared" si="123"/>
        <v>#N/A</v>
      </c>
    </row>
    <row r="989" spans="2:32">
      <c r="B989" s="5">
        <f t="shared" si="128"/>
        <v>977</v>
      </c>
      <c r="C989" s="5"/>
      <c r="E989" s="13"/>
      <c r="F989" s="5"/>
      <c r="G989" s="11" t="str">
        <f>IF(ISERROR(AVERAGE(F$13:F989)),"n/a",AVERAGE(F$13:F989))</f>
        <v>n/a</v>
      </c>
      <c r="H989" s="11" t="str">
        <f t="shared" si="124"/>
        <v>n/a</v>
      </c>
      <c r="J989" s="5"/>
      <c r="K989" s="5"/>
      <c r="L989" s="5"/>
      <c r="M989" s="5"/>
      <c r="N989" s="5"/>
      <c r="O989" s="8" t="str">
        <f t="shared" si="122"/>
        <v>n/a</v>
      </c>
      <c r="Q989" s="5"/>
      <c r="R989" s="5"/>
      <c r="S989" s="5"/>
      <c r="U989" s="6"/>
      <c r="V989" s="9" t="str">
        <f t="shared" si="125"/>
        <v/>
      </c>
      <c r="W989" s="9" t="str">
        <f t="shared" si="126"/>
        <v/>
      </c>
      <c r="X989" s="10">
        <f>SUM(V$13:V989)/COUNTA(B$13:B989)</f>
        <v>0</v>
      </c>
      <c r="Z989" s="5"/>
      <c r="AA989" s="5"/>
      <c r="AC989" s="7"/>
      <c r="AE989" s="54" t="e">
        <f t="shared" si="127"/>
        <v>#N/A</v>
      </c>
      <c r="AF989" s="4" t="e">
        <f t="shared" si="123"/>
        <v>#N/A</v>
      </c>
    </row>
    <row r="990" spans="2:32">
      <c r="B990" s="5">
        <f t="shared" si="128"/>
        <v>978</v>
      </c>
      <c r="C990" s="5"/>
      <c r="E990" s="13"/>
      <c r="F990" s="5"/>
      <c r="G990" s="11" t="str">
        <f>IF(ISERROR(AVERAGE(F$13:F990)),"n/a",AVERAGE(F$13:F990))</f>
        <v>n/a</v>
      </c>
      <c r="H990" s="11" t="str">
        <f t="shared" si="124"/>
        <v>n/a</v>
      </c>
      <c r="J990" s="5"/>
      <c r="K990" s="5"/>
      <c r="L990" s="5"/>
      <c r="M990" s="5"/>
      <c r="N990" s="5"/>
      <c r="O990" s="8" t="str">
        <f t="shared" si="122"/>
        <v>n/a</v>
      </c>
      <c r="Q990" s="5"/>
      <c r="R990" s="5"/>
      <c r="S990" s="5"/>
      <c r="U990" s="6"/>
      <c r="V990" s="9" t="str">
        <f t="shared" si="125"/>
        <v/>
      </c>
      <c r="W990" s="9" t="str">
        <f t="shared" si="126"/>
        <v/>
      </c>
      <c r="X990" s="10">
        <f>SUM(V$13:V990)/COUNTA(B$13:B990)</f>
        <v>0</v>
      </c>
      <c r="Z990" s="5"/>
      <c r="AA990" s="5"/>
      <c r="AC990" s="7"/>
      <c r="AE990" s="54" t="e">
        <f t="shared" si="127"/>
        <v>#N/A</v>
      </c>
      <c r="AF990" s="4" t="e">
        <f t="shared" si="123"/>
        <v>#N/A</v>
      </c>
    </row>
    <row r="991" spans="2:32">
      <c r="B991" s="5">
        <f t="shared" si="128"/>
        <v>979</v>
      </c>
      <c r="C991" s="5"/>
      <c r="E991" s="13"/>
      <c r="F991" s="5"/>
      <c r="G991" s="11" t="str">
        <f>IF(ISERROR(AVERAGE(F$13:F991)),"n/a",AVERAGE(F$13:F991))</f>
        <v>n/a</v>
      </c>
      <c r="H991" s="11" t="str">
        <f t="shared" si="124"/>
        <v>n/a</v>
      </c>
      <c r="J991" s="5"/>
      <c r="K991" s="5"/>
      <c r="L991" s="5"/>
      <c r="M991" s="5"/>
      <c r="N991" s="5"/>
      <c r="O991" s="8" t="str">
        <f t="shared" si="122"/>
        <v>n/a</v>
      </c>
      <c r="Q991" s="5"/>
      <c r="R991" s="5"/>
      <c r="S991" s="5"/>
      <c r="U991" s="6"/>
      <c r="V991" s="9" t="str">
        <f t="shared" si="125"/>
        <v/>
      </c>
      <c r="W991" s="9" t="str">
        <f t="shared" si="126"/>
        <v/>
      </c>
      <c r="X991" s="10">
        <f>SUM(V$13:V991)/COUNTA(B$13:B991)</f>
        <v>0</v>
      </c>
      <c r="Z991" s="5"/>
      <c r="AA991" s="5"/>
      <c r="AC991" s="7"/>
      <c r="AE991" s="54" t="e">
        <f t="shared" si="127"/>
        <v>#N/A</v>
      </c>
      <c r="AF991" s="4" t="e">
        <f t="shared" si="123"/>
        <v>#N/A</v>
      </c>
    </row>
    <row r="992" spans="2:32">
      <c r="B992" s="5">
        <f t="shared" si="128"/>
        <v>980</v>
      </c>
      <c r="C992" s="5"/>
      <c r="E992" s="13"/>
      <c r="F992" s="5"/>
      <c r="G992" s="11" t="str">
        <f>IF(ISERROR(AVERAGE(F$13:F992)),"n/a",AVERAGE(F$13:F992))</f>
        <v>n/a</v>
      </c>
      <c r="H992" s="11" t="str">
        <f t="shared" si="124"/>
        <v>n/a</v>
      </c>
      <c r="J992" s="5"/>
      <c r="K992" s="5"/>
      <c r="L992" s="5"/>
      <c r="M992" s="5"/>
      <c r="N992" s="5"/>
      <c r="O992" s="8" t="str">
        <f t="shared" si="122"/>
        <v>n/a</v>
      </c>
      <c r="Q992" s="5"/>
      <c r="R992" s="5"/>
      <c r="S992" s="5"/>
      <c r="U992" s="6"/>
      <c r="V992" s="9" t="str">
        <f t="shared" si="125"/>
        <v/>
      </c>
      <c r="W992" s="9" t="str">
        <f t="shared" si="126"/>
        <v/>
      </c>
      <c r="X992" s="10">
        <f>SUM(V$13:V992)/COUNTA(B$13:B992)</f>
        <v>0</v>
      </c>
      <c r="Z992" s="5"/>
      <c r="AA992" s="5"/>
      <c r="AC992" s="7"/>
      <c r="AE992" s="54" t="e">
        <f t="shared" si="127"/>
        <v>#N/A</v>
      </c>
      <c r="AF992" s="4" t="e">
        <f t="shared" si="123"/>
        <v>#N/A</v>
      </c>
    </row>
    <row r="993" spans="2:32">
      <c r="B993" s="5">
        <f t="shared" si="128"/>
        <v>981</v>
      </c>
      <c r="C993" s="5"/>
      <c r="E993" s="13"/>
      <c r="F993" s="5"/>
      <c r="G993" s="11" t="str">
        <f>IF(ISERROR(AVERAGE(F$13:F993)),"n/a",AVERAGE(F$13:F993))</f>
        <v>n/a</v>
      </c>
      <c r="H993" s="11" t="str">
        <f t="shared" si="124"/>
        <v>n/a</v>
      </c>
      <c r="J993" s="5"/>
      <c r="K993" s="5"/>
      <c r="L993" s="5"/>
      <c r="M993" s="5"/>
      <c r="N993" s="5"/>
      <c r="O993" s="8" t="str">
        <f t="shared" si="122"/>
        <v>n/a</v>
      </c>
      <c r="Q993" s="5"/>
      <c r="R993" s="5"/>
      <c r="S993" s="5"/>
      <c r="U993" s="6"/>
      <c r="V993" s="9" t="str">
        <f t="shared" si="125"/>
        <v/>
      </c>
      <c r="W993" s="9" t="str">
        <f t="shared" si="126"/>
        <v/>
      </c>
      <c r="X993" s="10">
        <f>SUM(V$13:V993)/COUNTA(B$13:B993)</f>
        <v>0</v>
      </c>
      <c r="Z993" s="5"/>
      <c r="AA993" s="5"/>
      <c r="AC993" s="7"/>
      <c r="AE993" s="54" t="e">
        <f t="shared" si="127"/>
        <v>#N/A</v>
      </c>
      <c r="AF993" s="4" t="e">
        <f t="shared" si="123"/>
        <v>#N/A</v>
      </c>
    </row>
    <row r="994" spans="2:32">
      <c r="B994" s="5">
        <f t="shared" si="128"/>
        <v>982</v>
      </c>
      <c r="C994" s="5"/>
      <c r="E994" s="13"/>
      <c r="F994" s="5"/>
      <c r="G994" s="11" t="str">
        <f>IF(ISERROR(AVERAGE(F$13:F994)),"n/a",AVERAGE(F$13:F994))</f>
        <v>n/a</v>
      </c>
      <c r="H994" s="11" t="str">
        <f t="shared" si="124"/>
        <v>n/a</v>
      </c>
      <c r="J994" s="5"/>
      <c r="K994" s="5"/>
      <c r="L994" s="5"/>
      <c r="M994" s="5"/>
      <c r="N994" s="5"/>
      <c r="O994" s="8" t="str">
        <f t="shared" si="122"/>
        <v>n/a</v>
      </c>
      <c r="Q994" s="5"/>
      <c r="R994" s="5"/>
      <c r="S994" s="5"/>
      <c r="U994" s="6"/>
      <c r="V994" s="9" t="str">
        <f t="shared" si="125"/>
        <v/>
      </c>
      <c r="W994" s="9" t="str">
        <f t="shared" si="126"/>
        <v/>
      </c>
      <c r="X994" s="10">
        <f>SUM(V$13:V994)/COUNTA(B$13:B994)</f>
        <v>0</v>
      </c>
      <c r="Z994" s="5"/>
      <c r="AA994" s="5"/>
      <c r="AC994" s="7"/>
      <c r="AE994" s="54" t="e">
        <f t="shared" si="127"/>
        <v>#N/A</v>
      </c>
      <c r="AF994" s="4" t="e">
        <f t="shared" si="123"/>
        <v>#N/A</v>
      </c>
    </row>
    <row r="995" spans="2:32">
      <c r="B995" s="5">
        <f t="shared" si="128"/>
        <v>983</v>
      </c>
      <c r="C995" s="5"/>
      <c r="E995" s="13"/>
      <c r="F995" s="5"/>
      <c r="G995" s="11" t="str">
        <f>IF(ISERROR(AVERAGE(F$13:F995)),"n/a",AVERAGE(F$13:F995))</f>
        <v>n/a</v>
      </c>
      <c r="H995" s="11" t="str">
        <f t="shared" si="124"/>
        <v>n/a</v>
      </c>
      <c r="J995" s="5"/>
      <c r="K995" s="5"/>
      <c r="L995" s="5"/>
      <c r="M995" s="5"/>
      <c r="N995" s="5"/>
      <c r="O995" s="8" t="str">
        <f t="shared" si="122"/>
        <v>n/a</v>
      </c>
      <c r="Q995" s="5"/>
      <c r="R995" s="5"/>
      <c r="S995" s="5"/>
      <c r="U995" s="6"/>
      <c r="V995" s="9" t="str">
        <f t="shared" si="125"/>
        <v/>
      </c>
      <c r="W995" s="9" t="str">
        <f t="shared" si="126"/>
        <v/>
      </c>
      <c r="X995" s="10">
        <f>SUM(V$13:V995)/COUNTA(B$13:B995)</f>
        <v>0</v>
      </c>
      <c r="Z995" s="5"/>
      <c r="AA995" s="5"/>
      <c r="AC995" s="7"/>
      <c r="AE995" s="54" t="e">
        <f t="shared" si="127"/>
        <v>#N/A</v>
      </c>
      <c r="AF995" s="4" t="e">
        <f t="shared" si="123"/>
        <v>#N/A</v>
      </c>
    </row>
    <row r="996" spans="2:32">
      <c r="B996" s="5">
        <f t="shared" si="128"/>
        <v>984</v>
      </c>
      <c r="C996" s="5"/>
      <c r="E996" s="13"/>
      <c r="F996" s="5"/>
      <c r="G996" s="11" t="str">
        <f>IF(ISERROR(AVERAGE(F$13:F996)),"n/a",AVERAGE(F$13:F996))</f>
        <v>n/a</v>
      </c>
      <c r="H996" s="11" t="str">
        <f t="shared" si="124"/>
        <v>n/a</v>
      </c>
      <c r="J996" s="5"/>
      <c r="K996" s="5"/>
      <c r="L996" s="5"/>
      <c r="M996" s="5"/>
      <c r="N996" s="5"/>
      <c r="O996" s="8" t="str">
        <f t="shared" si="122"/>
        <v>n/a</v>
      </c>
      <c r="Q996" s="5"/>
      <c r="R996" s="5"/>
      <c r="S996" s="5"/>
      <c r="U996" s="6"/>
      <c r="V996" s="9" t="str">
        <f t="shared" si="125"/>
        <v/>
      </c>
      <c r="W996" s="9" t="str">
        <f t="shared" si="126"/>
        <v/>
      </c>
      <c r="X996" s="10">
        <f>SUM(V$13:V996)/COUNTA(B$13:B996)</f>
        <v>0</v>
      </c>
      <c r="Z996" s="5"/>
      <c r="AA996" s="5"/>
      <c r="AC996" s="7"/>
      <c r="AE996" s="54" t="e">
        <f t="shared" si="127"/>
        <v>#N/A</v>
      </c>
      <c r="AF996" s="4" t="e">
        <f t="shared" si="123"/>
        <v>#N/A</v>
      </c>
    </row>
    <row r="997" spans="2:32">
      <c r="B997" s="5">
        <f t="shared" si="128"/>
        <v>985</v>
      </c>
      <c r="C997" s="5"/>
      <c r="E997" s="13"/>
      <c r="F997" s="5"/>
      <c r="G997" s="11" t="str">
        <f>IF(ISERROR(AVERAGE(F$13:F997)),"n/a",AVERAGE(F$13:F997))</f>
        <v>n/a</v>
      </c>
      <c r="H997" s="11" t="str">
        <f t="shared" si="124"/>
        <v>n/a</v>
      </c>
      <c r="J997" s="5"/>
      <c r="K997" s="5"/>
      <c r="L997" s="5"/>
      <c r="M997" s="5"/>
      <c r="N997" s="5"/>
      <c r="O997" s="8" t="str">
        <f t="shared" si="122"/>
        <v>n/a</v>
      </c>
      <c r="Q997" s="5"/>
      <c r="R997" s="5"/>
      <c r="S997" s="5"/>
      <c r="U997" s="6"/>
      <c r="V997" s="9" t="str">
        <f t="shared" si="125"/>
        <v/>
      </c>
      <c r="W997" s="9" t="str">
        <f t="shared" si="126"/>
        <v/>
      </c>
      <c r="X997" s="10">
        <f>SUM(V$13:V997)/COUNTA(B$13:B997)</f>
        <v>0</v>
      </c>
      <c r="Z997" s="5"/>
      <c r="AA997" s="5"/>
      <c r="AC997" s="7"/>
      <c r="AE997" s="54" t="e">
        <f t="shared" si="127"/>
        <v>#N/A</v>
      </c>
      <c r="AF997" s="4" t="e">
        <f t="shared" si="123"/>
        <v>#N/A</v>
      </c>
    </row>
    <row r="998" spans="2:32">
      <c r="B998" s="5">
        <f t="shared" si="128"/>
        <v>986</v>
      </c>
      <c r="C998" s="5"/>
      <c r="E998" s="13"/>
      <c r="F998" s="5"/>
      <c r="G998" s="11" t="str">
        <f>IF(ISERROR(AVERAGE(F$13:F998)),"n/a",AVERAGE(F$13:F998))</f>
        <v>n/a</v>
      </c>
      <c r="H998" s="11" t="str">
        <f t="shared" si="124"/>
        <v>n/a</v>
      </c>
      <c r="J998" s="5"/>
      <c r="K998" s="5"/>
      <c r="L998" s="5"/>
      <c r="M998" s="5"/>
      <c r="N998" s="5"/>
      <c r="O998" s="8" t="str">
        <f t="shared" si="122"/>
        <v>n/a</v>
      </c>
      <c r="Q998" s="5"/>
      <c r="R998" s="5"/>
      <c r="S998" s="5"/>
      <c r="U998" s="6"/>
      <c r="V998" s="9" t="str">
        <f t="shared" si="125"/>
        <v/>
      </c>
      <c r="W998" s="9" t="str">
        <f t="shared" si="126"/>
        <v/>
      </c>
      <c r="X998" s="10">
        <f>SUM(V$13:V998)/COUNTA(B$13:B998)</f>
        <v>0</v>
      </c>
      <c r="Z998" s="5"/>
      <c r="AA998" s="5"/>
      <c r="AC998" s="7"/>
      <c r="AE998" s="54" t="e">
        <f t="shared" si="127"/>
        <v>#N/A</v>
      </c>
      <c r="AF998" s="4" t="e">
        <f t="shared" si="123"/>
        <v>#N/A</v>
      </c>
    </row>
    <row r="999" spans="2:32">
      <c r="B999" s="5">
        <f t="shared" si="128"/>
        <v>987</v>
      </c>
      <c r="C999" s="5"/>
      <c r="E999" s="13"/>
      <c r="F999" s="5"/>
      <c r="G999" s="11" t="str">
        <f>IF(ISERROR(AVERAGE(F$13:F999)),"n/a",AVERAGE(F$13:F999))</f>
        <v>n/a</v>
      </c>
      <c r="H999" s="11" t="str">
        <f t="shared" si="124"/>
        <v>n/a</v>
      </c>
      <c r="J999" s="5"/>
      <c r="K999" s="5"/>
      <c r="L999" s="5"/>
      <c r="M999" s="5"/>
      <c r="N999" s="5"/>
      <c r="O999" s="8" t="str">
        <f t="shared" si="122"/>
        <v>n/a</v>
      </c>
      <c r="Q999" s="5"/>
      <c r="R999" s="5"/>
      <c r="S999" s="5"/>
      <c r="U999" s="6"/>
      <c r="V999" s="9" t="str">
        <f t="shared" si="125"/>
        <v/>
      </c>
      <c r="W999" s="9" t="str">
        <f t="shared" si="126"/>
        <v/>
      </c>
      <c r="X999" s="10">
        <f>SUM(V$13:V999)/COUNTA(B$13:B999)</f>
        <v>0</v>
      </c>
      <c r="Z999" s="5"/>
      <c r="AA999" s="5"/>
      <c r="AC999" s="7"/>
      <c r="AE999" s="54" t="e">
        <f t="shared" si="127"/>
        <v>#N/A</v>
      </c>
      <c r="AF999" s="4" t="e">
        <f t="shared" si="123"/>
        <v>#N/A</v>
      </c>
    </row>
    <row r="1000" spans="2:32">
      <c r="B1000" s="5">
        <f t="shared" si="128"/>
        <v>988</v>
      </c>
      <c r="C1000" s="5"/>
      <c r="E1000" s="13"/>
      <c r="F1000" s="5"/>
      <c r="G1000" s="11" t="str">
        <f>IF(ISERROR(AVERAGE(F$13:F1000)),"n/a",AVERAGE(F$13:F1000))</f>
        <v>n/a</v>
      </c>
      <c r="H1000" s="11" t="str">
        <f t="shared" si="124"/>
        <v>n/a</v>
      </c>
      <c r="J1000" s="5"/>
      <c r="K1000" s="5"/>
      <c r="L1000" s="5"/>
      <c r="M1000" s="5"/>
      <c r="N1000" s="5"/>
      <c r="O1000" s="8" t="str">
        <f t="shared" si="122"/>
        <v>n/a</v>
      </c>
      <c r="Q1000" s="5"/>
      <c r="R1000" s="5"/>
      <c r="S1000" s="5"/>
      <c r="U1000" s="6"/>
      <c r="V1000" s="9" t="str">
        <f t="shared" si="125"/>
        <v/>
      </c>
      <c r="W1000" s="9" t="str">
        <f t="shared" si="126"/>
        <v/>
      </c>
      <c r="X1000" s="10">
        <f>SUM(V$13:V1000)/COUNTA(B$13:B1000)</f>
        <v>0</v>
      </c>
      <c r="Z1000" s="5"/>
      <c r="AA1000" s="5"/>
      <c r="AC1000" s="7"/>
      <c r="AE1000" s="54" t="e">
        <f t="shared" si="127"/>
        <v>#N/A</v>
      </c>
      <c r="AF1000" s="4" t="e">
        <f t="shared" si="123"/>
        <v>#N/A</v>
      </c>
    </row>
    <row r="1001" spans="2:32">
      <c r="B1001" s="5">
        <f t="shared" si="128"/>
        <v>989</v>
      </c>
      <c r="C1001" s="5"/>
      <c r="E1001" s="13"/>
      <c r="F1001" s="5"/>
      <c r="G1001" s="11" t="str">
        <f>IF(ISERROR(AVERAGE(F$13:F1001)),"n/a",AVERAGE(F$13:F1001))</f>
        <v>n/a</v>
      </c>
      <c r="H1001" s="11" t="str">
        <f t="shared" si="124"/>
        <v>n/a</v>
      </c>
      <c r="J1001" s="5"/>
      <c r="K1001" s="5"/>
      <c r="L1001" s="5"/>
      <c r="M1001" s="5"/>
      <c r="N1001" s="5"/>
      <c r="O1001" s="8" t="str">
        <f t="shared" si="122"/>
        <v>n/a</v>
      </c>
      <c r="Q1001" s="5"/>
      <c r="R1001" s="5"/>
      <c r="S1001" s="5"/>
      <c r="U1001" s="6"/>
      <c r="V1001" s="9" t="str">
        <f t="shared" si="125"/>
        <v/>
      </c>
      <c r="W1001" s="9" t="str">
        <f t="shared" si="126"/>
        <v/>
      </c>
      <c r="X1001" s="10">
        <f>SUM(V$13:V1001)/COUNTA(B$13:B1001)</f>
        <v>0</v>
      </c>
      <c r="Z1001" s="5"/>
      <c r="AA1001" s="5"/>
      <c r="AC1001" s="7"/>
      <c r="AE1001" s="54" t="e">
        <f t="shared" si="127"/>
        <v>#N/A</v>
      </c>
      <c r="AF1001" s="4" t="e">
        <f t="shared" si="123"/>
        <v>#N/A</v>
      </c>
    </row>
    <row r="1002" spans="2:32">
      <c r="B1002" s="5">
        <f t="shared" si="128"/>
        <v>990</v>
      </c>
      <c r="C1002" s="5"/>
      <c r="E1002" s="13"/>
      <c r="F1002" s="5"/>
      <c r="G1002" s="11" t="str">
        <f>IF(ISERROR(AVERAGE(F$13:F1002)),"n/a",AVERAGE(F$13:F1002))</f>
        <v>n/a</v>
      </c>
      <c r="H1002" s="11" t="str">
        <f t="shared" si="124"/>
        <v>n/a</v>
      </c>
      <c r="J1002" s="5"/>
      <c r="K1002" s="5"/>
      <c r="L1002" s="5"/>
      <c r="M1002" s="5"/>
      <c r="N1002" s="5"/>
      <c r="O1002" s="8" t="str">
        <f t="shared" si="122"/>
        <v>n/a</v>
      </c>
      <c r="Q1002" s="5"/>
      <c r="R1002" s="5"/>
      <c r="S1002" s="5"/>
      <c r="U1002" s="6"/>
      <c r="V1002" s="9" t="str">
        <f t="shared" si="125"/>
        <v/>
      </c>
      <c r="W1002" s="9" t="str">
        <f t="shared" si="126"/>
        <v/>
      </c>
      <c r="X1002" s="10">
        <f>SUM(V$13:V1002)/COUNTA(B$13:B1002)</f>
        <v>0</v>
      </c>
      <c r="Z1002" s="5"/>
      <c r="AA1002" s="5"/>
      <c r="AC1002" s="7"/>
      <c r="AE1002" s="54" t="e">
        <f t="shared" si="127"/>
        <v>#N/A</v>
      </c>
      <c r="AF1002" s="4" t="e">
        <f t="shared" si="123"/>
        <v>#N/A</v>
      </c>
    </row>
    <row r="1003" spans="2:32">
      <c r="B1003" s="5">
        <f t="shared" si="128"/>
        <v>991</v>
      </c>
      <c r="C1003" s="5"/>
      <c r="E1003" s="13"/>
      <c r="F1003" s="5"/>
      <c r="G1003" s="11" t="str">
        <f>IF(ISERROR(AVERAGE(F$13:F1003)),"n/a",AVERAGE(F$13:F1003))</f>
        <v>n/a</v>
      </c>
      <c r="H1003" s="11" t="str">
        <f t="shared" si="124"/>
        <v>n/a</v>
      </c>
      <c r="J1003" s="5"/>
      <c r="K1003" s="5"/>
      <c r="L1003" s="5"/>
      <c r="M1003" s="5"/>
      <c r="N1003" s="5"/>
      <c r="O1003" s="8" t="str">
        <f t="shared" si="122"/>
        <v>n/a</v>
      </c>
      <c r="Q1003" s="5"/>
      <c r="R1003" s="5"/>
      <c r="S1003" s="5"/>
      <c r="U1003" s="6"/>
      <c r="V1003" s="9" t="str">
        <f t="shared" si="125"/>
        <v/>
      </c>
      <c r="W1003" s="9" t="str">
        <f t="shared" si="126"/>
        <v/>
      </c>
      <c r="X1003" s="10">
        <f>SUM(V$13:V1003)/COUNTA(B$13:B1003)</f>
        <v>0</v>
      </c>
      <c r="Z1003" s="5"/>
      <c r="AA1003" s="5"/>
      <c r="AC1003" s="7"/>
      <c r="AE1003" s="54" t="e">
        <f t="shared" si="127"/>
        <v>#N/A</v>
      </c>
      <c r="AF1003" s="4" t="e">
        <f t="shared" si="123"/>
        <v>#N/A</v>
      </c>
    </row>
    <row r="1004" spans="2:32">
      <c r="B1004" s="5">
        <f t="shared" si="128"/>
        <v>992</v>
      </c>
      <c r="C1004" s="5"/>
      <c r="E1004" s="13"/>
      <c r="F1004" s="5"/>
      <c r="G1004" s="11" t="str">
        <f>IF(ISERROR(AVERAGE(F$13:F1004)),"n/a",AVERAGE(F$13:F1004))</f>
        <v>n/a</v>
      </c>
      <c r="H1004" s="11" t="str">
        <f t="shared" si="124"/>
        <v>n/a</v>
      </c>
      <c r="J1004" s="5"/>
      <c r="K1004" s="5"/>
      <c r="L1004" s="5"/>
      <c r="M1004" s="5"/>
      <c r="N1004" s="5"/>
      <c r="O1004" s="8" t="str">
        <f t="shared" si="122"/>
        <v>n/a</v>
      </c>
      <c r="Q1004" s="5"/>
      <c r="R1004" s="5"/>
      <c r="S1004" s="5"/>
      <c r="U1004" s="6"/>
      <c r="V1004" s="9" t="str">
        <f t="shared" si="125"/>
        <v/>
      </c>
      <c r="W1004" s="9" t="str">
        <f t="shared" si="126"/>
        <v/>
      </c>
      <c r="X1004" s="10">
        <f>SUM(V$13:V1004)/COUNTA(B$13:B1004)</f>
        <v>0</v>
      </c>
      <c r="Z1004" s="5"/>
      <c r="AA1004" s="5"/>
      <c r="AC1004" s="7"/>
      <c r="AE1004" s="54" t="e">
        <f t="shared" si="127"/>
        <v>#N/A</v>
      </c>
      <c r="AF1004" s="4" t="e">
        <f t="shared" si="123"/>
        <v>#N/A</v>
      </c>
    </row>
    <row r="1005" spans="2:32">
      <c r="B1005" s="5">
        <f t="shared" si="128"/>
        <v>993</v>
      </c>
      <c r="C1005" s="5"/>
      <c r="E1005" s="13"/>
      <c r="F1005" s="5"/>
      <c r="G1005" s="11" t="str">
        <f>IF(ISERROR(AVERAGE(F$13:F1005)),"n/a",AVERAGE(F$13:F1005))</f>
        <v>n/a</v>
      </c>
      <c r="H1005" s="11" t="str">
        <f t="shared" si="124"/>
        <v>n/a</v>
      </c>
      <c r="J1005" s="5"/>
      <c r="K1005" s="5"/>
      <c r="L1005" s="5"/>
      <c r="M1005" s="5"/>
      <c r="N1005" s="5"/>
      <c r="O1005" s="8" t="str">
        <f t="shared" si="122"/>
        <v>n/a</v>
      </c>
      <c r="Q1005" s="5"/>
      <c r="R1005" s="5"/>
      <c r="S1005" s="5"/>
      <c r="U1005" s="6"/>
      <c r="V1005" s="9" t="str">
        <f t="shared" si="125"/>
        <v/>
      </c>
      <c r="W1005" s="9" t="str">
        <f t="shared" si="126"/>
        <v/>
      </c>
      <c r="X1005" s="10">
        <f>SUM(V$13:V1005)/COUNTA(B$13:B1005)</f>
        <v>0</v>
      </c>
      <c r="Z1005" s="5"/>
      <c r="AA1005" s="5"/>
      <c r="AC1005" s="7"/>
      <c r="AE1005" s="54" t="e">
        <f t="shared" si="127"/>
        <v>#N/A</v>
      </c>
      <c r="AF1005" s="4" t="e">
        <f t="shared" si="123"/>
        <v>#N/A</v>
      </c>
    </row>
    <row r="1006" spans="2:32">
      <c r="B1006" s="5">
        <f t="shared" si="128"/>
        <v>994</v>
      </c>
      <c r="C1006" s="5"/>
      <c r="E1006" s="13"/>
      <c r="F1006" s="5"/>
      <c r="G1006" s="11" t="str">
        <f>IF(ISERROR(AVERAGE(F$13:F1006)),"n/a",AVERAGE(F$13:F1006))</f>
        <v>n/a</v>
      </c>
      <c r="H1006" s="11" t="str">
        <f t="shared" si="124"/>
        <v>n/a</v>
      </c>
      <c r="J1006" s="5"/>
      <c r="K1006" s="5"/>
      <c r="L1006" s="5"/>
      <c r="M1006" s="5"/>
      <c r="N1006" s="5"/>
      <c r="O1006" s="8" t="str">
        <f t="shared" si="122"/>
        <v>n/a</v>
      </c>
      <c r="Q1006" s="5"/>
      <c r="R1006" s="5"/>
      <c r="S1006" s="5"/>
      <c r="U1006" s="6"/>
      <c r="V1006" s="9" t="str">
        <f t="shared" si="125"/>
        <v/>
      </c>
      <c r="W1006" s="9" t="str">
        <f t="shared" si="126"/>
        <v/>
      </c>
      <c r="X1006" s="10">
        <f>SUM(V$13:V1006)/COUNTA(B$13:B1006)</f>
        <v>0</v>
      </c>
      <c r="Z1006" s="5"/>
      <c r="AA1006" s="5"/>
      <c r="AC1006" s="7"/>
      <c r="AE1006" s="54" t="e">
        <f t="shared" si="127"/>
        <v>#N/A</v>
      </c>
      <c r="AF1006" s="4" t="e">
        <f t="shared" si="123"/>
        <v>#N/A</v>
      </c>
    </row>
    <row r="1007" spans="2:32">
      <c r="B1007" s="5">
        <f t="shared" si="128"/>
        <v>995</v>
      </c>
      <c r="C1007" s="5"/>
      <c r="E1007" s="13"/>
      <c r="F1007" s="5"/>
      <c r="G1007" s="11" t="str">
        <f>IF(ISERROR(AVERAGE(F$13:F1007)),"n/a",AVERAGE(F$13:F1007))</f>
        <v>n/a</v>
      </c>
      <c r="H1007" s="11" t="str">
        <f t="shared" si="124"/>
        <v>n/a</v>
      </c>
      <c r="J1007" s="5"/>
      <c r="K1007" s="5"/>
      <c r="L1007" s="5"/>
      <c r="M1007" s="5"/>
      <c r="N1007" s="5"/>
      <c r="O1007" s="8" t="str">
        <f t="shared" si="122"/>
        <v>n/a</v>
      </c>
      <c r="Q1007" s="5"/>
      <c r="R1007" s="5"/>
      <c r="S1007" s="5"/>
      <c r="U1007" s="6"/>
      <c r="V1007" s="9" t="str">
        <f t="shared" si="125"/>
        <v/>
      </c>
      <c r="W1007" s="9" t="str">
        <f t="shared" si="126"/>
        <v/>
      </c>
      <c r="X1007" s="10">
        <f>SUM(V$13:V1007)/COUNTA(B$13:B1007)</f>
        <v>0</v>
      </c>
      <c r="Z1007" s="5"/>
      <c r="AA1007" s="5"/>
      <c r="AC1007" s="7"/>
      <c r="AE1007" s="54" t="e">
        <f t="shared" si="127"/>
        <v>#N/A</v>
      </c>
      <c r="AF1007" s="4" t="e">
        <f t="shared" si="123"/>
        <v>#N/A</v>
      </c>
    </row>
    <row r="1008" spans="2:32">
      <c r="B1008" s="5">
        <f t="shared" si="128"/>
        <v>996</v>
      </c>
      <c r="C1008" s="5"/>
      <c r="E1008" s="13"/>
      <c r="F1008" s="5"/>
      <c r="G1008" s="11" t="str">
        <f>IF(ISERROR(AVERAGE(F$13:F1008)),"n/a",AVERAGE(F$13:F1008))</f>
        <v>n/a</v>
      </c>
      <c r="H1008" s="11" t="str">
        <f t="shared" si="124"/>
        <v>n/a</v>
      </c>
      <c r="J1008" s="5"/>
      <c r="K1008" s="5"/>
      <c r="L1008" s="5"/>
      <c r="M1008" s="5"/>
      <c r="N1008" s="5"/>
      <c r="O1008" s="8" t="str">
        <f t="shared" si="122"/>
        <v>n/a</v>
      </c>
      <c r="Q1008" s="5"/>
      <c r="R1008" s="5"/>
      <c r="S1008" s="5"/>
      <c r="U1008" s="6"/>
      <c r="V1008" s="9" t="str">
        <f t="shared" si="125"/>
        <v/>
      </c>
      <c r="W1008" s="9" t="str">
        <f t="shared" si="126"/>
        <v/>
      </c>
      <c r="X1008" s="10">
        <f>SUM(V$13:V1008)/COUNTA(B$13:B1008)</f>
        <v>0</v>
      </c>
      <c r="Z1008" s="5"/>
      <c r="AA1008" s="5"/>
      <c r="AC1008" s="7"/>
      <c r="AE1008" s="54" t="e">
        <f t="shared" si="127"/>
        <v>#N/A</v>
      </c>
      <c r="AF1008" s="4" t="e">
        <f t="shared" si="123"/>
        <v>#N/A</v>
      </c>
    </row>
    <row r="1009" spans="2:32">
      <c r="B1009" s="5">
        <f t="shared" si="128"/>
        <v>997</v>
      </c>
      <c r="C1009" s="5"/>
      <c r="E1009" s="13"/>
      <c r="F1009" s="5"/>
      <c r="G1009" s="11" t="str">
        <f>IF(ISERROR(AVERAGE(F$13:F1009)),"n/a",AVERAGE(F$13:F1009))</f>
        <v>n/a</v>
      </c>
      <c r="H1009" s="11" t="str">
        <f t="shared" si="124"/>
        <v>n/a</v>
      </c>
      <c r="J1009" s="5"/>
      <c r="K1009" s="5"/>
      <c r="L1009" s="5"/>
      <c r="M1009" s="5"/>
      <c r="N1009" s="5"/>
      <c r="O1009" s="8" t="str">
        <f>IF(J1009=1,"A",IF(K1009=1,"B",IF(L1009=1,"C",IF(M1009=1,"D",IF(N1009=1,"E","n/a")))))</f>
        <v>n/a</v>
      </c>
      <c r="Q1009" s="5"/>
      <c r="R1009" s="5"/>
      <c r="S1009" s="5"/>
      <c r="U1009" s="6"/>
      <c r="V1009" s="9" t="str">
        <f t="shared" si="125"/>
        <v/>
      </c>
      <c r="W1009" s="9" t="str">
        <f t="shared" si="126"/>
        <v/>
      </c>
      <c r="X1009" s="10">
        <f>SUM(V$13:V1009)/COUNTA(B$13:B1009)</f>
        <v>0</v>
      </c>
      <c r="Z1009" s="5"/>
      <c r="AA1009" s="5"/>
      <c r="AC1009" s="7"/>
      <c r="AE1009" s="54" t="e">
        <f t="shared" si="127"/>
        <v>#N/A</v>
      </c>
      <c r="AF1009" s="4" t="e">
        <f t="shared" si="123"/>
        <v>#N/A</v>
      </c>
    </row>
    <row r="1010" spans="2:32">
      <c r="B1010" s="5">
        <f t="shared" si="128"/>
        <v>998</v>
      </c>
      <c r="C1010" s="5"/>
      <c r="E1010" s="13"/>
      <c r="F1010" s="5"/>
      <c r="G1010" s="11" t="str">
        <f>IF(ISERROR(AVERAGE(F$13:F1010)),"n/a",AVERAGE(F$13:F1010))</f>
        <v>n/a</v>
      </c>
      <c r="H1010" s="11" t="str">
        <f t="shared" si="124"/>
        <v>n/a</v>
      </c>
      <c r="J1010" s="5"/>
      <c r="K1010" s="5"/>
      <c r="L1010" s="5"/>
      <c r="M1010" s="5"/>
      <c r="N1010" s="5"/>
      <c r="O1010" s="8" t="str">
        <f>IF(J1010=1,"A",IF(K1010=1,"B",IF(L1010=1,"C",IF(M1010=1,"D",IF(N1010=1,"E","n/a")))))</f>
        <v>n/a</v>
      </c>
      <c r="Q1010" s="5"/>
      <c r="R1010" s="5"/>
      <c r="S1010" s="5"/>
      <c r="U1010" s="6"/>
      <c r="V1010" s="9" t="str">
        <f t="shared" si="125"/>
        <v/>
      </c>
      <c r="W1010" s="9" t="str">
        <f t="shared" si="126"/>
        <v/>
      </c>
      <c r="X1010" s="10">
        <f>SUM(V$13:V1010)/COUNTA(B$13:B1010)</f>
        <v>0</v>
      </c>
      <c r="Z1010" s="5"/>
      <c r="AA1010" s="5"/>
      <c r="AC1010" s="7"/>
      <c r="AE1010" s="54" t="e">
        <f t="shared" si="127"/>
        <v>#N/A</v>
      </c>
      <c r="AF1010" s="4" t="e">
        <f t="shared" si="123"/>
        <v>#N/A</v>
      </c>
    </row>
    <row r="1011" spans="2:32">
      <c r="B1011" s="5">
        <f t="shared" si="128"/>
        <v>999</v>
      </c>
      <c r="C1011" s="5"/>
      <c r="E1011" s="13"/>
      <c r="F1011" s="5"/>
      <c r="G1011" s="11" t="str">
        <f>IF(ISERROR(AVERAGE(F$13:F1011)),"n/a",AVERAGE(F$13:F1011))</f>
        <v>n/a</v>
      </c>
      <c r="H1011" s="11" t="str">
        <f t="shared" si="124"/>
        <v>n/a</v>
      </c>
      <c r="J1011" s="5"/>
      <c r="K1011" s="5"/>
      <c r="L1011" s="5"/>
      <c r="M1011" s="5"/>
      <c r="N1011" s="5"/>
      <c r="O1011" s="8" t="str">
        <f>IF(J1011=1,"A",IF(K1011=1,"B",IF(L1011=1,"C",IF(M1011=1,"D",IF(N1011=1,"E","n/a")))))</f>
        <v>n/a</v>
      </c>
      <c r="Q1011" s="5"/>
      <c r="R1011" s="5"/>
      <c r="S1011" s="5"/>
      <c r="U1011" s="6"/>
      <c r="V1011" s="9" t="str">
        <f t="shared" si="125"/>
        <v/>
      </c>
      <c r="W1011" s="9" t="str">
        <f t="shared" si="126"/>
        <v/>
      </c>
      <c r="X1011" s="10">
        <f>SUM(V$13:V1011)/COUNTA(B$13:B1011)</f>
        <v>0</v>
      </c>
      <c r="Z1011" s="5"/>
      <c r="AA1011" s="5"/>
      <c r="AC1011" s="7"/>
      <c r="AE1011" s="54" t="e">
        <f t="shared" si="127"/>
        <v>#N/A</v>
      </c>
      <c r="AF1011" s="4" t="e">
        <f t="shared" si="123"/>
        <v>#N/A</v>
      </c>
    </row>
    <row r="1012" spans="2:32">
      <c r="B1012" s="5">
        <f t="shared" si="128"/>
        <v>1000</v>
      </c>
      <c r="C1012" s="5"/>
      <c r="E1012" s="13"/>
      <c r="F1012" s="5"/>
      <c r="G1012" s="11" t="str">
        <f>IF(ISERROR(AVERAGE(F$13:F1012)),"n/a",AVERAGE(F$13:F1012))</f>
        <v>n/a</v>
      </c>
      <c r="H1012" s="11" t="str">
        <f t="shared" si="124"/>
        <v>n/a</v>
      </c>
      <c r="J1012" s="5"/>
      <c r="K1012" s="5"/>
      <c r="L1012" s="5"/>
      <c r="M1012" s="5"/>
      <c r="N1012" s="5"/>
      <c r="O1012" s="8" t="str">
        <f>IF(J1012=1,"A",IF(K1012=1,"B",IF(L1012=1,"C",IF(M1012=1,"D",IF(N1012=1,"E","n/a")))))</f>
        <v>n/a</v>
      </c>
      <c r="Q1012" s="5"/>
      <c r="R1012" s="5"/>
      <c r="S1012" s="5"/>
      <c r="U1012" s="6"/>
      <c r="V1012" s="9" t="str">
        <f t="shared" si="125"/>
        <v/>
      </c>
      <c r="W1012" s="9" t="str">
        <f t="shared" si="126"/>
        <v/>
      </c>
      <c r="X1012" s="10">
        <f>SUM(V$13:V1012)/COUNTA(B$13:B1012)</f>
        <v>0</v>
      </c>
      <c r="Z1012" s="5"/>
      <c r="AA1012" s="5"/>
      <c r="AC1012" s="7"/>
      <c r="AE1012" s="54" t="e">
        <f t="shared" si="127"/>
        <v>#N/A</v>
      </c>
      <c r="AF1012" s="4" t="e">
        <f t="shared" si="123"/>
        <v>#N/A</v>
      </c>
    </row>
    <row r="1013" spans="2:32">
      <c r="E1013"/>
    </row>
    <row r="1014" spans="2:32" hidden="1" outlineLevel="1">
      <c r="B1014" s="1" t="s">
        <v>41</v>
      </c>
    </row>
    <row r="1015" spans="2:32" hidden="1" outlineLevel="1">
      <c r="B1015" s="2" t="s">
        <v>33</v>
      </c>
      <c r="C1015" s="4">
        <f>COUNTA(C13:$C$1012)</f>
        <v>0</v>
      </c>
      <c r="E1015" s="49" t="e">
        <f>F1015/60</f>
        <v>#VALUE!</v>
      </c>
      <c r="F1015" s="49" t="str">
        <f>IF(ISERROR(AVERAGE($F$13:$F$1012)),"n/a",AVERAGE($F$13:$F$1012))</f>
        <v>n/a</v>
      </c>
      <c r="Q1015" s="4">
        <f>SUM(Q13:Q1012)</f>
        <v>0</v>
      </c>
      <c r="R1015" s="4">
        <f>SUM(R13:R1012)</f>
        <v>0</v>
      </c>
      <c r="S1015" s="4">
        <f>SUM(S13:S1012)</f>
        <v>0</v>
      </c>
      <c r="V1015" s="4">
        <f>SUM(V13:V1012)</f>
        <v>0</v>
      </c>
      <c r="W1015" s="4">
        <f>SUM(W13:W1012)</f>
        <v>0</v>
      </c>
      <c r="Z1015" s="4">
        <f>SUM(Z13:Z1012)</f>
        <v>0</v>
      </c>
      <c r="AA1015" s="4">
        <f>SUM(AA13:AA1012)</f>
        <v>0</v>
      </c>
    </row>
    <row r="1016" spans="2:32" hidden="1" outlineLevel="1">
      <c r="F1016" s="50"/>
    </row>
    <row r="1017" spans="2:32" hidden="1" outlineLevel="1">
      <c r="B1017" s="2" t="s">
        <v>42</v>
      </c>
      <c r="C1017" s="4">
        <f>COUNTIF($C$13:$C$1012,$B1017)</f>
        <v>0</v>
      </c>
      <c r="E1017" s="49" t="e">
        <f>IF(F1017/60=0,"n/a",F1017/60)</f>
        <v>#VALUE!</v>
      </c>
      <c r="F1017" s="49" t="str">
        <f>IF(ISERROR(SUMIF($C$13:$C$1012,$B1017,$F$13:$F$1012)/C1017),"n/a",SUMIF($C$13:$C$1012,$B1017,$F$13:$F$1012)/C1017)</f>
        <v>n/a</v>
      </c>
      <c r="J1017" s="26" t="e">
        <f>C1017/$C$1015</f>
        <v>#DIV/0!</v>
      </c>
      <c r="K1017" s="26" t="e">
        <f>C1018/$C$1015</f>
        <v>#DIV/0!</v>
      </c>
      <c r="L1017" s="26" t="e">
        <f>C1019/$C$1015</f>
        <v>#DIV/0!</v>
      </c>
      <c r="M1017" s="26" t="e">
        <f>C1020/$C$1015</f>
        <v>#DIV/0!</v>
      </c>
      <c r="N1017" s="26" t="e">
        <f>C1021/$C$1015</f>
        <v>#DIV/0!</v>
      </c>
      <c r="Q1017" s="4">
        <f t="shared" ref="Q1017:S1021" si="129">SUMIF($C$13:$C$1012,$B1017,Q$13:Q$1012)</f>
        <v>0</v>
      </c>
      <c r="R1017" s="4">
        <f t="shared" si="129"/>
        <v>0</v>
      </c>
      <c r="S1017" s="4">
        <f t="shared" si="129"/>
        <v>0</v>
      </c>
      <c r="V1017" s="4">
        <f t="shared" ref="V1017:W1021" si="130">SUMIF($C$13:$C$1012,$B1017,V$13:V$1012)</f>
        <v>0</v>
      </c>
      <c r="W1017" s="4">
        <f t="shared" si="130"/>
        <v>0</v>
      </c>
      <c r="Z1017" s="4">
        <f t="shared" ref="Z1017:AA1021" si="131">SUMIF($C$13:$C$1012,$B1017,Z$13:Z$1012)</f>
        <v>0</v>
      </c>
      <c r="AA1017" s="4">
        <f t="shared" si="131"/>
        <v>0</v>
      </c>
    </row>
    <row r="1018" spans="2:32" hidden="1" outlineLevel="1">
      <c r="B1018" s="2" t="s">
        <v>43</v>
      </c>
      <c r="C1018" s="4">
        <f>COUNTIF($C$13:$C$1012,$B1018)</f>
        <v>0</v>
      </c>
      <c r="E1018" s="49" t="e">
        <f>IF(F1018/60=0,"n/a",F1018/60)</f>
        <v>#VALUE!</v>
      </c>
      <c r="F1018" s="49" t="str">
        <f>IF(ISERROR(SUMIF($C$13:$C$1012,$B1018,$F$13:$F$1012)/C1018),"n/a",SUMIF($C$13:$C$1012,$B1018,$F$13:$F$1012)/C1018)</f>
        <v>n/a</v>
      </c>
      <c r="Q1018" s="4">
        <f t="shared" si="129"/>
        <v>0</v>
      </c>
      <c r="R1018" s="4">
        <f t="shared" si="129"/>
        <v>0</v>
      </c>
      <c r="S1018" s="4">
        <f t="shared" si="129"/>
        <v>0</v>
      </c>
      <c r="V1018" s="4">
        <f t="shared" si="130"/>
        <v>0</v>
      </c>
      <c r="W1018" s="4">
        <f t="shared" si="130"/>
        <v>0</v>
      </c>
      <c r="Z1018" s="4">
        <f t="shared" si="131"/>
        <v>0</v>
      </c>
      <c r="AA1018" s="4">
        <f t="shared" si="131"/>
        <v>0</v>
      </c>
    </row>
    <row r="1019" spans="2:32" hidden="1" outlineLevel="1">
      <c r="B1019" s="2" t="s">
        <v>46</v>
      </c>
      <c r="C1019" s="4">
        <f>COUNTIF($C$13:$C$1012,$B1019)</f>
        <v>0</v>
      </c>
      <c r="E1019" s="49" t="e">
        <f>IF(F1019/60=0,"n/a",F1019/60)</f>
        <v>#VALUE!</v>
      </c>
      <c r="F1019" s="49" t="str">
        <f>IF(ISERROR(SUMIF($C$13:$C$1012,$B1019,$F$13:$F$1012)/C1019),"n/a",SUMIF($C$13:$C$1012,$B1019,$F$13:$F$1012)/C1019)</f>
        <v>n/a</v>
      </c>
      <c r="Q1019" s="4">
        <f t="shared" si="129"/>
        <v>0</v>
      </c>
      <c r="R1019" s="4">
        <f t="shared" si="129"/>
        <v>0</v>
      </c>
      <c r="S1019" s="4">
        <f t="shared" si="129"/>
        <v>0</v>
      </c>
      <c r="V1019" s="4">
        <f t="shared" si="130"/>
        <v>0</v>
      </c>
      <c r="W1019" s="4">
        <f t="shared" si="130"/>
        <v>0</v>
      </c>
      <c r="Z1019" s="4">
        <f t="shared" si="131"/>
        <v>0</v>
      </c>
      <c r="AA1019" s="4">
        <f t="shared" si="131"/>
        <v>0</v>
      </c>
    </row>
    <row r="1020" spans="2:32" hidden="1" outlineLevel="1">
      <c r="B1020" s="2" t="s">
        <v>44</v>
      </c>
      <c r="C1020" s="4">
        <f>COUNTIF($C$13:$C$1012,$B1020)</f>
        <v>0</v>
      </c>
      <c r="E1020" s="49" t="e">
        <f>IF(F1020/60=0,"n/a",F1020/60)</f>
        <v>#VALUE!</v>
      </c>
      <c r="F1020" s="49" t="str">
        <f>IF(ISERROR(SUMIF($C$13:$C$1012,$B1020,$F$13:$F$1012)/C1020),"n/a",SUMIF($C$13:$C$1012,$B1020,$F$13:$F$1012)/C1020)</f>
        <v>n/a</v>
      </c>
      <c r="Q1020" s="4">
        <f t="shared" si="129"/>
        <v>0</v>
      </c>
      <c r="R1020" s="4">
        <f t="shared" si="129"/>
        <v>0</v>
      </c>
      <c r="S1020" s="4">
        <f t="shared" si="129"/>
        <v>0</v>
      </c>
      <c r="V1020" s="4">
        <f t="shared" si="130"/>
        <v>0</v>
      </c>
      <c r="W1020" s="4">
        <f t="shared" si="130"/>
        <v>0</v>
      </c>
      <c r="Z1020" s="4">
        <f t="shared" si="131"/>
        <v>0</v>
      </c>
      <c r="AA1020" s="4">
        <f t="shared" si="131"/>
        <v>0</v>
      </c>
    </row>
    <row r="1021" spans="2:32" hidden="1" outlineLevel="1">
      <c r="B1021" s="2" t="s">
        <v>45</v>
      </c>
      <c r="C1021" s="4">
        <f>COUNTIF($C$13:$C$1012,$B1021)</f>
        <v>0</v>
      </c>
      <c r="E1021" s="49" t="e">
        <f>IF(F1021/60=0,"n/a",F1021/60)</f>
        <v>#VALUE!</v>
      </c>
      <c r="F1021" s="49" t="str">
        <f>IF(ISERROR(SUMIF($C$13:$C$1012,$B1021,$F$13:$F$1012)/C1021),"n/a",SUMIF($C$13:$C$1012,$B1021,$F$13:$F$1012)/C1021)</f>
        <v>n/a</v>
      </c>
      <c r="Q1021" s="4">
        <f t="shared" si="129"/>
        <v>0</v>
      </c>
      <c r="R1021" s="4">
        <f t="shared" si="129"/>
        <v>0</v>
      </c>
      <c r="S1021" s="4">
        <f t="shared" si="129"/>
        <v>0</v>
      </c>
      <c r="V1021" s="4">
        <f t="shared" si="130"/>
        <v>0</v>
      </c>
      <c r="W1021" s="4">
        <f t="shared" si="130"/>
        <v>0</v>
      </c>
      <c r="Z1021" s="4">
        <f t="shared" si="131"/>
        <v>0</v>
      </c>
      <c r="AA1021" s="4">
        <f t="shared" si="131"/>
        <v>0</v>
      </c>
    </row>
    <row r="1022" spans="2:32" hidden="1" outlineLevel="1">
      <c r="E1022" s="3" t="s">
        <v>49</v>
      </c>
      <c r="F1022" s="3" t="s">
        <v>50</v>
      </c>
    </row>
    <row r="1023" spans="2:32" hidden="1" outlineLevel="1">
      <c r="B1023" s="2" t="s">
        <v>33</v>
      </c>
      <c r="E1023" s="4" t="e">
        <f>LEFT(E1015,1)</f>
        <v>#VALUE!</v>
      </c>
      <c r="F1023" s="49" t="e">
        <f>(E1015-E1023)*60</f>
        <v>#VALUE!</v>
      </c>
    </row>
    <row r="1024" spans="2:32" hidden="1" outlineLevel="1">
      <c r="E1024" s="4"/>
      <c r="F1024" s="49"/>
    </row>
    <row r="1025" spans="2:6" hidden="1" outlineLevel="1">
      <c r="B1025" s="2" t="s">
        <v>42</v>
      </c>
      <c r="E1025" s="4" t="e">
        <f>LEFT(E1017,1)</f>
        <v>#VALUE!</v>
      </c>
      <c r="F1025" s="49" t="e">
        <f>(E1017-E1025)*60</f>
        <v>#VALUE!</v>
      </c>
    </row>
    <row r="1026" spans="2:6" hidden="1" outlineLevel="1">
      <c r="B1026" s="2" t="s">
        <v>43</v>
      </c>
      <c r="E1026" s="4" t="e">
        <f>LEFT(E1018,1)</f>
        <v>#VALUE!</v>
      </c>
      <c r="F1026" s="49" t="e">
        <f>(E1018-E1026)*60</f>
        <v>#VALUE!</v>
      </c>
    </row>
    <row r="1027" spans="2:6" hidden="1" outlineLevel="1">
      <c r="B1027" s="2" t="s">
        <v>46</v>
      </c>
      <c r="E1027" s="4" t="e">
        <f>LEFT(E1019,1)</f>
        <v>#VALUE!</v>
      </c>
      <c r="F1027" s="49" t="e">
        <f>(E1019-E1027)*60</f>
        <v>#VALUE!</v>
      </c>
    </row>
    <row r="1028" spans="2:6" hidden="1" outlineLevel="1">
      <c r="B1028" s="2" t="s">
        <v>44</v>
      </c>
      <c r="E1028" s="4" t="e">
        <f>LEFT(E1020,1)</f>
        <v>#VALUE!</v>
      </c>
      <c r="F1028" s="49" t="e">
        <f>(E1020-E1028)*60</f>
        <v>#VALUE!</v>
      </c>
    </row>
    <row r="1029" spans="2:6" hidden="1" outlineLevel="1">
      <c r="B1029" s="2" t="s">
        <v>45</v>
      </c>
      <c r="E1029" s="4" t="e">
        <f>LEFT(E1021,1)</f>
        <v>#VALUE!</v>
      </c>
      <c r="F1029" s="49" t="e">
        <f>(E1021-E1029)*60</f>
        <v>#VALUE!</v>
      </c>
    </row>
    <row r="1030" spans="2:6" hidden="1" outlineLevel="1"/>
    <row r="1031" spans="2:6" hidden="1" outlineLevel="1">
      <c r="B1031" s="58" t="s">
        <v>59</v>
      </c>
    </row>
    <row r="1032" spans="2:6" hidden="1" outlineLevel="1">
      <c r="B1032" s="51" t="s">
        <v>33</v>
      </c>
      <c r="E1032" s="59" t="e">
        <f>IF(F1032/60=0,"n/a",F1032/60)</f>
        <v>#VALUE!</v>
      </c>
      <c r="F1032" s="59" t="e">
        <f>IF(F1015=0,"n/a",F1015-$J$7)</f>
        <v>#VALUE!</v>
      </c>
    </row>
    <row r="1033" spans="2:6" hidden="1" outlineLevel="1">
      <c r="B1033" s="51"/>
    </row>
    <row r="1034" spans="2:6" hidden="1" outlineLevel="1">
      <c r="B1034" s="2" t="s">
        <v>42</v>
      </c>
      <c r="E1034" s="49" t="e">
        <f>IF(F1034/60=0,"n/a",F1034/60)</f>
        <v>#VALUE!</v>
      </c>
      <c r="F1034" s="49" t="e">
        <f>IF(F1017=0,"n/a",F1017-$K$7)</f>
        <v>#VALUE!</v>
      </c>
    </row>
    <row r="1035" spans="2:6" hidden="1" outlineLevel="1">
      <c r="B1035" s="2" t="s">
        <v>43</v>
      </c>
      <c r="E1035" s="49" t="e">
        <f>IF(F1035/60=0,"n/a",F1035/60)</f>
        <v>#VALUE!</v>
      </c>
      <c r="F1035" s="49" t="e">
        <f>IF(F1018=0,"n/a",F1018-$L$7)</f>
        <v>#VALUE!</v>
      </c>
    </row>
    <row r="1036" spans="2:6" hidden="1" outlineLevel="1">
      <c r="B1036" s="2" t="s">
        <v>46</v>
      </c>
      <c r="E1036" s="49" t="e">
        <f>IF(F1036/60=0,"n/a",F1036/60)</f>
        <v>#VALUE!</v>
      </c>
      <c r="F1036" s="49" t="e">
        <f>IF(F1019=0,"n/a",F1019-$M$7)</f>
        <v>#VALUE!</v>
      </c>
    </row>
    <row r="1037" spans="2:6" hidden="1" outlineLevel="1">
      <c r="B1037" s="2" t="s">
        <v>44</v>
      </c>
      <c r="E1037" s="49" t="e">
        <f>IF(F1037/60=0,"n/a",F1037/60)</f>
        <v>#VALUE!</v>
      </c>
      <c r="F1037" s="49" t="e">
        <f>IF(F1020=0,"n/a",F1020-$N$7)</f>
        <v>#VALUE!</v>
      </c>
    </row>
    <row r="1038" spans="2:6" hidden="1" outlineLevel="1">
      <c r="B1038" s="2" t="s">
        <v>45</v>
      </c>
      <c r="E1038" s="49" t="e">
        <f>IF(F1038/60=0,"n/a",F1038/60)</f>
        <v>#VALUE!</v>
      </c>
      <c r="F1038" s="49" t="e">
        <f>IF(F1021=0,"n/a",F1021-$O$7)</f>
        <v>#VALUE!</v>
      </c>
    </row>
    <row r="1039" spans="2:6" hidden="1" outlineLevel="1">
      <c r="E1039" s="3" t="s">
        <v>49</v>
      </c>
      <c r="F1039" s="3" t="s">
        <v>50</v>
      </c>
    </row>
    <row r="1040" spans="2:6" hidden="1" outlineLevel="1">
      <c r="B1040" s="51" t="s">
        <v>33</v>
      </c>
      <c r="E1040" s="4" t="e">
        <f>LEFT(ABS(E1032),1)</f>
        <v>#VALUE!</v>
      </c>
      <c r="F1040" s="49" t="e">
        <f>(ABS(E1032)-E1040)*60</f>
        <v>#VALUE!</v>
      </c>
    </row>
    <row r="1041" spans="2:6" hidden="1" outlineLevel="1">
      <c r="B1041" s="51"/>
      <c r="E1041" s="4"/>
      <c r="F1041" s="49"/>
    </row>
    <row r="1042" spans="2:6" hidden="1" outlineLevel="1">
      <c r="B1042" s="2" t="s">
        <v>42</v>
      </c>
      <c r="E1042" s="4" t="e">
        <f>LEFT(ABS(E1034),1)</f>
        <v>#VALUE!</v>
      </c>
      <c r="F1042" s="49" t="e">
        <f>(ABS(E1034)-E1042)*60</f>
        <v>#VALUE!</v>
      </c>
    </row>
    <row r="1043" spans="2:6" hidden="1" outlineLevel="1">
      <c r="B1043" s="2" t="s">
        <v>43</v>
      </c>
      <c r="E1043" s="4" t="e">
        <f>LEFT(ABS(E1035),1)</f>
        <v>#VALUE!</v>
      </c>
      <c r="F1043" s="49" t="e">
        <f>(ABS(E1035)-E1043)*60</f>
        <v>#VALUE!</v>
      </c>
    </row>
    <row r="1044" spans="2:6" hidden="1" outlineLevel="1">
      <c r="B1044" s="2" t="s">
        <v>46</v>
      </c>
      <c r="E1044" s="4" t="e">
        <f>LEFT(ABS(E1036),1)</f>
        <v>#VALUE!</v>
      </c>
      <c r="F1044" s="49" t="e">
        <f>(ABS(E1036)-E1044)*60</f>
        <v>#VALUE!</v>
      </c>
    </row>
    <row r="1045" spans="2:6" hidden="1" outlineLevel="1">
      <c r="B1045" s="2" t="s">
        <v>44</v>
      </c>
      <c r="E1045" s="4" t="e">
        <f>LEFT(ABS(E1037),1)</f>
        <v>#VALUE!</v>
      </c>
      <c r="F1045" s="49" t="e">
        <f>(ABS(E1037)-E1045)*60</f>
        <v>#VALUE!</v>
      </c>
    </row>
    <row r="1046" spans="2:6" hidden="1" outlineLevel="1">
      <c r="B1046" s="2" t="s">
        <v>45</v>
      </c>
      <c r="E1046" s="4" t="e">
        <f>LEFT(ABS(E1038),1)</f>
        <v>#VALUE!</v>
      </c>
      <c r="F1046" s="49" t="e">
        <f>(ABS(E1038)-E1046)*60</f>
        <v>#VALUE!</v>
      </c>
    </row>
    <row r="1047" spans="2:6" collapsed="1"/>
  </sheetData>
  <conditionalFormatting sqref="E13:H1012 C13:C1012 J13:O1012 Q13:S1012 Z13:AA1012 AC13:AC1012 U13:X1012">
    <cfRule type="expression" dxfId="9" priority="4" stopIfTrue="1">
      <formula>$AE13=1</formula>
    </cfRule>
    <cfRule type="expression" dxfId="8" priority="5" stopIfTrue="1">
      <formula>$AE13=2</formula>
    </cfRule>
  </conditionalFormatting>
  <conditionalFormatting sqref="B13:B1012">
    <cfRule type="expression" dxfId="7" priority="2" stopIfTrue="1">
      <formula>$AE13=1</formula>
    </cfRule>
    <cfRule type="expression" dxfId="6" priority="3" stopIfTrue="1">
      <formula>$AE13=2</formula>
    </cfRule>
  </conditionalFormatting>
  <conditionalFormatting sqref="BC18:BD18 BC22:BD22 BC25:BD25 BC28:BD28 BC31:BD31 BC34:BD35">
    <cfRule type="expression" dxfId="5" priority="1" stopIfTrue="1">
      <formula>$BF18="+"</formula>
    </cfRule>
  </conditionalFormatting>
  <dataValidations count="4">
    <dataValidation type="whole" allowBlank="1" showInputMessage="1" showErrorMessage="1" sqref="F8:F9 F4">
      <formula1>0</formula1>
      <formula2>1</formula2>
    </dataValidation>
    <dataValidation type="list" allowBlank="1" showInputMessage="1" showErrorMessage="1" sqref="C13:C1012">
      <formula1>"PS, DS, RC, CR, SC"</formula1>
    </dataValidation>
    <dataValidation type="list" allowBlank="1" showInputMessage="1" showErrorMessage="1" sqref="U13:U1012">
      <formula1>"A,B,C,D,E"</formula1>
    </dataValidation>
    <dataValidation type="whole" allowBlank="1" showInputMessage="1" showErrorMessage="1" sqref="Z13:AA1012 Q13:S1012 J13:N1012">
      <formula1>1</formula1>
      <formula2>1</formula2>
    </dataValidation>
  </dataValidations>
  <pageMargins left="0.5" right="0.5" top="0.5" bottom="0.5" header="0.5" footer="0.5"/>
  <pageSetup scale="72"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B1:BG1047"/>
  <sheetViews>
    <sheetView showGridLines="0" zoomScaleNormal="100" zoomScaleSheetLayoutView="115" workbookViewId="0">
      <pane xSplit="3" ySplit="12" topLeftCell="D13" activePane="bottomRight" state="frozen"/>
      <selection pane="topRight" activeCell="E1" sqref="E1"/>
      <selection pane="bottomLeft" activeCell="A12" sqref="A12"/>
      <selection pane="bottomRight" activeCell="D13" sqref="D13"/>
    </sheetView>
  </sheetViews>
  <sheetFormatPr defaultRowHeight="12.75" outlineLevelRow="1" outlineLevelCol="1"/>
  <cols>
    <col min="1" max="1" width="2.7109375" style="2" customWidth="1"/>
    <col min="2" max="2" width="10.7109375" style="2" customWidth="1"/>
    <col min="3" max="3" width="12.7109375" style="2" customWidth="1"/>
    <col min="4" max="4" width="1.7109375" customWidth="1"/>
    <col min="5" max="6" width="10.7109375" style="2" customWidth="1"/>
    <col min="7" max="8" width="10.7109375" style="2" hidden="1" customWidth="1" outlineLevel="1"/>
    <col min="9" max="9" width="1.7109375" customWidth="1" collapsed="1"/>
    <col min="10" max="15" width="4.7109375" style="2" customWidth="1"/>
    <col min="16" max="16" width="1.7109375" customWidth="1"/>
    <col min="17" max="19" width="10.7109375" style="2" customWidth="1"/>
    <col min="20" max="20" width="1.7109375" hidden="1" customWidth="1" outlineLevel="1"/>
    <col min="21" max="24" width="10.7109375" style="2" hidden="1" customWidth="1" outlineLevel="1"/>
    <col min="25" max="25" width="1.7109375" hidden="1" customWidth="1" outlineLevel="1"/>
    <col min="26" max="27" width="10.7109375" style="2" hidden="1" customWidth="1" outlineLevel="1"/>
    <col min="28" max="28" width="1.7109375" hidden="1" customWidth="1" outlineLevel="1"/>
    <col min="29" max="29" width="100.7109375" style="2" hidden="1" customWidth="1" outlineLevel="1"/>
    <col min="30" max="30" width="2.7109375" customWidth="1" collapsed="1"/>
    <col min="31" max="32" width="15.7109375" style="2" hidden="1" customWidth="1"/>
    <col min="33" max="42" width="10.7109375" style="2" customWidth="1"/>
    <col min="43" max="43" width="2.7109375" style="2" customWidth="1"/>
    <col min="44" max="45" width="10.7109375" style="2" customWidth="1"/>
    <col min="46" max="46" width="5.7109375" style="2" customWidth="1"/>
    <col min="47" max="56" width="9.7109375" style="2" customWidth="1"/>
    <col min="57" max="57" width="1.7109375" style="2" customWidth="1"/>
    <col min="58" max="59" width="9.140625" style="101"/>
    <col min="60" max="16384" width="9.140625" style="2"/>
  </cols>
  <sheetData>
    <row r="1" spans="2:59">
      <c r="E1"/>
    </row>
    <row r="2" spans="2:59" ht="25.5">
      <c r="B2" s="73" t="str">
        <f>"GMAT Error Log"&amp;" - "&amp;F5</f>
        <v>GMAT Error Log - Source 5</v>
      </c>
      <c r="C2" s="74"/>
      <c r="D2" s="74"/>
      <c r="E2" s="75"/>
      <c r="F2" s="76"/>
      <c r="G2" s="76"/>
      <c r="H2" s="76"/>
      <c r="I2" s="74"/>
      <c r="J2" s="76"/>
      <c r="K2" s="76"/>
      <c r="L2" s="76"/>
      <c r="M2" s="76"/>
      <c r="N2" s="76"/>
      <c r="O2" s="76"/>
      <c r="P2" s="74"/>
      <c r="Q2" s="76"/>
      <c r="R2" s="76"/>
      <c r="S2" s="76"/>
      <c r="T2" s="74"/>
      <c r="U2" s="76"/>
      <c r="V2" s="76"/>
      <c r="W2" s="76"/>
      <c r="X2" s="76"/>
      <c r="Y2" s="74"/>
      <c r="Z2" s="76"/>
      <c r="AA2" s="76"/>
      <c r="AB2" s="74"/>
      <c r="AC2" s="76"/>
      <c r="AS2" s="25"/>
      <c r="AT2" s="25"/>
      <c r="AU2" s="25"/>
      <c r="AV2" s="25"/>
      <c r="AW2" s="25"/>
      <c r="AX2" s="25"/>
      <c r="AY2" s="25"/>
      <c r="AZ2" s="25"/>
      <c r="BA2" s="25"/>
      <c r="BB2" s="25"/>
    </row>
    <row r="3" spans="2:59" ht="12.75" customHeight="1">
      <c r="B3" s="77"/>
      <c r="C3" s="78"/>
      <c r="D3" s="78"/>
      <c r="E3" s="79"/>
      <c r="F3" s="80"/>
      <c r="G3" s="79"/>
      <c r="H3" s="79"/>
      <c r="I3" s="78"/>
      <c r="J3" s="79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</row>
    <row r="4" spans="2:59" ht="12.75" customHeight="1">
      <c r="B4" s="55" t="s">
        <v>48</v>
      </c>
      <c r="C4" s="47"/>
      <c r="D4" s="47"/>
      <c r="E4" s="56"/>
      <c r="F4" s="57">
        <v>1</v>
      </c>
      <c r="G4" s="56"/>
      <c r="H4" s="56"/>
      <c r="I4" s="47"/>
      <c r="J4" s="5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31"/>
    </row>
    <row r="5" spans="2:59" ht="12.75" hidden="1" customHeight="1" outlineLevel="1">
      <c r="B5" s="16" t="s">
        <v>40</v>
      </c>
      <c r="C5" s="18"/>
      <c r="D5" s="18"/>
      <c r="E5" s="17"/>
      <c r="F5" s="27" t="s">
        <v>104</v>
      </c>
      <c r="G5" s="17"/>
      <c r="H5" s="17"/>
      <c r="I5" s="18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31"/>
    </row>
    <row r="6" spans="2:59" ht="12.75" hidden="1" customHeight="1" outlineLevel="1">
      <c r="B6" s="16" t="s">
        <v>25</v>
      </c>
      <c r="C6" s="18"/>
      <c r="D6" s="18"/>
      <c r="E6" s="17"/>
      <c r="F6" s="19"/>
      <c r="G6" s="17"/>
      <c r="H6" s="17"/>
      <c r="I6" s="18"/>
      <c r="J6" s="35" t="s">
        <v>58</v>
      </c>
      <c r="K6" s="35" t="s">
        <v>42</v>
      </c>
      <c r="L6" s="35" t="s">
        <v>43</v>
      </c>
      <c r="M6" s="35" t="s">
        <v>46</v>
      </c>
      <c r="N6" s="35" t="s">
        <v>44</v>
      </c>
      <c r="O6" s="35" t="s">
        <v>45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32"/>
    </row>
    <row r="7" spans="2:59" ht="12.75" hidden="1" customHeight="1" outlineLevel="1">
      <c r="B7" s="20" t="s">
        <v>26</v>
      </c>
      <c r="C7" s="15"/>
      <c r="D7" s="15"/>
      <c r="E7" s="14"/>
      <c r="F7" s="28"/>
      <c r="G7" s="14"/>
      <c r="H7" s="14"/>
      <c r="I7" s="15"/>
      <c r="J7" s="39" t="str">
        <f>IF(ISERROR(SUMPRODUCT(K7:O7,J1017:N1017)),"n/a",SUMPRODUCT(K7:O7,J1017:N1017))</f>
        <v>n/a</v>
      </c>
      <c r="K7" s="36">
        <f>'Source_Input (1)'!K7</f>
        <v>120</v>
      </c>
      <c r="L7" s="36">
        <f>'Source_Input (1)'!L7</f>
        <v>120</v>
      </c>
      <c r="M7" s="36">
        <f>'Source_Input (1)'!M7</f>
        <v>120</v>
      </c>
      <c r="N7" s="36">
        <f>'Source_Input (1)'!N7</f>
        <v>120</v>
      </c>
      <c r="O7" s="36">
        <f>'Source_Input (1)'!O7</f>
        <v>120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33"/>
    </row>
    <row r="8" spans="2:59" ht="12.75" hidden="1" customHeight="1" outlineLevel="1">
      <c r="B8" s="20" t="s">
        <v>27</v>
      </c>
      <c r="C8" s="15"/>
      <c r="D8" s="15"/>
      <c r="E8" s="14"/>
      <c r="F8" s="29">
        <f>'Source_Input (1)'!F8</f>
        <v>1</v>
      </c>
      <c r="G8" s="14"/>
      <c r="H8" s="14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33"/>
    </row>
    <row r="9" spans="2:59" ht="12.75" hidden="1" customHeight="1" outlineLevel="1">
      <c r="B9" s="21" t="s">
        <v>28</v>
      </c>
      <c r="C9" s="23"/>
      <c r="D9" s="23"/>
      <c r="E9" s="22"/>
      <c r="F9" s="30">
        <f>'Source_Input (1)'!F9</f>
        <v>1</v>
      </c>
      <c r="G9" s="22"/>
      <c r="H9" s="22"/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34"/>
    </row>
    <row r="10" spans="2:59" ht="12.75" customHeight="1" collapsed="1">
      <c r="B10" s="1"/>
      <c r="C10" s="12"/>
      <c r="E10"/>
      <c r="AE10" s="52" t="s">
        <v>55</v>
      </c>
      <c r="AF10" s="53"/>
      <c r="AS10" s="1"/>
      <c r="AT10" s="1"/>
      <c r="AV10" s="24"/>
      <c r="AW10" s="24"/>
      <c r="AX10" s="24"/>
    </row>
    <row r="11" spans="2:59" ht="26.45" customHeight="1">
      <c r="B11" s="60" t="s">
        <v>21</v>
      </c>
      <c r="C11" s="61" t="s">
        <v>21</v>
      </c>
      <c r="E11" s="64"/>
      <c r="F11" s="65"/>
      <c r="G11" s="81" t="s">
        <v>24</v>
      </c>
      <c r="H11" s="81" t="s">
        <v>19</v>
      </c>
      <c r="J11" s="66" t="s">
        <v>14</v>
      </c>
      <c r="K11" s="67"/>
      <c r="L11" s="67"/>
      <c r="M11" s="68"/>
      <c r="N11" s="67"/>
      <c r="O11" s="69"/>
      <c r="Q11" s="66" t="s">
        <v>23</v>
      </c>
      <c r="R11" s="67"/>
      <c r="S11" s="69"/>
      <c r="U11" s="66" t="s">
        <v>8</v>
      </c>
      <c r="V11" s="67"/>
      <c r="W11" s="67"/>
      <c r="X11" s="69"/>
      <c r="Z11" s="66" t="s">
        <v>15</v>
      </c>
      <c r="AA11" s="69"/>
      <c r="AC11" s="82"/>
      <c r="AE11" s="3" t="s">
        <v>53</v>
      </c>
      <c r="AF11" s="3" t="s">
        <v>51</v>
      </c>
      <c r="AR11" s="73" t="str">
        <f>F5&amp;" Performance Report"</f>
        <v>Source 5 Performance Report</v>
      </c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</row>
    <row r="12" spans="2:59" s="1" customFormat="1">
      <c r="B12" s="62" t="s">
        <v>20</v>
      </c>
      <c r="C12" s="63" t="s">
        <v>22</v>
      </c>
      <c r="D12"/>
      <c r="E12" s="62" t="s">
        <v>18</v>
      </c>
      <c r="F12" s="63" t="s">
        <v>7</v>
      </c>
      <c r="G12" s="81" t="s">
        <v>7</v>
      </c>
      <c r="H12" s="81" t="s">
        <v>7</v>
      </c>
      <c r="I12"/>
      <c r="J12" s="70" t="s">
        <v>9</v>
      </c>
      <c r="K12" s="71" t="s">
        <v>10</v>
      </c>
      <c r="L12" s="71" t="s">
        <v>11</v>
      </c>
      <c r="M12" s="71" t="s">
        <v>12</v>
      </c>
      <c r="N12" s="71" t="s">
        <v>13</v>
      </c>
      <c r="O12" s="72"/>
      <c r="P12"/>
      <c r="Q12" s="70" t="s">
        <v>0</v>
      </c>
      <c r="R12" s="71" t="s">
        <v>2</v>
      </c>
      <c r="S12" s="72" t="s">
        <v>1</v>
      </c>
      <c r="T12"/>
      <c r="U12" s="70" t="s">
        <v>16</v>
      </c>
      <c r="V12" s="71" t="s">
        <v>3</v>
      </c>
      <c r="W12" s="71" t="s">
        <v>4</v>
      </c>
      <c r="X12" s="72" t="s">
        <v>17</v>
      </c>
      <c r="Y12"/>
      <c r="Z12" s="70" t="s">
        <v>5</v>
      </c>
      <c r="AA12" s="72" t="s">
        <v>6</v>
      </c>
      <c r="AB12"/>
      <c r="AC12" s="83" t="s">
        <v>29</v>
      </c>
      <c r="AD12"/>
      <c r="AE12" s="3" t="s">
        <v>54</v>
      </c>
      <c r="AF12" s="3" t="s">
        <v>52</v>
      </c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F12" s="112"/>
      <c r="BG12" s="112"/>
    </row>
    <row r="13" spans="2:59">
      <c r="B13" s="5">
        <v>1</v>
      </c>
      <c r="C13" s="5"/>
      <c r="E13" s="13"/>
      <c r="F13" s="5"/>
      <c r="G13" s="11" t="str">
        <f>IF(ISERROR(AVERAGE(F$13:F13)),"n/a",AVERAGE(F$13:F13))</f>
        <v>n/a</v>
      </c>
      <c r="H13" s="11" t="str">
        <f>G13</f>
        <v>n/a</v>
      </c>
      <c r="I13" s="111" t="s">
        <v>101</v>
      </c>
      <c r="J13" s="5"/>
      <c r="K13" s="5"/>
      <c r="L13" s="5"/>
      <c r="M13" s="5"/>
      <c r="N13" s="5"/>
      <c r="O13" s="8" t="str">
        <f t="shared" ref="O13:O76" si="0">IF(J13=1,"A",IF(K13=1,"B",IF(L13=1,"C",IF(M13=1,"D",IF(N13=1,"E","n/a")))))</f>
        <v>n/a</v>
      </c>
      <c r="Q13" s="5"/>
      <c r="R13" s="5"/>
      <c r="S13" s="5"/>
      <c r="U13" s="6"/>
      <c r="V13" s="9" t="str">
        <f>IF(O13="n/a","",IF(O13=U13,1,""))</f>
        <v/>
      </c>
      <c r="W13" s="9" t="str">
        <f>IF(O13="n/a","",IF(O13&lt;&gt;U13,1,""))</f>
        <v/>
      </c>
      <c r="X13" s="10">
        <f>SUM(V$13:V13)/COUNTA(B$13:B13)</f>
        <v>0</v>
      </c>
      <c r="Z13" s="5"/>
      <c r="AA13" s="5"/>
      <c r="AC13" s="7"/>
      <c r="AE13" s="54" t="e">
        <f>+IF($F$4=0,0,IF(W13=1,1,IF(OR(R13*$F$8=1,S13*$F$9=1,F13&gt;=AF13),2,0)))</f>
        <v>#N/A</v>
      </c>
      <c r="AF13" s="4" t="e">
        <f t="shared" ref="AF13:AF76" si="1">HLOOKUP(C13,$K$6:$O$7,2,FALSE)</f>
        <v>#N/A</v>
      </c>
    </row>
    <row r="14" spans="2:59">
      <c r="B14" s="5">
        <f>+B13+1</f>
        <v>2</v>
      </c>
      <c r="C14" s="5"/>
      <c r="E14" s="13"/>
      <c r="F14" s="5"/>
      <c r="G14" s="11" t="str">
        <f>IF(ISERROR(AVERAGE(F$13:F14)),"n/a",AVERAGE(F$13:F14))</f>
        <v>n/a</v>
      </c>
      <c r="H14" s="11" t="str">
        <f t="shared" ref="H14:H77" si="2">G14</f>
        <v>n/a</v>
      </c>
      <c r="J14" s="5"/>
      <c r="K14" s="5"/>
      <c r="L14" s="5"/>
      <c r="M14" s="5"/>
      <c r="N14" s="5"/>
      <c r="O14" s="8" t="str">
        <f t="shared" si="0"/>
        <v>n/a</v>
      </c>
      <c r="Q14" s="5"/>
      <c r="R14" s="5"/>
      <c r="S14" s="5"/>
      <c r="U14" s="6"/>
      <c r="V14" s="9" t="str">
        <f t="shared" ref="V14:V77" si="3">IF(O14="n/a","",IF(O14=U14,1,""))</f>
        <v/>
      </c>
      <c r="W14" s="9" t="str">
        <f t="shared" ref="W14:W77" si="4">IF(O14="n/a","",IF(O14&lt;&gt;U14,1,""))</f>
        <v/>
      </c>
      <c r="X14" s="10">
        <f>SUM(V$13:V14)/COUNTA(B$13:B14)</f>
        <v>0</v>
      </c>
      <c r="Z14" s="5"/>
      <c r="AA14" s="5"/>
      <c r="AC14" s="7"/>
      <c r="AE14" s="54" t="e">
        <f t="shared" ref="AE14:AE77" si="5">+IF($F$4=0,0,IF(W14=1,1,IF(OR(R14*$F$8=1,S14*$F$9=1,F14&gt;=AF14),2,0)))</f>
        <v>#N/A</v>
      </c>
      <c r="AF14" s="4" t="e">
        <f t="shared" si="1"/>
        <v>#N/A</v>
      </c>
      <c r="AR14" s="2" t="s">
        <v>30</v>
      </c>
      <c r="AS14" s="1"/>
      <c r="AT14" s="1"/>
      <c r="AU14" s="24">
        <f ca="1">NOW()</f>
        <v>40134.633314467595</v>
      </c>
    </row>
    <row r="15" spans="2:59">
      <c r="B15" s="5">
        <f>+B14+1</f>
        <v>3</v>
      </c>
      <c r="C15" s="5"/>
      <c r="E15" s="13"/>
      <c r="F15" s="5"/>
      <c r="G15" s="11" t="str">
        <f>IF(ISERROR(AVERAGE(F$13:F15)),"n/a",AVERAGE(F$13:F15))</f>
        <v>n/a</v>
      </c>
      <c r="H15" s="11" t="str">
        <f t="shared" si="2"/>
        <v>n/a</v>
      </c>
      <c r="J15" s="5"/>
      <c r="K15" s="5"/>
      <c r="L15" s="5"/>
      <c r="M15" s="5"/>
      <c r="N15" s="5"/>
      <c r="O15" s="8" t="str">
        <f t="shared" si="0"/>
        <v>n/a</v>
      </c>
      <c r="Q15" s="5"/>
      <c r="R15" s="5"/>
      <c r="S15" s="5"/>
      <c r="U15" s="6"/>
      <c r="V15" s="9" t="str">
        <f t="shared" si="3"/>
        <v/>
      </c>
      <c r="W15" s="9" t="str">
        <f t="shared" si="4"/>
        <v/>
      </c>
      <c r="X15" s="10">
        <f>SUM(V$13:V15)/COUNTA(B$13:B15)</f>
        <v>0</v>
      </c>
      <c r="Z15" s="5"/>
      <c r="AA15" s="5"/>
      <c r="AC15" s="7"/>
      <c r="AE15" s="54" t="e">
        <f t="shared" si="5"/>
        <v>#N/A</v>
      </c>
      <c r="AF15" s="4" t="e">
        <f t="shared" si="1"/>
        <v>#N/A</v>
      </c>
    </row>
    <row r="16" spans="2:59">
      <c r="B16" s="5">
        <f>+B15+1</f>
        <v>4</v>
      </c>
      <c r="C16" s="5"/>
      <c r="E16" s="13"/>
      <c r="F16" s="5"/>
      <c r="G16" s="11" t="str">
        <f>IF(ISERROR(AVERAGE(F$13:F16)),"n/a",AVERAGE(F$13:F16))</f>
        <v>n/a</v>
      </c>
      <c r="H16" s="11" t="str">
        <f t="shared" si="2"/>
        <v>n/a</v>
      </c>
      <c r="J16" s="5"/>
      <c r="K16" s="5"/>
      <c r="L16" s="5"/>
      <c r="M16" s="5"/>
      <c r="N16" s="5"/>
      <c r="O16" s="8" t="str">
        <f t="shared" si="0"/>
        <v>n/a</v>
      </c>
      <c r="Q16" s="5"/>
      <c r="R16" s="5"/>
      <c r="S16" s="5"/>
      <c r="U16" s="6"/>
      <c r="V16" s="9" t="str">
        <f t="shared" si="3"/>
        <v/>
      </c>
      <c r="W16" s="9" t="str">
        <f t="shared" si="4"/>
        <v/>
      </c>
      <c r="X16" s="10">
        <f>SUM(V$13:V16)/COUNTA(B$13:B16)</f>
        <v>0</v>
      </c>
      <c r="Z16" s="5"/>
      <c r="AA16" s="5"/>
      <c r="AC16" s="7"/>
      <c r="AE16" s="54" t="e">
        <f t="shared" si="5"/>
        <v>#N/A</v>
      </c>
      <c r="AF16" s="4" t="e">
        <f t="shared" si="1"/>
        <v>#N/A</v>
      </c>
    </row>
    <row r="17" spans="2:58">
      <c r="B17" s="5">
        <f>+B16+1</f>
        <v>5</v>
      </c>
      <c r="C17" s="5"/>
      <c r="E17" s="13"/>
      <c r="F17" s="5"/>
      <c r="G17" s="11" t="str">
        <f>IF(ISERROR(AVERAGE(F$13:F17)),"n/a",AVERAGE(F$13:F17))</f>
        <v>n/a</v>
      </c>
      <c r="H17" s="11" t="str">
        <f t="shared" si="2"/>
        <v>n/a</v>
      </c>
      <c r="J17" s="5"/>
      <c r="K17" s="5"/>
      <c r="L17" s="5"/>
      <c r="M17" s="5"/>
      <c r="N17" s="5"/>
      <c r="O17" s="8" t="str">
        <f t="shared" si="0"/>
        <v>n/a</v>
      </c>
      <c r="Q17" s="5"/>
      <c r="R17" s="5"/>
      <c r="S17" s="5"/>
      <c r="U17" s="6"/>
      <c r="V17" s="9" t="str">
        <f t="shared" si="3"/>
        <v/>
      </c>
      <c r="W17" s="9" t="str">
        <f t="shared" si="4"/>
        <v/>
      </c>
      <c r="X17" s="10">
        <f>SUM(V$13:V17)/COUNTA(B$13:B17)</f>
        <v>0</v>
      </c>
      <c r="Z17" s="5"/>
      <c r="AA17" s="5"/>
      <c r="AC17" s="7"/>
      <c r="AE17" s="54" t="e">
        <f t="shared" si="5"/>
        <v>#N/A</v>
      </c>
      <c r="AF17" s="4" t="e">
        <f t="shared" si="1"/>
        <v>#N/A</v>
      </c>
      <c r="AR17" s="40"/>
      <c r="AS17" s="41"/>
      <c r="AT17" s="42"/>
      <c r="AU17" s="88" t="s">
        <v>3</v>
      </c>
      <c r="AV17" s="89" t="s">
        <v>0</v>
      </c>
      <c r="AW17" s="90" t="s">
        <v>2</v>
      </c>
      <c r="AX17" s="91" t="s">
        <v>1</v>
      </c>
      <c r="AY17" s="88" t="s">
        <v>4</v>
      </c>
      <c r="AZ17" s="89" t="s">
        <v>5</v>
      </c>
      <c r="BA17" s="91" t="s">
        <v>47</v>
      </c>
      <c r="BB17" s="88" t="s">
        <v>31</v>
      </c>
      <c r="BC17" s="88" t="s">
        <v>32</v>
      </c>
      <c r="BD17" s="88" t="s">
        <v>56</v>
      </c>
    </row>
    <row r="18" spans="2:58">
      <c r="B18" s="5">
        <f>+B17+1</f>
        <v>6</v>
      </c>
      <c r="C18" s="5"/>
      <c r="E18" s="13"/>
      <c r="F18" s="5"/>
      <c r="G18" s="11" t="str">
        <f>IF(ISERROR(AVERAGE(F$13:F18)),"n/a",AVERAGE(F$13:F18))</f>
        <v>n/a</v>
      </c>
      <c r="H18" s="11" t="str">
        <f t="shared" si="2"/>
        <v>n/a</v>
      </c>
      <c r="J18" s="5"/>
      <c r="K18" s="5"/>
      <c r="L18" s="5"/>
      <c r="M18" s="5"/>
      <c r="N18" s="5"/>
      <c r="O18" s="8" t="str">
        <f t="shared" si="0"/>
        <v>n/a</v>
      </c>
      <c r="Q18" s="5"/>
      <c r="R18" s="5"/>
      <c r="S18" s="5"/>
      <c r="U18" s="6"/>
      <c r="V18" s="9" t="str">
        <f t="shared" si="3"/>
        <v/>
      </c>
      <c r="W18" s="9" t="str">
        <f t="shared" si="4"/>
        <v/>
      </c>
      <c r="X18" s="10">
        <f>SUM(V$13:V18)/COUNTA(B$13:B18)</f>
        <v>0</v>
      </c>
      <c r="Z18" s="5"/>
      <c r="AA18" s="5"/>
      <c r="AC18" s="7"/>
      <c r="AE18" s="54" t="e">
        <f t="shared" si="5"/>
        <v>#N/A</v>
      </c>
      <c r="AF18" s="4" t="e">
        <f t="shared" si="1"/>
        <v>#N/A</v>
      </c>
      <c r="AR18" s="43" t="s">
        <v>39</v>
      </c>
      <c r="AS18" s="37"/>
      <c r="AT18" s="44"/>
      <c r="AU18" s="92">
        <f>V1015</f>
        <v>0</v>
      </c>
      <c r="AV18" s="38">
        <f>Q1015</f>
        <v>0</v>
      </c>
      <c r="AW18" s="38">
        <f>R1015</f>
        <v>0</v>
      </c>
      <c r="AX18" s="38">
        <f>S1015</f>
        <v>0</v>
      </c>
      <c r="AY18" s="92">
        <f>W1015</f>
        <v>0</v>
      </c>
      <c r="AZ18" s="38">
        <f>Z1015</f>
        <v>0</v>
      </c>
      <c r="BA18" s="38">
        <f>AA1015</f>
        <v>0</v>
      </c>
      <c r="BB18" s="95" t="str">
        <f>IF(ISERROR(AU18/(AU18+AY18)),"n/a",AU18/(AU18+AY18))</f>
        <v>n/a</v>
      </c>
      <c r="BC18" s="96" t="str">
        <f>IF(ISERROR(TEXT($E$1023,"00")&amp;":"&amp;TEXT($F$1023,"00")),"n/a",TEXT($E$1023,"00")&amp;":"&amp;TEXT($F$1023,"00"))</f>
        <v>n/a</v>
      </c>
      <c r="BD18" s="96" t="str">
        <f>IF(ISERROR(BF18&amp;TEXT($E$1040,"00")&amp;":"&amp;TEXT($F$1040,"00")),"n/a",BF18&amp;TEXT($E$1040,"00")&amp;":"&amp;TEXT($F$1040,"00"))</f>
        <v>n/a</v>
      </c>
      <c r="BF18" s="113" t="e">
        <f>IF(F1032&lt;0,"-","+")</f>
        <v>#VALUE!</v>
      </c>
    </row>
    <row r="19" spans="2:58">
      <c r="B19" s="5">
        <f t="shared" ref="B19:B82" si="6">+B18+1</f>
        <v>7</v>
      </c>
      <c r="C19" s="5"/>
      <c r="E19" s="13"/>
      <c r="F19" s="5"/>
      <c r="G19" s="11" t="str">
        <f>IF(ISERROR(AVERAGE(F$13:F19)),"n/a",AVERAGE(F$13:F19))</f>
        <v>n/a</v>
      </c>
      <c r="H19" s="11" t="str">
        <f t="shared" si="2"/>
        <v>n/a</v>
      </c>
      <c r="J19" s="5"/>
      <c r="K19" s="5"/>
      <c r="L19" s="5"/>
      <c r="M19" s="5"/>
      <c r="N19" s="5"/>
      <c r="O19" s="8" t="str">
        <f t="shared" si="0"/>
        <v>n/a</v>
      </c>
      <c r="Q19" s="5"/>
      <c r="R19" s="5"/>
      <c r="S19" s="5"/>
      <c r="U19" s="6"/>
      <c r="V19" s="9" t="str">
        <f t="shared" si="3"/>
        <v/>
      </c>
      <c r="W19" s="9" t="str">
        <f t="shared" si="4"/>
        <v/>
      </c>
      <c r="X19" s="10">
        <f>SUM(V$13:V19)/COUNTA(B$13:B19)</f>
        <v>0</v>
      </c>
      <c r="Z19" s="5"/>
      <c r="AA19" s="5"/>
      <c r="AC19" s="7"/>
      <c r="AE19" s="54" t="e">
        <f t="shared" si="5"/>
        <v>#N/A</v>
      </c>
      <c r="AF19" s="4" t="e">
        <f t="shared" si="1"/>
        <v>#N/A</v>
      </c>
      <c r="AR19" s="43"/>
      <c r="AS19" s="37"/>
      <c r="AT19" s="44"/>
      <c r="AU19" s="93"/>
      <c r="AV19" s="102" t="str">
        <f>+IF(ISERROR(AV18/SUM($AU$18,$AY$18)),"n/a",AV18/SUM($AU$18,$AY$18))</f>
        <v>n/a</v>
      </c>
      <c r="AW19" s="102" t="str">
        <f t="shared" ref="AW19:AX19" si="7">+IF(ISERROR(AW18/SUM($AU$18,$AY$18)),"n/a",AW18/SUM($AU$18,$AY$18))</f>
        <v>n/a</v>
      </c>
      <c r="AX19" s="102" t="str">
        <f t="shared" si="7"/>
        <v>n/a</v>
      </c>
      <c r="AY19" s="93"/>
      <c r="AZ19" s="102" t="str">
        <f>+IF(ISERROR(AZ18/$AY$18),"n/a",AZ18/$AY$18)</f>
        <v>n/a</v>
      </c>
      <c r="BA19" s="102" t="str">
        <f t="shared" ref="BA19" si="8">+IF(ISERROR(BA18/$AY$18),"n/a",BA18/$AY$18)</f>
        <v>n/a</v>
      </c>
      <c r="BB19" s="93"/>
      <c r="BC19" s="97"/>
      <c r="BD19" s="97"/>
      <c r="BF19" s="113"/>
    </row>
    <row r="20" spans="2:58">
      <c r="B20" s="5">
        <f t="shared" si="6"/>
        <v>8</v>
      </c>
      <c r="C20" s="5"/>
      <c r="E20" s="13"/>
      <c r="F20" s="5"/>
      <c r="G20" s="11" t="str">
        <f>IF(ISERROR(AVERAGE(F$13:F20)),"n/a",AVERAGE(F$13:F20))</f>
        <v>n/a</v>
      </c>
      <c r="H20" s="11" t="str">
        <f>G20</f>
        <v>n/a</v>
      </c>
      <c r="J20" s="5"/>
      <c r="K20" s="5"/>
      <c r="L20" s="5"/>
      <c r="M20" s="5"/>
      <c r="N20" s="5"/>
      <c r="O20" s="8" t="str">
        <f t="shared" si="0"/>
        <v>n/a</v>
      </c>
      <c r="Q20" s="5"/>
      <c r="R20" s="5"/>
      <c r="S20" s="5"/>
      <c r="U20" s="6"/>
      <c r="V20" s="9" t="str">
        <f>IF(O20="n/a","",IF(O20=U20,1,""))</f>
        <v/>
      </c>
      <c r="W20" s="9" t="str">
        <f>IF(O20="n/a","",IF(O20&lt;&gt;U20,1,""))</f>
        <v/>
      </c>
      <c r="X20" s="10">
        <f>SUM(V$13:V20)/COUNTA(B$13:B20)</f>
        <v>0</v>
      </c>
      <c r="Z20" s="5"/>
      <c r="AA20" s="5"/>
      <c r="AC20" s="7"/>
      <c r="AE20" s="54" t="e">
        <f t="shared" si="5"/>
        <v>#N/A</v>
      </c>
      <c r="AF20" s="4" t="e">
        <f t="shared" si="1"/>
        <v>#N/A</v>
      </c>
      <c r="AR20" s="45" t="s">
        <v>57</v>
      </c>
      <c r="AS20" s="37"/>
      <c r="AT20" s="44"/>
      <c r="AU20" s="93"/>
      <c r="AV20" s="37"/>
      <c r="AW20" s="37"/>
      <c r="AX20" s="37"/>
      <c r="AY20" s="93"/>
      <c r="AZ20" s="37"/>
      <c r="BA20" s="37"/>
      <c r="BB20" s="93"/>
      <c r="BC20" s="97"/>
      <c r="BD20" s="97"/>
      <c r="BF20" s="113"/>
    </row>
    <row r="21" spans="2:58">
      <c r="B21" s="5">
        <f t="shared" si="6"/>
        <v>9</v>
      </c>
      <c r="C21" s="5"/>
      <c r="E21" s="13"/>
      <c r="F21" s="5"/>
      <c r="G21" s="11" t="str">
        <f>IF(ISERROR(AVERAGE(F$13:F21)),"n/a",AVERAGE(F$13:F21))</f>
        <v>n/a</v>
      </c>
      <c r="H21" s="11" t="str">
        <f t="shared" si="2"/>
        <v>n/a</v>
      </c>
      <c r="J21" s="5"/>
      <c r="K21" s="5"/>
      <c r="L21" s="5"/>
      <c r="M21" s="5"/>
      <c r="N21" s="5"/>
      <c r="O21" s="8" t="str">
        <f t="shared" si="0"/>
        <v>n/a</v>
      </c>
      <c r="Q21" s="5"/>
      <c r="R21" s="5"/>
      <c r="S21" s="5"/>
      <c r="U21" s="6"/>
      <c r="V21" s="9" t="str">
        <f t="shared" ref="V21:V26" si="9">IF(O21="n/a","",IF(O21=U21,1,""))</f>
        <v/>
      </c>
      <c r="W21" s="9" t="str">
        <f t="shared" ref="W21:W26" si="10">IF(O21="n/a","",IF(O21&lt;&gt;U21,1,""))</f>
        <v/>
      </c>
      <c r="X21" s="10">
        <f>SUM(V$13:V21)/COUNTA(B$13:B21)</f>
        <v>0</v>
      </c>
      <c r="Z21" s="5"/>
      <c r="AA21" s="5"/>
      <c r="AC21" s="7"/>
      <c r="AE21" s="54" t="e">
        <f t="shared" si="5"/>
        <v>#N/A</v>
      </c>
      <c r="AF21" s="4" t="e">
        <f t="shared" si="1"/>
        <v>#N/A</v>
      </c>
      <c r="AR21" s="43"/>
      <c r="AS21" s="37"/>
      <c r="AT21" s="44"/>
      <c r="AU21" s="93"/>
      <c r="AV21" s="37"/>
      <c r="AW21" s="37"/>
      <c r="AX21" s="37"/>
      <c r="AY21" s="93"/>
      <c r="AZ21" s="37"/>
      <c r="BA21" s="37"/>
      <c r="BB21" s="93"/>
      <c r="BC21" s="97"/>
      <c r="BD21" s="97"/>
      <c r="BF21" s="113"/>
    </row>
    <row r="22" spans="2:58">
      <c r="B22" s="5">
        <f t="shared" si="6"/>
        <v>10</v>
      </c>
      <c r="C22" s="5"/>
      <c r="E22" s="13"/>
      <c r="F22" s="5"/>
      <c r="G22" s="11" t="str">
        <f>IF(ISERROR(AVERAGE(F$13:F22)),"n/a",AVERAGE(F$13:F22))</f>
        <v>n/a</v>
      </c>
      <c r="H22" s="11" t="str">
        <f t="shared" si="2"/>
        <v>n/a</v>
      </c>
      <c r="J22" s="5"/>
      <c r="K22" s="5"/>
      <c r="L22" s="5"/>
      <c r="M22" s="5"/>
      <c r="N22" s="5"/>
      <c r="O22" s="8" t="str">
        <f t="shared" si="0"/>
        <v>n/a</v>
      </c>
      <c r="Q22" s="5"/>
      <c r="R22" s="5"/>
      <c r="S22" s="5"/>
      <c r="U22" s="6"/>
      <c r="V22" s="9" t="str">
        <f t="shared" si="9"/>
        <v/>
      </c>
      <c r="W22" s="9" t="str">
        <f t="shared" si="10"/>
        <v/>
      </c>
      <c r="X22" s="10">
        <f>SUM(V$13:V22)/COUNTA(B$13:B22)</f>
        <v>0</v>
      </c>
      <c r="Z22" s="5"/>
      <c r="AA22" s="5"/>
      <c r="AC22" s="7"/>
      <c r="AE22" s="54" t="e">
        <f t="shared" si="5"/>
        <v>#N/A</v>
      </c>
      <c r="AF22" s="4" t="e">
        <f t="shared" si="1"/>
        <v>#N/A</v>
      </c>
      <c r="AR22" s="46" t="s">
        <v>34</v>
      </c>
      <c r="AS22" s="37"/>
      <c r="AT22" s="44"/>
      <c r="AU22" s="92">
        <f>V1017</f>
        <v>0</v>
      </c>
      <c r="AV22" s="38">
        <f>Q1017</f>
        <v>0</v>
      </c>
      <c r="AW22" s="38">
        <f>R1017</f>
        <v>0</v>
      </c>
      <c r="AX22" s="38">
        <f>S1017</f>
        <v>0</v>
      </c>
      <c r="AY22" s="92">
        <f>$W$1017</f>
        <v>0</v>
      </c>
      <c r="AZ22" s="38">
        <f>Z1017</f>
        <v>0</v>
      </c>
      <c r="BA22" s="38">
        <f>AA1017</f>
        <v>0</v>
      </c>
      <c r="BB22" s="95" t="str">
        <f>IF(ISERROR(AU22/(AU22+AY22)),"n/a",AU22/(AU22+AY22))</f>
        <v>n/a</v>
      </c>
      <c r="BC22" s="96" t="str">
        <f>IF(ISERROR(TEXT($E$1025,"00")&amp;":"&amp;TEXT($F$1025,"00")),"n/a",TEXT($E$1025,"00")&amp;":"&amp;TEXT($F$1025,"00"))</f>
        <v>n/a</v>
      </c>
      <c r="BD22" s="96" t="str">
        <f>IF(ISERROR(BF22&amp;TEXT($E$1042,"00")&amp;":"&amp;TEXT($F$1042,"00")),"n/a",BF22&amp;TEXT($E$1042,"00")&amp;":"&amp;TEXT($F$1042,"00"))</f>
        <v>n/a</v>
      </c>
      <c r="BF22" s="113" t="e">
        <f>IF(F1034&lt;0,"-","+")</f>
        <v>#VALUE!</v>
      </c>
    </row>
    <row r="23" spans="2:58">
      <c r="B23" s="5">
        <f t="shared" si="6"/>
        <v>11</v>
      </c>
      <c r="C23" s="5"/>
      <c r="E23" s="13"/>
      <c r="F23" s="5"/>
      <c r="G23" s="11" t="str">
        <f>IF(ISERROR(AVERAGE(F$13:F23)),"n/a",AVERAGE(F$13:F23))</f>
        <v>n/a</v>
      </c>
      <c r="H23" s="11" t="str">
        <f t="shared" si="2"/>
        <v>n/a</v>
      </c>
      <c r="J23" s="5"/>
      <c r="K23" s="5"/>
      <c r="L23" s="5"/>
      <c r="M23" s="5"/>
      <c r="N23" s="5"/>
      <c r="O23" s="8" t="str">
        <f t="shared" si="0"/>
        <v>n/a</v>
      </c>
      <c r="Q23" s="5"/>
      <c r="R23" s="5"/>
      <c r="S23" s="5"/>
      <c r="U23" s="6"/>
      <c r="V23" s="9" t="str">
        <f t="shared" si="9"/>
        <v/>
      </c>
      <c r="W23" s="9" t="str">
        <f t="shared" si="10"/>
        <v/>
      </c>
      <c r="X23" s="10">
        <f>SUM(V$13:V23)/COUNTA(B$13:B23)</f>
        <v>0</v>
      </c>
      <c r="Z23" s="5"/>
      <c r="AA23" s="5"/>
      <c r="AC23" s="7"/>
      <c r="AE23" s="54" t="e">
        <f t="shared" si="5"/>
        <v>#N/A</v>
      </c>
      <c r="AF23" s="4" t="e">
        <f t="shared" si="1"/>
        <v>#N/A</v>
      </c>
      <c r="AR23" s="46"/>
      <c r="AS23" s="37"/>
      <c r="AT23" s="44"/>
      <c r="AU23" s="93"/>
      <c r="AV23" s="102" t="str">
        <f>+IF(ISERROR(AV22/SUM($AU$22,$AY$22)),"n/a",AV22/SUM($AU$22,$AY$22))</f>
        <v>n/a</v>
      </c>
      <c r="AW23" s="102" t="str">
        <f t="shared" ref="AW23:AX23" si="11">+IF(ISERROR(AW22/SUM($AU$22,$AY$22)),"n/a",AW22/SUM($AU$22,$AY$22))</f>
        <v>n/a</v>
      </c>
      <c r="AX23" s="102" t="str">
        <f t="shared" si="11"/>
        <v>n/a</v>
      </c>
      <c r="AY23" s="93"/>
      <c r="AZ23" s="102" t="str">
        <f>+IF(ISERROR(AZ22/$AY$22),"n/a",AZ22/$AY$22)</f>
        <v>n/a</v>
      </c>
      <c r="BA23" s="102" t="str">
        <f>+IF(ISERROR(BA22/$AY$22),"n/a",BA22/$AY$22)</f>
        <v>n/a</v>
      </c>
      <c r="BB23" s="93"/>
      <c r="BC23" s="97"/>
      <c r="BD23" s="97"/>
      <c r="BF23" s="113"/>
    </row>
    <row r="24" spans="2:58">
      <c r="B24" s="5">
        <f t="shared" si="6"/>
        <v>12</v>
      </c>
      <c r="C24" s="5"/>
      <c r="E24" s="13"/>
      <c r="F24" s="5"/>
      <c r="G24" s="11" t="str">
        <f>IF(ISERROR(AVERAGE(F$13:F24)),"n/a",AVERAGE(F$13:F24))</f>
        <v>n/a</v>
      </c>
      <c r="H24" s="11" t="str">
        <f t="shared" si="2"/>
        <v>n/a</v>
      </c>
      <c r="J24" s="5"/>
      <c r="K24" s="5"/>
      <c r="L24" s="5"/>
      <c r="M24" s="5"/>
      <c r="N24" s="5"/>
      <c r="O24" s="8" t="str">
        <f t="shared" si="0"/>
        <v>n/a</v>
      </c>
      <c r="Q24" s="5"/>
      <c r="R24" s="5"/>
      <c r="S24" s="5"/>
      <c r="U24" s="6"/>
      <c r="V24" s="9" t="str">
        <f t="shared" si="9"/>
        <v/>
      </c>
      <c r="W24" s="9" t="str">
        <f t="shared" si="10"/>
        <v/>
      </c>
      <c r="X24" s="10">
        <f>SUM(V$13:V24)/COUNTA(B$13:B24)</f>
        <v>0</v>
      </c>
      <c r="Z24" s="5"/>
      <c r="AA24" s="5"/>
      <c r="AC24" s="7"/>
      <c r="AE24" s="54" t="e">
        <f t="shared" si="5"/>
        <v>#N/A</v>
      </c>
      <c r="AF24" s="4" t="e">
        <f t="shared" si="1"/>
        <v>#N/A</v>
      </c>
      <c r="AR24" s="46"/>
      <c r="AS24" s="37"/>
      <c r="AT24" s="44"/>
      <c r="AU24" s="93"/>
      <c r="AV24" s="37"/>
      <c r="AW24" s="37"/>
      <c r="AX24" s="37"/>
      <c r="AY24" s="93"/>
      <c r="AZ24" s="37"/>
      <c r="BA24" s="37"/>
      <c r="BB24" s="93"/>
      <c r="BC24" s="97"/>
      <c r="BD24" s="97"/>
      <c r="BF24" s="113"/>
    </row>
    <row r="25" spans="2:58">
      <c r="B25" s="5">
        <f t="shared" si="6"/>
        <v>13</v>
      </c>
      <c r="C25" s="5"/>
      <c r="E25" s="13"/>
      <c r="F25" s="5"/>
      <c r="G25" s="11" t="str">
        <f>IF(ISERROR(AVERAGE(F$13:F25)),"n/a",AVERAGE(F$13:F25))</f>
        <v>n/a</v>
      </c>
      <c r="H25" s="11" t="str">
        <f t="shared" si="2"/>
        <v>n/a</v>
      </c>
      <c r="J25" s="5"/>
      <c r="K25" s="5"/>
      <c r="L25" s="5"/>
      <c r="M25" s="5"/>
      <c r="N25" s="5"/>
      <c r="O25" s="8" t="str">
        <f t="shared" si="0"/>
        <v>n/a</v>
      </c>
      <c r="Q25" s="5"/>
      <c r="R25" s="5"/>
      <c r="S25" s="5"/>
      <c r="U25" s="6"/>
      <c r="V25" s="9" t="str">
        <f t="shared" si="9"/>
        <v/>
      </c>
      <c r="W25" s="9" t="str">
        <f t="shared" si="10"/>
        <v/>
      </c>
      <c r="X25" s="10">
        <f>SUM(V$13:V25)/COUNTA(B$13:B25)</f>
        <v>0</v>
      </c>
      <c r="Z25" s="5"/>
      <c r="AA25" s="5"/>
      <c r="AC25" s="7"/>
      <c r="AE25" s="54" t="e">
        <f t="shared" si="5"/>
        <v>#N/A</v>
      </c>
      <c r="AF25" s="4" t="e">
        <f t="shared" si="1"/>
        <v>#N/A</v>
      </c>
      <c r="AR25" s="46" t="s">
        <v>35</v>
      </c>
      <c r="AS25" s="37"/>
      <c r="AT25" s="44"/>
      <c r="AU25" s="92">
        <f>$V$1018</f>
        <v>0</v>
      </c>
      <c r="AV25" s="38">
        <f>Q1018</f>
        <v>0</v>
      </c>
      <c r="AW25" s="38">
        <f>R1018</f>
        <v>0</v>
      </c>
      <c r="AX25" s="38">
        <f>S1018</f>
        <v>0</v>
      </c>
      <c r="AY25" s="92">
        <f>$W$1018</f>
        <v>0</v>
      </c>
      <c r="AZ25" s="38">
        <f>Z1018</f>
        <v>0</v>
      </c>
      <c r="BA25" s="38">
        <f>AA1018</f>
        <v>0</v>
      </c>
      <c r="BB25" s="95" t="str">
        <f>IF(ISERROR(AU25/(AU25+AY25)),"n/a",AU25/(AU25+AY25))</f>
        <v>n/a</v>
      </c>
      <c r="BC25" s="96" t="str">
        <f>IF(ISERROR(TEXT($E$1026,"00")&amp;":"&amp;TEXT($F$1026,"00")),"n/a",TEXT($E$1026,"00")&amp;":"&amp;TEXT($F$1026,"00"))</f>
        <v>n/a</v>
      </c>
      <c r="BD25" s="96" t="str">
        <f>IF(ISERROR(BF25&amp;TEXT($E$1043,"00")&amp;":"&amp;TEXT($F$1043,"00")),"n/a",BF25&amp;TEXT($E$1043,"00")&amp;":"&amp;TEXT($F$1043,"00"))</f>
        <v>n/a</v>
      </c>
      <c r="BF25" s="113" t="e">
        <f>IF(F1035&lt;0,"-","+")</f>
        <v>#VALUE!</v>
      </c>
    </row>
    <row r="26" spans="2:58">
      <c r="B26" s="5">
        <f t="shared" si="6"/>
        <v>14</v>
      </c>
      <c r="C26" s="5"/>
      <c r="E26" s="13"/>
      <c r="F26" s="5"/>
      <c r="G26" s="11" t="str">
        <f>IF(ISERROR(AVERAGE(F$13:F26)),"n/a",AVERAGE(F$13:F26))</f>
        <v>n/a</v>
      </c>
      <c r="H26" s="11" t="str">
        <f t="shared" si="2"/>
        <v>n/a</v>
      </c>
      <c r="J26" s="5"/>
      <c r="K26" s="5"/>
      <c r="L26" s="5"/>
      <c r="M26" s="5"/>
      <c r="N26" s="5"/>
      <c r="O26" s="8" t="str">
        <f t="shared" si="0"/>
        <v>n/a</v>
      </c>
      <c r="Q26" s="5"/>
      <c r="R26" s="5"/>
      <c r="S26" s="5"/>
      <c r="U26" s="6"/>
      <c r="V26" s="9" t="str">
        <f t="shared" si="9"/>
        <v/>
      </c>
      <c r="W26" s="9" t="str">
        <f t="shared" si="10"/>
        <v/>
      </c>
      <c r="X26" s="10">
        <f>SUM(V$13:V26)/COUNTA(B$13:B26)</f>
        <v>0</v>
      </c>
      <c r="Z26" s="5"/>
      <c r="AA26" s="5"/>
      <c r="AC26" s="7"/>
      <c r="AE26" s="54" t="e">
        <f t="shared" si="5"/>
        <v>#N/A</v>
      </c>
      <c r="AF26" s="4" t="e">
        <f t="shared" si="1"/>
        <v>#N/A</v>
      </c>
      <c r="AR26" s="46"/>
      <c r="AS26" s="37"/>
      <c r="AT26" s="44"/>
      <c r="AU26" s="93"/>
      <c r="AV26" s="102" t="str">
        <f>+IF(ISERROR(AV25/SUM($AU$25,$AY$25)),"n/a",AV25/SUM($AU$25,$AY$25))</f>
        <v>n/a</v>
      </c>
      <c r="AW26" s="102" t="str">
        <f t="shared" ref="AW26:AX26" si="12">+IF(ISERROR(AW25/SUM($AU$25,$AY$25)),"n/a",AW25/SUM($AU$25,$AY$25))</f>
        <v>n/a</v>
      </c>
      <c r="AX26" s="102" t="str">
        <f t="shared" si="12"/>
        <v>n/a</v>
      </c>
      <c r="AY26" s="93"/>
      <c r="AZ26" s="102" t="str">
        <f>+IF(ISERROR(AZ25/$AY$25),"n/a",AZ25/$AY$25)</f>
        <v>n/a</v>
      </c>
      <c r="BA26" s="102" t="str">
        <f>+IF(ISERROR(BA25/$AY$25),"n/a",BA25/$AY$25)</f>
        <v>n/a</v>
      </c>
      <c r="BB26" s="93"/>
      <c r="BC26" s="97"/>
      <c r="BD26" s="97"/>
      <c r="BF26" s="113"/>
    </row>
    <row r="27" spans="2:58">
      <c r="B27" s="5">
        <f t="shared" si="6"/>
        <v>15</v>
      </c>
      <c r="C27" s="5"/>
      <c r="E27" s="13"/>
      <c r="F27" s="5"/>
      <c r="G27" s="11" t="str">
        <f>IF(ISERROR(AVERAGE(F$13:F27)),"n/a",AVERAGE(F$13:F27))</f>
        <v>n/a</v>
      </c>
      <c r="H27" s="11" t="str">
        <f>G27</f>
        <v>n/a</v>
      </c>
      <c r="J27" s="5"/>
      <c r="K27" s="5"/>
      <c r="L27" s="5"/>
      <c r="M27" s="5"/>
      <c r="N27" s="5"/>
      <c r="O27" s="8" t="str">
        <f t="shared" si="0"/>
        <v>n/a</v>
      </c>
      <c r="Q27" s="5"/>
      <c r="R27" s="5"/>
      <c r="S27" s="5"/>
      <c r="U27" s="6"/>
      <c r="V27" s="9" t="str">
        <f>IF(O27="n/a","",IF(O27=U27,1,""))</f>
        <v/>
      </c>
      <c r="W27" s="9" t="str">
        <f>IF(O27="n/a","",IF(O27&lt;&gt;U27,1,""))</f>
        <v/>
      </c>
      <c r="X27" s="10">
        <f>SUM(V$13:V27)/COUNTA(B$13:B27)</f>
        <v>0</v>
      </c>
      <c r="Z27" s="5"/>
      <c r="AA27" s="5"/>
      <c r="AC27" s="7"/>
      <c r="AE27" s="54" t="e">
        <f t="shared" si="5"/>
        <v>#N/A</v>
      </c>
      <c r="AF27" s="4" t="e">
        <f t="shared" si="1"/>
        <v>#N/A</v>
      </c>
      <c r="AR27" s="46"/>
      <c r="AS27" s="37"/>
      <c r="AT27" s="44"/>
      <c r="AU27" s="93"/>
      <c r="AV27" s="37"/>
      <c r="AW27" s="37"/>
      <c r="AX27" s="37"/>
      <c r="AY27" s="93"/>
      <c r="AZ27" s="37"/>
      <c r="BA27" s="37"/>
      <c r="BB27" s="93"/>
      <c r="BC27" s="97"/>
      <c r="BD27" s="97"/>
      <c r="BF27" s="113"/>
    </row>
    <row r="28" spans="2:58">
      <c r="B28" s="5">
        <f t="shared" si="6"/>
        <v>16</v>
      </c>
      <c r="C28" s="5"/>
      <c r="E28" s="13"/>
      <c r="F28" s="5"/>
      <c r="G28" s="11" t="str">
        <f>IF(ISERROR(AVERAGE(F$13:F28)),"n/a",AVERAGE(F$13:F28))</f>
        <v>n/a</v>
      </c>
      <c r="H28" s="11" t="str">
        <f t="shared" si="2"/>
        <v>n/a</v>
      </c>
      <c r="J28" s="5"/>
      <c r="K28" s="5"/>
      <c r="L28" s="5"/>
      <c r="M28" s="5"/>
      <c r="N28" s="5"/>
      <c r="O28" s="8" t="str">
        <f t="shared" si="0"/>
        <v>n/a</v>
      </c>
      <c r="Q28" s="5"/>
      <c r="R28" s="5"/>
      <c r="S28" s="5"/>
      <c r="U28" s="6"/>
      <c r="V28" s="9" t="str">
        <f t="shared" ref="V28:V33" si="13">IF(O28="n/a","",IF(O28=U28,1,""))</f>
        <v/>
      </c>
      <c r="W28" s="9" t="str">
        <f t="shared" ref="W28:W33" si="14">IF(O28="n/a","",IF(O28&lt;&gt;U28,1,""))</f>
        <v/>
      </c>
      <c r="X28" s="10">
        <f>SUM(V$13:V28)/COUNTA(B$13:B28)</f>
        <v>0</v>
      </c>
      <c r="Z28" s="5"/>
      <c r="AA28" s="5"/>
      <c r="AC28" s="7"/>
      <c r="AE28" s="54" t="e">
        <f t="shared" si="5"/>
        <v>#N/A</v>
      </c>
      <c r="AF28" s="4" t="e">
        <f t="shared" si="1"/>
        <v>#N/A</v>
      </c>
      <c r="AR28" s="46" t="s">
        <v>36</v>
      </c>
      <c r="AS28" s="37"/>
      <c r="AT28" s="44"/>
      <c r="AU28" s="92">
        <f>$V$1019</f>
        <v>0</v>
      </c>
      <c r="AV28" s="38">
        <f>Q1019</f>
        <v>0</v>
      </c>
      <c r="AW28" s="38">
        <f>R1019</f>
        <v>0</v>
      </c>
      <c r="AX28" s="38">
        <f>S1019</f>
        <v>0</v>
      </c>
      <c r="AY28" s="92">
        <f>$W$1019</f>
        <v>0</v>
      </c>
      <c r="AZ28" s="38">
        <f>Z1019</f>
        <v>0</v>
      </c>
      <c r="BA28" s="38">
        <f>AA1019</f>
        <v>0</v>
      </c>
      <c r="BB28" s="95" t="str">
        <f>IF(ISERROR(AU28/(AU28+AY28)),"n/a",AU28/(AU28+AY28))</f>
        <v>n/a</v>
      </c>
      <c r="BC28" s="96" t="str">
        <f>IF(ISERROR(TEXT($E$1027,"00")&amp;":"&amp;TEXT($F$1027,"00")),"n/a",TEXT($E$1027,"00")&amp;":"&amp;TEXT($F$1027,"00"))</f>
        <v>n/a</v>
      </c>
      <c r="BD28" s="96" t="str">
        <f>IF(ISERROR(BF28&amp;TEXT($E$1044,"00")&amp;":"&amp;TEXT($F$1044,"00")),"n/a",BF28&amp;TEXT($E$1044,"00")&amp;":"&amp;TEXT($F$1044,"00"))</f>
        <v>n/a</v>
      </c>
      <c r="BF28" s="113" t="e">
        <f>IF(F1036&lt;0,"-","+")</f>
        <v>#VALUE!</v>
      </c>
    </row>
    <row r="29" spans="2:58">
      <c r="B29" s="5">
        <f t="shared" si="6"/>
        <v>17</v>
      </c>
      <c r="C29" s="5"/>
      <c r="E29" s="13"/>
      <c r="F29" s="5"/>
      <c r="G29" s="11" t="str">
        <f>IF(ISERROR(AVERAGE(F$13:F29)),"n/a",AVERAGE(F$13:F29))</f>
        <v>n/a</v>
      </c>
      <c r="H29" s="11" t="str">
        <f t="shared" si="2"/>
        <v>n/a</v>
      </c>
      <c r="J29" s="5"/>
      <c r="K29" s="5"/>
      <c r="L29" s="5"/>
      <c r="M29" s="5"/>
      <c r="N29" s="5"/>
      <c r="O29" s="8" t="str">
        <f t="shared" si="0"/>
        <v>n/a</v>
      </c>
      <c r="Q29" s="5"/>
      <c r="R29" s="5"/>
      <c r="S29" s="5"/>
      <c r="U29" s="6"/>
      <c r="V29" s="9" t="str">
        <f t="shared" si="13"/>
        <v/>
      </c>
      <c r="W29" s="9" t="str">
        <f t="shared" si="14"/>
        <v/>
      </c>
      <c r="X29" s="10">
        <f>SUM(V$13:V29)/COUNTA(B$13:B29)</f>
        <v>0</v>
      </c>
      <c r="Z29" s="5"/>
      <c r="AA29" s="5"/>
      <c r="AC29" s="7"/>
      <c r="AE29" s="54" t="e">
        <f t="shared" si="5"/>
        <v>#N/A</v>
      </c>
      <c r="AF29" s="4" t="e">
        <f t="shared" si="1"/>
        <v>#N/A</v>
      </c>
      <c r="AR29" s="46"/>
      <c r="AS29" s="37"/>
      <c r="AT29" s="44"/>
      <c r="AU29" s="93"/>
      <c r="AV29" s="102" t="str">
        <f>+IF(ISERROR(AV28/SUM($AU$28,$AY$28)),"n/a",AV28/SUM($AU$28,$AY$28))</f>
        <v>n/a</v>
      </c>
      <c r="AW29" s="102" t="str">
        <f t="shared" ref="AW29:AX29" si="15">+IF(ISERROR(AW28/SUM($AU$28,$AY$28)),"n/a",AW28/SUM($AU$28,$AY$28))</f>
        <v>n/a</v>
      </c>
      <c r="AX29" s="102" t="str">
        <f t="shared" si="15"/>
        <v>n/a</v>
      </c>
      <c r="AY29" s="93"/>
      <c r="AZ29" s="102" t="str">
        <f>+IF(ISERROR(AZ28/$AY$28),"n/a",AZ28/$AY$28)</f>
        <v>n/a</v>
      </c>
      <c r="BA29" s="102" t="str">
        <f>+IF(ISERROR(BA28/$AY$28),"n/a",BA28/$AY$28)</f>
        <v>n/a</v>
      </c>
      <c r="BB29" s="93"/>
      <c r="BC29" s="97"/>
      <c r="BD29" s="97"/>
      <c r="BF29" s="113"/>
    </row>
    <row r="30" spans="2:58">
      <c r="B30" s="5">
        <f t="shared" si="6"/>
        <v>18</v>
      </c>
      <c r="C30" s="5"/>
      <c r="E30" s="13"/>
      <c r="F30" s="5"/>
      <c r="G30" s="11" t="str">
        <f>IF(ISERROR(AVERAGE(F$13:F30)),"n/a",AVERAGE(F$13:F30))</f>
        <v>n/a</v>
      </c>
      <c r="H30" s="11" t="str">
        <f t="shared" si="2"/>
        <v>n/a</v>
      </c>
      <c r="J30" s="5"/>
      <c r="K30" s="5"/>
      <c r="L30" s="5"/>
      <c r="M30" s="5"/>
      <c r="N30" s="5"/>
      <c r="O30" s="8" t="str">
        <f t="shared" si="0"/>
        <v>n/a</v>
      </c>
      <c r="Q30" s="5"/>
      <c r="R30" s="5"/>
      <c r="S30" s="5"/>
      <c r="U30" s="6"/>
      <c r="V30" s="9" t="str">
        <f t="shared" si="13"/>
        <v/>
      </c>
      <c r="W30" s="9" t="str">
        <f t="shared" si="14"/>
        <v/>
      </c>
      <c r="X30" s="10">
        <f>SUM(V$13:V30)/COUNTA(B$13:B30)</f>
        <v>0</v>
      </c>
      <c r="Z30" s="5"/>
      <c r="AA30" s="5"/>
      <c r="AC30" s="7"/>
      <c r="AE30" s="54" t="e">
        <f t="shared" si="5"/>
        <v>#N/A</v>
      </c>
      <c r="AF30" s="4" t="e">
        <f t="shared" si="1"/>
        <v>#N/A</v>
      </c>
      <c r="AR30" s="46"/>
      <c r="AS30" s="37"/>
      <c r="AT30" s="44"/>
      <c r="AU30" s="93"/>
      <c r="AV30" s="37"/>
      <c r="AW30" s="37"/>
      <c r="AX30" s="37"/>
      <c r="AY30" s="93"/>
      <c r="AZ30" s="37"/>
      <c r="BA30" s="37"/>
      <c r="BB30" s="93"/>
      <c r="BC30" s="97"/>
      <c r="BD30" s="97"/>
      <c r="BF30" s="113"/>
    </row>
    <row r="31" spans="2:58">
      <c r="B31" s="5">
        <f t="shared" si="6"/>
        <v>19</v>
      </c>
      <c r="C31" s="5"/>
      <c r="E31" s="13"/>
      <c r="F31" s="5"/>
      <c r="G31" s="11" t="str">
        <f>IF(ISERROR(AVERAGE(F$13:F31)),"n/a",AVERAGE(F$13:F31))</f>
        <v>n/a</v>
      </c>
      <c r="H31" s="11" t="str">
        <f t="shared" si="2"/>
        <v>n/a</v>
      </c>
      <c r="J31" s="5"/>
      <c r="K31" s="5"/>
      <c r="L31" s="5"/>
      <c r="M31" s="5"/>
      <c r="N31" s="5"/>
      <c r="O31" s="8" t="str">
        <f t="shared" si="0"/>
        <v>n/a</v>
      </c>
      <c r="Q31" s="5"/>
      <c r="R31" s="5"/>
      <c r="S31" s="5"/>
      <c r="U31" s="6"/>
      <c r="V31" s="9" t="str">
        <f t="shared" si="13"/>
        <v/>
      </c>
      <c r="W31" s="9" t="str">
        <f t="shared" si="14"/>
        <v/>
      </c>
      <c r="X31" s="10">
        <f>SUM(V$13:V31)/COUNTA(B$13:B31)</f>
        <v>0</v>
      </c>
      <c r="Z31" s="5"/>
      <c r="AA31" s="5"/>
      <c r="AC31" s="7"/>
      <c r="AE31" s="54" t="e">
        <f t="shared" si="5"/>
        <v>#N/A</v>
      </c>
      <c r="AF31" s="4" t="e">
        <f t="shared" si="1"/>
        <v>#N/A</v>
      </c>
      <c r="AR31" s="46" t="s">
        <v>37</v>
      </c>
      <c r="AS31" s="37"/>
      <c r="AT31" s="44"/>
      <c r="AU31" s="92">
        <f>$V$1020</f>
        <v>0</v>
      </c>
      <c r="AV31" s="38">
        <f>Q1020</f>
        <v>0</v>
      </c>
      <c r="AW31" s="38">
        <f>R1020</f>
        <v>0</v>
      </c>
      <c r="AX31" s="38">
        <f>S1020</f>
        <v>0</v>
      </c>
      <c r="AY31" s="92">
        <f>$W$1020</f>
        <v>0</v>
      </c>
      <c r="AZ31" s="38">
        <f>Z1020</f>
        <v>0</v>
      </c>
      <c r="BA31" s="38">
        <f>AA1020</f>
        <v>0</v>
      </c>
      <c r="BB31" s="95" t="str">
        <f>IF(ISERROR(AU31/(AU31+AY31)),"n/a",AU31/(AU31+AY31))</f>
        <v>n/a</v>
      </c>
      <c r="BC31" s="96" t="str">
        <f>IF(ISERROR(TEXT($E$1028,"00")&amp;":"&amp;TEXT($F$1028,"00")),"n/a",TEXT($E$1028,"00")&amp;":"&amp;TEXT($F$1028,"00"))</f>
        <v>n/a</v>
      </c>
      <c r="BD31" s="96" t="str">
        <f>IF(ISERROR(BF31&amp;TEXT($E$1045,"00")&amp;":"&amp;TEXT($F$1045,"00")),"n/a",BF31&amp;TEXT($E$1045,"00")&amp;":"&amp;TEXT($F$1045,"00"))</f>
        <v>n/a</v>
      </c>
      <c r="BF31" s="113" t="e">
        <f>IF(F1037&lt;0,"-","+")</f>
        <v>#VALUE!</v>
      </c>
    </row>
    <row r="32" spans="2:58">
      <c r="B32" s="5">
        <f t="shared" si="6"/>
        <v>20</v>
      </c>
      <c r="C32" s="5"/>
      <c r="E32" s="13"/>
      <c r="F32" s="5"/>
      <c r="G32" s="11" t="str">
        <f>IF(ISERROR(AVERAGE(F$13:F32)),"n/a",AVERAGE(F$13:F32))</f>
        <v>n/a</v>
      </c>
      <c r="H32" s="11" t="str">
        <f t="shared" si="2"/>
        <v>n/a</v>
      </c>
      <c r="J32" s="5"/>
      <c r="K32" s="5"/>
      <c r="L32" s="5"/>
      <c r="M32" s="5"/>
      <c r="N32" s="5"/>
      <c r="O32" s="8" t="str">
        <f t="shared" si="0"/>
        <v>n/a</v>
      </c>
      <c r="Q32" s="5"/>
      <c r="R32" s="5"/>
      <c r="S32" s="5"/>
      <c r="U32" s="6"/>
      <c r="V32" s="9" t="str">
        <f t="shared" si="13"/>
        <v/>
      </c>
      <c r="W32" s="9" t="str">
        <f t="shared" si="14"/>
        <v/>
      </c>
      <c r="X32" s="10">
        <f>SUM(V$13:V32)/COUNTA(B$13:B32)</f>
        <v>0</v>
      </c>
      <c r="Z32" s="5"/>
      <c r="AA32" s="5"/>
      <c r="AC32" s="7"/>
      <c r="AE32" s="54" t="e">
        <f t="shared" si="5"/>
        <v>#N/A</v>
      </c>
      <c r="AF32" s="4" t="e">
        <f t="shared" si="1"/>
        <v>#N/A</v>
      </c>
      <c r="AR32" s="46"/>
      <c r="AS32" s="37"/>
      <c r="AT32" s="44"/>
      <c r="AU32" s="93"/>
      <c r="AV32" s="102" t="str">
        <f>+IF(ISERROR(AV31/SUM($AU$31,$AY$31)),"n/a",AV31/SUM($AU$31,$AY$31))</f>
        <v>n/a</v>
      </c>
      <c r="AW32" s="102" t="str">
        <f t="shared" ref="AW32:AX32" si="16">+IF(ISERROR(AW31/SUM($AU$31,$AY$31)),"n/a",AW31/SUM($AU$31,$AY$31))</f>
        <v>n/a</v>
      </c>
      <c r="AX32" s="102" t="str">
        <f t="shared" si="16"/>
        <v>n/a</v>
      </c>
      <c r="AY32" s="93"/>
      <c r="AZ32" s="102" t="str">
        <f>+IF(ISERROR(AZ31/$AY$31),"n/a",AZ31/$AY$31)</f>
        <v>n/a</v>
      </c>
      <c r="BA32" s="102" t="str">
        <f>+IF(ISERROR(BA31/$AY$31),"n/a",BA31/$AY$31)</f>
        <v>n/a</v>
      </c>
      <c r="BB32" s="93"/>
      <c r="BC32" s="97"/>
      <c r="BD32" s="97"/>
      <c r="BF32" s="113"/>
    </row>
    <row r="33" spans="2:59">
      <c r="B33" s="5">
        <f t="shared" si="6"/>
        <v>21</v>
      </c>
      <c r="C33" s="5"/>
      <c r="E33" s="13"/>
      <c r="F33" s="5"/>
      <c r="G33" s="11" t="str">
        <f>IF(ISERROR(AVERAGE(F$13:F33)),"n/a",AVERAGE(F$13:F33))</f>
        <v>n/a</v>
      </c>
      <c r="H33" s="11" t="str">
        <f t="shared" si="2"/>
        <v>n/a</v>
      </c>
      <c r="J33" s="5"/>
      <c r="K33" s="5"/>
      <c r="L33" s="5"/>
      <c r="M33" s="5"/>
      <c r="N33" s="5"/>
      <c r="O33" s="8" t="str">
        <f t="shared" si="0"/>
        <v>n/a</v>
      </c>
      <c r="Q33" s="5"/>
      <c r="R33" s="5"/>
      <c r="S33" s="5"/>
      <c r="U33" s="6"/>
      <c r="V33" s="9" t="str">
        <f t="shared" si="13"/>
        <v/>
      </c>
      <c r="W33" s="9" t="str">
        <f t="shared" si="14"/>
        <v/>
      </c>
      <c r="X33" s="10">
        <f>SUM(V$13:V33)/COUNTA(B$13:B33)</f>
        <v>0</v>
      </c>
      <c r="Z33" s="5"/>
      <c r="AA33" s="5"/>
      <c r="AC33" s="7"/>
      <c r="AE33" s="54" t="e">
        <f t="shared" si="5"/>
        <v>#N/A</v>
      </c>
      <c r="AF33" s="4" t="e">
        <f t="shared" si="1"/>
        <v>#N/A</v>
      </c>
      <c r="AR33" s="46"/>
      <c r="AS33" s="37"/>
      <c r="AT33" s="44"/>
      <c r="AU33" s="93"/>
      <c r="AV33" s="37"/>
      <c r="AW33" s="37"/>
      <c r="AX33" s="37"/>
      <c r="AY33" s="93"/>
      <c r="AZ33" s="37"/>
      <c r="BA33" s="37"/>
      <c r="BB33" s="93"/>
      <c r="BC33" s="97"/>
      <c r="BD33" s="97"/>
      <c r="BF33" s="113"/>
    </row>
    <row r="34" spans="2:59">
      <c r="B34" s="5">
        <f t="shared" si="6"/>
        <v>22</v>
      </c>
      <c r="C34" s="5"/>
      <c r="E34" s="13"/>
      <c r="F34" s="5"/>
      <c r="G34" s="11" t="str">
        <f>IF(ISERROR(AVERAGE(F$13:F34)),"n/a",AVERAGE(F$13:F34))</f>
        <v>n/a</v>
      </c>
      <c r="H34" s="11" t="str">
        <f>G34</f>
        <v>n/a</v>
      </c>
      <c r="J34" s="5"/>
      <c r="K34" s="5"/>
      <c r="L34" s="5"/>
      <c r="M34" s="5"/>
      <c r="N34" s="5"/>
      <c r="O34" s="8" t="str">
        <f t="shared" si="0"/>
        <v>n/a</v>
      </c>
      <c r="Q34" s="5"/>
      <c r="R34" s="5"/>
      <c r="S34" s="5"/>
      <c r="U34" s="6"/>
      <c r="V34" s="9" t="str">
        <f>IF(O34="n/a","",IF(O34=U34,1,""))</f>
        <v/>
      </c>
      <c r="W34" s="9" t="str">
        <f>IF(O34="n/a","",IF(O34&lt;&gt;U34,1,""))</f>
        <v/>
      </c>
      <c r="X34" s="10">
        <f>SUM(V$13:V34)/COUNTA(B$13:B34)</f>
        <v>0</v>
      </c>
      <c r="Z34" s="5"/>
      <c r="AA34" s="5"/>
      <c r="AC34" s="7"/>
      <c r="AE34" s="54" t="e">
        <f t="shared" si="5"/>
        <v>#N/A</v>
      </c>
      <c r="AF34" s="4" t="e">
        <f t="shared" si="1"/>
        <v>#N/A</v>
      </c>
      <c r="AR34" s="46" t="s">
        <v>38</v>
      </c>
      <c r="AS34" s="37"/>
      <c r="AT34" s="44"/>
      <c r="AU34" s="92">
        <f>$V$1021</f>
        <v>0</v>
      </c>
      <c r="AV34" s="38">
        <f>Q1021</f>
        <v>0</v>
      </c>
      <c r="AW34" s="38">
        <f>R1021</f>
        <v>0</v>
      </c>
      <c r="AX34" s="38">
        <f>S1021</f>
        <v>0</v>
      </c>
      <c r="AY34" s="92">
        <f>$W$1021</f>
        <v>0</v>
      </c>
      <c r="AZ34" s="38">
        <f>Z1021</f>
        <v>0</v>
      </c>
      <c r="BA34" s="38">
        <f>AA1021</f>
        <v>0</v>
      </c>
      <c r="BB34" s="95" t="str">
        <f>IF(ISERROR(AU34/(AU34+AY34)),"n/a",AU34/(AU34+AY34))</f>
        <v>n/a</v>
      </c>
      <c r="BC34" s="96" t="str">
        <f>IF(ISERROR(TEXT($E$1029,"00")&amp;":"&amp;TEXT($F$1029,"00")),"n/a",TEXT($E$1029,"00")&amp;":"&amp;TEXT($F$1029,"00"))</f>
        <v>n/a</v>
      </c>
      <c r="BD34" s="96" t="str">
        <f>IF(ISERROR(BF34&amp;TEXT($E$1046,"00")&amp;":"&amp;TEXT($F$1046,"00")),"n/a",BF34&amp;TEXT($E$1046,"00")&amp;":"&amp;TEXT($F$1046,"00"))</f>
        <v>n/a</v>
      </c>
      <c r="BF34" s="113" t="e">
        <f>IF(F1038&lt;0,"-","+")</f>
        <v>#VALUE!</v>
      </c>
    </row>
    <row r="35" spans="2:59">
      <c r="B35" s="5">
        <f t="shared" si="6"/>
        <v>23</v>
      </c>
      <c r="C35" s="5"/>
      <c r="E35" s="13"/>
      <c r="F35" s="5"/>
      <c r="G35" s="11" t="str">
        <f>IF(ISERROR(AVERAGE(F$13:F35)),"n/a",AVERAGE(F$13:F35))</f>
        <v>n/a</v>
      </c>
      <c r="H35" s="11" t="str">
        <f t="shared" si="2"/>
        <v>n/a</v>
      </c>
      <c r="J35" s="5"/>
      <c r="K35" s="5"/>
      <c r="L35" s="5"/>
      <c r="M35" s="5"/>
      <c r="N35" s="5"/>
      <c r="O35" s="8" t="str">
        <f t="shared" si="0"/>
        <v>n/a</v>
      </c>
      <c r="Q35" s="5"/>
      <c r="R35" s="5"/>
      <c r="S35" s="5"/>
      <c r="U35" s="6"/>
      <c r="V35" s="9" t="str">
        <f t="shared" ref="V35:V40" si="17">IF(O35="n/a","",IF(O35=U35,1,""))</f>
        <v/>
      </c>
      <c r="W35" s="9" t="str">
        <f t="shared" ref="W35:W40" si="18">IF(O35="n/a","",IF(O35&lt;&gt;U35,1,""))</f>
        <v/>
      </c>
      <c r="X35" s="10">
        <f>SUM(V$13:V35)/COUNTA(B$13:B35)</f>
        <v>0</v>
      </c>
      <c r="Z35" s="5"/>
      <c r="AA35" s="5"/>
      <c r="AC35" s="7"/>
      <c r="AE35" s="54" t="e">
        <f t="shared" si="5"/>
        <v>#N/A</v>
      </c>
      <c r="AF35" s="4" t="e">
        <f t="shared" si="1"/>
        <v>#N/A</v>
      </c>
      <c r="AR35" s="105"/>
      <c r="AS35" s="48"/>
      <c r="AT35" s="48"/>
      <c r="AU35" s="94"/>
      <c r="AV35" s="104" t="str">
        <f>+IF(ISERROR(AV34/SUM($AU$34,$AY$34)),"n/a",AV34/SUM($AU$34,$AY$34))</f>
        <v>n/a</v>
      </c>
      <c r="AW35" s="104" t="str">
        <f t="shared" ref="AW35:AX35" si="19">+IF(ISERROR(AW34/SUM($AU$34,$AY$34)),"n/a",AW34/SUM($AU$34,$AY$34))</f>
        <v>n/a</v>
      </c>
      <c r="AX35" s="104" t="str">
        <f t="shared" si="19"/>
        <v>n/a</v>
      </c>
      <c r="AY35" s="94"/>
      <c r="AZ35" s="106" t="str">
        <f>+IF(ISERROR(AZ34/$AY$34),"n/a",AZ34/$AY$34)</f>
        <v>n/a</v>
      </c>
      <c r="BA35" s="107" t="str">
        <f>+IF(ISERROR(BA34/$AY$34),"n/a",BA34/$AY$34)</f>
        <v>n/a</v>
      </c>
      <c r="BB35" s="98"/>
      <c r="BC35" s="99"/>
      <c r="BD35" s="99"/>
    </row>
    <row r="36" spans="2:59">
      <c r="B36" s="5">
        <f t="shared" si="6"/>
        <v>24</v>
      </c>
      <c r="C36" s="5"/>
      <c r="E36" s="13"/>
      <c r="F36" s="5"/>
      <c r="G36" s="11" t="str">
        <f>IF(ISERROR(AVERAGE(F$13:F36)),"n/a",AVERAGE(F$13:F36))</f>
        <v>n/a</v>
      </c>
      <c r="H36" s="11" t="str">
        <f t="shared" si="2"/>
        <v>n/a</v>
      </c>
      <c r="J36" s="5"/>
      <c r="K36" s="5"/>
      <c r="L36" s="5"/>
      <c r="M36" s="5"/>
      <c r="N36" s="5"/>
      <c r="O36" s="8" t="str">
        <f t="shared" si="0"/>
        <v>n/a</v>
      </c>
      <c r="Q36" s="5"/>
      <c r="R36" s="5"/>
      <c r="S36" s="5"/>
      <c r="U36" s="6"/>
      <c r="V36" s="9" t="str">
        <f t="shared" si="17"/>
        <v/>
      </c>
      <c r="W36" s="9" t="str">
        <f t="shared" si="18"/>
        <v/>
      </c>
      <c r="X36" s="10">
        <f>SUM(V$13:V36)/COUNTA(B$13:B36)</f>
        <v>0</v>
      </c>
      <c r="Z36" s="5"/>
      <c r="AA36" s="5"/>
      <c r="AC36" s="7"/>
      <c r="AE36" s="54" t="e">
        <f t="shared" si="5"/>
        <v>#N/A</v>
      </c>
      <c r="AF36" s="4" t="e">
        <f t="shared" si="1"/>
        <v>#N/A</v>
      </c>
      <c r="BF36" s="100" t="str">
        <f>BB18</f>
        <v>n/a</v>
      </c>
      <c r="BG36" s="101" t="s">
        <v>33</v>
      </c>
    </row>
    <row r="37" spans="2:59">
      <c r="B37" s="5">
        <f t="shared" si="6"/>
        <v>25</v>
      </c>
      <c r="C37" s="5"/>
      <c r="E37" s="13"/>
      <c r="F37" s="5"/>
      <c r="G37" s="11" t="str">
        <f>IF(ISERROR(AVERAGE(F$13:F37)),"n/a",AVERAGE(F$13:F37))</f>
        <v>n/a</v>
      </c>
      <c r="H37" s="11" t="str">
        <f t="shared" si="2"/>
        <v>n/a</v>
      </c>
      <c r="J37" s="5"/>
      <c r="K37" s="5"/>
      <c r="L37" s="5"/>
      <c r="M37" s="5"/>
      <c r="N37" s="5"/>
      <c r="O37" s="8" t="str">
        <f t="shared" si="0"/>
        <v>n/a</v>
      </c>
      <c r="Q37" s="5"/>
      <c r="R37" s="5"/>
      <c r="S37" s="5"/>
      <c r="U37" s="6"/>
      <c r="V37" s="9" t="str">
        <f t="shared" si="17"/>
        <v/>
      </c>
      <c r="W37" s="9" t="str">
        <f t="shared" si="18"/>
        <v/>
      </c>
      <c r="X37" s="10">
        <f>SUM(V$13:V37)/COUNTA(B$13:B37)</f>
        <v>0</v>
      </c>
      <c r="Z37" s="5"/>
      <c r="AA37" s="5"/>
      <c r="AC37" s="7"/>
      <c r="AE37" s="54" t="e">
        <f t="shared" si="5"/>
        <v>#N/A</v>
      </c>
      <c r="AF37" s="4" t="e">
        <f t="shared" si="1"/>
        <v>#N/A</v>
      </c>
      <c r="BF37" s="100" t="str">
        <f>BB22</f>
        <v>n/a</v>
      </c>
      <c r="BG37" s="101" t="s">
        <v>42</v>
      </c>
    </row>
    <row r="38" spans="2:59">
      <c r="B38" s="5">
        <f t="shared" si="6"/>
        <v>26</v>
      </c>
      <c r="C38" s="5"/>
      <c r="E38" s="13"/>
      <c r="F38" s="5"/>
      <c r="G38" s="11" t="str">
        <f>IF(ISERROR(AVERAGE(F$13:F38)),"n/a",AVERAGE(F$13:F38))</f>
        <v>n/a</v>
      </c>
      <c r="H38" s="11" t="str">
        <f t="shared" si="2"/>
        <v>n/a</v>
      </c>
      <c r="J38" s="5"/>
      <c r="K38" s="5"/>
      <c r="L38" s="5"/>
      <c r="M38" s="5"/>
      <c r="N38" s="5"/>
      <c r="O38" s="8" t="str">
        <f t="shared" si="0"/>
        <v>n/a</v>
      </c>
      <c r="Q38" s="5"/>
      <c r="R38" s="5"/>
      <c r="S38" s="5"/>
      <c r="U38" s="6"/>
      <c r="V38" s="9" t="str">
        <f t="shared" si="17"/>
        <v/>
      </c>
      <c r="W38" s="9" t="str">
        <f t="shared" si="18"/>
        <v/>
      </c>
      <c r="X38" s="10">
        <f>SUM(V$13:V38)/COUNTA(B$13:B38)</f>
        <v>0</v>
      </c>
      <c r="Z38" s="5"/>
      <c r="AA38" s="5"/>
      <c r="AC38" s="7"/>
      <c r="AE38" s="54" t="e">
        <f t="shared" si="5"/>
        <v>#N/A</v>
      </c>
      <c r="AF38" s="4" t="e">
        <f t="shared" si="1"/>
        <v>#N/A</v>
      </c>
      <c r="BF38" s="100" t="str">
        <f>BB25</f>
        <v>n/a</v>
      </c>
      <c r="BG38" s="101" t="s">
        <v>43</v>
      </c>
    </row>
    <row r="39" spans="2:59">
      <c r="B39" s="5">
        <f t="shared" si="6"/>
        <v>27</v>
      </c>
      <c r="C39" s="5"/>
      <c r="E39" s="13"/>
      <c r="F39" s="5"/>
      <c r="G39" s="11" t="str">
        <f>IF(ISERROR(AVERAGE(F$13:F39)),"n/a",AVERAGE(F$13:F39))</f>
        <v>n/a</v>
      </c>
      <c r="H39" s="11" t="str">
        <f t="shared" si="2"/>
        <v>n/a</v>
      </c>
      <c r="J39" s="5"/>
      <c r="K39" s="5"/>
      <c r="L39" s="5"/>
      <c r="M39" s="5"/>
      <c r="N39" s="5"/>
      <c r="O39" s="8" t="str">
        <f t="shared" si="0"/>
        <v>n/a</v>
      </c>
      <c r="Q39" s="5"/>
      <c r="R39" s="5"/>
      <c r="S39" s="5"/>
      <c r="U39" s="6"/>
      <c r="V39" s="9" t="str">
        <f t="shared" si="17"/>
        <v/>
      </c>
      <c r="W39" s="9" t="str">
        <f t="shared" si="18"/>
        <v/>
      </c>
      <c r="X39" s="10">
        <f>SUM(V$13:V39)/COUNTA(B$13:B39)</f>
        <v>0</v>
      </c>
      <c r="Z39" s="5"/>
      <c r="AA39" s="5"/>
      <c r="AC39" s="7"/>
      <c r="AE39" s="54" t="e">
        <f t="shared" si="5"/>
        <v>#N/A</v>
      </c>
      <c r="AF39" s="4" t="e">
        <f t="shared" si="1"/>
        <v>#N/A</v>
      </c>
      <c r="BF39" s="100" t="str">
        <f>BB28</f>
        <v>n/a</v>
      </c>
      <c r="BG39" s="101" t="s">
        <v>46</v>
      </c>
    </row>
    <row r="40" spans="2:59">
      <c r="B40" s="5">
        <f t="shared" si="6"/>
        <v>28</v>
      </c>
      <c r="C40" s="5"/>
      <c r="E40" s="13"/>
      <c r="F40" s="5"/>
      <c r="G40" s="11" t="str">
        <f>IF(ISERROR(AVERAGE(F$13:F40)),"n/a",AVERAGE(F$13:F40))</f>
        <v>n/a</v>
      </c>
      <c r="H40" s="11" t="str">
        <f t="shared" si="2"/>
        <v>n/a</v>
      </c>
      <c r="J40" s="5"/>
      <c r="K40" s="5"/>
      <c r="L40" s="5"/>
      <c r="M40" s="5"/>
      <c r="N40" s="5"/>
      <c r="O40" s="8" t="str">
        <f t="shared" si="0"/>
        <v>n/a</v>
      </c>
      <c r="Q40" s="5"/>
      <c r="R40" s="5"/>
      <c r="S40" s="5"/>
      <c r="U40" s="6"/>
      <c r="V40" s="9" t="str">
        <f t="shared" si="17"/>
        <v/>
      </c>
      <c r="W40" s="9" t="str">
        <f t="shared" si="18"/>
        <v/>
      </c>
      <c r="X40" s="10">
        <f>SUM(V$13:V40)/COUNTA(B$13:B40)</f>
        <v>0</v>
      </c>
      <c r="Z40" s="5"/>
      <c r="AA40" s="5"/>
      <c r="AC40" s="7"/>
      <c r="AE40" s="54" t="e">
        <f t="shared" si="5"/>
        <v>#N/A</v>
      </c>
      <c r="AF40" s="4" t="e">
        <f t="shared" si="1"/>
        <v>#N/A</v>
      </c>
      <c r="BF40" s="100" t="str">
        <f>BB31</f>
        <v>n/a</v>
      </c>
      <c r="BG40" s="101" t="s">
        <v>44</v>
      </c>
    </row>
    <row r="41" spans="2:59">
      <c r="B41" s="5">
        <f t="shared" si="6"/>
        <v>29</v>
      </c>
      <c r="C41" s="5"/>
      <c r="E41" s="13"/>
      <c r="F41" s="5"/>
      <c r="G41" s="11" t="str">
        <f>IF(ISERROR(AVERAGE(F$13:F41)),"n/a",AVERAGE(F$13:F41))</f>
        <v>n/a</v>
      </c>
      <c r="H41" s="11" t="str">
        <f>G41</f>
        <v>n/a</v>
      </c>
      <c r="J41" s="5"/>
      <c r="K41" s="5"/>
      <c r="L41" s="5"/>
      <c r="M41" s="5"/>
      <c r="N41" s="5"/>
      <c r="O41" s="8" t="str">
        <f t="shared" si="0"/>
        <v>n/a</v>
      </c>
      <c r="Q41" s="5"/>
      <c r="R41" s="5"/>
      <c r="S41" s="5"/>
      <c r="U41" s="6"/>
      <c r="V41" s="9" t="str">
        <f>IF(O41="n/a","",IF(O41=U41,1,""))</f>
        <v/>
      </c>
      <c r="W41" s="9" t="str">
        <f>IF(O41="n/a","",IF(O41&lt;&gt;U41,1,""))</f>
        <v/>
      </c>
      <c r="X41" s="10">
        <f>SUM(V$13:V41)/COUNTA(B$13:B41)</f>
        <v>0</v>
      </c>
      <c r="Z41" s="5"/>
      <c r="AA41" s="5"/>
      <c r="AC41" s="7"/>
      <c r="AE41" s="54" t="e">
        <f t="shared" si="5"/>
        <v>#N/A</v>
      </c>
      <c r="AF41" s="4" t="e">
        <f t="shared" si="1"/>
        <v>#N/A</v>
      </c>
      <c r="BF41" s="100" t="str">
        <f>BB34</f>
        <v>n/a</v>
      </c>
      <c r="BG41" s="101" t="s">
        <v>45</v>
      </c>
    </row>
    <row r="42" spans="2:59">
      <c r="B42" s="5">
        <f t="shared" si="6"/>
        <v>30</v>
      </c>
      <c r="C42" s="5"/>
      <c r="E42" s="13"/>
      <c r="F42" s="5"/>
      <c r="G42" s="11" t="str">
        <f>IF(ISERROR(AVERAGE(F$13:F42)),"n/a",AVERAGE(F$13:F42))</f>
        <v>n/a</v>
      </c>
      <c r="H42" s="11" t="str">
        <f t="shared" si="2"/>
        <v>n/a</v>
      </c>
      <c r="J42" s="5"/>
      <c r="K42" s="5"/>
      <c r="L42" s="5"/>
      <c r="M42" s="5"/>
      <c r="N42" s="5"/>
      <c r="O42" s="8" t="str">
        <f t="shared" si="0"/>
        <v>n/a</v>
      </c>
      <c r="Q42" s="5"/>
      <c r="R42" s="5"/>
      <c r="S42" s="5"/>
      <c r="U42" s="6"/>
      <c r="V42" s="9" t="str">
        <f t="shared" ref="V42:V47" si="20">IF(O42="n/a","",IF(O42=U42,1,""))</f>
        <v/>
      </c>
      <c r="W42" s="9" t="str">
        <f t="shared" ref="W42:W47" si="21">IF(O42="n/a","",IF(O42&lt;&gt;U42,1,""))</f>
        <v/>
      </c>
      <c r="X42" s="10">
        <f>SUM(V$13:V42)/COUNTA(B$13:B42)</f>
        <v>0</v>
      </c>
      <c r="Z42" s="5"/>
      <c r="AA42" s="5"/>
      <c r="AC42" s="7"/>
      <c r="AE42" s="54" t="e">
        <f t="shared" si="5"/>
        <v>#N/A</v>
      </c>
      <c r="AF42" s="4" t="e">
        <f t="shared" si="1"/>
        <v>#N/A</v>
      </c>
    </row>
    <row r="43" spans="2:59">
      <c r="B43" s="5">
        <f t="shared" si="6"/>
        <v>31</v>
      </c>
      <c r="C43" s="5"/>
      <c r="E43" s="13"/>
      <c r="F43" s="5"/>
      <c r="G43" s="11" t="str">
        <f>IF(ISERROR(AVERAGE(F$13:F43)),"n/a",AVERAGE(F$13:F43))</f>
        <v>n/a</v>
      </c>
      <c r="H43" s="11" t="str">
        <f t="shared" si="2"/>
        <v>n/a</v>
      </c>
      <c r="J43" s="5"/>
      <c r="K43" s="5"/>
      <c r="L43" s="5"/>
      <c r="M43" s="5"/>
      <c r="N43" s="5"/>
      <c r="O43" s="8" t="str">
        <f t="shared" si="0"/>
        <v>n/a</v>
      </c>
      <c r="Q43" s="5"/>
      <c r="R43" s="5"/>
      <c r="S43" s="5"/>
      <c r="U43" s="6"/>
      <c r="V43" s="9" t="str">
        <f t="shared" si="20"/>
        <v/>
      </c>
      <c r="W43" s="9" t="str">
        <f t="shared" si="21"/>
        <v/>
      </c>
      <c r="X43" s="10">
        <f>SUM(V$13:V43)/COUNTA(B$13:B43)</f>
        <v>0</v>
      </c>
      <c r="Z43" s="5"/>
      <c r="AA43" s="5"/>
      <c r="AC43" s="7"/>
      <c r="AE43" s="54" t="e">
        <f t="shared" si="5"/>
        <v>#N/A</v>
      </c>
      <c r="AF43" s="4" t="e">
        <f t="shared" si="1"/>
        <v>#N/A</v>
      </c>
      <c r="BF43" s="114" t="str">
        <f t="shared" ref="BF43" si="22">F1015</f>
        <v>n/a</v>
      </c>
      <c r="BG43" s="101" t="str">
        <f t="shared" ref="BG43:BG48" si="23">BG36</f>
        <v>Total</v>
      </c>
    </row>
    <row r="44" spans="2:59">
      <c r="B44" s="5">
        <f t="shared" si="6"/>
        <v>32</v>
      </c>
      <c r="C44" s="5"/>
      <c r="E44" s="13"/>
      <c r="F44" s="5"/>
      <c r="G44" s="11" t="str">
        <f>IF(ISERROR(AVERAGE(F$13:F44)),"n/a",AVERAGE(F$13:F44))</f>
        <v>n/a</v>
      </c>
      <c r="H44" s="11" t="str">
        <f t="shared" si="2"/>
        <v>n/a</v>
      </c>
      <c r="J44" s="5"/>
      <c r="K44" s="5"/>
      <c r="L44" s="5"/>
      <c r="M44" s="5"/>
      <c r="N44" s="5"/>
      <c r="O44" s="8" t="str">
        <f t="shared" si="0"/>
        <v>n/a</v>
      </c>
      <c r="Q44" s="5"/>
      <c r="R44" s="5"/>
      <c r="S44" s="5"/>
      <c r="U44" s="6"/>
      <c r="V44" s="9" t="str">
        <f t="shared" si="20"/>
        <v/>
      </c>
      <c r="W44" s="9" t="str">
        <f t="shared" si="21"/>
        <v/>
      </c>
      <c r="X44" s="10">
        <f>SUM(V$13:V44)/COUNTA(B$13:B44)</f>
        <v>0</v>
      </c>
      <c r="Z44" s="5"/>
      <c r="AA44" s="5"/>
      <c r="AC44" s="7"/>
      <c r="AE44" s="54" t="e">
        <f t="shared" si="5"/>
        <v>#N/A</v>
      </c>
      <c r="AF44" s="4" t="e">
        <f t="shared" si="1"/>
        <v>#N/A</v>
      </c>
      <c r="BF44" s="114" t="str">
        <f>F1017</f>
        <v>n/a</v>
      </c>
      <c r="BG44" s="101" t="str">
        <f t="shared" si="23"/>
        <v>PS</v>
      </c>
    </row>
    <row r="45" spans="2:59">
      <c r="B45" s="5">
        <f t="shared" si="6"/>
        <v>33</v>
      </c>
      <c r="C45" s="5"/>
      <c r="E45" s="13"/>
      <c r="F45" s="5"/>
      <c r="G45" s="11" t="str">
        <f>IF(ISERROR(AVERAGE(F$13:F45)),"n/a",AVERAGE(F$13:F45))</f>
        <v>n/a</v>
      </c>
      <c r="H45" s="11" t="str">
        <f t="shared" si="2"/>
        <v>n/a</v>
      </c>
      <c r="J45" s="5"/>
      <c r="K45" s="5"/>
      <c r="L45" s="5"/>
      <c r="M45" s="5"/>
      <c r="N45" s="5"/>
      <c r="O45" s="8" t="str">
        <f t="shared" si="0"/>
        <v>n/a</v>
      </c>
      <c r="Q45" s="5"/>
      <c r="R45" s="5"/>
      <c r="S45" s="5"/>
      <c r="U45" s="6"/>
      <c r="V45" s="9" t="str">
        <f t="shared" si="20"/>
        <v/>
      </c>
      <c r="W45" s="9" t="str">
        <f t="shared" si="21"/>
        <v/>
      </c>
      <c r="X45" s="10">
        <f>SUM(V$13:V45)/COUNTA(B$13:B45)</f>
        <v>0</v>
      </c>
      <c r="Z45" s="5"/>
      <c r="AA45" s="5"/>
      <c r="AC45" s="7"/>
      <c r="AE45" s="54" t="e">
        <f t="shared" si="5"/>
        <v>#N/A</v>
      </c>
      <c r="AF45" s="4" t="e">
        <f t="shared" si="1"/>
        <v>#N/A</v>
      </c>
      <c r="BF45" s="114" t="str">
        <f>F1018</f>
        <v>n/a</v>
      </c>
      <c r="BG45" s="101" t="str">
        <f t="shared" si="23"/>
        <v>DS</v>
      </c>
    </row>
    <row r="46" spans="2:59">
      <c r="B46" s="5">
        <f t="shared" si="6"/>
        <v>34</v>
      </c>
      <c r="C46" s="5"/>
      <c r="E46" s="13"/>
      <c r="F46" s="5"/>
      <c r="G46" s="11" t="str">
        <f>IF(ISERROR(AVERAGE(F$13:F46)),"n/a",AVERAGE(F$13:F46))</f>
        <v>n/a</v>
      </c>
      <c r="H46" s="11" t="str">
        <f t="shared" si="2"/>
        <v>n/a</v>
      </c>
      <c r="J46" s="5"/>
      <c r="K46" s="5"/>
      <c r="L46" s="5"/>
      <c r="M46" s="5"/>
      <c r="N46" s="5"/>
      <c r="O46" s="8" t="str">
        <f t="shared" si="0"/>
        <v>n/a</v>
      </c>
      <c r="Q46" s="5"/>
      <c r="R46" s="5"/>
      <c r="S46" s="5"/>
      <c r="U46" s="6"/>
      <c r="V46" s="9" t="str">
        <f t="shared" si="20"/>
        <v/>
      </c>
      <c r="W46" s="9" t="str">
        <f t="shared" si="21"/>
        <v/>
      </c>
      <c r="X46" s="10">
        <f>SUM(V$13:V46)/COUNTA(B$13:B46)</f>
        <v>0</v>
      </c>
      <c r="Z46" s="5"/>
      <c r="AA46" s="5"/>
      <c r="AC46" s="7"/>
      <c r="AE46" s="54" t="e">
        <f t="shared" si="5"/>
        <v>#N/A</v>
      </c>
      <c r="AF46" s="4" t="e">
        <f t="shared" si="1"/>
        <v>#N/A</v>
      </c>
      <c r="BF46" s="114" t="str">
        <f>F1019</f>
        <v>n/a</v>
      </c>
      <c r="BG46" s="101" t="str">
        <f t="shared" si="23"/>
        <v>RC</v>
      </c>
    </row>
    <row r="47" spans="2:59">
      <c r="B47" s="5">
        <f t="shared" si="6"/>
        <v>35</v>
      </c>
      <c r="C47" s="5"/>
      <c r="E47" s="13"/>
      <c r="F47" s="5"/>
      <c r="G47" s="11" t="str">
        <f>IF(ISERROR(AVERAGE(F$13:F47)),"n/a",AVERAGE(F$13:F47))</f>
        <v>n/a</v>
      </c>
      <c r="H47" s="11" t="str">
        <f t="shared" si="2"/>
        <v>n/a</v>
      </c>
      <c r="J47" s="5"/>
      <c r="K47" s="5"/>
      <c r="L47" s="5"/>
      <c r="M47" s="5"/>
      <c r="N47" s="5"/>
      <c r="O47" s="8" t="str">
        <f t="shared" si="0"/>
        <v>n/a</v>
      </c>
      <c r="Q47" s="5"/>
      <c r="R47" s="5"/>
      <c r="S47" s="5"/>
      <c r="U47" s="6"/>
      <c r="V47" s="9" t="str">
        <f t="shared" si="20"/>
        <v/>
      </c>
      <c r="W47" s="9" t="str">
        <f t="shared" si="21"/>
        <v/>
      </c>
      <c r="X47" s="10">
        <f>SUM(V$13:V47)/COUNTA(B$13:B47)</f>
        <v>0</v>
      </c>
      <c r="Z47" s="5"/>
      <c r="AA47" s="5"/>
      <c r="AC47" s="7"/>
      <c r="AE47" s="54" t="e">
        <f t="shared" si="5"/>
        <v>#N/A</v>
      </c>
      <c r="AF47" s="4" t="e">
        <f t="shared" si="1"/>
        <v>#N/A</v>
      </c>
      <c r="BF47" s="114" t="str">
        <f>F1020</f>
        <v>n/a</v>
      </c>
      <c r="BG47" s="101" t="str">
        <f t="shared" si="23"/>
        <v>CR</v>
      </c>
    </row>
    <row r="48" spans="2:59">
      <c r="B48" s="5">
        <f t="shared" si="6"/>
        <v>36</v>
      </c>
      <c r="C48" s="5"/>
      <c r="E48" s="13"/>
      <c r="F48" s="5"/>
      <c r="G48" s="11" t="str">
        <f>IF(ISERROR(AVERAGE(F$13:F48)),"n/a",AVERAGE(F$13:F48))</f>
        <v>n/a</v>
      </c>
      <c r="H48" s="11" t="str">
        <f t="shared" si="2"/>
        <v>n/a</v>
      </c>
      <c r="J48" s="5"/>
      <c r="K48" s="5"/>
      <c r="L48" s="5"/>
      <c r="M48" s="5"/>
      <c r="N48" s="5"/>
      <c r="O48" s="8" t="str">
        <f t="shared" si="0"/>
        <v>n/a</v>
      </c>
      <c r="Q48" s="5"/>
      <c r="R48" s="5"/>
      <c r="S48" s="5"/>
      <c r="U48" s="6"/>
      <c r="V48" s="9" t="str">
        <f t="shared" si="3"/>
        <v/>
      </c>
      <c r="W48" s="9" t="str">
        <f t="shared" si="4"/>
        <v/>
      </c>
      <c r="X48" s="10">
        <f>SUM(V$13:V48)/COUNTA(B$13:B48)</f>
        <v>0</v>
      </c>
      <c r="Z48" s="5"/>
      <c r="AA48" s="5"/>
      <c r="AC48" s="7"/>
      <c r="AE48" s="54" t="e">
        <f t="shared" si="5"/>
        <v>#N/A</v>
      </c>
      <c r="AF48" s="4" t="e">
        <f t="shared" si="1"/>
        <v>#N/A</v>
      </c>
      <c r="BF48" s="114" t="str">
        <f>F1021</f>
        <v>n/a</v>
      </c>
      <c r="BG48" s="101" t="str">
        <f t="shared" si="23"/>
        <v>SC</v>
      </c>
    </row>
    <row r="49" spans="2:32">
      <c r="B49" s="5">
        <f t="shared" si="6"/>
        <v>37</v>
      </c>
      <c r="C49" s="5"/>
      <c r="E49" s="13"/>
      <c r="F49" s="5"/>
      <c r="G49" s="11" t="str">
        <f>IF(ISERROR(AVERAGE(F$13:F49)),"n/a",AVERAGE(F$13:F49))</f>
        <v>n/a</v>
      </c>
      <c r="H49" s="11" t="str">
        <f t="shared" si="2"/>
        <v>n/a</v>
      </c>
      <c r="J49" s="5"/>
      <c r="K49" s="5"/>
      <c r="L49" s="5"/>
      <c r="M49" s="5"/>
      <c r="N49" s="5"/>
      <c r="O49" s="8" t="str">
        <f t="shared" si="0"/>
        <v>n/a</v>
      </c>
      <c r="Q49" s="5"/>
      <c r="R49" s="5"/>
      <c r="S49" s="5"/>
      <c r="U49" s="6"/>
      <c r="V49" s="9" t="str">
        <f t="shared" si="3"/>
        <v/>
      </c>
      <c r="W49" s="9" t="str">
        <f t="shared" si="4"/>
        <v/>
      </c>
      <c r="X49" s="10">
        <f>SUM(V$13:V49)/COUNTA(B$13:B49)</f>
        <v>0</v>
      </c>
      <c r="Z49" s="5"/>
      <c r="AA49" s="5"/>
      <c r="AC49" s="7"/>
      <c r="AE49" s="54" t="e">
        <f t="shared" si="5"/>
        <v>#N/A</v>
      </c>
      <c r="AF49" s="4" t="e">
        <f t="shared" si="1"/>
        <v>#N/A</v>
      </c>
    </row>
    <row r="50" spans="2:32">
      <c r="B50" s="5">
        <f t="shared" si="6"/>
        <v>38</v>
      </c>
      <c r="C50" s="5"/>
      <c r="E50" s="13"/>
      <c r="F50" s="5"/>
      <c r="G50" s="11" t="str">
        <f>IF(ISERROR(AVERAGE(F$13:F50)),"n/a",AVERAGE(F$13:F50))</f>
        <v>n/a</v>
      </c>
      <c r="H50" s="11" t="str">
        <f t="shared" si="2"/>
        <v>n/a</v>
      </c>
      <c r="J50" s="5"/>
      <c r="K50" s="5"/>
      <c r="L50" s="5"/>
      <c r="M50" s="5"/>
      <c r="N50" s="5"/>
      <c r="O50" s="8" t="str">
        <f t="shared" si="0"/>
        <v>n/a</v>
      </c>
      <c r="Q50" s="5"/>
      <c r="R50" s="5"/>
      <c r="S50" s="5"/>
      <c r="U50" s="6"/>
      <c r="V50" s="9" t="str">
        <f t="shared" si="3"/>
        <v/>
      </c>
      <c r="W50" s="9" t="str">
        <f t="shared" si="4"/>
        <v/>
      </c>
      <c r="X50" s="10">
        <f>SUM(V$13:V50)/COUNTA(B$13:B50)</f>
        <v>0</v>
      </c>
      <c r="Z50" s="5"/>
      <c r="AA50" s="5"/>
      <c r="AC50" s="7"/>
      <c r="AE50" s="54" t="e">
        <f t="shared" si="5"/>
        <v>#N/A</v>
      </c>
      <c r="AF50" s="4" t="e">
        <f t="shared" si="1"/>
        <v>#N/A</v>
      </c>
    </row>
    <row r="51" spans="2:32">
      <c r="B51" s="5">
        <f t="shared" si="6"/>
        <v>39</v>
      </c>
      <c r="C51" s="5"/>
      <c r="E51" s="13"/>
      <c r="F51" s="5"/>
      <c r="G51" s="11" t="str">
        <f>IF(ISERROR(AVERAGE(F$13:F51)),"n/a",AVERAGE(F$13:F51))</f>
        <v>n/a</v>
      </c>
      <c r="H51" s="11" t="str">
        <f t="shared" si="2"/>
        <v>n/a</v>
      </c>
      <c r="J51" s="5"/>
      <c r="K51" s="5"/>
      <c r="L51" s="5"/>
      <c r="M51" s="5"/>
      <c r="N51" s="5"/>
      <c r="O51" s="8" t="str">
        <f t="shared" si="0"/>
        <v>n/a</v>
      </c>
      <c r="Q51" s="5"/>
      <c r="R51" s="5"/>
      <c r="S51" s="5"/>
      <c r="U51" s="6"/>
      <c r="V51" s="9" t="str">
        <f t="shared" si="3"/>
        <v/>
      </c>
      <c r="W51" s="9" t="str">
        <f t="shared" si="4"/>
        <v/>
      </c>
      <c r="X51" s="10">
        <f>SUM(V$13:V51)/COUNTA(B$13:B51)</f>
        <v>0</v>
      </c>
      <c r="Z51" s="5"/>
      <c r="AA51" s="5"/>
      <c r="AC51" s="7"/>
      <c r="AE51" s="54" t="e">
        <f t="shared" si="5"/>
        <v>#N/A</v>
      </c>
      <c r="AF51" s="4" t="e">
        <f t="shared" si="1"/>
        <v>#N/A</v>
      </c>
    </row>
    <row r="52" spans="2:32">
      <c r="B52" s="5">
        <f t="shared" si="6"/>
        <v>40</v>
      </c>
      <c r="C52" s="5"/>
      <c r="E52" s="13"/>
      <c r="F52" s="5"/>
      <c r="G52" s="11" t="str">
        <f>IF(ISERROR(AVERAGE(F$13:F52)),"n/a",AVERAGE(F$13:F52))</f>
        <v>n/a</v>
      </c>
      <c r="H52" s="11" t="str">
        <f t="shared" si="2"/>
        <v>n/a</v>
      </c>
      <c r="J52" s="5"/>
      <c r="K52" s="5"/>
      <c r="L52" s="5"/>
      <c r="M52" s="5"/>
      <c r="N52" s="5"/>
      <c r="O52" s="8" t="str">
        <f t="shared" si="0"/>
        <v>n/a</v>
      </c>
      <c r="Q52" s="5"/>
      <c r="R52" s="5"/>
      <c r="S52" s="5"/>
      <c r="U52" s="6"/>
      <c r="V52" s="9" t="str">
        <f t="shared" si="3"/>
        <v/>
      </c>
      <c r="W52" s="9" t="str">
        <f t="shared" si="4"/>
        <v/>
      </c>
      <c r="X52" s="10">
        <f>SUM(V$13:V52)/COUNTA(B$13:B52)</f>
        <v>0</v>
      </c>
      <c r="Z52" s="5"/>
      <c r="AA52" s="5"/>
      <c r="AC52" s="7"/>
      <c r="AE52" s="54" t="e">
        <f t="shared" si="5"/>
        <v>#N/A</v>
      </c>
      <c r="AF52" s="4" t="e">
        <f t="shared" si="1"/>
        <v>#N/A</v>
      </c>
    </row>
    <row r="53" spans="2:32">
      <c r="B53" s="5">
        <f t="shared" si="6"/>
        <v>41</v>
      </c>
      <c r="C53" s="5"/>
      <c r="E53" s="13"/>
      <c r="F53" s="5"/>
      <c r="G53" s="11" t="str">
        <f>IF(ISERROR(AVERAGE(F$13:F53)),"n/a",AVERAGE(F$13:F53))</f>
        <v>n/a</v>
      </c>
      <c r="H53" s="11" t="str">
        <f t="shared" si="2"/>
        <v>n/a</v>
      </c>
      <c r="J53" s="5"/>
      <c r="K53" s="5"/>
      <c r="L53" s="5"/>
      <c r="M53" s="5"/>
      <c r="N53" s="5"/>
      <c r="O53" s="8" t="str">
        <f t="shared" si="0"/>
        <v>n/a</v>
      </c>
      <c r="Q53" s="5"/>
      <c r="R53" s="5"/>
      <c r="S53" s="5"/>
      <c r="U53" s="6"/>
      <c r="V53" s="9" t="str">
        <f t="shared" si="3"/>
        <v/>
      </c>
      <c r="W53" s="9" t="str">
        <f t="shared" si="4"/>
        <v/>
      </c>
      <c r="X53" s="10">
        <f>SUM(V$13:V53)/COUNTA(B$13:B53)</f>
        <v>0</v>
      </c>
      <c r="Z53" s="5"/>
      <c r="AA53" s="5"/>
      <c r="AC53" s="7"/>
      <c r="AE53" s="54" t="e">
        <f t="shared" si="5"/>
        <v>#N/A</v>
      </c>
      <c r="AF53" s="4" t="e">
        <f t="shared" si="1"/>
        <v>#N/A</v>
      </c>
    </row>
    <row r="54" spans="2:32">
      <c r="B54" s="5">
        <f t="shared" si="6"/>
        <v>42</v>
      </c>
      <c r="C54" s="5"/>
      <c r="E54" s="13"/>
      <c r="F54" s="5"/>
      <c r="G54" s="11" t="str">
        <f>IF(ISERROR(AVERAGE(F$13:F54)),"n/a",AVERAGE(F$13:F54))</f>
        <v>n/a</v>
      </c>
      <c r="H54" s="11" t="str">
        <f t="shared" si="2"/>
        <v>n/a</v>
      </c>
      <c r="J54" s="5"/>
      <c r="K54" s="5"/>
      <c r="L54" s="5"/>
      <c r="M54" s="5"/>
      <c r="N54" s="5"/>
      <c r="O54" s="8" t="str">
        <f t="shared" si="0"/>
        <v>n/a</v>
      </c>
      <c r="Q54" s="5"/>
      <c r="R54" s="5"/>
      <c r="S54" s="5"/>
      <c r="U54" s="6"/>
      <c r="V54" s="9" t="str">
        <f t="shared" si="3"/>
        <v/>
      </c>
      <c r="W54" s="9" t="str">
        <f t="shared" si="4"/>
        <v/>
      </c>
      <c r="X54" s="10">
        <f>SUM(V$13:V54)/COUNTA(B$13:B54)</f>
        <v>0</v>
      </c>
      <c r="Z54" s="5"/>
      <c r="AA54" s="5"/>
      <c r="AC54" s="7"/>
      <c r="AE54" s="54" t="e">
        <f t="shared" si="5"/>
        <v>#N/A</v>
      </c>
      <c r="AF54" s="4" t="e">
        <f t="shared" si="1"/>
        <v>#N/A</v>
      </c>
    </row>
    <row r="55" spans="2:32">
      <c r="B55" s="5">
        <f t="shared" si="6"/>
        <v>43</v>
      </c>
      <c r="C55" s="5"/>
      <c r="E55" s="13"/>
      <c r="F55" s="5"/>
      <c r="G55" s="11" t="str">
        <f>IF(ISERROR(AVERAGE(F$13:F55)),"n/a",AVERAGE(F$13:F55))</f>
        <v>n/a</v>
      </c>
      <c r="H55" s="11" t="str">
        <f t="shared" si="2"/>
        <v>n/a</v>
      </c>
      <c r="J55" s="5"/>
      <c r="K55" s="5"/>
      <c r="L55" s="5"/>
      <c r="M55" s="5"/>
      <c r="N55" s="5"/>
      <c r="O55" s="8" t="str">
        <f t="shared" si="0"/>
        <v>n/a</v>
      </c>
      <c r="Q55" s="5"/>
      <c r="R55" s="5"/>
      <c r="S55" s="5"/>
      <c r="U55" s="6"/>
      <c r="V55" s="9" t="str">
        <f t="shared" si="3"/>
        <v/>
      </c>
      <c r="W55" s="9" t="str">
        <f t="shared" si="4"/>
        <v/>
      </c>
      <c r="X55" s="10">
        <f>SUM(V$13:V55)/COUNTA(B$13:B55)</f>
        <v>0</v>
      </c>
      <c r="Z55" s="5"/>
      <c r="AA55" s="5"/>
      <c r="AC55" s="7"/>
      <c r="AE55" s="54" t="e">
        <f t="shared" si="5"/>
        <v>#N/A</v>
      </c>
      <c r="AF55" s="4" t="e">
        <f t="shared" si="1"/>
        <v>#N/A</v>
      </c>
    </row>
    <row r="56" spans="2:32">
      <c r="B56" s="5">
        <f t="shared" si="6"/>
        <v>44</v>
      </c>
      <c r="C56" s="5"/>
      <c r="E56" s="13"/>
      <c r="F56" s="5"/>
      <c r="G56" s="11" t="str">
        <f>IF(ISERROR(AVERAGE(F$13:F56)),"n/a",AVERAGE(F$13:F56))</f>
        <v>n/a</v>
      </c>
      <c r="H56" s="11" t="str">
        <f t="shared" si="2"/>
        <v>n/a</v>
      </c>
      <c r="J56" s="5"/>
      <c r="K56" s="5"/>
      <c r="L56" s="5"/>
      <c r="M56" s="5"/>
      <c r="N56" s="5"/>
      <c r="O56" s="8" t="str">
        <f t="shared" si="0"/>
        <v>n/a</v>
      </c>
      <c r="Q56" s="5"/>
      <c r="R56" s="5"/>
      <c r="S56" s="5"/>
      <c r="U56" s="6"/>
      <c r="V56" s="9" t="str">
        <f t="shared" si="3"/>
        <v/>
      </c>
      <c r="W56" s="9" t="str">
        <f t="shared" si="4"/>
        <v/>
      </c>
      <c r="X56" s="10">
        <f>SUM(V$13:V56)/COUNTA(B$13:B56)</f>
        <v>0</v>
      </c>
      <c r="Z56" s="5"/>
      <c r="AA56" s="5"/>
      <c r="AC56" s="7"/>
      <c r="AE56" s="54" t="e">
        <f t="shared" si="5"/>
        <v>#N/A</v>
      </c>
      <c r="AF56" s="4" t="e">
        <f t="shared" si="1"/>
        <v>#N/A</v>
      </c>
    </row>
    <row r="57" spans="2:32">
      <c r="B57" s="5">
        <f t="shared" si="6"/>
        <v>45</v>
      </c>
      <c r="C57" s="5"/>
      <c r="E57" s="13"/>
      <c r="F57" s="5"/>
      <c r="G57" s="11" t="str">
        <f>IF(ISERROR(AVERAGE(F$13:F57)),"n/a",AVERAGE(F$13:F57))</f>
        <v>n/a</v>
      </c>
      <c r="H57" s="11" t="str">
        <f t="shared" si="2"/>
        <v>n/a</v>
      </c>
      <c r="J57" s="5"/>
      <c r="K57" s="5"/>
      <c r="L57" s="5"/>
      <c r="M57" s="5"/>
      <c r="N57" s="5"/>
      <c r="O57" s="8" t="str">
        <f t="shared" si="0"/>
        <v>n/a</v>
      </c>
      <c r="Q57" s="5"/>
      <c r="R57" s="5"/>
      <c r="S57" s="5"/>
      <c r="U57" s="6"/>
      <c r="V57" s="9" t="str">
        <f t="shared" si="3"/>
        <v/>
      </c>
      <c r="W57" s="9" t="str">
        <f t="shared" si="4"/>
        <v/>
      </c>
      <c r="X57" s="10">
        <f>SUM(V$13:V57)/COUNTA(B$13:B57)</f>
        <v>0</v>
      </c>
      <c r="Z57" s="5"/>
      <c r="AA57" s="5"/>
      <c r="AC57" s="7"/>
      <c r="AE57" s="54" t="e">
        <f t="shared" si="5"/>
        <v>#N/A</v>
      </c>
      <c r="AF57" s="4" t="e">
        <f t="shared" si="1"/>
        <v>#N/A</v>
      </c>
    </row>
    <row r="58" spans="2:32">
      <c r="B58" s="5">
        <f t="shared" si="6"/>
        <v>46</v>
      </c>
      <c r="C58" s="5"/>
      <c r="E58" s="13"/>
      <c r="F58" s="5"/>
      <c r="G58" s="11" t="str">
        <f>IF(ISERROR(AVERAGE(F$13:F58)),"n/a",AVERAGE(F$13:F58))</f>
        <v>n/a</v>
      </c>
      <c r="H58" s="11" t="str">
        <f t="shared" si="2"/>
        <v>n/a</v>
      </c>
      <c r="J58" s="5"/>
      <c r="K58" s="5"/>
      <c r="L58" s="5"/>
      <c r="M58" s="5"/>
      <c r="N58" s="5"/>
      <c r="O58" s="8" t="str">
        <f t="shared" si="0"/>
        <v>n/a</v>
      </c>
      <c r="Q58" s="5"/>
      <c r="R58" s="5"/>
      <c r="S58" s="5"/>
      <c r="U58" s="6"/>
      <c r="V58" s="9" t="str">
        <f t="shared" si="3"/>
        <v/>
      </c>
      <c r="W58" s="9" t="str">
        <f t="shared" si="4"/>
        <v/>
      </c>
      <c r="X58" s="10">
        <f>SUM(V$13:V58)/COUNTA(B$13:B58)</f>
        <v>0</v>
      </c>
      <c r="Z58" s="5"/>
      <c r="AA58" s="5"/>
      <c r="AC58" s="7"/>
      <c r="AE58" s="54" t="e">
        <f t="shared" si="5"/>
        <v>#N/A</v>
      </c>
      <c r="AF58" s="4" t="e">
        <f t="shared" si="1"/>
        <v>#N/A</v>
      </c>
    </row>
    <row r="59" spans="2:32">
      <c r="B59" s="5">
        <f t="shared" si="6"/>
        <v>47</v>
      </c>
      <c r="C59" s="5"/>
      <c r="E59" s="13"/>
      <c r="F59" s="5"/>
      <c r="G59" s="11" t="str">
        <f>IF(ISERROR(AVERAGE(F$13:F59)),"n/a",AVERAGE(F$13:F59))</f>
        <v>n/a</v>
      </c>
      <c r="H59" s="11" t="str">
        <f t="shared" si="2"/>
        <v>n/a</v>
      </c>
      <c r="J59" s="5"/>
      <c r="K59" s="5"/>
      <c r="L59" s="5"/>
      <c r="M59" s="5"/>
      <c r="N59" s="5"/>
      <c r="O59" s="8" t="str">
        <f t="shared" si="0"/>
        <v>n/a</v>
      </c>
      <c r="Q59" s="5"/>
      <c r="R59" s="5"/>
      <c r="S59" s="5"/>
      <c r="U59" s="6"/>
      <c r="V59" s="9" t="str">
        <f t="shared" si="3"/>
        <v/>
      </c>
      <c r="W59" s="9" t="str">
        <f t="shared" si="4"/>
        <v/>
      </c>
      <c r="X59" s="10">
        <f>SUM(V$13:V59)/COUNTA(B$13:B59)</f>
        <v>0</v>
      </c>
      <c r="Z59" s="5"/>
      <c r="AA59" s="5"/>
      <c r="AC59" s="7"/>
      <c r="AE59" s="54" t="e">
        <f t="shared" si="5"/>
        <v>#N/A</v>
      </c>
      <c r="AF59" s="4" t="e">
        <f t="shared" si="1"/>
        <v>#N/A</v>
      </c>
    </row>
    <row r="60" spans="2:32">
      <c r="B60" s="5">
        <f t="shared" si="6"/>
        <v>48</v>
      </c>
      <c r="C60" s="5"/>
      <c r="E60" s="13"/>
      <c r="F60" s="5"/>
      <c r="G60" s="11" t="str">
        <f>IF(ISERROR(AVERAGE(F$13:F60)),"n/a",AVERAGE(F$13:F60))</f>
        <v>n/a</v>
      </c>
      <c r="H60" s="11" t="str">
        <f t="shared" si="2"/>
        <v>n/a</v>
      </c>
      <c r="J60" s="5"/>
      <c r="K60" s="5"/>
      <c r="L60" s="5"/>
      <c r="M60" s="5"/>
      <c r="N60" s="5"/>
      <c r="O60" s="8" t="str">
        <f t="shared" si="0"/>
        <v>n/a</v>
      </c>
      <c r="Q60" s="5"/>
      <c r="R60" s="5"/>
      <c r="S60" s="5"/>
      <c r="U60" s="6"/>
      <c r="V60" s="9" t="str">
        <f t="shared" si="3"/>
        <v/>
      </c>
      <c r="W60" s="9" t="str">
        <f t="shared" si="4"/>
        <v/>
      </c>
      <c r="X60" s="10">
        <f>SUM(V$13:V60)/COUNTA(B$13:B60)</f>
        <v>0</v>
      </c>
      <c r="Z60" s="5"/>
      <c r="AA60" s="5"/>
      <c r="AC60" s="7"/>
      <c r="AE60" s="54" t="e">
        <f t="shared" si="5"/>
        <v>#N/A</v>
      </c>
      <c r="AF60" s="4" t="e">
        <f t="shared" si="1"/>
        <v>#N/A</v>
      </c>
    </row>
    <row r="61" spans="2:32">
      <c r="B61" s="5">
        <f t="shared" si="6"/>
        <v>49</v>
      </c>
      <c r="C61" s="5"/>
      <c r="E61" s="13"/>
      <c r="F61" s="5"/>
      <c r="G61" s="11" t="str">
        <f>IF(ISERROR(AVERAGE(F$13:F61)),"n/a",AVERAGE(F$13:F61))</f>
        <v>n/a</v>
      </c>
      <c r="H61" s="11" t="str">
        <f t="shared" si="2"/>
        <v>n/a</v>
      </c>
      <c r="J61" s="5"/>
      <c r="K61" s="5"/>
      <c r="L61" s="5"/>
      <c r="M61" s="5"/>
      <c r="N61" s="5"/>
      <c r="O61" s="8" t="str">
        <f t="shared" si="0"/>
        <v>n/a</v>
      </c>
      <c r="Q61" s="5"/>
      <c r="R61" s="5"/>
      <c r="S61" s="5"/>
      <c r="U61" s="6"/>
      <c r="V61" s="9" t="str">
        <f t="shared" si="3"/>
        <v/>
      </c>
      <c r="W61" s="9" t="str">
        <f t="shared" si="4"/>
        <v/>
      </c>
      <c r="X61" s="10">
        <f>SUM(V$13:V61)/COUNTA(B$13:B61)</f>
        <v>0</v>
      </c>
      <c r="Z61" s="5"/>
      <c r="AA61" s="5"/>
      <c r="AC61" s="7"/>
      <c r="AE61" s="54" t="e">
        <f t="shared" si="5"/>
        <v>#N/A</v>
      </c>
      <c r="AF61" s="4" t="e">
        <f t="shared" si="1"/>
        <v>#N/A</v>
      </c>
    </row>
    <row r="62" spans="2:32">
      <c r="B62" s="5">
        <f t="shared" si="6"/>
        <v>50</v>
      </c>
      <c r="C62" s="5"/>
      <c r="E62" s="13"/>
      <c r="F62" s="5"/>
      <c r="G62" s="11" t="str">
        <f>IF(ISERROR(AVERAGE(F$13:F62)),"n/a",AVERAGE(F$13:F62))</f>
        <v>n/a</v>
      </c>
      <c r="H62" s="11" t="str">
        <f t="shared" si="2"/>
        <v>n/a</v>
      </c>
      <c r="J62" s="5"/>
      <c r="K62" s="5"/>
      <c r="L62" s="5"/>
      <c r="M62" s="5"/>
      <c r="N62" s="5"/>
      <c r="O62" s="8" t="str">
        <f t="shared" si="0"/>
        <v>n/a</v>
      </c>
      <c r="Q62" s="5"/>
      <c r="R62" s="5"/>
      <c r="S62" s="5"/>
      <c r="U62" s="6"/>
      <c r="V62" s="9" t="str">
        <f t="shared" si="3"/>
        <v/>
      </c>
      <c r="W62" s="9" t="str">
        <f t="shared" si="4"/>
        <v/>
      </c>
      <c r="X62" s="10">
        <f>SUM(V$13:V62)/COUNTA(B$13:B62)</f>
        <v>0</v>
      </c>
      <c r="Z62" s="5"/>
      <c r="AA62" s="5"/>
      <c r="AC62" s="7"/>
      <c r="AE62" s="54" t="e">
        <f t="shared" si="5"/>
        <v>#N/A</v>
      </c>
      <c r="AF62" s="4" t="e">
        <f t="shared" si="1"/>
        <v>#N/A</v>
      </c>
    </row>
    <row r="63" spans="2:32">
      <c r="B63" s="5">
        <f t="shared" si="6"/>
        <v>51</v>
      </c>
      <c r="C63" s="5"/>
      <c r="E63" s="13"/>
      <c r="F63" s="5"/>
      <c r="G63" s="11" t="str">
        <f>IF(ISERROR(AVERAGE(F$13:F63)),"n/a",AVERAGE(F$13:F63))</f>
        <v>n/a</v>
      </c>
      <c r="H63" s="11" t="str">
        <f t="shared" si="2"/>
        <v>n/a</v>
      </c>
      <c r="J63" s="5"/>
      <c r="K63" s="5"/>
      <c r="L63" s="5"/>
      <c r="M63" s="5"/>
      <c r="N63" s="5"/>
      <c r="O63" s="8" t="str">
        <f t="shared" si="0"/>
        <v>n/a</v>
      </c>
      <c r="Q63" s="5"/>
      <c r="R63" s="5"/>
      <c r="S63" s="5"/>
      <c r="U63" s="6"/>
      <c r="V63" s="9" t="str">
        <f t="shared" si="3"/>
        <v/>
      </c>
      <c r="W63" s="9" t="str">
        <f t="shared" si="4"/>
        <v/>
      </c>
      <c r="X63" s="10">
        <f>SUM(V$13:V63)/COUNTA(B$13:B63)</f>
        <v>0</v>
      </c>
      <c r="Z63" s="5"/>
      <c r="AA63" s="5"/>
      <c r="AC63" s="7"/>
      <c r="AE63" s="54" t="e">
        <f t="shared" si="5"/>
        <v>#N/A</v>
      </c>
      <c r="AF63" s="4" t="e">
        <f t="shared" si="1"/>
        <v>#N/A</v>
      </c>
    </row>
    <row r="64" spans="2:32">
      <c r="B64" s="5">
        <f t="shared" si="6"/>
        <v>52</v>
      </c>
      <c r="C64" s="5"/>
      <c r="E64" s="13"/>
      <c r="F64" s="5"/>
      <c r="G64" s="11" t="str">
        <f>IF(ISERROR(AVERAGE(F$13:F64)),"n/a",AVERAGE(F$13:F64))</f>
        <v>n/a</v>
      </c>
      <c r="H64" s="11" t="str">
        <f t="shared" si="2"/>
        <v>n/a</v>
      </c>
      <c r="J64" s="5"/>
      <c r="K64" s="5"/>
      <c r="L64" s="5"/>
      <c r="M64" s="5"/>
      <c r="N64" s="5"/>
      <c r="O64" s="8" t="str">
        <f t="shared" si="0"/>
        <v>n/a</v>
      </c>
      <c r="Q64" s="5"/>
      <c r="R64" s="5"/>
      <c r="S64" s="5"/>
      <c r="U64" s="6"/>
      <c r="V64" s="9" t="str">
        <f t="shared" si="3"/>
        <v/>
      </c>
      <c r="W64" s="9" t="str">
        <f t="shared" si="4"/>
        <v/>
      </c>
      <c r="X64" s="10">
        <f>SUM(V$13:V64)/COUNTA(B$13:B64)</f>
        <v>0</v>
      </c>
      <c r="Z64" s="5"/>
      <c r="AA64" s="5"/>
      <c r="AC64" s="7"/>
      <c r="AE64" s="54" t="e">
        <f t="shared" si="5"/>
        <v>#N/A</v>
      </c>
      <c r="AF64" s="4" t="e">
        <f t="shared" si="1"/>
        <v>#N/A</v>
      </c>
    </row>
    <row r="65" spans="2:32">
      <c r="B65" s="5">
        <f t="shared" si="6"/>
        <v>53</v>
      </c>
      <c r="C65" s="5"/>
      <c r="E65" s="13"/>
      <c r="F65" s="5"/>
      <c r="G65" s="11" t="str">
        <f>IF(ISERROR(AVERAGE(F$13:F65)),"n/a",AVERAGE(F$13:F65))</f>
        <v>n/a</v>
      </c>
      <c r="H65" s="11" t="str">
        <f t="shared" si="2"/>
        <v>n/a</v>
      </c>
      <c r="J65" s="5"/>
      <c r="K65" s="5"/>
      <c r="L65" s="5"/>
      <c r="M65" s="5"/>
      <c r="N65" s="5"/>
      <c r="O65" s="8" t="str">
        <f t="shared" si="0"/>
        <v>n/a</v>
      </c>
      <c r="Q65" s="5"/>
      <c r="R65" s="5"/>
      <c r="S65" s="5"/>
      <c r="U65" s="6"/>
      <c r="V65" s="9" t="str">
        <f t="shared" si="3"/>
        <v/>
      </c>
      <c r="W65" s="9" t="str">
        <f t="shared" si="4"/>
        <v/>
      </c>
      <c r="X65" s="10">
        <f>SUM(V$13:V65)/COUNTA(B$13:B65)</f>
        <v>0</v>
      </c>
      <c r="Z65" s="5"/>
      <c r="AA65" s="5"/>
      <c r="AC65" s="7"/>
      <c r="AE65" s="54" t="e">
        <f t="shared" si="5"/>
        <v>#N/A</v>
      </c>
      <c r="AF65" s="4" t="e">
        <f t="shared" si="1"/>
        <v>#N/A</v>
      </c>
    </row>
    <row r="66" spans="2:32">
      <c r="B66" s="5">
        <f t="shared" si="6"/>
        <v>54</v>
      </c>
      <c r="C66" s="5"/>
      <c r="E66" s="13"/>
      <c r="F66" s="5"/>
      <c r="G66" s="11" t="str">
        <f>IF(ISERROR(AVERAGE(F$13:F66)),"n/a",AVERAGE(F$13:F66))</f>
        <v>n/a</v>
      </c>
      <c r="H66" s="11" t="str">
        <f t="shared" si="2"/>
        <v>n/a</v>
      </c>
      <c r="J66" s="5"/>
      <c r="K66" s="5"/>
      <c r="L66" s="5"/>
      <c r="M66" s="5"/>
      <c r="N66" s="5"/>
      <c r="O66" s="8" t="str">
        <f t="shared" si="0"/>
        <v>n/a</v>
      </c>
      <c r="Q66" s="5"/>
      <c r="R66" s="5"/>
      <c r="S66" s="5"/>
      <c r="U66" s="6"/>
      <c r="V66" s="9" t="str">
        <f t="shared" si="3"/>
        <v/>
      </c>
      <c r="W66" s="9" t="str">
        <f t="shared" si="4"/>
        <v/>
      </c>
      <c r="X66" s="10">
        <f>SUM(V$13:V66)/COUNTA(B$13:B66)</f>
        <v>0</v>
      </c>
      <c r="Z66" s="5"/>
      <c r="AA66" s="5"/>
      <c r="AC66" s="7"/>
      <c r="AE66" s="54" t="e">
        <f t="shared" si="5"/>
        <v>#N/A</v>
      </c>
      <c r="AF66" s="4" t="e">
        <f t="shared" si="1"/>
        <v>#N/A</v>
      </c>
    </row>
    <row r="67" spans="2:32">
      <c r="B67" s="5">
        <f t="shared" si="6"/>
        <v>55</v>
      </c>
      <c r="C67" s="5"/>
      <c r="E67" s="13"/>
      <c r="F67" s="5"/>
      <c r="G67" s="11" t="str">
        <f>IF(ISERROR(AVERAGE(F$13:F67)),"n/a",AVERAGE(F$13:F67))</f>
        <v>n/a</v>
      </c>
      <c r="H67" s="11" t="str">
        <f t="shared" si="2"/>
        <v>n/a</v>
      </c>
      <c r="J67" s="5"/>
      <c r="K67" s="5"/>
      <c r="L67" s="5"/>
      <c r="M67" s="5"/>
      <c r="N67" s="5"/>
      <c r="O67" s="8" t="str">
        <f t="shared" si="0"/>
        <v>n/a</v>
      </c>
      <c r="Q67" s="5"/>
      <c r="R67" s="5"/>
      <c r="S67" s="5"/>
      <c r="U67" s="6"/>
      <c r="V67" s="9" t="str">
        <f t="shared" si="3"/>
        <v/>
      </c>
      <c r="W67" s="9" t="str">
        <f t="shared" si="4"/>
        <v/>
      </c>
      <c r="X67" s="10">
        <f>SUM(V$13:V67)/COUNTA(B$13:B67)</f>
        <v>0</v>
      </c>
      <c r="Z67" s="5"/>
      <c r="AA67" s="5"/>
      <c r="AC67" s="7"/>
      <c r="AE67" s="54" t="e">
        <f t="shared" si="5"/>
        <v>#N/A</v>
      </c>
      <c r="AF67" s="4" t="e">
        <f t="shared" si="1"/>
        <v>#N/A</v>
      </c>
    </row>
    <row r="68" spans="2:32">
      <c r="B68" s="5">
        <f t="shared" si="6"/>
        <v>56</v>
      </c>
      <c r="C68" s="5"/>
      <c r="E68" s="13"/>
      <c r="F68" s="5"/>
      <c r="G68" s="11" t="str">
        <f>IF(ISERROR(AVERAGE(F$13:F68)),"n/a",AVERAGE(F$13:F68))</f>
        <v>n/a</v>
      </c>
      <c r="H68" s="11" t="str">
        <f t="shared" si="2"/>
        <v>n/a</v>
      </c>
      <c r="J68" s="5"/>
      <c r="K68" s="5"/>
      <c r="L68" s="5"/>
      <c r="M68" s="5"/>
      <c r="N68" s="5"/>
      <c r="O68" s="8" t="str">
        <f t="shared" si="0"/>
        <v>n/a</v>
      </c>
      <c r="Q68" s="5"/>
      <c r="R68" s="5"/>
      <c r="S68" s="5"/>
      <c r="U68" s="6"/>
      <c r="V68" s="9" t="str">
        <f t="shared" si="3"/>
        <v/>
      </c>
      <c r="W68" s="9" t="str">
        <f t="shared" si="4"/>
        <v/>
      </c>
      <c r="X68" s="10">
        <f>SUM(V$13:V68)/COUNTA(B$13:B68)</f>
        <v>0</v>
      </c>
      <c r="Z68" s="5"/>
      <c r="AA68" s="5"/>
      <c r="AC68" s="7"/>
      <c r="AE68" s="54" t="e">
        <f t="shared" si="5"/>
        <v>#N/A</v>
      </c>
      <c r="AF68" s="4" t="e">
        <f t="shared" si="1"/>
        <v>#N/A</v>
      </c>
    </row>
    <row r="69" spans="2:32">
      <c r="B69" s="5">
        <f t="shared" si="6"/>
        <v>57</v>
      </c>
      <c r="C69" s="5"/>
      <c r="E69" s="13"/>
      <c r="F69" s="5"/>
      <c r="G69" s="11" t="str">
        <f>IF(ISERROR(AVERAGE(F$13:F69)),"n/a",AVERAGE(F$13:F69))</f>
        <v>n/a</v>
      </c>
      <c r="H69" s="11" t="str">
        <f t="shared" si="2"/>
        <v>n/a</v>
      </c>
      <c r="J69" s="5"/>
      <c r="K69" s="5"/>
      <c r="L69" s="5"/>
      <c r="M69" s="5"/>
      <c r="N69" s="5"/>
      <c r="O69" s="8" t="str">
        <f t="shared" si="0"/>
        <v>n/a</v>
      </c>
      <c r="Q69" s="5"/>
      <c r="R69" s="5"/>
      <c r="S69" s="5"/>
      <c r="U69" s="6"/>
      <c r="V69" s="9" t="str">
        <f t="shared" si="3"/>
        <v/>
      </c>
      <c r="W69" s="9" t="str">
        <f t="shared" si="4"/>
        <v/>
      </c>
      <c r="X69" s="10">
        <f>SUM(V$13:V69)/COUNTA(B$13:B69)</f>
        <v>0</v>
      </c>
      <c r="Z69" s="5"/>
      <c r="AA69" s="5"/>
      <c r="AC69" s="7"/>
      <c r="AE69" s="54" t="e">
        <f t="shared" si="5"/>
        <v>#N/A</v>
      </c>
      <c r="AF69" s="4" t="e">
        <f t="shared" si="1"/>
        <v>#N/A</v>
      </c>
    </row>
    <row r="70" spans="2:32">
      <c r="B70" s="5">
        <f t="shared" si="6"/>
        <v>58</v>
      </c>
      <c r="C70" s="5"/>
      <c r="E70" s="13"/>
      <c r="F70" s="5"/>
      <c r="G70" s="11" t="str">
        <f>IF(ISERROR(AVERAGE(F$13:F70)),"n/a",AVERAGE(F$13:F70))</f>
        <v>n/a</v>
      </c>
      <c r="H70" s="11" t="str">
        <f t="shared" si="2"/>
        <v>n/a</v>
      </c>
      <c r="J70" s="5"/>
      <c r="K70" s="5"/>
      <c r="L70" s="5"/>
      <c r="M70" s="5"/>
      <c r="N70" s="5"/>
      <c r="O70" s="8" t="str">
        <f t="shared" si="0"/>
        <v>n/a</v>
      </c>
      <c r="Q70" s="5"/>
      <c r="R70" s="5"/>
      <c r="S70" s="5"/>
      <c r="U70" s="6"/>
      <c r="V70" s="9" t="str">
        <f t="shared" si="3"/>
        <v/>
      </c>
      <c r="W70" s="9" t="str">
        <f t="shared" si="4"/>
        <v/>
      </c>
      <c r="X70" s="10">
        <f>SUM(V$13:V70)/COUNTA(B$13:B70)</f>
        <v>0</v>
      </c>
      <c r="Z70" s="5"/>
      <c r="AA70" s="5"/>
      <c r="AC70" s="7"/>
      <c r="AE70" s="54" t="e">
        <f t="shared" si="5"/>
        <v>#N/A</v>
      </c>
      <c r="AF70" s="4" t="e">
        <f t="shared" si="1"/>
        <v>#N/A</v>
      </c>
    </row>
    <row r="71" spans="2:32">
      <c r="B71" s="5">
        <f t="shared" si="6"/>
        <v>59</v>
      </c>
      <c r="C71" s="5"/>
      <c r="E71" s="13"/>
      <c r="F71" s="5"/>
      <c r="G71" s="11" t="str">
        <f>IF(ISERROR(AVERAGE(F$13:F71)),"n/a",AVERAGE(F$13:F71))</f>
        <v>n/a</v>
      </c>
      <c r="H71" s="11" t="str">
        <f t="shared" si="2"/>
        <v>n/a</v>
      </c>
      <c r="J71" s="5"/>
      <c r="K71" s="5"/>
      <c r="L71" s="5"/>
      <c r="M71" s="5"/>
      <c r="N71" s="5"/>
      <c r="O71" s="8" t="str">
        <f t="shared" si="0"/>
        <v>n/a</v>
      </c>
      <c r="Q71" s="5"/>
      <c r="R71" s="5"/>
      <c r="S71" s="5"/>
      <c r="U71" s="6"/>
      <c r="V71" s="9" t="str">
        <f t="shared" si="3"/>
        <v/>
      </c>
      <c r="W71" s="9" t="str">
        <f t="shared" si="4"/>
        <v/>
      </c>
      <c r="X71" s="10">
        <f>SUM(V$13:V71)/COUNTA(B$13:B71)</f>
        <v>0</v>
      </c>
      <c r="Z71" s="5"/>
      <c r="AA71" s="5"/>
      <c r="AC71" s="7"/>
      <c r="AE71" s="54" t="e">
        <f t="shared" si="5"/>
        <v>#N/A</v>
      </c>
      <c r="AF71" s="4" t="e">
        <f t="shared" si="1"/>
        <v>#N/A</v>
      </c>
    </row>
    <row r="72" spans="2:32">
      <c r="B72" s="5">
        <f t="shared" si="6"/>
        <v>60</v>
      </c>
      <c r="C72" s="5"/>
      <c r="E72" s="13"/>
      <c r="F72" s="5"/>
      <c r="G72" s="11" t="str">
        <f>IF(ISERROR(AVERAGE(F$13:F72)),"n/a",AVERAGE(F$13:F72))</f>
        <v>n/a</v>
      </c>
      <c r="H72" s="11" t="str">
        <f t="shared" si="2"/>
        <v>n/a</v>
      </c>
      <c r="J72" s="5"/>
      <c r="K72" s="5"/>
      <c r="L72" s="5"/>
      <c r="M72" s="5"/>
      <c r="N72" s="5"/>
      <c r="O72" s="8" t="str">
        <f t="shared" si="0"/>
        <v>n/a</v>
      </c>
      <c r="Q72" s="5"/>
      <c r="R72" s="5"/>
      <c r="S72" s="5"/>
      <c r="U72" s="6"/>
      <c r="V72" s="9" t="str">
        <f t="shared" si="3"/>
        <v/>
      </c>
      <c r="W72" s="9" t="str">
        <f t="shared" si="4"/>
        <v/>
      </c>
      <c r="X72" s="10">
        <f>SUM(V$13:V72)/COUNTA(B$13:B72)</f>
        <v>0</v>
      </c>
      <c r="Z72" s="5"/>
      <c r="AA72" s="5"/>
      <c r="AC72" s="7"/>
      <c r="AE72" s="54" t="e">
        <f t="shared" si="5"/>
        <v>#N/A</v>
      </c>
      <c r="AF72" s="4" t="e">
        <f t="shared" si="1"/>
        <v>#N/A</v>
      </c>
    </row>
    <row r="73" spans="2:32">
      <c r="B73" s="5">
        <f t="shared" si="6"/>
        <v>61</v>
      </c>
      <c r="C73" s="5"/>
      <c r="E73" s="13"/>
      <c r="F73" s="5"/>
      <c r="G73" s="11" t="str">
        <f>IF(ISERROR(AVERAGE(F$13:F73)),"n/a",AVERAGE(F$13:F73))</f>
        <v>n/a</v>
      </c>
      <c r="H73" s="11" t="str">
        <f t="shared" si="2"/>
        <v>n/a</v>
      </c>
      <c r="J73" s="5"/>
      <c r="K73" s="5"/>
      <c r="L73" s="5"/>
      <c r="M73" s="5"/>
      <c r="N73" s="5"/>
      <c r="O73" s="8" t="str">
        <f t="shared" si="0"/>
        <v>n/a</v>
      </c>
      <c r="Q73" s="5"/>
      <c r="R73" s="5"/>
      <c r="S73" s="5"/>
      <c r="U73" s="6"/>
      <c r="V73" s="9" t="str">
        <f t="shared" si="3"/>
        <v/>
      </c>
      <c r="W73" s="9" t="str">
        <f t="shared" si="4"/>
        <v/>
      </c>
      <c r="X73" s="10">
        <f>SUM(V$13:V73)/COUNTA(B$13:B73)</f>
        <v>0</v>
      </c>
      <c r="Z73" s="5"/>
      <c r="AA73" s="5"/>
      <c r="AC73" s="7"/>
      <c r="AE73" s="54" t="e">
        <f t="shared" si="5"/>
        <v>#N/A</v>
      </c>
      <c r="AF73" s="4" t="e">
        <f t="shared" si="1"/>
        <v>#N/A</v>
      </c>
    </row>
    <row r="74" spans="2:32">
      <c r="B74" s="5">
        <f t="shared" si="6"/>
        <v>62</v>
      </c>
      <c r="C74" s="5"/>
      <c r="E74" s="13"/>
      <c r="F74" s="5"/>
      <c r="G74" s="11" t="str">
        <f>IF(ISERROR(AVERAGE(F$13:F74)),"n/a",AVERAGE(F$13:F74))</f>
        <v>n/a</v>
      </c>
      <c r="H74" s="11" t="str">
        <f t="shared" si="2"/>
        <v>n/a</v>
      </c>
      <c r="J74" s="5"/>
      <c r="K74" s="5"/>
      <c r="L74" s="5"/>
      <c r="M74" s="5"/>
      <c r="N74" s="5"/>
      <c r="O74" s="8" t="str">
        <f t="shared" si="0"/>
        <v>n/a</v>
      </c>
      <c r="Q74" s="5"/>
      <c r="R74" s="5"/>
      <c r="S74" s="5"/>
      <c r="U74" s="6"/>
      <c r="V74" s="9" t="str">
        <f t="shared" si="3"/>
        <v/>
      </c>
      <c r="W74" s="9" t="str">
        <f t="shared" si="4"/>
        <v/>
      </c>
      <c r="X74" s="10">
        <f>SUM(V$13:V74)/COUNTA(B$13:B74)</f>
        <v>0</v>
      </c>
      <c r="Z74" s="5"/>
      <c r="AA74" s="5"/>
      <c r="AC74" s="7"/>
      <c r="AE74" s="54" t="e">
        <f t="shared" si="5"/>
        <v>#N/A</v>
      </c>
      <c r="AF74" s="4" t="e">
        <f t="shared" si="1"/>
        <v>#N/A</v>
      </c>
    </row>
    <row r="75" spans="2:32">
      <c r="B75" s="5">
        <f t="shared" si="6"/>
        <v>63</v>
      </c>
      <c r="C75" s="5"/>
      <c r="E75" s="13"/>
      <c r="F75" s="5"/>
      <c r="G75" s="11" t="str">
        <f>IF(ISERROR(AVERAGE(F$13:F75)),"n/a",AVERAGE(F$13:F75))</f>
        <v>n/a</v>
      </c>
      <c r="H75" s="11" t="str">
        <f t="shared" si="2"/>
        <v>n/a</v>
      </c>
      <c r="J75" s="5"/>
      <c r="K75" s="5"/>
      <c r="L75" s="5"/>
      <c r="M75" s="5"/>
      <c r="N75" s="5"/>
      <c r="O75" s="8" t="str">
        <f t="shared" si="0"/>
        <v>n/a</v>
      </c>
      <c r="Q75" s="5"/>
      <c r="R75" s="5"/>
      <c r="S75" s="5"/>
      <c r="U75" s="6"/>
      <c r="V75" s="9" t="str">
        <f t="shared" si="3"/>
        <v/>
      </c>
      <c r="W75" s="9" t="str">
        <f t="shared" si="4"/>
        <v/>
      </c>
      <c r="X75" s="10">
        <f>SUM(V$13:V75)/COUNTA(B$13:B75)</f>
        <v>0</v>
      </c>
      <c r="Z75" s="5"/>
      <c r="AA75" s="5"/>
      <c r="AC75" s="7"/>
      <c r="AE75" s="54" t="e">
        <f t="shared" si="5"/>
        <v>#N/A</v>
      </c>
      <c r="AF75" s="4" t="e">
        <f t="shared" si="1"/>
        <v>#N/A</v>
      </c>
    </row>
    <row r="76" spans="2:32">
      <c r="B76" s="5">
        <f t="shared" si="6"/>
        <v>64</v>
      </c>
      <c r="C76" s="5"/>
      <c r="E76" s="13"/>
      <c r="F76" s="5"/>
      <c r="G76" s="11" t="str">
        <f>IF(ISERROR(AVERAGE(F$13:F76)),"n/a",AVERAGE(F$13:F76))</f>
        <v>n/a</v>
      </c>
      <c r="H76" s="11" t="str">
        <f t="shared" si="2"/>
        <v>n/a</v>
      </c>
      <c r="J76" s="5"/>
      <c r="K76" s="5"/>
      <c r="L76" s="5"/>
      <c r="M76" s="5"/>
      <c r="N76" s="5"/>
      <c r="O76" s="8" t="str">
        <f t="shared" si="0"/>
        <v>n/a</v>
      </c>
      <c r="Q76" s="5"/>
      <c r="R76" s="5"/>
      <c r="S76" s="5"/>
      <c r="U76" s="6"/>
      <c r="V76" s="9" t="str">
        <f t="shared" si="3"/>
        <v/>
      </c>
      <c r="W76" s="9" t="str">
        <f t="shared" si="4"/>
        <v/>
      </c>
      <c r="X76" s="10">
        <f>SUM(V$13:V76)/COUNTA(B$13:B76)</f>
        <v>0</v>
      </c>
      <c r="Z76" s="5"/>
      <c r="AA76" s="5"/>
      <c r="AC76" s="7"/>
      <c r="AE76" s="54" t="e">
        <f t="shared" si="5"/>
        <v>#N/A</v>
      </c>
      <c r="AF76" s="4" t="e">
        <f t="shared" si="1"/>
        <v>#N/A</v>
      </c>
    </row>
    <row r="77" spans="2:32">
      <c r="B77" s="5">
        <f t="shared" si="6"/>
        <v>65</v>
      </c>
      <c r="C77" s="5"/>
      <c r="E77" s="13"/>
      <c r="F77" s="5"/>
      <c r="G77" s="11" t="str">
        <f>IF(ISERROR(AVERAGE(F$13:F77)),"n/a",AVERAGE(F$13:F77))</f>
        <v>n/a</v>
      </c>
      <c r="H77" s="11" t="str">
        <f t="shared" si="2"/>
        <v>n/a</v>
      </c>
      <c r="J77" s="5"/>
      <c r="K77" s="5"/>
      <c r="L77" s="5"/>
      <c r="M77" s="5"/>
      <c r="N77" s="5"/>
      <c r="O77" s="8" t="str">
        <f t="shared" ref="O77:O140" si="24">IF(J77=1,"A",IF(K77=1,"B",IF(L77=1,"C",IF(M77=1,"D",IF(N77=1,"E","n/a")))))</f>
        <v>n/a</v>
      </c>
      <c r="Q77" s="5"/>
      <c r="R77" s="5"/>
      <c r="S77" s="5"/>
      <c r="U77" s="6"/>
      <c r="V77" s="9" t="str">
        <f t="shared" si="3"/>
        <v/>
      </c>
      <c r="W77" s="9" t="str">
        <f t="shared" si="4"/>
        <v/>
      </c>
      <c r="X77" s="10">
        <f>SUM(V$13:V77)/COUNTA(B$13:B77)</f>
        <v>0</v>
      </c>
      <c r="Z77" s="5"/>
      <c r="AA77" s="5"/>
      <c r="AC77" s="7"/>
      <c r="AE77" s="54" t="e">
        <f t="shared" si="5"/>
        <v>#N/A</v>
      </c>
      <c r="AF77" s="4" t="e">
        <f t="shared" ref="AF77:AF140" si="25">HLOOKUP(C77,$K$6:$O$7,2,FALSE)</f>
        <v>#N/A</v>
      </c>
    </row>
    <row r="78" spans="2:32">
      <c r="B78" s="5">
        <f t="shared" si="6"/>
        <v>66</v>
      </c>
      <c r="C78" s="5"/>
      <c r="E78" s="13"/>
      <c r="F78" s="5"/>
      <c r="G78" s="11" t="str">
        <f>IF(ISERROR(AVERAGE(F$13:F78)),"n/a",AVERAGE(F$13:F78))</f>
        <v>n/a</v>
      </c>
      <c r="H78" s="11" t="str">
        <f t="shared" ref="H78:H141" si="26">G78</f>
        <v>n/a</v>
      </c>
      <c r="J78" s="5"/>
      <c r="K78" s="5"/>
      <c r="L78" s="5"/>
      <c r="M78" s="5"/>
      <c r="N78" s="5"/>
      <c r="O78" s="8" t="str">
        <f t="shared" si="24"/>
        <v>n/a</v>
      </c>
      <c r="Q78" s="5"/>
      <c r="R78" s="5"/>
      <c r="S78" s="5"/>
      <c r="U78" s="6"/>
      <c r="V78" s="9" t="str">
        <f t="shared" ref="V78:V141" si="27">IF(O78="n/a","",IF(O78=U78,1,""))</f>
        <v/>
      </c>
      <c r="W78" s="9" t="str">
        <f t="shared" ref="W78:W141" si="28">IF(O78="n/a","",IF(O78&lt;&gt;U78,1,""))</f>
        <v/>
      </c>
      <c r="X78" s="10">
        <f>SUM(V$13:V78)/COUNTA(B$13:B78)</f>
        <v>0</v>
      </c>
      <c r="Z78" s="5"/>
      <c r="AA78" s="5"/>
      <c r="AC78" s="7"/>
      <c r="AE78" s="54" t="e">
        <f t="shared" ref="AE78:AE141" si="29">+IF($F$4=0,0,IF(W78=1,1,IF(OR(R78*$F$8=1,S78*$F$9=1,F78&gt;=AF78),2,0)))</f>
        <v>#N/A</v>
      </c>
      <c r="AF78" s="4" t="e">
        <f t="shared" si="25"/>
        <v>#N/A</v>
      </c>
    </row>
    <row r="79" spans="2:32">
      <c r="B79" s="5">
        <f t="shared" si="6"/>
        <v>67</v>
      </c>
      <c r="C79" s="5"/>
      <c r="E79" s="13"/>
      <c r="F79" s="5"/>
      <c r="G79" s="11" t="str">
        <f>IF(ISERROR(AVERAGE(F$13:F79)),"n/a",AVERAGE(F$13:F79))</f>
        <v>n/a</v>
      </c>
      <c r="H79" s="11" t="str">
        <f t="shared" si="26"/>
        <v>n/a</v>
      </c>
      <c r="J79" s="5"/>
      <c r="K79" s="5"/>
      <c r="L79" s="5"/>
      <c r="M79" s="5"/>
      <c r="N79" s="5"/>
      <c r="O79" s="8" t="str">
        <f t="shared" si="24"/>
        <v>n/a</v>
      </c>
      <c r="Q79" s="5"/>
      <c r="R79" s="5"/>
      <c r="S79" s="5"/>
      <c r="U79" s="6"/>
      <c r="V79" s="9" t="str">
        <f t="shared" si="27"/>
        <v/>
      </c>
      <c r="W79" s="9" t="str">
        <f t="shared" si="28"/>
        <v/>
      </c>
      <c r="X79" s="10">
        <f>SUM(V$13:V79)/COUNTA(B$13:B79)</f>
        <v>0</v>
      </c>
      <c r="Z79" s="5"/>
      <c r="AA79" s="5"/>
      <c r="AC79" s="7"/>
      <c r="AE79" s="54" t="e">
        <f t="shared" si="29"/>
        <v>#N/A</v>
      </c>
      <c r="AF79" s="4" t="e">
        <f t="shared" si="25"/>
        <v>#N/A</v>
      </c>
    </row>
    <row r="80" spans="2:32">
      <c r="B80" s="5">
        <f t="shared" si="6"/>
        <v>68</v>
      </c>
      <c r="C80" s="5"/>
      <c r="E80" s="13"/>
      <c r="F80" s="5"/>
      <c r="G80" s="11" t="str">
        <f>IF(ISERROR(AVERAGE(F$13:F80)),"n/a",AVERAGE(F$13:F80))</f>
        <v>n/a</v>
      </c>
      <c r="H80" s="11" t="str">
        <f t="shared" si="26"/>
        <v>n/a</v>
      </c>
      <c r="J80" s="5"/>
      <c r="K80" s="5"/>
      <c r="L80" s="5"/>
      <c r="M80" s="5"/>
      <c r="N80" s="5"/>
      <c r="O80" s="8" t="str">
        <f t="shared" si="24"/>
        <v>n/a</v>
      </c>
      <c r="Q80" s="5"/>
      <c r="R80" s="5"/>
      <c r="S80" s="5"/>
      <c r="U80" s="6"/>
      <c r="V80" s="9" t="str">
        <f t="shared" si="27"/>
        <v/>
      </c>
      <c r="W80" s="9" t="str">
        <f t="shared" si="28"/>
        <v/>
      </c>
      <c r="X80" s="10">
        <f>SUM(V$13:V80)/COUNTA(B$13:B80)</f>
        <v>0</v>
      </c>
      <c r="Z80" s="5"/>
      <c r="AA80" s="5"/>
      <c r="AC80" s="7"/>
      <c r="AE80" s="54" t="e">
        <f t="shared" si="29"/>
        <v>#N/A</v>
      </c>
      <c r="AF80" s="4" t="e">
        <f t="shared" si="25"/>
        <v>#N/A</v>
      </c>
    </row>
    <row r="81" spans="2:32">
      <c r="B81" s="5">
        <f t="shared" si="6"/>
        <v>69</v>
      </c>
      <c r="C81" s="5"/>
      <c r="E81" s="13"/>
      <c r="F81" s="5"/>
      <c r="G81" s="11" t="str">
        <f>IF(ISERROR(AVERAGE(F$13:F81)),"n/a",AVERAGE(F$13:F81))</f>
        <v>n/a</v>
      </c>
      <c r="H81" s="11" t="str">
        <f t="shared" si="26"/>
        <v>n/a</v>
      </c>
      <c r="J81" s="5"/>
      <c r="K81" s="5"/>
      <c r="L81" s="5"/>
      <c r="M81" s="5"/>
      <c r="N81" s="5"/>
      <c r="O81" s="8" t="str">
        <f t="shared" si="24"/>
        <v>n/a</v>
      </c>
      <c r="Q81" s="5"/>
      <c r="R81" s="5"/>
      <c r="S81" s="5"/>
      <c r="U81" s="6"/>
      <c r="V81" s="9" t="str">
        <f t="shared" si="27"/>
        <v/>
      </c>
      <c r="W81" s="9" t="str">
        <f t="shared" si="28"/>
        <v/>
      </c>
      <c r="X81" s="10">
        <f>SUM(V$13:V81)/COUNTA(B$13:B81)</f>
        <v>0</v>
      </c>
      <c r="Z81" s="5"/>
      <c r="AA81" s="5"/>
      <c r="AC81" s="7"/>
      <c r="AE81" s="54" t="e">
        <f t="shared" si="29"/>
        <v>#N/A</v>
      </c>
      <c r="AF81" s="4" t="e">
        <f t="shared" si="25"/>
        <v>#N/A</v>
      </c>
    </row>
    <row r="82" spans="2:32">
      <c r="B82" s="5">
        <f t="shared" si="6"/>
        <v>70</v>
      </c>
      <c r="C82" s="5"/>
      <c r="E82" s="13"/>
      <c r="F82" s="5"/>
      <c r="G82" s="11" t="str">
        <f>IF(ISERROR(AVERAGE(F$13:F82)),"n/a",AVERAGE(F$13:F82))</f>
        <v>n/a</v>
      </c>
      <c r="H82" s="11" t="str">
        <f t="shared" si="26"/>
        <v>n/a</v>
      </c>
      <c r="J82" s="5"/>
      <c r="K82" s="5"/>
      <c r="L82" s="5"/>
      <c r="M82" s="5"/>
      <c r="N82" s="5"/>
      <c r="O82" s="8" t="str">
        <f t="shared" si="24"/>
        <v>n/a</v>
      </c>
      <c r="Q82" s="5"/>
      <c r="R82" s="5"/>
      <c r="S82" s="5"/>
      <c r="U82" s="6"/>
      <c r="V82" s="9" t="str">
        <f t="shared" si="27"/>
        <v/>
      </c>
      <c r="W82" s="9" t="str">
        <f t="shared" si="28"/>
        <v/>
      </c>
      <c r="X82" s="10">
        <f>SUM(V$13:V82)/COUNTA(B$13:B82)</f>
        <v>0</v>
      </c>
      <c r="Z82" s="5"/>
      <c r="AA82" s="5"/>
      <c r="AC82" s="7"/>
      <c r="AE82" s="54" t="e">
        <f t="shared" si="29"/>
        <v>#N/A</v>
      </c>
      <c r="AF82" s="4" t="e">
        <f t="shared" si="25"/>
        <v>#N/A</v>
      </c>
    </row>
    <row r="83" spans="2:32">
      <c r="B83" s="5">
        <f t="shared" ref="B83:B146" si="30">+B82+1</f>
        <v>71</v>
      </c>
      <c r="C83" s="5"/>
      <c r="E83" s="13"/>
      <c r="F83" s="5"/>
      <c r="G83" s="11" t="str">
        <f>IF(ISERROR(AVERAGE(F$13:F83)),"n/a",AVERAGE(F$13:F83))</f>
        <v>n/a</v>
      </c>
      <c r="H83" s="11" t="str">
        <f t="shared" si="26"/>
        <v>n/a</v>
      </c>
      <c r="J83" s="5"/>
      <c r="K83" s="5"/>
      <c r="L83" s="5"/>
      <c r="M83" s="5"/>
      <c r="N83" s="5"/>
      <c r="O83" s="8" t="str">
        <f t="shared" si="24"/>
        <v>n/a</v>
      </c>
      <c r="Q83" s="5"/>
      <c r="R83" s="5"/>
      <c r="S83" s="5"/>
      <c r="U83" s="6"/>
      <c r="V83" s="9" t="str">
        <f t="shared" si="27"/>
        <v/>
      </c>
      <c r="W83" s="9" t="str">
        <f t="shared" si="28"/>
        <v/>
      </c>
      <c r="X83" s="10">
        <f>SUM(V$13:V83)/COUNTA(B$13:B83)</f>
        <v>0</v>
      </c>
      <c r="Z83" s="5"/>
      <c r="AA83" s="5"/>
      <c r="AC83" s="7"/>
      <c r="AE83" s="54" t="e">
        <f t="shared" si="29"/>
        <v>#N/A</v>
      </c>
      <c r="AF83" s="4" t="e">
        <f t="shared" si="25"/>
        <v>#N/A</v>
      </c>
    </row>
    <row r="84" spans="2:32">
      <c r="B84" s="5">
        <f t="shared" si="30"/>
        <v>72</v>
      </c>
      <c r="C84" s="5"/>
      <c r="E84" s="13"/>
      <c r="F84" s="5"/>
      <c r="G84" s="11" t="str">
        <f>IF(ISERROR(AVERAGE(F$13:F84)),"n/a",AVERAGE(F$13:F84))</f>
        <v>n/a</v>
      </c>
      <c r="H84" s="11" t="str">
        <f t="shared" si="26"/>
        <v>n/a</v>
      </c>
      <c r="J84" s="5"/>
      <c r="K84" s="5"/>
      <c r="L84" s="5"/>
      <c r="M84" s="5"/>
      <c r="N84" s="5"/>
      <c r="O84" s="8" t="str">
        <f t="shared" si="24"/>
        <v>n/a</v>
      </c>
      <c r="Q84" s="5"/>
      <c r="R84" s="5"/>
      <c r="S84" s="5"/>
      <c r="U84" s="6"/>
      <c r="V84" s="9" t="str">
        <f t="shared" si="27"/>
        <v/>
      </c>
      <c r="W84" s="9" t="str">
        <f t="shared" si="28"/>
        <v/>
      </c>
      <c r="X84" s="10">
        <f>SUM(V$13:V84)/COUNTA(B$13:B84)</f>
        <v>0</v>
      </c>
      <c r="Z84" s="5"/>
      <c r="AA84" s="5"/>
      <c r="AC84" s="7"/>
      <c r="AE84" s="54" t="e">
        <f t="shared" si="29"/>
        <v>#N/A</v>
      </c>
      <c r="AF84" s="4" t="e">
        <f t="shared" si="25"/>
        <v>#N/A</v>
      </c>
    </row>
    <row r="85" spans="2:32">
      <c r="B85" s="5">
        <f t="shared" si="30"/>
        <v>73</v>
      </c>
      <c r="C85" s="5"/>
      <c r="E85" s="13"/>
      <c r="F85" s="5"/>
      <c r="G85" s="11" t="str">
        <f>IF(ISERROR(AVERAGE(F$13:F85)),"n/a",AVERAGE(F$13:F85))</f>
        <v>n/a</v>
      </c>
      <c r="H85" s="11" t="str">
        <f t="shared" si="26"/>
        <v>n/a</v>
      </c>
      <c r="J85" s="5"/>
      <c r="K85" s="5"/>
      <c r="L85" s="5"/>
      <c r="M85" s="5"/>
      <c r="N85" s="5"/>
      <c r="O85" s="8" t="str">
        <f t="shared" si="24"/>
        <v>n/a</v>
      </c>
      <c r="Q85" s="5"/>
      <c r="R85" s="5"/>
      <c r="S85" s="5"/>
      <c r="U85" s="6"/>
      <c r="V85" s="9" t="str">
        <f t="shared" si="27"/>
        <v/>
      </c>
      <c r="W85" s="9" t="str">
        <f t="shared" si="28"/>
        <v/>
      </c>
      <c r="X85" s="10">
        <f>SUM(V$13:V85)/COUNTA(B$13:B85)</f>
        <v>0</v>
      </c>
      <c r="Z85" s="5"/>
      <c r="AA85" s="5"/>
      <c r="AC85" s="7"/>
      <c r="AE85" s="54" t="e">
        <f t="shared" si="29"/>
        <v>#N/A</v>
      </c>
      <c r="AF85" s="4" t="e">
        <f t="shared" si="25"/>
        <v>#N/A</v>
      </c>
    </row>
    <row r="86" spans="2:32">
      <c r="B86" s="5">
        <f t="shared" si="30"/>
        <v>74</v>
      </c>
      <c r="C86" s="5"/>
      <c r="E86" s="13"/>
      <c r="F86" s="5"/>
      <c r="G86" s="11" t="str">
        <f>IF(ISERROR(AVERAGE(F$13:F86)),"n/a",AVERAGE(F$13:F86))</f>
        <v>n/a</v>
      </c>
      <c r="H86" s="11" t="str">
        <f t="shared" si="26"/>
        <v>n/a</v>
      </c>
      <c r="J86" s="5"/>
      <c r="K86" s="5"/>
      <c r="L86" s="5"/>
      <c r="M86" s="5"/>
      <c r="N86" s="5"/>
      <c r="O86" s="8" t="str">
        <f t="shared" si="24"/>
        <v>n/a</v>
      </c>
      <c r="Q86" s="5"/>
      <c r="R86" s="5"/>
      <c r="S86" s="5"/>
      <c r="U86" s="6"/>
      <c r="V86" s="9" t="str">
        <f t="shared" si="27"/>
        <v/>
      </c>
      <c r="W86" s="9" t="str">
        <f t="shared" si="28"/>
        <v/>
      </c>
      <c r="X86" s="10">
        <f>SUM(V$13:V86)/COUNTA(B$13:B86)</f>
        <v>0</v>
      </c>
      <c r="Z86" s="5"/>
      <c r="AA86" s="5"/>
      <c r="AC86" s="7"/>
      <c r="AE86" s="54" t="e">
        <f t="shared" si="29"/>
        <v>#N/A</v>
      </c>
      <c r="AF86" s="4" t="e">
        <f t="shared" si="25"/>
        <v>#N/A</v>
      </c>
    </row>
    <row r="87" spans="2:32">
      <c r="B87" s="5">
        <f t="shared" si="30"/>
        <v>75</v>
      </c>
      <c r="C87" s="5"/>
      <c r="E87" s="13"/>
      <c r="F87" s="5"/>
      <c r="G87" s="11" t="str">
        <f>IF(ISERROR(AVERAGE(F$13:F87)),"n/a",AVERAGE(F$13:F87))</f>
        <v>n/a</v>
      </c>
      <c r="H87" s="11" t="str">
        <f t="shared" si="26"/>
        <v>n/a</v>
      </c>
      <c r="J87" s="5"/>
      <c r="K87" s="5"/>
      <c r="L87" s="5"/>
      <c r="M87" s="5"/>
      <c r="N87" s="5"/>
      <c r="O87" s="8" t="str">
        <f t="shared" si="24"/>
        <v>n/a</v>
      </c>
      <c r="Q87" s="5"/>
      <c r="R87" s="5"/>
      <c r="S87" s="5"/>
      <c r="U87" s="6"/>
      <c r="V87" s="9" t="str">
        <f t="shared" si="27"/>
        <v/>
      </c>
      <c r="W87" s="9" t="str">
        <f t="shared" si="28"/>
        <v/>
      </c>
      <c r="X87" s="10">
        <f>SUM(V$13:V87)/COUNTA(B$13:B87)</f>
        <v>0</v>
      </c>
      <c r="Z87" s="5"/>
      <c r="AA87" s="5"/>
      <c r="AC87" s="7"/>
      <c r="AE87" s="54" t="e">
        <f t="shared" si="29"/>
        <v>#N/A</v>
      </c>
      <c r="AF87" s="4" t="e">
        <f t="shared" si="25"/>
        <v>#N/A</v>
      </c>
    </row>
    <row r="88" spans="2:32">
      <c r="B88" s="5">
        <f t="shared" si="30"/>
        <v>76</v>
      </c>
      <c r="C88" s="5"/>
      <c r="E88" s="13"/>
      <c r="F88" s="5"/>
      <c r="G88" s="11" t="str">
        <f>IF(ISERROR(AVERAGE(F$13:F88)),"n/a",AVERAGE(F$13:F88))</f>
        <v>n/a</v>
      </c>
      <c r="H88" s="11" t="str">
        <f t="shared" si="26"/>
        <v>n/a</v>
      </c>
      <c r="J88" s="5"/>
      <c r="K88" s="5"/>
      <c r="L88" s="5"/>
      <c r="M88" s="5"/>
      <c r="N88" s="5"/>
      <c r="O88" s="8" t="str">
        <f t="shared" si="24"/>
        <v>n/a</v>
      </c>
      <c r="Q88" s="5"/>
      <c r="R88" s="5"/>
      <c r="S88" s="5"/>
      <c r="U88" s="6"/>
      <c r="V88" s="9" t="str">
        <f t="shared" si="27"/>
        <v/>
      </c>
      <c r="W88" s="9" t="str">
        <f t="shared" si="28"/>
        <v/>
      </c>
      <c r="X88" s="10">
        <f>SUM(V$13:V88)/COUNTA(B$13:B88)</f>
        <v>0</v>
      </c>
      <c r="Z88" s="5"/>
      <c r="AA88" s="5"/>
      <c r="AC88" s="7"/>
      <c r="AE88" s="54" t="e">
        <f t="shared" si="29"/>
        <v>#N/A</v>
      </c>
      <c r="AF88" s="4" t="e">
        <f t="shared" si="25"/>
        <v>#N/A</v>
      </c>
    </row>
    <row r="89" spans="2:32">
      <c r="B89" s="5">
        <f t="shared" si="30"/>
        <v>77</v>
      </c>
      <c r="C89" s="5"/>
      <c r="E89" s="13"/>
      <c r="F89" s="5"/>
      <c r="G89" s="11" t="str">
        <f>IF(ISERROR(AVERAGE(F$13:F89)),"n/a",AVERAGE(F$13:F89))</f>
        <v>n/a</v>
      </c>
      <c r="H89" s="11" t="str">
        <f t="shared" si="26"/>
        <v>n/a</v>
      </c>
      <c r="J89" s="5"/>
      <c r="K89" s="5"/>
      <c r="L89" s="5"/>
      <c r="M89" s="5"/>
      <c r="N89" s="5"/>
      <c r="O89" s="8" t="str">
        <f t="shared" si="24"/>
        <v>n/a</v>
      </c>
      <c r="Q89" s="5"/>
      <c r="R89" s="5"/>
      <c r="S89" s="5"/>
      <c r="U89" s="6"/>
      <c r="V89" s="9" t="str">
        <f t="shared" si="27"/>
        <v/>
      </c>
      <c r="W89" s="9" t="str">
        <f t="shared" si="28"/>
        <v/>
      </c>
      <c r="X89" s="10">
        <f>SUM(V$13:V89)/COUNTA(B$13:B89)</f>
        <v>0</v>
      </c>
      <c r="Z89" s="5"/>
      <c r="AA89" s="5"/>
      <c r="AC89" s="7"/>
      <c r="AE89" s="54" t="e">
        <f t="shared" si="29"/>
        <v>#N/A</v>
      </c>
      <c r="AF89" s="4" t="e">
        <f t="shared" si="25"/>
        <v>#N/A</v>
      </c>
    </row>
    <row r="90" spans="2:32">
      <c r="B90" s="5">
        <f t="shared" si="30"/>
        <v>78</v>
      </c>
      <c r="C90" s="5"/>
      <c r="E90" s="13"/>
      <c r="F90" s="5"/>
      <c r="G90" s="11" t="str">
        <f>IF(ISERROR(AVERAGE(F$13:F90)),"n/a",AVERAGE(F$13:F90))</f>
        <v>n/a</v>
      </c>
      <c r="H90" s="11" t="str">
        <f t="shared" si="26"/>
        <v>n/a</v>
      </c>
      <c r="J90" s="5"/>
      <c r="K90" s="5"/>
      <c r="L90" s="5"/>
      <c r="M90" s="5"/>
      <c r="N90" s="5"/>
      <c r="O90" s="8" t="str">
        <f t="shared" si="24"/>
        <v>n/a</v>
      </c>
      <c r="Q90" s="5"/>
      <c r="R90" s="5"/>
      <c r="S90" s="5"/>
      <c r="U90" s="6"/>
      <c r="V90" s="9" t="str">
        <f t="shared" si="27"/>
        <v/>
      </c>
      <c r="W90" s="9" t="str">
        <f t="shared" si="28"/>
        <v/>
      </c>
      <c r="X90" s="10">
        <f>SUM(V$13:V90)/COUNTA(B$13:B90)</f>
        <v>0</v>
      </c>
      <c r="Z90" s="5"/>
      <c r="AA90" s="5"/>
      <c r="AC90" s="7"/>
      <c r="AE90" s="54" t="e">
        <f t="shared" si="29"/>
        <v>#N/A</v>
      </c>
      <c r="AF90" s="4" t="e">
        <f t="shared" si="25"/>
        <v>#N/A</v>
      </c>
    </row>
    <row r="91" spans="2:32">
      <c r="B91" s="5">
        <f t="shared" si="30"/>
        <v>79</v>
      </c>
      <c r="C91" s="5"/>
      <c r="E91" s="13"/>
      <c r="F91" s="5"/>
      <c r="G91" s="11" t="str">
        <f>IF(ISERROR(AVERAGE(F$13:F91)),"n/a",AVERAGE(F$13:F91))</f>
        <v>n/a</v>
      </c>
      <c r="H91" s="11" t="str">
        <f t="shared" si="26"/>
        <v>n/a</v>
      </c>
      <c r="J91" s="5"/>
      <c r="K91" s="5"/>
      <c r="L91" s="5"/>
      <c r="M91" s="5"/>
      <c r="N91" s="5"/>
      <c r="O91" s="8" t="str">
        <f t="shared" si="24"/>
        <v>n/a</v>
      </c>
      <c r="Q91" s="5"/>
      <c r="R91" s="5"/>
      <c r="S91" s="5"/>
      <c r="U91" s="6"/>
      <c r="V91" s="9" t="str">
        <f t="shared" si="27"/>
        <v/>
      </c>
      <c r="W91" s="9" t="str">
        <f t="shared" si="28"/>
        <v/>
      </c>
      <c r="X91" s="10">
        <f>SUM(V$13:V91)/COUNTA(B$13:B91)</f>
        <v>0</v>
      </c>
      <c r="Z91" s="5"/>
      <c r="AA91" s="5"/>
      <c r="AC91" s="7"/>
      <c r="AE91" s="54" t="e">
        <f t="shared" si="29"/>
        <v>#N/A</v>
      </c>
      <c r="AF91" s="4" t="e">
        <f t="shared" si="25"/>
        <v>#N/A</v>
      </c>
    </row>
    <row r="92" spans="2:32">
      <c r="B92" s="5">
        <f t="shared" si="30"/>
        <v>80</v>
      </c>
      <c r="C92" s="5"/>
      <c r="E92" s="13"/>
      <c r="F92" s="5"/>
      <c r="G92" s="11" t="str">
        <f>IF(ISERROR(AVERAGE(F$13:F92)),"n/a",AVERAGE(F$13:F92))</f>
        <v>n/a</v>
      </c>
      <c r="H92" s="11" t="str">
        <f t="shared" si="26"/>
        <v>n/a</v>
      </c>
      <c r="J92" s="5"/>
      <c r="K92" s="5"/>
      <c r="L92" s="5"/>
      <c r="M92" s="5"/>
      <c r="N92" s="5"/>
      <c r="O92" s="8" t="str">
        <f t="shared" si="24"/>
        <v>n/a</v>
      </c>
      <c r="Q92" s="5"/>
      <c r="R92" s="5"/>
      <c r="S92" s="5"/>
      <c r="U92" s="6"/>
      <c r="V92" s="9" t="str">
        <f t="shared" si="27"/>
        <v/>
      </c>
      <c r="W92" s="9" t="str">
        <f t="shared" si="28"/>
        <v/>
      </c>
      <c r="X92" s="10">
        <f>SUM(V$13:V92)/COUNTA(B$13:B92)</f>
        <v>0</v>
      </c>
      <c r="Z92" s="5"/>
      <c r="AA92" s="5"/>
      <c r="AC92" s="7"/>
      <c r="AE92" s="54" t="e">
        <f t="shared" si="29"/>
        <v>#N/A</v>
      </c>
      <c r="AF92" s="4" t="e">
        <f t="shared" si="25"/>
        <v>#N/A</v>
      </c>
    </row>
    <row r="93" spans="2:32">
      <c r="B93" s="5">
        <f t="shared" si="30"/>
        <v>81</v>
      </c>
      <c r="C93" s="5"/>
      <c r="E93" s="13"/>
      <c r="F93" s="5"/>
      <c r="G93" s="11" t="str">
        <f>IF(ISERROR(AVERAGE(F$13:F93)),"n/a",AVERAGE(F$13:F93))</f>
        <v>n/a</v>
      </c>
      <c r="H93" s="11" t="str">
        <f t="shared" si="26"/>
        <v>n/a</v>
      </c>
      <c r="J93" s="5"/>
      <c r="K93" s="5"/>
      <c r="L93" s="5"/>
      <c r="M93" s="5"/>
      <c r="N93" s="5"/>
      <c r="O93" s="8" t="str">
        <f t="shared" si="24"/>
        <v>n/a</v>
      </c>
      <c r="Q93" s="5"/>
      <c r="R93" s="5"/>
      <c r="S93" s="5"/>
      <c r="U93" s="6"/>
      <c r="V93" s="9" t="str">
        <f t="shared" si="27"/>
        <v/>
      </c>
      <c r="W93" s="9" t="str">
        <f t="shared" si="28"/>
        <v/>
      </c>
      <c r="X93" s="10">
        <f>SUM(V$13:V93)/COUNTA(B$13:B93)</f>
        <v>0</v>
      </c>
      <c r="Z93" s="5"/>
      <c r="AA93" s="5"/>
      <c r="AC93" s="7"/>
      <c r="AE93" s="54" t="e">
        <f t="shared" si="29"/>
        <v>#N/A</v>
      </c>
      <c r="AF93" s="4" t="e">
        <f t="shared" si="25"/>
        <v>#N/A</v>
      </c>
    </row>
    <row r="94" spans="2:32">
      <c r="B94" s="5">
        <f t="shared" si="30"/>
        <v>82</v>
      </c>
      <c r="C94" s="5"/>
      <c r="E94" s="13"/>
      <c r="F94" s="5"/>
      <c r="G94" s="11" t="str">
        <f>IF(ISERROR(AVERAGE(F$13:F94)),"n/a",AVERAGE(F$13:F94))</f>
        <v>n/a</v>
      </c>
      <c r="H94" s="11" t="str">
        <f t="shared" si="26"/>
        <v>n/a</v>
      </c>
      <c r="J94" s="5"/>
      <c r="K94" s="5"/>
      <c r="L94" s="5"/>
      <c r="M94" s="5"/>
      <c r="N94" s="5"/>
      <c r="O94" s="8" t="str">
        <f t="shared" si="24"/>
        <v>n/a</v>
      </c>
      <c r="Q94" s="5"/>
      <c r="R94" s="5"/>
      <c r="S94" s="5"/>
      <c r="U94" s="6"/>
      <c r="V94" s="9" t="str">
        <f t="shared" si="27"/>
        <v/>
      </c>
      <c r="W94" s="9" t="str">
        <f t="shared" si="28"/>
        <v/>
      </c>
      <c r="X94" s="10">
        <f>SUM(V$13:V94)/COUNTA(B$13:B94)</f>
        <v>0</v>
      </c>
      <c r="Z94" s="5"/>
      <c r="AA94" s="5"/>
      <c r="AC94" s="7"/>
      <c r="AE94" s="54" t="e">
        <f t="shared" si="29"/>
        <v>#N/A</v>
      </c>
      <c r="AF94" s="4" t="e">
        <f t="shared" si="25"/>
        <v>#N/A</v>
      </c>
    </row>
    <row r="95" spans="2:32">
      <c r="B95" s="5">
        <f t="shared" si="30"/>
        <v>83</v>
      </c>
      <c r="C95" s="5"/>
      <c r="E95" s="13"/>
      <c r="F95" s="5"/>
      <c r="G95" s="11" t="str">
        <f>IF(ISERROR(AVERAGE(F$13:F95)),"n/a",AVERAGE(F$13:F95))</f>
        <v>n/a</v>
      </c>
      <c r="H95" s="11" t="str">
        <f t="shared" si="26"/>
        <v>n/a</v>
      </c>
      <c r="J95" s="5"/>
      <c r="K95" s="5"/>
      <c r="L95" s="5"/>
      <c r="M95" s="5"/>
      <c r="N95" s="5"/>
      <c r="O95" s="8" t="str">
        <f t="shared" si="24"/>
        <v>n/a</v>
      </c>
      <c r="Q95" s="5"/>
      <c r="R95" s="5"/>
      <c r="S95" s="5"/>
      <c r="U95" s="6"/>
      <c r="V95" s="9" t="str">
        <f t="shared" si="27"/>
        <v/>
      </c>
      <c r="W95" s="9" t="str">
        <f t="shared" si="28"/>
        <v/>
      </c>
      <c r="X95" s="10">
        <f>SUM(V$13:V95)/COUNTA(B$13:B95)</f>
        <v>0</v>
      </c>
      <c r="Z95" s="5"/>
      <c r="AA95" s="5"/>
      <c r="AC95" s="7"/>
      <c r="AE95" s="54" t="e">
        <f t="shared" si="29"/>
        <v>#N/A</v>
      </c>
      <c r="AF95" s="4" t="e">
        <f t="shared" si="25"/>
        <v>#N/A</v>
      </c>
    </row>
    <row r="96" spans="2:32">
      <c r="B96" s="5">
        <f t="shared" si="30"/>
        <v>84</v>
      </c>
      <c r="C96" s="5"/>
      <c r="E96" s="13"/>
      <c r="F96" s="5"/>
      <c r="G96" s="11" t="str">
        <f>IF(ISERROR(AVERAGE(F$13:F96)),"n/a",AVERAGE(F$13:F96))</f>
        <v>n/a</v>
      </c>
      <c r="H96" s="11" t="str">
        <f t="shared" si="26"/>
        <v>n/a</v>
      </c>
      <c r="J96" s="5"/>
      <c r="K96" s="5"/>
      <c r="L96" s="5"/>
      <c r="M96" s="5"/>
      <c r="N96" s="5"/>
      <c r="O96" s="8" t="str">
        <f t="shared" si="24"/>
        <v>n/a</v>
      </c>
      <c r="Q96" s="5"/>
      <c r="R96" s="5"/>
      <c r="S96" s="5"/>
      <c r="U96" s="6"/>
      <c r="V96" s="9" t="str">
        <f t="shared" si="27"/>
        <v/>
      </c>
      <c r="W96" s="9" t="str">
        <f t="shared" si="28"/>
        <v/>
      </c>
      <c r="X96" s="10">
        <f>SUM(V$13:V96)/COUNTA(B$13:B96)</f>
        <v>0</v>
      </c>
      <c r="Z96" s="5"/>
      <c r="AA96" s="5"/>
      <c r="AC96" s="7"/>
      <c r="AE96" s="54" t="e">
        <f t="shared" si="29"/>
        <v>#N/A</v>
      </c>
      <c r="AF96" s="4" t="e">
        <f t="shared" si="25"/>
        <v>#N/A</v>
      </c>
    </row>
    <row r="97" spans="2:32">
      <c r="B97" s="5">
        <f t="shared" si="30"/>
        <v>85</v>
      </c>
      <c r="C97" s="5"/>
      <c r="E97" s="13"/>
      <c r="F97" s="5"/>
      <c r="G97" s="11" t="str">
        <f>IF(ISERROR(AVERAGE(F$13:F97)),"n/a",AVERAGE(F$13:F97))</f>
        <v>n/a</v>
      </c>
      <c r="H97" s="11" t="str">
        <f t="shared" si="26"/>
        <v>n/a</v>
      </c>
      <c r="J97" s="5"/>
      <c r="K97" s="5"/>
      <c r="L97" s="5"/>
      <c r="M97" s="5"/>
      <c r="N97" s="5"/>
      <c r="O97" s="8" t="str">
        <f t="shared" si="24"/>
        <v>n/a</v>
      </c>
      <c r="Q97" s="5"/>
      <c r="R97" s="5"/>
      <c r="S97" s="5"/>
      <c r="U97" s="6"/>
      <c r="V97" s="9" t="str">
        <f t="shared" si="27"/>
        <v/>
      </c>
      <c r="W97" s="9" t="str">
        <f t="shared" si="28"/>
        <v/>
      </c>
      <c r="X97" s="10">
        <f>SUM(V$13:V97)/COUNTA(B$13:B97)</f>
        <v>0</v>
      </c>
      <c r="Z97" s="5"/>
      <c r="AA97" s="5"/>
      <c r="AC97" s="7"/>
      <c r="AE97" s="54" t="e">
        <f t="shared" si="29"/>
        <v>#N/A</v>
      </c>
      <c r="AF97" s="4" t="e">
        <f t="shared" si="25"/>
        <v>#N/A</v>
      </c>
    </row>
    <row r="98" spans="2:32">
      <c r="B98" s="5">
        <f t="shared" si="30"/>
        <v>86</v>
      </c>
      <c r="C98" s="5"/>
      <c r="E98" s="13"/>
      <c r="F98" s="5"/>
      <c r="G98" s="11" t="str">
        <f>IF(ISERROR(AVERAGE(F$13:F98)),"n/a",AVERAGE(F$13:F98))</f>
        <v>n/a</v>
      </c>
      <c r="H98" s="11" t="str">
        <f t="shared" si="26"/>
        <v>n/a</v>
      </c>
      <c r="J98" s="5"/>
      <c r="K98" s="5"/>
      <c r="L98" s="5"/>
      <c r="M98" s="5"/>
      <c r="N98" s="5"/>
      <c r="O98" s="8" t="str">
        <f t="shared" si="24"/>
        <v>n/a</v>
      </c>
      <c r="Q98" s="5"/>
      <c r="R98" s="5"/>
      <c r="S98" s="5"/>
      <c r="U98" s="6"/>
      <c r="V98" s="9" t="str">
        <f t="shared" si="27"/>
        <v/>
      </c>
      <c r="W98" s="9" t="str">
        <f t="shared" si="28"/>
        <v/>
      </c>
      <c r="X98" s="10">
        <f>SUM(V$13:V98)/COUNTA(B$13:B98)</f>
        <v>0</v>
      </c>
      <c r="Z98" s="5"/>
      <c r="AA98" s="5"/>
      <c r="AC98" s="7"/>
      <c r="AE98" s="54" t="e">
        <f t="shared" si="29"/>
        <v>#N/A</v>
      </c>
      <c r="AF98" s="4" t="e">
        <f t="shared" si="25"/>
        <v>#N/A</v>
      </c>
    </row>
    <row r="99" spans="2:32">
      <c r="B99" s="5">
        <f t="shared" si="30"/>
        <v>87</v>
      </c>
      <c r="C99" s="5"/>
      <c r="E99" s="13"/>
      <c r="F99" s="5"/>
      <c r="G99" s="11" t="str">
        <f>IF(ISERROR(AVERAGE(F$13:F99)),"n/a",AVERAGE(F$13:F99))</f>
        <v>n/a</v>
      </c>
      <c r="H99" s="11" t="str">
        <f t="shared" si="26"/>
        <v>n/a</v>
      </c>
      <c r="J99" s="5"/>
      <c r="K99" s="5"/>
      <c r="L99" s="5"/>
      <c r="M99" s="5"/>
      <c r="N99" s="5"/>
      <c r="O99" s="8" t="str">
        <f t="shared" si="24"/>
        <v>n/a</v>
      </c>
      <c r="Q99" s="5"/>
      <c r="R99" s="5"/>
      <c r="S99" s="5"/>
      <c r="U99" s="6"/>
      <c r="V99" s="9" t="str">
        <f t="shared" si="27"/>
        <v/>
      </c>
      <c r="W99" s="9" t="str">
        <f t="shared" si="28"/>
        <v/>
      </c>
      <c r="X99" s="10">
        <f>SUM(V$13:V99)/COUNTA(B$13:B99)</f>
        <v>0</v>
      </c>
      <c r="Z99" s="5"/>
      <c r="AA99" s="5"/>
      <c r="AC99" s="7"/>
      <c r="AE99" s="54" t="e">
        <f t="shared" si="29"/>
        <v>#N/A</v>
      </c>
      <c r="AF99" s="4" t="e">
        <f t="shared" si="25"/>
        <v>#N/A</v>
      </c>
    </row>
    <row r="100" spans="2:32">
      <c r="B100" s="5">
        <f t="shared" si="30"/>
        <v>88</v>
      </c>
      <c r="C100" s="5"/>
      <c r="E100" s="13"/>
      <c r="F100" s="5"/>
      <c r="G100" s="11" t="str">
        <f>IF(ISERROR(AVERAGE(F$13:F100)),"n/a",AVERAGE(F$13:F100))</f>
        <v>n/a</v>
      </c>
      <c r="H100" s="11" t="str">
        <f t="shared" si="26"/>
        <v>n/a</v>
      </c>
      <c r="J100" s="5"/>
      <c r="K100" s="5"/>
      <c r="L100" s="5"/>
      <c r="M100" s="5"/>
      <c r="N100" s="5"/>
      <c r="O100" s="8" t="str">
        <f t="shared" si="24"/>
        <v>n/a</v>
      </c>
      <c r="Q100" s="5"/>
      <c r="R100" s="5"/>
      <c r="S100" s="5"/>
      <c r="U100" s="6"/>
      <c r="V100" s="9" t="str">
        <f t="shared" si="27"/>
        <v/>
      </c>
      <c r="W100" s="9" t="str">
        <f t="shared" si="28"/>
        <v/>
      </c>
      <c r="X100" s="10">
        <f>SUM(V$13:V100)/COUNTA(B$13:B100)</f>
        <v>0</v>
      </c>
      <c r="Z100" s="5"/>
      <c r="AA100" s="5"/>
      <c r="AC100" s="7"/>
      <c r="AE100" s="54" t="e">
        <f t="shared" si="29"/>
        <v>#N/A</v>
      </c>
      <c r="AF100" s="4" t="e">
        <f t="shared" si="25"/>
        <v>#N/A</v>
      </c>
    </row>
    <row r="101" spans="2:32">
      <c r="B101" s="5">
        <f t="shared" si="30"/>
        <v>89</v>
      </c>
      <c r="C101" s="5"/>
      <c r="E101" s="13"/>
      <c r="F101" s="5"/>
      <c r="G101" s="11" t="str">
        <f>IF(ISERROR(AVERAGE(F$13:F101)),"n/a",AVERAGE(F$13:F101))</f>
        <v>n/a</v>
      </c>
      <c r="H101" s="11" t="str">
        <f t="shared" si="26"/>
        <v>n/a</v>
      </c>
      <c r="J101" s="5"/>
      <c r="K101" s="5"/>
      <c r="L101" s="5"/>
      <c r="M101" s="5"/>
      <c r="N101" s="5"/>
      <c r="O101" s="8" t="str">
        <f t="shared" si="24"/>
        <v>n/a</v>
      </c>
      <c r="Q101" s="5"/>
      <c r="R101" s="5"/>
      <c r="S101" s="5"/>
      <c r="U101" s="6"/>
      <c r="V101" s="9" t="str">
        <f t="shared" si="27"/>
        <v/>
      </c>
      <c r="W101" s="9" t="str">
        <f t="shared" si="28"/>
        <v/>
      </c>
      <c r="X101" s="10">
        <f>SUM(V$13:V101)/COUNTA(B$13:B101)</f>
        <v>0</v>
      </c>
      <c r="Z101" s="5"/>
      <c r="AA101" s="5"/>
      <c r="AC101" s="7"/>
      <c r="AE101" s="54" t="e">
        <f t="shared" si="29"/>
        <v>#N/A</v>
      </c>
      <c r="AF101" s="4" t="e">
        <f t="shared" si="25"/>
        <v>#N/A</v>
      </c>
    </row>
    <row r="102" spans="2:32">
      <c r="B102" s="5">
        <f t="shared" si="30"/>
        <v>90</v>
      </c>
      <c r="C102" s="5"/>
      <c r="E102" s="13"/>
      <c r="F102" s="5"/>
      <c r="G102" s="11" t="str">
        <f>IF(ISERROR(AVERAGE(F$13:F102)),"n/a",AVERAGE(F$13:F102))</f>
        <v>n/a</v>
      </c>
      <c r="H102" s="11" t="str">
        <f t="shared" si="26"/>
        <v>n/a</v>
      </c>
      <c r="J102" s="5"/>
      <c r="K102" s="5"/>
      <c r="L102" s="5"/>
      <c r="M102" s="5"/>
      <c r="N102" s="5"/>
      <c r="O102" s="8" t="str">
        <f t="shared" si="24"/>
        <v>n/a</v>
      </c>
      <c r="Q102" s="5"/>
      <c r="R102" s="5"/>
      <c r="S102" s="5"/>
      <c r="U102" s="6"/>
      <c r="V102" s="9" t="str">
        <f t="shared" si="27"/>
        <v/>
      </c>
      <c r="W102" s="9" t="str">
        <f t="shared" si="28"/>
        <v/>
      </c>
      <c r="X102" s="10">
        <f>SUM(V$13:V102)/COUNTA(B$13:B102)</f>
        <v>0</v>
      </c>
      <c r="Z102" s="5"/>
      <c r="AA102" s="5"/>
      <c r="AC102" s="7"/>
      <c r="AE102" s="54" t="e">
        <f t="shared" si="29"/>
        <v>#N/A</v>
      </c>
      <c r="AF102" s="4" t="e">
        <f t="shared" si="25"/>
        <v>#N/A</v>
      </c>
    </row>
    <row r="103" spans="2:32">
      <c r="B103" s="5">
        <f t="shared" si="30"/>
        <v>91</v>
      </c>
      <c r="C103" s="5"/>
      <c r="E103" s="13"/>
      <c r="F103" s="5"/>
      <c r="G103" s="11" t="str">
        <f>IF(ISERROR(AVERAGE(F$13:F103)),"n/a",AVERAGE(F$13:F103))</f>
        <v>n/a</v>
      </c>
      <c r="H103" s="11" t="str">
        <f t="shared" si="26"/>
        <v>n/a</v>
      </c>
      <c r="J103" s="5"/>
      <c r="K103" s="5"/>
      <c r="L103" s="5"/>
      <c r="M103" s="5"/>
      <c r="N103" s="5"/>
      <c r="O103" s="8" t="str">
        <f t="shared" si="24"/>
        <v>n/a</v>
      </c>
      <c r="Q103" s="5"/>
      <c r="R103" s="5"/>
      <c r="S103" s="5"/>
      <c r="U103" s="6"/>
      <c r="V103" s="9" t="str">
        <f t="shared" si="27"/>
        <v/>
      </c>
      <c r="W103" s="9" t="str">
        <f t="shared" si="28"/>
        <v/>
      </c>
      <c r="X103" s="10">
        <f>SUM(V$13:V103)/COUNTA(B$13:B103)</f>
        <v>0</v>
      </c>
      <c r="Z103" s="5"/>
      <c r="AA103" s="5"/>
      <c r="AC103" s="7"/>
      <c r="AE103" s="54" t="e">
        <f t="shared" si="29"/>
        <v>#N/A</v>
      </c>
      <c r="AF103" s="4" t="e">
        <f t="shared" si="25"/>
        <v>#N/A</v>
      </c>
    </row>
    <row r="104" spans="2:32">
      <c r="B104" s="5">
        <f t="shared" si="30"/>
        <v>92</v>
      </c>
      <c r="C104" s="5"/>
      <c r="E104" s="13"/>
      <c r="F104" s="5"/>
      <c r="G104" s="11" t="str">
        <f>IF(ISERROR(AVERAGE(F$13:F104)),"n/a",AVERAGE(F$13:F104))</f>
        <v>n/a</v>
      </c>
      <c r="H104" s="11" t="str">
        <f t="shared" si="26"/>
        <v>n/a</v>
      </c>
      <c r="J104" s="5"/>
      <c r="K104" s="5"/>
      <c r="L104" s="5"/>
      <c r="M104" s="5"/>
      <c r="N104" s="5"/>
      <c r="O104" s="8" t="str">
        <f t="shared" si="24"/>
        <v>n/a</v>
      </c>
      <c r="Q104" s="5"/>
      <c r="R104" s="5"/>
      <c r="S104" s="5"/>
      <c r="U104" s="6"/>
      <c r="V104" s="9" t="str">
        <f t="shared" si="27"/>
        <v/>
      </c>
      <c r="W104" s="9" t="str">
        <f t="shared" si="28"/>
        <v/>
      </c>
      <c r="X104" s="10">
        <f>SUM(V$13:V104)/COUNTA(B$13:B104)</f>
        <v>0</v>
      </c>
      <c r="Z104" s="5"/>
      <c r="AA104" s="5"/>
      <c r="AC104" s="7"/>
      <c r="AE104" s="54" t="e">
        <f t="shared" si="29"/>
        <v>#N/A</v>
      </c>
      <c r="AF104" s="4" t="e">
        <f t="shared" si="25"/>
        <v>#N/A</v>
      </c>
    </row>
    <row r="105" spans="2:32">
      <c r="B105" s="5">
        <f t="shared" si="30"/>
        <v>93</v>
      </c>
      <c r="C105" s="5"/>
      <c r="E105" s="13"/>
      <c r="F105" s="5"/>
      <c r="G105" s="11" t="str">
        <f>IF(ISERROR(AVERAGE(F$13:F105)),"n/a",AVERAGE(F$13:F105))</f>
        <v>n/a</v>
      </c>
      <c r="H105" s="11" t="str">
        <f t="shared" si="26"/>
        <v>n/a</v>
      </c>
      <c r="J105" s="5"/>
      <c r="K105" s="5"/>
      <c r="L105" s="5"/>
      <c r="M105" s="5"/>
      <c r="N105" s="5"/>
      <c r="O105" s="8" t="str">
        <f t="shared" si="24"/>
        <v>n/a</v>
      </c>
      <c r="Q105" s="5"/>
      <c r="R105" s="5"/>
      <c r="S105" s="5"/>
      <c r="U105" s="6"/>
      <c r="V105" s="9" t="str">
        <f t="shared" si="27"/>
        <v/>
      </c>
      <c r="W105" s="9" t="str">
        <f t="shared" si="28"/>
        <v/>
      </c>
      <c r="X105" s="10">
        <f>SUM(V$13:V105)/COUNTA(B$13:B105)</f>
        <v>0</v>
      </c>
      <c r="Z105" s="5"/>
      <c r="AA105" s="5"/>
      <c r="AC105" s="7"/>
      <c r="AE105" s="54" t="e">
        <f t="shared" si="29"/>
        <v>#N/A</v>
      </c>
      <c r="AF105" s="4" t="e">
        <f t="shared" si="25"/>
        <v>#N/A</v>
      </c>
    </row>
    <row r="106" spans="2:32">
      <c r="B106" s="5">
        <f t="shared" si="30"/>
        <v>94</v>
      </c>
      <c r="C106" s="5"/>
      <c r="E106" s="13"/>
      <c r="F106" s="5"/>
      <c r="G106" s="11" t="str">
        <f>IF(ISERROR(AVERAGE(F$13:F106)),"n/a",AVERAGE(F$13:F106))</f>
        <v>n/a</v>
      </c>
      <c r="H106" s="11" t="str">
        <f t="shared" si="26"/>
        <v>n/a</v>
      </c>
      <c r="J106" s="5"/>
      <c r="K106" s="5"/>
      <c r="L106" s="5"/>
      <c r="M106" s="5"/>
      <c r="N106" s="5"/>
      <c r="O106" s="8" t="str">
        <f t="shared" si="24"/>
        <v>n/a</v>
      </c>
      <c r="Q106" s="5"/>
      <c r="R106" s="5"/>
      <c r="S106" s="5"/>
      <c r="U106" s="6"/>
      <c r="V106" s="9" t="str">
        <f t="shared" si="27"/>
        <v/>
      </c>
      <c r="W106" s="9" t="str">
        <f t="shared" si="28"/>
        <v/>
      </c>
      <c r="X106" s="10">
        <f>SUM(V$13:V106)/COUNTA(B$13:B106)</f>
        <v>0</v>
      </c>
      <c r="Z106" s="5"/>
      <c r="AA106" s="5"/>
      <c r="AC106" s="7"/>
      <c r="AE106" s="54" t="e">
        <f t="shared" si="29"/>
        <v>#N/A</v>
      </c>
      <c r="AF106" s="4" t="e">
        <f t="shared" si="25"/>
        <v>#N/A</v>
      </c>
    </row>
    <row r="107" spans="2:32">
      <c r="B107" s="5">
        <f t="shared" si="30"/>
        <v>95</v>
      </c>
      <c r="C107" s="5"/>
      <c r="E107" s="13"/>
      <c r="F107" s="5"/>
      <c r="G107" s="11" t="str">
        <f>IF(ISERROR(AVERAGE(F$13:F107)),"n/a",AVERAGE(F$13:F107))</f>
        <v>n/a</v>
      </c>
      <c r="H107" s="11" t="str">
        <f t="shared" si="26"/>
        <v>n/a</v>
      </c>
      <c r="J107" s="5"/>
      <c r="K107" s="5"/>
      <c r="L107" s="5"/>
      <c r="M107" s="5"/>
      <c r="N107" s="5"/>
      <c r="O107" s="8" t="str">
        <f t="shared" si="24"/>
        <v>n/a</v>
      </c>
      <c r="Q107" s="5"/>
      <c r="R107" s="5"/>
      <c r="S107" s="5"/>
      <c r="U107" s="6"/>
      <c r="V107" s="9" t="str">
        <f t="shared" si="27"/>
        <v/>
      </c>
      <c r="W107" s="9" t="str">
        <f t="shared" si="28"/>
        <v/>
      </c>
      <c r="X107" s="10">
        <f>SUM(V$13:V107)/COUNTA(B$13:B107)</f>
        <v>0</v>
      </c>
      <c r="Z107" s="5"/>
      <c r="AA107" s="5"/>
      <c r="AC107" s="7"/>
      <c r="AE107" s="54" t="e">
        <f t="shared" si="29"/>
        <v>#N/A</v>
      </c>
      <c r="AF107" s="4" t="e">
        <f t="shared" si="25"/>
        <v>#N/A</v>
      </c>
    </row>
    <row r="108" spans="2:32">
      <c r="B108" s="5">
        <f t="shared" si="30"/>
        <v>96</v>
      </c>
      <c r="C108" s="5"/>
      <c r="E108" s="13"/>
      <c r="F108" s="5"/>
      <c r="G108" s="11" t="str">
        <f>IF(ISERROR(AVERAGE(F$13:F108)),"n/a",AVERAGE(F$13:F108))</f>
        <v>n/a</v>
      </c>
      <c r="H108" s="11" t="str">
        <f t="shared" si="26"/>
        <v>n/a</v>
      </c>
      <c r="J108" s="5"/>
      <c r="K108" s="5"/>
      <c r="L108" s="5"/>
      <c r="M108" s="5"/>
      <c r="N108" s="5"/>
      <c r="O108" s="8" t="str">
        <f t="shared" si="24"/>
        <v>n/a</v>
      </c>
      <c r="Q108" s="5"/>
      <c r="R108" s="5"/>
      <c r="S108" s="5"/>
      <c r="U108" s="6"/>
      <c r="V108" s="9" t="str">
        <f t="shared" si="27"/>
        <v/>
      </c>
      <c r="W108" s="9" t="str">
        <f t="shared" si="28"/>
        <v/>
      </c>
      <c r="X108" s="10">
        <f>SUM(V$13:V108)/COUNTA(B$13:B108)</f>
        <v>0</v>
      </c>
      <c r="Z108" s="5"/>
      <c r="AA108" s="5"/>
      <c r="AC108" s="7"/>
      <c r="AE108" s="54" t="e">
        <f t="shared" si="29"/>
        <v>#N/A</v>
      </c>
      <c r="AF108" s="4" t="e">
        <f t="shared" si="25"/>
        <v>#N/A</v>
      </c>
    </row>
    <row r="109" spans="2:32">
      <c r="B109" s="5">
        <f t="shared" si="30"/>
        <v>97</v>
      </c>
      <c r="C109" s="5"/>
      <c r="E109" s="13"/>
      <c r="F109" s="5"/>
      <c r="G109" s="11" t="str">
        <f>IF(ISERROR(AVERAGE(F$13:F109)),"n/a",AVERAGE(F$13:F109))</f>
        <v>n/a</v>
      </c>
      <c r="H109" s="11" t="str">
        <f t="shared" si="26"/>
        <v>n/a</v>
      </c>
      <c r="J109" s="5"/>
      <c r="K109" s="5"/>
      <c r="L109" s="5"/>
      <c r="M109" s="5"/>
      <c r="N109" s="5"/>
      <c r="O109" s="8" t="str">
        <f t="shared" si="24"/>
        <v>n/a</v>
      </c>
      <c r="Q109" s="5"/>
      <c r="R109" s="5"/>
      <c r="S109" s="5"/>
      <c r="U109" s="6"/>
      <c r="V109" s="9" t="str">
        <f t="shared" si="27"/>
        <v/>
      </c>
      <c r="W109" s="9" t="str">
        <f t="shared" si="28"/>
        <v/>
      </c>
      <c r="X109" s="10">
        <f>SUM(V$13:V109)/COUNTA(B$13:B109)</f>
        <v>0</v>
      </c>
      <c r="Z109" s="5"/>
      <c r="AA109" s="5"/>
      <c r="AC109" s="7"/>
      <c r="AE109" s="54" t="e">
        <f t="shared" si="29"/>
        <v>#N/A</v>
      </c>
      <c r="AF109" s="4" t="e">
        <f t="shared" si="25"/>
        <v>#N/A</v>
      </c>
    </row>
    <row r="110" spans="2:32">
      <c r="B110" s="5">
        <f t="shared" si="30"/>
        <v>98</v>
      </c>
      <c r="C110" s="5"/>
      <c r="E110" s="13"/>
      <c r="F110" s="5"/>
      <c r="G110" s="11" t="str">
        <f>IF(ISERROR(AVERAGE(F$13:F110)),"n/a",AVERAGE(F$13:F110))</f>
        <v>n/a</v>
      </c>
      <c r="H110" s="11" t="str">
        <f t="shared" si="26"/>
        <v>n/a</v>
      </c>
      <c r="J110" s="5"/>
      <c r="K110" s="5"/>
      <c r="L110" s="5"/>
      <c r="M110" s="5"/>
      <c r="N110" s="5"/>
      <c r="O110" s="8" t="str">
        <f t="shared" si="24"/>
        <v>n/a</v>
      </c>
      <c r="Q110" s="5"/>
      <c r="R110" s="5"/>
      <c r="S110" s="5"/>
      <c r="U110" s="6"/>
      <c r="V110" s="9" t="str">
        <f t="shared" si="27"/>
        <v/>
      </c>
      <c r="W110" s="9" t="str">
        <f t="shared" si="28"/>
        <v/>
      </c>
      <c r="X110" s="10">
        <f>SUM(V$13:V110)/COUNTA(B$13:B110)</f>
        <v>0</v>
      </c>
      <c r="Z110" s="5"/>
      <c r="AA110" s="5"/>
      <c r="AC110" s="7"/>
      <c r="AE110" s="54" t="e">
        <f t="shared" si="29"/>
        <v>#N/A</v>
      </c>
      <c r="AF110" s="4" t="e">
        <f t="shared" si="25"/>
        <v>#N/A</v>
      </c>
    </row>
    <row r="111" spans="2:32">
      <c r="B111" s="5">
        <f t="shared" si="30"/>
        <v>99</v>
      </c>
      <c r="C111" s="5"/>
      <c r="E111" s="13"/>
      <c r="F111" s="5"/>
      <c r="G111" s="11" t="str">
        <f>IF(ISERROR(AVERAGE(F$13:F111)),"n/a",AVERAGE(F$13:F111))</f>
        <v>n/a</v>
      </c>
      <c r="H111" s="11" t="str">
        <f t="shared" si="26"/>
        <v>n/a</v>
      </c>
      <c r="J111" s="5"/>
      <c r="K111" s="5"/>
      <c r="L111" s="5"/>
      <c r="M111" s="5"/>
      <c r="N111" s="5"/>
      <c r="O111" s="8" t="str">
        <f t="shared" si="24"/>
        <v>n/a</v>
      </c>
      <c r="Q111" s="5"/>
      <c r="R111" s="5"/>
      <c r="S111" s="5"/>
      <c r="U111" s="6"/>
      <c r="V111" s="9" t="str">
        <f t="shared" si="27"/>
        <v/>
      </c>
      <c r="W111" s="9" t="str">
        <f t="shared" si="28"/>
        <v/>
      </c>
      <c r="X111" s="10">
        <f>SUM(V$13:V111)/COUNTA(B$13:B111)</f>
        <v>0</v>
      </c>
      <c r="Z111" s="5"/>
      <c r="AA111" s="5"/>
      <c r="AC111" s="7"/>
      <c r="AE111" s="54" t="e">
        <f t="shared" si="29"/>
        <v>#N/A</v>
      </c>
      <c r="AF111" s="4" t="e">
        <f t="shared" si="25"/>
        <v>#N/A</v>
      </c>
    </row>
    <row r="112" spans="2:32">
      <c r="B112" s="5">
        <f t="shared" si="30"/>
        <v>100</v>
      </c>
      <c r="C112" s="5"/>
      <c r="E112" s="13"/>
      <c r="F112" s="5"/>
      <c r="G112" s="11" t="str">
        <f>IF(ISERROR(AVERAGE(F$13:F112)),"n/a",AVERAGE(F$13:F112))</f>
        <v>n/a</v>
      </c>
      <c r="H112" s="11" t="str">
        <f t="shared" si="26"/>
        <v>n/a</v>
      </c>
      <c r="J112" s="5"/>
      <c r="K112" s="5"/>
      <c r="L112" s="5"/>
      <c r="M112" s="5"/>
      <c r="N112" s="5"/>
      <c r="O112" s="8" t="str">
        <f t="shared" si="24"/>
        <v>n/a</v>
      </c>
      <c r="Q112" s="5"/>
      <c r="R112" s="5"/>
      <c r="S112" s="5"/>
      <c r="U112" s="6"/>
      <c r="V112" s="9" t="str">
        <f t="shared" si="27"/>
        <v/>
      </c>
      <c r="W112" s="9" t="str">
        <f t="shared" si="28"/>
        <v/>
      </c>
      <c r="X112" s="10">
        <f>SUM(V$13:V112)/COUNTA(B$13:B112)</f>
        <v>0</v>
      </c>
      <c r="Z112" s="5"/>
      <c r="AA112" s="5"/>
      <c r="AC112" s="7"/>
      <c r="AE112" s="54" t="e">
        <f t="shared" si="29"/>
        <v>#N/A</v>
      </c>
      <c r="AF112" s="4" t="e">
        <f t="shared" si="25"/>
        <v>#N/A</v>
      </c>
    </row>
    <row r="113" spans="2:59" customFormat="1">
      <c r="B113" s="5">
        <f t="shared" si="30"/>
        <v>101</v>
      </c>
      <c r="C113" s="5"/>
      <c r="E113" s="13"/>
      <c r="F113" s="5"/>
      <c r="G113" s="11" t="str">
        <f>IF(ISERROR(AVERAGE(F$13:F113)),"n/a",AVERAGE(F$13:F113))</f>
        <v>n/a</v>
      </c>
      <c r="H113" s="11" t="str">
        <f t="shared" si="26"/>
        <v>n/a</v>
      </c>
      <c r="J113" s="5"/>
      <c r="K113" s="5"/>
      <c r="L113" s="5"/>
      <c r="M113" s="5"/>
      <c r="N113" s="5"/>
      <c r="O113" s="8" t="str">
        <f t="shared" si="24"/>
        <v>n/a</v>
      </c>
      <c r="Q113" s="5"/>
      <c r="R113" s="5"/>
      <c r="S113" s="5"/>
      <c r="U113" s="6"/>
      <c r="V113" s="9" t="str">
        <f t="shared" si="27"/>
        <v/>
      </c>
      <c r="W113" s="9" t="str">
        <f t="shared" si="28"/>
        <v/>
      </c>
      <c r="X113" s="10">
        <f>SUM(V$13:V113)/COUNTA(B$13:B113)</f>
        <v>0</v>
      </c>
      <c r="Z113" s="5"/>
      <c r="AA113" s="5"/>
      <c r="AC113" s="7"/>
      <c r="AE113" s="54" t="e">
        <f t="shared" si="29"/>
        <v>#N/A</v>
      </c>
      <c r="AF113" s="4" t="e">
        <f t="shared" si="25"/>
        <v>#N/A</v>
      </c>
      <c r="BF113" s="115"/>
      <c r="BG113" s="115"/>
    </row>
    <row r="114" spans="2:59">
      <c r="B114" s="5">
        <f t="shared" si="30"/>
        <v>102</v>
      </c>
      <c r="C114" s="5"/>
      <c r="E114" s="13"/>
      <c r="F114" s="5"/>
      <c r="G114" s="11" t="str">
        <f>IF(ISERROR(AVERAGE(F$13:F114)),"n/a",AVERAGE(F$13:F114))</f>
        <v>n/a</v>
      </c>
      <c r="H114" s="11" t="str">
        <f t="shared" si="26"/>
        <v>n/a</v>
      </c>
      <c r="J114" s="5"/>
      <c r="K114" s="5"/>
      <c r="L114" s="5"/>
      <c r="M114" s="5"/>
      <c r="N114" s="5"/>
      <c r="O114" s="8" t="str">
        <f t="shared" si="24"/>
        <v>n/a</v>
      </c>
      <c r="Q114" s="5"/>
      <c r="R114" s="5"/>
      <c r="S114" s="5"/>
      <c r="U114" s="6"/>
      <c r="V114" s="9" t="str">
        <f t="shared" si="27"/>
        <v/>
      </c>
      <c r="W114" s="9" t="str">
        <f t="shared" si="28"/>
        <v/>
      </c>
      <c r="X114" s="10">
        <f>SUM(V$13:V114)/COUNTA(B$13:B114)</f>
        <v>0</v>
      </c>
      <c r="Z114" s="5"/>
      <c r="AA114" s="5"/>
      <c r="AC114" s="7"/>
      <c r="AE114" s="54" t="e">
        <f t="shared" si="29"/>
        <v>#N/A</v>
      </c>
      <c r="AF114" s="4" t="e">
        <f t="shared" si="25"/>
        <v>#N/A</v>
      </c>
    </row>
    <row r="115" spans="2:59">
      <c r="B115" s="5">
        <f t="shared" si="30"/>
        <v>103</v>
      </c>
      <c r="C115" s="5"/>
      <c r="E115" s="13"/>
      <c r="F115" s="5"/>
      <c r="G115" s="11" t="str">
        <f>IF(ISERROR(AVERAGE(F$13:F115)),"n/a",AVERAGE(F$13:F115))</f>
        <v>n/a</v>
      </c>
      <c r="H115" s="11" t="str">
        <f t="shared" si="26"/>
        <v>n/a</v>
      </c>
      <c r="J115" s="5"/>
      <c r="K115" s="5"/>
      <c r="L115" s="5"/>
      <c r="M115" s="5"/>
      <c r="N115" s="5"/>
      <c r="O115" s="8" t="str">
        <f t="shared" si="24"/>
        <v>n/a</v>
      </c>
      <c r="Q115" s="5"/>
      <c r="R115" s="5"/>
      <c r="S115" s="5"/>
      <c r="U115" s="6"/>
      <c r="V115" s="9" t="str">
        <f t="shared" si="27"/>
        <v/>
      </c>
      <c r="W115" s="9" t="str">
        <f t="shared" si="28"/>
        <v/>
      </c>
      <c r="X115" s="10">
        <f>SUM(V$13:V115)/COUNTA(B$13:B115)</f>
        <v>0</v>
      </c>
      <c r="Z115" s="5"/>
      <c r="AA115" s="5"/>
      <c r="AC115" s="7"/>
      <c r="AE115" s="54" t="e">
        <f t="shared" si="29"/>
        <v>#N/A</v>
      </c>
      <c r="AF115" s="4" t="e">
        <f t="shared" si="25"/>
        <v>#N/A</v>
      </c>
    </row>
    <row r="116" spans="2:59">
      <c r="B116" s="5">
        <f t="shared" si="30"/>
        <v>104</v>
      </c>
      <c r="C116" s="5"/>
      <c r="E116" s="13"/>
      <c r="F116" s="5"/>
      <c r="G116" s="11" t="str">
        <f>IF(ISERROR(AVERAGE(F$13:F116)),"n/a",AVERAGE(F$13:F116))</f>
        <v>n/a</v>
      </c>
      <c r="H116" s="11" t="str">
        <f t="shared" si="26"/>
        <v>n/a</v>
      </c>
      <c r="J116" s="5"/>
      <c r="K116" s="5"/>
      <c r="L116" s="5"/>
      <c r="M116" s="5"/>
      <c r="N116" s="5"/>
      <c r="O116" s="8" t="str">
        <f t="shared" si="24"/>
        <v>n/a</v>
      </c>
      <c r="Q116" s="5"/>
      <c r="R116" s="5"/>
      <c r="S116" s="5"/>
      <c r="U116" s="6"/>
      <c r="V116" s="9" t="str">
        <f t="shared" si="27"/>
        <v/>
      </c>
      <c r="W116" s="9" t="str">
        <f t="shared" si="28"/>
        <v/>
      </c>
      <c r="X116" s="10">
        <f>SUM(V$13:V116)/COUNTA(B$13:B116)</f>
        <v>0</v>
      </c>
      <c r="Z116" s="5"/>
      <c r="AA116" s="5"/>
      <c r="AC116" s="7"/>
      <c r="AE116" s="54" t="e">
        <f t="shared" si="29"/>
        <v>#N/A</v>
      </c>
      <c r="AF116" s="4" t="e">
        <f t="shared" si="25"/>
        <v>#N/A</v>
      </c>
    </row>
    <row r="117" spans="2:59">
      <c r="B117" s="5">
        <f t="shared" si="30"/>
        <v>105</v>
      </c>
      <c r="C117" s="5"/>
      <c r="E117" s="13"/>
      <c r="F117" s="5"/>
      <c r="G117" s="11" t="str">
        <f>IF(ISERROR(AVERAGE(F$13:F117)),"n/a",AVERAGE(F$13:F117))</f>
        <v>n/a</v>
      </c>
      <c r="H117" s="11" t="str">
        <f t="shared" si="26"/>
        <v>n/a</v>
      </c>
      <c r="J117" s="5"/>
      <c r="K117" s="5"/>
      <c r="L117" s="5"/>
      <c r="M117" s="5"/>
      <c r="N117" s="5"/>
      <c r="O117" s="8" t="str">
        <f t="shared" si="24"/>
        <v>n/a</v>
      </c>
      <c r="Q117" s="5"/>
      <c r="R117" s="5"/>
      <c r="S117" s="5"/>
      <c r="U117" s="6"/>
      <c r="V117" s="9" t="str">
        <f t="shared" si="27"/>
        <v/>
      </c>
      <c r="W117" s="9" t="str">
        <f t="shared" si="28"/>
        <v/>
      </c>
      <c r="X117" s="10">
        <f>SUM(V$13:V117)/COUNTA(B$13:B117)</f>
        <v>0</v>
      </c>
      <c r="Z117" s="5"/>
      <c r="AA117" s="5"/>
      <c r="AC117" s="7"/>
      <c r="AE117" s="54" t="e">
        <f t="shared" si="29"/>
        <v>#N/A</v>
      </c>
      <c r="AF117" s="4" t="e">
        <f t="shared" si="25"/>
        <v>#N/A</v>
      </c>
    </row>
    <row r="118" spans="2:59">
      <c r="B118" s="5">
        <f t="shared" si="30"/>
        <v>106</v>
      </c>
      <c r="C118" s="5"/>
      <c r="E118" s="13"/>
      <c r="F118" s="5"/>
      <c r="G118" s="11" t="str">
        <f>IF(ISERROR(AVERAGE(F$13:F118)),"n/a",AVERAGE(F$13:F118))</f>
        <v>n/a</v>
      </c>
      <c r="H118" s="11" t="str">
        <f t="shared" si="26"/>
        <v>n/a</v>
      </c>
      <c r="J118" s="5"/>
      <c r="K118" s="5"/>
      <c r="L118" s="5"/>
      <c r="M118" s="5"/>
      <c r="N118" s="5"/>
      <c r="O118" s="8" t="str">
        <f t="shared" si="24"/>
        <v>n/a</v>
      </c>
      <c r="Q118" s="5"/>
      <c r="R118" s="5"/>
      <c r="S118" s="5"/>
      <c r="U118" s="6"/>
      <c r="V118" s="9" t="str">
        <f t="shared" si="27"/>
        <v/>
      </c>
      <c r="W118" s="9" t="str">
        <f t="shared" si="28"/>
        <v/>
      </c>
      <c r="X118" s="10">
        <f>SUM(V$13:V118)/COUNTA(B$13:B118)</f>
        <v>0</v>
      </c>
      <c r="Z118" s="5"/>
      <c r="AA118" s="5"/>
      <c r="AC118" s="7"/>
      <c r="AE118" s="54" t="e">
        <f t="shared" si="29"/>
        <v>#N/A</v>
      </c>
      <c r="AF118" s="4" t="e">
        <f t="shared" si="25"/>
        <v>#N/A</v>
      </c>
    </row>
    <row r="119" spans="2:59">
      <c r="B119" s="5">
        <f t="shared" si="30"/>
        <v>107</v>
      </c>
      <c r="C119" s="5"/>
      <c r="E119" s="13"/>
      <c r="F119" s="5"/>
      <c r="G119" s="11" t="str">
        <f>IF(ISERROR(AVERAGE(F$13:F119)),"n/a",AVERAGE(F$13:F119))</f>
        <v>n/a</v>
      </c>
      <c r="H119" s="11" t="str">
        <f t="shared" si="26"/>
        <v>n/a</v>
      </c>
      <c r="J119" s="5"/>
      <c r="K119" s="5"/>
      <c r="L119" s="5"/>
      <c r="M119" s="5"/>
      <c r="N119" s="5"/>
      <c r="O119" s="8" t="str">
        <f t="shared" si="24"/>
        <v>n/a</v>
      </c>
      <c r="Q119" s="5"/>
      <c r="R119" s="5"/>
      <c r="S119" s="5"/>
      <c r="U119" s="6"/>
      <c r="V119" s="9" t="str">
        <f t="shared" si="27"/>
        <v/>
      </c>
      <c r="W119" s="9" t="str">
        <f t="shared" si="28"/>
        <v/>
      </c>
      <c r="X119" s="10">
        <f>SUM(V$13:V119)/COUNTA(B$13:B119)</f>
        <v>0</v>
      </c>
      <c r="Z119" s="5"/>
      <c r="AA119" s="5"/>
      <c r="AC119" s="7"/>
      <c r="AE119" s="54" t="e">
        <f t="shared" si="29"/>
        <v>#N/A</v>
      </c>
      <c r="AF119" s="4" t="e">
        <f t="shared" si="25"/>
        <v>#N/A</v>
      </c>
    </row>
    <row r="120" spans="2:59">
      <c r="B120" s="5">
        <f t="shared" si="30"/>
        <v>108</v>
      </c>
      <c r="C120" s="5"/>
      <c r="E120" s="13"/>
      <c r="F120" s="5"/>
      <c r="G120" s="11" t="str">
        <f>IF(ISERROR(AVERAGE(F$13:F120)),"n/a",AVERAGE(F$13:F120))</f>
        <v>n/a</v>
      </c>
      <c r="H120" s="11" t="str">
        <f t="shared" si="26"/>
        <v>n/a</v>
      </c>
      <c r="J120" s="5"/>
      <c r="K120" s="5"/>
      <c r="L120" s="5"/>
      <c r="M120" s="5"/>
      <c r="N120" s="5"/>
      <c r="O120" s="8" t="str">
        <f t="shared" si="24"/>
        <v>n/a</v>
      </c>
      <c r="Q120" s="5"/>
      <c r="R120" s="5"/>
      <c r="S120" s="5"/>
      <c r="U120" s="6"/>
      <c r="V120" s="9" t="str">
        <f t="shared" si="27"/>
        <v/>
      </c>
      <c r="W120" s="9" t="str">
        <f t="shared" si="28"/>
        <v/>
      </c>
      <c r="X120" s="10">
        <f>SUM(V$13:V120)/COUNTA(B$13:B120)</f>
        <v>0</v>
      </c>
      <c r="Z120" s="5"/>
      <c r="AA120" s="5"/>
      <c r="AC120" s="7"/>
      <c r="AE120" s="54" t="e">
        <f t="shared" si="29"/>
        <v>#N/A</v>
      </c>
      <c r="AF120" s="4" t="e">
        <f t="shared" si="25"/>
        <v>#N/A</v>
      </c>
    </row>
    <row r="121" spans="2:59">
      <c r="B121" s="5">
        <f t="shared" si="30"/>
        <v>109</v>
      </c>
      <c r="C121" s="5"/>
      <c r="E121" s="13"/>
      <c r="F121" s="5"/>
      <c r="G121" s="11" t="str">
        <f>IF(ISERROR(AVERAGE(F$13:F121)),"n/a",AVERAGE(F$13:F121))</f>
        <v>n/a</v>
      </c>
      <c r="H121" s="11" t="str">
        <f t="shared" si="26"/>
        <v>n/a</v>
      </c>
      <c r="J121" s="5"/>
      <c r="K121" s="5"/>
      <c r="L121" s="5"/>
      <c r="M121" s="5"/>
      <c r="N121" s="5"/>
      <c r="O121" s="8" t="str">
        <f t="shared" si="24"/>
        <v>n/a</v>
      </c>
      <c r="Q121" s="5"/>
      <c r="R121" s="5"/>
      <c r="S121" s="5"/>
      <c r="U121" s="6"/>
      <c r="V121" s="9" t="str">
        <f t="shared" si="27"/>
        <v/>
      </c>
      <c r="W121" s="9" t="str">
        <f t="shared" si="28"/>
        <v/>
      </c>
      <c r="X121" s="10">
        <f>SUM(V$13:V121)/COUNTA(B$13:B121)</f>
        <v>0</v>
      </c>
      <c r="Z121" s="5"/>
      <c r="AA121" s="5"/>
      <c r="AC121" s="7"/>
      <c r="AE121" s="54" t="e">
        <f t="shared" si="29"/>
        <v>#N/A</v>
      </c>
      <c r="AF121" s="4" t="e">
        <f t="shared" si="25"/>
        <v>#N/A</v>
      </c>
    </row>
    <row r="122" spans="2:59">
      <c r="B122" s="5">
        <f t="shared" si="30"/>
        <v>110</v>
      </c>
      <c r="C122" s="5"/>
      <c r="E122" s="13"/>
      <c r="F122" s="5"/>
      <c r="G122" s="11" t="str">
        <f>IF(ISERROR(AVERAGE(F$13:F122)),"n/a",AVERAGE(F$13:F122))</f>
        <v>n/a</v>
      </c>
      <c r="H122" s="11" t="str">
        <f t="shared" si="26"/>
        <v>n/a</v>
      </c>
      <c r="J122" s="5"/>
      <c r="K122" s="5"/>
      <c r="L122" s="5"/>
      <c r="M122" s="5"/>
      <c r="N122" s="5"/>
      <c r="O122" s="8" t="str">
        <f t="shared" si="24"/>
        <v>n/a</v>
      </c>
      <c r="Q122" s="5"/>
      <c r="R122" s="5"/>
      <c r="S122" s="5"/>
      <c r="U122" s="6"/>
      <c r="V122" s="9" t="str">
        <f t="shared" si="27"/>
        <v/>
      </c>
      <c r="W122" s="9" t="str">
        <f t="shared" si="28"/>
        <v/>
      </c>
      <c r="X122" s="10">
        <f>SUM(V$13:V122)/COUNTA(B$13:B122)</f>
        <v>0</v>
      </c>
      <c r="Z122" s="5"/>
      <c r="AA122" s="5"/>
      <c r="AC122" s="7"/>
      <c r="AE122" s="54" t="e">
        <f t="shared" si="29"/>
        <v>#N/A</v>
      </c>
      <c r="AF122" s="4" t="e">
        <f t="shared" si="25"/>
        <v>#N/A</v>
      </c>
    </row>
    <row r="123" spans="2:59">
      <c r="B123" s="5">
        <f t="shared" si="30"/>
        <v>111</v>
      </c>
      <c r="C123" s="5"/>
      <c r="E123" s="13"/>
      <c r="F123" s="5"/>
      <c r="G123" s="11" t="str">
        <f>IF(ISERROR(AVERAGE(F$13:F123)),"n/a",AVERAGE(F$13:F123))</f>
        <v>n/a</v>
      </c>
      <c r="H123" s="11" t="str">
        <f t="shared" si="26"/>
        <v>n/a</v>
      </c>
      <c r="J123" s="5"/>
      <c r="K123" s="5"/>
      <c r="L123" s="5"/>
      <c r="M123" s="5"/>
      <c r="N123" s="5"/>
      <c r="O123" s="8" t="str">
        <f t="shared" si="24"/>
        <v>n/a</v>
      </c>
      <c r="Q123" s="5"/>
      <c r="R123" s="5"/>
      <c r="S123" s="5"/>
      <c r="U123" s="6"/>
      <c r="V123" s="9" t="str">
        <f t="shared" si="27"/>
        <v/>
      </c>
      <c r="W123" s="9" t="str">
        <f t="shared" si="28"/>
        <v/>
      </c>
      <c r="X123" s="10">
        <f>SUM(V$13:V123)/COUNTA(B$13:B123)</f>
        <v>0</v>
      </c>
      <c r="Z123" s="5"/>
      <c r="AA123" s="5"/>
      <c r="AC123" s="7"/>
      <c r="AE123" s="54" t="e">
        <f t="shared" si="29"/>
        <v>#N/A</v>
      </c>
      <c r="AF123" s="4" t="e">
        <f t="shared" si="25"/>
        <v>#N/A</v>
      </c>
    </row>
    <row r="124" spans="2:59">
      <c r="B124" s="5">
        <f t="shared" si="30"/>
        <v>112</v>
      </c>
      <c r="C124" s="5"/>
      <c r="E124" s="13"/>
      <c r="F124" s="5"/>
      <c r="G124" s="11" t="str">
        <f>IF(ISERROR(AVERAGE(F$13:F124)),"n/a",AVERAGE(F$13:F124))</f>
        <v>n/a</v>
      </c>
      <c r="H124" s="11" t="str">
        <f t="shared" si="26"/>
        <v>n/a</v>
      </c>
      <c r="J124" s="5"/>
      <c r="K124" s="5"/>
      <c r="L124" s="5"/>
      <c r="M124" s="5"/>
      <c r="N124" s="5"/>
      <c r="O124" s="8" t="str">
        <f t="shared" si="24"/>
        <v>n/a</v>
      </c>
      <c r="Q124" s="5"/>
      <c r="R124" s="5"/>
      <c r="S124" s="5"/>
      <c r="U124" s="6"/>
      <c r="V124" s="9" t="str">
        <f t="shared" si="27"/>
        <v/>
      </c>
      <c r="W124" s="9" t="str">
        <f t="shared" si="28"/>
        <v/>
      </c>
      <c r="X124" s="10">
        <f>SUM(V$13:V124)/COUNTA(B$13:B124)</f>
        <v>0</v>
      </c>
      <c r="Z124" s="5"/>
      <c r="AA124" s="5"/>
      <c r="AC124" s="7"/>
      <c r="AE124" s="54" t="e">
        <f t="shared" si="29"/>
        <v>#N/A</v>
      </c>
      <c r="AF124" s="4" t="e">
        <f t="shared" si="25"/>
        <v>#N/A</v>
      </c>
    </row>
    <row r="125" spans="2:59">
      <c r="B125" s="5">
        <f t="shared" si="30"/>
        <v>113</v>
      </c>
      <c r="C125" s="5"/>
      <c r="E125" s="13"/>
      <c r="F125" s="5"/>
      <c r="G125" s="11" t="str">
        <f>IF(ISERROR(AVERAGE(F$13:F125)),"n/a",AVERAGE(F$13:F125))</f>
        <v>n/a</v>
      </c>
      <c r="H125" s="11" t="str">
        <f t="shared" si="26"/>
        <v>n/a</v>
      </c>
      <c r="J125" s="5"/>
      <c r="K125" s="5"/>
      <c r="L125" s="5"/>
      <c r="M125" s="5"/>
      <c r="N125" s="5"/>
      <c r="O125" s="8" t="str">
        <f t="shared" si="24"/>
        <v>n/a</v>
      </c>
      <c r="Q125" s="5"/>
      <c r="R125" s="5"/>
      <c r="S125" s="5"/>
      <c r="U125" s="6"/>
      <c r="V125" s="9" t="str">
        <f t="shared" si="27"/>
        <v/>
      </c>
      <c r="W125" s="9" t="str">
        <f t="shared" si="28"/>
        <v/>
      </c>
      <c r="X125" s="10">
        <f>SUM(V$13:V125)/COUNTA(B$13:B125)</f>
        <v>0</v>
      </c>
      <c r="Z125" s="5"/>
      <c r="AA125" s="5"/>
      <c r="AC125" s="7"/>
      <c r="AE125" s="54" t="e">
        <f t="shared" si="29"/>
        <v>#N/A</v>
      </c>
      <c r="AF125" s="4" t="e">
        <f t="shared" si="25"/>
        <v>#N/A</v>
      </c>
    </row>
    <row r="126" spans="2:59">
      <c r="B126" s="5">
        <f t="shared" si="30"/>
        <v>114</v>
      </c>
      <c r="C126" s="5"/>
      <c r="E126" s="13"/>
      <c r="F126" s="5"/>
      <c r="G126" s="11" t="str">
        <f>IF(ISERROR(AVERAGE(F$13:F126)),"n/a",AVERAGE(F$13:F126))</f>
        <v>n/a</v>
      </c>
      <c r="H126" s="11" t="str">
        <f t="shared" si="26"/>
        <v>n/a</v>
      </c>
      <c r="J126" s="5"/>
      <c r="K126" s="5"/>
      <c r="L126" s="5"/>
      <c r="M126" s="5"/>
      <c r="N126" s="5"/>
      <c r="O126" s="8" t="str">
        <f t="shared" si="24"/>
        <v>n/a</v>
      </c>
      <c r="Q126" s="5"/>
      <c r="R126" s="5"/>
      <c r="S126" s="5"/>
      <c r="U126" s="6"/>
      <c r="V126" s="9" t="str">
        <f t="shared" si="27"/>
        <v/>
      </c>
      <c r="W126" s="9" t="str">
        <f t="shared" si="28"/>
        <v/>
      </c>
      <c r="X126" s="10">
        <f>SUM(V$13:V126)/COUNTA(B$13:B126)</f>
        <v>0</v>
      </c>
      <c r="Z126" s="5"/>
      <c r="AA126" s="5"/>
      <c r="AC126" s="7"/>
      <c r="AE126" s="54" t="e">
        <f t="shared" si="29"/>
        <v>#N/A</v>
      </c>
      <c r="AF126" s="4" t="e">
        <f t="shared" si="25"/>
        <v>#N/A</v>
      </c>
    </row>
    <row r="127" spans="2:59">
      <c r="B127" s="5">
        <f t="shared" si="30"/>
        <v>115</v>
      </c>
      <c r="C127" s="5"/>
      <c r="E127" s="13"/>
      <c r="F127" s="5"/>
      <c r="G127" s="11" t="str">
        <f>IF(ISERROR(AVERAGE(F$13:F127)),"n/a",AVERAGE(F$13:F127))</f>
        <v>n/a</v>
      </c>
      <c r="H127" s="11" t="str">
        <f t="shared" si="26"/>
        <v>n/a</v>
      </c>
      <c r="J127" s="5"/>
      <c r="K127" s="5"/>
      <c r="L127" s="5"/>
      <c r="M127" s="5"/>
      <c r="N127" s="5"/>
      <c r="O127" s="8" t="str">
        <f t="shared" si="24"/>
        <v>n/a</v>
      </c>
      <c r="Q127" s="5"/>
      <c r="R127" s="5"/>
      <c r="S127" s="5"/>
      <c r="U127" s="6"/>
      <c r="V127" s="9" t="str">
        <f t="shared" si="27"/>
        <v/>
      </c>
      <c r="W127" s="9" t="str">
        <f t="shared" si="28"/>
        <v/>
      </c>
      <c r="X127" s="10">
        <f>SUM(V$13:V127)/COUNTA(B$13:B127)</f>
        <v>0</v>
      </c>
      <c r="Z127" s="5"/>
      <c r="AA127" s="5"/>
      <c r="AC127" s="7"/>
      <c r="AE127" s="54" t="e">
        <f t="shared" si="29"/>
        <v>#N/A</v>
      </c>
      <c r="AF127" s="4" t="e">
        <f t="shared" si="25"/>
        <v>#N/A</v>
      </c>
    </row>
    <row r="128" spans="2:59">
      <c r="B128" s="5">
        <f t="shared" si="30"/>
        <v>116</v>
      </c>
      <c r="C128" s="5"/>
      <c r="E128" s="13"/>
      <c r="F128" s="5"/>
      <c r="G128" s="11" t="str">
        <f>IF(ISERROR(AVERAGE(F$13:F128)),"n/a",AVERAGE(F$13:F128))</f>
        <v>n/a</v>
      </c>
      <c r="H128" s="11" t="str">
        <f t="shared" si="26"/>
        <v>n/a</v>
      </c>
      <c r="J128" s="5"/>
      <c r="K128" s="5"/>
      <c r="L128" s="5"/>
      <c r="M128" s="5"/>
      <c r="N128" s="5"/>
      <c r="O128" s="8" t="str">
        <f t="shared" si="24"/>
        <v>n/a</v>
      </c>
      <c r="Q128" s="5"/>
      <c r="R128" s="5"/>
      <c r="S128" s="5"/>
      <c r="U128" s="6"/>
      <c r="V128" s="9" t="str">
        <f t="shared" si="27"/>
        <v/>
      </c>
      <c r="W128" s="9" t="str">
        <f t="shared" si="28"/>
        <v/>
      </c>
      <c r="X128" s="10">
        <f>SUM(V$13:V128)/COUNTA(B$13:B128)</f>
        <v>0</v>
      </c>
      <c r="Z128" s="5"/>
      <c r="AA128" s="5"/>
      <c r="AC128" s="7"/>
      <c r="AE128" s="54" t="e">
        <f t="shared" si="29"/>
        <v>#N/A</v>
      </c>
      <c r="AF128" s="4" t="e">
        <f t="shared" si="25"/>
        <v>#N/A</v>
      </c>
    </row>
    <row r="129" spans="2:32">
      <c r="B129" s="5">
        <f t="shared" si="30"/>
        <v>117</v>
      </c>
      <c r="C129" s="5"/>
      <c r="E129" s="13"/>
      <c r="F129" s="5"/>
      <c r="G129" s="11" t="str">
        <f>IF(ISERROR(AVERAGE(F$13:F129)),"n/a",AVERAGE(F$13:F129))</f>
        <v>n/a</v>
      </c>
      <c r="H129" s="11" t="str">
        <f t="shared" si="26"/>
        <v>n/a</v>
      </c>
      <c r="J129" s="5"/>
      <c r="K129" s="5"/>
      <c r="L129" s="5"/>
      <c r="M129" s="5"/>
      <c r="N129" s="5"/>
      <c r="O129" s="8" t="str">
        <f t="shared" si="24"/>
        <v>n/a</v>
      </c>
      <c r="Q129" s="5"/>
      <c r="R129" s="5"/>
      <c r="S129" s="5"/>
      <c r="U129" s="6"/>
      <c r="V129" s="9" t="str">
        <f t="shared" si="27"/>
        <v/>
      </c>
      <c r="W129" s="9" t="str">
        <f t="shared" si="28"/>
        <v/>
      </c>
      <c r="X129" s="10">
        <f>SUM(V$13:V129)/COUNTA(B$13:B129)</f>
        <v>0</v>
      </c>
      <c r="Z129" s="5"/>
      <c r="AA129" s="5"/>
      <c r="AC129" s="7"/>
      <c r="AE129" s="54" t="e">
        <f t="shared" si="29"/>
        <v>#N/A</v>
      </c>
      <c r="AF129" s="4" t="e">
        <f t="shared" si="25"/>
        <v>#N/A</v>
      </c>
    </row>
    <row r="130" spans="2:32">
      <c r="B130" s="5">
        <f t="shared" si="30"/>
        <v>118</v>
      </c>
      <c r="C130" s="5"/>
      <c r="E130" s="13"/>
      <c r="F130" s="5"/>
      <c r="G130" s="11" t="str">
        <f>IF(ISERROR(AVERAGE(F$13:F130)),"n/a",AVERAGE(F$13:F130))</f>
        <v>n/a</v>
      </c>
      <c r="H130" s="11" t="str">
        <f t="shared" si="26"/>
        <v>n/a</v>
      </c>
      <c r="J130" s="5"/>
      <c r="K130" s="5"/>
      <c r="L130" s="5"/>
      <c r="M130" s="5"/>
      <c r="N130" s="5"/>
      <c r="O130" s="8" t="str">
        <f t="shared" si="24"/>
        <v>n/a</v>
      </c>
      <c r="Q130" s="5"/>
      <c r="R130" s="5"/>
      <c r="S130" s="5"/>
      <c r="U130" s="6"/>
      <c r="V130" s="9" t="str">
        <f t="shared" si="27"/>
        <v/>
      </c>
      <c r="W130" s="9" t="str">
        <f t="shared" si="28"/>
        <v/>
      </c>
      <c r="X130" s="10">
        <f>SUM(V$13:V130)/COUNTA(B$13:B130)</f>
        <v>0</v>
      </c>
      <c r="Z130" s="5"/>
      <c r="AA130" s="5"/>
      <c r="AC130" s="7"/>
      <c r="AE130" s="54" t="e">
        <f t="shared" si="29"/>
        <v>#N/A</v>
      </c>
      <c r="AF130" s="4" t="e">
        <f t="shared" si="25"/>
        <v>#N/A</v>
      </c>
    </row>
    <row r="131" spans="2:32">
      <c r="B131" s="5">
        <f t="shared" si="30"/>
        <v>119</v>
      </c>
      <c r="C131" s="5"/>
      <c r="E131" s="13"/>
      <c r="F131" s="5"/>
      <c r="G131" s="11" t="str">
        <f>IF(ISERROR(AVERAGE(F$13:F131)),"n/a",AVERAGE(F$13:F131))</f>
        <v>n/a</v>
      </c>
      <c r="H131" s="11" t="str">
        <f t="shared" si="26"/>
        <v>n/a</v>
      </c>
      <c r="J131" s="5"/>
      <c r="K131" s="5"/>
      <c r="L131" s="5"/>
      <c r="M131" s="5"/>
      <c r="N131" s="5"/>
      <c r="O131" s="8" t="str">
        <f t="shared" si="24"/>
        <v>n/a</v>
      </c>
      <c r="Q131" s="5"/>
      <c r="R131" s="5"/>
      <c r="S131" s="5"/>
      <c r="U131" s="6"/>
      <c r="V131" s="9" t="str">
        <f t="shared" si="27"/>
        <v/>
      </c>
      <c r="W131" s="9" t="str">
        <f t="shared" si="28"/>
        <v/>
      </c>
      <c r="X131" s="10">
        <f>SUM(V$13:V131)/COUNTA(B$13:B131)</f>
        <v>0</v>
      </c>
      <c r="Z131" s="5"/>
      <c r="AA131" s="5"/>
      <c r="AC131" s="7"/>
      <c r="AE131" s="54" t="e">
        <f t="shared" si="29"/>
        <v>#N/A</v>
      </c>
      <c r="AF131" s="4" t="e">
        <f t="shared" si="25"/>
        <v>#N/A</v>
      </c>
    </row>
    <row r="132" spans="2:32">
      <c r="B132" s="5">
        <f t="shared" si="30"/>
        <v>120</v>
      </c>
      <c r="C132" s="5"/>
      <c r="E132" s="13"/>
      <c r="F132" s="5"/>
      <c r="G132" s="11" t="str">
        <f>IF(ISERROR(AVERAGE(F$13:F132)),"n/a",AVERAGE(F$13:F132))</f>
        <v>n/a</v>
      </c>
      <c r="H132" s="11" t="str">
        <f t="shared" si="26"/>
        <v>n/a</v>
      </c>
      <c r="J132" s="5"/>
      <c r="K132" s="5"/>
      <c r="L132" s="5"/>
      <c r="M132" s="5"/>
      <c r="N132" s="5"/>
      <c r="O132" s="8" t="str">
        <f t="shared" si="24"/>
        <v>n/a</v>
      </c>
      <c r="Q132" s="5"/>
      <c r="R132" s="5"/>
      <c r="S132" s="5"/>
      <c r="U132" s="6"/>
      <c r="V132" s="9" t="str">
        <f t="shared" si="27"/>
        <v/>
      </c>
      <c r="W132" s="9" t="str">
        <f t="shared" si="28"/>
        <v/>
      </c>
      <c r="X132" s="10">
        <f>SUM(V$13:V132)/COUNTA(B$13:B132)</f>
        <v>0</v>
      </c>
      <c r="Z132" s="5"/>
      <c r="AA132" s="5"/>
      <c r="AC132" s="7"/>
      <c r="AE132" s="54" t="e">
        <f t="shared" si="29"/>
        <v>#N/A</v>
      </c>
      <c r="AF132" s="4" t="e">
        <f t="shared" si="25"/>
        <v>#N/A</v>
      </c>
    </row>
    <row r="133" spans="2:32">
      <c r="B133" s="5">
        <f t="shared" si="30"/>
        <v>121</v>
      </c>
      <c r="C133" s="5"/>
      <c r="E133" s="13"/>
      <c r="F133" s="5"/>
      <c r="G133" s="11" t="str">
        <f>IF(ISERROR(AVERAGE(F$13:F133)),"n/a",AVERAGE(F$13:F133))</f>
        <v>n/a</v>
      </c>
      <c r="H133" s="11" t="str">
        <f t="shared" si="26"/>
        <v>n/a</v>
      </c>
      <c r="J133" s="5"/>
      <c r="K133" s="5"/>
      <c r="L133" s="5"/>
      <c r="M133" s="5"/>
      <c r="N133" s="5"/>
      <c r="O133" s="8" t="str">
        <f t="shared" si="24"/>
        <v>n/a</v>
      </c>
      <c r="Q133" s="5"/>
      <c r="R133" s="5"/>
      <c r="S133" s="5"/>
      <c r="U133" s="6"/>
      <c r="V133" s="9" t="str">
        <f t="shared" si="27"/>
        <v/>
      </c>
      <c r="W133" s="9" t="str">
        <f t="shared" si="28"/>
        <v/>
      </c>
      <c r="X133" s="10">
        <f>SUM(V$13:V133)/COUNTA(B$13:B133)</f>
        <v>0</v>
      </c>
      <c r="Z133" s="5"/>
      <c r="AA133" s="5"/>
      <c r="AC133" s="7"/>
      <c r="AE133" s="54" t="e">
        <f t="shared" si="29"/>
        <v>#N/A</v>
      </c>
      <c r="AF133" s="4" t="e">
        <f t="shared" si="25"/>
        <v>#N/A</v>
      </c>
    </row>
    <row r="134" spans="2:32">
      <c r="B134" s="5">
        <f t="shared" si="30"/>
        <v>122</v>
      </c>
      <c r="C134" s="5"/>
      <c r="E134" s="13"/>
      <c r="F134" s="5"/>
      <c r="G134" s="11" t="str">
        <f>IF(ISERROR(AVERAGE(F$13:F134)),"n/a",AVERAGE(F$13:F134))</f>
        <v>n/a</v>
      </c>
      <c r="H134" s="11" t="str">
        <f t="shared" si="26"/>
        <v>n/a</v>
      </c>
      <c r="J134" s="5"/>
      <c r="K134" s="5"/>
      <c r="L134" s="5"/>
      <c r="M134" s="5"/>
      <c r="N134" s="5"/>
      <c r="O134" s="8" t="str">
        <f t="shared" si="24"/>
        <v>n/a</v>
      </c>
      <c r="Q134" s="5"/>
      <c r="R134" s="5"/>
      <c r="S134" s="5"/>
      <c r="U134" s="6"/>
      <c r="V134" s="9" t="str">
        <f t="shared" si="27"/>
        <v/>
      </c>
      <c r="W134" s="9" t="str">
        <f t="shared" si="28"/>
        <v/>
      </c>
      <c r="X134" s="10">
        <f>SUM(V$13:V134)/COUNTA(B$13:B134)</f>
        <v>0</v>
      </c>
      <c r="Z134" s="5"/>
      <c r="AA134" s="5"/>
      <c r="AC134" s="7"/>
      <c r="AE134" s="54" t="e">
        <f t="shared" si="29"/>
        <v>#N/A</v>
      </c>
      <c r="AF134" s="4" t="e">
        <f t="shared" si="25"/>
        <v>#N/A</v>
      </c>
    </row>
    <row r="135" spans="2:32">
      <c r="B135" s="5">
        <f t="shared" si="30"/>
        <v>123</v>
      </c>
      <c r="C135" s="5"/>
      <c r="E135" s="13"/>
      <c r="F135" s="5"/>
      <c r="G135" s="11" t="str">
        <f>IF(ISERROR(AVERAGE(F$13:F135)),"n/a",AVERAGE(F$13:F135))</f>
        <v>n/a</v>
      </c>
      <c r="H135" s="11" t="str">
        <f t="shared" si="26"/>
        <v>n/a</v>
      </c>
      <c r="J135" s="5"/>
      <c r="K135" s="5"/>
      <c r="L135" s="5"/>
      <c r="M135" s="5"/>
      <c r="N135" s="5"/>
      <c r="O135" s="8" t="str">
        <f t="shared" si="24"/>
        <v>n/a</v>
      </c>
      <c r="Q135" s="5"/>
      <c r="R135" s="5"/>
      <c r="S135" s="5"/>
      <c r="U135" s="6"/>
      <c r="V135" s="9" t="str">
        <f t="shared" si="27"/>
        <v/>
      </c>
      <c r="W135" s="9" t="str">
        <f t="shared" si="28"/>
        <v/>
      </c>
      <c r="X135" s="10">
        <f>SUM(V$13:V135)/COUNTA(B$13:B135)</f>
        <v>0</v>
      </c>
      <c r="Z135" s="5"/>
      <c r="AA135" s="5"/>
      <c r="AC135" s="7"/>
      <c r="AE135" s="54" t="e">
        <f t="shared" si="29"/>
        <v>#N/A</v>
      </c>
      <c r="AF135" s="4" t="e">
        <f t="shared" si="25"/>
        <v>#N/A</v>
      </c>
    </row>
    <row r="136" spans="2:32">
      <c r="B136" s="5">
        <f t="shared" si="30"/>
        <v>124</v>
      </c>
      <c r="C136" s="5"/>
      <c r="E136" s="13"/>
      <c r="F136" s="5"/>
      <c r="G136" s="11" t="str">
        <f>IF(ISERROR(AVERAGE(F$13:F136)),"n/a",AVERAGE(F$13:F136))</f>
        <v>n/a</v>
      </c>
      <c r="H136" s="11" t="str">
        <f t="shared" si="26"/>
        <v>n/a</v>
      </c>
      <c r="J136" s="5"/>
      <c r="K136" s="5"/>
      <c r="L136" s="5"/>
      <c r="M136" s="5"/>
      <c r="N136" s="5"/>
      <c r="O136" s="8" t="str">
        <f t="shared" si="24"/>
        <v>n/a</v>
      </c>
      <c r="Q136" s="5"/>
      <c r="R136" s="5"/>
      <c r="S136" s="5"/>
      <c r="U136" s="6"/>
      <c r="V136" s="9" t="str">
        <f t="shared" si="27"/>
        <v/>
      </c>
      <c r="W136" s="9" t="str">
        <f t="shared" si="28"/>
        <v/>
      </c>
      <c r="X136" s="10">
        <f>SUM(V$13:V136)/COUNTA(B$13:B136)</f>
        <v>0</v>
      </c>
      <c r="Z136" s="5"/>
      <c r="AA136" s="5"/>
      <c r="AC136" s="7"/>
      <c r="AE136" s="54" t="e">
        <f t="shared" si="29"/>
        <v>#N/A</v>
      </c>
      <c r="AF136" s="4" t="e">
        <f t="shared" si="25"/>
        <v>#N/A</v>
      </c>
    </row>
    <row r="137" spans="2:32">
      <c r="B137" s="5">
        <f t="shared" si="30"/>
        <v>125</v>
      </c>
      <c r="C137" s="5"/>
      <c r="E137" s="13"/>
      <c r="F137" s="5"/>
      <c r="G137" s="11" t="str">
        <f>IF(ISERROR(AVERAGE(F$13:F137)),"n/a",AVERAGE(F$13:F137))</f>
        <v>n/a</v>
      </c>
      <c r="H137" s="11" t="str">
        <f t="shared" si="26"/>
        <v>n/a</v>
      </c>
      <c r="J137" s="5"/>
      <c r="K137" s="5"/>
      <c r="L137" s="5"/>
      <c r="M137" s="5"/>
      <c r="N137" s="5"/>
      <c r="O137" s="8" t="str">
        <f t="shared" si="24"/>
        <v>n/a</v>
      </c>
      <c r="Q137" s="5"/>
      <c r="R137" s="5"/>
      <c r="S137" s="5"/>
      <c r="U137" s="6"/>
      <c r="V137" s="9" t="str">
        <f t="shared" si="27"/>
        <v/>
      </c>
      <c r="W137" s="9" t="str">
        <f t="shared" si="28"/>
        <v/>
      </c>
      <c r="X137" s="10">
        <f>SUM(V$13:V137)/COUNTA(B$13:B137)</f>
        <v>0</v>
      </c>
      <c r="Z137" s="5"/>
      <c r="AA137" s="5"/>
      <c r="AC137" s="7"/>
      <c r="AE137" s="54" t="e">
        <f t="shared" si="29"/>
        <v>#N/A</v>
      </c>
      <c r="AF137" s="4" t="e">
        <f t="shared" si="25"/>
        <v>#N/A</v>
      </c>
    </row>
    <row r="138" spans="2:32">
      <c r="B138" s="5">
        <f t="shared" si="30"/>
        <v>126</v>
      </c>
      <c r="C138" s="5"/>
      <c r="E138" s="13"/>
      <c r="F138" s="5"/>
      <c r="G138" s="11" t="str">
        <f>IF(ISERROR(AVERAGE(F$13:F138)),"n/a",AVERAGE(F$13:F138))</f>
        <v>n/a</v>
      </c>
      <c r="H138" s="11" t="str">
        <f t="shared" si="26"/>
        <v>n/a</v>
      </c>
      <c r="J138" s="5"/>
      <c r="K138" s="5"/>
      <c r="L138" s="5"/>
      <c r="M138" s="5"/>
      <c r="N138" s="5"/>
      <c r="O138" s="8" t="str">
        <f t="shared" si="24"/>
        <v>n/a</v>
      </c>
      <c r="Q138" s="5"/>
      <c r="R138" s="5"/>
      <c r="S138" s="5"/>
      <c r="U138" s="6"/>
      <c r="V138" s="9" t="str">
        <f t="shared" si="27"/>
        <v/>
      </c>
      <c r="W138" s="9" t="str">
        <f t="shared" si="28"/>
        <v/>
      </c>
      <c r="X138" s="10">
        <f>SUM(V$13:V138)/COUNTA(B$13:B138)</f>
        <v>0</v>
      </c>
      <c r="Z138" s="5"/>
      <c r="AA138" s="5"/>
      <c r="AC138" s="7"/>
      <c r="AE138" s="54" t="e">
        <f t="shared" si="29"/>
        <v>#N/A</v>
      </c>
      <c r="AF138" s="4" t="e">
        <f t="shared" si="25"/>
        <v>#N/A</v>
      </c>
    </row>
    <row r="139" spans="2:32">
      <c r="B139" s="5">
        <f t="shared" si="30"/>
        <v>127</v>
      </c>
      <c r="C139" s="5"/>
      <c r="E139" s="13"/>
      <c r="F139" s="5"/>
      <c r="G139" s="11" t="str">
        <f>IF(ISERROR(AVERAGE(F$13:F139)),"n/a",AVERAGE(F$13:F139))</f>
        <v>n/a</v>
      </c>
      <c r="H139" s="11" t="str">
        <f t="shared" si="26"/>
        <v>n/a</v>
      </c>
      <c r="J139" s="5"/>
      <c r="K139" s="5"/>
      <c r="L139" s="5"/>
      <c r="M139" s="5"/>
      <c r="N139" s="5"/>
      <c r="O139" s="8" t="str">
        <f t="shared" si="24"/>
        <v>n/a</v>
      </c>
      <c r="Q139" s="5"/>
      <c r="R139" s="5"/>
      <c r="S139" s="5"/>
      <c r="U139" s="6"/>
      <c r="V139" s="9" t="str">
        <f t="shared" si="27"/>
        <v/>
      </c>
      <c r="W139" s="9" t="str">
        <f t="shared" si="28"/>
        <v/>
      </c>
      <c r="X139" s="10">
        <f>SUM(V$13:V139)/COUNTA(B$13:B139)</f>
        <v>0</v>
      </c>
      <c r="Z139" s="5"/>
      <c r="AA139" s="5"/>
      <c r="AC139" s="7"/>
      <c r="AE139" s="54" t="e">
        <f t="shared" si="29"/>
        <v>#N/A</v>
      </c>
      <c r="AF139" s="4" t="e">
        <f t="shared" si="25"/>
        <v>#N/A</v>
      </c>
    </row>
    <row r="140" spans="2:32">
      <c r="B140" s="5">
        <f t="shared" si="30"/>
        <v>128</v>
      </c>
      <c r="C140" s="5"/>
      <c r="E140" s="13"/>
      <c r="F140" s="5"/>
      <c r="G140" s="11" t="str">
        <f>IF(ISERROR(AVERAGE(F$13:F140)),"n/a",AVERAGE(F$13:F140))</f>
        <v>n/a</v>
      </c>
      <c r="H140" s="11" t="str">
        <f t="shared" si="26"/>
        <v>n/a</v>
      </c>
      <c r="J140" s="5"/>
      <c r="K140" s="5"/>
      <c r="L140" s="5"/>
      <c r="M140" s="5"/>
      <c r="N140" s="5"/>
      <c r="O140" s="8" t="str">
        <f t="shared" si="24"/>
        <v>n/a</v>
      </c>
      <c r="Q140" s="5"/>
      <c r="R140" s="5"/>
      <c r="S140" s="5"/>
      <c r="U140" s="6"/>
      <c r="V140" s="9" t="str">
        <f t="shared" si="27"/>
        <v/>
      </c>
      <c r="W140" s="9" t="str">
        <f t="shared" si="28"/>
        <v/>
      </c>
      <c r="X140" s="10">
        <f>SUM(V$13:V140)/COUNTA(B$13:B140)</f>
        <v>0</v>
      </c>
      <c r="Z140" s="5"/>
      <c r="AA140" s="5"/>
      <c r="AC140" s="7"/>
      <c r="AE140" s="54" t="e">
        <f t="shared" si="29"/>
        <v>#N/A</v>
      </c>
      <c r="AF140" s="4" t="e">
        <f t="shared" si="25"/>
        <v>#N/A</v>
      </c>
    </row>
    <row r="141" spans="2:32">
      <c r="B141" s="5">
        <f t="shared" si="30"/>
        <v>129</v>
      </c>
      <c r="C141" s="5"/>
      <c r="E141" s="13"/>
      <c r="F141" s="5"/>
      <c r="G141" s="11" t="str">
        <f>IF(ISERROR(AVERAGE(F$13:F141)),"n/a",AVERAGE(F$13:F141))</f>
        <v>n/a</v>
      </c>
      <c r="H141" s="11" t="str">
        <f t="shared" si="26"/>
        <v>n/a</v>
      </c>
      <c r="J141" s="5"/>
      <c r="K141" s="5"/>
      <c r="L141" s="5"/>
      <c r="M141" s="5"/>
      <c r="N141" s="5"/>
      <c r="O141" s="8" t="str">
        <f t="shared" ref="O141:O204" si="31">IF(J141=1,"A",IF(K141=1,"B",IF(L141=1,"C",IF(M141=1,"D",IF(N141=1,"E","n/a")))))</f>
        <v>n/a</v>
      </c>
      <c r="Q141" s="5"/>
      <c r="R141" s="5"/>
      <c r="S141" s="5"/>
      <c r="U141" s="6"/>
      <c r="V141" s="9" t="str">
        <f t="shared" si="27"/>
        <v/>
      </c>
      <c r="W141" s="9" t="str">
        <f t="shared" si="28"/>
        <v/>
      </c>
      <c r="X141" s="10">
        <f>SUM(V$13:V141)/COUNTA(B$13:B141)</f>
        <v>0</v>
      </c>
      <c r="Z141" s="5"/>
      <c r="AA141" s="5"/>
      <c r="AC141" s="7"/>
      <c r="AE141" s="54" t="e">
        <f t="shared" si="29"/>
        <v>#N/A</v>
      </c>
      <c r="AF141" s="4" t="e">
        <f t="shared" ref="AF141:AF204" si="32">HLOOKUP(C141,$K$6:$O$7,2,FALSE)</f>
        <v>#N/A</v>
      </c>
    </row>
    <row r="142" spans="2:32">
      <c r="B142" s="5">
        <f t="shared" si="30"/>
        <v>130</v>
      </c>
      <c r="C142" s="5"/>
      <c r="E142" s="13"/>
      <c r="F142" s="5"/>
      <c r="G142" s="11" t="str">
        <f>IF(ISERROR(AVERAGE(F$13:F142)),"n/a",AVERAGE(F$13:F142))</f>
        <v>n/a</v>
      </c>
      <c r="H142" s="11" t="str">
        <f t="shared" ref="H142:H205" si="33">G142</f>
        <v>n/a</v>
      </c>
      <c r="J142" s="5"/>
      <c r="K142" s="5"/>
      <c r="L142" s="5"/>
      <c r="M142" s="5"/>
      <c r="N142" s="5"/>
      <c r="O142" s="8" t="str">
        <f t="shared" si="31"/>
        <v>n/a</v>
      </c>
      <c r="Q142" s="5"/>
      <c r="R142" s="5"/>
      <c r="S142" s="5"/>
      <c r="U142" s="6"/>
      <c r="V142" s="9" t="str">
        <f t="shared" ref="V142:V205" si="34">IF(O142="n/a","",IF(O142=U142,1,""))</f>
        <v/>
      </c>
      <c r="W142" s="9" t="str">
        <f t="shared" ref="W142:W205" si="35">IF(O142="n/a","",IF(O142&lt;&gt;U142,1,""))</f>
        <v/>
      </c>
      <c r="X142" s="10">
        <f>SUM(V$13:V142)/COUNTA(B$13:B142)</f>
        <v>0</v>
      </c>
      <c r="Z142" s="5"/>
      <c r="AA142" s="5"/>
      <c r="AC142" s="7"/>
      <c r="AE142" s="54" t="e">
        <f t="shared" ref="AE142:AE205" si="36">+IF($F$4=0,0,IF(W142=1,1,IF(OR(R142*$F$8=1,S142*$F$9=1,F142&gt;=AF142),2,0)))</f>
        <v>#N/A</v>
      </c>
      <c r="AF142" s="4" t="e">
        <f t="shared" si="32"/>
        <v>#N/A</v>
      </c>
    </row>
    <row r="143" spans="2:32">
      <c r="B143" s="5">
        <f t="shared" si="30"/>
        <v>131</v>
      </c>
      <c r="C143" s="5"/>
      <c r="E143" s="13"/>
      <c r="F143" s="5"/>
      <c r="G143" s="11" t="str">
        <f>IF(ISERROR(AVERAGE(F$13:F143)),"n/a",AVERAGE(F$13:F143))</f>
        <v>n/a</v>
      </c>
      <c r="H143" s="11" t="str">
        <f t="shared" si="33"/>
        <v>n/a</v>
      </c>
      <c r="J143" s="5"/>
      <c r="K143" s="5"/>
      <c r="L143" s="5"/>
      <c r="M143" s="5"/>
      <c r="N143" s="5"/>
      <c r="O143" s="8" t="str">
        <f t="shared" si="31"/>
        <v>n/a</v>
      </c>
      <c r="Q143" s="5"/>
      <c r="R143" s="5"/>
      <c r="S143" s="5"/>
      <c r="U143" s="6"/>
      <c r="V143" s="9" t="str">
        <f t="shared" si="34"/>
        <v/>
      </c>
      <c r="W143" s="9" t="str">
        <f t="shared" si="35"/>
        <v/>
      </c>
      <c r="X143" s="10">
        <f>SUM(V$13:V143)/COUNTA(B$13:B143)</f>
        <v>0</v>
      </c>
      <c r="Z143" s="5"/>
      <c r="AA143" s="5"/>
      <c r="AC143" s="7"/>
      <c r="AE143" s="54" t="e">
        <f t="shared" si="36"/>
        <v>#N/A</v>
      </c>
      <c r="AF143" s="4" t="e">
        <f t="shared" si="32"/>
        <v>#N/A</v>
      </c>
    </row>
    <row r="144" spans="2:32">
      <c r="B144" s="5">
        <f t="shared" si="30"/>
        <v>132</v>
      </c>
      <c r="C144" s="5"/>
      <c r="E144" s="13"/>
      <c r="F144" s="5"/>
      <c r="G144" s="11" t="str">
        <f>IF(ISERROR(AVERAGE(F$13:F144)),"n/a",AVERAGE(F$13:F144))</f>
        <v>n/a</v>
      </c>
      <c r="H144" s="11" t="str">
        <f t="shared" si="33"/>
        <v>n/a</v>
      </c>
      <c r="J144" s="5"/>
      <c r="K144" s="5"/>
      <c r="L144" s="5"/>
      <c r="M144" s="5"/>
      <c r="N144" s="5"/>
      <c r="O144" s="8" t="str">
        <f t="shared" si="31"/>
        <v>n/a</v>
      </c>
      <c r="Q144" s="5"/>
      <c r="R144" s="5"/>
      <c r="S144" s="5"/>
      <c r="U144" s="6"/>
      <c r="V144" s="9" t="str">
        <f t="shared" si="34"/>
        <v/>
      </c>
      <c r="W144" s="9" t="str">
        <f t="shared" si="35"/>
        <v/>
      </c>
      <c r="X144" s="10">
        <f>SUM(V$13:V144)/COUNTA(B$13:B144)</f>
        <v>0</v>
      </c>
      <c r="Z144" s="5"/>
      <c r="AA144" s="5"/>
      <c r="AC144" s="7"/>
      <c r="AE144" s="54" t="e">
        <f t="shared" si="36"/>
        <v>#N/A</v>
      </c>
      <c r="AF144" s="4" t="e">
        <f t="shared" si="32"/>
        <v>#N/A</v>
      </c>
    </row>
    <row r="145" spans="2:32">
      <c r="B145" s="5">
        <f t="shared" si="30"/>
        <v>133</v>
      </c>
      <c r="C145" s="5"/>
      <c r="E145" s="13"/>
      <c r="F145" s="5"/>
      <c r="G145" s="11" t="str">
        <f>IF(ISERROR(AVERAGE(F$13:F145)),"n/a",AVERAGE(F$13:F145))</f>
        <v>n/a</v>
      </c>
      <c r="H145" s="11" t="str">
        <f t="shared" si="33"/>
        <v>n/a</v>
      </c>
      <c r="J145" s="5"/>
      <c r="K145" s="5"/>
      <c r="L145" s="5"/>
      <c r="M145" s="5"/>
      <c r="N145" s="5"/>
      <c r="O145" s="8" t="str">
        <f t="shared" si="31"/>
        <v>n/a</v>
      </c>
      <c r="Q145" s="5"/>
      <c r="R145" s="5"/>
      <c r="S145" s="5"/>
      <c r="U145" s="6"/>
      <c r="V145" s="9" t="str">
        <f t="shared" si="34"/>
        <v/>
      </c>
      <c r="W145" s="9" t="str">
        <f t="shared" si="35"/>
        <v/>
      </c>
      <c r="X145" s="10">
        <f>SUM(V$13:V145)/COUNTA(B$13:B145)</f>
        <v>0</v>
      </c>
      <c r="Z145" s="5"/>
      <c r="AA145" s="5"/>
      <c r="AC145" s="7"/>
      <c r="AE145" s="54" t="e">
        <f t="shared" si="36"/>
        <v>#N/A</v>
      </c>
      <c r="AF145" s="4" t="e">
        <f t="shared" si="32"/>
        <v>#N/A</v>
      </c>
    </row>
    <row r="146" spans="2:32">
      <c r="B146" s="5">
        <f t="shared" si="30"/>
        <v>134</v>
      </c>
      <c r="C146" s="5"/>
      <c r="E146" s="13"/>
      <c r="F146" s="5"/>
      <c r="G146" s="11" t="str">
        <f>IF(ISERROR(AVERAGE(F$13:F146)),"n/a",AVERAGE(F$13:F146))</f>
        <v>n/a</v>
      </c>
      <c r="H146" s="11" t="str">
        <f t="shared" si="33"/>
        <v>n/a</v>
      </c>
      <c r="J146" s="5"/>
      <c r="K146" s="5"/>
      <c r="L146" s="5"/>
      <c r="M146" s="5"/>
      <c r="N146" s="5"/>
      <c r="O146" s="8" t="str">
        <f t="shared" si="31"/>
        <v>n/a</v>
      </c>
      <c r="Q146" s="5"/>
      <c r="R146" s="5"/>
      <c r="S146" s="5"/>
      <c r="U146" s="6"/>
      <c r="V146" s="9" t="str">
        <f t="shared" si="34"/>
        <v/>
      </c>
      <c r="W146" s="9" t="str">
        <f t="shared" si="35"/>
        <v/>
      </c>
      <c r="X146" s="10">
        <f>SUM(V$13:V146)/COUNTA(B$13:B146)</f>
        <v>0</v>
      </c>
      <c r="Z146" s="5"/>
      <c r="AA146" s="5"/>
      <c r="AC146" s="7"/>
      <c r="AE146" s="54" t="e">
        <f t="shared" si="36"/>
        <v>#N/A</v>
      </c>
      <c r="AF146" s="4" t="e">
        <f t="shared" si="32"/>
        <v>#N/A</v>
      </c>
    </row>
    <row r="147" spans="2:32">
      <c r="B147" s="5">
        <f t="shared" ref="B147:B210" si="37">+B146+1</f>
        <v>135</v>
      </c>
      <c r="C147" s="5"/>
      <c r="E147" s="13"/>
      <c r="F147" s="5"/>
      <c r="G147" s="11" t="str">
        <f>IF(ISERROR(AVERAGE(F$13:F147)),"n/a",AVERAGE(F$13:F147))</f>
        <v>n/a</v>
      </c>
      <c r="H147" s="11" t="str">
        <f t="shared" si="33"/>
        <v>n/a</v>
      </c>
      <c r="J147" s="5"/>
      <c r="K147" s="5"/>
      <c r="L147" s="5"/>
      <c r="M147" s="5"/>
      <c r="N147" s="5"/>
      <c r="O147" s="8" t="str">
        <f t="shared" si="31"/>
        <v>n/a</v>
      </c>
      <c r="Q147" s="5"/>
      <c r="R147" s="5"/>
      <c r="S147" s="5"/>
      <c r="U147" s="6"/>
      <c r="V147" s="9" t="str">
        <f t="shared" si="34"/>
        <v/>
      </c>
      <c r="W147" s="9" t="str">
        <f t="shared" si="35"/>
        <v/>
      </c>
      <c r="X147" s="10">
        <f>SUM(V$13:V147)/COUNTA(B$13:B147)</f>
        <v>0</v>
      </c>
      <c r="Z147" s="5"/>
      <c r="AA147" s="5"/>
      <c r="AC147" s="7"/>
      <c r="AE147" s="54" t="e">
        <f t="shared" si="36"/>
        <v>#N/A</v>
      </c>
      <c r="AF147" s="4" t="e">
        <f t="shared" si="32"/>
        <v>#N/A</v>
      </c>
    </row>
    <row r="148" spans="2:32">
      <c r="B148" s="5">
        <f t="shared" si="37"/>
        <v>136</v>
      </c>
      <c r="C148" s="5"/>
      <c r="E148" s="13"/>
      <c r="F148" s="5"/>
      <c r="G148" s="11" t="str">
        <f>IF(ISERROR(AVERAGE(F$13:F148)),"n/a",AVERAGE(F$13:F148))</f>
        <v>n/a</v>
      </c>
      <c r="H148" s="11" t="str">
        <f t="shared" si="33"/>
        <v>n/a</v>
      </c>
      <c r="J148" s="5"/>
      <c r="K148" s="5"/>
      <c r="L148" s="5"/>
      <c r="M148" s="5"/>
      <c r="N148" s="5"/>
      <c r="O148" s="8" t="str">
        <f t="shared" si="31"/>
        <v>n/a</v>
      </c>
      <c r="Q148" s="5"/>
      <c r="R148" s="5"/>
      <c r="S148" s="5"/>
      <c r="U148" s="6"/>
      <c r="V148" s="9" t="str">
        <f t="shared" si="34"/>
        <v/>
      </c>
      <c r="W148" s="9" t="str">
        <f t="shared" si="35"/>
        <v/>
      </c>
      <c r="X148" s="10">
        <f>SUM(V$13:V148)/COUNTA(B$13:B148)</f>
        <v>0</v>
      </c>
      <c r="Z148" s="5"/>
      <c r="AA148" s="5"/>
      <c r="AC148" s="7"/>
      <c r="AE148" s="54" t="e">
        <f t="shared" si="36"/>
        <v>#N/A</v>
      </c>
      <c r="AF148" s="4" t="e">
        <f t="shared" si="32"/>
        <v>#N/A</v>
      </c>
    </row>
    <row r="149" spans="2:32">
      <c r="B149" s="5">
        <f t="shared" si="37"/>
        <v>137</v>
      </c>
      <c r="C149" s="5"/>
      <c r="E149" s="13"/>
      <c r="F149" s="5"/>
      <c r="G149" s="11" t="str">
        <f>IF(ISERROR(AVERAGE(F$13:F149)),"n/a",AVERAGE(F$13:F149))</f>
        <v>n/a</v>
      </c>
      <c r="H149" s="11" t="str">
        <f t="shared" si="33"/>
        <v>n/a</v>
      </c>
      <c r="J149" s="5"/>
      <c r="K149" s="5"/>
      <c r="L149" s="5"/>
      <c r="M149" s="5"/>
      <c r="N149" s="5"/>
      <c r="O149" s="8" t="str">
        <f t="shared" si="31"/>
        <v>n/a</v>
      </c>
      <c r="Q149" s="5"/>
      <c r="R149" s="5"/>
      <c r="S149" s="5"/>
      <c r="U149" s="6"/>
      <c r="V149" s="9" t="str">
        <f t="shared" si="34"/>
        <v/>
      </c>
      <c r="W149" s="9" t="str">
        <f t="shared" si="35"/>
        <v/>
      </c>
      <c r="X149" s="10">
        <f>SUM(V$13:V149)/COUNTA(B$13:B149)</f>
        <v>0</v>
      </c>
      <c r="Z149" s="5"/>
      <c r="AA149" s="5"/>
      <c r="AC149" s="7"/>
      <c r="AE149" s="54" t="e">
        <f t="shared" si="36"/>
        <v>#N/A</v>
      </c>
      <c r="AF149" s="4" t="e">
        <f t="shared" si="32"/>
        <v>#N/A</v>
      </c>
    </row>
    <row r="150" spans="2:32">
      <c r="B150" s="5">
        <f t="shared" si="37"/>
        <v>138</v>
      </c>
      <c r="C150" s="5"/>
      <c r="E150" s="13"/>
      <c r="F150" s="5"/>
      <c r="G150" s="11" t="str">
        <f>IF(ISERROR(AVERAGE(F$13:F150)),"n/a",AVERAGE(F$13:F150))</f>
        <v>n/a</v>
      </c>
      <c r="H150" s="11" t="str">
        <f t="shared" si="33"/>
        <v>n/a</v>
      </c>
      <c r="J150" s="5"/>
      <c r="K150" s="5"/>
      <c r="L150" s="5"/>
      <c r="M150" s="5"/>
      <c r="N150" s="5"/>
      <c r="O150" s="8" t="str">
        <f t="shared" si="31"/>
        <v>n/a</v>
      </c>
      <c r="Q150" s="5"/>
      <c r="R150" s="5"/>
      <c r="S150" s="5"/>
      <c r="U150" s="6"/>
      <c r="V150" s="9" t="str">
        <f t="shared" si="34"/>
        <v/>
      </c>
      <c r="W150" s="9" t="str">
        <f t="shared" si="35"/>
        <v/>
      </c>
      <c r="X150" s="10">
        <f>SUM(V$13:V150)/COUNTA(B$13:B150)</f>
        <v>0</v>
      </c>
      <c r="Z150" s="5"/>
      <c r="AA150" s="5"/>
      <c r="AC150" s="7"/>
      <c r="AE150" s="54" t="e">
        <f t="shared" si="36"/>
        <v>#N/A</v>
      </c>
      <c r="AF150" s="4" t="e">
        <f t="shared" si="32"/>
        <v>#N/A</v>
      </c>
    </row>
    <row r="151" spans="2:32">
      <c r="B151" s="5">
        <f t="shared" si="37"/>
        <v>139</v>
      </c>
      <c r="C151" s="5"/>
      <c r="E151" s="13"/>
      <c r="F151" s="5"/>
      <c r="G151" s="11" t="str">
        <f>IF(ISERROR(AVERAGE(F$13:F151)),"n/a",AVERAGE(F$13:F151))</f>
        <v>n/a</v>
      </c>
      <c r="H151" s="11" t="str">
        <f t="shared" si="33"/>
        <v>n/a</v>
      </c>
      <c r="J151" s="5"/>
      <c r="K151" s="5"/>
      <c r="L151" s="5"/>
      <c r="M151" s="5"/>
      <c r="N151" s="5"/>
      <c r="O151" s="8" t="str">
        <f t="shared" si="31"/>
        <v>n/a</v>
      </c>
      <c r="Q151" s="5"/>
      <c r="R151" s="5"/>
      <c r="S151" s="5"/>
      <c r="U151" s="6"/>
      <c r="V151" s="9" t="str">
        <f t="shared" si="34"/>
        <v/>
      </c>
      <c r="W151" s="9" t="str">
        <f t="shared" si="35"/>
        <v/>
      </c>
      <c r="X151" s="10">
        <f>SUM(V$13:V151)/COUNTA(B$13:B151)</f>
        <v>0</v>
      </c>
      <c r="Z151" s="5"/>
      <c r="AA151" s="5"/>
      <c r="AC151" s="7"/>
      <c r="AE151" s="54" t="e">
        <f t="shared" si="36"/>
        <v>#N/A</v>
      </c>
      <c r="AF151" s="4" t="e">
        <f t="shared" si="32"/>
        <v>#N/A</v>
      </c>
    </row>
    <row r="152" spans="2:32">
      <c r="B152" s="5">
        <f t="shared" si="37"/>
        <v>140</v>
      </c>
      <c r="C152" s="5"/>
      <c r="E152" s="13"/>
      <c r="F152" s="5"/>
      <c r="G152" s="11" t="str">
        <f>IF(ISERROR(AVERAGE(F$13:F152)),"n/a",AVERAGE(F$13:F152))</f>
        <v>n/a</v>
      </c>
      <c r="H152" s="11" t="str">
        <f t="shared" si="33"/>
        <v>n/a</v>
      </c>
      <c r="J152" s="5"/>
      <c r="K152" s="5"/>
      <c r="L152" s="5"/>
      <c r="M152" s="5"/>
      <c r="N152" s="5"/>
      <c r="O152" s="8" t="str">
        <f t="shared" si="31"/>
        <v>n/a</v>
      </c>
      <c r="Q152" s="5"/>
      <c r="R152" s="5"/>
      <c r="S152" s="5"/>
      <c r="U152" s="6"/>
      <c r="V152" s="9" t="str">
        <f t="shared" si="34"/>
        <v/>
      </c>
      <c r="W152" s="9" t="str">
        <f t="shared" si="35"/>
        <v/>
      </c>
      <c r="X152" s="10">
        <f>SUM(V$13:V152)/COUNTA(B$13:B152)</f>
        <v>0</v>
      </c>
      <c r="Z152" s="5"/>
      <c r="AA152" s="5"/>
      <c r="AC152" s="7"/>
      <c r="AE152" s="54" t="e">
        <f t="shared" si="36"/>
        <v>#N/A</v>
      </c>
      <c r="AF152" s="4" t="e">
        <f t="shared" si="32"/>
        <v>#N/A</v>
      </c>
    </row>
    <row r="153" spans="2:32">
      <c r="B153" s="5">
        <f t="shared" si="37"/>
        <v>141</v>
      </c>
      <c r="C153" s="5"/>
      <c r="E153" s="13"/>
      <c r="F153" s="5"/>
      <c r="G153" s="11" t="str">
        <f>IF(ISERROR(AVERAGE(F$13:F153)),"n/a",AVERAGE(F$13:F153))</f>
        <v>n/a</v>
      </c>
      <c r="H153" s="11" t="str">
        <f t="shared" si="33"/>
        <v>n/a</v>
      </c>
      <c r="J153" s="5"/>
      <c r="K153" s="5"/>
      <c r="L153" s="5"/>
      <c r="M153" s="5"/>
      <c r="N153" s="5"/>
      <c r="O153" s="8" t="str">
        <f t="shared" si="31"/>
        <v>n/a</v>
      </c>
      <c r="Q153" s="5"/>
      <c r="R153" s="5"/>
      <c r="S153" s="5"/>
      <c r="U153" s="6"/>
      <c r="V153" s="9" t="str">
        <f t="shared" si="34"/>
        <v/>
      </c>
      <c r="W153" s="9" t="str">
        <f t="shared" si="35"/>
        <v/>
      </c>
      <c r="X153" s="10">
        <f>SUM(V$13:V153)/COUNTA(B$13:B153)</f>
        <v>0</v>
      </c>
      <c r="Z153" s="5"/>
      <c r="AA153" s="5"/>
      <c r="AC153" s="7"/>
      <c r="AE153" s="54" t="e">
        <f t="shared" si="36"/>
        <v>#N/A</v>
      </c>
      <c r="AF153" s="4" t="e">
        <f t="shared" si="32"/>
        <v>#N/A</v>
      </c>
    </row>
    <row r="154" spans="2:32">
      <c r="B154" s="5">
        <f t="shared" si="37"/>
        <v>142</v>
      </c>
      <c r="C154" s="5"/>
      <c r="E154" s="13"/>
      <c r="F154" s="5"/>
      <c r="G154" s="11" t="str">
        <f>IF(ISERROR(AVERAGE(F$13:F154)),"n/a",AVERAGE(F$13:F154))</f>
        <v>n/a</v>
      </c>
      <c r="H154" s="11" t="str">
        <f t="shared" si="33"/>
        <v>n/a</v>
      </c>
      <c r="J154" s="5"/>
      <c r="K154" s="5"/>
      <c r="L154" s="5"/>
      <c r="M154" s="5"/>
      <c r="N154" s="5"/>
      <c r="O154" s="8" t="str">
        <f t="shared" si="31"/>
        <v>n/a</v>
      </c>
      <c r="Q154" s="5"/>
      <c r="R154" s="5"/>
      <c r="S154" s="5"/>
      <c r="U154" s="6"/>
      <c r="V154" s="9" t="str">
        <f t="shared" si="34"/>
        <v/>
      </c>
      <c r="W154" s="9" t="str">
        <f t="shared" si="35"/>
        <v/>
      </c>
      <c r="X154" s="10">
        <f>SUM(V$13:V154)/COUNTA(B$13:B154)</f>
        <v>0</v>
      </c>
      <c r="Z154" s="5"/>
      <c r="AA154" s="5"/>
      <c r="AC154" s="7"/>
      <c r="AE154" s="54" t="e">
        <f t="shared" si="36"/>
        <v>#N/A</v>
      </c>
      <c r="AF154" s="4" t="e">
        <f t="shared" si="32"/>
        <v>#N/A</v>
      </c>
    </row>
    <row r="155" spans="2:32">
      <c r="B155" s="5">
        <f t="shared" si="37"/>
        <v>143</v>
      </c>
      <c r="C155" s="5"/>
      <c r="E155" s="13"/>
      <c r="F155" s="5"/>
      <c r="G155" s="11" t="str">
        <f>IF(ISERROR(AVERAGE(F$13:F155)),"n/a",AVERAGE(F$13:F155))</f>
        <v>n/a</v>
      </c>
      <c r="H155" s="11" t="str">
        <f t="shared" si="33"/>
        <v>n/a</v>
      </c>
      <c r="J155" s="5"/>
      <c r="K155" s="5"/>
      <c r="L155" s="5"/>
      <c r="M155" s="5"/>
      <c r="N155" s="5"/>
      <c r="O155" s="8" t="str">
        <f t="shared" si="31"/>
        <v>n/a</v>
      </c>
      <c r="Q155" s="5"/>
      <c r="R155" s="5"/>
      <c r="S155" s="5"/>
      <c r="U155" s="6"/>
      <c r="V155" s="9" t="str">
        <f t="shared" si="34"/>
        <v/>
      </c>
      <c r="W155" s="9" t="str">
        <f t="shared" si="35"/>
        <v/>
      </c>
      <c r="X155" s="10">
        <f>SUM(V$13:V155)/COUNTA(B$13:B155)</f>
        <v>0</v>
      </c>
      <c r="Z155" s="5"/>
      <c r="AA155" s="5"/>
      <c r="AC155" s="7"/>
      <c r="AE155" s="54" t="e">
        <f t="shared" si="36"/>
        <v>#N/A</v>
      </c>
      <c r="AF155" s="4" t="e">
        <f t="shared" si="32"/>
        <v>#N/A</v>
      </c>
    </row>
    <row r="156" spans="2:32">
      <c r="B156" s="5">
        <f t="shared" si="37"/>
        <v>144</v>
      </c>
      <c r="C156" s="5"/>
      <c r="E156" s="13"/>
      <c r="F156" s="5"/>
      <c r="G156" s="11" t="str">
        <f>IF(ISERROR(AVERAGE(F$13:F156)),"n/a",AVERAGE(F$13:F156))</f>
        <v>n/a</v>
      </c>
      <c r="H156" s="11" t="str">
        <f t="shared" si="33"/>
        <v>n/a</v>
      </c>
      <c r="J156" s="5"/>
      <c r="K156" s="5"/>
      <c r="L156" s="5"/>
      <c r="M156" s="5"/>
      <c r="N156" s="5"/>
      <c r="O156" s="8" t="str">
        <f t="shared" si="31"/>
        <v>n/a</v>
      </c>
      <c r="Q156" s="5"/>
      <c r="R156" s="5"/>
      <c r="S156" s="5"/>
      <c r="U156" s="6"/>
      <c r="V156" s="9" t="str">
        <f t="shared" si="34"/>
        <v/>
      </c>
      <c r="W156" s="9" t="str">
        <f t="shared" si="35"/>
        <v/>
      </c>
      <c r="X156" s="10">
        <f>SUM(V$13:V156)/COUNTA(B$13:B156)</f>
        <v>0</v>
      </c>
      <c r="Z156" s="5"/>
      <c r="AA156" s="5"/>
      <c r="AC156" s="7"/>
      <c r="AE156" s="54" t="e">
        <f t="shared" si="36"/>
        <v>#N/A</v>
      </c>
      <c r="AF156" s="4" t="e">
        <f t="shared" si="32"/>
        <v>#N/A</v>
      </c>
    </row>
    <row r="157" spans="2:32">
      <c r="B157" s="5">
        <f t="shared" si="37"/>
        <v>145</v>
      </c>
      <c r="C157" s="5"/>
      <c r="E157" s="13"/>
      <c r="F157" s="5"/>
      <c r="G157" s="11" t="str">
        <f>IF(ISERROR(AVERAGE(F$13:F157)),"n/a",AVERAGE(F$13:F157))</f>
        <v>n/a</v>
      </c>
      <c r="H157" s="11" t="str">
        <f t="shared" si="33"/>
        <v>n/a</v>
      </c>
      <c r="J157" s="5"/>
      <c r="K157" s="5"/>
      <c r="L157" s="5"/>
      <c r="M157" s="5"/>
      <c r="N157" s="5"/>
      <c r="O157" s="8" t="str">
        <f t="shared" si="31"/>
        <v>n/a</v>
      </c>
      <c r="Q157" s="5"/>
      <c r="R157" s="5"/>
      <c r="S157" s="5"/>
      <c r="U157" s="6"/>
      <c r="V157" s="9" t="str">
        <f t="shared" si="34"/>
        <v/>
      </c>
      <c r="W157" s="9" t="str">
        <f t="shared" si="35"/>
        <v/>
      </c>
      <c r="X157" s="10">
        <f>SUM(V$13:V157)/COUNTA(B$13:B157)</f>
        <v>0</v>
      </c>
      <c r="Z157" s="5"/>
      <c r="AA157" s="5"/>
      <c r="AC157" s="7"/>
      <c r="AE157" s="54" t="e">
        <f t="shared" si="36"/>
        <v>#N/A</v>
      </c>
      <c r="AF157" s="4" t="e">
        <f t="shared" si="32"/>
        <v>#N/A</v>
      </c>
    </row>
    <row r="158" spans="2:32">
      <c r="B158" s="5">
        <f t="shared" si="37"/>
        <v>146</v>
      </c>
      <c r="C158" s="5"/>
      <c r="E158" s="13"/>
      <c r="F158" s="5"/>
      <c r="G158" s="11" t="str">
        <f>IF(ISERROR(AVERAGE(F$13:F158)),"n/a",AVERAGE(F$13:F158))</f>
        <v>n/a</v>
      </c>
      <c r="H158" s="11" t="str">
        <f t="shared" si="33"/>
        <v>n/a</v>
      </c>
      <c r="J158" s="5"/>
      <c r="K158" s="5"/>
      <c r="L158" s="5"/>
      <c r="M158" s="5"/>
      <c r="N158" s="5"/>
      <c r="O158" s="8" t="str">
        <f t="shared" si="31"/>
        <v>n/a</v>
      </c>
      <c r="Q158" s="5"/>
      <c r="R158" s="5"/>
      <c r="S158" s="5"/>
      <c r="U158" s="6"/>
      <c r="V158" s="9" t="str">
        <f t="shared" si="34"/>
        <v/>
      </c>
      <c r="W158" s="9" t="str">
        <f t="shared" si="35"/>
        <v/>
      </c>
      <c r="X158" s="10">
        <f>SUM(V$13:V158)/COUNTA(B$13:B158)</f>
        <v>0</v>
      </c>
      <c r="Z158" s="5"/>
      <c r="AA158" s="5"/>
      <c r="AC158" s="7"/>
      <c r="AE158" s="54" t="e">
        <f t="shared" si="36"/>
        <v>#N/A</v>
      </c>
      <c r="AF158" s="4" t="e">
        <f t="shared" si="32"/>
        <v>#N/A</v>
      </c>
    </row>
    <row r="159" spans="2:32">
      <c r="B159" s="5">
        <f t="shared" si="37"/>
        <v>147</v>
      </c>
      <c r="C159" s="5"/>
      <c r="E159" s="13"/>
      <c r="F159" s="5"/>
      <c r="G159" s="11" t="str">
        <f>IF(ISERROR(AVERAGE(F$13:F159)),"n/a",AVERAGE(F$13:F159))</f>
        <v>n/a</v>
      </c>
      <c r="H159" s="11" t="str">
        <f t="shared" si="33"/>
        <v>n/a</v>
      </c>
      <c r="J159" s="5"/>
      <c r="K159" s="5"/>
      <c r="L159" s="5"/>
      <c r="M159" s="5"/>
      <c r="N159" s="5"/>
      <c r="O159" s="8" t="str">
        <f t="shared" si="31"/>
        <v>n/a</v>
      </c>
      <c r="Q159" s="5"/>
      <c r="R159" s="5"/>
      <c r="S159" s="5"/>
      <c r="U159" s="6"/>
      <c r="V159" s="9" t="str">
        <f t="shared" si="34"/>
        <v/>
      </c>
      <c r="W159" s="9" t="str">
        <f t="shared" si="35"/>
        <v/>
      </c>
      <c r="X159" s="10">
        <f>SUM(V$13:V159)/COUNTA(B$13:B159)</f>
        <v>0</v>
      </c>
      <c r="Z159" s="5"/>
      <c r="AA159" s="5"/>
      <c r="AC159" s="7"/>
      <c r="AE159" s="54" t="e">
        <f t="shared" si="36"/>
        <v>#N/A</v>
      </c>
      <c r="AF159" s="4" t="e">
        <f t="shared" si="32"/>
        <v>#N/A</v>
      </c>
    </row>
    <row r="160" spans="2:32">
      <c r="B160" s="5">
        <f t="shared" si="37"/>
        <v>148</v>
      </c>
      <c r="C160" s="5"/>
      <c r="E160" s="13"/>
      <c r="F160" s="5"/>
      <c r="G160" s="11" t="str">
        <f>IF(ISERROR(AVERAGE(F$13:F160)),"n/a",AVERAGE(F$13:F160))</f>
        <v>n/a</v>
      </c>
      <c r="H160" s="11" t="str">
        <f t="shared" si="33"/>
        <v>n/a</v>
      </c>
      <c r="J160" s="5"/>
      <c r="K160" s="5"/>
      <c r="L160" s="5"/>
      <c r="M160" s="5"/>
      <c r="N160" s="5"/>
      <c r="O160" s="8" t="str">
        <f t="shared" si="31"/>
        <v>n/a</v>
      </c>
      <c r="Q160" s="5"/>
      <c r="R160" s="5"/>
      <c r="S160" s="5"/>
      <c r="U160" s="6"/>
      <c r="V160" s="9" t="str">
        <f t="shared" si="34"/>
        <v/>
      </c>
      <c r="W160" s="9" t="str">
        <f t="shared" si="35"/>
        <v/>
      </c>
      <c r="X160" s="10">
        <f>SUM(V$13:V160)/COUNTA(B$13:B160)</f>
        <v>0</v>
      </c>
      <c r="Z160" s="5"/>
      <c r="AA160" s="5"/>
      <c r="AC160" s="7"/>
      <c r="AE160" s="54" t="e">
        <f t="shared" si="36"/>
        <v>#N/A</v>
      </c>
      <c r="AF160" s="4" t="e">
        <f t="shared" si="32"/>
        <v>#N/A</v>
      </c>
    </row>
    <row r="161" spans="2:32">
      <c r="B161" s="5">
        <f t="shared" si="37"/>
        <v>149</v>
      </c>
      <c r="C161" s="5"/>
      <c r="E161" s="13"/>
      <c r="F161" s="5"/>
      <c r="G161" s="11" t="str">
        <f>IF(ISERROR(AVERAGE(F$13:F161)),"n/a",AVERAGE(F$13:F161))</f>
        <v>n/a</v>
      </c>
      <c r="H161" s="11" t="str">
        <f t="shared" si="33"/>
        <v>n/a</v>
      </c>
      <c r="J161" s="5"/>
      <c r="K161" s="5"/>
      <c r="L161" s="5"/>
      <c r="M161" s="5"/>
      <c r="N161" s="5"/>
      <c r="O161" s="8" t="str">
        <f t="shared" si="31"/>
        <v>n/a</v>
      </c>
      <c r="Q161" s="5"/>
      <c r="R161" s="5"/>
      <c r="S161" s="5"/>
      <c r="U161" s="6"/>
      <c r="V161" s="9" t="str">
        <f t="shared" si="34"/>
        <v/>
      </c>
      <c r="W161" s="9" t="str">
        <f t="shared" si="35"/>
        <v/>
      </c>
      <c r="X161" s="10">
        <f>SUM(V$13:V161)/COUNTA(B$13:B161)</f>
        <v>0</v>
      </c>
      <c r="Z161" s="5"/>
      <c r="AA161" s="5"/>
      <c r="AC161" s="7"/>
      <c r="AE161" s="54" t="e">
        <f t="shared" si="36"/>
        <v>#N/A</v>
      </c>
      <c r="AF161" s="4" t="e">
        <f t="shared" si="32"/>
        <v>#N/A</v>
      </c>
    </row>
    <row r="162" spans="2:32">
      <c r="B162" s="5">
        <f t="shared" si="37"/>
        <v>150</v>
      </c>
      <c r="C162" s="5"/>
      <c r="E162" s="13"/>
      <c r="F162" s="5"/>
      <c r="G162" s="11" t="str">
        <f>IF(ISERROR(AVERAGE(F$13:F162)),"n/a",AVERAGE(F$13:F162))</f>
        <v>n/a</v>
      </c>
      <c r="H162" s="11" t="str">
        <f t="shared" si="33"/>
        <v>n/a</v>
      </c>
      <c r="J162" s="5"/>
      <c r="K162" s="5"/>
      <c r="L162" s="5"/>
      <c r="M162" s="5"/>
      <c r="N162" s="5"/>
      <c r="O162" s="8" t="str">
        <f t="shared" si="31"/>
        <v>n/a</v>
      </c>
      <c r="Q162" s="5"/>
      <c r="R162" s="5"/>
      <c r="S162" s="5"/>
      <c r="U162" s="6"/>
      <c r="V162" s="9" t="str">
        <f t="shared" si="34"/>
        <v/>
      </c>
      <c r="W162" s="9" t="str">
        <f t="shared" si="35"/>
        <v/>
      </c>
      <c r="X162" s="10">
        <f>SUM(V$13:V162)/COUNTA(B$13:B162)</f>
        <v>0</v>
      </c>
      <c r="Z162" s="5"/>
      <c r="AA162" s="5"/>
      <c r="AC162" s="7"/>
      <c r="AE162" s="54" t="e">
        <f t="shared" si="36"/>
        <v>#N/A</v>
      </c>
      <c r="AF162" s="4" t="e">
        <f t="shared" si="32"/>
        <v>#N/A</v>
      </c>
    </row>
    <row r="163" spans="2:32">
      <c r="B163" s="5">
        <f t="shared" si="37"/>
        <v>151</v>
      </c>
      <c r="C163" s="5"/>
      <c r="E163" s="13"/>
      <c r="F163" s="5"/>
      <c r="G163" s="11" t="str">
        <f>IF(ISERROR(AVERAGE(F$13:F163)),"n/a",AVERAGE(F$13:F163))</f>
        <v>n/a</v>
      </c>
      <c r="H163" s="11" t="str">
        <f t="shared" si="33"/>
        <v>n/a</v>
      </c>
      <c r="J163" s="5"/>
      <c r="K163" s="5"/>
      <c r="L163" s="5"/>
      <c r="M163" s="5"/>
      <c r="N163" s="5"/>
      <c r="O163" s="8" t="str">
        <f t="shared" si="31"/>
        <v>n/a</v>
      </c>
      <c r="Q163" s="5"/>
      <c r="R163" s="5"/>
      <c r="S163" s="5"/>
      <c r="U163" s="6"/>
      <c r="V163" s="9" t="str">
        <f t="shared" si="34"/>
        <v/>
      </c>
      <c r="W163" s="9" t="str">
        <f t="shared" si="35"/>
        <v/>
      </c>
      <c r="X163" s="10">
        <f>SUM(V$13:V163)/COUNTA(B$13:B163)</f>
        <v>0</v>
      </c>
      <c r="Z163" s="5"/>
      <c r="AA163" s="5"/>
      <c r="AC163" s="7"/>
      <c r="AE163" s="54" t="e">
        <f t="shared" si="36"/>
        <v>#N/A</v>
      </c>
      <c r="AF163" s="4" t="e">
        <f t="shared" si="32"/>
        <v>#N/A</v>
      </c>
    </row>
    <row r="164" spans="2:32">
      <c r="B164" s="5">
        <f t="shared" si="37"/>
        <v>152</v>
      </c>
      <c r="C164" s="5"/>
      <c r="E164" s="13"/>
      <c r="F164" s="5"/>
      <c r="G164" s="11" t="str">
        <f>IF(ISERROR(AVERAGE(F$13:F164)),"n/a",AVERAGE(F$13:F164))</f>
        <v>n/a</v>
      </c>
      <c r="H164" s="11" t="str">
        <f t="shared" si="33"/>
        <v>n/a</v>
      </c>
      <c r="J164" s="5"/>
      <c r="K164" s="5"/>
      <c r="L164" s="5"/>
      <c r="M164" s="5"/>
      <c r="N164" s="5"/>
      <c r="O164" s="8" t="str">
        <f t="shared" si="31"/>
        <v>n/a</v>
      </c>
      <c r="Q164" s="5"/>
      <c r="R164" s="5"/>
      <c r="S164" s="5"/>
      <c r="U164" s="6"/>
      <c r="V164" s="9" t="str">
        <f t="shared" si="34"/>
        <v/>
      </c>
      <c r="W164" s="9" t="str">
        <f t="shared" si="35"/>
        <v/>
      </c>
      <c r="X164" s="10">
        <f>SUM(V$13:V164)/COUNTA(B$13:B164)</f>
        <v>0</v>
      </c>
      <c r="Z164" s="5"/>
      <c r="AA164" s="5"/>
      <c r="AC164" s="7"/>
      <c r="AE164" s="54" t="e">
        <f t="shared" si="36"/>
        <v>#N/A</v>
      </c>
      <c r="AF164" s="4" t="e">
        <f t="shared" si="32"/>
        <v>#N/A</v>
      </c>
    </row>
    <row r="165" spans="2:32">
      <c r="B165" s="5">
        <f t="shared" si="37"/>
        <v>153</v>
      </c>
      <c r="C165" s="5"/>
      <c r="E165" s="13"/>
      <c r="F165" s="5"/>
      <c r="G165" s="11" t="str">
        <f>IF(ISERROR(AVERAGE(F$13:F165)),"n/a",AVERAGE(F$13:F165))</f>
        <v>n/a</v>
      </c>
      <c r="H165" s="11" t="str">
        <f t="shared" si="33"/>
        <v>n/a</v>
      </c>
      <c r="J165" s="5"/>
      <c r="K165" s="5"/>
      <c r="L165" s="5"/>
      <c r="M165" s="5"/>
      <c r="N165" s="5"/>
      <c r="O165" s="8" t="str">
        <f t="shared" si="31"/>
        <v>n/a</v>
      </c>
      <c r="Q165" s="5"/>
      <c r="R165" s="5"/>
      <c r="S165" s="5"/>
      <c r="U165" s="6"/>
      <c r="V165" s="9" t="str">
        <f t="shared" si="34"/>
        <v/>
      </c>
      <c r="W165" s="9" t="str">
        <f t="shared" si="35"/>
        <v/>
      </c>
      <c r="X165" s="10">
        <f>SUM(V$13:V165)/COUNTA(B$13:B165)</f>
        <v>0</v>
      </c>
      <c r="Z165" s="5"/>
      <c r="AA165" s="5"/>
      <c r="AC165" s="7"/>
      <c r="AE165" s="54" t="e">
        <f t="shared" si="36"/>
        <v>#N/A</v>
      </c>
      <c r="AF165" s="4" t="e">
        <f t="shared" si="32"/>
        <v>#N/A</v>
      </c>
    </row>
    <row r="166" spans="2:32">
      <c r="B166" s="5">
        <f t="shared" si="37"/>
        <v>154</v>
      </c>
      <c r="C166" s="5"/>
      <c r="E166" s="13"/>
      <c r="F166" s="5"/>
      <c r="G166" s="11" t="str">
        <f>IF(ISERROR(AVERAGE(F$13:F166)),"n/a",AVERAGE(F$13:F166))</f>
        <v>n/a</v>
      </c>
      <c r="H166" s="11" t="str">
        <f t="shared" si="33"/>
        <v>n/a</v>
      </c>
      <c r="J166" s="5"/>
      <c r="K166" s="5"/>
      <c r="L166" s="5"/>
      <c r="M166" s="5"/>
      <c r="N166" s="5"/>
      <c r="O166" s="8" t="str">
        <f t="shared" si="31"/>
        <v>n/a</v>
      </c>
      <c r="Q166" s="5"/>
      <c r="R166" s="5"/>
      <c r="S166" s="5"/>
      <c r="U166" s="6"/>
      <c r="V166" s="9" t="str">
        <f t="shared" si="34"/>
        <v/>
      </c>
      <c r="W166" s="9" t="str">
        <f t="shared" si="35"/>
        <v/>
      </c>
      <c r="X166" s="10">
        <f>SUM(V$13:V166)/COUNTA(B$13:B166)</f>
        <v>0</v>
      </c>
      <c r="Z166" s="5"/>
      <c r="AA166" s="5"/>
      <c r="AC166" s="7"/>
      <c r="AE166" s="54" t="e">
        <f t="shared" si="36"/>
        <v>#N/A</v>
      </c>
      <c r="AF166" s="4" t="e">
        <f t="shared" si="32"/>
        <v>#N/A</v>
      </c>
    </row>
    <row r="167" spans="2:32">
      <c r="B167" s="5">
        <f t="shared" si="37"/>
        <v>155</v>
      </c>
      <c r="C167" s="5"/>
      <c r="E167" s="13"/>
      <c r="F167" s="5"/>
      <c r="G167" s="11" t="str">
        <f>IF(ISERROR(AVERAGE(F$13:F167)),"n/a",AVERAGE(F$13:F167))</f>
        <v>n/a</v>
      </c>
      <c r="H167" s="11" t="str">
        <f t="shared" si="33"/>
        <v>n/a</v>
      </c>
      <c r="J167" s="5"/>
      <c r="K167" s="5"/>
      <c r="L167" s="5"/>
      <c r="M167" s="5"/>
      <c r="N167" s="5"/>
      <c r="O167" s="8" t="str">
        <f t="shared" si="31"/>
        <v>n/a</v>
      </c>
      <c r="Q167" s="5"/>
      <c r="R167" s="5"/>
      <c r="S167" s="5"/>
      <c r="U167" s="6"/>
      <c r="V167" s="9" t="str">
        <f t="shared" si="34"/>
        <v/>
      </c>
      <c r="W167" s="9" t="str">
        <f t="shared" si="35"/>
        <v/>
      </c>
      <c r="X167" s="10">
        <f>SUM(V$13:V167)/COUNTA(B$13:B167)</f>
        <v>0</v>
      </c>
      <c r="Z167" s="5"/>
      <c r="AA167" s="5"/>
      <c r="AC167" s="7"/>
      <c r="AE167" s="54" t="e">
        <f t="shared" si="36"/>
        <v>#N/A</v>
      </c>
      <c r="AF167" s="4" t="e">
        <f t="shared" si="32"/>
        <v>#N/A</v>
      </c>
    </row>
    <row r="168" spans="2:32">
      <c r="B168" s="5">
        <f t="shared" si="37"/>
        <v>156</v>
      </c>
      <c r="C168" s="5"/>
      <c r="E168" s="13"/>
      <c r="F168" s="5"/>
      <c r="G168" s="11" t="str">
        <f>IF(ISERROR(AVERAGE(F$13:F168)),"n/a",AVERAGE(F$13:F168))</f>
        <v>n/a</v>
      </c>
      <c r="H168" s="11" t="str">
        <f t="shared" si="33"/>
        <v>n/a</v>
      </c>
      <c r="J168" s="5"/>
      <c r="K168" s="5"/>
      <c r="L168" s="5"/>
      <c r="M168" s="5"/>
      <c r="N168" s="5"/>
      <c r="O168" s="8" t="str">
        <f t="shared" si="31"/>
        <v>n/a</v>
      </c>
      <c r="Q168" s="5"/>
      <c r="R168" s="5"/>
      <c r="S168" s="5"/>
      <c r="U168" s="6"/>
      <c r="V168" s="9" t="str">
        <f t="shared" si="34"/>
        <v/>
      </c>
      <c r="W168" s="9" t="str">
        <f t="shared" si="35"/>
        <v/>
      </c>
      <c r="X168" s="10">
        <f>SUM(V$13:V168)/COUNTA(B$13:B168)</f>
        <v>0</v>
      </c>
      <c r="Z168" s="5"/>
      <c r="AA168" s="5"/>
      <c r="AC168" s="7"/>
      <c r="AE168" s="54" t="e">
        <f t="shared" si="36"/>
        <v>#N/A</v>
      </c>
      <c r="AF168" s="4" t="e">
        <f t="shared" si="32"/>
        <v>#N/A</v>
      </c>
    </row>
    <row r="169" spans="2:32">
      <c r="B169" s="5">
        <f t="shared" si="37"/>
        <v>157</v>
      </c>
      <c r="C169" s="5"/>
      <c r="E169" s="13"/>
      <c r="F169" s="5"/>
      <c r="G169" s="11" t="str">
        <f>IF(ISERROR(AVERAGE(F$13:F169)),"n/a",AVERAGE(F$13:F169))</f>
        <v>n/a</v>
      </c>
      <c r="H169" s="11" t="str">
        <f t="shared" si="33"/>
        <v>n/a</v>
      </c>
      <c r="J169" s="5"/>
      <c r="K169" s="5"/>
      <c r="L169" s="5"/>
      <c r="M169" s="5"/>
      <c r="N169" s="5"/>
      <c r="O169" s="8" t="str">
        <f t="shared" si="31"/>
        <v>n/a</v>
      </c>
      <c r="Q169" s="5"/>
      <c r="R169" s="5"/>
      <c r="S169" s="5"/>
      <c r="U169" s="6"/>
      <c r="V169" s="9" t="str">
        <f t="shared" si="34"/>
        <v/>
      </c>
      <c r="W169" s="9" t="str">
        <f t="shared" si="35"/>
        <v/>
      </c>
      <c r="X169" s="10">
        <f>SUM(V$13:V169)/COUNTA(B$13:B169)</f>
        <v>0</v>
      </c>
      <c r="Z169" s="5"/>
      <c r="AA169" s="5"/>
      <c r="AC169" s="7"/>
      <c r="AE169" s="54" t="e">
        <f t="shared" si="36"/>
        <v>#N/A</v>
      </c>
      <c r="AF169" s="4" t="e">
        <f t="shared" si="32"/>
        <v>#N/A</v>
      </c>
    </row>
    <row r="170" spans="2:32">
      <c r="B170" s="5">
        <f t="shared" si="37"/>
        <v>158</v>
      </c>
      <c r="C170" s="5"/>
      <c r="E170" s="13"/>
      <c r="F170" s="5"/>
      <c r="G170" s="11" t="str">
        <f>IF(ISERROR(AVERAGE(F$13:F170)),"n/a",AVERAGE(F$13:F170))</f>
        <v>n/a</v>
      </c>
      <c r="H170" s="11" t="str">
        <f t="shared" si="33"/>
        <v>n/a</v>
      </c>
      <c r="J170" s="5"/>
      <c r="K170" s="5"/>
      <c r="L170" s="5"/>
      <c r="M170" s="5"/>
      <c r="N170" s="5"/>
      <c r="O170" s="8" t="str">
        <f t="shared" si="31"/>
        <v>n/a</v>
      </c>
      <c r="Q170" s="5"/>
      <c r="R170" s="5"/>
      <c r="S170" s="5"/>
      <c r="U170" s="6"/>
      <c r="V170" s="9" t="str">
        <f t="shared" si="34"/>
        <v/>
      </c>
      <c r="W170" s="9" t="str">
        <f t="shared" si="35"/>
        <v/>
      </c>
      <c r="X170" s="10">
        <f>SUM(V$13:V170)/COUNTA(B$13:B170)</f>
        <v>0</v>
      </c>
      <c r="Z170" s="5"/>
      <c r="AA170" s="5"/>
      <c r="AC170" s="7"/>
      <c r="AE170" s="54" t="e">
        <f t="shared" si="36"/>
        <v>#N/A</v>
      </c>
      <c r="AF170" s="4" t="e">
        <f t="shared" si="32"/>
        <v>#N/A</v>
      </c>
    </row>
    <row r="171" spans="2:32">
      <c r="B171" s="5">
        <f t="shared" si="37"/>
        <v>159</v>
      </c>
      <c r="C171" s="5"/>
      <c r="E171" s="13"/>
      <c r="F171" s="5"/>
      <c r="G171" s="11" t="str">
        <f>IF(ISERROR(AVERAGE(F$13:F171)),"n/a",AVERAGE(F$13:F171))</f>
        <v>n/a</v>
      </c>
      <c r="H171" s="11" t="str">
        <f t="shared" si="33"/>
        <v>n/a</v>
      </c>
      <c r="J171" s="5"/>
      <c r="K171" s="5"/>
      <c r="L171" s="5"/>
      <c r="M171" s="5"/>
      <c r="N171" s="5"/>
      <c r="O171" s="8" t="str">
        <f t="shared" si="31"/>
        <v>n/a</v>
      </c>
      <c r="Q171" s="5"/>
      <c r="R171" s="5"/>
      <c r="S171" s="5"/>
      <c r="U171" s="6"/>
      <c r="V171" s="9" t="str">
        <f t="shared" si="34"/>
        <v/>
      </c>
      <c r="W171" s="9" t="str">
        <f t="shared" si="35"/>
        <v/>
      </c>
      <c r="X171" s="10">
        <f>SUM(V$13:V171)/COUNTA(B$13:B171)</f>
        <v>0</v>
      </c>
      <c r="Z171" s="5"/>
      <c r="AA171" s="5"/>
      <c r="AC171" s="7"/>
      <c r="AE171" s="54" t="e">
        <f t="shared" si="36"/>
        <v>#N/A</v>
      </c>
      <c r="AF171" s="4" t="e">
        <f t="shared" si="32"/>
        <v>#N/A</v>
      </c>
    </row>
    <row r="172" spans="2:32">
      <c r="B172" s="5">
        <f t="shared" si="37"/>
        <v>160</v>
      </c>
      <c r="C172" s="5"/>
      <c r="E172" s="13"/>
      <c r="F172" s="5"/>
      <c r="G172" s="11" t="str">
        <f>IF(ISERROR(AVERAGE(F$13:F172)),"n/a",AVERAGE(F$13:F172))</f>
        <v>n/a</v>
      </c>
      <c r="H172" s="11" t="str">
        <f t="shared" si="33"/>
        <v>n/a</v>
      </c>
      <c r="J172" s="5"/>
      <c r="K172" s="5"/>
      <c r="L172" s="5"/>
      <c r="M172" s="5"/>
      <c r="N172" s="5"/>
      <c r="O172" s="8" t="str">
        <f t="shared" si="31"/>
        <v>n/a</v>
      </c>
      <c r="Q172" s="5"/>
      <c r="R172" s="5"/>
      <c r="S172" s="5"/>
      <c r="U172" s="6"/>
      <c r="V172" s="9" t="str">
        <f t="shared" si="34"/>
        <v/>
      </c>
      <c r="W172" s="9" t="str">
        <f t="shared" si="35"/>
        <v/>
      </c>
      <c r="X172" s="10">
        <f>SUM(V$13:V172)/COUNTA(B$13:B172)</f>
        <v>0</v>
      </c>
      <c r="Z172" s="5"/>
      <c r="AA172" s="5"/>
      <c r="AC172" s="7"/>
      <c r="AE172" s="54" t="e">
        <f t="shared" si="36"/>
        <v>#N/A</v>
      </c>
      <c r="AF172" s="4" t="e">
        <f t="shared" si="32"/>
        <v>#N/A</v>
      </c>
    </row>
    <row r="173" spans="2:32">
      <c r="B173" s="5">
        <f t="shared" si="37"/>
        <v>161</v>
      </c>
      <c r="C173" s="5"/>
      <c r="E173" s="13"/>
      <c r="F173" s="5"/>
      <c r="G173" s="11" t="str">
        <f>IF(ISERROR(AVERAGE(F$13:F173)),"n/a",AVERAGE(F$13:F173))</f>
        <v>n/a</v>
      </c>
      <c r="H173" s="11" t="str">
        <f t="shared" si="33"/>
        <v>n/a</v>
      </c>
      <c r="J173" s="5"/>
      <c r="K173" s="5"/>
      <c r="L173" s="5"/>
      <c r="M173" s="5"/>
      <c r="N173" s="5"/>
      <c r="O173" s="8" t="str">
        <f t="shared" si="31"/>
        <v>n/a</v>
      </c>
      <c r="Q173" s="5"/>
      <c r="R173" s="5"/>
      <c r="S173" s="5"/>
      <c r="U173" s="6"/>
      <c r="V173" s="9" t="str">
        <f t="shared" si="34"/>
        <v/>
      </c>
      <c r="W173" s="9" t="str">
        <f t="shared" si="35"/>
        <v/>
      </c>
      <c r="X173" s="10">
        <f>SUM(V$13:V173)/COUNTA(B$13:B173)</f>
        <v>0</v>
      </c>
      <c r="Z173" s="5"/>
      <c r="AA173" s="5"/>
      <c r="AC173" s="7"/>
      <c r="AE173" s="54" t="e">
        <f t="shared" si="36"/>
        <v>#N/A</v>
      </c>
      <c r="AF173" s="4" t="e">
        <f t="shared" si="32"/>
        <v>#N/A</v>
      </c>
    </row>
    <row r="174" spans="2:32">
      <c r="B174" s="5">
        <f t="shared" si="37"/>
        <v>162</v>
      </c>
      <c r="C174" s="5"/>
      <c r="E174" s="13"/>
      <c r="F174" s="5"/>
      <c r="G174" s="11" t="str">
        <f>IF(ISERROR(AVERAGE(F$13:F174)),"n/a",AVERAGE(F$13:F174))</f>
        <v>n/a</v>
      </c>
      <c r="H174" s="11" t="str">
        <f t="shared" si="33"/>
        <v>n/a</v>
      </c>
      <c r="J174" s="5"/>
      <c r="K174" s="5"/>
      <c r="L174" s="5"/>
      <c r="M174" s="5"/>
      <c r="N174" s="5"/>
      <c r="O174" s="8" t="str">
        <f t="shared" si="31"/>
        <v>n/a</v>
      </c>
      <c r="Q174" s="5"/>
      <c r="R174" s="5"/>
      <c r="S174" s="5"/>
      <c r="U174" s="6"/>
      <c r="V174" s="9" t="str">
        <f t="shared" si="34"/>
        <v/>
      </c>
      <c r="W174" s="9" t="str">
        <f t="shared" si="35"/>
        <v/>
      </c>
      <c r="X174" s="10">
        <f>SUM(V$13:V174)/COUNTA(B$13:B174)</f>
        <v>0</v>
      </c>
      <c r="Z174" s="5"/>
      <c r="AA174" s="5"/>
      <c r="AC174" s="7"/>
      <c r="AE174" s="54" t="e">
        <f t="shared" si="36"/>
        <v>#N/A</v>
      </c>
      <c r="AF174" s="4" t="e">
        <f t="shared" si="32"/>
        <v>#N/A</v>
      </c>
    </row>
    <row r="175" spans="2:32">
      <c r="B175" s="5">
        <f t="shared" si="37"/>
        <v>163</v>
      </c>
      <c r="C175" s="5"/>
      <c r="E175" s="13"/>
      <c r="F175" s="5"/>
      <c r="G175" s="11" t="str">
        <f>IF(ISERROR(AVERAGE(F$13:F175)),"n/a",AVERAGE(F$13:F175))</f>
        <v>n/a</v>
      </c>
      <c r="H175" s="11" t="str">
        <f t="shared" si="33"/>
        <v>n/a</v>
      </c>
      <c r="J175" s="5"/>
      <c r="K175" s="5"/>
      <c r="L175" s="5"/>
      <c r="M175" s="5"/>
      <c r="N175" s="5"/>
      <c r="O175" s="8" t="str">
        <f t="shared" si="31"/>
        <v>n/a</v>
      </c>
      <c r="Q175" s="5"/>
      <c r="R175" s="5"/>
      <c r="S175" s="5"/>
      <c r="U175" s="6"/>
      <c r="V175" s="9" t="str">
        <f t="shared" si="34"/>
        <v/>
      </c>
      <c r="W175" s="9" t="str">
        <f t="shared" si="35"/>
        <v/>
      </c>
      <c r="X175" s="10">
        <f>SUM(V$13:V175)/COUNTA(B$13:B175)</f>
        <v>0</v>
      </c>
      <c r="Z175" s="5"/>
      <c r="AA175" s="5"/>
      <c r="AC175" s="7"/>
      <c r="AE175" s="54" t="e">
        <f t="shared" si="36"/>
        <v>#N/A</v>
      </c>
      <c r="AF175" s="4" t="e">
        <f t="shared" si="32"/>
        <v>#N/A</v>
      </c>
    </row>
    <row r="176" spans="2:32">
      <c r="B176" s="5">
        <f t="shared" si="37"/>
        <v>164</v>
      </c>
      <c r="C176" s="5"/>
      <c r="E176" s="13"/>
      <c r="F176" s="5"/>
      <c r="G176" s="11" t="str">
        <f>IF(ISERROR(AVERAGE(F$13:F176)),"n/a",AVERAGE(F$13:F176))</f>
        <v>n/a</v>
      </c>
      <c r="H176" s="11" t="str">
        <f t="shared" si="33"/>
        <v>n/a</v>
      </c>
      <c r="J176" s="5"/>
      <c r="K176" s="5"/>
      <c r="L176" s="5"/>
      <c r="M176" s="5"/>
      <c r="N176" s="5"/>
      <c r="O176" s="8" t="str">
        <f t="shared" si="31"/>
        <v>n/a</v>
      </c>
      <c r="Q176" s="5"/>
      <c r="R176" s="5"/>
      <c r="S176" s="5"/>
      <c r="U176" s="6"/>
      <c r="V176" s="9" t="str">
        <f t="shared" si="34"/>
        <v/>
      </c>
      <c r="W176" s="9" t="str">
        <f t="shared" si="35"/>
        <v/>
      </c>
      <c r="X176" s="10">
        <f>SUM(V$13:V176)/COUNTA(B$13:B176)</f>
        <v>0</v>
      </c>
      <c r="Z176" s="5"/>
      <c r="AA176" s="5"/>
      <c r="AC176" s="7"/>
      <c r="AE176" s="54" t="e">
        <f t="shared" si="36"/>
        <v>#N/A</v>
      </c>
      <c r="AF176" s="4" t="e">
        <f t="shared" si="32"/>
        <v>#N/A</v>
      </c>
    </row>
    <row r="177" spans="2:32">
      <c r="B177" s="5">
        <f t="shared" si="37"/>
        <v>165</v>
      </c>
      <c r="C177" s="5"/>
      <c r="E177" s="13"/>
      <c r="F177" s="5"/>
      <c r="G177" s="11" t="str">
        <f>IF(ISERROR(AVERAGE(F$13:F177)),"n/a",AVERAGE(F$13:F177))</f>
        <v>n/a</v>
      </c>
      <c r="H177" s="11" t="str">
        <f t="shared" si="33"/>
        <v>n/a</v>
      </c>
      <c r="J177" s="5"/>
      <c r="K177" s="5"/>
      <c r="L177" s="5"/>
      <c r="M177" s="5"/>
      <c r="N177" s="5"/>
      <c r="O177" s="8" t="str">
        <f t="shared" si="31"/>
        <v>n/a</v>
      </c>
      <c r="Q177" s="5"/>
      <c r="R177" s="5"/>
      <c r="S177" s="5"/>
      <c r="U177" s="6"/>
      <c r="V177" s="9" t="str">
        <f t="shared" si="34"/>
        <v/>
      </c>
      <c r="W177" s="9" t="str">
        <f t="shared" si="35"/>
        <v/>
      </c>
      <c r="X177" s="10">
        <f>SUM(V$13:V177)/COUNTA(B$13:B177)</f>
        <v>0</v>
      </c>
      <c r="Z177" s="5"/>
      <c r="AA177" s="5"/>
      <c r="AC177" s="7"/>
      <c r="AE177" s="54" t="e">
        <f t="shared" si="36"/>
        <v>#N/A</v>
      </c>
      <c r="AF177" s="4" t="e">
        <f t="shared" si="32"/>
        <v>#N/A</v>
      </c>
    </row>
    <row r="178" spans="2:32">
      <c r="B178" s="5">
        <f t="shared" si="37"/>
        <v>166</v>
      </c>
      <c r="C178" s="5"/>
      <c r="E178" s="13"/>
      <c r="F178" s="5"/>
      <c r="G178" s="11" t="str">
        <f>IF(ISERROR(AVERAGE(F$13:F178)),"n/a",AVERAGE(F$13:F178))</f>
        <v>n/a</v>
      </c>
      <c r="H178" s="11" t="str">
        <f t="shared" si="33"/>
        <v>n/a</v>
      </c>
      <c r="J178" s="5"/>
      <c r="K178" s="5"/>
      <c r="L178" s="5"/>
      <c r="M178" s="5"/>
      <c r="N178" s="5"/>
      <c r="O178" s="8" t="str">
        <f t="shared" si="31"/>
        <v>n/a</v>
      </c>
      <c r="Q178" s="5"/>
      <c r="R178" s="5"/>
      <c r="S178" s="5"/>
      <c r="U178" s="6"/>
      <c r="V178" s="9" t="str">
        <f t="shared" si="34"/>
        <v/>
      </c>
      <c r="W178" s="9" t="str">
        <f t="shared" si="35"/>
        <v/>
      </c>
      <c r="X178" s="10">
        <f>SUM(V$13:V178)/COUNTA(B$13:B178)</f>
        <v>0</v>
      </c>
      <c r="Z178" s="5"/>
      <c r="AA178" s="5"/>
      <c r="AC178" s="7"/>
      <c r="AE178" s="54" t="e">
        <f t="shared" si="36"/>
        <v>#N/A</v>
      </c>
      <c r="AF178" s="4" t="e">
        <f t="shared" si="32"/>
        <v>#N/A</v>
      </c>
    </row>
    <row r="179" spans="2:32">
      <c r="B179" s="5">
        <f t="shared" si="37"/>
        <v>167</v>
      </c>
      <c r="C179" s="5"/>
      <c r="E179" s="13"/>
      <c r="F179" s="5"/>
      <c r="G179" s="11" t="str">
        <f>IF(ISERROR(AVERAGE(F$13:F179)),"n/a",AVERAGE(F$13:F179))</f>
        <v>n/a</v>
      </c>
      <c r="H179" s="11" t="str">
        <f t="shared" si="33"/>
        <v>n/a</v>
      </c>
      <c r="J179" s="5"/>
      <c r="K179" s="5"/>
      <c r="L179" s="5"/>
      <c r="M179" s="5"/>
      <c r="N179" s="5"/>
      <c r="O179" s="8" t="str">
        <f t="shared" si="31"/>
        <v>n/a</v>
      </c>
      <c r="Q179" s="5"/>
      <c r="R179" s="5"/>
      <c r="S179" s="5"/>
      <c r="U179" s="6"/>
      <c r="V179" s="9" t="str">
        <f t="shared" si="34"/>
        <v/>
      </c>
      <c r="W179" s="9" t="str">
        <f t="shared" si="35"/>
        <v/>
      </c>
      <c r="X179" s="10">
        <f>SUM(V$13:V179)/COUNTA(B$13:B179)</f>
        <v>0</v>
      </c>
      <c r="Z179" s="5"/>
      <c r="AA179" s="5"/>
      <c r="AC179" s="7"/>
      <c r="AE179" s="54" t="e">
        <f t="shared" si="36"/>
        <v>#N/A</v>
      </c>
      <c r="AF179" s="4" t="e">
        <f t="shared" si="32"/>
        <v>#N/A</v>
      </c>
    </row>
    <row r="180" spans="2:32">
      <c r="B180" s="5">
        <f t="shared" si="37"/>
        <v>168</v>
      </c>
      <c r="C180" s="5"/>
      <c r="E180" s="13"/>
      <c r="F180" s="5"/>
      <c r="G180" s="11" t="str">
        <f>IF(ISERROR(AVERAGE(F$13:F180)),"n/a",AVERAGE(F$13:F180))</f>
        <v>n/a</v>
      </c>
      <c r="H180" s="11" t="str">
        <f t="shared" si="33"/>
        <v>n/a</v>
      </c>
      <c r="J180" s="5"/>
      <c r="K180" s="5"/>
      <c r="L180" s="5"/>
      <c r="M180" s="5"/>
      <c r="N180" s="5"/>
      <c r="O180" s="8" t="str">
        <f t="shared" si="31"/>
        <v>n/a</v>
      </c>
      <c r="Q180" s="5"/>
      <c r="R180" s="5"/>
      <c r="S180" s="5"/>
      <c r="U180" s="6"/>
      <c r="V180" s="9" t="str">
        <f t="shared" si="34"/>
        <v/>
      </c>
      <c r="W180" s="9" t="str">
        <f t="shared" si="35"/>
        <v/>
      </c>
      <c r="X180" s="10">
        <f>SUM(V$13:V180)/COUNTA(B$13:B180)</f>
        <v>0</v>
      </c>
      <c r="Z180" s="5"/>
      <c r="AA180" s="5"/>
      <c r="AC180" s="7"/>
      <c r="AE180" s="54" t="e">
        <f t="shared" si="36"/>
        <v>#N/A</v>
      </c>
      <c r="AF180" s="4" t="e">
        <f t="shared" si="32"/>
        <v>#N/A</v>
      </c>
    </row>
    <row r="181" spans="2:32">
      <c r="B181" s="5">
        <f t="shared" si="37"/>
        <v>169</v>
      </c>
      <c r="C181" s="5"/>
      <c r="E181" s="13"/>
      <c r="F181" s="5"/>
      <c r="G181" s="11" t="str">
        <f>IF(ISERROR(AVERAGE(F$13:F181)),"n/a",AVERAGE(F$13:F181))</f>
        <v>n/a</v>
      </c>
      <c r="H181" s="11" t="str">
        <f t="shared" si="33"/>
        <v>n/a</v>
      </c>
      <c r="J181" s="5"/>
      <c r="K181" s="5"/>
      <c r="L181" s="5"/>
      <c r="M181" s="5"/>
      <c r="N181" s="5"/>
      <c r="O181" s="8" t="str">
        <f t="shared" si="31"/>
        <v>n/a</v>
      </c>
      <c r="Q181" s="5"/>
      <c r="R181" s="5"/>
      <c r="S181" s="5"/>
      <c r="U181" s="6"/>
      <c r="V181" s="9" t="str">
        <f t="shared" si="34"/>
        <v/>
      </c>
      <c r="W181" s="9" t="str">
        <f t="shared" si="35"/>
        <v/>
      </c>
      <c r="X181" s="10">
        <f>SUM(V$13:V181)/COUNTA(B$13:B181)</f>
        <v>0</v>
      </c>
      <c r="Z181" s="5"/>
      <c r="AA181" s="5"/>
      <c r="AC181" s="7"/>
      <c r="AE181" s="54" t="e">
        <f t="shared" si="36"/>
        <v>#N/A</v>
      </c>
      <c r="AF181" s="4" t="e">
        <f t="shared" si="32"/>
        <v>#N/A</v>
      </c>
    </row>
    <row r="182" spans="2:32">
      <c r="B182" s="5">
        <f t="shared" si="37"/>
        <v>170</v>
      </c>
      <c r="C182" s="5"/>
      <c r="E182" s="13"/>
      <c r="F182" s="5"/>
      <c r="G182" s="11" t="str">
        <f>IF(ISERROR(AVERAGE(F$13:F182)),"n/a",AVERAGE(F$13:F182))</f>
        <v>n/a</v>
      </c>
      <c r="H182" s="11" t="str">
        <f t="shared" si="33"/>
        <v>n/a</v>
      </c>
      <c r="J182" s="5"/>
      <c r="K182" s="5"/>
      <c r="L182" s="5"/>
      <c r="M182" s="5"/>
      <c r="N182" s="5"/>
      <c r="O182" s="8" t="str">
        <f t="shared" si="31"/>
        <v>n/a</v>
      </c>
      <c r="Q182" s="5"/>
      <c r="R182" s="5"/>
      <c r="S182" s="5"/>
      <c r="U182" s="6"/>
      <c r="V182" s="9" t="str">
        <f t="shared" si="34"/>
        <v/>
      </c>
      <c r="W182" s="9" t="str">
        <f t="shared" si="35"/>
        <v/>
      </c>
      <c r="X182" s="10">
        <f>SUM(V$13:V182)/COUNTA(B$13:B182)</f>
        <v>0</v>
      </c>
      <c r="Z182" s="5"/>
      <c r="AA182" s="5"/>
      <c r="AC182" s="7"/>
      <c r="AE182" s="54" t="e">
        <f t="shared" si="36"/>
        <v>#N/A</v>
      </c>
      <c r="AF182" s="4" t="e">
        <f t="shared" si="32"/>
        <v>#N/A</v>
      </c>
    </row>
    <row r="183" spans="2:32">
      <c r="B183" s="5">
        <f t="shared" si="37"/>
        <v>171</v>
      </c>
      <c r="C183" s="5"/>
      <c r="E183" s="13"/>
      <c r="F183" s="5"/>
      <c r="G183" s="11" t="str">
        <f>IF(ISERROR(AVERAGE(F$13:F183)),"n/a",AVERAGE(F$13:F183))</f>
        <v>n/a</v>
      </c>
      <c r="H183" s="11" t="str">
        <f t="shared" si="33"/>
        <v>n/a</v>
      </c>
      <c r="J183" s="5"/>
      <c r="K183" s="5"/>
      <c r="L183" s="5"/>
      <c r="M183" s="5"/>
      <c r="N183" s="5"/>
      <c r="O183" s="8" t="str">
        <f t="shared" si="31"/>
        <v>n/a</v>
      </c>
      <c r="Q183" s="5"/>
      <c r="R183" s="5"/>
      <c r="S183" s="5"/>
      <c r="U183" s="6"/>
      <c r="V183" s="9" t="str">
        <f t="shared" si="34"/>
        <v/>
      </c>
      <c r="W183" s="9" t="str">
        <f t="shared" si="35"/>
        <v/>
      </c>
      <c r="X183" s="10">
        <f>SUM(V$13:V183)/COUNTA(B$13:B183)</f>
        <v>0</v>
      </c>
      <c r="Z183" s="5"/>
      <c r="AA183" s="5"/>
      <c r="AC183" s="7"/>
      <c r="AE183" s="54" t="e">
        <f t="shared" si="36"/>
        <v>#N/A</v>
      </c>
      <c r="AF183" s="4" t="e">
        <f t="shared" si="32"/>
        <v>#N/A</v>
      </c>
    </row>
    <row r="184" spans="2:32">
      <c r="B184" s="5">
        <f t="shared" si="37"/>
        <v>172</v>
      </c>
      <c r="C184" s="5"/>
      <c r="E184" s="13"/>
      <c r="F184" s="5"/>
      <c r="G184" s="11" t="str">
        <f>IF(ISERROR(AVERAGE(F$13:F184)),"n/a",AVERAGE(F$13:F184))</f>
        <v>n/a</v>
      </c>
      <c r="H184" s="11" t="str">
        <f t="shared" si="33"/>
        <v>n/a</v>
      </c>
      <c r="J184" s="5"/>
      <c r="K184" s="5"/>
      <c r="L184" s="5"/>
      <c r="M184" s="5"/>
      <c r="N184" s="5"/>
      <c r="O184" s="8" t="str">
        <f t="shared" si="31"/>
        <v>n/a</v>
      </c>
      <c r="Q184" s="5"/>
      <c r="R184" s="5"/>
      <c r="S184" s="5"/>
      <c r="U184" s="6"/>
      <c r="V184" s="9" t="str">
        <f t="shared" si="34"/>
        <v/>
      </c>
      <c r="W184" s="9" t="str">
        <f t="shared" si="35"/>
        <v/>
      </c>
      <c r="X184" s="10">
        <f>SUM(V$13:V184)/COUNTA(B$13:B184)</f>
        <v>0</v>
      </c>
      <c r="Z184" s="5"/>
      <c r="AA184" s="5"/>
      <c r="AC184" s="7"/>
      <c r="AE184" s="54" t="e">
        <f t="shared" si="36"/>
        <v>#N/A</v>
      </c>
      <c r="AF184" s="4" t="e">
        <f t="shared" si="32"/>
        <v>#N/A</v>
      </c>
    </row>
    <row r="185" spans="2:32">
      <c r="B185" s="5">
        <f t="shared" si="37"/>
        <v>173</v>
      </c>
      <c r="C185" s="5"/>
      <c r="E185" s="13"/>
      <c r="F185" s="5"/>
      <c r="G185" s="11" t="str">
        <f>IF(ISERROR(AVERAGE(F$13:F185)),"n/a",AVERAGE(F$13:F185))</f>
        <v>n/a</v>
      </c>
      <c r="H185" s="11" t="str">
        <f t="shared" si="33"/>
        <v>n/a</v>
      </c>
      <c r="J185" s="5"/>
      <c r="K185" s="5"/>
      <c r="L185" s="5"/>
      <c r="M185" s="5"/>
      <c r="N185" s="5"/>
      <c r="O185" s="8" t="str">
        <f t="shared" si="31"/>
        <v>n/a</v>
      </c>
      <c r="Q185" s="5"/>
      <c r="R185" s="5"/>
      <c r="S185" s="5"/>
      <c r="U185" s="6"/>
      <c r="V185" s="9" t="str">
        <f t="shared" si="34"/>
        <v/>
      </c>
      <c r="W185" s="9" t="str">
        <f t="shared" si="35"/>
        <v/>
      </c>
      <c r="X185" s="10">
        <f>SUM(V$13:V185)/COUNTA(B$13:B185)</f>
        <v>0</v>
      </c>
      <c r="Z185" s="5"/>
      <c r="AA185" s="5"/>
      <c r="AC185" s="7"/>
      <c r="AE185" s="54" t="e">
        <f t="shared" si="36"/>
        <v>#N/A</v>
      </c>
      <c r="AF185" s="4" t="e">
        <f t="shared" si="32"/>
        <v>#N/A</v>
      </c>
    </row>
    <row r="186" spans="2:32">
      <c r="B186" s="5">
        <f t="shared" si="37"/>
        <v>174</v>
      </c>
      <c r="C186" s="5"/>
      <c r="E186" s="13"/>
      <c r="F186" s="5"/>
      <c r="G186" s="11" t="str">
        <f>IF(ISERROR(AVERAGE(F$13:F186)),"n/a",AVERAGE(F$13:F186))</f>
        <v>n/a</v>
      </c>
      <c r="H186" s="11" t="str">
        <f t="shared" si="33"/>
        <v>n/a</v>
      </c>
      <c r="J186" s="5"/>
      <c r="K186" s="5"/>
      <c r="L186" s="5"/>
      <c r="M186" s="5"/>
      <c r="N186" s="5"/>
      <c r="O186" s="8" t="str">
        <f t="shared" si="31"/>
        <v>n/a</v>
      </c>
      <c r="Q186" s="5"/>
      <c r="R186" s="5"/>
      <c r="S186" s="5"/>
      <c r="U186" s="6"/>
      <c r="V186" s="9" t="str">
        <f t="shared" si="34"/>
        <v/>
      </c>
      <c r="W186" s="9" t="str">
        <f t="shared" si="35"/>
        <v/>
      </c>
      <c r="X186" s="10">
        <f>SUM(V$13:V186)/COUNTA(B$13:B186)</f>
        <v>0</v>
      </c>
      <c r="Z186" s="5"/>
      <c r="AA186" s="5"/>
      <c r="AC186" s="7"/>
      <c r="AE186" s="54" t="e">
        <f t="shared" si="36"/>
        <v>#N/A</v>
      </c>
      <c r="AF186" s="4" t="e">
        <f t="shared" si="32"/>
        <v>#N/A</v>
      </c>
    </row>
    <row r="187" spans="2:32">
      <c r="B187" s="5">
        <f t="shared" si="37"/>
        <v>175</v>
      </c>
      <c r="C187" s="5"/>
      <c r="E187" s="13"/>
      <c r="F187" s="5"/>
      <c r="G187" s="11" t="str">
        <f>IF(ISERROR(AVERAGE(F$13:F187)),"n/a",AVERAGE(F$13:F187))</f>
        <v>n/a</v>
      </c>
      <c r="H187" s="11" t="str">
        <f t="shared" si="33"/>
        <v>n/a</v>
      </c>
      <c r="J187" s="5"/>
      <c r="K187" s="5"/>
      <c r="L187" s="5"/>
      <c r="M187" s="5"/>
      <c r="N187" s="5"/>
      <c r="O187" s="8" t="str">
        <f t="shared" si="31"/>
        <v>n/a</v>
      </c>
      <c r="Q187" s="5"/>
      <c r="R187" s="5"/>
      <c r="S187" s="5"/>
      <c r="U187" s="6"/>
      <c r="V187" s="9" t="str">
        <f t="shared" si="34"/>
        <v/>
      </c>
      <c r="W187" s="9" t="str">
        <f t="shared" si="35"/>
        <v/>
      </c>
      <c r="X187" s="10">
        <f>SUM(V$13:V187)/COUNTA(B$13:B187)</f>
        <v>0</v>
      </c>
      <c r="Z187" s="5"/>
      <c r="AA187" s="5"/>
      <c r="AC187" s="7"/>
      <c r="AE187" s="54" t="e">
        <f t="shared" si="36"/>
        <v>#N/A</v>
      </c>
      <c r="AF187" s="4" t="e">
        <f t="shared" si="32"/>
        <v>#N/A</v>
      </c>
    </row>
    <row r="188" spans="2:32">
      <c r="B188" s="5">
        <f t="shared" si="37"/>
        <v>176</v>
      </c>
      <c r="C188" s="5"/>
      <c r="E188" s="13"/>
      <c r="F188" s="5"/>
      <c r="G188" s="11" t="str">
        <f>IF(ISERROR(AVERAGE(F$13:F188)),"n/a",AVERAGE(F$13:F188))</f>
        <v>n/a</v>
      </c>
      <c r="H188" s="11" t="str">
        <f t="shared" si="33"/>
        <v>n/a</v>
      </c>
      <c r="J188" s="5"/>
      <c r="K188" s="5"/>
      <c r="L188" s="5"/>
      <c r="M188" s="5"/>
      <c r="N188" s="5"/>
      <c r="O188" s="8" t="str">
        <f t="shared" si="31"/>
        <v>n/a</v>
      </c>
      <c r="Q188" s="5"/>
      <c r="R188" s="5"/>
      <c r="S188" s="5"/>
      <c r="U188" s="6"/>
      <c r="V188" s="9" t="str">
        <f t="shared" si="34"/>
        <v/>
      </c>
      <c r="W188" s="9" t="str">
        <f t="shared" si="35"/>
        <v/>
      </c>
      <c r="X188" s="10">
        <f>SUM(V$13:V188)/COUNTA(B$13:B188)</f>
        <v>0</v>
      </c>
      <c r="Z188" s="5"/>
      <c r="AA188" s="5"/>
      <c r="AC188" s="7"/>
      <c r="AE188" s="54" t="e">
        <f t="shared" si="36"/>
        <v>#N/A</v>
      </c>
      <c r="AF188" s="4" t="e">
        <f t="shared" si="32"/>
        <v>#N/A</v>
      </c>
    </row>
    <row r="189" spans="2:32">
      <c r="B189" s="5">
        <f t="shared" si="37"/>
        <v>177</v>
      </c>
      <c r="C189" s="5"/>
      <c r="E189" s="13"/>
      <c r="F189" s="5"/>
      <c r="G189" s="11" t="str">
        <f>IF(ISERROR(AVERAGE(F$13:F189)),"n/a",AVERAGE(F$13:F189))</f>
        <v>n/a</v>
      </c>
      <c r="H189" s="11" t="str">
        <f t="shared" si="33"/>
        <v>n/a</v>
      </c>
      <c r="J189" s="5"/>
      <c r="K189" s="5"/>
      <c r="L189" s="5"/>
      <c r="M189" s="5"/>
      <c r="N189" s="5"/>
      <c r="O189" s="8" t="str">
        <f t="shared" si="31"/>
        <v>n/a</v>
      </c>
      <c r="Q189" s="5"/>
      <c r="R189" s="5"/>
      <c r="S189" s="5"/>
      <c r="U189" s="6"/>
      <c r="V189" s="9" t="str">
        <f t="shared" si="34"/>
        <v/>
      </c>
      <c r="W189" s="9" t="str">
        <f t="shared" si="35"/>
        <v/>
      </c>
      <c r="X189" s="10">
        <f>SUM(V$13:V189)/COUNTA(B$13:B189)</f>
        <v>0</v>
      </c>
      <c r="Z189" s="5"/>
      <c r="AA189" s="5"/>
      <c r="AC189" s="7"/>
      <c r="AE189" s="54" t="e">
        <f t="shared" si="36"/>
        <v>#N/A</v>
      </c>
      <c r="AF189" s="4" t="e">
        <f t="shared" si="32"/>
        <v>#N/A</v>
      </c>
    </row>
    <row r="190" spans="2:32">
      <c r="B190" s="5">
        <f t="shared" si="37"/>
        <v>178</v>
      </c>
      <c r="C190" s="5"/>
      <c r="E190" s="13"/>
      <c r="F190" s="5"/>
      <c r="G190" s="11" t="str">
        <f>IF(ISERROR(AVERAGE(F$13:F190)),"n/a",AVERAGE(F$13:F190))</f>
        <v>n/a</v>
      </c>
      <c r="H190" s="11" t="str">
        <f t="shared" si="33"/>
        <v>n/a</v>
      </c>
      <c r="J190" s="5"/>
      <c r="K190" s="5"/>
      <c r="L190" s="5"/>
      <c r="M190" s="5"/>
      <c r="N190" s="5"/>
      <c r="O190" s="8" t="str">
        <f t="shared" si="31"/>
        <v>n/a</v>
      </c>
      <c r="Q190" s="5"/>
      <c r="R190" s="5"/>
      <c r="S190" s="5"/>
      <c r="U190" s="6"/>
      <c r="V190" s="9" t="str">
        <f t="shared" si="34"/>
        <v/>
      </c>
      <c r="W190" s="9" t="str">
        <f t="shared" si="35"/>
        <v/>
      </c>
      <c r="X190" s="10">
        <f>SUM(V$13:V190)/COUNTA(B$13:B190)</f>
        <v>0</v>
      </c>
      <c r="Z190" s="5"/>
      <c r="AA190" s="5"/>
      <c r="AC190" s="7"/>
      <c r="AE190" s="54" t="e">
        <f t="shared" si="36"/>
        <v>#N/A</v>
      </c>
      <c r="AF190" s="4" t="e">
        <f t="shared" si="32"/>
        <v>#N/A</v>
      </c>
    </row>
    <row r="191" spans="2:32">
      <c r="B191" s="5">
        <f t="shared" si="37"/>
        <v>179</v>
      </c>
      <c r="C191" s="5"/>
      <c r="E191" s="13"/>
      <c r="F191" s="5"/>
      <c r="G191" s="11" t="str">
        <f>IF(ISERROR(AVERAGE(F$13:F191)),"n/a",AVERAGE(F$13:F191))</f>
        <v>n/a</v>
      </c>
      <c r="H191" s="11" t="str">
        <f t="shared" si="33"/>
        <v>n/a</v>
      </c>
      <c r="J191" s="5"/>
      <c r="K191" s="5"/>
      <c r="L191" s="5"/>
      <c r="M191" s="5"/>
      <c r="N191" s="5"/>
      <c r="O191" s="8" t="str">
        <f t="shared" si="31"/>
        <v>n/a</v>
      </c>
      <c r="Q191" s="5"/>
      <c r="R191" s="5"/>
      <c r="S191" s="5"/>
      <c r="U191" s="6"/>
      <c r="V191" s="9" t="str">
        <f t="shared" si="34"/>
        <v/>
      </c>
      <c r="W191" s="9" t="str">
        <f t="shared" si="35"/>
        <v/>
      </c>
      <c r="X191" s="10">
        <f>SUM(V$13:V191)/COUNTA(B$13:B191)</f>
        <v>0</v>
      </c>
      <c r="Z191" s="5"/>
      <c r="AA191" s="5"/>
      <c r="AC191" s="7"/>
      <c r="AE191" s="54" t="e">
        <f t="shared" si="36"/>
        <v>#N/A</v>
      </c>
      <c r="AF191" s="4" t="e">
        <f t="shared" si="32"/>
        <v>#N/A</v>
      </c>
    </row>
    <row r="192" spans="2:32">
      <c r="B192" s="5">
        <f t="shared" si="37"/>
        <v>180</v>
      </c>
      <c r="C192" s="5"/>
      <c r="E192" s="13"/>
      <c r="F192" s="5"/>
      <c r="G192" s="11" t="str">
        <f>IF(ISERROR(AVERAGE(F$13:F192)),"n/a",AVERAGE(F$13:F192))</f>
        <v>n/a</v>
      </c>
      <c r="H192" s="11" t="str">
        <f t="shared" si="33"/>
        <v>n/a</v>
      </c>
      <c r="J192" s="5"/>
      <c r="K192" s="5"/>
      <c r="L192" s="5"/>
      <c r="M192" s="5"/>
      <c r="N192" s="5"/>
      <c r="O192" s="8" t="str">
        <f t="shared" si="31"/>
        <v>n/a</v>
      </c>
      <c r="Q192" s="5"/>
      <c r="R192" s="5"/>
      <c r="S192" s="5"/>
      <c r="U192" s="6"/>
      <c r="V192" s="9" t="str">
        <f t="shared" si="34"/>
        <v/>
      </c>
      <c r="W192" s="9" t="str">
        <f t="shared" si="35"/>
        <v/>
      </c>
      <c r="X192" s="10">
        <f>SUM(V$13:V192)/COUNTA(B$13:B192)</f>
        <v>0</v>
      </c>
      <c r="Z192" s="5"/>
      <c r="AA192" s="5"/>
      <c r="AC192" s="7"/>
      <c r="AE192" s="54" t="e">
        <f t="shared" si="36"/>
        <v>#N/A</v>
      </c>
      <c r="AF192" s="4" t="e">
        <f t="shared" si="32"/>
        <v>#N/A</v>
      </c>
    </row>
    <row r="193" spans="2:32">
      <c r="B193" s="5">
        <f t="shared" si="37"/>
        <v>181</v>
      </c>
      <c r="C193" s="5"/>
      <c r="E193" s="13"/>
      <c r="F193" s="5"/>
      <c r="G193" s="11" t="str">
        <f>IF(ISERROR(AVERAGE(F$13:F193)),"n/a",AVERAGE(F$13:F193))</f>
        <v>n/a</v>
      </c>
      <c r="H193" s="11" t="str">
        <f t="shared" si="33"/>
        <v>n/a</v>
      </c>
      <c r="J193" s="5"/>
      <c r="K193" s="5"/>
      <c r="L193" s="5"/>
      <c r="M193" s="5"/>
      <c r="N193" s="5"/>
      <c r="O193" s="8" t="str">
        <f t="shared" si="31"/>
        <v>n/a</v>
      </c>
      <c r="Q193" s="5"/>
      <c r="R193" s="5"/>
      <c r="S193" s="5"/>
      <c r="U193" s="6"/>
      <c r="V193" s="9" t="str">
        <f t="shared" si="34"/>
        <v/>
      </c>
      <c r="W193" s="9" t="str">
        <f t="shared" si="35"/>
        <v/>
      </c>
      <c r="X193" s="10">
        <f>SUM(V$13:V193)/COUNTA(B$13:B193)</f>
        <v>0</v>
      </c>
      <c r="Z193" s="5"/>
      <c r="AA193" s="5"/>
      <c r="AC193" s="7"/>
      <c r="AE193" s="54" t="e">
        <f t="shared" si="36"/>
        <v>#N/A</v>
      </c>
      <c r="AF193" s="4" t="e">
        <f t="shared" si="32"/>
        <v>#N/A</v>
      </c>
    </row>
    <row r="194" spans="2:32">
      <c r="B194" s="5">
        <f t="shared" si="37"/>
        <v>182</v>
      </c>
      <c r="C194" s="5"/>
      <c r="E194" s="13"/>
      <c r="F194" s="5"/>
      <c r="G194" s="11" t="str">
        <f>IF(ISERROR(AVERAGE(F$13:F194)),"n/a",AVERAGE(F$13:F194))</f>
        <v>n/a</v>
      </c>
      <c r="H194" s="11" t="str">
        <f t="shared" si="33"/>
        <v>n/a</v>
      </c>
      <c r="J194" s="5"/>
      <c r="K194" s="5"/>
      <c r="L194" s="5"/>
      <c r="M194" s="5"/>
      <c r="N194" s="5"/>
      <c r="O194" s="8" t="str">
        <f t="shared" si="31"/>
        <v>n/a</v>
      </c>
      <c r="Q194" s="5"/>
      <c r="R194" s="5"/>
      <c r="S194" s="5"/>
      <c r="U194" s="6"/>
      <c r="V194" s="9" t="str">
        <f t="shared" si="34"/>
        <v/>
      </c>
      <c r="W194" s="9" t="str">
        <f t="shared" si="35"/>
        <v/>
      </c>
      <c r="X194" s="10">
        <f>SUM(V$13:V194)/COUNTA(B$13:B194)</f>
        <v>0</v>
      </c>
      <c r="Z194" s="5"/>
      <c r="AA194" s="5"/>
      <c r="AC194" s="7"/>
      <c r="AE194" s="54" t="e">
        <f t="shared" si="36"/>
        <v>#N/A</v>
      </c>
      <c r="AF194" s="4" t="e">
        <f t="shared" si="32"/>
        <v>#N/A</v>
      </c>
    </row>
    <row r="195" spans="2:32">
      <c r="B195" s="5">
        <f t="shared" si="37"/>
        <v>183</v>
      </c>
      <c r="C195" s="5"/>
      <c r="E195" s="13"/>
      <c r="F195" s="5"/>
      <c r="G195" s="11" t="str">
        <f>IF(ISERROR(AVERAGE(F$13:F195)),"n/a",AVERAGE(F$13:F195))</f>
        <v>n/a</v>
      </c>
      <c r="H195" s="11" t="str">
        <f t="shared" si="33"/>
        <v>n/a</v>
      </c>
      <c r="J195" s="5"/>
      <c r="K195" s="5"/>
      <c r="L195" s="5"/>
      <c r="M195" s="5"/>
      <c r="N195" s="5"/>
      <c r="O195" s="8" t="str">
        <f t="shared" si="31"/>
        <v>n/a</v>
      </c>
      <c r="Q195" s="5"/>
      <c r="R195" s="5"/>
      <c r="S195" s="5"/>
      <c r="U195" s="6"/>
      <c r="V195" s="9" t="str">
        <f t="shared" si="34"/>
        <v/>
      </c>
      <c r="W195" s="9" t="str">
        <f t="shared" si="35"/>
        <v/>
      </c>
      <c r="X195" s="10">
        <f>SUM(V$13:V195)/COUNTA(B$13:B195)</f>
        <v>0</v>
      </c>
      <c r="Z195" s="5"/>
      <c r="AA195" s="5"/>
      <c r="AC195" s="7"/>
      <c r="AE195" s="54" t="e">
        <f t="shared" si="36"/>
        <v>#N/A</v>
      </c>
      <c r="AF195" s="4" t="e">
        <f t="shared" si="32"/>
        <v>#N/A</v>
      </c>
    </row>
    <row r="196" spans="2:32">
      <c r="B196" s="5">
        <f t="shared" si="37"/>
        <v>184</v>
      </c>
      <c r="C196" s="5"/>
      <c r="E196" s="13"/>
      <c r="F196" s="5"/>
      <c r="G196" s="11" t="str">
        <f>IF(ISERROR(AVERAGE(F$13:F196)),"n/a",AVERAGE(F$13:F196))</f>
        <v>n/a</v>
      </c>
      <c r="H196" s="11" t="str">
        <f t="shared" si="33"/>
        <v>n/a</v>
      </c>
      <c r="J196" s="5"/>
      <c r="K196" s="5"/>
      <c r="L196" s="5"/>
      <c r="M196" s="5"/>
      <c r="N196" s="5"/>
      <c r="O196" s="8" t="str">
        <f t="shared" si="31"/>
        <v>n/a</v>
      </c>
      <c r="Q196" s="5"/>
      <c r="R196" s="5"/>
      <c r="S196" s="5"/>
      <c r="U196" s="6"/>
      <c r="V196" s="9" t="str">
        <f t="shared" si="34"/>
        <v/>
      </c>
      <c r="W196" s="9" t="str">
        <f t="shared" si="35"/>
        <v/>
      </c>
      <c r="X196" s="10">
        <f>SUM(V$13:V196)/COUNTA(B$13:B196)</f>
        <v>0</v>
      </c>
      <c r="Z196" s="5"/>
      <c r="AA196" s="5"/>
      <c r="AC196" s="7"/>
      <c r="AE196" s="54" t="e">
        <f t="shared" si="36"/>
        <v>#N/A</v>
      </c>
      <c r="AF196" s="4" t="e">
        <f t="shared" si="32"/>
        <v>#N/A</v>
      </c>
    </row>
    <row r="197" spans="2:32">
      <c r="B197" s="5">
        <f t="shared" si="37"/>
        <v>185</v>
      </c>
      <c r="C197" s="5"/>
      <c r="E197" s="13"/>
      <c r="F197" s="5"/>
      <c r="G197" s="11" t="str">
        <f>IF(ISERROR(AVERAGE(F$13:F197)),"n/a",AVERAGE(F$13:F197))</f>
        <v>n/a</v>
      </c>
      <c r="H197" s="11" t="str">
        <f t="shared" si="33"/>
        <v>n/a</v>
      </c>
      <c r="J197" s="5"/>
      <c r="K197" s="5"/>
      <c r="L197" s="5"/>
      <c r="M197" s="5"/>
      <c r="N197" s="5"/>
      <c r="O197" s="8" t="str">
        <f t="shared" si="31"/>
        <v>n/a</v>
      </c>
      <c r="Q197" s="5"/>
      <c r="R197" s="5"/>
      <c r="S197" s="5"/>
      <c r="U197" s="6"/>
      <c r="V197" s="9" t="str">
        <f t="shared" si="34"/>
        <v/>
      </c>
      <c r="W197" s="9" t="str">
        <f t="shared" si="35"/>
        <v/>
      </c>
      <c r="X197" s="10">
        <f>SUM(V$13:V197)/COUNTA(B$13:B197)</f>
        <v>0</v>
      </c>
      <c r="Z197" s="5"/>
      <c r="AA197" s="5"/>
      <c r="AC197" s="7"/>
      <c r="AE197" s="54" t="e">
        <f t="shared" si="36"/>
        <v>#N/A</v>
      </c>
      <c r="AF197" s="4" t="e">
        <f t="shared" si="32"/>
        <v>#N/A</v>
      </c>
    </row>
    <row r="198" spans="2:32">
      <c r="B198" s="5">
        <f t="shared" si="37"/>
        <v>186</v>
      </c>
      <c r="C198" s="5"/>
      <c r="E198" s="13"/>
      <c r="F198" s="5"/>
      <c r="G198" s="11" t="str">
        <f>IF(ISERROR(AVERAGE(F$13:F198)),"n/a",AVERAGE(F$13:F198))</f>
        <v>n/a</v>
      </c>
      <c r="H198" s="11" t="str">
        <f t="shared" si="33"/>
        <v>n/a</v>
      </c>
      <c r="J198" s="5"/>
      <c r="K198" s="5"/>
      <c r="L198" s="5"/>
      <c r="M198" s="5"/>
      <c r="N198" s="5"/>
      <c r="O198" s="8" t="str">
        <f t="shared" si="31"/>
        <v>n/a</v>
      </c>
      <c r="Q198" s="5"/>
      <c r="R198" s="5"/>
      <c r="S198" s="5"/>
      <c r="U198" s="6"/>
      <c r="V198" s="9" t="str">
        <f t="shared" si="34"/>
        <v/>
      </c>
      <c r="W198" s="9" t="str">
        <f t="shared" si="35"/>
        <v/>
      </c>
      <c r="X198" s="10">
        <f>SUM(V$13:V198)/COUNTA(B$13:B198)</f>
        <v>0</v>
      </c>
      <c r="Z198" s="5"/>
      <c r="AA198" s="5"/>
      <c r="AC198" s="7"/>
      <c r="AE198" s="54" t="e">
        <f t="shared" si="36"/>
        <v>#N/A</v>
      </c>
      <c r="AF198" s="4" t="e">
        <f t="shared" si="32"/>
        <v>#N/A</v>
      </c>
    </row>
    <row r="199" spans="2:32">
      <c r="B199" s="5">
        <f t="shared" si="37"/>
        <v>187</v>
      </c>
      <c r="C199" s="5"/>
      <c r="E199" s="13"/>
      <c r="F199" s="5"/>
      <c r="G199" s="11" t="str">
        <f>IF(ISERROR(AVERAGE(F$13:F199)),"n/a",AVERAGE(F$13:F199))</f>
        <v>n/a</v>
      </c>
      <c r="H199" s="11" t="str">
        <f t="shared" si="33"/>
        <v>n/a</v>
      </c>
      <c r="J199" s="5"/>
      <c r="K199" s="5"/>
      <c r="L199" s="5"/>
      <c r="M199" s="5"/>
      <c r="N199" s="5"/>
      <c r="O199" s="8" t="str">
        <f t="shared" si="31"/>
        <v>n/a</v>
      </c>
      <c r="Q199" s="5"/>
      <c r="R199" s="5"/>
      <c r="S199" s="5"/>
      <c r="U199" s="6"/>
      <c r="V199" s="9" t="str">
        <f t="shared" si="34"/>
        <v/>
      </c>
      <c r="W199" s="9" t="str">
        <f t="shared" si="35"/>
        <v/>
      </c>
      <c r="X199" s="10">
        <f>SUM(V$13:V199)/COUNTA(B$13:B199)</f>
        <v>0</v>
      </c>
      <c r="Z199" s="5"/>
      <c r="AA199" s="5"/>
      <c r="AC199" s="7"/>
      <c r="AE199" s="54" t="e">
        <f t="shared" si="36"/>
        <v>#N/A</v>
      </c>
      <c r="AF199" s="4" t="e">
        <f t="shared" si="32"/>
        <v>#N/A</v>
      </c>
    </row>
    <row r="200" spans="2:32">
      <c r="B200" s="5">
        <f t="shared" si="37"/>
        <v>188</v>
      </c>
      <c r="C200" s="5"/>
      <c r="E200" s="13"/>
      <c r="F200" s="5"/>
      <c r="G200" s="11" t="str">
        <f>IF(ISERROR(AVERAGE(F$13:F200)),"n/a",AVERAGE(F$13:F200))</f>
        <v>n/a</v>
      </c>
      <c r="H200" s="11" t="str">
        <f t="shared" si="33"/>
        <v>n/a</v>
      </c>
      <c r="J200" s="5"/>
      <c r="K200" s="5"/>
      <c r="L200" s="5"/>
      <c r="M200" s="5"/>
      <c r="N200" s="5"/>
      <c r="O200" s="8" t="str">
        <f t="shared" si="31"/>
        <v>n/a</v>
      </c>
      <c r="Q200" s="5"/>
      <c r="R200" s="5"/>
      <c r="S200" s="5"/>
      <c r="U200" s="6"/>
      <c r="V200" s="9" t="str">
        <f t="shared" si="34"/>
        <v/>
      </c>
      <c r="W200" s="9" t="str">
        <f t="shared" si="35"/>
        <v/>
      </c>
      <c r="X200" s="10">
        <f>SUM(V$13:V200)/COUNTA(B$13:B200)</f>
        <v>0</v>
      </c>
      <c r="Z200" s="5"/>
      <c r="AA200" s="5"/>
      <c r="AC200" s="7"/>
      <c r="AE200" s="54" t="e">
        <f t="shared" si="36"/>
        <v>#N/A</v>
      </c>
      <c r="AF200" s="4" t="e">
        <f t="shared" si="32"/>
        <v>#N/A</v>
      </c>
    </row>
    <row r="201" spans="2:32">
      <c r="B201" s="5">
        <f t="shared" si="37"/>
        <v>189</v>
      </c>
      <c r="C201" s="5"/>
      <c r="E201" s="13"/>
      <c r="F201" s="5"/>
      <c r="G201" s="11" t="str">
        <f>IF(ISERROR(AVERAGE(F$13:F201)),"n/a",AVERAGE(F$13:F201))</f>
        <v>n/a</v>
      </c>
      <c r="H201" s="11" t="str">
        <f t="shared" si="33"/>
        <v>n/a</v>
      </c>
      <c r="J201" s="5"/>
      <c r="K201" s="5"/>
      <c r="L201" s="5"/>
      <c r="M201" s="5"/>
      <c r="N201" s="5"/>
      <c r="O201" s="8" t="str">
        <f t="shared" si="31"/>
        <v>n/a</v>
      </c>
      <c r="Q201" s="5"/>
      <c r="R201" s="5"/>
      <c r="S201" s="5"/>
      <c r="U201" s="6"/>
      <c r="V201" s="9" t="str">
        <f t="shared" si="34"/>
        <v/>
      </c>
      <c r="W201" s="9" t="str">
        <f t="shared" si="35"/>
        <v/>
      </c>
      <c r="X201" s="10">
        <f>SUM(V$13:V201)/COUNTA(B$13:B201)</f>
        <v>0</v>
      </c>
      <c r="Z201" s="5"/>
      <c r="AA201" s="5"/>
      <c r="AC201" s="7"/>
      <c r="AE201" s="54" t="e">
        <f t="shared" si="36"/>
        <v>#N/A</v>
      </c>
      <c r="AF201" s="4" t="e">
        <f t="shared" si="32"/>
        <v>#N/A</v>
      </c>
    </row>
    <row r="202" spans="2:32">
      <c r="B202" s="5">
        <f t="shared" si="37"/>
        <v>190</v>
      </c>
      <c r="C202" s="5"/>
      <c r="E202" s="13"/>
      <c r="F202" s="5"/>
      <c r="G202" s="11" t="str">
        <f>IF(ISERROR(AVERAGE(F$13:F202)),"n/a",AVERAGE(F$13:F202))</f>
        <v>n/a</v>
      </c>
      <c r="H202" s="11" t="str">
        <f t="shared" si="33"/>
        <v>n/a</v>
      </c>
      <c r="J202" s="5"/>
      <c r="K202" s="5"/>
      <c r="L202" s="5"/>
      <c r="M202" s="5"/>
      <c r="N202" s="5"/>
      <c r="O202" s="8" t="str">
        <f t="shared" si="31"/>
        <v>n/a</v>
      </c>
      <c r="Q202" s="5"/>
      <c r="R202" s="5"/>
      <c r="S202" s="5"/>
      <c r="U202" s="6"/>
      <c r="V202" s="9" t="str">
        <f t="shared" si="34"/>
        <v/>
      </c>
      <c r="W202" s="9" t="str">
        <f t="shared" si="35"/>
        <v/>
      </c>
      <c r="X202" s="10">
        <f>SUM(V$13:V202)/COUNTA(B$13:B202)</f>
        <v>0</v>
      </c>
      <c r="Z202" s="5"/>
      <c r="AA202" s="5"/>
      <c r="AC202" s="7"/>
      <c r="AE202" s="54" t="e">
        <f t="shared" si="36"/>
        <v>#N/A</v>
      </c>
      <c r="AF202" s="4" t="e">
        <f t="shared" si="32"/>
        <v>#N/A</v>
      </c>
    </row>
    <row r="203" spans="2:32">
      <c r="B203" s="5">
        <f t="shared" si="37"/>
        <v>191</v>
      </c>
      <c r="C203" s="5"/>
      <c r="E203" s="13"/>
      <c r="F203" s="5"/>
      <c r="G203" s="11" t="str">
        <f>IF(ISERROR(AVERAGE(F$13:F203)),"n/a",AVERAGE(F$13:F203))</f>
        <v>n/a</v>
      </c>
      <c r="H203" s="11" t="str">
        <f t="shared" si="33"/>
        <v>n/a</v>
      </c>
      <c r="J203" s="5"/>
      <c r="K203" s="5"/>
      <c r="L203" s="5"/>
      <c r="M203" s="5"/>
      <c r="N203" s="5"/>
      <c r="O203" s="8" t="str">
        <f t="shared" si="31"/>
        <v>n/a</v>
      </c>
      <c r="Q203" s="5"/>
      <c r="R203" s="5"/>
      <c r="S203" s="5"/>
      <c r="U203" s="6"/>
      <c r="V203" s="9" t="str">
        <f t="shared" si="34"/>
        <v/>
      </c>
      <c r="W203" s="9" t="str">
        <f t="shared" si="35"/>
        <v/>
      </c>
      <c r="X203" s="10">
        <f>SUM(V$13:V203)/COUNTA(B$13:B203)</f>
        <v>0</v>
      </c>
      <c r="Z203" s="5"/>
      <c r="AA203" s="5"/>
      <c r="AC203" s="7"/>
      <c r="AE203" s="54" t="e">
        <f t="shared" si="36"/>
        <v>#N/A</v>
      </c>
      <c r="AF203" s="4" t="e">
        <f t="shared" si="32"/>
        <v>#N/A</v>
      </c>
    </row>
    <row r="204" spans="2:32">
      <c r="B204" s="5">
        <f t="shared" si="37"/>
        <v>192</v>
      </c>
      <c r="C204" s="5"/>
      <c r="E204" s="13"/>
      <c r="F204" s="5"/>
      <c r="G204" s="11" t="str">
        <f>IF(ISERROR(AVERAGE(F$13:F204)),"n/a",AVERAGE(F$13:F204))</f>
        <v>n/a</v>
      </c>
      <c r="H204" s="11" t="str">
        <f t="shared" si="33"/>
        <v>n/a</v>
      </c>
      <c r="J204" s="5"/>
      <c r="K204" s="5"/>
      <c r="L204" s="5"/>
      <c r="M204" s="5"/>
      <c r="N204" s="5"/>
      <c r="O204" s="8" t="str">
        <f t="shared" si="31"/>
        <v>n/a</v>
      </c>
      <c r="Q204" s="5"/>
      <c r="R204" s="5"/>
      <c r="S204" s="5"/>
      <c r="U204" s="6"/>
      <c r="V204" s="9" t="str">
        <f t="shared" si="34"/>
        <v/>
      </c>
      <c r="W204" s="9" t="str">
        <f t="shared" si="35"/>
        <v/>
      </c>
      <c r="X204" s="10">
        <f>SUM(V$13:V204)/COUNTA(B$13:B204)</f>
        <v>0</v>
      </c>
      <c r="Z204" s="5"/>
      <c r="AA204" s="5"/>
      <c r="AC204" s="7"/>
      <c r="AE204" s="54" t="e">
        <f t="shared" si="36"/>
        <v>#N/A</v>
      </c>
      <c r="AF204" s="4" t="e">
        <f t="shared" si="32"/>
        <v>#N/A</v>
      </c>
    </row>
    <row r="205" spans="2:32">
      <c r="B205" s="5">
        <f t="shared" si="37"/>
        <v>193</v>
      </c>
      <c r="C205" s="5"/>
      <c r="E205" s="13"/>
      <c r="F205" s="5"/>
      <c r="G205" s="11" t="str">
        <f>IF(ISERROR(AVERAGE(F$13:F205)),"n/a",AVERAGE(F$13:F205))</f>
        <v>n/a</v>
      </c>
      <c r="H205" s="11" t="str">
        <f t="shared" si="33"/>
        <v>n/a</v>
      </c>
      <c r="J205" s="5"/>
      <c r="K205" s="5"/>
      <c r="L205" s="5"/>
      <c r="M205" s="5"/>
      <c r="N205" s="5"/>
      <c r="O205" s="8" t="str">
        <f t="shared" ref="O205:O268" si="38">IF(J205=1,"A",IF(K205=1,"B",IF(L205=1,"C",IF(M205=1,"D",IF(N205=1,"E","n/a")))))</f>
        <v>n/a</v>
      </c>
      <c r="Q205" s="5"/>
      <c r="R205" s="5"/>
      <c r="S205" s="5"/>
      <c r="U205" s="6"/>
      <c r="V205" s="9" t="str">
        <f t="shared" si="34"/>
        <v/>
      </c>
      <c r="W205" s="9" t="str">
        <f t="shared" si="35"/>
        <v/>
      </c>
      <c r="X205" s="10">
        <f>SUM(V$13:V205)/COUNTA(B$13:B205)</f>
        <v>0</v>
      </c>
      <c r="Z205" s="5"/>
      <c r="AA205" s="5"/>
      <c r="AC205" s="7"/>
      <c r="AE205" s="54" t="e">
        <f t="shared" si="36"/>
        <v>#N/A</v>
      </c>
      <c r="AF205" s="4" t="e">
        <f t="shared" ref="AF205:AF268" si="39">HLOOKUP(C205,$K$6:$O$7,2,FALSE)</f>
        <v>#N/A</v>
      </c>
    </row>
    <row r="206" spans="2:32">
      <c r="B206" s="5">
        <f t="shared" si="37"/>
        <v>194</v>
      </c>
      <c r="C206" s="5"/>
      <c r="E206" s="13"/>
      <c r="F206" s="5"/>
      <c r="G206" s="11" t="str">
        <f>IF(ISERROR(AVERAGE(F$13:F206)),"n/a",AVERAGE(F$13:F206))</f>
        <v>n/a</v>
      </c>
      <c r="H206" s="11" t="str">
        <f t="shared" ref="H206:H269" si="40">G206</f>
        <v>n/a</v>
      </c>
      <c r="J206" s="5"/>
      <c r="K206" s="5"/>
      <c r="L206" s="5"/>
      <c r="M206" s="5"/>
      <c r="N206" s="5"/>
      <c r="O206" s="8" t="str">
        <f t="shared" si="38"/>
        <v>n/a</v>
      </c>
      <c r="Q206" s="5"/>
      <c r="R206" s="5"/>
      <c r="S206" s="5"/>
      <c r="U206" s="6"/>
      <c r="V206" s="9" t="str">
        <f t="shared" ref="V206:V269" si="41">IF(O206="n/a","",IF(O206=U206,1,""))</f>
        <v/>
      </c>
      <c r="W206" s="9" t="str">
        <f t="shared" ref="W206:W269" si="42">IF(O206="n/a","",IF(O206&lt;&gt;U206,1,""))</f>
        <v/>
      </c>
      <c r="X206" s="10">
        <f>SUM(V$13:V206)/COUNTA(B$13:B206)</f>
        <v>0</v>
      </c>
      <c r="Z206" s="5"/>
      <c r="AA206" s="5"/>
      <c r="AC206" s="7"/>
      <c r="AE206" s="54" t="e">
        <f t="shared" ref="AE206:AE269" si="43">+IF($F$4=0,0,IF(W206=1,1,IF(OR(R206*$F$8=1,S206*$F$9=1,F206&gt;=AF206),2,0)))</f>
        <v>#N/A</v>
      </c>
      <c r="AF206" s="4" t="e">
        <f t="shared" si="39"/>
        <v>#N/A</v>
      </c>
    </row>
    <row r="207" spans="2:32">
      <c r="B207" s="5">
        <f t="shared" si="37"/>
        <v>195</v>
      </c>
      <c r="C207" s="5"/>
      <c r="E207" s="13"/>
      <c r="F207" s="5"/>
      <c r="G207" s="11" t="str">
        <f>IF(ISERROR(AVERAGE(F$13:F207)),"n/a",AVERAGE(F$13:F207))</f>
        <v>n/a</v>
      </c>
      <c r="H207" s="11" t="str">
        <f t="shared" si="40"/>
        <v>n/a</v>
      </c>
      <c r="J207" s="5"/>
      <c r="K207" s="5"/>
      <c r="L207" s="5"/>
      <c r="M207" s="5"/>
      <c r="N207" s="5"/>
      <c r="O207" s="8" t="str">
        <f t="shared" si="38"/>
        <v>n/a</v>
      </c>
      <c r="Q207" s="5"/>
      <c r="R207" s="5"/>
      <c r="S207" s="5"/>
      <c r="U207" s="6"/>
      <c r="V207" s="9" t="str">
        <f t="shared" si="41"/>
        <v/>
      </c>
      <c r="W207" s="9" t="str">
        <f t="shared" si="42"/>
        <v/>
      </c>
      <c r="X207" s="10">
        <f>SUM(V$13:V207)/COUNTA(B$13:B207)</f>
        <v>0</v>
      </c>
      <c r="Z207" s="5"/>
      <c r="AA207" s="5"/>
      <c r="AC207" s="7"/>
      <c r="AE207" s="54" t="e">
        <f t="shared" si="43"/>
        <v>#N/A</v>
      </c>
      <c r="AF207" s="4" t="e">
        <f t="shared" si="39"/>
        <v>#N/A</v>
      </c>
    </row>
    <row r="208" spans="2:32">
      <c r="B208" s="5">
        <f t="shared" si="37"/>
        <v>196</v>
      </c>
      <c r="C208" s="5"/>
      <c r="E208" s="13"/>
      <c r="F208" s="5"/>
      <c r="G208" s="11" t="str">
        <f>IF(ISERROR(AVERAGE(F$13:F208)),"n/a",AVERAGE(F$13:F208))</f>
        <v>n/a</v>
      </c>
      <c r="H208" s="11" t="str">
        <f t="shared" si="40"/>
        <v>n/a</v>
      </c>
      <c r="J208" s="5"/>
      <c r="K208" s="5"/>
      <c r="L208" s="5"/>
      <c r="M208" s="5"/>
      <c r="N208" s="5"/>
      <c r="O208" s="8" t="str">
        <f t="shared" si="38"/>
        <v>n/a</v>
      </c>
      <c r="Q208" s="5"/>
      <c r="R208" s="5"/>
      <c r="S208" s="5"/>
      <c r="U208" s="6"/>
      <c r="V208" s="9" t="str">
        <f t="shared" si="41"/>
        <v/>
      </c>
      <c r="W208" s="9" t="str">
        <f t="shared" si="42"/>
        <v/>
      </c>
      <c r="X208" s="10">
        <f>SUM(V$13:V208)/COUNTA(B$13:B208)</f>
        <v>0</v>
      </c>
      <c r="Z208" s="5"/>
      <c r="AA208" s="5"/>
      <c r="AC208" s="7"/>
      <c r="AE208" s="54" t="e">
        <f t="shared" si="43"/>
        <v>#N/A</v>
      </c>
      <c r="AF208" s="4" t="e">
        <f t="shared" si="39"/>
        <v>#N/A</v>
      </c>
    </row>
    <row r="209" spans="2:32">
      <c r="B209" s="5">
        <f t="shared" si="37"/>
        <v>197</v>
      </c>
      <c r="C209" s="5"/>
      <c r="E209" s="13"/>
      <c r="F209" s="5"/>
      <c r="G209" s="11" t="str">
        <f>IF(ISERROR(AVERAGE(F$13:F209)),"n/a",AVERAGE(F$13:F209))</f>
        <v>n/a</v>
      </c>
      <c r="H209" s="11" t="str">
        <f t="shared" si="40"/>
        <v>n/a</v>
      </c>
      <c r="J209" s="5"/>
      <c r="K209" s="5"/>
      <c r="L209" s="5"/>
      <c r="M209" s="5"/>
      <c r="N209" s="5"/>
      <c r="O209" s="8" t="str">
        <f t="shared" si="38"/>
        <v>n/a</v>
      </c>
      <c r="Q209" s="5"/>
      <c r="R209" s="5"/>
      <c r="S209" s="5"/>
      <c r="U209" s="6"/>
      <c r="V209" s="9" t="str">
        <f t="shared" si="41"/>
        <v/>
      </c>
      <c r="W209" s="9" t="str">
        <f t="shared" si="42"/>
        <v/>
      </c>
      <c r="X209" s="10">
        <f>SUM(V$13:V209)/COUNTA(B$13:B209)</f>
        <v>0</v>
      </c>
      <c r="Z209" s="5"/>
      <c r="AA209" s="5"/>
      <c r="AC209" s="7"/>
      <c r="AE209" s="54" t="e">
        <f t="shared" si="43"/>
        <v>#N/A</v>
      </c>
      <c r="AF209" s="4" t="e">
        <f t="shared" si="39"/>
        <v>#N/A</v>
      </c>
    </row>
    <row r="210" spans="2:32">
      <c r="B210" s="5">
        <f t="shared" si="37"/>
        <v>198</v>
      </c>
      <c r="C210" s="5"/>
      <c r="E210" s="13"/>
      <c r="F210" s="5"/>
      <c r="G210" s="11" t="str">
        <f>IF(ISERROR(AVERAGE(F$13:F210)),"n/a",AVERAGE(F$13:F210))</f>
        <v>n/a</v>
      </c>
      <c r="H210" s="11" t="str">
        <f t="shared" si="40"/>
        <v>n/a</v>
      </c>
      <c r="J210" s="5"/>
      <c r="K210" s="5"/>
      <c r="L210" s="5"/>
      <c r="M210" s="5"/>
      <c r="N210" s="5"/>
      <c r="O210" s="8" t="str">
        <f t="shared" si="38"/>
        <v>n/a</v>
      </c>
      <c r="Q210" s="5"/>
      <c r="R210" s="5"/>
      <c r="S210" s="5"/>
      <c r="U210" s="6"/>
      <c r="V210" s="9" t="str">
        <f t="shared" si="41"/>
        <v/>
      </c>
      <c r="W210" s="9" t="str">
        <f t="shared" si="42"/>
        <v/>
      </c>
      <c r="X210" s="10">
        <f>SUM(V$13:V210)/COUNTA(B$13:B210)</f>
        <v>0</v>
      </c>
      <c r="Z210" s="5"/>
      <c r="AA210" s="5"/>
      <c r="AC210" s="7"/>
      <c r="AE210" s="54" t="e">
        <f t="shared" si="43"/>
        <v>#N/A</v>
      </c>
      <c r="AF210" s="4" t="e">
        <f t="shared" si="39"/>
        <v>#N/A</v>
      </c>
    </row>
    <row r="211" spans="2:32">
      <c r="B211" s="5">
        <f t="shared" ref="B211:B274" si="44">+B210+1</f>
        <v>199</v>
      </c>
      <c r="C211" s="5"/>
      <c r="E211" s="13"/>
      <c r="F211" s="5"/>
      <c r="G211" s="11" t="str">
        <f>IF(ISERROR(AVERAGE(F$13:F211)),"n/a",AVERAGE(F$13:F211))</f>
        <v>n/a</v>
      </c>
      <c r="H211" s="11" t="str">
        <f t="shared" si="40"/>
        <v>n/a</v>
      </c>
      <c r="J211" s="5"/>
      <c r="K211" s="5"/>
      <c r="L211" s="5"/>
      <c r="M211" s="5"/>
      <c r="N211" s="5"/>
      <c r="O211" s="8" t="str">
        <f t="shared" si="38"/>
        <v>n/a</v>
      </c>
      <c r="Q211" s="5"/>
      <c r="R211" s="5"/>
      <c r="S211" s="5"/>
      <c r="U211" s="6"/>
      <c r="V211" s="9" t="str">
        <f t="shared" si="41"/>
        <v/>
      </c>
      <c r="W211" s="9" t="str">
        <f t="shared" si="42"/>
        <v/>
      </c>
      <c r="X211" s="10">
        <f>SUM(V$13:V211)/COUNTA(B$13:B211)</f>
        <v>0</v>
      </c>
      <c r="Z211" s="5"/>
      <c r="AA211" s="5"/>
      <c r="AC211" s="7"/>
      <c r="AE211" s="54" t="e">
        <f t="shared" si="43"/>
        <v>#N/A</v>
      </c>
      <c r="AF211" s="4" t="e">
        <f t="shared" si="39"/>
        <v>#N/A</v>
      </c>
    </row>
    <row r="212" spans="2:32">
      <c r="B212" s="5">
        <f t="shared" si="44"/>
        <v>200</v>
      </c>
      <c r="C212" s="5"/>
      <c r="E212" s="13"/>
      <c r="F212" s="5"/>
      <c r="G212" s="11" t="str">
        <f>IF(ISERROR(AVERAGE(F$13:F212)),"n/a",AVERAGE(F$13:F212))</f>
        <v>n/a</v>
      </c>
      <c r="H212" s="11" t="str">
        <f t="shared" si="40"/>
        <v>n/a</v>
      </c>
      <c r="J212" s="5"/>
      <c r="K212" s="5"/>
      <c r="L212" s="5"/>
      <c r="M212" s="5"/>
      <c r="N212" s="5"/>
      <c r="O212" s="8" t="str">
        <f t="shared" si="38"/>
        <v>n/a</v>
      </c>
      <c r="Q212" s="5"/>
      <c r="R212" s="5"/>
      <c r="S212" s="5"/>
      <c r="U212" s="6"/>
      <c r="V212" s="9" t="str">
        <f t="shared" si="41"/>
        <v/>
      </c>
      <c r="W212" s="9" t="str">
        <f t="shared" si="42"/>
        <v/>
      </c>
      <c r="X212" s="10">
        <f>SUM(V$13:V212)/COUNTA(B$13:B212)</f>
        <v>0</v>
      </c>
      <c r="Z212" s="5"/>
      <c r="AA212" s="5"/>
      <c r="AC212" s="7"/>
      <c r="AE212" s="54" t="e">
        <f t="shared" si="43"/>
        <v>#N/A</v>
      </c>
      <c r="AF212" s="4" t="e">
        <f t="shared" si="39"/>
        <v>#N/A</v>
      </c>
    </row>
    <row r="213" spans="2:32">
      <c r="B213" s="5">
        <f t="shared" si="44"/>
        <v>201</v>
      </c>
      <c r="C213" s="5"/>
      <c r="E213" s="13"/>
      <c r="F213" s="5"/>
      <c r="G213" s="11" t="str">
        <f>IF(ISERROR(AVERAGE(F$13:F213)),"n/a",AVERAGE(F$13:F213))</f>
        <v>n/a</v>
      </c>
      <c r="H213" s="11" t="str">
        <f t="shared" si="40"/>
        <v>n/a</v>
      </c>
      <c r="J213" s="5"/>
      <c r="K213" s="5"/>
      <c r="L213" s="5"/>
      <c r="M213" s="5"/>
      <c r="N213" s="5"/>
      <c r="O213" s="8" t="str">
        <f t="shared" si="38"/>
        <v>n/a</v>
      </c>
      <c r="Q213" s="5"/>
      <c r="R213" s="5"/>
      <c r="S213" s="5"/>
      <c r="U213" s="6"/>
      <c r="V213" s="9" t="str">
        <f t="shared" si="41"/>
        <v/>
      </c>
      <c r="W213" s="9" t="str">
        <f t="shared" si="42"/>
        <v/>
      </c>
      <c r="X213" s="10">
        <f>SUM(V$13:V213)/COUNTA(B$13:B213)</f>
        <v>0</v>
      </c>
      <c r="Z213" s="5"/>
      <c r="AA213" s="5"/>
      <c r="AC213" s="7"/>
      <c r="AE213" s="54" t="e">
        <f t="shared" si="43"/>
        <v>#N/A</v>
      </c>
      <c r="AF213" s="4" t="e">
        <f t="shared" si="39"/>
        <v>#N/A</v>
      </c>
    </row>
    <row r="214" spans="2:32">
      <c r="B214" s="5">
        <f t="shared" si="44"/>
        <v>202</v>
      </c>
      <c r="C214" s="5"/>
      <c r="E214" s="13"/>
      <c r="F214" s="5"/>
      <c r="G214" s="11" t="str">
        <f>IF(ISERROR(AVERAGE(F$13:F214)),"n/a",AVERAGE(F$13:F214))</f>
        <v>n/a</v>
      </c>
      <c r="H214" s="11" t="str">
        <f t="shared" si="40"/>
        <v>n/a</v>
      </c>
      <c r="J214" s="5"/>
      <c r="K214" s="5"/>
      <c r="L214" s="5"/>
      <c r="M214" s="5"/>
      <c r="N214" s="5"/>
      <c r="O214" s="8" t="str">
        <f t="shared" si="38"/>
        <v>n/a</v>
      </c>
      <c r="Q214" s="5"/>
      <c r="R214" s="5"/>
      <c r="S214" s="5"/>
      <c r="U214" s="6"/>
      <c r="V214" s="9" t="str">
        <f t="shared" si="41"/>
        <v/>
      </c>
      <c r="W214" s="9" t="str">
        <f t="shared" si="42"/>
        <v/>
      </c>
      <c r="X214" s="10">
        <f>SUM(V$13:V214)/COUNTA(B$13:B214)</f>
        <v>0</v>
      </c>
      <c r="Z214" s="5"/>
      <c r="AA214" s="5"/>
      <c r="AC214" s="7"/>
      <c r="AE214" s="54" t="e">
        <f t="shared" si="43"/>
        <v>#N/A</v>
      </c>
      <c r="AF214" s="4" t="e">
        <f t="shared" si="39"/>
        <v>#N/A</v>
      </c>
    </row>
    <row r="215" spans="2:32">
      <c r="B215" s="5">
        <f t="shared" si="44"/>
        <v>203</v>
      </c>
      <c r="C215" s="5"/>
      <c r="E215" s="13"/>
      <c r="F215" s="5"/>
      <c r="G215" s="11" t="str">
        <f>IF(ISERROR(AVERAGE(F$13:F215)),"n/a",AVERAGE(F$13:F215))</f>
        <v>n/a</v>
      </c>
      <c r="H215" s="11" t="str">
        <f t="shared" si="40"/>
        <v>n/a</v>
      </c>
      <c r="J215" s="5"/>
      <c r="K215" s="5"/>
      <c r="L215" s="5"/>
      <c r="M215" s="5"/>
      <c r="N215" s="5"/>
      <c r="O215" s="8" t="str">
        <f t="shared" si="38"/>
        <v>n/a</v>
      </c>
      <c r="Q215" s="5"/>
      <c r="R215" s="5"/>
      <c r="S215" s="5"/>
      <c r="U215" s="6"/>
      <c r="V215" s="9" t="str">
        <f t="shared" si="41"/>
        <v/>
      </c>
      <c r="W215" s="9" t="str">
        <f t="shared" si="42"/>
        <v/>
      </c>
      <c r="X215" s="10">
        <f>SUM(V$13:V215)/COUNTA(B$13:B215)</f>
        <v>0</v>
      </c>
      <c r="Z215" s="5"/>
      <c r="AA215" s="5"/>
      <c r="AC215" s="7"/>
      <c r="AE215" s="54" t="e">
        <f t="shared" si="43"/>
        <v>#N/A</v>
      </c>
      <c r="AF215" s="4" t="e">
        <f t="shared" si="39"/>
        <v>#N/A</v>
      </c>
    </row>
    <row r="216" spans="2:32">
      <c r="B216" s="5">
        <f t="shared" si="44"/>
        <v>204</v>
      </c>
      <c r="C216" s="5"/>
      <c r="E216" s="13"/>
      <c r="F216" s="5"/>
      <c r="G216" s="11" t="str">
        <f>IF(ISERROR(AVERAGE(F$13:F216)),"n/a",AVERAGE(F$13:F216))</f>
        <v>n/a</v>
      </c>
      <c r="H216" s="11" t="str">
        <f t="shared" si="40"/>
        <v>n/a</v>
      </c>
      <c r="J216" s="5"/>
      <c r="K216" s="5"/>
      <c r="L216" s="5"/>
      <c r="M216" s="5"/>
      <c r="N216" s="5"/>
      <c r="O216" s="8" t="str">
        <f t="shared" si="38"/>
        <v>n/a</v>
      </c>
      <c r="Q216" s="5"/>
      <c r="R216" s="5"/>
      <c r="S216" s="5"/>
      <c r="U216" s="6"/>
      <c r="V216" s="9" t="str">
        <f t="shared" si="41"/>
        <v/>
      </c>
      <c r="W216" s="9" t="str">
        <f t="shared" si="42"/>
        <v/>
      </c>
      <c r="X216" s="10">
        <f>SUM(V$13:V216)/COUNTA(B$13:B216)</f>
        <v>0</v>
      </c>
      <c r="Z216" s="5"/>
      <c r="AA216" s="5"/>
      <c r="AC216" s="7"/>
      <c r="AE216" s="54" t="e">
        <f t="shared" si="43"/>
        <v>#N/A</v>
      </c>
      <c r="AF216" s="4" t="e">
        <f t="shared" si="39"/>
        <v>#N/A</v>
      </c>
    </row>
    <row r="217" spans="2:32">
      <c r="B217" s="5">
        <f t="shared" si="44"/>
        <v>205</v>
      </c>
      <c r="C217" s="5"/>
      <c r="E217" s="13"/>
      <c r="F217" s="5"/>
      <c r="G217" s="11" t="str">
        <f>IF(ISERROR(AVERAGE(F$13:F217)),"n/a",AVERAGE(F$13:F217))</f>
        <v>n/a</v>
      </c>
      <c r="H217" s="11" t="str">
        <f t="shared" si="40"/>
        <v>n/a</v>
      </c>
      <c r="J217" s="5"/>
      <c r="K217" s="5"/>
      <c r="L217" s="5"/>
      <c r="M217" s="5"/>
      <c r="N217" s="5"/>
      <c r="O217" s="8" t="str">
        <f t="shared" si="38"/>
        <v>n/a</v>
      </c>
      <c r="Q217" s="5"/>
      <c r="R217" s="5"/>
      <c r="S217" s="5"/>
      <c r="U217" s="6"/>
      <c r="V217" s="9" t="str">
        <f t="shared" si="41"/>
        <v/>
      </c>
      <c r="W217" s="9" t="str">
        <f t="shared" si="42"/>
        <v/>
      </c>
      <c r="X217" s="10">
        <f>SUM(V$13:V217)/COUNTA(B$13:B217)</f>
        <v>0</v>
      </c>
      <c r="Z217" s="5"/>
      <c r="AA217" s="5"/>
      <c r="AC217" s="7"/>
      <c r="AE217" s="54" t="e">
        <f t="shared" si="43"/>
        <v>#N/A</v>
      </c>
      <c r="AF217" s="4" t="e">
        <f t="shared" si="39"/>
        <v>#N/A</v>
      </c>
    </row>
    <row r="218" spans="2:32">
      <c r="B218" s="5">
        <f t="shared" si="44"/>
        <v>206</v>
      </c>
      <c r="C218" s="5"/>
      <c r="E218" s="13"/>
      <c r="F218" s="5"/>
      <c r="G218" s="11" t="str">
        <f>IF(ISERROR(AVERAGE(F$13:F218)),"n/a",AVERAGE(F$13:F218))</f>
        <v>n/a</v>
      </c>
      <c r="H218" s="11" t="str">
        <f t="shared" si="40"/>
        <v>n/a</v>
      </c>
      <c r="J218" s="5"/>
      <c r="K218" s="5"/>
      <c r="L218" s="5"/>
      <c r="M218" s="5"/>
      <c r="N218" s="5"/>
      <c r="O218" s="8" t="str">
        <f t="shared" si="38"/>
        <v>n/a</v>
      </c>
      <c r="Q218" s="5"/>
      <c r="R218" s="5"/>
      <c r="S218" s="5"/>
      <c r="U218" s="6"/>
      <c r="V218" s="9" t="str">
        <f t="shared" si="41"/>
        <v/>
      </c>
      <c r="W218" s="9" t="str">
        <f t="shared" si="42"/>
        <v/>
      </c>
      <c r="X218" s="10">
        <f>SUM(V$13:V218)/COUNTA(B$13:B218)</f>
        <v>0</v>
      </c>
      <c r="Z218" s="5"/>
      <c r="AA218" s="5"/>
      <c r="AC218" s="7"/>
      <c r="AE218" s="54" t="e">
        <f t="shared" si="43"/>
        <v>#N/A</v>
      </c>
      <c r="AF218" s="4" t="e">
        <f t="shared" si="39"/>
        <v>#N/A</v>
      </c>
    </row>
    <row r="219" spans="2:32">
      <c r="B219" s="5">
        <f t="shared" si="44"/>
        <v>207</v>
      </c>
      <c r="C219" s="5"/>
      <c r="E219" s="13"/>
      <c r="F219" s="5"/>
      <c r="G219" s="11" t="str">
        <f>IF(ISERROR(AVERAGE(F$13:F219)),"n/a",AVERAGE(F$13:F219))</f>
        <v>n/a</v>
      </c>
      <c r="H219" s="11" t="str">
        <f t="shared" si="40"/>
        <v>n/a</v>
      </c>
      <c r="J219" s="5"/>
      <c r="K219" s="5"/>
      <c r="L219" s="5"/>
      <c r="M219" s="5"/>
      <c r="N219" s="5"/>
      <c r="O219" s="8" t="str">
        <f t="shared" si="38"/>
        <v>n/a</v>
      </c>
      <c r="Q219" s="5"/>
      <c r="R219" s="5"/>
      <c r="S219" s="5"/>
      <c r="U219" s="6"/>
      <c r="V219" s="9" t="str">
        <f t="shared" si="41"/>
        <v/>
      </c>
      <c r="W219" s="9" t="str">
        <f t="shared" si="42"/>
        <v/>
      </c>
      <c r="X219" s="10">
        <f>SUM(V$13:V219)/COUNTA(B$13:B219)</f>
        <v>0</v>
      </c>
      <c r="Z219" s="5"/>
      <c r="AA219" s="5"/>
      <c r="AC219" s="7"/>
      <c r="AE219" s="54" t="e">
        <f t="shared" si="43"/>
        <v>#N/A</v>
      </c>
      <c r="AF219" s="4" t="e">
        <f t="shared" si="39"/>
        <v>#N/A</v>
      </c>
    </row>
    <row r="220" spans="2:32">
      <c r="B220" s="5">
        <f t="shared" si="44"/>
        <v>208</v>
      </c>
      <c r="C220" s="5"/>
      <c r="E220" s="13"/>
      <c r="F220" s="5"/>
      <c r="G220" s="11" t="str">
        <f>IF(ISERROR(AVERAGE(F$13:F220)),"n/a",AVERAGE(F$13:F220))</f>
        <v>n/a</v>
      </c>
      <c r="H220" s="11" t="str">
        <f t="shared" si="40"/>
        <v>n/a</v>
      </c>
      <c r="J220" s="5"/>
      <c r="K220" s="5"/>
      <c r="L220" s="5"/>
      <c r="M220" s="5"/>
      <c r="N220" s="5"/>
      <c r="O220" s="8" t="str">
        <f t="shared" si="38"/>
        <v>n/a</v>
      </c>
      <c r="Q220" s="5"/>
      <c r="R220" s="5"/>
      <c r="S220" s="5"/>
      <c r="U220" s="6"/>
      <c r="V220" s="9" t="str">
        <f t="shared" si="41"/>
        <v/>
      </c>
      <c r="W220" s="9" t="str">
        <f t="shared" si="42"/>
        <v/>
      </c>
      <c r="X220" s="10">
        <f>SUM(V$13:V220)/COUNTA(B$13:B220)</f>
        <v>0</v>
      </c>
      <c r="Z220" s="5"/>
      <c r="AA220" s="5"/>
      <c r="AC220" s="7"/>
      <c r="AE220" s="54" t="e">
        <f t="shared" si="43"/>
        <v>#N/A</v>
      </c>
      <c r="AF220" s="4" t="e">
        <f t="shared" si="39"/>
        <v>#N/A</v>
      </c>
    </row>
    <row r="221" spans="2:32">
      <c r="B221" s="5">
        <f t="shared" si="44"/>
        <v>209</v>
      </c>
      <c r="C221" s="5"/>
      <c r="E221" s="13"/>
      <c r="F221" s="5"/>
      <c r="G221" s="11" t="str">
        <f>IF(ISERROR(AVERAGE(F$13:F221)),"n/a",AVERAGE(F$13:F221))</f>
        <v>n/a</v>
      </c>
      <c r="H221" s="11" t="str">
        <f t="shared" si="40"/>
        <v>n/a</v>
      </c>
      <c r="J221" s="5"/>
      <c r="K221" s="5"/>
      <c r="L221" s="5"/>
      <c r="M221" s="5"/>
      <c r="N221" s="5"/>
      <c r="O221" s="8" t="str">
        <f t="shared" si="38"/>
        <v>n/a</v>
      </c>
      <c r="Q221" s="5"/>
      <c r="R221" s="5"/>
      <c r="S221" s="5"/>
      <c r="U221" s="6"/>
      <c r="V221" s="9" t="str">
        <f t="shared" si="41"/>
        <v/>
      </c>
      <c r="W221" s="9" t="str">
        <f t="shared" si="42"/>
        <v/>
      </c>
      <c r="X221" s="10">
        <f>SUM(V$13:V221)/COUNTA(B$13:B221)</f>
        <v>0</v>
      </c>
      <c r="Z221" s="5"/>
      <c r="AA221" s="5"/>
      <c r="AC221" s="7"/>
      <c r="AE221" s="54" t="e">
        <f t="shared" si="43"/>
        <v>#N/A</v>
      </c>
      <c r="AF221" s="4" t="e">
        <f t="shared" si="39"/>
        <v>#N/A</v>
      </c>
    </row>
    <row r="222" spans="2:32">
      <c r="B222" s="5">
        <f t="shared" si="44"/>
        <v>210</v>
      </c>
      <c r="C222" s="5"/>
      <c r="E222" s="13"/>
      <c r="F222" s="5"/>
      <c r="G222" s="11" t="str">
        <f>IF(ISERROR(AVERAGE(F$13:F222)),"n/a",AVERAGE(F$13:F222))</f>
        <v>n/a</v>
      </c>
      <c r="H222" s="11" t="str">
        <f t="shared" si="40"/>
        <v>n/a</v>
      </c>
      <c r="J222" s="5"/>
      <c r="K222" s="5"/>
      <c r="L222" s="5"/>
      <c r="M222" s="5"/>
      <c r="N222" s="5"/>
      <c r="O222" s="8" t="str">
        <f t="shared" si="38"/>
        <v>n/a</v>
      </c>
      <c r="Q222" s="5"/>
      <c r="R222" s="5"/>
      <c r="S222" s="5"/>
      <c r="U222" s="6"/>
      <c r="V222" s="9" t="str">
        <f t="shared" si="41"/>
        <v/>
      </c>
      <c r="W222" s="9" t="str">
        <f t="shared" si="42"/>
        <v/>
      </c>
      <c r="X222" s="10">
        <f>SUM(V$13:V222)/COUNTA(B$13:B222)</f>
        <v>0</v>
      </c>
      <c r="Z222" s="5"/>
      <c r="AA222" s="5"/>
      <c r="AC222" s="7"/>
      <c r="AE222" s="54" t="e">
        <f t="shared" si="43"/>
        <v>#N/A</v>
      </c>
      <c r="AF222" s="4" t="e">
        <f t="shared" si="39"/>
        <v>#N/A</v>
      </c>
    </row>
    <row r="223" spans="2:32">
      <c r="B223" s="5">
        <f t="shared" si="44"/>
        <v>211</v>
      </c>
      <c r="C223" s="5"/>
      <c r="E223" s="13"/>
      <c r="F223" s="5"/>
      <c r="G223" s="11" t="str">
        <f>IF(ISERROR(AVERAGE(F$13:F223)),"n/a",AVERAGE(F$13:F223))</f>
        <v>n/a</v>
      </c>
      <c r="H223" s="11" t="str">
        <f t="shared" si="40"/>
        <v>n/a</v>
      </c>
      <c r="J223" s="5"/>
      <c r="K223" s="5"/>
      <c r="L223" s="5"/>
      <c r="M223" s="5"/>
      <c r="N223" s="5"/>
      <c r="O223" s="8" t="str">
        <f t="shared" si="38"/>
        <v>n/a</v>
      </c>
      <c r="Q223" s="5"/>
      <c r="R223" s="5"/>
      <c r="S223" s="5"/>
      <c r="U223" s="6"/>
      <c r="V223" s="9" t="str">
        <f t="shared" si="41"/>
        <v/>
      </c>
      <c r="W223" s="9" t="str">
        <f t="shared" si="42"/>
        <v/>
      </c>
      <c r="X223" s="10">
        <f>SUM(V$13:V223)/COUNTA(B$13:B223)</f>
        <v>0</v>
      </c>
      <c r="Z223" s="5"/>
      <c r="AA223" s="5"/>
      <c r="AC223" s="7"/>
      <c r="AE223" s="54" t="e">
        <f t="shared" si="43"/>
        <v>#N/A</v>
      </c>
      <c r="AF223" s="4" t="e">
        <f t="shared" si="39"/>
        <v>#N/A</v>
      </c>
    </row>
    <row r="224" spans="2:32">
      <c r="B224" s="5">
        <f t="shared" si="44"/>
        <v>212</v>
      </c>
      <c r="C224" s="5"/>
      <c r="E224" s="13"/>
      <c r="F224" s="5"/>
      <c r="G224" s="11" t="str">
        <f>IF(ISERROR(AVERAGE(F$13:F224)),"n/a",AVERAGE(F$13:F224))</f>
        <v>n/a</v>
      </c>
      <c r="H224" s="11" t="str">
        <f t="shared" si="40"/>
        <v>n/a</v>
      </c>
      <c r="J224" s="5"/>
      <c r="K224" s="5"/>
      <c r="L224" s="5"/>
      <c r="M224" s="5"/>
      <c r="N224" s="5"/>
      <c r="O224" s="8" t="str">
        <f t="shared" si="38"/>
        <v>n/a</v>
      </c>
      <c r="Q224" s="5"/>
      <c r="R224" s="5"/>
      <c r="S224" s="5"/>
      <c r="U224" s="6"/>
      <c r="V224" s="9" t="str">
        <f t="shared" si="41"/>
        <v/>
      </c>
      <c r="W224" s="9" t="str">
        <f t="shared" si="42"/>
        <v/>
      </c>
      <c r="X224" s="10">
        <f>SUM(V$13:V224)/COUNTA(B$13:B224)</f>
        <v>0</v>
      </c>
      <c r="Z224" s="5"/>
      <c r="AA224" s="5"/>
      <c r="AC224" s="7"/>
      <c r="AE224" s="54" t="e">
        <f t="shared" si="43"/>
        <v>#N/A</v>
      </c>
      <c r="AF224" s="4" t="e">
        <f t="shared" si="39"/>
        <v>#N/A</v>
      </c>
    </row>
    <row r="225" spans="2:32">
      <c r="B225" s="5">
        <f t="shared" si="44"/>
        <v>213</v>
      </c>
      <c r="C225" s="5"/>
      <c r="E225" s="13"/>
      <c r="F225" s="5"/>
      <c r="G225" s="11" t="str">
        <f>IF(ISERROR(AVERAGE(F$13:F225)),"n/a",AVERAGE(F$13:F225))</f>
        <v>n/a</v>
      </c>
      <c r="H225" s="11" t="str">
        <f t="shared" si="40"/>
        <v>n/a</v>
      </c>
      <c r="J225" s="5"/>
      <c r="K225" s="5"/>
      <c r="L225" s="5"/>
      <c r="M225" s="5"/>
      <c r="N225" s="5"/>
      <c r="O225" s="8" t="str">
        <f t="shared" si="38"/>
        <v>n/a</v>
      </c>
      <c r="Q225" s="5"/>
      <c r="R225" s="5"/>
      <c r="S225" s="5"/>
      <c r="U225" s="6"/>
      <c r="V225" s="9" t="str">
        <f t="shared" si="41"/>
        <v/>
      </c>
      <c r="W225" s="9" t="str">
        <f t="shared" si="42"/>
        <v/>
      </c>
      <c r="X225" s="10">
        <f>SUM(V$13:V225)/COUNTA(B$13:B225)</f>
        <v>0</v>
      </c>
      <c r="Z225" s="5"/>
      <c r="AA225" s="5"/>
      <c r="AC225" s="7"/>
      <c r="AE225" s="54" t="e">
        <f t="shared" si="43"/>
        <v>#N/A</v>
      </c>
      <c r="AF225" s="4" t="e">
        <f t="shared" si="39"/>
        <v>#N/A</v>
      </c>
    </row>
    <row r="226" spans="2:32">
      <c r="B226" s="5">
        <f t="shared" si="44"/>
        <v>214</v>
      </c>
      <c r="C226" s="5"/>
      <c r="E226" s="13"/>
      <c r="F226" s="5"/>
      <c r="G226" s="11" t="str">
        <f>IF(ISERROR(AVERAGE(F$13:F226)),"n/a",AVERAGE(F$13:F226))</f>
        <v>n/a</v>
      </c>
      <c r="H226" s="11" t="str">
        <f t="shared" si="40"/>
        <v>n/a</v>
      </c>
      <c r="J226" s="5"/>
      <c r="K226" s="5"/>
      <c r="L226" s="5"/>
      <c r="M226" s="5"/>
      <c r="N226" s="5"/>
      <c r="O226" s="8" t="str">
        <f t="shared" si="38"/>
        <v>n/a</v>
      </c>
      <c r="Q226" s="5"/>
      <c r="R226" s="5"/>
      <c r="S226" s="5"/>
      <c r="U226" s="6"/>
      <c r="V226" s="9" t="str">
        <f t="shared" si="41"/>
        <v/>
      </c>
      <c r="W226" s="9" t="str">
        <f t="shared" si="42"/>
        <v/>
      </c>
      <c r="X226" s="10">
        <f>SUM(V$13:V226)/COUNTA(B$13:B226)</f>
        <v>0</v>
      </c>
      <c r="Z226" s="5"/>
      <c r="AA226" s="5"/>
      <c r="AC226" s="7"/>
      <c r="AE226" s="54" t="e">
        <f t="shared" si="43"/>
        <v>#N/A</v>
      </c>
      <c r="AF226" s="4" t="e">
        <f t="shared" si="39"/>
        <v>#N/A</v>
      </c>
    </row>
    <row r="227" spans="2:32">
      <c r="B227" s="5">
        <f t="shared" si="44"/>
        <v>215</v>
      </c>
      <c r="C227" s="5"/>
      <c r="E227" s="13"/>
      <c r="F227" s="5"/>
      <c r="G227" s="11" t="str">
        <f>IF(ISERROR(AVERAGE(F$13:F227)),"n/a",AVERAGE(F$13:F227))</f>
        <v>n/a</v>
      </c>
      <c r="H227" s="11" t="str">
        <f t="shared" si="40"/>
        <v>n/a</v>
      </c>
      <c r="J227" s="5"/>
      <c r="K227" s="5"/>
      <c r="L227" s="5"/>
      <c r="M227" s="5"/>
      <c r="N227" s="5"/>
      <c r="O227" s="8" t="str">
        <f t="shared" si="38"/>
        <v>n/a</v>
      </c>
      <c r="Q227" s="5"/>
      <c r="R227" s="5"/>
      <c r="S227" s="5"/>
      <c r="U227" s="6"/>
      <c r="V227" s="9" t="str">
        <f t="shared" si="41"/>
        <v/>
      </c>
      <c r="W227" s="9" t="str">
        <f t="shared" si="42"/>
        <v/>
      </c>
      <c r="X227" s="10">
        <f>SUM(V$13:V227)/COUNTA(B$13:B227)</f>
        <v>0</v>
      </c>
      <c r="Z227" s="5"/>
      <c r="AA227" s="5"/>
      <c r="AC227" s="7"/>
      <c r="AE227" s="54" t="e">
        <f t="shared" si="43"/>
        <v>#N/A</v>
      </c>
      <c r="AF227" s="4" t="e">
        <f t="shared" si="39"/>
        <v>#N/A</v>
      </c>
    </row>
    <row r="228" spans="2:32">
      <c r="B228" s="5">
        <f t="shared" si="44"/>
        <v>216</v>
      </c>
      <c r="C228" s="5"/>
      <c r="E228" s="13"/>
      <c r="F228" s="5"/>
      <c r="G228" s="11" t="str">
        <f>IF(ISERROR(AVERAGE(F$13:F228)),"n/a",AVERAGE(F$13:F228))</f>
        <v>n/a</v>
      </c>
      <c r="H228" s="11" t="str">
        <f t="shared" si="40"/>
        <v>n/a</v>
      </c>
      <c r="J228" s="5"/>
      <c r="K228" s="5"/>
      <c r="L228" s="5"/>
      <c r="M228" s="5"/>
      <c r="N228" s="5"/>
      <c r="O228" s="8" t="str">
        <f t="shared" si="38"/>
        <v>n/a</v>
      </c>
      <c r="Q228" s="5"/>
      <c r="R228" s="5"/>
      <c r="S228" s="5"/>
      <c r="U228" s="6"/>
      <c r="V228" s="9" t="str">
        <f t="shared" si="41"/>
        <v/>
      </c>
      <c r="W228" s="9" t="str">
        <f t="shared" si="42"/>
        <v/>
      </c>
      <c r="X228" s="10">
        <f>SUM(V$13:V228)/COUNTA(B$13:B228)</f>
        <v>0</v>
      </c>
      <c r="Z228" s="5"/>
      <c r="AA228" s="5"/>
      <c r="AC228" s="7"/>
      <c r="AE228" s="54" t="e">
        <f t="shared" si="43"/>
        <v>#N/A</v>
      </c>
      <c r="AF228" s="4" t="e">
        <f t="shared" si="39"/>
        <v>#N/A</v>
      </c>
    </row>
    <row r="229" spans="2:32">
      <c r="B229" s="5">
        <f t="shared" si="44"/>
        <v>217</v>
      </c>
      <c r="C229" s="5"/>
      <c r="E229" s="13"/>
      <c r="F229" s="5"/>
      <c r="G229" s="11" t="str">
        <f>IF(ISERROR(AVERAGE(F$13:F229)),"n/a",AVERAGE(F$13:F229))</f>
        <v>n/a</v>
      </c>
      <c r="H229" s="11" t="str">
        <f t="shared" si="40"/>
        <v>n/a</v>
      </c>
      <c r="J229" s="5"/>
      <c r="K229" s="5"/>
      <c r="L229" s="5"/>
      <c r="M229" s="5"/>
      <c r="N229" s="5"/>
      <c r="O229" s="8" t="str">
        <f t="shared" si="38"/>
        <v>n/a</v>
      </c>
      <c r="Q229" s="5"/>
      <c r="R229" s="5"/>
      <c r="S229" s="5"/>
      <c r="U229" s="6"/>
      <c r="V229" s="9" t="str">
        <f t="shared" si="41"/>
        <v/>
      </c>
      <c r="W229" s="9" t="str">
        <f t="shared" si="42"/>
        <v/>
      </c>
      <c r="X229" s="10">
        <f>SUM(V$13:V229)/COUNTA(B$13:B229)</f>
        <v>0</v>
      </c>
      <c r="Z229" s="5"/>
      <c r="AA229" s="5"/>
      <c r="AC229" s="7"/>
      <c r="AE229" s="54" t="e">
        <f t="shared" si="43"/>
        <v>#N/A</v>
      </c>
      <c r="AF229" s="4" t="e">
        <f t="shared" si="39"/>
        <v>#N/A</v>
      </c>
    </row>
    <row r="230" spans="2:32">
      <c r="B230" s="5">
        <f t="shared" si="44"/>
        <v>218</v>
      </c>
      <c r="C230" s="5"/>
      <c r="E230" s="13"/>
      <c r="F230" s="5"/>
      <c r="G230" s="11" t="str">
        <f>IF(ISERROR(AVERAGE(F$13:F230)),"n/a",AVERAGE(F$13:F230))</f>
        <v>n/a</v>
      </c>
      <c r="H230" s="11" t="str">
        <f t="shared" si="40"/>
        <v>n/a</v>
      </c>
      <c r="J230" s="5"/>
      <c r="K230" s="5"/>
      <c r="L230" s="5"/>
      <c r="M230" s="5"/>
      <c r="N230" s="5"/>
      <c r="O230" s="8" t="str">
        <f t="shared" si="38"/>
        <v>n/a</v>
      </c>
      <c r="Q230" s="5"/>
      <c r="R230" s="5"/>
      <c r="S230" s="5"/>
      <c r="U230" s="6"/>
      <c r="V230" s="9" t="str">
        <f t="shared" si="41"/>
        <v/>
      </c>
      <c r="W230" s="9" t="str">
        <f t="shared" si="42"/>
        <v/>
      </c>
      <c r="X230" s="10">
        <f>SUM(V$13:V230)/COUNTA(B$13:B230)</f>
        <v>0</v>
      </c>
      <c r="Z230" s="5"/>
      <c r="AA230" s="5"/>
      <c r="AC230" s="7"/>
      <c r="AE230" s="54" t="e">
        <f t="shared" si="43"/>
        <v>#N/A</v>
      </c>
      <c r="AF230" s="4" t="e">
        <f t="shared" si="39"/>
        <v>#N/A</v>
      </c>
    </row>
    <row r="231" spans="2:32">
      <c r="B231" s="5">
        <f t="shared" si="44"/>
        <v>219</v>
      </c>
      <c r="C231" s="5"/>
      <c r="E231" s="13"/>
      <c r="F231" s="5"/>
      <c r="G231" s="11" t="str">
        <f>IF(ISERROR(AVERAGE(F$13:F231)),"n/a",AVERAGE(F$13:F231))</f>
        <v>n/a</v>
      </c>
      <c r="H231" s="11" t="str">
        <f t="shared" si="40"/>
        <v>n/a</v>
      </c>
      <c r="J231" s="5"/>
      <c r="K231" s="5"/>
      <c r="L231" s="5"/>
      <c r="M231" s="5"/>
      <c r="N231" s="5"/>
      <c r="O231" s="8" t="str">
        <f t="shared" si="38"/>
        <v>n/a</v>
      </c>
      <c r="Q231" s="5"/>
      <c r="R231" s="5"/>
      <c r="S231" s="5"/>
      <c r="U231" s="6"/>
      <c r="V231" s="9" t="str">
        <f t="shared" si="41"/>
        <v/>
      </c>
      <c r="W231" s="9" t="str">
        <f t="shared" si="42"/>
        <v/>
      </c>
      <c r="X231" s="10">
        <f>SUM(V$13:V231)/COUNTA(B$13:B231)</f>
        <v>0</v>
      </c>
      <c r="Z231" s="5"/>
      <c r="AA231" s="5"/>
      <c r="AC231" s="7"/>
      <c r="AE231" s="54" t="e">
        <f t="shared" si="43"/>
        <v>#N/A</v>
      </c>
      <c r="AF231" s="4" t="e">
        <f t="shared" si="39"/>
        <v>#N/A</v>
      </c>
    </row>
    <row r="232" spans="2:32">
      <c r="B232" s="5">
        <f t="shared" si="44"/>
        <v>220</v>
      </c>
      <c r="C232" s="5"/>
      <c r="E232" s="13"/>
      <c r="F232" s="5"/>
      <c r="G232" s="11" t="str">
        <f>IF(ISERROR(AVERAGE(F$13:F232)),"n/a",AVERAGE(F$13:F232))</f>
        <v>n/a</v>
      </c>
      <c r="H232" s="11" t="str">
        <f t="shared" si="40"/>
        <v>n/a</v>
      </c>
      <c r="J232" s="5"/>
      <c r="K232" s="5"/>
      <c r="L232" s="5"/>
      <c r="M232" s="5"/>
      <c r="N232" s="5"/>
      <c r="O232" s="8" t="str">
        <f t="shared" si="38"/>
        <v>n/a</v>
      </c>
      <c r="Q232" s="5"/>
      <c r="R232" s="5"/>
      <c r="S232" s="5"/>
      <c r="U232" s="6"/>
      <c r="V232" s="9" t="str">
        <f t="shared" si="41"/>
        <v/>
      </c>
      <c r="W232" s="9" t="str">
        <f t="shared" si="42"/>
        <v/>
      </c>
      <c r="X232" s="10">
        <f>SUM(V$13:V232)/COUNTA(B$13:B232)</f>
        <v>0</v>
      </c>
      <c r="Z232" s="5"/>
      <c r="AA232" s="5"/>
      <c r="AC232" s="7"/>
      <c r="AE232" s="54" t="e">
        <f t="shared" si="43"/>
        <v>#N/A</v>
      </c>
      <c r="AF232" s="4" t="e">
        <f t="shared" si="39"/>
        <v>#N/A</v>
      </c>
    </row>
    <row r="233" spans="2:32">
      <c r="B233" s="5">
        <f t="shared" si="44"/>
        <v>221</v>
      </c>
      <c r="C233" s="5"/>
      <c r="E233" s="13"/>
      <c r="F233" s="5"/>
      <c r="G233" s="11" t="str">
        <f>IF(ISERROR(AVERAGE(F$13:F233)),"n/a",AVERAGE(F$13:F233))</f>
        <v>n/a</v>
      </c>
      <c r="H233" s="11" t="str">
        <f t="shared" si="40"/>
        <v>n/a</v>
      </c>
      <c r="J233" s="5"/>
      <c r="K233" s="5"/>
      <c r="L233" s="5"/>
      <c r="M233" s="5"/>
      <c r="N233" s="5"/>
      <c r="O233" s="8" t="str">
        <f t="shared" si="38"/>
        <v>n/a</v>
      </c>
      <c r="Q233" s="5"/>
      <c r="R233" s="5"/>
      <c r="S233" s="5"/>
      <c r="U233" s="6"/>
      <c r="V233" s="9" t="str">
        <f t="shared" si="41"/>
        <v/>
      </c>
      <c r="W233" s="9" t="str">
        <f t="shared" si="42"/>
        <v/>
      </c>
      <c r="X233" s="10">
        <f>SUM(V$13:V233)/COUNTA(B$13:B233)</f>
        <v>0</v>
      </c>
      <c r="Z233" s="5"/>
      <c r="AA233" s="5"/>
      <c r="AC233" s="7"/>
      <c r="AE233" s="54" t="e">
        <f t="shared" si="43"/>
        <v>#N/A</v>
      </c>
      <c r="AF233" s="4" t="e">
        <f t="shared" si="39"/>
        <v>#N/A</v>
      </c>
    </row>
    <row r="234" spans="2:32">
      <c r="B234" s="5">
        <f t="shared" si="44"/>
        <v>222</v>
      </c>
      <c r="C234" s="5"/>
      <c r="E234" s="13"/>
      <c r="F234" s="5"/>
      <c r="G234" s="11" t="str">
        <f>IF(ISERROR(AVERAGE(F$13:F234)),"n/a",AVERAGE(F$13:F234))</f>
        <v>n/a</v>
      </c>
      <c r="H234" s="11" t="str">
        <f t="shared" si="40"/>
        <v>n/a</v>
      </c>
      <c r="J234" s="5"/>
      <c r="K234" s="5"/>
      <c r="L234" s="5"/>
      <c r="M234" s="5"/>
      <c r="N234" s="5"/>
      <c r="O234" s="8" t="str">
        <f t="shared" si="38"/>
        <v>n/a</v>
      </c>
      <c r="Q234" s="5"/>
      <c r="R234" s="5"/>
      <c r="S234" s="5"/>
      <c r="U234" s="6"/>
      <c r="V234" s="9" t="str">
        <f t="shared" si="41"/>
        <v/>
      </c>
      <c r="W234" s="9" t="str">
        <f t="shared" si="42"/>
        <v/>
      </c>
      <c r="X234" s="10">
        <f>SUM(V$13:V234)/COUNTA(B$13:B234)</f>
        <v>0</v>
      </c>
      <c r="Z234" s="5"/>
      <c r="AA234" s="5"/>
      <c r="AC234" s="7"/>
      <c r="AE234" s="54" t="e">
        <f t="shared" si="43"/>
        <v>#N/A</v>
      </c>
      <c r="AF234" s="4" t="e">
        <f t="shared" si="39"/>
        <v>#N/A</v>
      </c>
    </row>
    <row r="235" spans="2:32">
      <c r="B235" s="5">
        <f t="shared" si="44"/>
        <v>223</v>
      </c>
      <c r="C235" s="5"/>
      <c r="E235" s="13"/>
      <c r="F235" s="5"/>
      <c r="G235" s="11" t="str">
        <f>IF(ISERROR(AVERAGE(F$13:F235)),"n/a",AVERAGE(F$13:F235))</f>
        <v>n/a</v>
      </c>
      <c r="H235" s="11" t="str">
        <f t="shared" si="40"/>
        <v>n/a</v>
      </c>
      <c r="J235" s="5"/>
      <c r="K235" s="5"/>
      <c r="L235" s="5"/>
      <c r="M235" s="5"/>
      <c r="N235" s="5"/>
      <c r="O235" s="8" t="str">
        <f t="shared" si="38"/>
        <v>n/a</v>
      </c>
      <c r="Q235" s="5"/>
      <c r="R235" s="5"/>
      <c r="S235" s="5"/>
      <c r="U235" s="6"/>
      <c r="V235" s="9" t="str">
        <f t="shared" si="41"/>
        <v/>
      </c>
      <c r="W235" s="9" t="str">
        <f t="shared" si="42"/>
        <v/>
      </c>
      <c r="X235" s="10">
        <f>SUM(V$13:V235)/COUNTA(B$13:B235)</f>
        <v>0</v>
      </c>
      <c r="Z235" s="5"/>
      <c r="AA235" s="5"/>
      <c r="AC235" s="7"/>
      <c r="AE235" s="54" t="e">
        <f t="shared" si="43"/>
        <v>#N/A</v>
      </c>
      <c r="AF235" s="4" t="e">
        <f t="shared" si="39"/>
        <v>#N/A</v>
      </c>
    </row>
    <row r="236" spans="2:32">
      <c r="B236" s="5">
        <f t="shared" si="44"/>
        <v>224</v>
      </c>
      <c r="C236" s="5"/>
      <c r="E236" s="13"/>
      <c r="F236" s="5"/>
      <c r="G236" s="11" t="str">
        <f>IF(ISERROR(AVERAGE(F$13:F236)),"n/a",AVERAGE(F$13:F236))</f>
        <v>n/a</v>
      </c>
      <c r="H236" s="11" t="str">
        <f t="shared" si="40"/>
        <v>n/a</v>
      </c>
      <c r="J236" s="5"/>
      <c r="K236" s="5"/>
      <c r="L236" s="5"/>
      <c r="M236" s="5"/>
      <c r="N236" s="5"/>
      <c r="O236" s="8" t="str">
        <f t="shared" si="38"/>
        <v>n/a</v>
      </c>
      <c r="Q236" s="5"/>
      <c r="R236" s="5"/>
      <c r="S236" s="5"/>
      <c r="U236" s="6"/>
      <c r="V236" s="9" t="str">
        <f t="shared" si="41"/>
        <v/>
      </c>
      <c r="W236" s="9" t="str">
        <f t="shared" si="42"/>
        <v/>
      </c>
      <c r="X236" s="10">
        <f>SUM(V$13:V236)/COUNTA(B$13:B236)</f>
        <v>0</v>
      </c>
      <c r="Z236" s="5"/>
      <c r="AA236" s="5"/>
      <c r="AC236" s="7"/>
      <c r="AE236" s="54" t="e">
        <f t="shared" si="43"/>
        <v>#N/A</v>
      </c>
      <c r="AF236" s="4" t="e">
        <f t="shared" si="39"/>
        <v>#N/A</v>
      </c>
    </row>
    <row r="237" spans="2:32">
      <c r="B237" s="5">
        <f t="shared" si="44"/>
        <v>225</v>
      </c>
      <c r="C237" s="5"/>
      <c r="E237" s="13"/>
      <c r="F237" s="5"/>
      <c r="G237" s="11" t="str">
        <f>IF(ISERROR(AVERAGE(F$13:F237)),"n/a",AVERAGE(F$13:F237))</f>
        <v>n/a</v>
      </c>
      <c r="H237" s="11" t="str">
        <f t="shared" si="40"/>
        <v>n/a</v>
      </c>
      <c r="J237" s="5"/>
      <c r="K237" s="5"/>
      <c r="L237" s="5"/>
      <c r="M237" s="5"/>
      <c r="N237" s="5"/>
      <c r="O237" s="8" t="str">
        <f t="shared" si="38"/>
        <v>n/a</v>
      </c>
      <c r="Q237" s="5"/>
      <c r="R237" s="5"/>
      <c r="S237" s="5"/>
      <c r="U237" s="6"/>
      <c r="V237" s="9" t="str">
        <f t="shared" si="41"/>
        <v/>
      </c>
      <c r="W237" s="9" t="str">
        <f t="shared" si="42"/>
        <v/>
      </c>
      <c r="X237" s="10">
        <f>SUM(V$13:V237)/COUNTA(B$13:B237)</f>
        <v>0</v>
      </c>
      <c r="Z237" s="5"/>
      <c r="AA237" s="5"/>
      <c r="AC237" s="7"/>
      <c r="AE237" s="54" t="e">
        <f t="shared" si="43"/>
        <v>#N/A</v>
      </c>
      <c r="AF237" s="4" t="e">
        <f t="shared" si="39"/>
        <v>#N/A</v>
      </c>
    </row>
    <row r="238" spans="2:32">
      <c r="B238" s="5">
        <f t="shared" si="44"/>
        <v>226</v>
      </c>
      <c r="C238" s="5"/>
      <c r="E238" s="13"/>
      <c r="F238" s="5"/>
      <c r="G238" s="11" t="str">
        <f>IF(ISERROR(AVERAGE(F$13:F238)),"n/a",AVERAGE(F$13:F238))</f>
        <v>n/a</v>
      </c>
      <c r="H238" s="11" t="str">
        <f t="shared" si="40"/>
        <v>n/a</v>
      </c>
      <c r="J238" s="5"/>
      <c r="K238" s="5"/>
      <c r="L238" s="5"/>
      <c r="M238" s="5"/>
      <c r="N238" s="5"/>
      <c r="O238" s="8" t="str">
        <f t="shared" si="38"/>
        <v>n/a</v>
      </c>
      <c r="Q238" s="5"/>
      <c r="R238" s="5"/>
      <c r="S238" s="5"/>
      <c r="U238" s="6"/>
      <c r="V238" s="9" t="str">
        <f t="shared" si="41"/>
        <v/>
      </c>
      <c r="W238" s="9" t="str">
        <f t="shared" si="42"/>
        <v/>
      </c>
      <c r="X238" s="10">
        <f>SUM(V$13:V238)/COUNTA(B$13:B238)</f>
        <v>0</v>
      </c>
      <c r="Z238" s="5"/>
      <c r="AA238" s="5"/>
      <c r="AC238" s="7"/>
      <c r="AE238" s="54" t="e">
        <f t="shared" si="43"/>
        <v>#N/A</v>
      </c>
      <c r="AF238" s="4" t="e">
        <f t="shared" si="39"/>
        <v>#N/A</v>
      </c>
    </row>
    <row r="239" spans="2:32">
      <c r="B239" s="5">
        <f t="shared" si="44"/>
        <v>227</v>
      </c>
      <c r="C239" s="5"/>
      <c r="E239" s="13"/>
      <c r="F239" s="5"/>
      <c r="G239" s="11" t="str">
        <f>IF(ISERROR(AVERAGE(F$13:F239)),"n/a",AVERAGE(F$13:F239))</f>
        <v>n/a</v>
      </c>
      <c r="H239" s="11" t="str">
        <f t="shared" si="40"/>
        <v>n/a</v>
      </c>
      <c r="J239" s="5"/>
      <c r="K239" s="5"/>
      <c r="L239" s="5"/>
      <c r="M239" s="5"/>
      <c r="N239" s="5"/>
      <c r="O239" s="8" t="str">
        <f t="shared" si="38"/>
        <v>n/a</v>
      </c>
      <c r="Q239" s="5"/>
      <c r="R239" s="5"/>
      <c r="S239" s="5"/>
      <c r="U239" s="6"/>
      <c r="V239" s="9" t="str">
        <f t="shared" si="41"/>
        <v/>
      </c>
      <c r="W239" s="9" t="str">
        <f t="shared" si="42"/>
        <v/>
      </c>
      <c r="X239" s="10">
        <f>SUM(V$13:V239)/COUNTA(B$13:B239)</f>
        <v>0</v>
      </c>
      <c r="Z239" s="5"/>
      <c r="AA239" s="5"/>
      <c r="AC239" s="7"/>
      <c r="AE239" s="54" t="e">
        <f t="shared" si="43"/>
        <v>#N/A</v>
      </c>
      <c r="AF239" s="4" t="e">
        <f t="shared" si="39"/>
        <v>#N/A</v>
      </c>
    </row>
    <row r="240" spans="2:32">
      <c r="B240" s="5">
        <f t="shared" si="44"/>
        <v>228</v>
      </c>
      <c r="C240" s="5"/>
      <c r="E240" s="13"/>
      <c r="F240" s="5"/>
      <c r="G240" s="11" t="str">
        <f>IF(ISERROR(AVERAGE(F$13:F240)),"n/a",AVERAGE(F$13:F240))</f>
        <v>n/a</v>
      </c>
      <c r="H240" s="11" t="str">
        <f t="shared" si="40"/>
        <v>n/a</v>
      </c>
      <c r="J240" s="5"/>
      <c r="K240" s="5"/>
      <c r="L240" s="5"/>
      <c r="M240" s="5"/>
      <c r="N240" s="5"/>
      <c r="O240" s="8" t="str">
        <f t="shared" si="38"/>
        <v>n/a</v>
      </c>
      <c r="Q240" s="5"/>
      <c r="R240" s="5"/>
      <c r="S240" s="5"/>
      <c r="U240" s="6"/>
      <c r="V240" s="9" t="str">
        <f t="shared" si="41"/>
        <v/>
      </c>
      <c r="W240" s="9" t="str">
        <f t="shared" si="42"/>
        <v/>
      </c>
      <c r="X240" s="10">
        <f>SUM(V$13:V240)/COUNTA(B$13:B240)</f>
        <v>0</v>
      </c>
      <c r="Z240" s="5"/>
      <c r="AA240" s="5"/>
      <c r="AC240" s="7"/>
      <c r="AE240" s="54" t="e">
        <f t="shared" si="43"/>
        <v>#N/A</v>
      </c>
      <c r="AF240" s="4" t="e">
        <f t="shared" si="39"/>
        <v>#N/A</v>
      </c>
    </row>
    <row r="241" spans="2:32">
      <c r="B241" s="5">
        <f t="shared" si="44"/>
        <v>229</v>
      </c>
      <c r="C241" s="5"/>
      <c r="E241" s="13"/>
      <c r="F241" s="5"/>
      <c r="G241" s="11" t="str">
        <f>IF(ISERROR(AVERAGE(F$13:F241)),"n/a",AVERAGE(F$13:F241))</f>
        <v>n/a</v>
      </c>
      <c r="H241" s="11" t="str">
        <f t="shared" si="40"/>
        <v>n/a</v>
      </c>
      <c r="J241" s="5"/>
      <c r="K241" s="5"/>
      <c r="L241" s="5"/>
      <c r="M241" s="5"/>
      <c r="N241" s="5"/>
      <c r="O241" s="8" t="str">
        <f t="shared" si="38"/>
        <v>n/a</v>
      </c>
      <c r="Q241" s="5"/>
      <c r="R241" s="5"/>
      <c r="S241" s="5"/>
      <c r="U241" s="6"/>
      <c r="V241" s="9" t="str">
        <f t="shared" si="41"/>
        <v/>
      </c>
      <c r="W241" s="9" t="str">
        <f t="shared" si="42"/>
        <v/>
      </c>
      <c r="X241" s="10">
        <f>SUM(V$13:V241)/COUNTA(B$13:B241)</f>
        <v>0</v>
      </c>
      <c r="Z241" s="5"/>
      <c r="AA241" s="5"/>
      <c r="AC241" s="7"/>
      <c r="AE241" s="54" t="e">
        <f t="shared" si="43"/>
        <v>#N/A</v>
      </c>
      <c r="AF241" s="4" t="e">
        <f t="shared" si="39"/>
        <v>#N/A</v>
      </c>
    </row>
    <row r="242" spans="2:32">
      <c r="B242" s="5">
        <f t="shared" si="44"/>
        <v>230</v>
      </c>
      <c r="C242" s="5"/>
      <c r="E242" s="13"/>
      <c r="F242" s="5"/>
      <c r="G242" s="11" t="str">
        <f>IF(ISERROR(AVERAGE(F$13:F242)),"n/a",AVERAGE(F$13:F242))</f>
        <v>n/a</v>
      </c>
      <c r="H242" s="11" t="str">
        <f t="shared" si="40"/>
        <v>n/a</v>
      </c>
      <c r="J242" s="5"/>
      <c r="K242" s="5"/>
      <c r="L242" s="5"/>
      <c r="M242" s="5"/>
      <c r="N242" s="5"/>
      <c r="O242" s="8" t="str">
        <f t="shared" si="38"/>
        <v>n/a</v>
      </c>
      <c r="Q242" s="5"/>
      <c r="R242" s="5"/>
      <c r="S242" s="5"/>
      <c r="U242" s="6"/>
      <c r="V242" s="9" t="str">
        <f t="shared" si="41"/>
        <v/>
      </c>
      <c r="W242" s="9" t="str">
        <f t="shared" si="42"/>
        <v/>
      </c>
      <c r="X242" s="10">
        <f>SUM(V$13:V242)/COUNTA(B$13:B242)</f>
        <v>0</v>
      </c>
      <c r="Z242" s="5"/>
      <c r="AA242" s="5"/>
      <c r="AC242" s="7"/>
      <c r="AE242" s="54" t="e">
        <f t="shared" si="43"/>
        <v>#N/A</v>
      </c>
      <c r="AF242" s="4" t="e">
        <f t="shared" si="39"/>
        <v>#N/A</v>
      </c>
    </row>
    <row r="243" spans="2:32">
      <c r="B243" s="5">
        <f t="shared" si="44"/>
        <v>231</v>
      </c>
      <c r="C243" s="5"/>
      <c r="E243" s="13"/>
      <c r="F243" s="5"/>
      <c r="G243" s="11" t="str">
        <f>IF(ISERROR(AVERAGE(F$13:F243)),"n/a",AVERAGE(F$13:F243))</f>
        <v>n/a</v>
      </c>
      <c r="H243" s="11" t="str">
        <f t="shared" si="40"/>
        <v>n/a</v>
      </c>
      <c r="J243" s="5"/>
      <c r="K243" s="5"/>
      <c r="L243" s="5"/>
      <c r="M243" s="5"/>
      <c r="N243" s="5"/>
      <c r="O243" s="8" t="str">
        <f t="shared" si="38"/>
        <v>n/a</v>
      </c>
      <c r="Q243" s="5"/>
      <c r="R243" s="5"/>
      <c r="S243" s="5"/>
      <c r="U243" s="6"/>
      <c r="V243" s="9" t="str">
        <f t="shared" si="41"/>
        <v/>
      </c>
      <c r="W243" s="9" t="str">
        <f t="shared" si="42"/>
        <v/>
      </c>
      <c r="X243" s="10">
        <f>SUM(V$13:V243)/COUNTA(B$13:B243)</f>
        <v>0</v>
      </c>
      <c r="Z243" s="5"/>
      <c r="AA243" s="5"/>
      <c r="AC243" s="7"/>
      <c r="AE243" s="54" t="e">
        <f t="shared" si="43"/>
        <v>#N/A</v>
      </c>
      <c r="AF243" s="4" t="e">
        <f t="shared" si="39"/>
        <v>#N/A</v>
      </c>
    </row>
    <row r="244" spans="2:32">
      <c r="B244" s="5">
        <f t="shared" si="44"/>
        <v>232</v>
      </c>
      <c r="C244" s="5"/>
      <c r="E244" s="13"/>
      <c r="F244" s="5"/>
      <c r="G244" s="11" t="str">
        <f>IF(ISERROR(AVERAGE(F$13:F244)),"n/a",AVERAGE(F$13:F244))</f>
        <v>n/a</v>
      </c>
      <c r="H244" s="11" t="str">
        <f t="shared" si="40"/>
        <v>n/a</v>
      </c>
      <c r="J244" s="5"/>
      <c r="K244" s="5"/>
      <c r="L244" s="5"/>
      <c r="M244" s="5"/>
      <c r="N244" s="5"/>
      <c r="O244" s="8" t="str">
        <f t="shared" si="38"/>
        <v>n/a</v>
      </c>
      <c r="Q244" s="5"/>
      <c r="R244" s="5"/>
      <c r="S244" s="5"/>
      <c r="U244" s="6"/>
      <c r="V244" s="9" t="str">
        <f t="shared" si="41"/>
        <v/>
      </c>
      <c r="W244" s="9" t="str">
        <f t="shared" si="42"/>
        <v/>
      </c>
      <c r="X244" s="10">
        <f>SUM(V$13:V244)/COUNTA(B$13:B244)</f>
        <v>0</v>
      </c>
      <c r="Z244" s="5"/>
      <c r="AA244" s="5"/>
      <c r="AC244" s="7"/>
      <c r="AE244" s="54" t="e">
        <f t="shared" si="43"/>
        <v>#N/A</v>
      </c>
      <c r="AF244" s="4" t="e">
        <f t="shared" si="39"/>
        <v>#N/A</v>
      </c>
    </row>
    <row r="245" spans="2:32">
      <c r="B245" s="5">
        <f t="shared" si="44"/>
        <v>233</v>
      </c>
      <c r="C245" s="5"/>
      <c r="E245" s="13"/>
      <c r="F245" s="5"/>
      <c r="G245" s="11" t="str">
        <f>IF(ISERROR(AVERAGE(F$13:F245)),"n/a",AVERAGE(F$13:F245))</f>
        <v>n/a</v>
      </c>
      <c r="H245" s="11" t="str">
        <f t="shared" si="40"/>
        <v>n/a</v>
      </c>
      <c r="J245" s="5"/>
      <c r="K245" s="5"/>
      <c r="L245" s="5"/>
      <c r="M245" s="5"/>
      <c r="N245" s="5"/>
      <c r="O245" s="8" t="str">
        <f t="shared" si="38"/>
        <v>n/a</v>
      </c>
      <c r="Q245" s="5"/>
      <c r="R245" s="5"/>
      <c r="S245" s="5"/>
      <c r="U245" s="6"/>
      <c r="V245" s="9" t="str">
        <f t="shared" si="41"/>
        <v/>
      </c>
      <c r="W245" s="9" t="str">
        <f t="shared" si="42"/>
        <v/>
      </c>
      <c r="X245" s="10">
        <f>SUM(V$13:V245)/COUNTA(B$13:B245)</f>
        <v>0</v>
      </c>
      <c r="Z245" s="5"/>
      <c r="AA245" s="5"/>
      <c r="AC245" s="7"/>
      <c r="AE245" s="54" t="e">
        <f t="shared" si="43"/>
        <v>#N/A</v>
      </c>
      <c r="AF245" s="4" t="e">
        <f t="shared" si="39"/>
        <v>#N/A</v>
      </c>
    </row>
    <row r="246" spans="2:32">
      <c r="B246" s="5">
        <f t="shared" si="44"/>
        <v>234</v>
      </c>
      <c r="C246" s="5"/>
      <c r="E246" s="13"/>
      <c r="F246" s="5"/>
      <c r="G246" s="11" t="str">
        <f>IF(ISERROR(AVERAGE(F$13:F246)),"n/a",AVERAGE(F$13:F246))</f>
        <v>n/a</v>
      </c>
      <c r="H246" s="11" t="str">
        <f t="shared" si="40"/>
        <v>n/a</v>
      </c>
      <c r="J246" s="5"/>
      <c r="K246" s="5"/>
      <c r="L246" s="5"/>
      <c r="M246" s="5"/>
      <c r="N246" s="5"/>
      <c r="O246" s="8" t="str">
        <f t="shared" si="38"/>
        <v>n/a</v>
      </c>
      <c r="Q246" s="5"/>
      <c r="R246" s="5"/>
      <c r="S246" s="5"/>
      <c r="U246" s="6"/>
      <c r="V246" s="9" t="str">
        <f t="shared" si="41"/>
        <v/>
      </c>
      <c r="W246" s="9" t="str">
        <f t="shared" si="42"/>
        <v/>
      </c>
      <c r="X246" s="10">
        <f>SUM(V$13:V246)/COUNTA(B$13:B246)</f>
        <v>0</v>
      </c>
      <c r="Z246" s="5"/>
      <c r="AA246" s="5"/>
      <c r="AC246" s="7"/>
      <c r="AE246" s="54" t="e">
        <f t="shared" si="43"/>
        <v>#N/A</v>
      </c>
      <c r="AF246" s="4" t="e">
        <f t="shared" si="39"/>
        <v>#N/A</v>
      </c>
    </row>
    <row r="247" spans="2:32">
      <c r="B247" s="5">
        <f t="shared" si="44"/>
        <v>235</v>
      </c>
      <c r="C247" s="5"/>
      <c r="E247" s="13"/>
      <c r="F247" s="5"/>
      <c r="G247" s="11" t="str">
        <f>IF(ISERROR(AVERAGE(F$13:F247)),"n/a",AVERAGE(F$13:F247))</f>
        <v>n/a</v>
      </c>
      <c r="H247" s="11" t="str">
        <f t="shared" si="40"/>
        <v>n/a</v>
      </c>
      <c r="J247" s="5"/>
      <c r="K247" s="5"/>
      <c r="L247" s="5"/>
      <c r="M247" s="5"/>
      <c r="N247" s="5"/>
      <c r="O247" s="8" t="str">
        <f t="shared" si="38"/>
        <v>n/a</v>
      </c>
      <c r="Q247" s="5"/>
      <c r="R247" s="5"/>
      <c r="S247" s="5"/>
      <c r="U247" s="6"/>
      <c r="V247" s="9" t="str">
        <f t="shared" si="41"/>
        <v/>
      </c>
      <c r="W247" s="9" t="str">
        <f t="shared" si="42"/>
        <v/>
      </c>
      <c r="X247" s="10">
        <f>SUM(V$13:V247)/COUNTA(B$13:B247)</f>
        <v>0</v>
      </c>
      <c r="Z247" s="5"/>
      <c r="AA247" s="5"/>
      <c r="AC247" s="7"/>
      <c r="AE247" s="54" t="e">
        <f t="shared" si="43"/>
        <v>#N/A</v>
      </c>
      <c r="AF247" s="4" t="e">
        <f t="shared" si="39"/>
        <v>#N/A</v>
      </c>
    </row>
    <row r="248" spans="2:32">
      <c r="B248" s="5">
        <f t="shared" si="44"/>
        <v>236</v>
      </c>
      <c r="C248" s="5"/>
      <c r="E248" s="13"/>
      <c r="F248" s="5"/>
      <c r="G248" s="11" t="str">
        <f>IF(ISERROR(AVERAGE(F$13:F248)),"n/a",AVERAGE(F$13:F248))</f>
        <v>n/a</v>
      </c>
      <c r="H248" s="11" t="str">
        <f t="shared" si="40"/>
        <v>n/a</v>
      </c>
      <c r="J248" s="5"/>
      <c r="K248" s="5"/>
      <c r="L248" s="5"/>
      <c r="M248" s="5"/>
      <c r="N248" s="5"/>
      <c r="O248" s="8" t="str">
        <f t="shared" si="38"/>
        <v>n/a</v>
      </c>
      <c r="Q248" s="5"/>
      <c r="R248" s="5"/>
      <c r="S248" s="5"/>
      <c r="U248" s="6"/>
      <c r="V248" s="9" t="str">
        <f t="shared" si="41"/>
        <v/>
      </c>
      <c r="W248" s="9" t="str">
        <f t="shared" si="42"/>
        <v/>
      </c>
      <c r="X248" s="10">
        <f>SUM(V$13:V248)/COUNTA(B$13:B248)</f>
        <v>0</v>
      </c>
      <c r="Z248" s="5"/>
      <c r="AA248" s="5"/>
      <c r="AC248" s="7"/>
      <c r="AE248" s="54" t="e">
        <f t="shared" si="43"/>
        <v>#N/A</v>
      </c>
      <c r="AF248" s="4" t="e">
        <f t="shared" si="39"/>
        <v>#N/A</v>
      </c>
    </row>
    <row r="249" spans="2:32">
      <c r="B249" s="5">
        <f t="shared" si="44"/>
        <v>237</v>
      </c>
      <c r="C249" s="5"/>
      <c r="E249" s="13"/>
      <c r="F249" s="5"/>
      <c r="G249" s="11" t="str">
        <f>IF(ISERROR(AVERAGE(F$13:F249)),"n/a",AVERAGE(F$13:F249))</f>
        <v>n/a</v>
      </c>
      <c r="H249" s="11" t="str">
        <f t="shared" si="40"/>
        <v>n/a</v>
      </c>
      <c r="J249" s="5"/>
      <c r="K249" s="5"/>
      <c r="L249" s="5"/>
      <c r="M249" s="5"/>
      <c r="N249" s="5"/>
      <c r="O249" s="8" t="str">
        <f t="shared" si="38"/>
        <v>n/a</v>
      </c>
      <c r="Q249" s="5"/>
      <c r="R249" s="5"/>
      <c r="S249" s="5"/>
      <c r="U249" s="6"/>
      <c r="V249" s="9" t="str">
        <f t="shared" si="41"/>
        <v/>
      </c>
      <c r="W249" s="9" t="str">
        <f t="shared" si="42"/>
        <v/>
      </c>
      <c r="X249" s="10">
        <f>SUM(V$13:V249)/COUNTA(B$13:B249)</f>
        <v>0</v>
      </c>
      <c r="Z249" s="5"/>
      <c r="AA249" s="5"/>
      <c r="AC249" s="7"/>
      <c r="AE249" s="54" t="e">
        <f t="shared" si="43"/>
        <v>#N/A</v>
      </c>
      <c r="AF249" s="4" t="e">
        <f t="shared" si="39"/>
        <v>#N/A</v>
      </c>
    </row>
    <row r="250" spans="2:32">
      <c r="B250" s="5">
        <f t="shared" si="44"/>
        <v>238</v>
      </c>
      <c r="C250" s="5"/>
      <c r="E250" s="13"/>
      <c r="F250" s="5"/>
      <c r="G250" s="11" t="str">
        <f>IF(ISERROR(AVERAGE(F$13:F250)),"n/a",AVERAGE(F$13:F250))</f>
        <v>n/a</v>
      </c>
      <c r="H250" s="11" t="str">
        <f t="shared" si="40"/>
        <v>n/a</v>
      </c>
      <c r="J250" s="5"/>
      <c r="K250" s="5"/>
      <c r="L250" s="5"/>
      <c r="M250" s="5"/>
      <c r="N250" s="5"/>
      <c r="O250" s="8" t="str">
        <f t="shared" si="38"/>
        <v>n/a</v>
      </c>
      <c r="Q250" s="5"/>
      <c r="R250" s="5"/>
      <c r="S250" s="5"/>
      <c r="U250" s="6"/>
      <c r="V250" s="9" t="str">
        <f t="shared" si="41"/>
        <v/>
      </c>
      <c r="W250" s="9" t="str">
        <f t="shared" si="42"/>
        <v/>
      </c>
      <c r="X250" s="10">
        <f>SUM(V$13:V250)/COUNTA(B$13:B250)</f>
        <v>0</v>
      </c>
      <c r="Z250" s="5"/>
      <c r="AA250" s="5"/>
      <c r="AC250" s="7"/>
      <c r="AE250" s="54" t="e">
        <f t="shared" si="43"/>
        <v>#N/A</v>
      </c>
      <c r="AF250" s="4" t="e">
        <f t="shared" si="39"/>
        <v>#N/A</v>
      </c>
    </row>
    <row r="251" spans="2:32">
      <c r="B251" s="5">
        <f t="shared" si="44"/>
        <v>239</v>
      </c>
      <c r="C251" s="5"/>
      <c r="E251" s="13"/>
      <c r="F251" s="5"/>
      <c r="G251" s="11" t="str">
        <f>IF(ISERROR(AVERAGE(F$13:F251)),"n/a",AVERAGE(F$13:F251))</f>
        <v>n/a</v>
      </c>
      <c r="H251" s="11" t="str">
        <f t="shared" si="40"/>
        <v>n/a</v>
      </c>
      <c r="J251" s="5"/>
      <c r="K251" s="5"/>
      <c r="L251" s="5"/>
      <c r="M251" s="5"/>
      <c r="N251" s="5"/>
      <c r="O251" s="8" t="str">
        <f t="shared" si="38"/>
        <v>n/a</v>
      </c>
      <c r="Q251" s="5"/>
      <c r="R251" s="5"/>
      <c r="S251" s="5"/>
      <c r="U251" s="6"/>
      <c r="V251" s="9" t="str">
        <f t="shared" si="41"/>
        <v/>
      </c>
      <c r="W251" s="9" t="str">
        <f t="shared" si="42"/>
        <v/>
      </c>
      <c r="X251" s="10">
        <f>SUM(V$13:V251)/COUNTA(B$13:B251)</f>
        <v>0</v>
      </c>
      <c r="Z251" s="5"/>
      <c r="AA251" s="5"/>
      <c r="AC251" s="7"/>
      <c r="AE251" s="54" t="e">
        <f t="shared" si="43"/>
        <v>#N/A</v>
      </c>
      <c r="AF251" s="4" t="e">
        <f t="shared" si="39"/>
        <v>#N/A</v>
      </c>
    </row>
    <row r="252" spans="2:32">
      <c r="B252" s="5">
        <f t="shared" si="44"/>
        <v>240</v>
      </c>
      <c r="C252" s="5"/>
      <c r="E252" s="13"/>
      <c r="F252" s="5"/>
      <c r="G252" s="11" t="str">
        <f>IF(ISERROR(AVERAGE(F$13:F252)),"n/a",AVERAGE(F$13:F252))</f>
        <v>n/a</v>
      </c>
      <c r="H252" s="11" t="str">
        <f t="shared" si="40"/>
        <v>n/a</v>
      </c>
      <c r="J252" s="5"/>
      <c r="K252" s="5"/>
      <c r="L252" s="5"/>
      <c r="M252" s="5"/>
      <c r="N252" s="5"/>
      <c r="O252" s="8" t="str">
        <f t="shared" si="38"/>
        <v>n/a</v>
      </c>
      <c r="Q252" s="5"/>
      <c r="R252" s="5"/>
      <c r="S252" s="5"/>
      <c r="U252" s="6"/>
      <c r="V252" s="9" t="str">
        <f t="shared" si="41"/>
        <v/>
      </c>
      <c r="W252" s="9" t="str">
        <f t="shared" si="42"/>
        <v/>
      </c>
      <c r="X252" s="10">
        <f>SUM(V$13:V252)/COUNTA(B$13:B252)</f>
        <v>0</v>
      </c>
      <c r="Z252" s="5"/>
      <c r="AA252" s="5"/>
      <c r="AC252" s="7"/>
      <c r="AE252" s="54" t="e">
        <f t="shared" si="43"/>
        <v>#N/A</v>
      </c>
      <c r="AF252" s="4" t="e">
        <f t="shared" si="39"/>
        <v>#N/A</v>
      </c>
    </row>
    <row r="253" spans="2:32">
      <c r="B253" s="5">
        <f t="shared" si="44"/>
        <v>241</v>
      </c>
      <c r="C253" s="5"/>
      <c r="E253" s="13"/>
      <c r="F253" s="5"/>
      <c r="G253" s="11" t="str">
        <f>IF(ISERROR(AVERAGE(F$13:F253)),"n/a",AVERAGE(F$13:F253))</f>
        <v>n/a</v>
      </c>
      <c r="H253" s="11" t="str">
        <f t="shared" si="40"/>
        <v>n/a</v>
      </c>
      <c r="J253" s="5"/>
      <c r="K253" s="5"/>
      <c r="L253" s="5"/>
      <c r="M253" s="5"/>
      <c r="N253" s="5"/>
      <c r="O253" s="8" t="str">
        <f t="shared" si="38"/>
        <v>n/a</v>
      </c>
      <c r="Q253" s="5"/>
      <c r="R253" s="5"/>
      <c r="S253" s="5"/>
      <c r="U253" s="6"/>
      <c r="V253" s="9" t="str">
        <f t="shared" si="41"/>
        <v/>
      </c>
      <c r="W253" s="9" t="str">
        <f t="shared" si="42"/>
        <v/>
      </c>
      <c r="X253" s="10">
        <f>SUM(V$13:V253)/COUNTA(B$13:B253)</f>
        <v>0</v>
      </c>
      <c r="Z253" s="5"/>
      <c r="AA253" s="5"/>
      <c r="AC253" s="7"/>
      <c r="AE253" s="54" t="e">
        <f t="shared" si="43"/>
        <v>#N/A</v>
      </c>
      <c r="AF253" s="4" t="e">
        <f t="shared" si="39"/>
        <v>#N/A</v>
      </c>
    </row>
    <row r="254" spans="2:32">
      <c r="B254" s="5">
        <f t="shared" si="44"/>
        <v>242</v>
      </c>
      <c r="C254" s="5"/>
      <c r="E254" s="13"/>
      <c r="F254" s="5"/>
      <c r="G254" s="11" t="str">
        <f>IF(ISERROR(AVERAGE(F$13:F254)),"n/a",AVERAGE(F$13:F254))</f>
        <v>n/a</v>
      </c>
      <c r="H254" s="11" t="str">
        <f t="shared" si="40"/>
        <v>n/a</v>
      </c>
      <c r="J254" s="5"/>
      <c r="K254" s="5"/>
      <c r="L254" s="5"/>
      <c r="M254" s="5"/>
      <c r="N254" s="5"/>
      <c r="O254" s="8" t="str">
        <f t="shared" si="38"/>
        <v>n/a</v>
      </c>
      <c r="Q254" s="5"/>
      <c r="R254" s="5"/>
      <c r="S254" s="5"/>
      <c r="U254" s="6"/>
      <c r="V254" s="9" t="str">
        <f t="shared" si="41"/>
        <v/>
      </c>
      <c r="W254" s="9" t="str">
        <f t="shared" si="42"/>
        <v/>
      </c>
      <c r="X254" s="10">
        <f>SUM(V$13:V254)/COUNTA(B$13:B254)</f>
        <v>0</v>
      </c>
      <c r="Z254" s="5"/>
      <c r="AA254" s="5"/>
      <c r="AC254" s="7"/>
      <c r="AE254" s="54" t="e">
        <f t="shared" si="43"/>
        <v>#N/A</v>
      </c>
      <c r="AF254" s="4" t="e">
        <f t="shared" si="39"/>
        <v>#N/A</v>
      </c>
    </row>
    <row r="255" spans="2:32">
      <c r="B255" s="5">
        <f t="shared" si="44"/>
        <v>243</v>
      </c>
      <c r="C255" s="5"/>
      <c r="E255" s="13"/>
      <c r="F255" s="5"/>
      <c r="G255" s="11" t="str">
        <f>IF(ISERROR(AVERAGE(F$13:F255)),"n/a",AVERAGE(F$13:F255))</f>
        <v>n/a</v>
      </c>
      <c r="H255" s="11" t="str">
        <f t="shared" si="40"/>
        <v>n/a</v>
      </c>
      <c r="J255" s="5"/>
      <c r="K255" s="5"/>
      <c r="L255" s="5"/>
      <c r="M255" s="5"/>
      <c r="N255" s="5"/>
      <c r="O255" s="8" t="str">
        <f t="shared" si="38"/>
        <v>n/a</v>
      </c>
      <c r="Q255" s="5"/>
      <c r="R255" s="5"/>
      <c r="S255" s="5"/>
      <c r="U255" s="6"/>
      <c r="V255" s="9" t="str">
        <f t="shared" si="41"/>
        <v/>
      </c>
      <c r="W255" s="9" t="str">
        <f t="shared" si="42"/>
        <v/>
      </c>
      <c r="X255" s="10">
        <f>SUM(V$13:V255)/COUNTA(B$13:B255)</f>
        <v>0</v>
      </c>
      <c r="Z255" s="5"/>
      <c r="AA255" s="5"/>
      <c r="AC255" s="7"/>
      <c r="AE255" s="54" t="e">
        <f t="shared" si="43"/>
        <v>#N/A</v>
      </c>
      <c r="AF255" s="4" t="e">
        <f t="shared" si="39"/>
        <v>#N/A</v>
      </c>
    </row>
    <row r="256" spans="2:32">
      <c r="B256" s="5">
        <f t="shared" si="44"/>
        <v>244</v>
      </c>
      <c r="C256" s="5"/>
      <c r="E256" s="13"/>
      <c r="F256" s="5"/>
      <c r="G256" s="11" t="str">
        <f>IF(ISERROR(AVERAGE(F$13:F256)),"n/a",AVERAGE(F$13:F256))</f>
        <v>n/a</v>
      </c>
      <c r="H256" s="11" t="str">
        <f t="shared" si="40"/>
        <v>n/a</v>
      </c>
      <c r="J256" s="5"/>
      <c r="K256" s="5"/>
      <c r="L256" s="5"/>
      <c r="M256" s="5"/>
      <c r="N256" s="5"/>
      <c r="O256" s="8" t="str">
        <f t="shared" si="38"/>
        <v>n/a</v>
      </c>
      <c r="Q256" s="5"/>
      <c r="R256" s="5"/>
      <c r="S256" s="5"/>
      <c r="U256" s="6"/>
      <c r="V256" s="9" t="str">
        <f t="shared" si="41"/>
        <v/>
      </c>
      <c r="W256" s="9" t="str">
        <f t="shared" si="42"/>
        <v/>
      </c>
      <c r="X256" s="10">
        <f>SUM(V$13:V256)/COUNTA(B$13:B256)</f>
        <v>0</v>
      </c>
      <c r="Z256" s="5"/>
      <c r="AA256" s="5"/>
      <c r="AC256" s="7"/>
      <c r="AE256" s="54" t="e">
        <f t="shared" si="43"/>
        <v>#N/A</v>
      </c>
      <c r="AF256" s="4" t="e">
        <f t="shared" si="39"/>
        <v>#N/A</v>
      </c>
    </row>
    <row r="257" spans="2:32">
      <c r="B257" s="5">
        <f t="shared" si="44"/>
        <v>245</v>
      </c>
      <c r="C257" s="5"/>
      <c r="E257" s="13"/>
      <c r="F257" s="5"/>
      <c r="G257" s="11" t="str">
        <f>IF(ISERROR(AVERAGE(F$13:F257)),"n/a",AVERAGE(F$13:F257))</f>
        <v>n/a</v>
      </c>
      <c r="H257" s="11" t="str">
        <f t="shared" si="40"/>
        <v>n/a</v>
      </c>
      <c r="J257" s="5"/>
      <c r="K257" s="5"/>
      <c r="L257" s="5"/>
      <c r="M257" s="5"/>
      <c r="N257" s="5"/>
      <c r="O257" s="8" t="str">
        <f t="shared" si="38"/>
        <v>n/a</v>
      </c>
      <c r="Q257" s="5"/>
      <c r="R257" s="5"/>
      <c r="S257" s="5"/>
      <c r="U257" s="6"/>
      <c r="V257" s="9" t="str">
        <f t="shared" si="41"/>
        <v/>
      </c>
      <c r="W257" s="9" t="str">
        <f t="shared" si="42"/>
        <v/>
      </c>
      <c r="X257" s="10">
        <f>SUM(V$13:V257)/COUNTA(B$13:B257)</f>
        <v>0</v>
      </c>
      <c r="Z257" s="5"/>
      <c r="AA257" s="5"/>
      <c r="AC257" s="7"/>
      <c r="AE257" s="54" t="e">
        <f t="shared" si="43"/>
        <v>#N/A</v>
      </c>
      <c r="AF257" s="4" t="e">
        <f t="shared" si="39"/>
        <v>#N/A</v>
      </c>
    </row>
    <row r="258" spans="2:32">
      <c r="B258" s="5">
        <f t="shared" si="44"/>
        <v>246</v>
      </c>
      <c r="C258" s="5"/>
      <c r="E258" s="13"/>
      <c r="F258" s="5"/>
      <c r="G258" s="11" t="str">
        <f>IF(ISERROR(AVERAGE(F$13:F258)),"n/a",AVERAGE(F$13:F258))</f>
        <v>n/a</v>
      </c>
      <c r="H258" s="11" t="str">
        <f t="shared" si="40"/>
        <v>n/a</v>
      </c>
      <c r="J258" s="5"/>
      <c r="K258" s="5"/>
      <c r="L258" s="5"/>
      <c r="M258" s="5"/>
      <c r="N258" s="5"/>
      <c r="O258" s="8" t="str">
        <f t="shared" si="38"/>
        <v>n/a</v>
      </c>
      <c r="Q258" s="5"/>
      <c r="R258" s="5"/>
      <c r="S258" s="5"/>
      <c r="U258" s="6"/>
      <c r="V258" s="9" t="str">
        <f t="shared" si="41"/>
        <v/>
      </c>
      <c r="W258" s="9" t="str">
        <f t="shared" si="42"/>
        <v/>
      </c>
      <c r="X258" s="10">
        <f>SUM(V$13:V258)/COUNTA(B$13:B258)</f>
        <v>0</v>
      </c>
      <c r="Z258" s="5"/>
      <c r="AA258" s="5"/>
      <c r="AC258" s="7"/>
      <c r="AE258" s="54" t="e">
        <f t="shared" si="43"/>
        <v>#N/A</v>
      </c>
      <c r="AF258" s="4" t="e">
        <f t="shared" si="39"/>
        <v>#N/A</v>
      </c>
    </row>
    <row r="259" spans="2:32">
      <c r="B259" s="5">
        <f t="shared" si="44"/>
        <v>247</v>
      </c>
      <c r="C259" s="5"/>
      <c r="E259" s="13"/>
      <c r="F259" s="5"/>
      <c r="G259" s="11" t="str">
        <f>IF(ISERROR(AVERAGE(F$13:F259)),"n/a",AVERAGE(F$13:F259))</f>
        <v>n/a</v>
      </c>
      <c r="H259" s="11" t="str">
        <f t="shared" si="40"/>
        <v>n/a</v>
      </c>
      <c r="J259" s="5"/>
      <c r="K259" s="5"/>
      <c r="L259" s="5"/>
      <c r="M259" s="5"/>
      <c r="N259" s="5"/>
      <c r="O259" s="8" t="str">
        <f t="shared" si="38"/>
        <v>n/a</v>
      </c>
      <c r="Q259" s="5"/>
      <c r="R259" s="5"/>
      <c r="S259" s="5"/>
      <c r="U259" s="6"/>
      <c r="V259" s="9" t="str">
        <f t="shared" si="41"/>
        <v/>
      </c>
      <c r="W259" s="9" t="str">
        <f t="shared" si="42"/>
        <v/>
      </c>
      <c r="X259" s="10">
        <f>SUM(V$13:V259)/COUNTA(B$13:B259)</f>
        <v>0</v>
      </c>
      <c r="Z259" s="5"/>
      <c r="AA259" s="5"/>
      <c r="AC259" s="7"/>
      <c r="AE259" s="54" t="e">
        <f t="shared" si="43"/>
        <v>#N/A</v>
      </c>
      <c r="AF259" s="4" t="e">
        <f t="shared" si="39"/>
        <v>#N/A</v>
      </c>
    </row>
    <row r="260" spans="2:32">
      <c r="B260" s="5">
        <f t="shared" si="44"/>
        <v>248</v>
      </c>
      <c r="C260" s="5"/>
      <c r="E260" s="13"/>
      <c r="F260" s="5"/>
      <c r="G260" s="11" t="str">
        <f>IF(ISERROR(AVERAGE(F$13:F260)),"n/a",AVERAGE(F$13:F260))</f>
        <v>n/a</v>
      </c>
      <c r="H260" s="11" t="str">
        <f t="shared" si="40"/>
        <v>n/a</v>
      </c>
      <c r="J260" s="5"/>
      <c r="K260" s="5"/>
      <c r="L260" s="5"/>
      <c r="M260" s="5"/>
      <c r="N260" s="5"/>
      <c r="O260" s="8" t="str">
        <f t="shared" si="38"/>
        <v>n/a</v>
      </c>
      <c r="Q260" s="5"/>
      <c r="R260" s="5"/>
      <c r="S260" s="5"/>
      <c r="U260" s="6"/>
      <c r="V260" s="9" t="str">
        <f t="shared" si="41"/>
        <v/>
      </c>
      <c r="W260" s="9" t="str">
        <f t="shared" si="42"/>
        <v/>
      </c>
      <c r="X260" s="10">
        <f>SUM(V$13:V260)/COUNTA(B$13:B260)</f>
        <v>0</v>
      </c>
      <c r="Z260" s="5"/>
      <c r="AA260" s="5"/>
      <c r="AC260" s="7"/>
      <c r="AE260" s="54" t="e">
        <f t="shared" si="43"/>
        <v>#N/A</v>
      </c>
      <c r="AF260" s="4" t="e">
        <f t="shared" si="39"/>
        <v>#N/A</v>
      </c>
    </row>
    <row r="261" spans="2:32">
      <c r="B261" s="5">
        <f t="shared" si="44"/>
        <v>249</v>
      </c>
      <c r="C261" s="5"/>
      <c r="E261" s="13"/>
      <c r="F261" s="5"/>
      <c r="G261" s="11" t="str">
        <f>IF(ISERROR(AVERAGE(F$13:F261)),"n/a",AVERAGE(F$13:F261))</f>
        <v>n/a</v>
      </c>
      <c r="H261" s="11" t="str">
        <f t="shared" si="40"/>
        <v>n/a</v>
      </c>
      <c r="J261" s="5"/>
      <c r="K261" s="5"/>
      <c r="L261" s="5"/>
      <c r="M261" s="5"/>
      <c r="N261" s="5"/>
      <c r="O261" s="8" t="str">
        <f t="shared" si="38"/>
        <v>n/a</v>
      </c>
      <c r="Q261" s="5"/>
      <c r="R261" s="5"/>
      <c r="S261" s="5"/>
      <c r="U261" s="6"/>
      <c r="V261" s="9" t="str">
        <f t="shared" si="41"/>
        <v/>
      </c>
      <c r="W261" s="9" t="str">
        <f t="shared" si="42"/>
        <v/>
      </c>
      <c r="X261" s="10">
        <f>SUM(V$13:V261)/COUNTA(B$13:B261)</f>
        <v>0</v>
      </c>
      <c r="Z261" s="5"/>
      <c r="AA261" s="5"/>
      <c r="AC261" s="7"/>
      <c r="AE261" s="54" t="e">
        <f t="shared" si="43"/>
        <v>#N/A</v>
      </c>
      <c r="AF261" s="4" t="e">
        <f t="shared" si="39"/>
        <v>#N/A</v>
      </c>
    </row>
    <row r="262" spans="2:32">
      <c r="B262" s="5">
        <f t="shared" si="44"/>
        <v>250</v>
      </c>
      <c r="C262" s="5"/>
      <c r="E262" s="13"/>
      <c r="F262" s="5"/>
      <c r="G262" s="11" t="str">
        <f>IF(ISERROR(AVERAGE(F$13:F262)),"n/a",AVERAGE(F$13:F262))</f>
        <v>n/a</v>
      </c>
      <c r="H262" s="11" t="str">
        <f t="shared" si="40"/>
        <v>n/a</v>
      </c>
      <c r="J262" s="5"/>
      <c r="K262" s="5"/>
      <c r="L262" s="5"/>
      <c r="M262" s="5"/>
      <c r="N262" s="5"/>
      <c r="O262" s="8" t="str">
        <f t="shared" si="38"/>
        <v>n/a</v>
      </c>
      <c r="Q262" s="5"/>
      <c r="R262" s="5"/>
      <c r="S262" s="5"/>
      <c r="U262" s="6"/>
      <c r="V262" s="9" t="str">
        <f t="shared" si="41"/>
        <v/>
      </c>
      <c r="W262" s="9" t="str">
        <f t="shared" si="42"/>
        <v/>
      </c>
      <c r="X262" s="10">
        <f>SUM(V$13:V262)/COUNTA(B$13:B262)</f>
        <v>0</v>
      </c>
      <c r="Z262" s="5"/>
      <c r="AA262" s="5"/>
      <c r="AC262" s="7"/>
      <c r="AE262" s="54" t="e">
        <f t="shared" si="43"/>
        <v>#N/A</v>
      </c>
      <c r="AF262" s="4" t="e">
        <f t="shared" si="39"/>
        <v>#N/A</v>
      </c>
    </row>
    <row r="263" spans="2:32">
      <c r="B263" s="5">
        <f t="shared" si="44"/>
        <v>251</v>
      </c>
      <c r="C263" s="5"/>
      <c r="E263" s="13"/>
      <c r="F263" s="5"/>
      <c r="G263" s="11" t="str">
        <f>IF(ISERROR(AVERAGE(F$13:F263)),"n/a",AVERAGE(F$13:F263))</f>
        <v>n/a</v>
      </c>
      <c r="H263" s="11" t="str">
        <f t="shared" si="40"/>
        <v>n/a</v>
      </c>
      <c r="J263" s="5"/>
      <c r="K263" s="5"/>
      <c r="L263" s="5"/>
      <c r="M263" s="5"/>
      <c r="N263" s="5"/>
      <c r="O263" s="8" t="str">
        <f t="shared" si="38"/>
        <v>n/a</v>
      </c>
      <c r="Q263" s="5"/>
      <c r="R263" s="5"/>
      <c r="S263" s="5"/>
      <c r="U263" s="6"/>
      <c r="V263" s="9" t="str">
        <f t="shared" si="41"/>
        <v/>
      </c>
      <c r="W263" s="9" t="str">
        <f t="shared" si="42"/>
        <v/>
      </c>
      <c r="X263" s="10">
        <f>SUM(V$13:V263)/COUNTA(B$13:B263)</f>
        <v>0</v>
      </c>
      <c r="Z263" s="5"/>
      <c r="AA263" s="5"/>
      <c r="AC263" s="7"/>
      <c r="AE263" s="54" t="e">
        <f t="shared" si="43"/>
        <v>#N/A</v>
      </c>
      <c r="AF263" s="4" t="e">
        <f t="shared" si="39"/>
        <v>#N/A</v>
      </c>
    </row>
    <row r="264" spans="2:32">
      <c r="B264" s="5">
        <f t="shared" si="44"/>
        <v>252</v>
      </c>
      <c r="C264" s="5"/>
      <c r="E264" s="13"/>
      <c r="F264" s="5"/>
      <c r="G264" s="11" t="str">
        <f>IF(ISERROR(AVERAGE(F$13:F264)),"n/a",AVERAGE(F$13:F264))</f>
        <v>n/a</v>
      </c>
      <c r="H264" s="11" t="str">
        <f t="shared" si="40"/>
        <v>n/a</v>
      </c>
      <c r="J264" s="5"/>
      <c r="K264" s="5"/>
      <c r="L264" s="5"/>
      <c r="M264" s="5"/>
      <c r="N264" s="5"/>
      <c r="O264" s="8" t="str">
        <f t="shared" si="38"/>
        <v>n/a</v>
      </c>
      <c r="Q264" s="5"/>
      <c r="R264" s="5"/>
      <c r="S264" s="5"/>
      <c r="U264" s="6"/>
      <c r="V264" s="9" t="str">
        <f t="shared" si="41"/>
        <v/>
      </c>
      <c r="W264" s="9" t="str">
        <f t="shared" si="42"/>
        <v/>
      </c>
      <c r="X264" s="10">
        <f>SUM(V$13:V264)/COUNTA(B$13:B264)</f>
        <v>0</v>
      </c>
      <c r="Z264" s="5"/>
      <c r="AA264" s="5"/>
      <c r="AC264" s="7"/>
      <c r="AE264" s="54" t="e">
        <f t="shared" si="43"/>
        <v>#N/A</v>
      </c>
      <c r="AF264" s="4" t="e">
        <f t="shared" si="39"/>
        <v>#N/A</v>
      </c>
    </row>
    <row r="265" spans="2:32">
      <c r="B265" s="5">
        <f t="shared" si="44"/>
        <v>253</v>
      </c>
      <c r="C265" s="5"/>
      <c r="E265" s="13"/>
      <c r="F265" s="5"/>
      <c r="G265" s="11" t="str">
        <f>IF(ISERROR(AVERAGE(F$13:F265)),"n/a",AVERAGE(F$13:F265))</f>
        <v>n/a</v>
      </c>
      <c r="H265" s="11" t="str">
        <f t="shared" si="40"/>
        <v>n/a</v>
      </c>
      <c r="J265" s="5"/>
      <c r="K265" s="5"/>
      <c r="L265" s="5"/>
      <c r="M265" s="5"/>
      <c r="N265" s="5"/>
      <c r="O265" s="8" t="str">
        <f t="shared" si="38"/>
        <v>n/a</v>
      </c>
      <c r="Q265" s="5"/>
      <c r="R265" s="5"/>
      <c r="S265" s="5"/>
      <c r="U265" s="6"/>
      <c r="V265" s="9" t="str">
        <f t="shared" si="41"/>
        <v/>
      </c>
      <c r="W265" s="9" t="str">
        <f t="shared" si="42"/>
        <v/>
      </c>
      <c r="X265" s="10">
        <f>SUM(V$13:V265)/COUNTA(B$13:B265)</f>
        <v>0</v>
      </c>
      <c r="Z265" s="5"/>
      <c r="AA265" s="5"/>
      <c r="AC265" s="7"/>
      <c r="AE265" s="54" t="e">
        <f t="shared" si="43"/>
        <v>#N/A</v>
      </c>
      <c r="AF265" s="4" t="e">
        <f t="shared" si="39"/>
        <v>#N/A</v>
      </c>
    </row>
    <row r="266" spans="2:32">
      <c r="B266" s="5">
        <f t="shared" si="44"/>
        <v>254</v>
      </c>
      <c r="C266" s="5"/>
      <c r="E266" s="13"/>
      <c r="F266" s="5"/>
      <c r="G266" s="11" t="str">
        <f>IF(ISERROR(AVERAGE(F$13:F266)),"n/a",AVERAGE(F$13:F266))</f>
        <v>n/a</v>
      </c>
      <c r="H266" s="11" t="str">
        <f t="shared" si="40"/>
        <v>n/a</v>
      </c>
      <c r="J266" s="5"/>
      <c r="K266" s="5"/>
      <c r="L266" s="5"/>
      <c r="M266" s="5"/>
      <c r="N266" s="5"/>
      <c r="O266" s="8" t="str">
        <f t="shared" si="38"/>
        <v>n/a</v>
      </c>
      <c r="Q266" s="5"/>
      <c r="R266" s="5"/>
      <c r="S266" s="5"/>
      <c r="U266" s="6"/>
      <c r="V266" s="9" t="str">
        <f t="shared" si="41"/>
        <v/>
      </c>
      <c r="W266" s="9" t="str">
        <f t="shared" si="42"/>
        <v/>
      </c>
      <c r="X266" s="10">
        <f>SUM(V$13:V266)/COUNTA(B$13:B266)</f>
        <v>0</v>
      </c>
      <c r="Z266" s="5"/>
      <c r="AA266" s="5"/>
      <c r="AC266" s="7"/>
      <c r="AE266" s="54" t="e">
        <f t="shared" si="43"/>
        <v>#N/A</v>
      </c>
      <c r="AF266" s="4" t="e">
        <f t="shared" si="39"/>
        <v>#N/A</v>
      </c>
    </row>
    <row r="267" spans="2:32">
      <c r="B267" s="5">
        <f t="shared" si="44"/>
        <v>255</v>
      </c>
      <c r="C267" s="5"/>
      <c r="E267" s="13"/>
      <c r="F267" s="5"/>
      <c r="G267" s="11" t="str">
        <f>IF(ISERROR(AVERAGE(F$13:F267)),"n/a",AVERAGE(F$13:F267))</f>
        <v>n/a</v>
      </c>
      <c r="H267" s="11" t="str">
        <f t="shared" si="40"/>
        <v>n/a</v>
      </c>
      <c r="J267" s="5"/>
      <c r="K267" s="5"/>
      <c r="L267" s="5"/>
      <c r="M267" s="5"/>
      <c r="N267" s="5"/>
      <c r="O267" s="8" t="str">
        <f t="shared" si="38"/>
        <v>n/a</v>
      </c>
      <c r="Q267" s="5"/>
      <c r="R267" s="5"/>
      <c r="S267" s="5"/>
      <c r="U267" s="6"/>
      <c r="V267" s="9" t="str">
        <f t="shared" si="41"/>
        <v/>
      </c>
      <c r="W267" s="9" t="str">
        <f t="shared" si="42"/>
        <v/>
      </c>
      <c r="X267" s="10">
        <f>SUM(V$13:V267)/COUNTA(B$13:B267)</f>
        <v>0</v>
      </c>
      <c r="Z267" s="5"/>
      <c r="AA267" s="5"/>
      <c r="AC267" s="7"/>
      <c r="AE267" s="54" t="e">
        <f t="shared" si="43"/>
        <v>#N/A</v>
      </c>
      <c r="AF267" s="4" t="e">
        <f t="shared" si="39"/>
        <v>#N/A</v>
      </c>
    </row>
    <row r="268" spans="2:32">
      <c r="B268" s="5">
        <f t="shared" si="44"/>
        <v>256</v>
      </c>
      <c r="C268" s="5"/>
      <c r="E268" s="13"/>
      <c r="F268" s="5"/>
      <c r="G268" s="11" t="str">
        <f>IF(ISERROR(AVERAGE(F$13:F268)),"n/a",AVERAGE(F$13:F268))</f>
        <v>n/a</v>
      </c>
      <c r="H268" s="11" t="str">
        <f t="shared" si="40"/>
        <v>n/a</v>
      </c>
      <c r="J268" s="5"/>
      <c r="K268" s="5"/>
      <c r="L268" s="5"/>
      <c r="M268" s="5"/>
      <c r="N268" s="5"/>
      <c r="O268" s="8" t="str">
        <f t="shared" si="38"/>
        <v>n/a</v>
      </c>
      <c r="Q268" s="5"/>
      <c r="R268" s="5"/>
      <c r="S268" s="5"/>
      <c r="U268" s="6"/>
      <c r="V268" s="9" t="str">
        <f t="shared" si="41"/>
        <v/>
      </c>
      <c r="W268" s="9" t="str">
        <f t="shared" si="42"/>
        <v/>
      </c>
      <c r="X268" s="10">
        <f>SUM(V$13:V268)/COUNTA(B$13:B268)</f>
        <v>0</v>
      </c>
      <c r="Z268" s="5"/>
      <c r="AA268" s="5"/>
      <c r="AC268" s="7"/>
      <c r="AE268" s="54" t="e">
        <f t="shared" si="43"/>
        <v>#N/A</v>
      </c>
      <c r="AF268" s="4" t="e">
        <f t="shared" si="39"/>
        <v>#N/A</v>
      </c>
    </row>
    <row r="269" spans="2:32">
      <c r="B269" s="5">
        <f t="shared" si="44"/>
        <v>257</v>
      </c>
      <c r="C269" s="5"/>
      <c r="E269" s="13"/>
      <c r="F269" s="5"/>
      <c r="G269" s="11" t="str">
        <f>IF(ISERROR(AVERAGE(F$13:F269)),"n/a",AVERAGE(F$13:F269))</f>
        <v>n/a</v>
      </c>
      <c r="H269" s="11" t="str">
        <f t="shared" si="40"/>
        <v>n/a</v>
      </c>
      <c r="J269" s="5"/>
      <c r="K269" s="5"/>
      <c r="L269" s="5"/>
      <c r="M269" s="5"/>
      <c r="N269" s="5"/>
      <c r="O269" s="8" t="str">
        <f t="shared" ref="O269:O332" si="45">IF(J269=1,"A",IF(K269=1,"B",IF(L269=1,"C",IF(M269=1,"D",IF(N269=1,"E","n/a")))))</f>
        <v>n/a</v>
      </c>
      <c r="Q269" s="5"/>
      <c r="R269" s="5"/>
      <c r="S269" s="5"/>
      <c r="U269" s="6"/>
      <c r="V269" s="9" t="str">
        <f t="shared" si="41"/>
        <v/>
      </c>
      <c r="W269" s="9" t="str">
        <f t="shared" si="42"/>
        <v/>
      </c>
      <c r="X269" s="10">
        <f>SUM(V$13:V269)/COUNTA(B$13:B269)</f>
        <v>0</v>
      </c>
      <c r="Z269" s="5"/>
      <c r="AA269" s="5"/>
      <c r="AC269" s="7"/>
      <c r="AE269" s="54" t="e">
        <f t="shared" si="43"/>
        <v>#N/A</v>
      </c>
      <c r="AF269" s="4" t="e">
        <f t="shared" ref="AF269:AF332" si="46">HLOOKUP(C269,$K$6:$O$7,2,FALSE)</f>
        <v>#N/A</v>
      </c>
    </row>
    <row r="270" spans="2:32">
      <c r="B270" s="5">
        <f t="shared" si="44"/>
        <v>258</v>
      </c>
      <c r="C270" s="5"/>
      <c r="E270" s="13"/>
      <c r="F270" s="5"/>
      <c r="G270" s="11" t="str">
        <f>IF(ISERROR(AVERAGE(F$13:F270)),"n/a",AVERAGE(F$13:F270))</f>
        <v>n/a</v>
      </c>
      <c r="H270" s="11" t="str">
        <f t="shared" ref="H270:H333" si="47">G270</f>
        <v>n/a</v>
      </c>
      <c r="J270" s="5"/>
      <c r="K270" s="5"/>
      <c r="L270" s="5"/>
      <c r="M270" s="5"/>
      <c r="N270" s="5"/>
      <c r="O270" s="8" t="str">
        <f t="shared" si="45"/>
        <v>n/a</v>
      </c>
      <c r="Q270" s="5"/>
      <c r="R270" s="5"/>
      <c r="S270" s="5"/>
      <c r="U270" s="6"/>
      <c r="V270" s="9" t="str">
        <f t="shared" ref="V270:V333" si="48">IF(O270="n/a","",IF(O270=U270,1,""))</f>
        <v/>
      </c>
      <c r="W270" s="9" t="str">
        <f t="shared" ref="W270:W333" si="49">IF(O270="n/a","",IF(O270&lt;&gt;U270,1,""))</f>
        <v/>
      </c>
      <c r="X270" s="10">
        <f>SUM(V$13:V270)/COUNTA(B$13:B270)</f>
        <v>0</v>
      </c>
      <c r="Z270" s="5"/>
      <c r="AA270" s="5"/>
      <c r="AC270" s="7"/>
      <c r="AE270" s="54" t="e">
        <f t="shared" ref="AE270:AE333" si="50">+IF($F$4=0,0,IF(W270=1,1,IF(OR(R270*$F$8=1,S270*$F$9=1,F270&gt;=AF270),2,0)))</f>
        <v>#N/A</v>
      </c>
      <c r="AF270" s="4" t="e">
        <f t="shared" si="46"/>
        <v>#N/A</v>
      </c>
    </row>
    <row r="271" spans="2:32">
      <c r="B271" s="5">
        <f t="shared" si="44"/>
        <v>259</v>
      </c>
      <c r="C271" s="5"/>
      <c r="E271" s="13"/>
      <c r="F271" s="5"/>
      <c r="G271" s="11" t="str">
        <f>IF(ISERROR(AVERAGE(F$13:F271)),"n/a",AVERAGE(F$13:F271))</f>
        <v>n/a</v>
      </c>
      <c r="H271" s="11" t="str">
        <f t="shared" si="47"/>
        <v>n/a</v>
      </c>
      <c r="J271" s="5"/>
      <c r="K271" s="5"/>
      <c r="L271" s="5"/>
      <c r="M271" s="5"/>
      <c r="N271" s="5"/>
      <c r="O271" s="8" t="str">
        <f t="shared" si="45"/>
        <v>n/a</v>
      </c>
      <c r="Q271" s="5"/>
      <c r="R271" s="5"/>
      <c r="S271" s="5"/>
      <c r="U271" s="6"/>
      <c r="V271" s="9" t="str">
        <f t="shared" si="48"/>
        <v/>
      </c>
      <c r="W271" s="9" t="str">
        <f t="shared" si="49"/>
        <v/>
      </c>
      <c r="X271" s="10">
        <f>SUM(V$13:V271)/COUNTA(B$13:B271)</f>
        <v>0</v>
      </c>
      <c r="Z271" s="5"/>
      <c r="AA271" s="5"/>
      <c r="AC271" s="7"/>
      <c r="AE271" s="54" t="e">
        <f t="shared" si="50"/>
        <v>#N/A</v>
      </c>
      <c r="AF271" s="4" t="e">
        <f t="shared" si="46"/>
        <v>#N/A</v>
      </c>
    </row>
    <row r="272" spans="2:32">
      <c r="B272" s="5">
        <f t="shared" si="44"/>
        <v>260</v>
      </c>
      <c r="C272" s="5"/>
      <c r="E272" s="13"/>
      <c r="F272" s="5"/>
      <c r="G272" s="11" t="str">
        <f>IF(ISERROR(AVERAGE(F$13:F272)),"n/a",AVERAGE(F$13:F272))</f>
        <v>n/a</v>
      </c>
      <c r="H272" s="11" t="str">
        <f t="shared" si="47"/>
        <v>n/a</v>
      </c>
      <c r="J272" s="5"/>
      <c r="K272" s="5"/>
      <c r="L272" s="5"/>
      <c r="M272" s="5"/>
      <c r="N272" s="5"/>
      <c r="O272" s="8" t="str">
        <f t="shared" si="45"/>
        <v>n/a</v>
      </c>
      <c r="Q272" s="5"/>
      <c r="R272" s="5"/>
      <c r="S272" s="5"/>
      <c r="U272" s="6"/>
      <c r="V272" s="9" t="str">
        <f t="shared" si="48"/>
        <v/>
      </c>
      <c r="W272" s="9" t="str">
        <f t="shared" si="49"/>
        <v/>
      </c>
      <c r="X272" s="10">
        <f>SUM(V$13:V272)/COUNTA(B$13:B272)</f>
        <v>0</v>
      </c>
      <c r="Z272" s="5"/>
      <c r="AA272" s="5"/>
      <c r="AC272" s="7"/>
      <c r="AE272" s="54" t="e">
        <f t="shared" si="50"/>
        <v>#N/A</v>
      </c>
      <c r="AF272" s="4" t="e">
        <f t="shared" si="46"/>
        <v>#N/A</v>
      </c>
    </row>
    <row r="273" spans="2:32">
      <c r="B273" s="5">
        <f t="shared" si="44"/>
        <v>261</v>
      </c>
      <c r="C273" s="5"/>
      <c r="E273" s="13"/>
      <c r="F273" s="5"/>
      <c r="G273" s="11" t="str">
        <f>IF(ISERROR(AVERAGE(F$13:F273)),"n/a",AVERAGE(F$13:F273))</f>
        <v>n/a</v>
      </c>
      <c r="H273" s="11" t="str">
        <f t="shared" si="47"/>
        <v>n/a</v>
      </c>
      <c r="J273" s="5"/>
      <c r="K273" s="5"/>
      <c r="L273" s="5"/>
      <c r="M273" s="5"/>
      <c r="N273" s="5"/>
      <c r="O273" s="8" t="str">
        <f t="shared" si="45"/>
        <v>n/a</v>
      </c>
      <c r="Q273" s="5"/>
      <c r="R273" s="5"/>
      <c r="S273" s="5"/>
      <c r="U273" s="6"/>
      <c r="V273" s="9" t="str">
        <f t="shared" si="48"/>
        <v/>
      </c>
      <c r="W273" s="9" t="str">
        <f t="shared" si="49"/>
        <v/>
      </c>
      <c r="X273" s="10">
        <f>SUM(V$13:V273)/COUNTA(B$13:B273)</f>
        <v>0</v>
      </c>
      <c r="Z273" s="5"/>
      <c r="AA273" s="5"/>
      <c r="AC273" s="7"/>
      <c r="AE273" s="54" t="e">
        <f t="shared" si="50"/>
        <v>#N/A</v>
      </c>
      <c r="AF273" s="4" t="e">
        <f t="shared" si="46"/>
        <v>#N/A</v>
      </c>
    </row>
    <row r="274" spans="2:32">
      <c r="B274" s="5">
        <f t="shared" si="44"/>
        <v>262</v>
      </c>
      <c r="C274" s="5"/>
      <c r="E274" s="13"/>
      <c r="F274" s="5"/>
      <c r="G274" s="11" t="str">
        <f>IF(ISERROR(AVERAGE(F$13:F274)),"n/a",AVERAGE(F$13:F274))</f>
        <v>n/a</v>
      </c>
      <c r="H274" s="11" t="str">
        <f t="shared" si="47"/>
        <v>n/a</v>
      </c>
      <c r="J274" s="5"/>
      <c r="K274" s="5"/>
      <c r="L274" s="5"/>
      <c r="M274" s="5"/>
      <c r="N274" s="5"/>
      <c r="O274" s="8" t="str">
        <f t="shared" si="45"/>
        <v>n/a</v>
      </c>
      <c r="Q274" s="5"/>
      <c r="R274" s="5"/>
      <c r="S274" s="5"/>
      <c r="U274" s="6"/>
      <c r="V274" s="9" t="str">
        <f t="shared" si="48"/>
        <v/>
      </c>
      <c r="W274" s="9" t="str">
        <f t="shared" si="49"/>
        <v/>
      </c>
      <c r="X274" s="10">
        <f>SUM(V$13:V274)/COUNTA(B$13:B274)</f>
        <v>0</v>
      </c>
      <c r="Z274" s="5"/>
      <c r="AA274" s="5"/>
      <c r="AC274" s="7"/>
      <c r="AE274" s="54" t="e">
        <f t="shared" si="50"/>
        <v>#N/A</v>
      </c>
      <c r="AF274" s="4" t="e">
        <f t="shared" si="46"/>
        <v>#N/A</v>
      </c>
    </row>
    <row r="275" spans="2:32">
      <c r="B275" s="5">
        <f t="shared" ref="B275:B338" si="51">+B274+1</f>
        <v>263</v>
      </c>
      <c r="C275" s="5"/>
      <c r="E275" s="13"/>
      <c r="F275" s="5"/>
      <c r="G275" s="11" t="str">
        <f>IF(ISERROR(AVERAGE(F$13:F275)),"n/a",AVERAGE(F$13:F275))</f>
        <v>n/a</v>
      </c>
      <c r="H275" s="11" t="str">
        <f t="shared" si="47"/>
        <v>n/a</v>
      </c>
      <c r="J275" s="5"/>
      <c r="K275" s="5"/>
      <c r="L275" s="5"/>
      <c r="M275" s="5"/>
      <c r="N275" s="5"/>
      <c r="O275" s="8" t="str">
        <f t="shared" si="45"/>
        <v>n/a</v>
      </c>
      <c r="Q275" s="5"/>
      <c r="R275" s="5"/>
      <c r="S275" s="5"/>
      <c r="U275" s="6"/>
      <c r="V275" s="9" t="str">
        <f t="shared" si="48"/>
        <v/>
      </c>
      <c r="W275" s="9" t="str">
        <f t="shared" si="49"/>
        <v/>
      </c>
      <c r="X275" s="10">
        <f>SUM(V$13:V275)/COUNTA(B$13:B275)</f>
        <v>0</v>
      </c>
      <c r="Z275" s="5"/>
      <c r="AA275" s="5"/>
      <c r="AC275" s="7"/>
      <c r="AE275" s="54" t="e">
        <f t="shared" si="50"/>
        <v>#N/A</v>
      </c>
      <c r="AF275" s="4" t="e">
        <f t="shared" si="46"/>
        <v>#N/A</v>
      </c>
    </row>
    <row r="276" spans="2:32">
      <c r="B276" s="5">
        <f t="shared" si="51"/>
        <v>264</v>
      </c>
      <c r="C276" s="5"/>
      <c r="E276" s="13"/>
      <c r="F276" s="5"/>
      <c r="G276" s="11" t="str">
        <f>IF(ISERROR(AVERAGE(F$13:F276)),"n/a",AVERAGE(F$13:F276))</f>
        <v>n/a</v>
      </c>
      <c r="H276" s="11" t="str">
        <f t="shared" si="47"/>
        <v>n/a</v>
      </c>
      <c r="J276" s="5"/>
      <c r="K276" s="5"/>
      <c r="L276" s="5"/>
      <c r="M276" s="5"/>
      <c r="N276" s="5"/>
      <c r="O276" s="8" t="str">
        <f t="shared" si="45"/>
        <v>n/a</v>
      </c>
      <c r="Q276" s="5"/>
      <c r="R276" s="5"/>
      <c r="S276" s="5"/>
      <c r="U276" s="6"/>
      <c r="V276" s="9" t="str">
        <f t="shared" si="48"/>
        <v/>
      </c>
      <c r="W276" s="9" t="str">
        <f t="shared" si="49"/>
        <v/>
      </c>
      <c r="X276" s="10">
        <f>SUM(V$13:V276)/COUNTA(B$13:B276)</f>
        <v>0</v>
      </c>
      <c r="Z276" s="5"/>
      <c r="AA276" s="5"/>
      <c r="AC276" s="7"/>
      <c r="AE276" s="54" t="e">
        <f t="shared" si="50"/>
        <v>#N/A</v>
      </c>
      <c r="AF276" s="4" t="e">
        <f t="shared" si="46"/>
        <v>#N/A</v>
      </c>
    </row>
    <row r="277" spans="2:32">
      <c r="B277" s="5">
        <f t="shared" si="51"/>
        <v>265</v>
      </c>
      <c r="C277" s="5"/>
      <c r="E277" s="13"/>
      <c r="F277" s="5"/>
      <c r="G277" s="11" t="str">
        <f>IF(ISERROR(AVERAGE(F$13:F277)),"n/a",AVERAGE(F$13:F277))</f>
        <v>n/a</v>
      </c>
      <c r="H277" s="11" t="str">
        <f t="shared" si="47"/>
        <v>n/a</v>
      </c>
      <c r="J277" s="5"/>
      <c r="K277" s="5"/>
      <c r="L277" s="5"/>
      <c r="M277" s="5"/>
      <c r="N277" s="5"/>
      <c r="O277" s="8" t="str">
        <f t="shared" si="45"/>
        <v>n/a</v>
      </c>
      <c r="Q277" s="5"/>
      <c r="R277" s="5"/>
      <c r="S277" s="5"/>
      <c r="U277" s="6"/>
      <c r="V277" s="9" t="str">
        <f t="shared" si="48"/>
        <v/>
      </c>
      <c r="W277" s="9" t="str">
        <f t="shared" si="49"/>
        <v/>
      </c>
      <c r="X277" s="10">
        <f>SUM(V$13:V277)/COUNTA(B$13:B277)</f>
        <v>0</v>
      </c>
      <c r="Z277" s="5"/>
      <c r="AA277" s="5"/>
      <c r="AC277" s="7"/>
      <c r="AE277" s="54" t="e">
        <f t="shared" si="50"/>
        <v>#N/A</v>
      </c>
      <c r="AF277" s="4" t="e">
        <f t="shared" si="46"/>
        <v>#N/A</v>
      </c>
    </row>
    <row r="278" spans="2:32">
      <c r="B278" s="5">
        <f t="shared" si="51"/>
        <v>266</v>
      </c>
      <c r="C278" s="5"/>
      <c r="E278" s="13"/>
      <c r="F278" s="5"/>
      <c r="G278" s="11" t="str">
        <f>IF(ISERROR(AVERAGE(F$13:F278)),"n/a",AVERAGE(F$13:F278))</f>
        <v>n/a</v>
      </c>
      <c r="H278" s="11" t="str">
        <f t="shared" si="47"/>
        <v>n/a</v>
      </c>
      <c r="J278" s="5"/>
      <c r="K278" s="5"/>
      <c r="L278" s="5"/>
      <c r="M278" s="5"/>
      <c r="N278" s="5"/>
      <c r="O278" s="8" t="str">
        <f t="shared" si="45"/>
        <v>n/a</v>
      </c>
      <c r="Q278" s="5"/>
      <c r="R278" s="5"/>
      <c r="S278" s="5"/>
      <c r="U278" s="6"/>
      <c r="V278" s="9" t="str">
        <f t="shared" si="48"/>
        <v/>
      </c>
      <c r="W278" s="9" t="str">
        <f t="shared" si="49"/>
        <v/>
      </c>
      <c r="X278" s="10">
        <f>SUM(V$13:V278)/COUNTA(B$13:B278)</f>
        <v>0</v>
      </c>
      <c r="Z278" s="5"/>
      <c r="AA278" s="5"/>
      <c r="AC278" s="7"/>
      <c r="AE278" s="54" t="e">
        <f t="shared" si="50"/>
        <v>#N/A</v>
      </c>
      <c r="AF278" s="4" t="e">
        <f t="shared" si="46"/>
        <v>#N/A</v>
      </c>
    </row>
    <row r="279" spans="2:32">
      <c r="B279" s="5">
        <f t="shared" si="51"/>
        <v>267</v>
      </c>
      <c r="C279" s="5"/>
      <c r="E279" s="13"/>
      <c r="F279" s="5"/>
      <c r="G279" s="11" t="str">
        <f>IF(ISERROR(AVERAGE(F$13:F279)),"n/a",AVERAGE(F$13:F279))</f>
        <v>n/a</v>
      </c>
      <c r="H279" s="11" t="str">
        <f t="shared" si="47"/>
        <v>n/a</v>
      </c>
      <c r="J279" s="5"/>
      <c r="K279" s="5"/>
      <c r="L279" s="5"/>
      <c r="M279" s="5"/>
      <c r="N279" s="5"/>
      <c r="O279" s="8" t="str">
        <f t="shared" si="45"/>
        <v>n/a</v>
      </c>
      <c r="Q279" s="5"/>
      <c r="R279" s="5"/>
      <c r="S279" s="5"/>
      <c r="U279" s="6"/>
      <c r="V279" s="9" t="str">
        <f t="shared" si="48"/>
        <v/>
      </c>
      <c r="W279" s="9" t="str">
        <f t="shared" si="49"/>
        <v/>
      </c>
      <c r="X279" s="10">
        <f>SUM(V$13:V279)/COUNTA(B$13:B279)</f>
        <v>0</v>
      </c>
      <c r="Z279" s="5"/>
      <c r="AA279" s="5"/>
      <c r="AC279" s="7"/>
      <c r="AE279" s="54" t="e">
        <f t="shared" si="50"/>
        <v>#N/A</v>
      </c>
      <c r="AF279" s="4" t="e">
        <f t="shared" si="46"/>
        <v>#N/A</v>
      </c>
    </row>
    <row r="280" spans="2:32">
      <c r="B280" s="5">
        <f t="shared" si="51"/>
        <v>268</v>
      </c>
      <c r="C280" s="5"/>
      <c r="E280" s="13"/>
      <c r="F280" s="5"/>
      <c r="G280" s="11" t="str">
        <f>IF(ISERROR(AVERAGE(F$13:F280)),"n/a",AVERAGE(F$13:F280))</f>
        <v>n/a</v>
      </c>
      <c r="H280" s="11" t="str">
        <f t="shared" si="47"/>
        <v>n/a</v>
      </c>
      <c r="J280" s="5"/>
      <c r="K280" s="5"/>
      <c r="L280" s="5"/>
      <c r="M280" s="5"/>
      <c r="N280" s="5"/>
      <c r="O280" s="8" t="str">
        <f t="shared" si="45"/>
        <v>n/a</v>
      </c>
      <c r="Q280" s="5"/>
      <c r="R280" s="5"/>
      <c r="S280" s="5"/>
      <c r="U280" s="6"/>
      <c r="V280" s="9" t="str">
        <f t="shared" si="48"/>
        <v/>
      </c>
      <c r="W280" s="9" t="str">
        <f t="shared" si="49"/>
        <v/>
      </c>
      <c r="X280" s="10">
        <f>SUM(V$13:V280)/COUNTA(B$13:B280)</f>
        <v>0</v>
      </c>
      <c r="Z280" s="5"/>
      <c r="AA280" s="5"/>
      <c r="AC280" s="7"/>
      <c r="AE280" s="54" t="e">
        <f t="shared" si="50"/>
        <v>#N/A</v>
      </c>
      <c r="AF280" s="4" t="e">
        <f t="shared" si="46"/>
        <v>#N/A</v>
      </c>
    </row>
    <row r="281" spans="2:32">
      <c r="B281" s="5">
        <f t="shared" si="51"/>
        <v>269</v>
      </c>
      <c r="C281" s="5"/>
      <c r="E281" s="13"/>
      <c r="F281" s="5"/>
      <c r="G281" s="11" t="str">
        <f>IF(ISERROR(AVERAGE(F$13:F281)),"n/a",AVERAGE(F$13:F281))</f>
        <v>n/a</v>
      </c>
      <c r="H281" s="11" t="str">
        <f t="shared" si="47"/>
        <v>n/a</v>
      </c>
      <c r="J281" s="5"/>
      <c r="K281" s="5"/>
      <c r="L281" s="5"/>
      <c r="M281" s="5"/>
      <c r="N281" s="5"/>
      <c r="O281" s="8" t="str">
        <f t="shared" si="45"/>
        <v>n/a</v>
      </c>
      <c r="Q281" s="5"/>
      <c r="R281" s="5"/>
      <c r="S281" s="5"/>
      <c r="U281" s="6"/>
      <c r="V281" s="9" t="str">
        <f t="shared" si="48"/>
        <v/>
      </c>
      <c r="W281" s="9" t="str">
        <f t="shared" si="49"/>
        <v/>
      </c>
      <c r="X281" s="10">
        <f>SUM(V$13:V281)/COUNTA(B$13:B281)</f>
        <v>0</v>
      </c>
      <c r="Z281" s="5"/>
      <c r="AA281" s="5"/>
      <c r="AC281" s="7"/>
      <c r="AE281" s="54" t="e">
        <f t="shared" si="50"/>
        <v>#N/A</v>
      </c>
      <c r="AF281" s="4" t="e">
        <f t="shared" si="46"/>
        <v>#N/A</v>
      </c>
    </row>
    <row r="282" spans="2:32">
      <c r="B282" s="5">
        <f t="shared" si="51"/>
        <v>270</v>
      </c>
      <c r="C282" s="5"/>
      <c r="E282" s="13"/>
      <c r="F282" s="5"/>
      <c r="G282" s="11" t="str">
        <f>IF(ISERROR(AVERAGE(F$13:F282)),"n/a",AVERAGE(F$13:F282))</f>
        <v>n/a</v>
      </c>
      <c r="H282" s="11" t="str">
        <f t="shared" si="47"/>
        <v>n/a</v>
      </c>
      <c r="J282" s="5"/>
      <c r="K282" s="5"/>
      <c r="L282" s="5"/>
      <c r="M282" s="5"/>
      <c r="N282" s="5"/>
      <c r="O282" s="8" t="str">
        <f t="shared" si="45"/>
        <v>n/a</v>
      </c>
      <c r="Q282" s="5"/>
      <c r="R282" s="5"/>
      <c r="S282" s="5"/>
      <c r="U282" s="6"/>
      <c r="V282" s="9" t="str">
        <f t="shared" si="48"/>
        <v/>
      </c>
      <c r="W282" s="9" t="str">
        <f t="shared" si="49"/>
        <v/>
      </c>
      <c r="X282" s="10">
        <f>SUM(V$13:V282)/COUNTA(B$13:B282)</f>
        <v>0</v>
      </c>
      <c r="Z282" s="5"/>
      <c r="AA282" s="5"/>
      <c r="AC282" s="7"/>
      <c r="AE282" s="54" t="e">
        <f t="shared" si="50"/>
        <v>#N/A</v>
      </c>
      <c r="AF282" s="4" t="e">
        <f t="shared" si="46"/>
        <v>#N/A</v>
      </c>
    </row>
    <row r="283" spans="2:32">
      <c r="B283" s="5">
        <f t="shared" si="51"/>
        <v>271</v>
      </c>
      <c r="C283" s="5"/>
      <c r="E283" s="13"/>
      <c r="F283" s="5"/>
      <c r="G283" s="11" t="str">
        <f>IF(ISERROR(AVERAGE(F$13:F283)),"n/a",AVERAGE(F$13:F283))</f>
        <v>n/a</v>
      </c>
      <c r="H283" s="11" t="str">
        <f t="shared" si="47"/>
        <v>n/a</v>
      </c>
      <c r="J283" s="5"/>
      <c r="K283" s="5"/>
      <c r="L283" s="5"/>
      <c r="M283" s="5"/>
      <c r="N283" s="5"/>
      <c r="O283" s="8" t="str">
        <f t="shared" si="45"/>
        <v>n/a</v>
      </c>
      <c r="Q283" s="5"/>
      <c r="R283" s="5"/>
      <c r="S283" s="5"/>
      <c r="U283" s="6"/>
      <c r="V283" s="9" t="str">
        <f t="shared" si="48"/>
        <v/>
      </c>
      <c r="W283" s="9" t="str">
        <f t="shared" si="49"/>
        <v/>
      </c>
      <c r="X283" s="10">
        <f>SUM(V$13:V283)/COUNTA(B$13:B283)</f>
        <v>0</v>
      </c>
      <c r="Z283" s="5"/>
      <c r="AA283" s="5"/>
      <c r="AC283" s="7"/>
      <c r="AE283" s="54" t="e">
        <f t="shared" si="50"/>
        <v>#N/A</v>
      </c>
      <c r="AF283" s="4" t="e">
        <f t="shared" si="46"/>
        <v>#N/A</v>
      </c>
    </row>
    <row r="284" spans="2:32">
      <c r="B284" s="5">
        <f t="shared" si="51"/>
        <v>272</v>
      </c>
      <c r="C284" s="5"/>
      <c r="E284" s="13"/>
      <c r="F284" s="5"/>
      <c r="G284" s="11" t="str">
        <f>IF(ISERROR(AVERAGE(F$13:F284)),"n/a",AVERAGE(F$13:F284))</f>
        <v>n/a</v>
      </c>
      <c r="H284" s="11" t="str">
        <f t="shared" si="47"/>
        <v>n/a</v>
      </c>
      <c r="J284" s="5"/>
      <c r="K284" s="5"/>
      <c r="L284" s="5"/>
      <c r="M284" s="5"/>
      <c r="N284" s="5"/>
      <c r="O284" s="8" t="str">
        <f t="shared" si="45"/>
        <v>n/a</v>
      </c>
      <c r="Q284" s="5"/>
      <c r="R284" s="5"/>
      <c r="S284" s="5"/>
      <c r="U284" s="6"/>
      <c r="V284" s="9" t="str">
        <f t="shared" si="48"/>
        <v/>
      </c>
      <c r="W284" s="9" t="str">
        <f t="shared" si="49"/>
        <v/>
      </c>
      <c r="X284" s="10">
        <f>SUM(V$13:V284)/COUNTA(B$13:B284)</f>
        <v>0</v>
      </c>
      <c r="Z284" s="5"/>
      <c r="AA284" s="5"/>
      <c r="AC284" s="7"/>
      <c r="AE284" s="54" t="e">
        <f t="shared" si="50"/>
        <v>#N/A</v>
      </c>
      <c r="AF284" s="4" t="e">
        <f t="shared" si="46"/>
        <v>#N/A</v>
      </c>
    </row>
    <row r="285" spans="2:32">
      <c r="B285" s="5">
        <f t="shared" si="51"/>
        <v>273</v>
      </c>
      <c r="C285" s="5"/>
      <c r="E285" s="13"/>
      <c r="F285" s="5"/>
      <c r="G285" s="11" t="str">
        <f>IF(ISERROR(AVERAGE(F$13:F285)),"n/a",AVERAGE(F$13:F285))</f>
        <v>n/a</v>
      </c>
      <c r="H285" s="11" t="str">
        <f t="shared" si="47"/>
        <v>n/a</v>
      </c>
      <c r="J285" s="5"/>
      <c r="K285" s="5"/>
      <c r="L285" s="5"/>
      <c r="M285" s="5"/>
      <c r="N285" s="5"/>
      <c r="O285" s="8" t="str">
        <f t="shared" si="45"/>
        <v>n/a</v>
      </c>
      <c r="Q285" s="5"/>
      <c r="R285" s="5"/>
      <c r="S285" s="5"/>
      <c r="U285" s="6"/>
      <c r="V285" s="9" t="str">
        <f t="shared" si="48"/>
        <v/>
      </c>
      <c r="W285" s="9" t="str">
        <f t="shared" si="49"/>
        <v/>
      </c>
      <c r="X285" s="10">
        <f>SUM(V$13:V285)/COUNTA(B$13:B285)</f>
        <v>0</v>
      </c>
      <c r="Z285" s="5"/>
      <c r="AA285" s="5"/>
      <c r="AC285" s="7"/>
      <c r="AE285" s="54" t="e">
        <f t="shared" si="50"/>
        <v>#N/A</v>
      </c>
      <c r="AF285" s="4" t="e">
        <f t="shared" si="46"/>
        <v>#N/A</v>
      </c>
    </row>
    <row r="286" spans="2:32">
      <c r="B286" s="5">
        <f t="shared" si="51"/>
        <v>274</v>
      </c>
      <c r="C286" s="5"/>
      <c r="E286" s="13"/>
      <c r="F286" s="5"/>
      <c r="G286" s="11" t="str">
        <f>IF(ISERROR(AVERAGE(F$13:F286)),"n/a",AVERAGE(F$13:F286))</f>
        <v>n/a</v>
      </c>
      <c r="H286" s="11" t="str">
        <f t="shared" si="47"/>
        <v>n/a</v>
      </c>
      <c r="J286" s="5"/>
      <c r="K286" s="5"/>
      <c r="L286" s="5"/>
      <c r="M286" s="5"/>
      <c r="N286" s="5"/>
      <c r="O286" s="8" t="str">
        <f t="shared" si="45"/>
        <v>n/a</v>
      </c>
      <c r="Q286" s="5"/>
      <c r="R286" s="5"/>
      <c r="S286" s="5"/>
      <c r="U286" s="6"/>
      <c r="V286" s="9" t="str">
        <f t="shared" si="48"/>
        <v/>
      </c>
      <c r="W286" s="9" t="str">
        <f t="shared" si="49"/>
        <v/>
      </c>
      <c r="X286" s="10">
        <f>SUM(V$13:V286)/COUNTA(B$13:B286)</f>
        <v>0</v>
      </c>
      <c r="Z286" s="5"/>
      <c r="AA286" s="5"/>
      <c r="AC286" s="7"/>
      <c r="AE286" s="54" t="e">
        <f t="shared" si="50"/>
        <v>#N/A</v>
      </c>
      <c r="AF286" s="4" t="e">
        <f t="shared" si="46"/>
        <v>#N/A</v>
      </c>
    </row>
    <row r="287" spans="2:32">
      <c r="B287" s="5">
        <f t="shared" si="51"/>
        <v>275</v>
      </c>
      <c r="C287" s="5"/>
      <c r="E287" s="13"/>
      <c r="F287" s="5"/>
      <c r="G287" s="11" t="str">
        <f>IF(ISERROR(AVERAGE(F$13:F287)),"n/a",AVERAGE(F$13:F287))</f>
        <v>n/a</v>
      </c>
      <c r="H287" s="11" t="str">
        <f t="shared" si="47"/>
        <v>n/a</v>
      </c>
      <c r="J287" s="5"/>
      <c r="K287" s="5"/>
      <c r="L287" s="5"/>
      <c r="M287" s="5"/>
      <c r="N287" s="5"/>
      <c r="O287" s="8" t="str">
        <f t="shared" si="45"/>
        <v>n/a</v>
      </c>
      <c r="Q287" s="5"/>
      <c r="R287" s="5"/>
      <c r="S287" s="5"/>
      <c r="U287" s="6"/>
      <c r="V287" s="9" t="str">
        <f t="shared" si="48"/>
        <v/>
      </c>
      <c r="W287" s="9" t="str">
        <f t="shared" si="49"/>
        <v/>
      </c>
      <c r="X287" s="10">
        <f>SUM(V$13:V287)/COUNTA(B$13:B287)</f>
        <v>0</v>
      </c>
      <c r="Z287" s="5"/>
      <c r="AA287" s="5"/>
      <c r="AC287" s="7"/>
      <c r="AE287" s="54" t="e">
        <f t="shared" si="50"/>
        <v>#N/A</v>
      </c>
      <c r="AF287" s="4" t="e">
        <f t="shared" si="46"/>
        <v>#N/A</v>
      </c>
    </row>
    <row r="288" spans="2:32">
      <c r="B288" s="5">
        <f t="shared" si="51"/>
        <v>276</v>
      </c>
      <c r="C288" s="5"/>
      <c r="E288" s="13"/>
      <c r="F288" s="5"/>
      <c r="G288" s="11" t="str">
        <f>IF(ISERROR(AVERAGE(F$13:F288)),"n/a",AVERAGE(F$13:F288))</f>
        <v>n/a</v>
      </c>
      <c r="H288" s="11" t="str">
        <f t="shared" si="47"/>
        <v>n/a</v>
      </c>
      <c r="J288" s="5"/>
      <c r="K288" s="5"/>
      <c r="L288" s="5"/>
      <c r="M288" s="5"/>
      <c r="N288" s="5"/>
      <c r="O288" s="8" t="str">
        <f t="shared" si="45"/>
        <v>n/a</v>
      </c>
      <c r="Q288" s="5"/>
      <c r="R288" s="5"/>
      <c r="S288" s="5"/>
      <c r="U288" s="6"/>
      <c r="V288" s="9" t="str">
        <f t="shared" si="48"/>
        <v/>
      </c>
      <c r="W288" s="9" t="str">
        <f t="shared" si="49"/>
        <v/>
      </c>
      <c r="X288" s="10">
        <f>SUM(V$13:V288)/COUNTA(B$13:B288)</f>
        <v>0</v>
      </c>
      <c r="Z288" s="5"/>
      <c r="AA288" s="5"/>
      <c r="AC288" s="7"/>
      <c r="AE288" s="54" t="e">
        <f t="shared" si="50"/>
        <v>#N/A</v>
      </c>
      <c r="AF288" s="4" t="e">
        <f t="shared" si="46"/>
        <v>#N/A</v>
      </c>
    </row>
    <row r="289" spans="2:32">
      <c r="B289" s="5">
        <f t="shared" si="51"/>
        <v>277</v>
      </c>
      <c r="C289" s="5"/>
      <c r="E289" s="13"/>
      <c r="F289" s="5"/>
      <c r="G289" s="11" t="str">
        <f>IF(ISERROR(AVERAGE(F$13:F289)),"n/a",AVERAGE(F$13:F289))</f>
        <v>n/a</v>
      </c>
      <c r="H289" s="11" t="str">
        <f t="shared" si="47"/>
        <v>n/a</v>
      </c>
      <c r="J289" s="5"/>
      <c r="K289" s="5"/>
      <c r="L289" s="5"/>
      <c r="M289" s="5"/>
      <c r="N289" s="5"/>
      <c r="O289" s="8" t="str">
        <f t="shared" si="45"/>
        <v>n/a</v>
      </c>
      <c r="Q289" s="5"/>
      <c r="R289" s="5"/>
      <c r="S289" s="5"/>
      <c r="U289" s="6"/>
      <c r="V289" s="9" t="str">
        <f t="shared" si="48"/>
        <v/>
      </c>
      <c r="W289" s="9" t="str">
        <f t="shared" si="49"/>
        <v/>
      </c>
      <c r="X289" s="10">
        <f>SUM(V$13:V289)/COUNTA(B$13:B289)</f>
        <v>0</v>
      </c>
      <c r="Z289" s="5"/>
      <c r="AA289" s="5"/>
      <c r="AC289" s="7"/>
      <c r="AE289" s="54" t="e">
        <f t="shared" si="50"/>
        <v>#N/A</v>
      </c>
      <c r="AF289" s="4" t="e">
        <f t="shared" si="46"/>
        <v>#N/A</v>
      </c>
    </row>
    <row r="290" spans="2:32">
      <c r="B290" s="5">
        <f t="shared" si="51"/>
        <v>278</v>
      </c>
      <c r="C290" s="5"/>
      <c r="E290" s="13"/>
      <c r="F290" s="5"/>
      <c r="G290" s="11" t="str">
        <f>IF(ISERROR(AVERAGE(F$13:F290)),"n/a",AVERAGE(F$13:F290))</f>
        <v>n/a</v>
      </c>
      <c r="H290" s="11" t="str">
        <f t="shared" si="47"/>
        <v>n/a</v>
      </c>
      <c r="J290" s="5"/>
      <c r="K290" s="5"/>
      <c r="L290" s="5"/>
      <c r="M290" s="5"/>
      <c r="N290" s="5"/>
      <c r="O290" s="8" t="str">
        <f t="shared" si="45"/>
        <v>n/a</v>
      </c>
      <c r="Q290" s="5"/>
      <c r="R290" s="5"/>
      <c r="S290" s="5"/>
      <c r="U290" s="6"/>
      <c r="V290" s="9" t="str">
        <f t="shared" si="48"/>
        <v/>
      </c>
      <c r="W290" s="9" t="str">
        <f t="shared" si="49"/>
        <v/>
      </c>
      <c r="X290" s="10">
        <f>SUM(V$13:V290)/COUNTA(B$13:B290)</f>
        <v>0</v>
      </c>
      <c r="Z290" s="5"/>
      <c r="AA290" s="5"/>
      <c r="AC290" s="7"/>
      <c r="AE290" s="54" t="e">
        <f t="shared" si="50"/>
        <v>#N/A</v>
      </c>
      <c r="AF290" s="4" t="e">
        <f t="shared" si="46"/>
        <v>#N/A</v>
      </c>
    </row>
    <row r="291" spans="2:32">
      <c r="B291" s="5">
        <f t="shared" si="51"/>
        <v>279</v>
      </c>
      <c r="C291" s="5"/>
      <c r="E291" s="13"/>
      <c r="F291" s="5"/>
      <c r="G291" s="11" t="str">
        <f>IF(ISERROR(AVERAGE(F$13:F291)),"n/a",AVERAGE(F$13:F291))</f>
        <v>n/a</v>
      </c>
      <c r="H291" s="11" t="str">
        <f t="shared" si="47"/>
        <v>n/a</v>
      </c>
      <c r="J291" s="5"/>
      <c r="K291" s="5"/>
      <c r="L291" s="5"/>
      <c r="M291" s="5"/>
      <c r="N291" s="5"/>
      <c r="O291" s="8" t="str">
        <f t="shared" si="45"/>
        <v>n/a</v>
      </c>
      <c r="Q291" s="5"/>
      <c r="R291" s="5"/>
      <c r="S291" s="5"/>
      <c r="U291" s="6"/>
      <c r="V291" s="9" t="str">
        <f t="shared" si="48"/>
        <v/>
      </c>
      <c r="W291" s="9" t="str">
        <f t="shared" si="49"/>
        <v/>
      </c>
      <c r="X291" s="10">
        <f>SUM(V$13:V291)/COUNTA(B$13:B291)</f>
        <v>0</v>
      </c>
      <c r="Z291" s="5"/>
      <c r="AA291" s="5"/>
      <c r="AC291" s="7"/>
      <c r="AE291" s="54" t="e">
        <f t="shared" si="50"/>
        <v>#N/A</v>
      </c>
      <c r="AF291" s="4" t="e">
        <f t="shared" si="46"/>
        <v>#N/A</v>
      </c>
    </row>
    <row r="292" spans="2:32">
      <c r="B292" s="5">
        <f t="shared" si="51"/>
        <v>280</v>
      </c>
      <c r="C292" s="5"/>
      <c r="E292" s="13"/>
      <c r="F292" s="5"/>
      <c r="G292" s="11" t="str">
        <f>IF(ISERROR(AVERAGE(F$13:F292)),"n/a",AVERAGE(F$13:F292))</f>
        <v>n/a</v>
      </c>
      <c r="H292" s="11" t="str">
        <f t="shared" si="47"/>
        <v>n/a</v>
      </c>
      <c r="J292" s="5"/>
      <c r="K292" s="5"/>
      <c r="L292" s="5"/>
      <c r="M292" s="5"/>
      <c r="N292" s="5"/>
      <c r="O292" s="8" t="str">
        <f t="shared" si="45"/>
        <v>n/a</v>
      </c>
      <c r="Q292" s="5"/>
      <c r="R292" s="5"/>
      <c r="S292" s="5"/>
      <c r="U292" s="6"/>
      <c r="V292" s="9" t="str">
        <f t="shared" si="48"/>
        <v/>
      </c>
      <c r="W292" s="9" t="str">
        <f t="shared" si="49"/>
        <v/>
      </c>
      <c r="X292" s="10">
        <f>SUM(V$13:V292)/COUNTA(B$13:B292)</f>
        <v>0</v>
      </c>
      <c r="Z292" s="5"/>
      <c r="AA292" s="5"/>
      <c r="AC292" s="7"/>
      <c r="AE292" s="54" t="e">
        <f t="shared" si="50"/>
        <v>#N/A</v>
      </c>
      <c r="AF292" s="4" t="e">
        <f t="shared" si="46"/>
        <v>#N/A</v>
      </c>
    </row>
    <row r="293" spans="2:32">
      <c r="B293" s="5">
        <f t="shared" si="51"/>
        <v>281</v>
      </c>
      <c r="C293" s="5"/>
      <c r="E293" s="13"/>
      <c r="F293" s="5"/>
      <c r="G293" s="11" t="str">
        <f>IF(ISERROR(AVERAGE(F$13:F293)),"n/a",AVERAGE(F$13:F293))</f>
        <v>n/a</v>
      </c>
      <c r="H293" s="11" t="str">
        <f t="shared" si="47"/>
        <v>n/a</v>
      </c>
      <c r="J293" s="5"/>
      <c r="K293" s="5"/>
      <c r="L293" s="5"/>
      <c r="M293" s="5"/>
      <c r="N293" s="5"/>
      <c r="O293" s="8" t="str">
        <f t="shared" si="45"/>
        <v>n/a</v>
      </c>
      <c r="Q293" s="5"/>
      <c r="R293" s="5"/>
      <c r="S293" s="5"/>
      <c r="U293" s="6"/>
      <c r="V293" s="9" t="str">
        <f t="shared" si="48"/>
        <v/>
      </c>
      <c r="W293" s="9" t="str">
        <f t="shared" si="49"/>
        <v/>
      </c>
      <c r="X293" s="10">
        <f>SUM(V$13:V293)/COUNTA(B$13:B293)</f>
        <v>0</v>
      </c>
      <c r="Z293" s="5"/>
      <c r="AA293" s="5"/>
      <c r="AC293" s="7"/>
      <c r="AE293" s="54" t="e">
        <f t="shared" si="50"/>
        <v>#N/A</v>
      </c>
      <c r="AF293" s="4" t="e">
        <f t="shared" si="46"/>
        <v>#N/A</v>
      </c>
    </row>
    <row r="294" spans="2:32">
      <c r="B294" s="5">
        <f t="shared" si="51"/>
        <v>282</v>
      </c>
      <c r="C294" s="5"/>
      <c r="E294" s="13"/>
      <c r="F294" s="5"/>
      <c r="G294" s="11" t="str">
        <f>IF(ISERROR(AVERAGE(F$13:F294)),"n/a",AVERAGE(F$13:F294))</f>
        <v>n/a</v>
      </c>
      <c r="H294" s="11" t="str">
        <f t="shared" si="47"/>
        <v>n/a</v>
      </c>
      <c r="J294" s="5"/>
      <c r="K294" s="5"/>
      <c r="L294" s="5"/>
      <c r="M294" s="5"/>
      <c r="N294" s="5"/>
      <c r="O294" s="8" t="str">
        <f t="shared" si="45"/>
        <v>n/a</v>
      </c>
      <c r="Q294" s="5"/>
      <c r="R294" s="5"/>
      <c r="S294" s="5"/>
      <c r="U294" s="6"/>
      <c r="V294" s="9" t="str">
        <f t="shared" si="48"/>
        <v/>
      </c>
      <c r="W294" s="9" t="str">
        <f t="shared" si="49"/>
        <v/>
      </c>
      <c r="X294" s="10">
        <f>SUM(V$13:V294)/COUNTA(B$13:B294)</f>
        <v>0</v>
      </c>
      <c r="Z294" s="5"/>
      <c r="AA294" s="5"/>
      <c r="AC294" s="7"/>
      <c r="AE294" s="54" t="e">
        <f t="shared" si="50"/>
        <v>#N/A</v>
      </c>
      <c r="AF294" s="4" t="e">
        <f t="shared" si="46"/>
        <v>#N/A</v>
      </c>
    </row>
    <row r="295" spans="2:32">
      <c r="B295" s="5">
        <f t="shared" si="51"/>
        <v>283</v>
      </c>
      <c r="C295" s="5"/>
      <c r="E295" s="13"/>
      <c r="F295" s="5"/>
      <c r="G295" s="11" t="str">
        <f>IF(ISERROR(AVERAGE(F$13:F295)),"n/a",AVERAGE(F$13:F295))</f>
        <v>n/a</v>
      </c>
      <c r="H295" s="11" t="str">
        <f t="shared" si="47"/>
        <v>n/a</v>
      </c>
      <c r="J295" s="5"/>
      <c r="K295" s="5"/>
      <c r="L295" s="5"/>
      <c r="M295" s="5"/>
      <c r="N295" s="5"/>
      <c r="O295" s="8" t="str">
        <f t="shared" si="45"/>
        <v>n/a</v>
      </c>
      <c r="Q295" s="5"/>
      <c r="R295" s="5"/>
      <c r="S295" s="5"/>
      <c r="U295" s="6"/>
      <c r="V295" s="9" t="str">
        <f t="shared" si="48"/>
        <v/>
      </c>
      <c r="W295" s="9" t="str">
        <f t="shared" si="49"/>
        <v/>
      </c>
      <c r="X295" s="10">
        <f>SUM(V$13:V295)/COUNTA(B$13:B295)</f>
        <v>0</v>
      </c>
      <c r="Z295" s="5"/>
      <c r="AA295" s="5"/>
      <c r="AC295" s="7"/>
      <c r="AE295" s="54" t="e">
        <f t="shared" si="50"/>
        <v>#N/A</v>
      </c>
      <c r="AF295" s="4" t="e">
        <f t="shared" si="46"/>
        <v>#N/A</v>
      </c>
    </row>
    <row r="296" spans="2:32">
      <c r="B296" s="5">
        <f t="shared" si="51"/>
        <v>284</v>
      </c>
      <c r="C296" s="5"/>
      <c r="E296" s="13"/>
      <c r="F296" s="5"/>
      <c r="G296" s="11" t="str">
        <f>IF(ISERROR(AVERAGE(F$13:F296)),"n/a",AVERAGE(F$13:F296))</f>
        <v>n/a</v>
      </c>
      <c r="H296" s="11" t="str">
        <f t="shared" si="47"/>
        <v>n/a</v>
      </c>
      <c r="J296" s="5"/>
      <c r="K296" s="5"/>
      <c r="L296" s="5"/>
      <c r="M296" s="5"/>
      <c r="N296" s="5"/>
      <c r="O296" s="8" t="str">
        <f t="shared" si="45"/>
        <v>n/a</v>
      </c>
      <c r="Q296" s="5"/>
      <c r="R296" s="5"/>
      <c r="S296" s="5"/>
      <c r="U296" s="6"/>
      <c r="V296" s="9" t="str">
        <f t="shared" si="48"/>
        <v/>
      </c>
      <c r="W296" s="9" t="str">
        <f t="shared" si="49"/>
        <v/>
      </c>
      <c r="X296" s="10">
        <f>SUM(V$13:V296)/COUNTA(B$13:B296)</f>
        <v>0</v>
      </c>
      <c r="Z296" s="5"/>
      <c r="AA296" s="5"/>
      <c r="AC296" s="7"/>
      <c r="AE296" s="54" t="e">
        <f t="shared" si="50"/>
        <v>#N/A</v>
      </c>
      <c r="AF296" s="4" t="e">
        <f t="shared" si="46"/>
        <v>#N/A</v>
      </c>
    </row>
    <row r="297" spans="2:32">
      <c r="B297" s="5">
        <f t="shared" si="51"/>
        <v>285</v>
      </c>
      <c r="C297" s="5"/>
      <c r="E297" s="13"/>
      <c r="F297" s="5"/>
      <c r="G297" s="11" t="str">
        <f>IF(ISERROR(AVERAGE(F$13:F297)),"n/a",AVERAGE(F$13:F297))</f>
        <v>n/a</v>
      </c>
      <c r="H297" s="11" t="str">
        <f t="shared" si="47"/>
        <v>n/a</v>
      </c>
      <c r="J297" s="5"/>
      <c r="K297" s="5"/>
      <c r="L297" s="5"/>
      <c r="M297" s="5"/>
      <c r="N297" s="5"/>
      <c r="O297" s="8" t="str">
        <f t="shared" si="45"/>
        <v>n/a</v>
      </c>
      <c r="Q297" s="5"/>
      <c r="R297" s="5"/>
      <c r="S297" s="5"/>
      <c r="U297" s="6"/>
      <c r="V297" s="9" t="str">
        <f t="shared" si="48"/>
        <v/>
      </c>
      <c r="W297" s="9" t="str">
        <f t="shared" si="49"/>
        <v/>
      </c>
      <c r="X297" s="10">
        <f>SUM(V$13:V297)/COUNTA(B$13:B297)</f>
        <v>0</v>
      </c>
      <c r="Z297" s="5"/>
      <c r="AA297" s="5"/>
      <c r="AC297" s="7"/>
      <c r="AE297" s="54" t="e">
        <f t="shared" si="50"/>
        <v>#N/A</v>
      </c>
      <c r="AF297" s="4" t="e">
        <f t="shared" si="46"/>
        <v>#N/A</v>
      </c>
    </row>
    <row r="298" spans="2:32">
      <c r="B298" s="5">
        <f t="shared" si="51"/>
        <v>286</v>
      </c>
      <c r="C298" s="5"/>
      <c r="E298" s="13"/>
      <c r="F298" s="5"/>
      <c r="G298" s="11" t="str">
        <f>IF(ISERROR(AVERAGE(F$13:F298)),"n/a",AVERAGE(F$13:F298))</f>
        <v>n/a</v>
      </c>
      <c r="H298" s="11" t="str">
        <f t="shared" si="47"/>
        <v>n/a</v>
      </c>
      <c r="J298" s="5"/>
      <c r="K298" s="5"/>
      <c r="L298" s="5"/>
      <c r="M298" s="5"/>
      <c r="N298" s="5"/>
      <c r="O298" s="8" t="str">
        <f t="shared" si="45"/>
        <v>n/a</v>
      </c>
      <c r="Q298" s="5"/>
      <c r="R298" s="5"/>
      <c r="S298" s="5"/>
      <c r="U298" s="6"/>
      <c r="V298" s="9" t="str">
        <f t="shared" si="48"/>
        <v/>
      </c>
      <c r="W298" s="9" t="str">
        <f t="shared" si="49"/>
        <v/>
      </c>
      <c r="X298" s="10">
        <f>SUM(V$13:V298)/COUNTA(B$13:B298)</f>
        <v>0</v>
      </c>
      <c r="Z298" s="5"/>
      <c r="AA298" s="5"/>
      <c r="AC298" s="7"/>
      <c r="AE298" s="54" t="e">
        <f t="shared" si="50"/>
        <v>#N/A</v>
      </c>
      <c r="AF298" s="4" t="e">
        <f t="shared" si="46"/>
        <v>#N/A</v>
      </c>
    </row>
    <row r="299" spans="2:32">
      <c r="B299" s="5">
        <f t="shared" si="51"/>
        <v>287</v>
      </c>
      <c r="C299" s="5"/>
      <c r="E299" s="13"/>
      <c r="F299" s="5"/>
      <c r="G299" s="11" t="str">
        <f>IF(ISERROR(AVERAGE(F$13:F299)),"n/a",AVERAGE(F$13:F299))</f>
        <v>n/a</v>
      </c>
      <c r="H299" s="11" t="str">
        <f t="shared" si="47"/>
        <v>n/a</v>
      </c>
      <c r="J299" s="5"/>
      <c r="K299" s="5"/>
      <c r="L299" s="5"/>
      <c r="M299" s="5"/>
      <c r="N299" s="5"/>
      <c r="O299" s="8" t="str">
        <f t="shared" si="45"/>
        <v>n/a</v>
      </c>
      <c r="Q299" s="5"/>
      <c r="R299" s="5"/>
      <c r="S299" s="5"/>
      <c r="U299" s="6"/>
      <c r="V299" s="9" t="str">
        <f t="shared" si="48"/>
        <v/>
      </c>
      <c r="W299" s="9" t="str">
        <f t="shared" si="49"/>
        <v/>
      </c>
      <c r="X299" s="10">
        <f>SUM(V$13:V299)/COUNTA(B$13:B299)</f>
        <v>0</v>
      </c>
      <c r="Z299" s="5"/>
      <c r="AA299" s="5"/>
      <c r="AC299" s="7"/>
      <c r="AE299" s="54" t="e">
        <f t="shared" si="50"/>
        <v>#N/A</v>
      </c>
      <c r="AF299" s="4" t="e">
        <f t="shared" si="46"/>
        <v>#N/A</v>
      </c>
    </row>
    <row r="300" spans="2:32">
      <c r="B300" s="5">
        <f t="shared" si="51"/>
        <v>288</v>
      </c>
      <c r="C300" s="5"/>
      <c r="E300" s="13"/>
      <c r="F300" s="5"/>
      <c r="G300" s="11" t="str">
        <f>IF(ISERROR(AVERAGE(F$13:F300)),"n/a",AVERAGE(F$13:F300))</f>
        <v>n/a</v>
      </c>
      <c r="H300" s="11" t="str">
        <f t="shared" si="47"/>
        <v>n/a</v>
      </c>
      <c r="J300" s="5"/>
      <c r="K300" s="5"/>
      <c r="L300" s="5"/>
      <c r="M300" s="5"/>
      <c r="N300" s="5"/>
      <c r="O300" s="8" t="str">
        <f t="shared" si="45"/>
        <v>n/a</v>
      </c>
      <c r="Q300" s="5"/>
      <c r="R300" s="5"/>
      <c r="S300" s="5"/>
      <c r="U300" s="6"/>
      <c r="V300" s="9" t="str">
        <f t="shared" si="48"/>
        <v/>
      </c>
      <c r="W300" s="9" t="str">
        <f t="shared" si="49"/>
        <v/>
      </c>
      <c r="X300" s="10">
        <f>SUM(V$13:V300)/COUNTA(B$13:B300)</f>
        <v>0</v>
      </c>
      <c r="Z300" s="5"/>
      <c r="AA300" s="5"/>
      <c r="AC300" s="7"/>
      <c r="AE300" s="54" t="e">
        <f t="shared" si="50"/>
        <v>#N/A</v>
      </c>
      <c r="AF300" s="4" t="e">
        <f t="shared" si="46"/>
        <v>#N/A</v>
      </c>
    </row>
    <row r="301" spans="2:32">
      <c r="B301" s="5">
        <f t="shared" si="51"/>
        <v>289</v>
      </c>
      <c r="C301" s="5"/>
      <c r="E301" s="13"/>
      <c r="F301" s="5"/>
      <c r="G301" s="11" t="str">
        <f>IF(ISERROR(AVERAGE(F$13:F301)),"n/a",AVERAGE(F$13:F301))</f>
        <v>n/a</v>
      </c>
      <c r="H301" s="11" t="str">
        <f t="shared" si="47"/>
        <v>n/a</v>
      </c>
      <c r="J301" s="5"/>
      <c r="K301" s="5"/>
      <c r="L301" s="5"/>
      <c r="M301" s="5"/>
      <c r="N301" s="5"/>
      <c r="O301" s="8" t="str">
        <f t="shared" si="45"/>
        <v>n/a</v>
      </c>
      <c r="Q301" s="5"/>
      <c r="R301" s="5"/>
      <c r="S301" s="5"/>
      <c r="U301" s="6"/>
      <c r="V301" s="9" t="str">
        <f t="shared" si="48"/>
        <v/>
      </c>
      <c r="W301" s="9" t="str">
        <f t="shared" si="49"/>
        <v/>
      </c>
      <c r="X301" s="10">
        <f>SUM(V$13:V301)/COUNTA(B$13:B301)</f>
        <v>0</v>
      </c>
      <c r="Z301" s="5"/>
      <c r="AA301" s="5"/>
      <c r="AC301" s="7"/>
      <c r="AE301" s="54" t="e">
        <f t="shared" si="50"/>
        <v>#N/A</v>
      </c>
      <c r="AF301" s="4" t="e">
        <f t="shared" si="46"/>
        <v>#N/A</v>
      </c>
    </row>
    <row r="302" spans="2:32">
      <c r="B302" s="5">
        <f t="shared" si="51"/>
        <v>290</v>
      </c>
      <c r="C302" s="5"/>
      <c r="E302" s="13"/>
      <c r="F302" s="5"/>
      <c r="G302" s="11" t="str">
        <f>IF(ISERROR(AVERAGE(F$13:F302)),"n/a",AVERAGE(F$13:F302))</f>
        <v>n/a</v>
      </c>
      <c r="H302" s="11" t="str">
        <f t="shared" si="47"/>
        <v>n/a</v>
      </c>
      <c r="J302" s="5"/>
      <c r="K302" s="5"/>
      <c r="L302" s="5"/>
      <c r="M302" s="5"/>
      <c r="N302" s="5"/>
      <c r="O302" s="8" t="str">
        <f t="shared" si="45"/>
        <v>n/a</v>
      </c>
      <c r="Q302" s="5"/>
      <c r="R302" s="5"/>
      <c r="S302" s="5"/>
      <c r="U302" s="6"/>
      <c r="V302" s="9" t="str">
        <f t="shared" si="48"/>
        <v/>
      </c>
      <c r="W302" s="9" t="str">
        <f t="shared" si="49"/>
        <v/>
      </c>
      <c r="X302" s="10">
        <f>SUM(V$13:V302)/COUNTA(B$13:B302)</f>
        <v>0</v>
      </c>
      <c r="Z302" s="5"/>
      <c r="AA302" s="5"/>
      <c r="AC302" s="7"/>
      <c r="AE302" s="54" t="e">
        <f t="shared" si="50"/>
        <v>#N/A</v>
      </c>
      <c r="AF302" s="4" t="e">
        <f t="shared" si="46"/>
        <v>#N/A</v>
      </c>
    </row>
    <row r="303" spans="2:32">
      <c r="B303" s="5">
        <f t="shared" si="51"/>
        <v>291</v>
      </c>
      <c r="C303" s="5"/>
      <c r="E303" s="13"/>
      <c r="F303" s="5"/>
      <c r="G303" s="11" t="str">
        <f>IF(ISERROR(AVERAGE(F$13:F303)),"n/a",AVERAGE(F$13:F303))</f>
        <v>n/a</v>
      </c>
      <c r="H303" s="11" t="str">
        <f t="shared" si="47"/>
        <v>n/a</v>
      </c>
      <c r="J303" s="5"/>
      <c r="K303" s="5"/>
      <c r="L303" s="5"/>
      <c r="M303" s="5"/>
      <c r="N303" s="5"/>
      <c r="O303" s="8" t="str">
        <f t="shared" si="45"/>
        <v>n/a</v>
      </c>
      <c r="Q303" s="5"/>
      <c r="R303" s="5"/>
      <c r="S303" s="5"/>
      <c r="U303" s="6"/>
      <c r="V303" s="9" t="str">
        <f t="shared" si="48"/>
        <v/>
      </c>
      <c r="W303" s="9" t="str">
        <f t="shared" si="49"/>
        <v/>
      </c>
      <c r="X303" s="10">
        <f>SUM(V$13:V303)/COUNTA(B$13:B303)</f>
        <v>0</v>
      </c>
      <c r="Z303" s="5"/>
      <c r="AA303" s="5"/>
      <c r="AC303" s="7"/>
      <c r="AE303" s="54" t="e">
        <f t="shared" si="50"/>
        <v>#N/A</v>
      </c>
      <c r="AF303" s="4" t="e">
        <f t="shared" si="46"/>
        <v>#N/A</v>
      </c>
    </row>
    <row r="304" spans="2:32">
      <c r="B304" s="5">
        <f t="shared" si="51"/>
        <v>292</v>
      </c>
      <c r="C304" s="5"/>
      <c r="E304" s="13"/>
      <c r="F304" s="5"/>
      <c r="G304" s="11" t="str">
        <f>IF(ISERROR(AVERAGE(F$13:F304)),"n/a",AVERAGE(F$13:F304))</f>
        <v>n/a</v>
      </c>
      <c r="H304" s="11" t="str">
        <f t="shared" si="47"/>
        <v>n/a</v>
      </c>
      <c r="J304" s="5"/>
      <c r="K304" s="5"/>
      <c r="L304" s="5"/>
      <c r="M304" s="5"/>
      <c r="N304" s="5"/>
      <c r="O304" s="8" t="str">
        <f t="shared" si="45"/>
        <v>n/a</v>
      </c>
      <c r="Q304" s="5"/>
      <c r="R304" s="5"/>
      <c r="S304" s="5"/>
      <c r="U304" s="6"/>
      <c r="V304" s="9" t="str">
        <f t="shared" si="48"/>
        <v/>
      </c>
      <c r="W304" s="9" t="str">
        <f t="shared" si="49"/>
        <v/>
      </c>
      <c r="X304" s="10">
        <f>SUM(V$13:V304)/COUNTA(B$13:B304)</f>
        <v>0</v>
      </c>
      <c r="Z304" s="5"/>
      <c r="AA304" s="5"/>
      <c r="AC304" s="7"/>
      <c r="AE304" s="54" t="e">
        <f t="shared" si="50"/>
        <v>#N/A</v>
      </c>
      <c r="AF304" s="4" t="e">
        <f t="shared" si="46"/>
        <v>#N/A</v>
      </c>
    </row>
    <row r="305" spans="2:32">
      <c r="B305" s="5">
        <f t="shared" si="51"/>
        <v>293</v>
      </c>
      <c r="C305" s="5"/>
      <c r="E305" s="13"/>
      <c r="F305" s="5"/>
      <c r="G305" s="11" t="str">
        <f>IF(ISERROR(AVERAGE(F$13:F305)),"n/a",AVERAGE(F$13:F305))</f>
        <v>n/a</v>
      </c>
      <c r="H305" s="11" t="str">
        <f t="shared" si="47"/>
        <v>n/a</v>
      </c>
      <c r="J305" s="5"/>
      <c r="K305" s="5"/>
      <c r="L305" s="5"/>
      <c r="M305" s="5"/>
      <c r="N305" s="5"/>
      <c r="O305" s="8" t="str">
        <f t="shared" si="45"/>
        <v>n/a</v>
      </c>
      <c r="Q305" s="5"/>
      <c r="R305" s="5"/>
      <c r="S305" s="5"/>
      <c r="U305" s="6"/>
      <c r="V305" s="9" t="str">
        <f t="shared" si="48"/>
        <v/>
      </c>
      <c r="W305" s="9" t="str">
        <f t="shared" si="49"/>
        <v/>
      </c>
      <c r="X305" s="10">
        <f>SUM(V$13:V305)/COUNTA(B$13:B305)</f>
        <v>0</v>
      </c>
      <c r="Z305" s="5"/>
      <c r="AA305" s="5"/>
      <c r="AC305" s="7"/>
      <c r="AE305" s="54" t="e">
        <f t="shared" si="50"/>
        <v>#N/A</v>
      </c>
      <c r="AF305" s="4" t="e">
        <f t="shared" si="46"/>
        <v>#N/A</v>
      </c>
    </row>
    <row r="306" spans="2:32">
      <c r="B306" s="5">
        <f t="shared" si="51"/>
        <v>294</v>
      </c>
      <c r="C306" s="5"/>
      <c r="E306" s="13"/>
      <c r="F306" s="5"/>
      <c r="G306" s="11" t="str">
        <f>IF(ISERROR(AVERAGE(F$13:F306)),"n/a",AVERAGE(F$13:F306))</f>
        <v>n/a</v>
      </c>
      <c r="H306" s="11" t="str">
        <f t="shared" si="47"/>
        <v>n/a</v>
      </c>
      <c r="J306" s="5"/>
      <c r="K306" s="5"/>
      <c r="L306" s="5"/>
      <c r="M306" s="5"/>
      <c r="N306" s="5"/>
      <c r="O306" s="8" t="str">
        <f t="shared" si="45"/>
        <v>n/a</v>
      </c>
      <c r="Q306" s="5"/>
      <c r="R306" s="5"/>
      <c r="S306" s="5"/>
      <c r="U306" s="6"/>
      <c r="V306" s="9" t="str">
        <f t="shared" si="48"/>
        <v/>
      </c>
      <c r="W306" s="9" t="str">
        <f t="shared" si="49"/>
        <v/>
      </c>
      <c r="X306" s="10">
        <f>SUM(V$13:V306)/COUNTA(B$13:B306)</f>
        <v>0</v>
      </c>
      <c r="Z306" s="5"/>
      <c r="AA306" s="5"/>
      <c r="AC306" s="7"/>
      <c r="AE306" s="54" t="e">
        <f t="shared" si="50"/>
        <v>#N/A</v>
      </c>
      <c r="AF306" s="4" t="e">
        <f t="shared" si="46"/>
        <v>#N/A</v>
      </c>
    </row>
    <row r="307" spans="2:32">
      <c r="B307" s="5">
        <f t="shared" si="51"/>
        <v>295</v>
      </c>
      <c r="C307" s="5"/>
      <c r="E307" s="13"/>
      <c r="F307" s="5"/>
      <c r="G307" s="11" t="str">
        <f>IF(ISERROR(AVERAGE(F$13:F307)),"n/a",AVERAGE(F$13:F307))</f>
        <v>n/a</v>
      </c>
      <c r="H307" s="11" t="str">
        <f t="shared" si="47"/>
        <v>n/a</v>
      </c>
      <c r="J307" s="5"/>
      <c r="K307" s="5"/>
      <c r="L307" s="5"/>
      <c r="M307" s="5"/>
      <c r="N307" s="5"/>
      <c r="O307" s="8" t="str">
        <f t="shared" si="45"/>
        <v>n/a</v>
      </c>
      <c r="Q307" s="5"/>
      <c r="R307" s="5"/>
      <c r="S307" s="5"/>
      <c r="U307" s="6"/>
      <c r="V307" s="9" t="str">
        <f t="shared" si="48"/>
        <v/>
      </c>
      <c r="W307" s="9" t="str">
        <f t="shared" si="49"/>
        <v/>
      </c>
      <c r="X307" s="10">
        <f>SUM(V$13:V307)/COUNTA(B$13:B307)</f>
        <v>0</v>
      </c>
      <c r="Z307" s="5"/>
      <c r="AA307" s="5"/>
      <c r="AC307" s="7"/>
      <c r="AE307" s="54" t="e">
        <f t="shared" si="50"/>
        <v>#N/A</v>
      </c>
      <c r="AF307" s="4" t="e">
        <f t="shared" si="46"/>
        <v>#N/A</v>
      </c>
    </row>
    <row r="308" spans="2:32">
      <c r="B308" s="5">
        <f t="shared" si="51"/>
        <v>296</v>
      </c>
      <c r="C308" s="5"/>
      <c r="E308" s="13"/>
      <c r="F308" s="5"/>
      <c r="G308" s="11" t="str">
        <f>IF(ISERROR(AVERAGE(F$13:F308)),"n/a",AVERAGE(F$13:F308))</f>
        <v>n/a</v>
      </c>
      <c r="H308" s="11" t="str">
        <f t="shared" si="47"/>
        <v>n/a</v>
      </c>
      <c r="J308" s="5"/>
      <c r="K308" s="5"/>
      <c r="L308" s="5"/>
      <c r="M308" s="5"/>
      <c r="N308" s="5"/>
      <c r="O308" s="8" t="str">
        <f t="shared" si="45"/>
        <v>n/a</v>
      </c>
      <c r="Q308" s="5"/>
      <c r="R308" s="5"/>
      <c r="S308" s="5"/>
      <c r="U308" s="6"/>
      <c r="V308" s="9" t="str">
        <f t="shared" si="48"/>
        <v/>
      </c>
      <c r="W308" s="9" t="str">
        <f t="shared" si="49"/>
        <v/>
      </c>
      <c r="X308" s="10">
        <f>SUM(V$13:V308)/COUNTA(B$13:B308)</f>
        <v>0</v>
      </c>
      <c r="Z308" s="5"/>
      <c r="AA308" s="5"/>
      <c r="AC308" s="7"/>
      <c r="AE308" s="54" t="e">
        <f t="shared" si="50"/>
        <v>#N/A</v>
      </c>
      <c r="AF308" s="4" t="e">
        <f t="shared" si="46"/>
        <v>#N/A</v>
      </c>
    </row>
    <row r="309" spans="2:32">
      <c r="B309" s="5">
        <f t="shared" si="51"/>
        <v>297</v>
      </c>
      <c r="C309" s="5"/>
      <c r="E309" s="13"/>
      <c r="F309" s="5"/>
      <c r="G309" s="11" t="str">
        <f>IF(ISERROR(AVERAGE(F$13:F309)),"n/a",AVERAGE(F$13:F309))</f>
        <v>n/a</v>
      </c>
      <c r="H309" s="11" t="str">
        <f t="shared" si="47"/>
        <v>n/a</v>
      </c>
      <c r="J309" s="5"/>
      <c r="K309" s="5"/>
      <c r="L309" s="5"/>
      <c r="M309" s="5"/>
      <c r="N309" s="5"/>
      <c r="O309" s="8" t="str">
        <f t="shared" si="45"/>
        <v>n/a</v>
      </c>
      <c r="Q309" s="5"/>
      <c r="R309" s="5"/>
      <c r="S309" s="5"/>
      <c r="U309" s="6"/>
      <c r="V309" s="9" t="str">
        <f t="shared" si="48"/>
        <v/>
      </c>
      <c r="W309" s="9" t="str">
        <f t="shared" si="49"/>
        <v/>
      </c>
      <c r="X309" s="10">
        <f>SUM(V$13:V309)/COUNTA(B$13:B309)</f>
        <v>0</v>
      </c>
      <c r="Z309" s="5"/>
      <c r="AA309" s="5"/>
      <c r="AC309" s="7"/>
      <c r="AE309" s="54" t="e">
        <f t="shared" si="50"/>
        <v>#N/A</v>
      </c>
      <c r="AF309" s="4" t="e">
        <f t="shared" si="46"/>
        <v>#N/A</v>
      </c>
    </row>
    <row r="310" spans="2:32">
      <c r="B310" s="5">
        <f t="shared" si="51"/>
        <v>298</v>
      </c>
      <c r="C310" s="5"/>
      <c r="E310" s="13"/>
      <c r="F310" s="5"/>
      <c r="G310" s="11" t="str">
        <f>IF(ISERROR(AVERAGE(F$13:F310)),"n/a",AVERAGE(F$13:F310))</f>
        <v>n/a</v>
      </c>
      <c r="H310" s="11" t="str">
        <f t="shared" si="47"/>
        <v>n/a</v>
      </c>
      <c r="J310" s="5"/>
      <c r="K310" s="5"/>
      <c r="L310" s="5"/>
      <c r="M310" s="5"/>
      <c r="N310" s="5"/>
      <c r="O310" s="8" t="str">
        <f t="shared" si="45"/>
        <v>n/a</v>
      </c>
      <c r="Q310" s="5"/>
      <c r="R310" s="5"/>
      <c r="S310" s="5"/>
      <c r="U310" s="6"/>
      <c r="V310" s="9" t="str">
        <f t="shared" si="48"/>
        <v/>
      </c>
      <c r="W310" s="9" t="str">
        <f t="shared" si="49"/>
        <v/>
      </c>
      <c r="X310" s="10">
        <f>SUM(V$13:V310)/COUNTA(B$13:B310)</f>
        <v>0</v>
      </c>
      <c r="Z310" s="5"/>
      <c r="AA310" s="5"/>
      <c r="AC310" s="7"/>
      <c r="AE310" s="54" t="e">
        <f t="shared" si="50"/>
        <v>#N/A</v>
      </c>
      <c r="AF310" s="4" t="e">
        <f t="shared" si="46"/>
        <v>#N/A</v>
      </c>
    </row>
    <row r="311" spans="2:32">
      <c r="B311" s="5">
        <f t="shared" si="51"/>
        <v>299</v>
      </c>
      <c r="C311" s="5"/>
      <c r="E311" s="13"/>
      <c r="F311" s="5"/>
      <c r="G311" s="11" t="str">
        <f>IF(ISERROR(AVERAGE(F$13:F311)),"n/a",AVERAGE(F$13:F311))</f>
        <v>n/a</v>
      </c>
      <c r="H311" s="11" t="str">
        <f t="shared" si="47"/>
        <v>n/a</v>
      </c>
      <c r="J311" s="5"/>
      <c r="K311" s="5"/>
      <c r="L311" s="5"/>
      <c r="M311" s="5"/>
      <c r="N311" s="5"/>
      <c r="O311" s="8" t="str">
        <f t="shared" si="45"/>
        <v>n/a</v>
      </c>
      <c r="Q311" s="5"/>
      <c r="R311" s="5"/>
      <c r="S311" s="5"/>
      <c r="U311" s="6"/>
      <c r="V311" s="9" t="str">
        <f t="shared" si="48"/>
        <v/>
      </c>
      <c r="W311" s="9" t="str">
        <f t="shared" si="49"/>
        <v/>
      </c>
      <c r="X311" s="10">
        <f>SUM(V$13:V311)/COUNTA(B$13:B311)</f>
        <v>0</v>
      </c>
      <c r="Z311" s="5"/>
      <c r="AA311" s="5"/>
      <c r="AC311" s="7"/>
      <c r="AE311" s="54" t="e">
        <f t="shared" si="50"/>
        <v>#N/A</v>
      </c>
      <c r="AF311" s="4" t="e">
        <f t="shared" si="46"/>
        <v>#N/A</v>
      </c>
    </row>
    <row r="312" spans="2:32">
      <c r="B312" s="5">
        <f t="shared" si="51"/>
        <v>300</v>
      </c>
      <c r="C312" s="5"/>
      <c r="E312" s="13"/>
      <c r="F312" s="5"/>
      <c r="G312" s="11" t="str">
        <f>IF(ISERROR(AVERAGE(F$13:F312)),"n/a",AVERAGE(F$13:F312))</f>
        <v>n/a</v>
      </c>
      <c r="H312" s="11" t="str">
        <f t="shared" si="47"/>
        <v>n/a</v>
      </c>
      <c r="J312" s="5"/>
      <c r="K312" s="5"/>
      <c r="L312" s="5"/>
      <c r="M312" s="5"/>
      <c r="N312" s="5"/>
      <c r="O312" s="8" t="str">
        <f t="shared" si="45"/>
        <v>n/a</v>
      </c>
      <c r="Q312" s="5"/>
      <c r="R312" s="5"/>
      <c r="S312" s="5"/>
      <c r="U312" s="6"/>
      <c r="V312" s="9" t="str">
        <f t="shared" si="48"/>
        <v/>
      </c>
      <c r="W312" s="9" t="str">
        <f t="shared" si="49"/>
        <v/>
      </c>
      <c r="X312" s="10">
        <f>SUM(V$13:V312)/COUNTA(B$13:B312)</f>
        <v>0</v>
      </c>
      <c r="Z312" s="5"/>
      <c r="AA312" s="5"/>
      <c r="AC312" s="7"/>
      <c r="AE312" s="54" t="e">
        <f t="shared" si="50"/>
        <v>#N/A</v>
      </c>
      <c r="AF312" s="4" t="e">
        <f t="shared" si="46"/>
        <v>#N/A</v>
      </c>
    </row>
    <row r="313" spans="2:32">
      <c r="B313" s="5">
        <f t="shared" si="51"/>
        <v>301</v>
      </c>
      <c r="C313" s="5"/>
      <c r="E313" s="13"/>
      <c r="F313" s="5"/>
      <c r="G313" s="11" t="str">
        <f>IF(ISERROR(AVERAGE(F$13:F313)),"n/a",AVERAGE(F$13:F313))</f>
        <v>n/a</v>
      </c>
      <c r="H313" s="11" t="str">
        <f t="shared" si="47"/>
        <v>n/a</v>
      </c>
      <c r="J313" s="5"/>
      <c r="K313" s="5"/>
      <c r="L313" s="5"/>
      <c r="M313" s="5"/>
      <c r="N313" s="5"/>
      <c r="O313" s="8" t="str">
        <f t="shared" si="45"/>
        <v>n/a</v>
      </c>
      <c r="Q313" s="5"/>
      <c r="R313" s="5"/>
      <c r="S313" s="5"/>
      <c r="U313" s="6"/>
      <c r="V313" s="9" t="str">
        <f t="shared" si="48"/>
        <v/>
      </c>
      <c r="W313" s="9" t="str">
        <f t="shared" si="49"/>
        <v/>
      </c>
      <c r="X313" s="10">
        <f>SUM(V$13:V313)/COUNTA(B$13:B313)</f>
        <v>0</v>
      </c>
      <c r="Z313" s="5"/>
      <c r="AA313" s="5"/>
      <c r="AC313" s="7"/>
      <c r="AE313" s="54" t="e">
        <f t="shared" si="50"/>
        <v>#N/A</v>
      </c>
      <c r="AF313" s="4" t="e">
        <f t="shared" si="46"/>
        <v>#N/A</v>
      </c>
    </row>
    <row r="314" spans="2:32">
      <c r="B314" s="5">
        <f t="shared" si="51"/>
        <v>302</v>
      </c>
      <c r="C314" s="5"/>
      <c r="E314" s="13"/>
      <c r="F314" s="5"/>
      <c r="G314" s="11" t="str">
        <f>IF(ISERROR(AVERAGE(F$13:F314)),"n/a",AVERAGE(F$13:F314))</f>
        <v>n/a</v>
      </c>
      <c r="H314" s="11" t="str">
        <f t="shared" si="47"/>
        <v>n/a</v>
      </c>
      <c r="J314" s="5"/>
      <c r="K314" s="5"/>
      <c r="L314" s="5"/>
      <c r="M314" s="5"/>
      <c r="N314" s="5"/>
      <c r="O314" s="8" t="str">
        <f t="shared" si="45"/>
        <v>n/a</v>
      </c>
      <c r="Q314" s="5"/>
      <c r="R314" s="5"/>
      <c r="S314" s="5"/>
      <c r="U314" s="6"/>
      <c r="V314" s="9" t="str">
        <f t="shared" si="48"/>
        <v/>
      </c>
      <c r="W314" s="9" t="str">
        <f t="shared" si="49"/>
        <v/>
      </c>
      <c r="X314" s="10">
        <f>SUM(V$13:V314)/COUNTA(B$13:B314)</f>
        <v>0</v>
      </c>
      <c r="Z314" s="5"/>
      <c r="AA314" s="5"/>
      <c r="AC314" s="7"/>
      <c r="AE314" s="54" t="e">
        <f t="shared" si="50"/>
        <v>#N/A</v>
      </c>
      <c r="AF314" s="4" t="e">
        <f t="shared" si="46"/>
        <v>#N/A</v>
      </c>
    </row>
    <row r="315" spans="2:32">
      <c r="B315" s="5">
        <f t="shared" si="51"/>
        <v>303</v>
      </c>
      <c r="C315" s="5"/>
      <c r="E315" s="13"/>
      <c r="F315" s="5"/>
      <c r="G315" s="11" t="str">
        <f>IF(ISERROR(AVERAGE(F$13:F315)),"n/a",AVERAGE(F$13:F315))</f>
        <v>n/a</v>
      </c>
      <c r="H315" s="11" t="str">
        <f t="shared" si="47"/>
        <v>n/a</v>
      </c>
      <c r="J315" s="5"/>
      <c r="K315" s="5"/>
      <c r="L315" s="5"/>
      <c r="M315" s="5"/>
      <c r="N315" s="5"/>
      <c r="O315" s="8" t="str">
        <f t="shared" si="45"/>
        <v>n/a</v>
      </c>
      <c r="Q315" s="5"/>
      <c r="R315" s="5"/>
      <c r="S315" s="5"/>
      <c r="U315" s="6"/>
      <c r="V315" s="9" t="str">
        <f t="shared" si="48"/>
        <v/>
      </c>
      <c r="W315" s="9" t="str">
        <f t="shared" si="49"/>
        <v/>
      </c>
      <c r="X315" s="10">
        <f>SUM(V$13:V315)/COUNTA(B$13:B315)</f>
        <v>0</v>
      </c>
      <c r="Z315" s="5"/>
      <c r="AA315" s="5"/>
      <c r="AC315" s="7"/>
      <c r="AE315" s="54" t="e">
        <f t="shared" si="50"/>
        <v>#N/A</v>
      </c>
      <c r="AF315" s="4" t="e">
        <f t="shared" si="46"/>
        <v>#N/A</v>
      </c>
    </row>
    <row r="316" spans="2:32">
      <c r="B316" s="5">
        <f t="shared" si="51"/>
        <v>304</v>
      </c>
      <c r="C316" s="5"/>
      <c r="E316" s="13"/>
      <c r="F316" s="5"/>
      <c r="G316" s="11" t="str">
        <f>IF(ISERROR(AVERAGE(F$13:F316)),"n/a",AVERAGE(F$13:F316))</f>
        <v>n/a</v>
      </c>
      <c r="H316" s="11" t="str">
        <f t="shared" si="47"/>
        <v>n/a</v>
      </c>
      <c r="J316" s="5"/>
      <c r="K316" s="5"/>
      <c r="L316" s="5"/>
      <c r="M316" s="5"/>
      <c r="N316" s="5"/>
      <c r="O316" s="8" t="str">
        <f t="shared" si="45"/>
        <v>n/a</v>
      </c>
      <c r="Q316" s="5"/>
      <c r="R316" s="5"/>
      <c r="S316" s="5"/>
      <c r="U316" s="6"/>
      <c r="V316" s="9" t="str">
        <f t="shared" si="48"/>
        <v/>
      </c>
      <c r="W316" s="9" t="str">
        <f t="shared" si="49"/>
        <v/>
      </c>
      <c r="X316" s="10">
        <f>SUM(V$13:V316)/COUNTA(B$13:B316)</f>
        <v>0</v>
      </c>
      <c r="Z316" s="5"/>
      <c r="AA316" s="5"/>
      <c r="AC316" s="7"/>
      <c r="AE316" s="54" t="e">
        <f t="shared" si="50"/>
        <v>#N/A</v>
      </c>
      <c r="AF316" s="4" t="e">
        <f t="shared" si="46"/>
        <v>#N/A</v>
      </c>
    </row>
    <row r="317" spans="2:32">
      <c r="B317" s="5">
        <f t="shared" si="51"/>
        <v>305</v>
      </c>
      <c r="C317" s="5"/>
      <c r="E317" s="13"/>
      <c r="F317" s="5"/>
      <c r="G317" s="11" t="str">
        <f>IF(ISERROR(AVERAGE(F$13:F317)),"n/a",AVERAGE(F$13:F317))</f>
        <v>n/a</v>
      </c>
      <c r="H317" s="11" t="str">
        <f t="shared" si="47"/>
        <v>n/a</v>
      </c>
      <c r="J317" s="5"/>
      <c r="K317" s="5"/>
      <c r="L317" s="5"/>
      <c r="M317" s="5"/>
      <c r="N317" s="5"/>
      <c r="O317" s="8" t="str">
        <f t="shared" si="45"/>
        <v>n/a</v>
      </c>
      <c r="Q317" s="5"/>
      <c r="R317" s="5"/>
      <c r="S317" s="5"/>
      <c r="U317" s="6"/>
      <c r="V317" s="9" t="str">
        <f t="shared" si="48"/>
        <v/>
      </c>
      <c r="W317" s="9" t="str">
        <f t="shared" si="49"/>
        <v/>
      </c>
      <c r="X317" s="10">
        <f>SUM(V$13:V317)/COUNTA(B$13:B317)</f>
        <v>0</v>
      </c>
      <c r="Z317" s="5"/>
      <c r="AA317" s="5"/>
      <c r="AC317" s="7"/>
      <c r="AE317" s="54" t="e">
        <f t="shared" si="50"/>
        <v>#N/A</v>
      </c>
      <c r="AF317" s="4" t="e">
        <f t="shared" si="46"/>
        <v>#N/A</v>
      </c>
    </row>
    <row r="318" spans="2:32">
      <c r="B318" s="5">
        <f t="shared" si="51"/>
        <v>306</v>
      </c>
      <c r="C318" s="5"/>
      <c r="E318" s="13"/>
      <c r="F318" s="5"/>
      <c r="G318" s="11" t="str">
        <f>IF(ISERROR(AVERAGE(F$13:F318)),"n/a",AVERAGE(F$13:F318))</f>
        <v>n/a</v>
      </c>
      <c r="H318" s="11" t="str">
        <f t="shared" si="47"/>
        <v>n/a</v>
      </c>
      <c r="J318" s="5"/>
      <c r="K318" s="5"/>
      <c r="L318" s="5"/>
      <c r="M318" s="5"/>
      <c r="N318" s="5"/>
      <c r="O318" s="8" t="str">
        <f t="shared" si="45"/>
        <v>n/a</v>
      </c>
      <c r="Q318" s="5"/>
      <c r="R318" s="5"/>
      <c r="S318" s="5"/>
      <c r="U318" s="6"/>
      <c r="V318" s="9" t="str">
        <f t="shared" si="48"/>
        <v/>
      </c>
      <c r="W318" s="9" t="str">
        <f t="shared" si="49"/>
        <v/>
      </c>
      <c r="X318" s="10">
        <f>SUM(V$13:V318)/COUNTA(B$13:B318)</f>
        <v>0</v>
      </c>
      <c r="Z318" s="5"/>
      <c r="AA318" s="5"/>
      <c r="AC318" s="7"/>
      <c r="AE318" s="54" t="e">
        <f t="shared" si="50"/>
        <v>#N/A</v>
      </c>
      <c r="AF318" s="4" t="e">
        <f t="shared" si="46"/>
        <v>#N/A</v>
      </c>
    </row>
    <row r="319" spans="2:32">
      <c r="B319" s="5">
        <f t="shared" si="51"/>
        <v>307</v>
      </c>
      <c r="C319" s="5"/>
      <c r="E319" s="13"/>
      <c r="F319" s="5"/>
      <c r="G319" s="11" t="str">
        <f>IF(ISERROR(AVERAGE(F$13:F319)),"n/a",AVERAGE(F$13:F319))</f>
        <v>n/a</v>
      </c>
      <c r="H319" s="11" t="str">
        <f t="shared" si="47"/>
        <v>n/a</v>
      </c>
      <c r="J319" s="5"/>
      <c r="K319" s="5"/>
      <c r="L319" s="5"/>
      <c r="M319" s="5"/>
      <c r="N319" s="5"/>
      <c r="O319" s="8" t="str">
        <f t="shared" si="45"/>
        <v>n/a</v>
      </c>
      <c r="Q319" s="5"/>
      <c r="R319" s="5"/>
      <c r="S319" s="5"/>
      <c r="U319" s="6"/>
      <c r="V319" s="9" t="str">
        <f t="shared" si="48"/>
        <v/>
      </c>
      <c r="W319" s="9" t="str">
        <f t="shared" si="49"/>
        <v/>
      </c>
      <c r="X319" s="10">
        <f>SUM(V$13:V319)/COUNTA(B$13:B319)</f>
        <v>0</v>
      </c>
      <c r="Z319" s="5"/>
      <c r="AA319" s="5"/>
      <c r="AC319" s="7"/>
      <c r="AE319" s="54" t="e">
        <f t="shared" si="50"/>
        <v>#N/A</v>
      </c>
      <c r="AF319" s="4" t="e">
        <f t="shared" si="46"/>
        <v>#N/A</v>
      </c>
    </row>
    <row r="320" spans="2:32">
      <c r="B320" s="5">
        <f t="shared" si="51"/>
        <v>308</v>
      </c>
      <c r="C320" s="5"/>
      <c r="E320" s="13"/>
      <c r="F320" s="5"/>
      <c r="G320" s="11" t="str">
        <f>IF(ISERROR(AVERAGE(F$13:F320)),"n/a",AVERAGE(F$13:F320))</f>
        <v>n/a</v>
      </c>
      <c r="H320" s="11" t="str">
        <f t="shared" si="47"/>
        <v>n/a</v>
      </c>
      <c r="J320" s="5"/>
      <c r="K320" s="5"/>
      <c r="L320" s="5"/>
      <c r="M320" s="5"/>
      <c r="N320" s="5"/>
      <c r="O320" s="8" t="str">
        <f t="shared" si="45"/>
        <v>n/a</v>
      </c>
      <c r="Q320" s="5"/>
      <c r="R320" s="5"/>
      <c r="S320" s="5"/>
      <c r="U320" s="6"/>
      <c r="V320" s="9" t="str">
        <f t="shared" si="48"/>
        <v/>
      </c>
      <c r="W320" s="9" t="str">
        <f t="shared" si="49"/>
        <v/>
      </c>
      <c r="X320" s="10">
        <f>SUM(V$13:V320)/COUNTA(B$13:B320)</f>
        <v>0</v>
      </c>
      <c r="Z320" s="5"/>
      <c r="AA320" s="5"/>
      <c r="AC320" s="7"/>
      <c r="AE320" s="54" t="e">
        <f t="shared" si="50"/>
        <v>#N/A</v>
      </c>
      <c r="AF320" s="4" t="e">
        <f t="shared" si="46"/>
        <v>#N/A</v>
      </c>
    </row>
    <row r="321" spans="2:32">
      <c r="B321" s="5">
        <f t="shared" si="51"/>
        <v>309</v>
      </c>
      <c r="C321" s="5"/>
      <c r="E321" s="13"/>
      <c r="F321" s="5"/>
      <c r="G321" s="11" t="str">
        <f>IF(ISERROR(AVERAGE(F$13:F321)),"n/a",AVERAGE(F$13:F321))</f>
        <v>n/a</v>
      </c>
      <c r="H321" s="11" t="str">
        <f t="shared" si="47"/>
        <v>n/a</v>
      </c>
      <c r="J321" s="5"/>
      <c r="K321" s="5"/>
      <c r="L321" s="5"/>
      <c r="M321" s="5"/>
      <c r="N321" s="5"/>
      <c r="O321" s="8" t="str">
        <f t="shared" si="45"/>
        <v>n/a</v>
      </c>
      <c r="Q321" s="5"/>
      <c r="R321" s="5"/>
      <c r="S321" s="5"/>
      <c r="U321" s="6"/>
      <c r="V321" s="9" t="str">
        <f t="shared" si="48"/>
        <v/>
      </c>
      <c r="W321" s="9" t="str">
        <f t="shared" si="49"/>
        <v/>
      </c>
      <c r="X321" s="10">
        <f>SUM(V$13:V321)/COUNTA(B$13:B321)</f>
        <v>0</v>
      </c>
      <c r="Z321" s="5"/>
      <c r="AA321" s="5"/>
      <c r="AC321" s="7"/>
      <c r="AE321" s="54" t="e">
        <f t="shared" si="50"/>
        <v>#N/A</v>
      </c>
      <c r="AF321" s="4" t="e">
        <f t="shared" si="46"/>
        <v>#N/A</v>
      </c>
    </row>
    <row r="322" spans="2:32">
      <c r="B322" s="5">
        <f t="shared" si="51"/>
        <v>310</v>
      </c>
      <c r="C322" s="5"/>
      <c r="E322" s="13"/>
      <c r="F322" s="5"/>
      <c r="G322" s="11" t="str">
        <f>IF(ISERROR(AVERAGE(F$13:F322)),"n/a",AVERAGE(F$13:F322))</f>
        <v>n/a</v>
      </c>
      <c r="H322" s="11" t="str">
        <f t="shared" si="47"/>
        <v>n/a</v>
      </c>
      <c r="J322" s="5"/>
      <c r="K322" s="5"/>
      <c r="L322" s="5"/>
      <c r="M322" s="5"/>
      <c r="N322" s="5"/>
      <c r="O322" s="8" t="str">
        <f t="shared" si="45"/>
        <v>n/a</v>
      </c>
      <c r="Q322" s="5"/>
      <c r="R322" s="5"/>
      <c r="S322" s="5"/>
      <c r="U322" s="6"/>
      <c r="V322" s="9" t="str">
        <f t="shared" si="48"/>
        <v/>
      </c>
      <c r="W322" s="9" t="str">
        <f t="shared" si="49"/>
        <v/>
      </c>
      <c r="X322" s="10">
        <f>SUM(V$13:V322)/COUNTA(B$13:B322)</f>
        <v>0</v>
      </c>
      <c r="Z322" s="5"/>
      <c r="AA322" s="5"/>
      <c r="AC322" s="7"/>
      <c r="AE322" s="54" t="e">
        <f t="shared" si="50"/>
        <v>#N/A</v>
      </c>
      <c r="AF322" s="4" t="e">
        <f t="shared" si="46"/>
        <v>#N/A</v>
      </c>
    </row>
    <row r="323" spans="2:32">
      <c r="B323" s="5">
        <f t="shared" si="51"/>
        <v>311</v>
      </c>
      <c r="C323" s="5"/>
      <c r="E323" s="13"/>
      <c r="F323" s="5"/>
      <c r="G323" s="11" t="str">
        <f>IF(ISERROR(AVERAGE(F$13:F323)),"n/a",AVERAGE(F$13:F323))</f>
        <v>n/a</v>
      </c>
      <c r="H323" s="11" t="str">
        <f t="shared" si="47"/>
        <v>n/a</v>
      </c>
      <c r="J323" s="5"/>
      <c r="K323" s="5"/>
      <c r="L323" s="5"/>
      <c r="M323" s="5"/>
      <c r="N323" s="5"/>
      <c r="O323" s="8" t="str">
        <f t="shared" si="45"/>
        <v>n/a</v>
      </c>
      <c r="Q323" s="5"/>
      <c r="R323" s="5"/>
      <c r="S323" s="5"/>
      <c r="U323" s="6"/>
      <c r="V323" s="9" t="str">
        <f t="shared" si="48"/>
        <v/>
      </c>
      <c r="W323" s="9" t="str">
        <f t="shared" si="49"/>
        <v/>
      </c>
      <c r="X323" s="10">
        <f>SUM(V$13:V323)/COUNTA(B$13:B323)</f>
        <v>0</v>
      </c>
      <c r="Z323" s="5"/>
      <c r="AA323" s="5"/>
      <c r="AC323" s="7"/>
      <c r="AE323" s="54" t="e">
        <f t="shared" si="50"/>
        <v>#N/A</v>
      </c>
      <c r="AF323" s="4" t="e">
        <f t="shared" si="46"/>
        <v>#N/A</v>
      </c>
    </row>
    <row r="324" spans="2:32">
      <c r="B324" s="5">
        <f t="shared" si="51"/>
        <v>312</v>
      </c>
      <c r="C324" s="5"/>
      <c r="E324" s="13"/>
      <c r="F324" s="5"/>
      <c r="G324" s="11" t="str">
        <f>IF(ISERROR(AVERAGE(F$13:F324)),"n/a",AVERAGE(F$13:F324))</f>
        <v>n/a</v>
      </c>
      <c r="H324" s="11" t="str">
        <f t="shared" si="47"/>
        <v>n/a</v>
      </c>
      <c r="J324" s="5"/>
      <c r="K324" s="5"/>
      <c r="L324" s="5"/>
      <c r="M324" s="5"/>
      <c r="N324" s="5"/>
      <c r="O324" s="8" t="str">
        <f t="shared" si="45"/>
        <v>n/a</v>
      </c>
      <c r="Q324" s="5"/>
      <c r="R324" s="5"/>
      <c r="S324" s="5"/>
      <c r="U324" s="6"/>
      <c r="V324" s="9" t="str">
        <f t="shared" si="48"/>
        <v/>
      </c>
      <c r="W324" s="9" t="str">
        <f t="shared" si="49"/>
        <v/>
      </c>
      <c r="X324" s="10">
        <f>SUM(V$13:V324)/COUNTA(B$13:B324)</f>
        <v>0</v>
      </c>
      <c r="Z324" s="5"/>
      <c r="AA324" s="5"/>
      <c r="AC324" s="7"/>
      <c r="AE324" s="54" t="e">
        <f t="shared" si="50"/>
        <v>#N/A</v>
      </c>
      <c r="AF324" s="4" t="e">
        <f t="shared" si="46"/>
        <v>#N/A</v>
      </c>
    </row>
    <row r="325" spans="2:32">
      <c r="B325" s="5">
        <f t="shared" si="51"/>
        <v>313</v>
      </c>
      <c r="C325" s="5"/>
      <c r="E325" s="13"/>
      <c r="F325" s="5"/>
      <c r="G325" s="11" t="str">
        <f>IF(ISERROR(AVERAGE(F$13:F325)),"n/a",AVERAGE(F$13:F325))</f>
        <v>n/a</v>
      </c>
      <c r="H325" s="11" t="str">
        <f t="shared" si="47"/>
        <v>n/a</v>
      </c>
      <c r="J325" s="5"/>
      <c r="K325" s="5"/>
      <c r="L325" s="5"/>
      <c r="M325" s="5"/>
      <c r="N325" s="5"/>
      <c r="O325" s="8" t="str">
        <f t="shared" si="45"/>
        <v>n/a</v>
      </c>
      <c r="Q325" s="5"/>
      <c r="R325" s="5"/>
      <c r="S325" s="5"/>
      <c r="U325" s="6"/>
      <c r="V325" s="9" t="str">
        <f t="shared" si="48"/>
        <v/>
      </c>
      <c r="W325" s="9" t="str">
        <f t="shared" si="49"/>
        <v/>
      </c>
      <c r="X325" s="10">
        <f>SUM(V$13:V325)/COUNTA(B$13:B325)</f>
        <v>0</v>
      </c>
      <c r="Z325" s="5"/>
      <c r="AA325" s="5"/>
      <c r="AC325" s="7"/>
      <c r="AE325" s="54" t="e">
        <f t="shared" si="50"/>
        <v>#N/A</v>
      </c>
      <c r="AF325" s="4" t="e">
        <f t="shared" si="46"/>
        <v>#N/A</v>
      </c>
    </row>
    <row r="326" spans="2:32">
      <c r="B326" s="5">
        <f t="shared" si="51"/>
        <v>314</v>
      </c>
      <c r="C326" s="5"/>
      <c r="E326" s="13"/>
      <c r="F326" s="5"/>
      <c r="G326" s="11" t="str">
        <f>IF(ISERROR(AVERAGE(F$13:F326)),"n/a",AVERAGE(F$13:F326))</f>
        <v>n/a</v>
      </c>
      <c r="H326" s="11" t="str">
        <f t="shared" si="47"/>
        <v>n/a</v>
      </c>
      <c r="J326" s="5"/>
      <c r="K326" s="5"/>
      <c r="L326" s="5"/>
      <c r="M326" s="5"/>
      <c r="N326" s="5"/>
      <c r="O326" s="8" t="str">
        <f t="shared" si="45"/>
        <v>n/a</v>
      </c>
      <c r="Q326" s="5"/>
      <c r="R326" s="5"/>
      <c r="S326" s="5"/>
      <c r="U326" s="6"/>
      <c r="V326" s="9" t="str">
        <f t="shared" si="48"/>
        <v/>
      </c>
      <c r="W326" s="9" t="str">
        <f t="shared" si="49"/>
        <v/>
      </c>
      <c r="X326" s="10">
        <f>SUM(V$13:V326)/COUNTA(B$13:B326)</f>
        <v>0</v>
      </c>
      <c r="Z326" s="5"/>
      <c r="AA326" s="5"/>
      <c r="AC326" s="7"/>
      <c r="AE326" s="54" t="e">
        <f t="shared" si="50"/>
        <v>#N/A</v>
      </c>
      <c r="AF326" s="4" t="e">
        <f t="shared" si="46"/>
        <v>#N/A</v>
      </c>
    </row>
    <row r="327" spans="2:32">
      <c r="B327" s="5">
        <f t="shared" si="51"/>
        <v>315</v>
      </c>
      <c r="C327" s="5"/>
      <c r="E327" s="13"/>
      <c r="F327" s="5"/>
      <c r="G327" s="11" t="str">
        <f>IF(ISERROR(AVERAGE(F$13:F327)),"n/a",AVERAGE(F$13:F327))</f>
        <v>n/a</v>
      </c>
      <c r="H327" s="11" t="str">
        <f t="shared" si="47"/>
        <v>n/a</v>
      </c>
      <c r="J327" s="5"/>
      <c r="K327" s="5"/>
      <c r="L327" s="5"/>
      <c r="M327" s="5"/>
      <c r="N327" s="5"/>
      <c r="O327" s="8" t="str">
        <f t="shared" si="45"/>
        <v>n/a</v>
      </c>
      <c r="Q327" s="5"/>
      <c r="R327" s="5"/>
      <c r="S327" s="5"/>
      <c r="U327" s="6"/>
      <c r="V327" s="9" t="str">
        <f t="shared" si="48"/>
        <v/>
      </c>
      <c r="W327" s="9" t="str">
        <f t="shared" si="49"/>
        <v/>
      </c>
      <c r="X327" s="10">
        <f>SUM(V$13:V327)/COUNTA(B$13:B327)</f>
        <v>0</v>
      </c>
      <c r="Z327" s="5"/>
      <c r="AA327" s="5"/>
      <c r="AC327" s="7"/>
      <c r="AE327" s="54" t="e">
        <f t="shared" si="50"/>
        <v>#N/A</v>
      </c>
      <c r="AF327" s="4" t="e">
        <f t="shared" si="46"/>
        <v>#N/A</v>
      </c>
    </row>
    <row r="328" spans="2:32">
      <c r="B328" s="5">
        <f t="shared" si="51"/>
        <v>316</v>
      </c>
      <c r="C328" s="5"/>
      <c r="E328" s="13"/>
      <c r="F328" s="5"/>
      <c r="G328" s="11" t="str">
        <f>IF(ISERROR(AVERAGE(F$13:F328)),"n/a",AVERAGE(F$13:F328))</f>
        <v>n/a</v>
      </c>
      <c r="H328" s="11" t="str">
        <f t="shared" si="47"/>
        <v>n/a</v>
      </c>
      <c r="J328" s="5"/>
      <c r="K328" s="5"/>
      <c r="L328" s="5"/>
      <c r="M328" s="5"/>
      <c r="N328" s="5"/>
      <c r="O328" s="8" t="str">
        <f t="shared" si="45"/>
        <v>n/a</v>
      </c>
      <c r="Q328" s="5"/>
      <c r="R328" s="5"/>
      <c r="S328" s="5"/>
      <c r="U328" s="6"/>
      <c r="V328" s="9" t="str">
        <f t="shared" si="48"/>
        <v/>
      </c>
      <c r="W328" s="9" t="str">
        <f t="shared" si="49"/>
        <v/>
      </c>
      <c r="X328" s="10">
        <f>SUM(V$13:V328)/COUNTA(B$13:B328)</f>
        <v>0</v>
      </c>
      <c r="Z328" s="5"/>
      <c r="AA328" s="5"/>
      <c r="AC328" s="7"/>
      <c r="AE328" s="54" t="e">
        <f t="shared" si="50"/>
        <v>#N/A</v>
      </c>
      <c r="AF328" s="4" t="e">
        <f t="shared" si="46"/>
        <v>#N/A</v>
      </c>
    </row>
    <row r="329" spans="2:32">
      <c r="B329" s="5">
        <f t="shared" si="51"/>
        <v>317</v>
      </c>
      <c r="C329" s="5"/>
      <c r="E329" s="13"/>
      <c r="F329" s="5"/>
      <c r="G329" s="11" t="str">
        <f>IF(ISERROR(AVERAGE(F$13:F329)),"n/a",AVERAGE(F$13:F329))</f>
        <v>n/a</v>
      </c>
      <c r="H329" s="11" t="str">
        <f t="shared" si="47"/>
        <v>n/a</v>
      </c>
      <c r="J329" s="5"/>
      <c r="K329" s="5"/>
      <c r="L329" s="5"/>
      <c r="M329" s="5"/>
      <c r="N329" s="5"/>
      <c r="O329" s="8" t="str">
        <f t="shared" si="45"/>
        <v>n/a</v>
      </c>
      <c r="Q329" s="5"/>
      <c r="R329" s="5"/>
      <c r="S329" s="5"/>
      <c r="U329" s="6"/>
      <c r="V329" s="9" t="str">
        <f t="shared" si="48"/>
        <v/>
      </c>
      <c r="W329" s="9" t="str">
        <f t="shared" si="49"/>
        <v/>
      </c>
      <c r="X329" s="10">
        <f>SUM(V$13:V329)/COUNTA(B$13:B329)</f>
        <v>0</v>
      </c>
      <c r="Z329" s="5"/>
      <c r="AA329" s="5"/>
      <c r="AC329" s="7"/>
      <c r="AE329" s="54" t="e">
        <f t="shared" si="50"/>
        <v>#N/A</v>
      </c>
      <c r="AF329" s="4" t="e">
        <f t="shared" si="46"/>
        <v>#N/A</v>
      </c>
    </row>
    <row r="330" spans="2:32">
      <c r="B330" s="5">
        <f t="shared" si="51"/>
        <v>318</v>
      </c>
      <c r="C330" s="5"/>
      <c r="E330" s="13"/>
      <c r="F330" s="5"/>
      <c r="G330" s="11" t="str">
        <f>IF(ISERROR(AVERAGE(F$13:F330)),"n/a",AVERAGE(F$13:F330))</f>
        <v>n/a</v>
      </c>
      <c r="H330" s="11" t="str">
        <f t="shared" si="47"/>
        <v>n/a</v>
      </c>
      <c r="J330" s="5"/>
      <c r="K330" s="5"/>
      <c r="L330" s="5"/>
      <c r="M330" s="5"/>
      <c r="N330" s="5"/>
      <c r="O330" s="8" t="str">
        <f t="shared" si="45"/>
        <v>n/a</v>
      </c>
      <c r="Q330" s="5"/>
      <c r="R330" s="5"/>
      <c r="S330" s="5"/>
      <c r="U330" s="6"/>
      <c r="V330" s="9" t="str">
        <f t="shared" si="48"/>
        <v/>
      </c>
      <c r="W330" s="9" t="str">
        <f t="shared" si="49"/>
        <v/>
      </c>
      <c r="X330" s="10">
        <f>SUM(V$13:V330)/COUNTA(B$13:B330)</f>
        <v>0</v>
      </c>
      <c r="Z330" s="5"/>
      <c r="AA330" s="5"/>
      <c r="AC330" s="7"/>
      <c r="AE330" s="54" t="e">
        <f t="shared" si="50"/>
        <v>#N/A</v>
      </c>
      <c r="AF330" s="4" t="e">
        <f t="shared" si="46"/>
        <v>#N/A</v>
      </c>
    </row>
    <row r="331" spans="2:32">
      <c r="B331" s="5">
        <f t="shared" si="51"/>
        <v>319</v>
      </c>
      <c r="C331" s="5"/>
      <c r="E331" s="13"/>
      <c r="F331" s="5"/>
      <c r="G331" s="11" t="str">
        <f>IF(ISERROR(AVERAGE(F$13:F331)),"n/a",AVERAGE(F$13:F331))</f>
        <v>n/a</v>
      </c>
      <c r="H331" s="11" t="str">
        <f t="shared" si="47"/>
        <v>n/a</v>
      </c>
      <c r="J331" s="5"/>
      <c r="K331" s="5"/>
      <c r="L331" s="5"/>
      <c r="M331" s="5"/>
      <c r="N331" s="5"/>
      <c r="O331" s="8" t="str">
        <f t="shared" si="45"/>
        <v>n/a</v>
      </c>
      <c r="Q331" s="5"/>
      <c r="R331" s="5"/>
      <c r="S331" s="5"/>
      <c r="U331" s="6"/>
      <c r="V331" s="9" t="str">
        <f t="shared" si="48"/>
        <v/>
      </c>
      <c r="W331" s="9" t="str">
        <f t="shared" si="49"/>
        <v/>
      </c>
      <c r="X331" s="10">
        <f>SUM(V$13:V331)/COUNTA(B$13:B331)</f>
        <v>0</v>
      </c>
      <c r="Z331" s="5"/>
      <c r="AA331" s="5"/>
      <c r="AC331" s="7"/>
      <c r="AE331" s="54" t="e">
        <f t="shared" si="50"/>
        <v>#N/A</v>
      </c>
      <c r="AF331" s="4" t="e">
        <f t="shared" si="46"/>
        <v>#N/A</v>
      </c>
    </row>
    <row r="332" spans="2:32">
      <c r="B332" s="5">
        <f t="shared" si="51"/>
        <v>320</v>
      </c>
      <c r="C332" s="5"/>
      <c r="E332" s="13"/>
      <c r="F332" s="5"/>
      <c r="G332" s="11" t="str">
        <f>IF(ISERROR(AVERAGE(F$13:F332)),"n/a",AVERAGE(F$13:F332))</f>
        <v>n/a</v>
      </c>
      <c r="H332" s="11" t="str">
        <f t="shared" si="47"/>
        <v>n/a</v>
      </c>
      <c r="J332" s="5"/>
      <c r="K332" s="5"/>
      <c r="L332" s="5"/>
      <c r="M332" s="5"/>
      <c r="N332" s="5"/>
      <c r="O332" s="8" t="str">
        <f t="shared" si="45"/>
        <v>n/a</v>
      </c>
      <c r="Q332" s="5"/>
      <c r="R332" s="5"/>
      <c r="S332" s="5"/>
      <c r="U332" s="6"/>
      <c r="V332" s="9" t="str">
        <f t="shared" si="48"/>
        <v/>
      </c>
      <c r="W332" s="9" t="str">
        <f t="shared" si="49"/>
        <v/>
      </c>
      <c r="X332" s="10">
        <f>SUM(V$13:V332)/COUNTA(B$13:B332)</f>
        <v>0</v>
      </c>
      <c r="Z332" s="5"/>
      <c r="AA332" s="5"/>
      <c r="AC332" s="7"/>
      <c r="AE332" s="54" t="e">
        <f t="shared" si="50"/>
        <v>#N/A</v>
      </c>
      <c r="AF332" s="4" t="e">
        <f t="shared" si="46"/>
        <v>#N/A</v>
      </c>
    </row>
    <row r="333" spans="2:32">
      <c r="B333" s="5">
        <f t="shared" si="51"/>
        <v>321</v>
      </c>
      <c r="C333" s="5"/>
      <c r="E333" s="13"/>
      <c r="F333" s="5"/>
      <c r="G333" s="11" t="str">
        <f>IF(ISERROR(AVERAGE(F$13:F333)),"n/a",AVERAGE(F$13:F333))</f>
        <v>n/a</v>
      </c>
      <c r="H333" s="11" t="str">
        <f t="shared" si="47"/>
        <v>n/a</v>
      </c>
      <c r="J333" s="5"/>
      <c r="K333" s="5"/>
      <c r="L333" s="5"/>
      <c r="M333" s="5"/>
      <c r="N333" s="5"/>
      <c r="O333" s="8" t="str">
        <f t="shared" ref="O333:O396" si="52">IF(J333=1,"A",IF(K333=1,"B",IF(L333=1,"C",IF(M333=1,"D",IF(N333=1,"E","n/a")))))</f>
        <v>n/a</v>
      </c>
      <c r="Q333" s="5"/>
      <c r="R333" s="5"/>
      <c r="S333" s="5"/>
      <c r="U333" s="6"/>
      <c r="V333" s="9" t="str">
        <f t="shared" si="48"/>
        <v/>
      </c>
      <c r="W333" s="9" t="str">
        <f t="shared" si="49"/>
        <v/>
      </c>
      <c r="X333" s="10">
        <f>SUM(V$13:V333)/COUNTA(B$13:B333)</f>
        <v>0</v>
      </c>
      <c r="Z333" s="5"/>
      <c r="AA333" s="5"/>
      <c r="AC333" s="7"/>
      <c r="AE333" s="54" t="e">
        <f t="shared" si="50"/>
        <v>#N/A</v>
      </c>
      <c r="AF333" s="4" t="e">
        <f t="shared" ref="AF333:AF396" si="53">HLOOKUP(C333,$K$6:$O$7,2,FALSE)</f>
        <v>#N/A</v>
      </c>
    </row>
    <row r="334" spans="2:32">
      <c r="B334" s="5">
        <f t="shared" si="51"/>
        <v>322</v>
      </c>
      <c r="C334" s="5"/>
      <c r="E334" s="13"/>
      <c r="F334" s="5"/>
      <c r="G334" s="11" t="str">
        <f>IF(ISERROR(AVERAGE(F$13:F334)),"n/a",AVERAGE(F$13:F334))</f>
        <v>n/a</v>
      </c>
      <c r="H334" s="11" t="str">
        <f t="shared" ref="H334:H397" si="54">G334</f>
        <v>n/a</v>
      </c>
      <c r="J334" s="5"/>
      <c r="K334" s="5"/>
      <c r="L334" s="5"/>
      <c r="M334" s="5"/>
      <c r="N334" s="5"/>
      <c r="O334" s="8" t="str">
        <f t="shared" si="52"/>
        <v>n/a</v>
      </c>
      <c r="Q334" s="5"/>
      <c r="R334" s="5"/>
      <c r="S334" s="5"/>
      <c r="U334" s="6"/>
      <c r="V334" s="9" t="str">
        <f t="shared" ref="V334:V397" si="55">IF(O334="n/a","",IF(O334=U334,1,""))</f>
        <v/>
      </c>
      <c r="W334" s="9" t="str">
        <f t="shared" ref="W334:W397" si="56">IF(O334="n/a","",IF(O334&lt;&gt;U334,1,""))</f>
        <v/>
      </c>
      <c r="X334" s="10">
        <f>SUM(V$13:V334)/COUNTA(B$13:B334)</f>
        <v>0</v>
      </c>
      <c r="Z334" s="5"/>
      <c r="AA334" s="5"/>
      <c r="AC334" s="7"/>
      <c r="AE334" s="54" t="e">
        <f t="shared" ref="AE334:AE397" si="57">+IF($F$4=0,0,IF(W334=1,1,IF(OR(R334*$F$8=1,S334*$F$9=1,F334&gt;=AF334),2,0)))</f>
        <v>#N/A</v>
      </c>
      <c r="AF334" s="4" t="e">
        <f t="shared" si="53"/>
        <v>#N/A</v>
      </c>
    </row>
    <row r="335" spans="2:32">
      <c r="B335" s="5">
        <f t="shared" si="51"/>
        <v>323</v>
      </c>
      <c r="C335" s="5"/>
      <c r="E335" s="13"/>
      <c r="F335" s="5"/>
      <c r="G335" s="11" t="str">
        <f>IF(ISERROR(AVERAGE(F$13:F335)),"n/a",AVERAGE(F$13:F335))</f>
        <v>n/a</v>
      </c>
      <c r="H335" s="11" t="str">
        <f t="shared" si="54"/>
        <v>n/a</v>
      </c>
      <c r="J335" s="5"/>
      <c r="K335" s="5"/>
      <c r="L335" s="5"/>
      <c r="M335" s="5"/>
      <c r="N335" s="5"/>
      <c r="O335" s="8" t="str">
        <f t="shared" si="52"/>
        <v>n/a</v>
      </c>
      <c r="Q335" s="5"/>
      <c r="R335" s="5"/>
      <c r="S335" s="5"/>
      <c r="U335" s="6"/>
      <c r="V335" s="9" t="str">
        <f t="shared" si="55"/>
        <v/>
      </c>
      <c r="W335" s="9" t="str">
        <f t="shared" si="56"/>
        <v/>
      </c>
      <c r="X335" s="10">
        <f>SUM(V$13:V335)/COUNTA(B$13:B335)</f>
        <v>0</v>
      </c>
      <c r="Z335" s="5"/>
      <c r="AA335" s="5"/>
      <c r="AC335" s="7"/>
      <c r="AE335" s="54" t="e">
        <f t="shared" si="57"/>
        <v>#N/A</v>
      </c>
      <c r="AF335" s="4" t="e">
        <f t="shared" si="53"/>
        <v>#N/A</v>
      </c>
    </row>
    <row r="336" spans="2:32">
      <c r="B336" s="5">
        <f t="shared" si="51"/>
        <v>324</v>
      </c>
      <c r="C336" s="5"/>
      <c r="E336" s="13"/>
      <c r="F336" s="5"/>
      <c r="G336" s="11" t="str">
        <f>IF(ISERROR(AVERAGE(F$13:F336)),"n/a",AVERAGE(F$13:F336))</f>
        <v>n/a</v>
      </c>
      <c r="H336" s="11" t="str">
        <f t="shared" si="54"/>
        <v>n/a</v>
      </c>
      <c r="J336" s="5"/>
      <c r="K336" s="5"/>
      <c r="L336" s="5"/>
      <c r="M336" s="5"/>
      <c r="N336" s="5"/>
      <c r="O336" s="8" t="str">
        <f t="shared" si="52"/>
        <v>n/a</v>
      </c>
      <c r="Q336" s="5"/>
      <c r="R336" s="5"/>
      <c r="S336" s="5"/>
      <c r="U336" s="6"/>
      <c r="V336" s="9" t="str">
        <f t="shared" si="55"/>
        <v/>
      </c>
      <c r="W336" s="9" t="str">
        <f t="shared" si="56"/>
        <v/>
      </c>
      <c r="X336" s="10">
        <f>SUM(V$13:V336)/COUNTA(B$13:B336)</f>
        <v>0</v>
      </c>
      <c r="Z336" s="5"/>
      <c r="AA336" s="5"/>
      <c r="AC336" s="7"/>
      <c r="AE336" s="54" t="e">
        <f t="shared" si="57"/>
        <v>#N/A</v>
      </c>
      <c r="AF336" s="4" t="e">
        <f t="shared" si="53"/>
        <v>#N/A</v>
      </c>
    </row>
    <row r="337" spans="2:32">
      <c r="B337" s="5">
        <f t="shared" si="51"/>
        <v>325</v>
      </c>
      <c r="C337" s="5"/>
      <c r="E337" s="13"/>
      <c r="F337" s="5"/>
      <c r="G337" s="11" t="str">
        <f>IF(ISERROR(AVERAGE(F$13:F337)),"n/a",AVERAGE(F$13:F337))</f>
        <v>n/a</v>
      </c>
      <c r="H337" s="11" t="str">
        <f t="shared" si="54"/>
        <v>n/a</v>
      </c>
      <c r="J337" s="5"/>
      <c r="K337" s="5"/>
      <c r="L337" s="5"/>
      <c r="M337" s="5"/>
      <c r="N337" s="5"/>
      <c r="O337" s="8" t="str">
        <f t="shared" si="52"/>
        <v>n/a</v>
      </c>
      <c r="Q337" s="5"/>
      <c r="R337" s="5"/>
      <c r="S337" s="5"/>
      <c r="U337" s="6"/>
      <c r="V337" s="9" t="str">
        <f t="shared" si="55"/>
        <v/>
      </c>
      <c r="W337" s="9" t="str">
        <f t="shared" si="56"/>
        <v/>
      </c>
      <c r="X337" s="10">
        <f>SUM(V$13:V337)/COUNTA(B$13:B337)</f>
        <v>0</v>
      </c>
      <c r="Z337" s="5"/>
      <c r="AA337" s="5"/>
      <c r="AC337" s="7"/>
      <c r="AE337" s="54" t="e">
        <f t="shared" si="57"/>
        <v>#N/A</v>
      </c>
      <c r="AF337" s="4" t="e">
        <f t="shared" si="53"/>
        <v>#N/A</v>
      </c>
    </row>
    <row r="338" spans="2:32">
      <c r="B338" s="5">
        <f t="shared" si="51"/>
        <v>326</v>
      </c>
      <c r="C338" s="5"/>
      <c r="E338" s="13"/>
      <c r="F338" s="5"/>
      <c r="G338" s="11" t="str">
        <f>IF(ISERROR(AVERAGE(F$13:F338)),"n/a",AVERAGE(F$13:F338))</f>
        <v>n/a</v>
      </c>
      <c r="H338" s="11" t="str">
        <f t="shared" si="54"/>
        <v>n/a</v>
      </c>
      <c r="J338" s="5"/>
      <c r="K338" s="5"/>
      <c r="L338" s="5"/>
      <c r="M338" s="5"/>
      <c r="N338" s="5"/>
      <c r="O338" s="8" t="str">
        <f t="shared" si="52"/>
        <v>n/a</v>
      </c>
      <c r="Q338" s="5"/>
      <c r="R338" s="5"/>
      <c r="S338" s="5"/>
      <c r="U338" s="6"/>
      <c r="V338" s="9" t="str">
        <f t="shared" si="55"/>
        <v/>
      </c>
      <c r="W338" s="9" t="str">
        <f t="shared" si="56"/>
        <v/>
      </c>
      <c r="X338" s="10">
        <f>SUM(V$13:V338)/COUNTA(B$13:B338)</f>
        <v>0</v>
      </c>
      <c r="Z338" s="5"/>
      <c r="AA338" s="5"/>
      <c r="AC338" s="7"/>
      <c r="AE338" s="54" t="e">
        <f t="shared" si="57"/>
        <v>#N/A</v>
      </c>
      <c r="AF338" s="4" t="e">
        <f t="shared" si="53"/>
        <v>#N/A</v>
      </c>
    </row>
    <row r="339" spans="2:32">
      <c r="B339" s="5">
        <f t="shared" ref="B339:B402" si="58">+B338+1</f>
        <v>327</v>
      </c>
      <c r="C339" s="5"/>
      <c r="E339" s="13"/>
      <c r="F339" s="5"/>
      <c r="G339" s="11" t="str">
        <f>IF(ISERROR(AVERAGE(F$13:F339)),"n/a",AVERAGE(F$13:F339))</f>
        <v>n/a</v>
      </c>
      <c r="H339" s="11" t="str">
        <f t="shared" si="54"/>
        <v>n/a</v>
      </c>
      <c r="J339" s="5"/>
      <c r="K339" s="5"/>
      <c r="L339" s="5"/>
      <c r="M339" s="5"/>
      <c r="N339" s="5"/>
      <c r="O339" s="8" t="str">
        <f t="shared" si="52"/>
        <v>n/a</v>
      </c>
      <c r="Q339" s="5"/>
      <c r="R339" s="5"/>
      <c r="S339" s="5"/>
      <c r="U339" s="6"/>
      <c r="V339" s="9" t="str">
        <f t="shared" si="55"/>
        <v/>
      </c>
      <c r="W339" s="9" t="str">
        <f t="shared" si="56"/>
        <v/>
      </c>
      <c r="X339" s="10">
        <f>SUM(V$13:V339)/COUNTA(B$13:B339)</f>
        <v>0</v>
      </c>
      <c r="Z339" s="5"/>
      <c r="AA339" s="5"/>
      <c r="AC339" s="7"/>
      <c r="AE339" s="54" t="e">
        <f t="shared" si="57"/>
        <v>#N/A</v>
      </c>
      <c r="AF339" s="4" t="e">
        <f t="shared" si="53"/>
        <v>#N/A</v>
      </c>
    </row>
    <row r="340" spans="2:32">
      <c r="B340" s="5">
        <f t="shared" si="58"/>
        <v>328</v>
      </c>
      <c r="C340" s="5"/>
      <c r="E340" s="13"/>
      <c r="F340" s="5"/>
      <c r="G340" s="11" t="str">
        <f>IF(ISERROR(AVERAGE(F$13:F340)),"n/a",AVERAGE(F$13:F340))</f>
        <v>n/a</v>
      </c>
      <c r="H340" s="11" t="str">
        <f t="shared" si="54"/>
        <v>n/a</v>
      </c>
      <c r="J340" s="5"/>
      <c r="K340" s="5"/>
      <c r="L340" s="5"/>
      <c r="M340" s="5"/>
      <c r="N340" s="5"/>
      <c r="O340" s="8" t="str">
        <f t="shared" si="52"/>
        <v>n/a</v>
      </c>
      <c r="Q340" s="5"/>
      <c r="R340" s="5"/>
      <c r="S340" s="5"/>
      <c r="U340" s="6"/>
      <c r="V340" s="9" t="str">
        <f t="shared" si="55"/>
        <v/>
      </c>
      <c r="W340" s="9" t="str">
        <f t="shared" si="56"/>
        <v/>
      </c>
      <c r="X340" s="10">
        <f>SUM(V$13:V340)/COUNTA(B$13:B340)</f>
        <v>0</v>
      </c>
      <c r="Z340" s="5"/>
      <c r="AA340" s="5"/>
      <c r="AC340" s="7"/>
      <c r="AE340" s="54" t="e">
        <f t="shared" si="57"/>
        <v>#N/A</v>
      </c>
      <c r="AF340" s="4" t="e">
        <f t="shared" si="53"/>
        <v>#N/A</v>
      </c>
    </row>
    <row r="341" spans="2:32">
      <c r="B341" s="5">
        <f t="shared" si="58"/>
        <v>329</v>
      </c>
      <c r="C341" s="5"/>
      <c r="E341" s="13"/>
      <c r="F341" s="5"/>
      <c r="G341" s="11" t="str">
        <f>IF(ISERROR(AVERAGE(F$13:F341)),"n/a",AVERAGE(F$13:F341))</f>
        <v>n/a</v>
      </c>
      <c r="H341" s="11" t="str">
        <f t="shared" si="54"/>
        <v>n/a</v>
      </c>
      <c r="J341" s="5"/>
      <c r="K341" s="5"/>
      <c r="L341" s="5"/>
      <c r="M341" s="5"/>
      <c r="N341" s="5"/>
      <c r="O341" s="8" t="str">
        <f t="shared" si="52"/>
        <v>n/a</v>
      </c>
      <c r="Q341" s="5"/>
      <c r="R341" s="5"/>
      <c r="S341" s="5"/>
      <c r="U341" s="6"/>
      <c r="V341" s="9" t="str">
        <f t="shared" si="55"/>
        <v/>
      </c>
      <c r="W341" s="9" t="str">
        <f t="shared" si="56"/>
        <v/>
      </c>
      <c r="X341" s="10">
        <f>SUM(V$13:V341)/COUNTA(B$13:B341)</f>
        <v>0</v>
      </c>
      <c r="Z341" s="5"/>
      <c r="AA341" s="5"/>
      <c r="AC341" s="7"/>
      <c r="AE341" s="54" t="e">
        <f t="shared" si="57"/>
        <v>#N/A</v>
      </c>
      <c r="AF341" s="4" t="e">
        <f t="shared" si="53"/>
        <v>#N/A</v>
      </c>
    </row>
    <row r="342" spans="2:32">
      <c r="B342" s="5">
        <f t="shared" si="58"/>
        <v>330</v>
      </c>
      <c r="C342" s="5"/>
      <c r="E342" s="13"/>
      <c r="F342" s="5"/>
      <c r="G342" s="11" t="str">
        <f>IF(ISERROR(AVERAGE(F$13:F342)),"n/a",AVERAGE(F$13:F342))</f>
        <v>n/a</v>
      </c>
      <c r="H342" s="11" t="str">
        <f t="shared" si="54"/>
        <v>n/a</v>
      </c>
      <c r="J342" s="5"/>
      <c r="K342" s="5"/>
      <c r="L342" s="5"/>
      <c r="M342" s="5"/>
      <c r="N342" s="5"/>
      <c r="O342" s="8" t="str">
        <f t="shared" si="52"/>
        <v>n/a</v>
      </c>
      <c r="Q342" s="5"/>
      <c r="R342" s="5"/>
      <c r="S342" s="5"/>
      <c r="U342" s="6"/>
      <c r="V342" s="9" t="str">
        <f t="shared" si="55"/>
        <v/>
      </c>
      <c r="W342" s="9" t="str">
        <f t="shared" si="56"/>
        <v/>
      </c>
      <c r="X342" s="10">
        <f>SUM(V$13:V342)/COUNTA(B$13:B342)</f>
        <v>0</v>
      </c>
      <c r="Z342" s="5"/>
      <c r="AA342" s="5"/>
      <c r="AC342" s="7"/>
      <c r="AE342" s="54" t="e">
        <f t="shared" si="57"/>
        <v>#N/A</v>
      </c>
      <c r="AF342" s="4" t="e">
        <f t="shared" si="53"/>
        <v>#N/A</v>
      </c>
    </row>
    <row r="343" spans="2:32">
      <c r="B343" s="5">
        <f t="shared" si="58"/>
        <v>331</v>
      </c>
      <c r="C343" s="5"/>
      <c r="E343" s="13"/>
      <c r="F343" s="5"/>
      <c r="G343" s="11" t="str">
        <f>IF(ISERROR(AVERAGE(F$13:F343)),"n/a",AVERAGE(F$13:F343))</f>
        <v>n/a</v>
      </c>
      <c r="H343" s="11" t="str">
        <f t="shared" si="54"/>
        <v>n/a</v>
      </c>
      <c r="J343" s="5"/>
      <c r="K343" s="5"/>
      <c r="L343" s="5"/>
      <c r="M343" s="5"/>
      <c r="N343" s="5"/>
      <c r="O343" s="8" t="str">
        <f t="shared" si="52"/>
        <v>n/a</v>
      </c>
      <c r="Q343" s="5"/>
      <c r="R343" s="5"/>
      <c r="S343" s="5"/>
      <c r="U343" s="6"/>
      <c r="V343" s="9" t="str">
        <f t="shared" si="55"/>
        <v/>
      </c>
      <c r="W343" s="9" t="str">
        <f t="shared" si="56"/>
        <v/>
      </c>
      <c r="X343" s="10">
        <f>SUM(V$13:V343)/COUNTA(B$13:B343)</f>
        <v>0</v>
      </c>
      <c r="Z343" s="5"/>
      <c r="AA343" s="5"/>
      <c r="AC343" s="7"/>
      <c r="AE343" s="54" t="e">
        <f t="shared" si="57"/>
        <v>#N/A</v>
      </c>
      <c r="AF343" s="4" t="e">
        <f t="shared" si="53"/>
        <v>#N/A</v>
      </c>
    </row>
    <row r="344" spans="2:32">
      <c r="B344" s="5">
        <f t="shared" si="58"/>
        <v>332</v>
      </c>
      <c r="C344" s="5"/>
      <c r="E344" s="13"/>
      <c r="F344" s="5"/>
      <c r="G344" s="11" t="str">
        <f>IF(ISERROR(AVERAGE(F$13:F344)),"n/a",AVERAGE(F$13:F344))</f>
        <v>n/a</v>
      </c>
      <c r="H344" s="11" t="str">
        <f t="shared" si="54"/>
        <v>n/a</v>
      </c>
      <c r="J344" s="5"/>
      <c r="K344" s="5"/>
      <c r="L344" s="5"/>
      <c r="M344" s="5"/>
      <c r="N344" s="5"/>
      <c r="O344" s="8" t="str">
        <f t="shared" si="52"/>
        <v>n/a</v>
      </c>
      <c r="Q344" s="5"/>
      <c r="R344" s="5"/>
      <c r="S344" s="5"/>
      <c r="U344" s="6"/>
      <c r="V344" s="9" t="str">
        <f t="shared" si="55"/>
        <v/>
      </c>
      <c r="W344" s="9" t="str">
        <f t="shared" si="56"/>
        <v/>
      </c>
      <c r="X344" s="10">
        <f>SUM(V$13:V344)/COUNTA(B$13:B344)</f>
        <v>0</v>
      </c>
      <c r="Z344" s="5"/>
      <c r="AA344" s="5"/>
      <c r="AC344" s="7"/>
      <c r="AE344" s="54" t="e">
        <f t="shared" si="57"/>
        <v>#N/A</v>
      </c>
      <c r="AF344" s="4" t="e">
        <f t="shared" si="53"/>
        <v>#N/A</v>
      </c>
    </row>
    <row r="345" spans="2:32">
      <c r="B345" s="5">
        <f t="shared" si="58"/>
        <v>333</v>
      </c>
      <c r="C345" s="5"/>
      <c r="E345" s="13"/>
      <c r="F345" s="5"/>
      <c r="G345" s="11" t="str">
        <f>IF(ISERROR(AVERAGE(F$13:F345)),"n/a",AVERAGE(F$13:F345))</f>
        <v>n/a</v>
      </c>
      <c r="H345" s="11" t="str">
        <f t="shared" si="54"/>
        <v>n/a</v>
      </c>
      <c r="J345" s="5"/>
      <c r="K345" s="5"/>
      <c r="L345" s="5"/>
      <c r="M345" s="5"/>
      <c r="N345" s="5"/>
      <c r="O345" s="8" t="str">
        <f t="shared" si="52"/>
        <v>n/a</v>
      </c>
      <c r="Q345" s="5"/>
      <c r="R345" s="5"/>
      <c r="S345" s="5"/>
      <c r="U345" s="6"/>
      <c r="V345" s="9" t="str">
        <f t="shared" si="55"/>
        <v/>
      </c>
      <c r="W345" s="9" t="str">
        <f t="shared" si="56"/>
        <v/>
      </c>
      <c r="X345" s="10">
        <f>SUM(V$13:V345)/COUNTA(B$13:B345)</f>
        <v>0</v>
      </c>
      <c r="Z345" s="5"/>
      <c r="AA345" s="5"/>
      <c r="AC345" s="7"/>
      <c r="AE345" s="54" t="e">
        <f t="shared" si="57"/>
        <v>#N/A</v>
      </c>
      <c r="AF345" s="4" t="e">
        <f t="shared" si="53"/>
        <v>#N/A</v>
      </c>
    </row>
    <row r="346" spans="2:32">
      <c r="B346" s="5">
        <f t="shared" si="58"/>
        <v>334</v>
      </c>
      <c r="C346" s="5"/>
      <c r="E346" s="13"/>
      <c r="F346" s="5"/>
      <c r="G346" s="11" t="str">
        <f>IF(ISERROR(AVERAGE(F$13:F346)),"n/a",AVERAGE(F$13:F346))</f>
        <v>n/a</v>
      </c>
      <c r="H346" s="11" t="str">
        <f t="shared" si="54"/>
        <v>n/a</v>
      </c>
      <c r="J346" s="5"/>
      <c r="K346" s="5"/>
      <c r="L346" s="5"/>
      <c r="M346" s="5"/>
      <c r="N346" s="5"/>
      <c r="O346" s="8" t="str">
        <f t="shared" si="52"/>
        <v>n/a</v>
      </c>
      <c r="Q346" s="5"/>
      <c r="R346" s="5"/>
      <c r="S346" s="5"/>
      <c r="U346" s="6"/>
      <c r="V346" s="9" t="str">
        <f t="shared" si="55"/>
        <v/>
      </c>
      <c r="W346" s="9" t="str">
        <f t="shared" si="56"/>
        <v/>
      </c>
      <c r="X346" s="10">
        <f>SUM(V$13:V346)/COUNTA(B$13:B346)</f>
        <v>0</v>
      </c>
      <c r="Z346" s="5"/>
      <c r="AA346" s="5"/>
      <c r="AC346" s="7"/>
      <c r="AE346" s="54" t="e">
        <f t="shared" si="57"/>
        <v>#N/A</v>
      </c>
      <c r="AF346" s="4" t="e">
        <f t="shared" si="53"/>
        <v>#N/A</v>
      </c>
    </row>
    <row r="347" spans="2:32">
      <c r="B347" s="5">
        <f t="shared" si="58"/>
        <v>335</v>
      </c>
      <c r="C347" s="5"/>
      <c r="E347" s="13"/>
      <c r="F347" s="5"/>
      <c r="G347" s="11" t="str">
        <f>IF(ISERROR(AVERAGE(F$13:F347)),"n/a",AVERAGE(F$13:F347))</f>
        <v>n/a</v>
      </c>
      <c r="H347" s="11" t="str">
        <f t="shared" si="54"/>
        <v>n/a</v>
      </c>
      <c r="J347" s="5"/>
      <c r="K347" s="5"/>
      <c r="L347" s="5"/>
      <c r="M347" s="5"/>
      <c r="N347" s="5"/>
      <c r="O347" s="8" t="str">
        <f t="shared" si="52"/>
        <v>n/a</v>
      </c>
      <c r="Q347" s="5"/>
      <c r="R347" s="5"/>
      <c r="S347" s="5"/>
      <c r="U347" s="6"/>
      <c r="V347" s="9" t="str">
        <f t="shared" si="55"/>
        <v/>
      </c>
      <c r="W347" s="9" t="str">
        <f t="shared" si="56"/>
        <v/>
      </c>
      <c r="X347" s="10">
        <f>SUM(V$13:V347)/COUNTA(B$13:B347)</f>
        <v>0</v>
      </c>
      <c r="Z347" s="5"/>
      <c r="AA347" s="5"/>
      <c r="AC347" s="7"/>
      <c r="AE347" s="54" t="e">
        <f t="shared" si="57"/>
        <v>#N/A</v>
      </c>
      <c r="AF347" s="4" t="e">
        <f t="shared" si="53"/>
        <v>#N/A</v>
      </c>
    </row>
    <row r="348" spans="2:32">
      <c r="B348" s="5">
        <f t="shared" si="58"/>
        <v>336</v>
      </c>
      <c r="C348" s="5"/>
      <c r="E348" s="13"/>
      <c r="F348" s="5"/>
      <c r="G348" s="11" t="str">
        <f>IF(ISERROR(AVERAGE(F$13:F348)),"n/a",AVERAGE(F$13:F348))</f>
        <v>n/a</v>
      </c>
      <c r="H348" s="11" t="str">
        <f t="shared" si="54"/>
        <v>n/a</v>
      </c>
      <c r="J348" s="5"/>
      <c r="K348" s="5"/>
      <c r="L348" s="5"/>
      <c r="M348" s="5"/>
      <c r="N348" s="5"/>
      <c r="O348" s="8" t="str">
        <f t="shared" si="52"/>
        <v>n/a</v>
      </c>
      <c r="Q348" s="5"/>
      <c r="R348" s="5"/>
      <c r="S348" s="5"/>
      <c r="U348" s="6"/>
      <c r="V348" s="9" t="str">
        <f t="shared" si="55"/>
        <v/>
      </c>
      <c r="W348" s="9" t="str">
        <f t="shared" si="56"/>
        <v/>
      </c>
      <c r="X348" s="10">
        <f>SUM(V$13:V348)/COUNTA(B$13:B348)</f>
        <v>0</v>
      </c>
      <c r="Z348" s="5"/>
      <c r="AA348" s="5"/>
      <c r="AC348" s="7"/>
      <c r="AE348" s="54" t="e">
        <f t="shared" si="57"/>
        <v>#N/A</v>
      </c>
      <c r="AF348" s="4" t="e">
        <f t="shared" si="53"/>
        <v>#N/A</v>
      </c>
    </row>
    <row r="349" spans="2:32">
      <c r="B349" s="5">
        <f t="shared" si="58"/>
        <v>337</v>
      </c>
      <c r="C349" s="5"/>
      <c r="E349" s="13"/>
      <c r="F349" s="5"/>
      <c r="G349" s="11" t="str">
        <f>IF(ISERROR(AVERAGE(F$13:F349)),"n/a",AVERAGE(F$13:F349))</f>
        <v>n/a</v>
      </c>
      <c r="H349" s="11" t="str">
        <f t="shared" si="54"/>
        <v>n/a</v>
      </c>
      <c r="J349" s="5"/>
      <c r="K349" s="5"/>
      <c r="L349" s="5"/>
      <c r="M349" s="5"/>
      <c r="N349" s="5"/>
      <c r="O349" s="8" t="str">
        <f t="shared" si="52"/>
        <v>n/a</v>
      </c>
      <c r="Q349" s="5"/>
      <c r="R349" s="5"/>
      <c r="S349" s="5"/>
      <c r="U349" s="6"/>
      <c r="V349" s="9" t="str">
        <f t="shared" si="55"/>
        <v/>
      </c>
      <c r="W349" s="9" t="str">
        <f t="shared" si="56"/>
        <v/>
      </c>
      <c r="X349" s="10">
        <f>SUM(V$13:V349)/COUNTA(B$13:B349)</f>
        <v>0</v>
      </c>
      <c r="Z349" s="5"/>
      <c r="AA349" s="5"/>
      <c r="AC349" s="7"/>
      <c r="AE349" s="54" t="e">
        <f t="shared" si="57"/>
        <v>#N/A</v>
      </c>
      <c r="AF349" s="4" t="e">
        <f t="shared" si="53"/>
        <v>#N/A</v>
      </c>
    </row>
    <row r="350" spans="2:32">
      <c r="B350" s="5">
        <f t="shared" si="58"/>
        <v>338</v>
      </c>
      <c r="C350" s="5"/>
      <c r="E350" s="13"/>
      <c r="F350" s="5"/>
      <c r="G350" s="11" t="str">
        <f>IF(ISERROR(AVERAGE(F$13:F350)),"n/a",AVERAGE(F$13:F350))</f>
        <v>n/a</v>
      </c>
      <c r="H350" s="11" t="str">
        <f t="shared" si="54"/>
        <v>n/a</v>
      </c>
      <c r="J350" s="5"/>
      <c r="K350" s="5"/>
      <c r="L350" s="5"/>
      <c r="M350" s="5"/>
      <c r="N350" s="5"/>
      <c r="O350" s="8" t="str">
        <f t="shared" si="52"/>
        <v>n/a</v>
      </c>
      <c r="Q350" s="5"/>
      <c r="R350" s="5"/>
      <c r="S350" s="5"/>
      <c r="U350" s="6"/>
      <c r="V350" s="9" t="str">
        <f t="shared" si="55"/>
        <v/>
      </c>
      <c r="W350" s="9" t="str">
        <f t="shared" si="56"/>
        <v/>
      </c>
      <c r="X350" s="10">
        <f>SUM(V$13:V350)/COUNTA(B$13:B350)</f>
        <v>0</v>
      </c>
      <c r="Z350" s="5"/>
      <c r="AA350" s="5"/>
      <c r="AC350" s="7"/>
      <c r="AE350" s="54" t="e">
        <f t="shared" si="57"/>
        <v>#N/A</v>
      </c>
      <c r="AF350" s="4" t="e">
        <f t="shared" si="53"/>
        <v>#N/A</v>
      </c>
    </row>
    <row r="351" spans="2:32">
      <c r="B351" s="5">
        <f t="shared" si="58"/>
        <v>339</v>
      </c>
      <c r="C351" s="5"/>
      <c r="E351" s="13"/>
      <c r="F351" s="5"/>
      <c r="G351" s="11" t="str">
        <f>IF(ISERROR(AVERAGE(F$13:F351)),"n/a",AVERAGE(F$13:F351))</f>
        <v>n/a</v>
      </c>
      <c r="H351" s="11" t="str">
        <f t="shared" si="54"/>
        <v>n/a</v>
      </c>
      <c r="J351" s="5"/>
      <c r="K351" s="5"/>
      <c r="L351" s="5"/>
      <c r="M351" s="5"/>
      <c r="N351" s="5"/>
      <c r="O351" s="8" t="str">
        <f t="shared" si="52"/>
        <v>n/a</v>
      </c>
      <c r="Q351" s="5"/>
      <c r="R351" s="5"/>
      <c r="S351" s="5"/>
      <c r="U351" s="6"/>
      <c r="V351" s="9" t="str">
        <f t="shared" si="55"/>
        <v/>
      </c>
      <c r="W351" s="9" t="str">
        <f t="shared" si="56"/>
        <v/>
      </c>
      <c r="X351" s="10">
        <f>SUM(V$13:V351)/COUNTA(B$13:B351)</f>
        <v>0</v>
      </c>
      <c r="Z351" s="5"/>
      <c r="AA351" s="5"/>
      <c r="AC351" s="7"/>
      <c r="AE351" s="54" t="e">
        <f t="shared" si="57"/>
        <v>#N/A</v>
      </c>
      <c r="AF351" s="4" t="e">
        <f t="shared" si="53"/>
        <v>#N/A</v>
      </c>
    </row>
    <row r="352" spans="2:32">
      <c r="B352" s="5">
        <f t="shared" si="58"/>
        <v>340</v>
      </c>
      <c r="C352" s="5"/>
      <c r="E352" s="13"/>
      <c r="F352" s="5"/>
      <c r="G352" s="11" t="str">
        <f>IF(ISERROR(AVERAGE(F$13:F352)),"n/a",AVERAGE(F$13:F352))</f>
        <v>n/a</v>
      </c>
      <c r="H352" s="11" t="str">
        <f t="shared" si="54"/>
        <v>n/a</v>
      </c>
      <c r="J352" s="5"/>
      <c r="K352" s="5"/>
      <c r="L352" s="5"/>
      <c r="M352" s="5"/>
      <c r="N352" s="5"/>
      <c r="O352" s="8" t="str">
        <f t="shared" si="52"/>
        <v>n/a</v>
      </c>
      <c r="Q352" s="5"/>
      <c r="R352" s="5"/>
      <c r="S352" s="5"/>
      <c r="U352" s="6"/>
      <c r="V352" s="9" t="str">
        <f t="shared" si="55"/>
        <v/>
      </c>
      <c r="W352" s="9" t="str">
        <f t="shared" si="56"/>
        <v/>
      </c>
      <c r="X352" s="10">
        <f>SUM(V$13:V352)/COUNTA(B$13:B352)</f>
        <v>0</v>
      </c>
      <c r="Z352" s="5"/>
      <c r="AA352" s="5"/>
      <c r="AC352" s="7"/>
      <c r="AE352" s="54" t="e">
        <f t="shared" si="57"/>
        <v>#N/A</v>
      </c>
      <c r="AF352" s="4" t="e">
        <f t="shared" si="53"/>
        <v>#N/A</v>
      </c>
    </row>
    <row r="353" spans="2:32">
      <c r="B353" s="5">
        <f t="shared" si="58"/>
        <v>341</v>
      </c>
      <c r="C353" s="5"/>
      <c r="E353" s="13"/>
      <c r="F353" s="5"/>
      <c r="G353" s="11" t="str">
        <f>IF(ISERROR(AVERAGE(F$13:F353)),"n/a",AVERAGE(F$13:F353))</f>
        <v>n/a</v>
      </c>
      <c r="H353" s="11" t="str">
        <f t="shared" si="54"/>
        <v>n/a</v>
      </c>
      <c r="J353" s="5"/>
      <c r="K353" s="5"/>
      <c r="L353" s="5"/>
      <c r="M353" s="5"/>
      <c r="N353" s="5"/>
      <c r="O353" s="8" t="str">
        <f t="shared" si="52"/>
        <v>n/a</v>
      </c>
      <c r="Q353" s="5"/>
      <c r="R353" s="5"/>
      <c r="S353" s="5"/>
      <c r="U353" s="6"/>
      <c r="V353" s="9" t="str">
        <f t="shared" si="55"/>
        <v/>
      </c>
      <c r="W353" s="9" t="str">
        <f t="shared" si="56"/>
        <v/>
      </c>
      <c r="X353" s="10">
        <f>SUM(V$13:V353)/COUNTA(B$13:B353)</f>
        <v>0</v>
      </c>
      <c r="Z353" s="5"/>
      <c r="AA353" s="5"/>
      <c r="AC353" s="7"/>
      <c r="AE353" s="54" t="e">
        <f t="shared" si="57"/>
        <v>#N/A</v>
      </c>
      <c r="AF353" s="4" t="e">
        <f t="shared" si="53"/>
        <v>#N/A</v>
      </c>
    </row>
    <row r="354" spans="2:32">
      <c r="B354" s="5">
        <f t="shared" si="58"/>
        <v>342</v>
      </c>
      <c r="C354" s="5"/>
      <c r="E354" s="13"/>
      <c r="F354" s="5"/>
      <c r="G354" s="11" t="str">
        <f>IF(ISERROR(AVERAGE(F$13:F354)),"n/a",AVERAGE(F$13:F354))</f>
        <v>n/a</v>
      </c>
      <c r="H354" s="11" t="str">
        <f t="shared" si="54"/>
        <v>n/a</v>
      </c>
      <c r="J354" s="5"/>
      <c r="K354" s="5"/>
      <c r="L354" s="5"/>
      <c r="M354" s="5"/>
      <c r="N354" s="5"/>
      <c r="O354" s="8" t="str">
        <f t="shared" si="52"/>
        <v>n/a</v>
      </c>
      <c r="Q354" s="5"/>
      <c r="R354" s="5"/>
      <c r="S354" s="5"/>
      <c r="U354" s="6"/>
      <c r="V354" s="9" t="str">
        <f t="shared" si="55"/>
        <v/>
      </c>
      <c r="W354" s="9" t="str">
        <f t="shared" si="56"/>
        <v/>
      </c>
      <c r="X354" s="10">
        <f>SUM(V$13:V354)/COUNTA(B$13:B354)</f>
        <v>0</v>
      </c>
      <c r="Z354" s="5"/>
      <c r="AA354" s="5"/>
      <c r="AC354" s="7"/>
      <c r="AE354" s="54" t="e">
        <f t="shared" si="57"/>
        <v>#N/A</v>
      </c>
      <c r="AF354" s="4" t="e">
        <f t="shared" si="53"/>
        <v>#N/A</v>
      </c>
    </row>
    <row r="355" spans="2:32">
      <c r="B355" s="5">
        <f t="shared" si="58"/>
        <v>343</v>
      </c>
      <c r="C355" s="5"/>
      <c r="E355" s="13"/>
      <c r="F355" s="5"/>
      <c r="G355" s="11" t="str">
        <f>IF(ISERROR(AVERAGE(F$13:F355)),"n/a",AVERAGE(F$13:F355))</f>
        <v>n/a</v>
      </c>
      <c r="H355" s="11" t="str">
        <f t="shared" si="54"/>
        <v>n/a</v>
      </c>
      <c r="J355" s="5"/>
      <c r="K355" s="5"/>
      <c r="L355" s="5"/>
      <c r="M355" s="5"/>
      <c r="N355" s="5"/>
      <c r="O355" s="8" t="str">
        <f t="shared" si="52"/>
        <v>n/a</v>
      </c>
      <c r="Q355" s="5"/>
      <c r="R355" s="5"/>
      <c r="S355" s="5"/>
      <c r="U355" s="6"/>
      <c r="V355" s="9" t="str">
        <f t="shared" si="55"/>
        <v/>
      </c>
      <c r="W355" s="9" t="str">
        <f t="shared" si="56"/>
        <v/>
      </c>
      <c r="X355" s="10">
        <f>SUM(V$13:V355)/COUNTA(B$13:B355)</f>
        <v>0</v>
      </c>
      <c r="Z355" s="5"/>
      <c r="AA355" s="5"/>
      <c r="AC355" s="7"/>
      <c r="AE355" s="54" t="e">
        <f t="shared" si="57"/>
        <v>#N/A</v>
      </c>
      <c r="AF355" s="4" t="e">
        <f t="shared" si="53"/>
        <v>#N/A</v>
      </c>
    </row>
    <row r="356" spans="2:32">
      <c r="B356" s="5">
        <f t="shared" si="58"/>
        <v>344</v>
      </c>
      <c r="C356" s="5"/>
      <c r="E356" s="13"/>
      <c r="F356" s="5"/>
      <c r="G356" s="11" t="str">
        <f>IF(ISERROR(AVERAGE(F$13:F356)),"n/a",AVERAGE(F$13:F356))</f>
        <v>n/a</v>
      </c>
      <c r="H356" s="11" t="str">
        <f t="shared" si="54"/>
        <v>n/a</v>
      </c>
      <c r="J356" s="5"/>
      <c r="K356" s="5"/>
      <c r="L356" s="5"/>
      <c r="M356" s="5"/>
      <c r="N356" s="5"/>
      <c r="O356" s="8" t="str">
        <f t="shared" si="52"/>
        <v>n/a</v>
      </c>
      <c r="Q356" s="5"/>
      <c r="R356" s="5"/>
      <c r="S356" s="5"/>
      <c r="U356" s="6"/>
      <c r="V356" s="9" t="str">
        <f t="shared" si="55"/>
        <v/>
      </c>
      <c r="W356" s="9" t="str">
        <f t="shared" si="56"/>
        <v/>
      </c>
      <c r="X356" s="10">
        <f>SUM(V$13:V356)/COUNTA(B$13:B356)</f>
        <v>0</v>
      </c>
      <c r="Z356" s="5"/>
      <c r="AA356" s="5"/>
      <c r="AC356" s="7"/>
      <c r="AE356" s="54" t="e">
        <f t="shared" si="57"/>
        <v>#N/A</v>
      </c>
      <c r="AF356" s="4" t="e">
        <f t="shared" si="53"/>
        <v>#N/A</v>
      </c>
    </row>
    <row r="357" spans="2:32">
      <c r="B357" s="5">
        <f t="shared" si="58"/>
        <v>345</v>
      </c>
      <c r="C357" s="5"/>
      <c r="E357" s="13"/>
      <c r="F357" s="5"/>
      <c r="G357" s="11" t="str">
        <f>IF(ISERROR(AVERAGE(F$13:F357)),"n/a",AVERAGE(F$13:F357))</f>
        <v>n/a</v>
      </c>
      <c r="H357" s="11" t="str">
        <f t="shared" si="54"/>
        <v>n/a</v>
      </c>
      <c r="J357" s="5"/>
      <c r="K357" s="5"/>
      <c r="L357" s="5"/>
      <c r="M357" s="5"/>
      <c r="N357" s="5"/>
      <c r="O357" s="8" t="str">
        <f t="shared" si="52"/>
        <v>n/a</v>
      </c>
      <c r="Q357" s="5"/>
      <c r="R357" s="5"/>
      <c r="S357" s="5"/>
      <c r="U357" s="6"/>
      <c r="V357" s="9" t="str">
        <f t="shared" si="55"/>
        <v/>
      </c>
      <c r="W357" s="9" t="str">
        <f t="shared" si="56"/>
        <v/>
      </c>
      <c r="X357" s="10">
        <f>SUM(V$13:V357)/COUNTA(B$13:B357)</f>
        <v>0</v>
      </c>
      <c r="Z357" s="5"/>
      <c r="AA357" s="5"/>
      <c r="AC357" s="7"/>
      <c r="AE357" s="54" t="e">
        <f t="shared" si="57"/>
        <v>#N/A</v>
      </c>
      <c r="AF357" s="4" t="e">
        <f t="shared" si="53"/>
        <v>#N/A</v>
      </c>
    </row>
    <row r="358" spans="2:32">
      <c r="B358" s="5">
        <f t="shared" si="58"/>
        <v>346</v>
      </c>
      <c r="C358" s="5"/>
      <c r="E358" s="13"/>
      <c r="F358" s="5"/>
      <c r="G358" s="11" t="str">
        <f>IF(ISERROR(AVERAGE(F$13:F358)),"n/a",AVERAGE(F$13:F358))</f>
        <v>n/a</v>
      </c>
      <c r="H358" s="11" t="str">
        <f t="shared" si="54"/>
        <v>n/a</v>
      </c>
      <c r="J358" s="5"/>
      <c r="K358" s="5"/>
      <c r="L358" s="5"/>
      <c r="M358" s="5"/>
      <c r="N358" s="5"/>
      <c r="O358" s="8" t="str">
        <f t="shared" si="52"/>
        <v>n/a</v>
      </c>
      <c r="Q358" s="5"/>
      <c r="R358" s="5"/>
      <c r="S358" s="5"/>
      <c r="U358" s="6"/>
      <c r="V358" s="9" t="str">
        <f t="shared" si="55"/>
        <v/>
      </c>
      <c r="W358" s="9" t="str">
        <f t="shared" si="56"/>
        <v/>
      </c>
      <c r="X358" s="10">
        <f>SUM(V$13:V358)/COUNTA(B$13:B358)</f>
        <v>0</v>
      </c>
      <c r="Z358" s="5"/>
      <c r="AA358" s="5"/>
      <c r="AC358" s="7"/>
      <c r="AE358" s="54" t="e">
        <f t="shared" si="57"/>
        <v>#N/A</v>
      </c>
      <c r="AF358" s="4" t="e">
        <f t="shared" si="53"/>
        <v>#N/A</v>
      </c>
    </row>
    <row r="359" spans="2:32">
      <c r="B359" s="5">
        <f t="shared" si="58"/>
        <v>347</v>
      </c>
      <c r="C359" s="5"/>
      <c r="E359" s="13"/>
      <c r="F359" s="5"/>
      <c r="G359" s="11" t="str">
        <f>IF(ISERROR(AVERAGE(F$13:F359)),"n/a",AVERAGE(F$13:F359))</f>
        <v>n/a</v>
      </c>
      <c r="H359" s="11" t="str">
        <f t="shared" si="54"/>
        <v>n/a</v>
      </c>
      <c r="J359" s="5"/>
      <c r="K359" s="5"/>
      <c r="L359" s="5"/>
      <c r="M359" s="5"/>
      <c r="N359" s="5"/>
      <c r="O359" s="8" t="str">
        <f t="shared" si="52"/>
        <v>n/a</v>
      </c>
      <c r="Q359" s="5"/>
      <c r="R359" s="5"/>
      <c r="S359" s="5"/>
      <c r="U359" s="6"/>
      <c r="V359" s="9" t="str">
        <f t="shared" si="55"/>
        <v/>
      </c>
      <c r="W359" s="9" t="str">
        <f t="shared" si="56"/>
        <v/>
      </c>
      <c r="X359" s="10">
        <f>SUM(V$13:V359)/COUNTA(B$13:B359)</f>
        <v>0</v>
      </c>
      <c r="Z359" s="5"/>
      <c r="AA359" s="5"/>
      <c r="AC359" s="7"/>
      <c r="AE359" s="54" t="e">
        <f t="shared" si="57"/>
        <v>#N/A</v>
      </c>
      <c r="AF359" s="4" t="e">
        <f t="shared" si="53"/>
        <v>#N/A</v>
      </c>
    </row>
    <row r="360" spans="2:32">
      <c r="B360" s="5">
        <f t="shared" si="58"/>
        <v>348</v>
      </c>
      <c r="C360" s="5"/>
      <c r="E360" s="13"/>
      <c r="F360" s="5"/>
      <c r="G360" s="11" t="str">
        <f>IF(ISERROR(AVERAGE(F$13:F360)),"n/a",AVERAGE(F$13:F360))</f>
        <v>n/a</v>
      </c>
      <c r="H360" s="11" t="str">
        <f t="shared" si="54"/>
        <v>n/a</v>
      </c>
      <c r="J360" s="5"/>
      <c r="K360" s="5"/>
      <c r="L360" s="5"/>
      <c r="M360" s="5"/>
      <c r="N360" s="5"/>
      <c r="O360" s="8" t="str">
        <f t="shared" si="52"/>
        <v>n/a</v>
      </c>
      <c r="Q360" s="5"/>
      <c r="R360" s="5"/>
      <c r="S360" s="5"/>
      <c r="U360" s="6"/>
      <c r="V360" s="9" t="str">
        <f t="shared" si="55"/>
        <v/>
      </c>
      <c r="W360" s="9" t="str">
        <f t="shared" si="56"/>
        <v/>
      </c>
      <c r="X360" s="10">
        <f>SUM(V$13:V360)/COUNTA(B$13:B360)</f>
        <v>0</v>
      </c>
      <c r="Z360" s="5"/>
      <c r="AA360" s="5"/>
      <c r="AC360" s="7"/>
      <c r="AE360" s="54" t="e">
        <f t="shared" si="57"/>
        <v>#N/A</v>
      </c>
      <c r="AF360" s="4" t="e">
        <f t="shared" si="53"/>
        <v>#N/A</v>
      </c>
    </row>
    <row r="361" spans="2:32">
      <c r="B361" s="5">
        <f t="shared" si="58"/>
        <v>349</v>
      </c>
      <c r="C361" s="5"/>
      <c r="E361" s="13"/>
      <c r="F361" s="5"/>
      <c r="G361" s="11" t="str">
        <f>IF(ISERROR(AVERAGE(F$13:F361)),"n/a",AVERAGE(F$13:F361))</f>
        <v>n/a</v>
      </c>
      <c r="H361" s="11" t="str">
        <f t="shared" si="54"/>
        <v>n/a</v>
      </c>
      <c r="J361" s="5"/>
      <c r="K361" s="5"/>
      <c r="L361" s="5"/>
      <c r="M361" s="5"/>
      <c r="N361" s="5"/>
      <c r="O361" s="8" t="str">
        <f t="shared" si="52"/>
        <v>n/a</v>
      </c>
      <c r="Q361" s="5"/>
      <c r="R361" s="5"/>
      <c r="S361" s="5"/>
      <c r="U361" s="6"/>
      <c r="V361" s="9" t="str">
        <f t="shared" si="55"/>
        <v/>
      </c>
      <c r="W361" s="9" t="str">
        <f t="shared" si="56"/>
        <v/>
      </c>
      <c r="X361" s="10">
        <f>SUM(V$13:V361)/COUNTA(B$13:B361)</f>
        <v>0</v>
      </c>
      <c r="Z361" s="5"/>
      <c r="AA361" s="5"/>
      <c r="AC361" s="7"/>
      <c r="AE361" s="54" t="e">
        <f t="shared" si="57"/>
        <v>#N/A</v>
      </c>
      <c r="AF361" s="4" t="e">
        <f t="shared" si="53"/>
        <v>#N/A</v>
      </c>
    </row>
    <row r="362" spans="2:32">
      <c r="B362" s="5">
        <f t="shared" si="58"/>
        <v>350</v>
      </c>
      <c r="C362" s="5"/>
      <c r="E362" s="13"/>
      <c r="F362" s="5"/>
      <c r="G362" s="11" t="str">
        <f>IF(ISERROR(AVERAGE(F$13:F362)),"n/a",AVERAGE(F$13:F362))</f>
        <v>n/a</v>
      </c>
      <c r="H362" s="11" t="str">
        <f t="shared" si="54"/>
        <v>n/a</v>
      </c>
      <c r="J362" s="5"/>
      <c r="K362" s="5"/>
      <c r="L362" s="5"/>
      <c r="M362" s="5"/>
      <c r="N362" s="5"/>
      <c r="O362" s="8" t="str">
        <f t="shared" si="52"/>
        <v>n/a</v>
      </c>
      <c r="Q362" s="5"/>
      <c r="R362" s="5"/>
      <c r="S362" s="5"/>
      <c r="U362" s="6"/>
      <c r="V362" s="9" t="str">
        <f t="shared" si="55"/>
        <v/>
      </c>
      <c r="W362" s="9" t="str">
        <f t="shared" si="56"/>
        <v/>
      </c>
      <c r="X362" s="10">
        <f>SUM(V$13:V362)/COUNTA(B$13:B362)</f>
        <v>0</v>
      </c>
      <c r="Z362" s="5"/>
      <c r="AA362" s="5"/>
      <c r="AC362" s="7"/>
      <c r="AE362" s="54" t="e">
        <f t="shared" si="57"/>
        <v>#N/A</v>
      </c>
      <c r="AF362" s="4" t="e">
        <f t="shared" si="53"/>
        <v>#N/A</v>
      </c>
    </row>
    <row r="363" spans="2:32">
      <c r="B363" s="5">
        <f t="shared" si="58"/>
        <v>351</v>
      </c>
      <c r="C363" s="5"/>
      <c r="E363" s="13"/>
      <c r="F363" s="5"/>
      <c r="G363" s="11" t="str">
        <f>IF(ISERROR(AVERAGE(F$13:F363)),"n/a",AVERAGE(F$13:F363))</f>
        <v>n/a</v>
      </c>
      <c r="H363" s="11" t="str">
        <f t="shared" si="54"/>
        <v>n/a</v>
      </c>
      <c r="J363" s="5"/>
      <c r="K363" s="5"/>
      <c r="L363" s="5"/>
      <c r="M363" s="5"/>
      <c r="N363" s="5"/>
      <c r="O363" s="8" t="str">
        <f t="shared" si="52"/>
        <v>n/a</v>
      </c>
      <c r="Q363" s="5"/>
      <c r="R363" s="5"/>
      <c r="S363" s="5"/>
      <c r="U363" s="6"/>
      <c r="V363" s="9" t="str">
        <f t="shared" si="55"/>
        <v/>
      </c>
      <c r="W363" s="9" t="str">
        <f t="shared" si="56"/>
        <v/>
      </c>
      <c r="X363" s="10">
        <f>SUM(V$13:V363)/COUNTA(B$13:B363)</f>
        <v>0</v>
      </c>
      <c r="Z363" s="5"/>
      <c r="AA363" s="5"/>
      <c r="AC363" s="7"/>
      <c r="AE363" s="54" t="e">
        <f t="shared" si="57"/>
        <v>#N/A</v>
      </c>
      <c r="AF363" s="4" t="e">
        <f t="shared" si="53"/>
        <v>#N/A</v>
      </c>
    </row>
    <row r="364" spans="2:32">
      <c r="B364" s="5">
        <f t="shared" si="58"/>
        <v>352</v>
      </c>
      <c r="C364" s="5"/>
      <c r="E364" s="13"/>
      <c r="F364" s="5"/>
      <c r="G364" s="11" t="str">
        <f>IF(ISERROR(AVERAGE(F$13:F364)),"n/a",AVERAGE(F$13:F364))</f>
        <v>n/a</v>
      </c>
      <c r="H364" s="11" t="str">
        <f t="shared" si="54"/>
        <v>n/a</v>
      </c>
      <c r="J364" s="5"/>
      <c r="K364" s="5"/>
      <c r="L364" s="5"/>
      <c r="M364" s="5"/>
      <c r="N364" s="5"/>
      <c r="O364" s="8" t="str">
        <f t="shared" si="52"/>
        <v>n/a</v>
      </c>
      <c r="Q364" s="5"/>
      <c r="R364" s="5"/>
      <c r="S364" s="5"/>
      <c r="U364" s="6"/>
      <c r="V364" s="9" t="str">
        <f t="shared" si="55"/>
        <v/>
      </c>
      <c r="W364" s="9" t="str">
        <f t="shared" si="56"/>
        <v/>
      </c>
      <c r="X364" s="10">
        <f>SUM(V$13:V364)/COUNTA(B$13:B364)</f>
        <v>0</v>
      </c>
      <c r="Z364" s="5"/>
      <c r="AA364" s="5"/>
      <c r="AC364" s="7"/>
      <c r="AE364" s="54" t="e">
        <f t="shared" si="57"/>
        <v>#N/A</v>
      </c>
      <c r="AF364" s="4" t="e">
        <f t="shared" si="53"/>
        <v>#N/A</v>
      </c>
    </row>
    <row r="365" spans="2:32">
      <c r="B365" s="5">
        <f t="shared" si="58"/>
        <v>353</v>
      </c>
      <c r="C365" s="5"/>
      <c r="E365" s="13"/>
      <c r="F365" s="5"/>
      <c r="G365" s="11" t="str">
        <f>IF(ISERROR(AVERAGE(F$13:F365)),"n/a",AVERAGE(F$13:F365))</f>
        <v>n/a</v>
      </c>
      <c r="H365" s="11" t="str">
        <f t="shared" si="54"/>
        <v>n/a</v>
      </c>
      <c r="J365" s="5"/>
      <c r="K365" s="5"/>
      <c r="L365" s="5"/>
      <c r="M365" s="5"/>
      <c r="N365" s="5"/>
      <c r="O365" s="8" t="str">
        <f t="shared" si="52"/>
        <v>n/a</v>
      </c>
      <c r="Q365" s="5"/>
      <c r="R365" s="5"/>
      <c r="S365" s="5"/>
      <c r="U365" s="6"/>
      <c r="V365" s="9" t="str">
        <f t="shared" si="55"/>
        <v/>
      </c>
      <c r="W365" s="9" t="str">
        <f t="shared" si="56"/>
        <v/>
      </c>
      <c r="X365" s="10">
        <f>SUM(V$13:V365)/COUNTA(B$13:B365)</f>
        <v>0</v>
      </c>
      <c r="Z365" s="5"/>
      <c r="AA365" s="5"/>
      <c r="AC365" s="7"/>
      <c r="AE365" s="54" t="e">
        <f t="shared" si="57"/>
        <v>#N/A</v>
      </c>
      <c r="AF365" s="4" t="e">
        <f t="shared" si="53"/>
        <v>#N/A</v>
      </c>
    </row>
    <row r="366" spans="2:32">
      <c r="B366" s="5">
        <f t="shared" si="58"/>
        <v>354</v>
      </c>
      <c r="C366" s="5"/>
      <c r="E366" s="13"/>
      <c r="F366" s="5"/>
      <c r="G366" s="11" t="str">
        <f>IF(ISERROR(AVERAGE(F$13:F366)),"n/a",AVERAGE(F$13:F366))</f>
        <v>n/a</v>
      </c>
      <c r="H366" s="11" t="str">
        <f t="shared" si="54"/>
        <v>n/a</v>
      </c>
      <c r="J366" s="5"/>
      <c r="K366" s="5"/>
      <c r="L366" s="5"/>
      <c r="M366" s="5"/>
      <c r="N366" s="5"/>
      <c r="O366" s="8" t="str">
        <f t="shared" si="52"/>
        <v>n/a</v>
      </c>
      <c r="Q366" s="5"/>
      <c r="R366" s="5"/>
      <c r="S366" s="5"/>
      <c r="U366" s="6"/>
      <c r="V366" s="9" t="str">
        <f t="shared" si="55"/>
        <v/>
      </c>
      <c r="W366" s="9" t="str">
        <f t="shared" si="56"/>
        <v/>
      </c>
      <c r="X366" s="10">
        <f>SUM(V$13:V366)/COUNTA(B$13:B366)</f>
        <v>0</v>
      </c>
      <c r="Z366" s="5"/>
      <c r="AA366" s="5"/>
      <c r="AC366" s="7"/>
      <c r="AE366" s="54" t="e">
        <f t="shared" si="57"/>
        <v>#N/A</v>
      </c>
      <c r="AF366" s="4" t="e">
        <f t="shared" si="53"/>
        <v>#N/A</v>
      </c>
    </row>
    <row r="367" spans="2:32">
      <c r="B367" s="5">
        <f t="shared" si="58"/>
        <v>355</v>
      </c>
      <c r="C367" s="5"/>
      <c r="E367" s="13"/>
      <c r="F367" s="5"/>
      <c r="G367" s="11" t="str">
        <f>IF(ISERROR(AVERAGE(F$13:F367)),"n/a",AVERAGE(F$13:F367))</f>
        <v>n/a</v>
      </c>
      <c r="H367" s="11" t="str">
        <f t="shared" si="54"/>
        <v>n/a</v>
      </c>
      <c r="J367" s="5"/>
      <c r="K367" s="5"/>
      <c r="L367" s="5"/>
      <c r="M367" s="5"/>
      <c r="N367" s="5"/>
      <c r="O367" s="8" t="str">
        <f t="shared" si="52"/>
        <v>n/a</v>
      </c>
      <c r="Q367" s="5"/>
      <c r="R367" s="5"/>
      <c r="S367" s="5"/>
      <c r="U367" s="6"/>
      <c r="V367" s="9" t="str">
        <f t="shared" si="55"/>
        <v/>
      </c>
      <c r="W367" s="9" t="str">
        <f t="shared" si="56"/>
        <v/>
      </c>
      <c r="X367" s="10">
        <f>SUM(V$13:V367)/COUNTA(B$13:B367)</f>
        <v>0</v>
      </c>
      <c r="Z367" s="5"/>
      <c r="AA367" s="5"/>
      <c r="AC367" s="7"/>
      <c r="AE367" s="54" t="e">
        <f t="shared" si="57"/>
        <v>#N/A</v>
      </c>
      <c r="AF367" s="4" t="e">
        <f t="shared" si="53"/>
        <v>#N/A</v>
      </c>
    </row>
    <row r="368" spans="2:32">
      <c r="B368" s="5">
        <f t="shared" si="58"/>
        <v>356</v>
      </c>
      <c r="C368" s="5"/>
      <c r="E368" s="13"/>
      <c r="F368" s="5"/>
      <c r="G368" s="11" t="str">
        <f>IF(ISERROR(AVERAGE(F$13:F368)),"n/a",AVERAGE(F$13:F368))</f>
        <v>n/a</v>
      </c>
      <c r="H368" s="11" t="str">
        <f t="shared" si="54"/>
        <v>n/a</v>
      </c>
      <c r="J368" s="5"/>
      <c r="K368" s="5"/>
      <c r="L368" s="5"/>
      <c r="M368" s="5"/>
      <c r="N368" s="5"/>
      <c r="O368" s="8" t="str">
        <f t="shared" si="52"/>
        <v>n/a</v>
      </c>
      <c r="Q368" s="5"/>
      <c r="R368" s="5"/>
      <c r="S368" s="5"/>
      <c r="U368" s="6"/>
      <c r="V368" s="9" t="str">
        <f t="shared" si="55"/>
        <v/>
      </c>
      <c r="W368" s="9" t="str">
        <f t="shared" si="56"/>
        <v/>
      </c>
      <c r="X368" s="10">
        <f>SUM(V$13:V368)/COUNTA(B$13:B368)</f>
        <v>0</v>
      </c>
      <c r="Z368" s="5"/>
      <c r="AA368" s="5"/>
      <c r="AC368" s="7"/>
      <c r="AE368" s="54" t="e">
        <f t="shared" si="57"/>
        <v>#N/A</v>
      </c>
      <c r="AF368" s="4" t="e">
        <f t="shared" si="53"/>
        <v>#N/A</v>
      </c>
    </row>
    <row r="369" spans="2:32">
      <c r="B369" s="5">
        <f t="shared" si="58"/>
        <v>357</v>
      </c>
      <c r="C369" s="5"/>
      <c r="E369" s="13"/>
      <c r="F369" s="5"/>
      <c r="G369" s="11" t="str">
        <f>IF(ISERROR(AVERAGE(F$13:F369)),"n/a",AVERAGE(F$13:F369))</f>
        <v>n/a</v>
      </c>
      <c r="H369" s="11" t="str">
        <f t="shared" si="54"/>
        <v>n/a</v>
      </c>
      <c r="J369" s="5"/>
      <c r="K369" s="5"/>
      <c r="L369" s="5"/>
      <c r="M369" s="5"/>
      <c r="N369" s="5"/>
      <c r="O369" s="8" t="str">
        <f t="shared" si="52"/>
        <v>n/a</v>
      </c>
      <c r="Q369" s="5"/>
      <c r="R369" s="5"/>
      <c r="S369" s="5"/>
      <c r="U369" s="6"/>
      <c r="V369" s="9" t="str">
        <f t="shared" si="55"/>
        <v/>
      </c>
      <c r="W369" s="9" t="str">
        <f t="shared" si="56"/>
        <v/>
      </c>
      <c r="X369" s="10">
        <f>SUM(V$13:V369)/COUNTA(B$13:B369)</f>
        <v>0</v>
      </c>
      <c r="Z369" s="5"/>
      <c r="AA369" s="5"/>
      <c r="AC369" s="7"/>
      <c r="AE369" s="54" t="e">
        <f t="shared" si="57"/>
        <v>#N/A</v>
      </c>
      <c r="AF369" s="4" t="e">
        <f t="shared" si="53"/>
        <v>#N/A</v>
      </c>
    </row>
    <row r="370" spans="2:32">
      <c r="B370" s="5">
        <f t="shared" si="58"/>
        <v>358</v>
      </c>
      <c r="C370" s="5"/>
      <c r="E370" s="13"/>
      <c r="F370" s="5"/>
      <c r="G370" s="11" t="str">
        <f>IF(ISERROR(AVERAGE(F$13:F370)),"n/a",AVERAGE(F$13:F370))</f>
        <v>n/a</v>
      </c>
      <c r="H370" s="11" t="str">
        <f t="shared" si="54"/>
        <v>n/a</v>
      </c>
      <c r="J370" s="5"/>
      <c r="K370" s="5"/>
      <c r="L370" s="5"/>
      <c r="M370" s="5"/>
      <c r="N370" s="5"/>
      <c r="O370" s="8" t="str">
        <f t="shared" si="52"/>
        <v>n/a</v>
      </c>
      <c r="Q370" s="5"/>
      <c r="R370" s="5"/>
      <c r="S370" s="5"/>
      <c r="U370" s="6"/>
      <c r="V370" s="9" t="str">
        <f t="shared" si="55"/>
        <v/>
      </c>
      <c r="W370" s="9" t="str">
        <f t="shared" si="56"/>
        <v/>
      </c>
      <c r="X370" s="10">
        <f>SUM(V$13:V370)/COUNTA(B$13:B370)</f>
        <v>0</v>
      </c>
      <c r="Z370" s="5"/>
      <c r="AA370" s="5"/>
      <c r="AC370" s="7"/>
      <c r="AE370" s="54" t="e">
        <f t="shared" si="57"/>
        <v>#N/A</v>
      </c>
      <c r="AF370" s="4" t="e">
        <f t="shared" si="53"/>
        <v>#N/A</v>
      </c>
    </row>
    <row r="371" spans="2:32">
      <c r="B371" s="5">
        <f t="shared" si="58"/>
        <v>359</v>
      </c>
      <c r="C371" s="5"/>
      <c r="E371" s="13"/>
      <c r="F371" s="5"/>
      <c r="G371" s="11" t="str">
        <f>IF(ISERROR(AVERAGE(F$13:F371)),"n/a",AVERAGE(F$13:F371))</f>
        <v>n/a</v>
      </c>
      <c r="H371" s="11" t="str">
        <f t="shared" si="54"/>
        <v>n/a</v>
      </c>
      <c r="J371" s="5"/>
      <c r="K371" s="5"/>
      <c r="L371" s="5"/>
      <c r="M371" s="5"/>
      <c r="N371" s="5"/>
      <c r="O371" s="8" t="str">
        <f t="shared" si="52"/>
        <v>n/a</v>
      </c>
      <c r="Q371" s="5"/>
      <c r="R371" s="5"/>
      <c r="S371" s="5"/>
      <c r="U371" s="6"/>
      <c r="V371" s="9" t="str">
        <f t="shared" si="55"/>
        <v/>
      </c>
      <c r="W371" s="9" t="str">
        <f t="shared" si="56"/>
        <v/>
      </c>
      <c r="X371" s="10">
        <f>SUM(V$13:V371)/COUNTA(B$13:B371)</f>
        <v>0</v>
      </c>
      <c r="Z371" s="5"/>
      <c r="AA371" s="5"/>
      <c r="AC371" s="7"/>
      <c r="AE371" s="54" t="e">
        <f t="shared" si="57"/>
        <v>#N/A</v>
      </c>
      <c r="AF371" s="4" t="e">
        <f t="shared" si="53"/>
        <v>#N/A</v>
      </c>
    </row>
    <row r="372" spans="2:32">
      <c r="B372" s="5">
        <f t="shared" si="58"/>
        <v>360</v>
      </c>
      <c r="C372" s="5"/>
      <c r="E372" s="13"/>
      <c r="F372" s="5"/>
      <c r="G372" s="11" t="str">
        <f>IF(ISERROR(AVERAGE(F$13:F372)),"n/a",AVERAGE(F$13:F372))</f>
        <v>n/a</v>
      </c>
      <c r="H372" s="11" t="str">
        <f t="shared" si="54"/>
        <v>n/a</v>
      </c>
      <c r="J372" s="5"/>
      <c r="K372" s="5"/>
      <c r="L372" s="5"/>
      <c r="M372" s="5"/>
      <c r="N372" s="5"/>
      <c r="O372" s="8" t="str">
        <f t="shared" si="52"/>
        <v>n/a</v>
      </c>
      <c r="Q372" s="5"/>
      <c r="R372" s="5"/>
      <c r="S372" s="5"/>
      <c r="U372" s="6"/>
      <c r="V372" s="9" t="str">
        <f t="shared" si="55"/>
        <v/>
      </c>
      <c r="W372" s="9" t="str">
        <f t="shared" si="56"/>
        <v/>
      </c>
      <c r="X372" s="10">
        <f>SUM(V$13:V372)/COUNTA(B$13:B372)</f>
        <v>0</v>
      </c>
      <c r="Z372" s="5"/>
      <c r="AA372" s="5"/>
      <c r="AC372" s="7"/>
      <c r="AE372" s="54" t="e">
        <f t="shared" si="57"/>
        <v>#N/A</v>
      </c>
      <c r="AF372" s="4" t="e">
        <f t="shared" si="53"/>
        <v>#N/A</v>
      </c>
    </row>
    <row r="373" spans="2:32">
      <c r="B373" s="5">
        <f t="shared" si="58"/>
        <v>361</v>
      </c>
      <c r="C373" s="5"/>
      <c r="E373" s="13"/>
      <c r="F373" s="5"/>
      <c r="G373" s="11" t="str">
        <f>IF(ISERROR(AVERAGE(F$13:F373)),"n/a",AVERAGE(F$13:F373))</f>
        <v>n/a</v>
      </c>
      <c r="H373" s="11" t="str">
        <f t="shared" si="54"/>
        <v>n/a</v>
      </c>
      <c r="J373" s="5"/>
      <c r="K373" s="5"/>
      <c r="L373" s="5"/>
      <c r="M373" s="5"/>
      <c r="N373" s="5"/>
      <c r="O373" s="8" t="str">
        <f t="shared" si="52"/>
        <v>n/a</v>
      </c>
      <c r="Q373" s="5"/>
      <c r="R373" s="5"/>
      <c r="S373" s="5"/>
      <c r="U373" s="6"/>
      <c r="V373" s="9" t="str">
        <f t="shared" si="55"/>
        <v/>
      </c>
      <c r="W373" s="9" t="str">
        <f t="shared" si="56"/>
        <v/>
      </c>
      <c r="X373" s="10">
        <f>SUM(V$13:V373)/COUNTA(B$13:B373)</f>
        <v>0</v>
      </c>
      <c r="Z373" s="5"/>
      <c r="AA373" s="5"/>
      <c r="AC373" s="7"/>
      <c r="AE373" s="54" t="e">
        <f t="shared" si="57"/>
        <v>#N/A</v>
      </c>
      <c r="AF373" s="4" t="e">
        <f t="shared" si="53"/>
        <v>#N/A</v>
      </c>
    </row>
    <row r="374" spans="2:32">
      <c r="B374" s="5">
        <f t="shared" si="58"/>
        <v>362</v>
      </c>
      <c r="C374" s="5"/>
      <c r="E374" s="13"/>
      <c r="F374" s="5"/>
      <c r="G374" s="11" t="str">
        <f>IF(ISERROR(AVERAGE(F$13:F374)),"n/a",AVERAGE(F$13:F374))</f>
        <v>n/a</v>
      </c>
      <c r="H374" s="11" t="str">
        <f t="shared" si="54"/>
        <v>n/a</v>
      </c>
      <c r="J374" s="5"/>
      <c r="K374" s="5"/>
      <c r="L374" s="5"/>
      <c r="M374" s="5"/>
      <c r="N374" s="5"/>
      <c r="O374" s="8" t="str">
        <f t="shared" si="52"/>
        <v>n/a</v>
      </c>
      <c r="Q374" s="5"/>
      <c r="R374" s="5"/>
      <c r="S374" s="5"/>
      <c r="U374" s="6"/>
      <c r="V374" s="9" t="str">
        <f t="shared" si="55"/>
        <v/>
      </c>
      <c r="W374" s="9" t="str">
        <f t="shared" si="56"/>
        <v/>
      </c>
      <c r="X374" s="10">
        <f>SUM(V$13:V374)/COUNTA(B$13:B374)</f>
        <v>0</v>
      </c>
      <c r="Z374" s="5"/>
      <c r="AA374" s="5"/>
      <c r="AC374" s="7"/>
      <c r="AE374" s="54" t="e">
        <f t="shared" si="57"/>
        <v>#N/A</v>
      </c>
      <c r="AF374" s="4" t="e">
        <f t="shared" si="53"/>
        <v>#N/A</v>
      </c>
    </row>
    <row r="375" spans="2:32">
      <c r="B375" s="5">
        <f t="shared" si="58"/>
        <v>363</v>
      </c>
      <c r="C375" s="5"/>
      <c r="E375" s="13"/>
      <c r="F375" s="5"/>
      <c r="G375" s="11" t="str">
        <f>IF(ISERROR(AVERAGE(F$13:F375)),"n/a",AVERAGE(F$13:F375))</f>
        <v>n/a</v>
      </c>
      <c r="H375" s="11" t="str">
        <f t="shared" si="54"/>
        <v>n/a</v>
      </c>
      <c r="J375" s="5"/>
      <c r="K375" s="5"/>
      <c r="L375" s="5"/>
      <c r="M375" s="5"/>
      <c r="N375" s="5"/>
      <c r="O375" s="8" t="str">
        <f t="shared" si="52"/>
        <v>n/a</v>
      </c>
      <c r="Q375" s="5"/>
      <c r="R375" s="5"/>
      <c r="S375" s="5"/>
      <c r="U375" s="6"/>
      <c r="V375" s="9" t="str">
        <f t="shared" si="55"/>
        <v/>
      </c>
      <c r="W375" s="9" t="str">
        <f t="shared" si="56"/>
        <v/>
      </c>
      <c r="X375" s="10">
        <f>SUM(V$13:V375)/COUNTA(B$13:B375)</f>
        <v>0</v>
      </c>
      <c r="Z375" s="5"/>
      <c r="AA375" s="5"/>
      <c r="AC375" s="7"/>
      <c r="AE375" s="54" t="e">
        <f t="shared" si="57"/>
        <v>#N/A</v>
      </c>
      <c r="AF375" s="4" t="e">
        <f t="shared" si="53"/>
        <v>#N/A</v>
      </c>
    </row>
    <row r="376" spans="2:32">
      <c r="B376" s="5">
        <f t="shared" si="58"/>
        <v>364</v>
      </c>
      <c r="C376" s="5"/>
      <c r="E376" s="13"/>
      <c r="F376" s="5"/>
      <c r="G376" s="11" t="str">
        <f>IF(ISERROR(AVERAGE(F$13:F376)),"n/a",AVERAGE(F$13:F376))</f>
        <v>n/a</v>
      </c>
      <c r="H376" s="11" t="str">
        <f t="shared" si="54"/>
        <v>n/a</v>
      </c>
      <c r="J376" s="5"/>
      <c r="K376" s="5"/>
      <c r="L376" s="5"/>
      <c r="M376" s="5"/>
      <c r="N376" s="5"/>
      <c r="O376" s="8" t="str">
        <f t="shared" si="52"/>
        <v>n/a</v>
      </c>
      <c r="Q376" s="5"/>
      <c r="R376" s="5"/>
      <c r="S376" s="5"/>
      <c r="U376" s="6"/>
      <c r="V376" s="9" t="str">
        <f t="shared" si="55"/>
        <v/>
      </c>
      <c r="W376" s="9" t="str">
        <f t="shared" si="56"/>
        <v/>
      </c>
      <c r="X376" s="10">
        <f>SUM(V$13:V376)/COUNTA(B$13:B376)</f>
        <v>0</v>
      </c>
      <c r="Z376" s="5"/>
      <c r="AA376" s="5"/>
      <c r="AC376" s="7"/>
      <c r="AE376" s="54" t="e">
        <f t="shared" si="57"/>
        <v>#N/A</v>
      </c>
      <c r="AF376" s="4" t="e">
        <f t="shared" si="53"/>
        <v>#N/A</v>
      </c>
    </row>
    <row r="377" spans="2:32">
      <c r="B377" s="5">
        <f t="shared" si="58"/>
        <v>365</v>
      </c>
      <c r="C377" s="5"/>
      <c r="E377" s="13"/>
      <c r="F377" s="5"/>
      <c r="G377" s="11" t="str">
        <f>IF(ISERROR(AVERAGE(F$13:F377)),"n/a",AVERAGE(F$13:F377))</f>
        <v>n/a</v>
      </c>
      <c r="H377" s="11" t="str">
        <f t="shared" si="54"/>
        <v>n/a</v>
      </c>
      <c r="J377" s="5"/>
      <c r="K377" s="5"/>
      <c r="L377" s="5"/>
      <c r="M377" s="5"/>
      <c r="N377" s="5"/>
      <c r="O377" s="8" t="str">
        <f t="shared" si="52"/>
        <v>n/a</v>
      </c>
      <c r="Q377" s="5"/>
      <c r="R377" s="5"/>
      <c r="S377" s="5"/>
      <c r="U377" s="6"/>
      <c r="V377" s="9" t="str">
        <f t="shared" si="55"/>
        <v/>
      </c>
      <c r="W377" s="9" t="str">
        <f t="shared" si="56"/>
        <v/>
      </c>
      <c r="X377" s="10">
        <f>SUM(V$13:V377)/COUNTA(B$13:B377)</f>
        <v>0</v>
      </c>
      <c r="Z377" s="5"/>
      <c r="AA377" s="5"/>
      <c r="AC377" s="7"/>
      <c r="AE377" s="54" t="e">
        <f t="shared" si="57"/>
        <v>#N/A</v>
      </c>
      <c r="AF377" s="4" t="e">
        <f t="shared" si="53"/>
        <v>#N/A</v>
      </c>
    </row>
    <row r="378" spans="2:32">
      <c r="B378" s="5">
        <f t="shared" si="58"/>
        <v>366</v>
      </c>
      <c r="C378" s="5"/>
      <c r="E378" s="13"/>
      <c r="F378" s="5"/>
      <c r="G378" s="11" t="str">
        <f>IF(ISERROR(AVERAGE(F$13:F378)),"n/a",AVERAGE(F$13:F378))</f>
        <v>n/a</v>
      </c>
      <c r="H378" s="11" t="str">
        <f t="shared" si="54"/>
        <v>n/a</v>
      </c>
      <c r="J378" s="5"/>
      <c r="K378" s="5"/>
      <c r="L378" s="5"/>
      <c r="M378" s="5"/>
      <c r="N378" s="5"/>
      <c r="O378" s="8" t="str">
        <f t="shared" si="52"/>
        <v>n/a</v>
      </c>
      <c r="Q378" s="5"/>
      <c r="R378" s="5"/>
      <c r="S378" s="5"/>
      <c r="U378" s="6"/>
      <c r="V378" s="9" t="str">
        <f t="shared" si="55"/>
        <v/>
      </c>
      <c r="W378" s="9" t="str">
        <f t="shared" si="56"/>
        <v/>
      </c>
      <c r="X378" s="10">
        <f>SUM(V$13:V378)/COUNTA(B$13:B378)</f>
        <v>0</v>
      </c>
      <c r="Z378" s="5"/>
      <c r="AA378" s="5"/>
      <c r="AC378" s="7"/>
      <c r="AE378" s="54" t="e">
        <f t="shared" si="57"/>
        <v>#N/A</v>
      </c>
      <c r="AF378" s="4" t="e">
        <f t="shared" si="53"/>
        <v>#N/A</v>
      </c>
    </row>
    <row r="379" spans="2:32">
      <c r="B379" s="5">
        <f t="shared" si="58"/>
        <v>367</v>
      </c>
      <c r="C379" s="5"/>
      <c r="E379" s="13"/>
      <c r="F379" s="5"/>
      <c r="G379" s="11" t="str">
        <f>IF(ISERROR(AVERAGE(F$13:F379)),"n/a",AVERAGE(F$13:F379))</f>
        <v>n/a</v>
      </c>
      <c r="H379" s="11" t="str">
        <f t="shared" si="54"/>
        <v>n/a</v>
      </c>
      <c r="J379" s="5"/>
      <c r="K379" s="5"/>
      <c r="L379" s="5"/>
      <c r="M379" s="5"/>
      <c r="N379" s="5"/>
      <c r="O379" s="8" t="str">
        <f t="shared" si="52"/>
        <v>n/a</v>
      </c>
      <c r="Q379" s="5"/>
      <c r="R379" s="5"/>
      <c r="S379" s="5"/>
      <c r="U379" s="6"/>
      <c r="V379" s="9" t="str">
        <f t="shared" si="55"/>
        <v/>
      </c>
      <c r="W379" s="9" t="str">
        <f t="shared" si="56"/>
        <v/>
      </c>
      <c r="X379" s="10">
        <f>SUM(V$13:V379)/COUNTA(B$13:B379)</f>
        <v>0</v>
      </c>
      <c r="Z379" s="5"/>
      <c r="AA379" s="5"/>
      <c r="AC379" s="7"/>
      <c r="AE379" s="54" t="e">
        <f t="shared" si="57"/>
        <v>#N/A</v>
      </c>
      <c r="AF379" s="4" t="e">
        <f t="shared" si="53"/>
        <v>#N/A</v>
      </c>
    </row>
    <row r="380" spans="2:32">
      <c r="B380" s="5">
        <f t="shared" si="58"/>
        <v>368</v>
      </c>
      <c r="C380" s="5"/>
      <c r="E380" s="13"/>
      <c r="F380" s="5"/>
      <c r="G380" s="11" t="str">
        <f>IF(ISERROR(AVERAGE(F$13:F380)),"n/a",AVERAGE(F$13:F380))</f>
        <v>n/a</v>
      </c>
      <c r="H380" s="11" t="str">
        <f t="shared" si="54"/>
        <v>n/a</v>
      </c>
      <c r="J380" s="5"/>
      <c r="K380" s="5"/>
      <c r="L380" s="5"/>
      <c r="M380" s="5"/>
      <c r="N380" s="5"/>
      <c r="O380" s="8" t="str">
        <f t="shared" si="52"/>
        <v>n/a</v>
      </c>
      <c r="Q380" s="5"/>
      <c r="R380" s="5"/>
      <c r="S380" s="5"/>
      <c r="U380" s="6"/>
      <c r="V380" s="9" t="str">
        <f t="shared" si="55"/>
        <v/>
      </c>
      <c r="W380" s="9" t="str">
        <f t="shared" si="56"/>
        <v/>
      </c>
      <c r="X380" s="10">
        <f>SUM(V$13:V380)/COUNTA(B$13:B380)</f>
        <v>0</v>
      </c>
      <c r="Z380" s="5"/>
      <c r="AA380" s="5"/>
      <c r="AC380" s="7"/>
      <c r="AE380" s="54" t="e">
        <f t="shared" si="57"/>
        <v>#N/A</v>
      </c>
      <c r="AF380" s="4" t="e">
        <f t="shared" si="53"/>
        <v>#N/A</v>
      </c>
    </row>
    <row r="381" spans="2:32">
      <c r="B381" s="5">
        <f t="shared" si="58"/>
        <v>369</v>
      </c>
      <c r="C381" s="5"/>
      <c r="E381" s="13"/>
      <c r="F381" s="5"/>
      <c r="G381" s="11" t="str">
        <f>IF(ISERROR(AVERAGE(F$13:F381)),"n/a",AVERAGE(F$13:F381))</f>
        <v>n/a</v>
      </c>
      <c r="H381" s="11" t="str">
        <f t="shared" si="54"/>
        <v>n/a</v>
      </c>
      <c r="J381" s="5"/>
      <c r="K381" s="5"/>
      <c r="L381" s="5"/>
      <c r="M381" s="5"/>
      <c r="N381" s="5"/>
      <c r="O381" s="8" t="str">
        <f t="shared" si="52"/>
        <v>n/a</v>
      </c>
      <c r="Q381" s="5"/>
      <c r="R381" s="5"/>
      <c r="S381" s="5"/>
      <c r="U381" s="6"/>
      <c r="V381" s="9" t="str">
        <f t="shared" si="55"/>
        <v/>
      </c>
      <c r="W381" s="9" t="str">
        <f t="shared" si="56"/>
        <v/>
      </c>
      <c r="X381" s="10">
        <f>SUM(V$13:V381)/COUNTA(B$13:B381)</f>
        <v>0</v>
      </c>
      <c r="Z381" s="5"/>
      <c r="AA381" s="5"/>
      <c r="AC381" s="7"/>
      <c r="AE381" s="54" t="e">
        <f t="shared" si="57"/>
        <v>#N/A</v>
      </c>
      <c r="AF381" s="4" t="e">
        <f t="shared" si="53"/>
        <v>#N/A</v>
      </c>
    </row>
    <row r="382" spans="2:32">
      <c r="B382" s="5">
        <f t="shared" si="58"/>
        <v>370</v>
      </c>
      <c r="C382" s="5"/>
      <c r="E382" s="13"/>
      <c r="F382" s="5"/>
      <c r="G382" s="11" t="str">
        <f>IF(ISERROR(AVERAGE(F$13:F382)),"n/a",AVERAGE(F$13:F382))</f>
        <v>n/a</v>
      </c>
      <c r="H382" s="11" t="str">
        <f t="shared" si="54"/>
        <v>n/a</v>
      </c>
      <c r="J382" s="5"/>
      <c r="K382" s="5"/>
      <c r="L382" s="5"/>
      <c r="M382" s="5"/>
      <c r="N382" s="5"/>
      <c r="O382" s="8" t="str">
        <f t="shared" si="52"/>
        <v>n/a</v>
      </c>
      <c r="Q382" s="5"/>
      <c r="R382" s="5"/>
      <c r="S382" s="5"/>
      <c r="U382" s="6"/>
      <c r="V382" s="9" t="str">
        <f t="shared" si="55"/>
        <v/>
      </c>
      <c r="W382" s="9" t="str">
        <f t="shared" si="56"/>
        <v/>
      </c>
      <c r="X382" s="10">
        <f>SUM(V$13:V382)/COUNTA(B$13:B382)</f>
        <v>0</v>
      </c>
      <c r="Z382" s="5"/>
      <c r="AA382" s="5"/>
      <c r="AC382" s="7"/>
      <c r="AE382" s="54" t="e">
        <f t="shared" si="57"/>
        <v>#N/A</v>
      </c>
      <c r="AF382" s="4" t="e">
        <f t="shared" si="53"/>
        <v>#N/A</v>
      </c>
    </row>
    <row r="383" spans="2:32">
      <c r="B383" s="5">
        <f t="shared" si="58"/>
        <v>371</v>
      </c>
      <c r="C383" s="5"/>
      <c r="E383" s="13"/>
      <c r="F383" s="5"/>
      <c r="G383" s="11" t="str">
        <f>IF(ISERROR(AVERAGE(F$13:F383)),"n/a",AVERAGE(F$13:F383))</f>
        <v>n/a</v>
      </c>
      <c r="H383" s="11" t="str">
        <f t="shared" si="54"/>
        <v>n/a</v>
      </c>
      <c r="J383" s="5"/>
      <c r="K383" s="5"/>
      <c r="L383" s="5"/>
      <c r="M383" s="5"/>
      <c r="N383" s="5"/>
      <c r="O383" s="8" t="str">
        <f t="shared" si="52"/>
        <v>n/a</v>
      </c>
      <c r="Q383" s="5"/>
      <c r="R383" s="5"/>
      <c r="S383" s="5"/>
      <c r="U383" s="6"/>
      <c r="V383" s="9" t="str">
        <f t="shared" si="55"/>
        <v/>
      </c>
      <c r="W383" s="9" t="str">
        <f t="shared" si="56"/>
        <v/>
      </c>
      <c r="X383" s="10">
        <f>SUM(V$13:V383)/COUNTA(B$13:B383)</f>
        <v>0</v>
      </c>
      <c r="Z383" s="5"/>
      <c r="AA383" s="5"/>
      <c r="AC383" s="7"/>
      <c r="AE383" s="54" t="e">
        <f t="shared" si="57"/>
        <v>#N/A</v>
      </c>
      <c r="AF383" s="4" t="e">
        <f t="shared" si="53"/>
        <v>#N/A</v>
      </c>
    </row>
    <row r="384" spans="2:32">
      <c r="B384" s="5">
        <f t="shared" si="58"/>
        <v>372</v>
      </c>
      <c r="C384" s="5"/>
      <c r="E384" s="13"/>
      <c r="F384" s="5"/>
      <c r="G384" s="11" t="str">
        <f>IF(ISERROR(AVERAGE(F$13:F384)),"n/a",AVERAGE(F$13:F384))</f>
        <v>n/a</v>
      </c>
      <c r="H384" s="11" t="str">
        <f t="shared" si="54"/>
        <v>n/a</v>
      </c>
      <c r="J384" s="5"/>
      <c r="K384" s="5"/>
      <c r="L384" s="5"/>
      <c r="M384" s="5"/>
      <c r="N384" s="5"/>
      <c r="O384" s="8" t="str">
        <f t="shared" si="52"/>
        <v>n/a</v>
      </c>
      <c r="Q384" s="5"/>
      <c r="R384" s="5"/>
      <c r="S384" s="5"/>
      <c r="U384" s="6"/>
      <c r="V384" s="9" t="str">
        <f t="shared" si="55"/>
        <v/>
      </c>
      <c r="W384" s="9" t="str">
        <f t="shared" si="56"/>
        <v/>
      </c>
      <c r="X384" s="10">
        <f>SUM(V$13:V384)/COUNTA(B$13:B384)</f>
        <v>0</v>
      </c>
      <c r="Z384" s="5"/>
      <c r="AA384" s="5"/>
      <c r="AC384" s="7"/>
      <c r="AE384" s="54" t="e">
        <f t="shared" si="57"/>
        <v>#N/A</v>
      </c>
      <c r="AF384" s="4" t="e">
        <f t="shared" si="53"/>
        <v>#N/A</v>
      </c>
    </row>
    <row r="385" spans="2:32">
      <c r="B385" s="5">
        <f t="shared" si="58"/>
        <v>373</v>
      </c>
      <c r="C385" s="5"/>
      <c r="E385" s="13"/>
      <c r="F385" s="5"/>
      <c r="G385" s="11" t="str">
        <f>IF(ISERROR(AVERAGE(F$13:F385)),"n/a",AVERAGE(F$13:F385))</f>
        <v>n/a</v>
      </c>
      <c r="H385" s="11" t="str">
        <f t="shared" si="54"/>
        <v>n/a</v>
      </c>
      <c r="J385" s="5"/>
      <c r="K385" s="5"/>
      <c r="L385" s="5"/>
      <c r="M385" s="5"/>
      <c r="N385" s="5"/>
      <c r="O385" s="8" t="str">
        <f t="shared" si="52"/>
        <v>n/a</v>
      </c>
      <c r="Q385" s="5"/>
      <c r="R385" s="5"/>
      <c r="S385" s="5"/>
      <c r="U385" s="6"/>
      <c r="V385" s="9" t="str">
        <f t="shared" si="55"/>
        <v/>
      </c>
      <c r="W385" s="9" t="str">
        <f t="shared" si="56"/>
        <v/>
      </c>
      <c r="X385" s="10">
        <f>SUM(V$13:V385)/COUNTA(B$13:B385)</f>
        <v>0</v>
      </c>
      <c r="Z385" s="5"/>
      <c r="AA385" s="5"/>
      <c r="AC385" s="7"/>
      <c r="AE385" s="54" t="e">
        <f t="shared" si="57"/>
        <v>#N/A</v>
      </c>
      <c r="AF385" s="4" t="e">
        <f t="shared" si="53"/>
        <v>#N/A</v>
      </c>
    </row>
    <row r="386" spans="2:32">
      <c r="B386" s="5">
        <f t="shared" si="58"/>
        <v>374</v>
      </c>
      <c r="C386" s="5"/>
      <c r="E386" s="13"/>
      <c r="F386" s="5"/>
      <c r="G386" s="11" t="str">
        <f>IF(ISERROR(AVERAGE(F$13:F386)),"n/a",AVERAGE(F$13:F386))</f>
        <v>n/a</v>
      </c>
      <c r="H386" s="11" t="str">
        <f t="shared" si="54"/>
        <v>n/a</v>
      </c>
      <c r="J386" s="5"/>
      <c r="K386" s="5"/>
      <c r="L386" s="5"/>
      <c r="M386" s="5"/>
      <c r="N386" s="5"/>
      <c r="O386" s="8" t="str">
        <f t="shared" si="52"/>
        <v>n/a</v>
      </c>
      <c r="Q386" s="5"/>
      <c r="R386" s="5"/>
      <c r="S386" s="5"/>
      <c r="U386" s="6"/>
      <c r="V386" s="9" t="str">
        <f t="shared" si="55"/>
        <v/>
      </c>
      <c r="W386" s="9" t="str">
        <f t="shared" si="56"/>
        <v/>
      </c>
      <c r="X386" s="10">
        <f>SUM(V$13:V386)/COUNTA(B$13:B386)</f>
        <v>0</v>
      </c>
      <c r="Z386" s="5"/>
      <c r="AA386" s="5"/>
      <c r="AC386" s="7"/>
      <c r="AE386" s="54" t="e">
        <f t="shared" si="57"/>
        <v>#N/A</v>
      </c>
      <c r="AF386" s="4" t="e">
        <f t="shared" si="53"/>
        <v>#N/A</v>
      </c>
    </row>
    <row r="387" spans="2:32">
      <c r="B387" s="5">
        <f t="shared" si="58"/>
        <v>375</v>
      </c>
      <c r="C387" s="5"/>
      <c r="E387" s="13"/>
      <c r="F387" s="5"/>
      <c r="G387" s="11" t="str">
        <f>IF(ISERROR(AVERAGE(F$13:F387)),"n/a",AVERAGE(F$13:F387))</f>
        <v>n/a</v>
      </c>
      <c r="H387" s="11" t="str">
        <f t="shared" si="54"/>
        <v>n/a</v>
      </c>
      <c r="J387" s="5"/>
      <c r="K387" s="5"/>
      <c r="L387" s="5"/>
      <c r="M387" s="5"/>
      <c r="N387" s="5"/>
      <c r="O387" s="8" t="str">
        <f t="shared" si="52"/>
        <v>n/a</v>
      </c>
      <c r="Q387" s="5"/>
      <c r="R387" s="5"/>
      <c r="S387" s="5"/>
      <c r="U387" s="6"/>
      <c r="V387" s="9" t="str">
        <f t="shared" si="55"/>
        <v/>
      </c>
      <c r="W387" s="9" t="str">
        <f t="shared" si="56"/>
        <v/>
      </c>
      <c r="X387" s="10">
        <f>SUM(V$13:V387)/COUNTA(B$13:B387)</f>
        <v>0</v>
      </c>
      <c r="Z387" s="5"/>
      <c r="AA387" s="5"/>
      <c r="AC387" s="7"/>
      <c r="AE387" s="54" t="e">
        <f t="shared" si="57"/>
        <v>#N/A</v>
      </c>
      <c r="AF387" s="4" t="e">
        <f t="shared" si="53"/>
        <v>#N/A</v>
      </c>
    </row>
    <row r="388" spans="2:32">
      <c r="B388" s="5">
        <f t="shared" si="58"/>
        <v>376</v>
      </c>
      <c r="C388" s="5"/>
      <c r="E388" s="13"/>
      <c r="F388" s="5"/>
      <c r="G388" s="11" t="str">
        <f>IF(ISERROR(AVERAGE(F$13:F388)),"n/a",AVERAGE(F$13:F388))</f>
        <v>n/a</v>
      </c>
      <c r="H388" s="11" t="str">
        <f t="shared" si="54"/>
        <v>n/a</v>
      </c>
      <c r="J388" s="5"/>
      <c r="K388" s="5"/>
      <c r="L388" s="5"/>
      <c r="M388" s="5"/>
      <c r="N388" s="5"/>
      <c r="O388" s="8" t="str">
        <f t="shared" si="52"/>
        <v>n/a</v>
      </c>
      <c r="Q388" s="5"/>
      <c r="R388" s="5"/>
      <c r="S388" s="5"/>
      <c r="U388" s="6"/>
      <c r="V388" s="9" t="str">
        <f t="shared" si="55"/>
        <v/>
      </c>
      <c r="W388" s="9" t="str">
        <f t="shared" si="56"/>
        <v/>
      </c>
      <c r="X388" s="10">
        <f>SUM(V$13:V388)/COUNTA(B$13:B388)</f>
        <v>0</v>
      </c>
      <c r="Z388" s="5"/>
      <c r="AA388" s="5"/>
      <c r="AC388" s="7"/>
      <c r="AE388" s="54" t="e">
        <f t="shared" si="57"/>
        <v>#N/A</v>
      </c>
      <c r="AF388" s="4" t="e">
        <f t="shared" si="53"/>
        <v>#N/A</v>
      </c>
    </row>
    <row r="389" spans="2:32">
      <c r="B389" s="5">
        <f t="shared" si="58"/>
        <v>377</v>
      </c>
      <c r="C389" s="5"/>
      <c r="E389" s="13"/>
      <c r="F389" s="5"/>
      <c r="G389" s="11" t="str">
        <f>IF(ISERROR(AVERAGE(F$13:F389)),"n/a",AVERAGE(F$13:F389))</f>
        <v>n/a</v>
      </c>
      <c r="H389" s="11" t="str">
        <f t="shared" si="54"/>
        <v>n/a</v>
      </c>
      <c r="J389" s="5"/>
      <c r="K389" s="5"/>
      <c r="L389" s="5"/>
      <c r="M389" s="5"/>
      <c r="N389" s="5"/>
      <c r="O389" s="8" t="str">
        <f t="shared" si="52"/>
        <v>n/a</v>
      </c>
      <c r="Q389" s="5"/>
      <c r="R389" s="5"/>
      <c r="S389" s="5"/>
      <c r="U389" s="6"/>
      <c r="V389" s="9" t="str">
        <f t="shared" si="55"/>
        <v/>
      </c>
      <c r="W389" s="9" t="str">
        <f t="shared" si="56"/>
        <v/>
      </c>
      <c r="X389" s="10">
        <f>SUM(V$13:V389)/COUNTA(B$13:B389)</f>
        <v>0</v>
      </c>
      <c r="Z389" s="5"/>
      <c r="AA389" s="5"/>
      <c r="AC389" s="7"/>
      <c r="AE389" s="54" t="e">
        <f t="shared" si="57"/>
        <v>#N/A</v>
      </c>
      <c r="AF389" s="4" t="e">
        <f t="shared" si="53"/>
        <v>#N/A</v>
      </c>
    </row>
    <row r="390" spans="2:32">
      <c r="B390" s="5">
        <f t="shared" si="58"/>
        <v>378</v>
      </c>
      <c r="C390" s="5"/>
      <c r="E390" s="13"/>
      <c r="F390" s="5"/>
      <c r="G390" s="11" t="str">
        <f>IF(ISERROR(AVERAGE(F$13:F390)),"n/a",AVERAGE(F$13:F390))</f>
        <v>n/a</v>
      </c>
      <c r="H390" s="11" t="str">
        <f t="shared" si="54"/>
        <v>n/a</v>
      </c>
      <c r="J390" s="5"/>
      <c r="K390" s="5"/>
      <c r="L390" s="5"/>
      <c r="M390" s="5"/>
      <c r="N390" s="5"/>
      <c r="O390" s="8" t="str">
        <f t="shared" si="52"/>
        <v>n/a</v>
      </c>
      <c r="Q390" s="5"/>
      <c r="R390" s="5"/>
      <c r="S390" s="5"/>
      <c r="U390" s="6"/>
      <c r="V390" s="9" t="str">
        <f t="shared" si="55"/>
        <v/>
      </c>
      <c r="W390" s="9" t="str">
        <f t="shared" si="56"/>
        <v/>
      </c>
      <c r="X390" s="10">
        <f>SUM(V$13:V390)/COUNTA(B$13:B390)</f>
        <v>0</v>
      </c>
      <c r="Z390" s="5"/>
      <c r="AA390" s="5"/>
      <c r="AC390" s="7"/>
      <c r="AE390" s="54" t="e">
        <f t="shared" si="57"/>
        <v>#N/A</v>
      </c>
      <c r="AF390" s="4" t="e">
        <f t="shared" si="53"/>
        <v>#N/A</v>
      </c>
    </row>
    <row r="391" spans="2:32">
      <c r="B391" s="5">
        <f t="shared" si="58"/>
        <v>379</v>
      </c>
      <c r="C391" s="5"/>
      <c r="E391" s="13"/>
      <c r="F391" s="5"/>
      <c r="G391" s="11" t="str">
        <f>IF(ISERROR(AVERAGE(F$13:F391)),"n/a",AVERAGE(F$13:F391))</f>
        <v>n/a</v>
      </c>
      <c r="H391" s="11" t="str">
        <f t="shared" si="54"/>
        <v>n/a</v>
      </c>
      <c r="J391" s="5"/>
      <c r="K391" s="5"/>
      <c r="L391" s="5"/>
      <c r="M391" s="5"/>
      <c r="N391" s="5"/>
      <c r="O391" s="8" t="str">
        <f t="shared" si="52"/>
        <v>n/a</v>
      </c>
      <c r="Q391" s="5"/>
      <c r="R391" s="5"/>
      <c r="S391" s="5"/>
      <c r="U391" s="6"/>
      <c r="V391" s="9" t="str">
        <f t="shared" si="55"/>
        <v/>
      </c>
      <c r="W391" s="9" t="str">
        <f t="shared" si="56"/>
        <v/>
      </c>
      <c r="X391" s="10">
        <f>SUM(V$13:V391)/COUNTA(B$13:B391)</f>
        <v>0</v>
      </c>
      <c r="Z391" s="5"/>
      <c r="AA391" s="5"/>
      <c r="AC391" s="7"/>
      <c r="AE391" s="54" t="e">
        <f t="shared" si="57"/>
        <v>#N/A</v>
      </c>
      <c r="AF391" s="4" t="e">
        <f t="shared" si="53"/>
        <v>#N/A</v>
      </c>
    </row>
    <row r="392" spans="2:32">
      <c r="B392" s="5">
        <f t="shared" si="58"/>
        <v>380</v>
      </c>
      <c r="C392" s="5"/>
      <c r="E392" s="13"/>
      <c r="F392" s="5"/>
      <c r="G392" s="11" t="str">
        <f>IF(ISERROR(AVERAGE(F$13:F392)),"n/a",AVERAGE(F$13:F392))</f>
        <v>n/a</v>
      </c>
      <c r="H392" s="11" t="str">
        <f t="shared" si="54"/>
        <v>n/a</v>
      </c>
      <c r="J392" s="5"/>
      <c r="K392" s="5"/>
      <c r="L392" s="5"/>
      <c r="M392" s="5"/>
      <c r="N392" s="5"/>
      <c r="O392" s="8" t="str">
        <f t="shared" si="52"/>
        <v>n/a</v>
      </c>
      <c r="Q392" s="5"/>
      <c r="R392" s="5"/>
      <c r="S392" s="5"/>
      <c r="U392" s="6"/>
      <c r="V392" s="9" t="str">
        <f t="shared" si="55"/>
        <v/>
      </c>
      <c r="W392" s="9" t="str">
        <f t="shared" si="56"/>
        <v/>
      </c>
      <c r="X392" s="10">
        <f>SUM(V$13:V392)/COUNTA(B$13:B392)</f>
        <v>0</v>
      </c>
      <c r="Z392" s="5"/>
      <c r="AA392" s="5"/>
      <c r="AC392" s="7"/>
      <c r="AE392" s="54" t="e">
        <f t="shared" si="57"/>
        <v>#N/A</v>
      </c>
      <c r="AF392" s="4" t="e">
        <f t="shared" si="53"/>
        <v>#N/A</v>
      </c>
    </row>
    <row r="393" spans="2:32">
      <c r="B393" s="5">
        <f t="shared" si="58"/>
        <v>381</v>
      </c>
      <c r="C393" s="5"/>
      <c r="E393" s="13"/>
      <c r="F393" s="5"/>
      <c r="G393" s="11" t="str">
        <f>IF(ISERROR(AVERAGE(F$13:F393)),"n/a",AVERAGE(F$13:F393))</f>
        <v>n/a</v>
      </c>
      <c r="H393" s="11" t="str">
        <f t="shared" si="54"/>
        <v>n/a</v>
      </c>
      <c r="J393" s="5"/>
      <c r="K393" s="5"/>
      <c r="L393" s="5"/>
      <c r="M393" s="5"/>
      <c r="N393" s="5"/>
      <c r="O393" s="8" t="str">
        <f t="shared" si="52"/>
        <v>n/a</v>
      </c>
      <c r="Q393" s="5"/>
      <c r="R393" s="5"/>
      <c r="S393" s="5"/>
      <c r="U393" s="6"/>
      <c r="V393" s="9" t="str">
        <f t="shared" si="55"/>
        <v/>
      </c>
      <c r="W393" s="9" t="str">
        <f t="shared" si="56"/>
        <v/>
      </c>
      <c r="X393" s="10">
        <f>SUM(V$13:V393)/COUNTA(B$13:B393)</f>
        <v>0</v>
      </c>
      <c r="Z393" s="5"/>
      <c r="AA393" s="5"/>
      <c r="AC393" s="7"/>
      <c r="AE393" s="54" t="e">
        <f t="shared" si="57"/>
        <v>#N/A</v>
      </c>
      <c r="AF393" s="4" t="e">
        <f t="shared" si="53"/>
        <v>#N/A</v>
      </c>
    </row>
    <row r="394" spans="2:32">
      <c r="B394" s="5">
        <f t="shared" si="58"/>
        <v>382</v>
      </c>
      <c r="C394" s="5"/>
      <c r="E394" s="13"/>
      <c r="F394" s="5"/>
      <c r="G394" s="11" t="str">
        <f>IF(ISERROR(AVERAGE(F$13:F394)),"n/a",AVERAGE(F$13:F394))</f>
        <v>n/a</v>
      </c>
      <c r="H394" s="11" t="str">
        <f t="shared" si="54"/>
        <v>n/a</v>
      </c>
      <c r="J394" s="5"/>
      <c r="K394" s="5"/>
      <c r="L394" s="5"/>
      <c r="M394" s="5"/>
      <c r="N394" s="5"/>
      <c r="O394" s="8" t="str">
        <f t="shared" si="52"/>
        <v>n/a</v>
      </c>
      <c r="Q394" s="5"/>
      <c r="R394" s="5"/>
      <c r="S394" s="5"/>
      <c r="U394" s="6"/>
      <c r="V394" s="9" t="str">
        <f t="shared" si="55"/>
        <v/>
      </c>
      <c r="W394" s="9" t="str">
        <f t="shared" si="56"/>
        <v/>
      </c>
      <c r="X394" s="10">
        <f>SUM(V$13:V394)/COUNTA(B$13:B394)</f>
        <v>0</v>
      </c>
      <c r="Z394" s="5"/>
      <c r="AA394" s="5"/>
      <c r="AC394" s="7"/>
      <c r="AE394" s="54" t="e">
        <f t="shared" si="57"/>
        <v>#N/A</v>
      </c>
      <c r="AF394" s="4" t="e">
        <f t="shared" si="53"/>
        <v>#N/A</v>
      </c>
    </row>
    <row r="395" spans="2:32">
      <c r="B395" s="5">
        <f t="shared" si="58"/>
        <v>383</v>
      </c>
      <c r="C395" s="5"/>
      <c r="E395" s="13"/>
      <c r="F395" s="5"/>
      <c r="G395" s="11" t="str">
        <f>IF(ISERROR(AVERAGE(F$13:F395)),"n/a",AVERAGE(F$13:F395))</f>
        <v>n/a</v>
      </c>
      <c r="H395" s="11" t="str">
        <f t="shared" si="54"/>
        <v>n/a</v>
      </c>
      <c r="J395" s="5"/>
      <c r="K395" s="5"/>
      <c r="L395" s="5"/>
      <c r="M395" s="5"/>
      <c r="N395" s="5"/>
      <c r="O395" s="8" t="str">
        <f t="shared" si="52"/>
        <v>n/a</v>
      </c>
      <c r="Q395" s="5"/>
      <c r="R395" s="5"/>
      <c r="S395" s="5"/>
      <c r="U395" s="6"/>
      <c r="V395" s="9" t="str">
        <f t="shared" si="55"/>
        <v/>
      </c>
      <c r="W395" s="9" t="str">
        <f t="shared" si="56"/>
        <v/>
      </c>
      <c r="X395" s="10">
        <f>SUM(V$13:V395)/COUNTA(B$13:B395)</f>
        <v>0</v>
      </c>
      <c r="Z395" s="5"/>
      <c r="AA395" s="5"/>
      <c r="AC395" s="7"/>
      <c r="AE395" s="54" t="e">
        <f t="shared" si="57"/>
        <v>#N/A</v>
      </c>
      <c r="AF395" s="4" t="e">
        <f t="shared" si="53"/>
        <v>#N/A</v>
      </c>
    </row>
    <row r="396" spans="2:32">
      <c r="B396" s="5">
        <f t="shared" si="58"/>
        <v>384</v>
      </c>
      <c r="C396" s="5"/>
      <c r="E396" s="13"/>
      <c r="F396" s="5"/>
      <c r="G396" s="11" t="str">
        <f>IF(ISERROR(AVERAGE(F$13:F396)),"n/a",AVERAGE(F$13:F396))</f>
        <v>n/a</v>
      </c>
      <c r="H396" s="11" t="str">
        <f t="shared" si="54"/>
        <v>n/a</v>
      </c>
      <c r="J396" s="5"/>
      <c r="K396" s="5"/>
      <c r="L396" s="5"/>
      <c r="M396" s="5"/>
      <c r="N396" s="5"/>
      <c r="O396" s="8" t="str">
        <f t="shared" si="52"/>
        <v>n/a</v>
      </c>
      <c r="Q396" s="5"/>
      <c r="R396" s="5"/>
      <c r="S396" s="5"/>
      <c r="U396" s="6"/>
      <c r="V396" s="9" t="str">
        <f t="shared" si="55"/>
        <v/>
      </c>
      <c r="W396" s="9" t="str">
        <f t="shared" si="56"/>
        <v/>
      </c>
      <c r="X396" s="10">
        <f>SUM(V$13:V396)/COUNTA(B$13:B396)</f>
        <v>0</v>
      </c>
      <c r="Z396" s="5"/>
      <c r="AA396" s="5"/>
      <c r="AC396" s="7"/>
      <c r="AE396" s="54" t="e">
        <f t="shared" si="57"/>
        <v>#N/A</v>
      </c>
      <c r="AF396" s="4" t="e">
        <f t="shared" si="53"/>
        <v>#N/A</v>
      </c>
    </row>
    <row r="397" spans="2:32">
      <c r="B397" s="5">
        <f t="shared" si="58"/>
        <v>385</v>
      </c>
      <c r="C397" s="5"/>
      <c r="E397" s="13"/>
      <c r="F397" s="5"/>
      <c r="G397" s="11" t="str">
        <f>IF(ISERROR(AVERAGE(F$13:F397)),"n/a",AVERAGE(F$13:F397))</f>
        <v>n/a</v>
      </c>
      <c r="H397" s="11" t="str">
        <f t="shared" si="54"/>
        <v>n/a</v>
      </c>
      <c r="J397" s="5"/>
      <c r="K397" s="5"/>
      <c r="L397" s="5"/>
      <c r="M397" s="5"/>
      <c r="N397" s="5"/>
      <c r="O397" s="8" t="str">
        <f t="shared" ref="O397:O460" si="59">IF(J397=1,"A",IF(K397=1,"B",IF(L397=1,"C",IF(M397=1,"D",IF(N397=1,"E","n/a")))))</f>
        <v>n/a</v>
      </c>
      <c r="Q397" s="5"/>
      <c r="R397" s="5"/>
      <c r="S397" s="5"/>
      <c r="U397" s="6"/>
      <c r="V397" s="9" t="str">
        <f t="shared" si="55"/>
        <v/>
      </c>
      <c r="W397" s="9" t="str">
        <f t="shared" si="56"/>
        <v/>
      </c>
      <c r="X397" s="10">
        <f>SUM(V$13:V397)/COUNTA(B$13:B397)</f>
        <v>0</v>
      </c>
      <c r="Z397" s="5"/>
      <c r="AA397" s="5"/>
      <c r="AC397" s="7"/>
      <c r="AE397" s="54" t="e">
        <f t="shared" si="57"/>
        <v>#N/A</v>
      </c>
      <c r="AF397" s="4" t="e">
        <f t="shared" ref="AF397:AF460" si="60">HLOOKUP(C397,$K$6:$O$7,2,FALSE)</f>
        <v>#N/A</v>
      </c>
    </row>
    <row r="398" spans="2:32">
      <c r="B398" s="5">
        <f t="shared" si="58"/>
        <v>386</v>
      </c>
      <c r="C398" s="5"/>
      <c r="E398" s="13"/>
      <c r="F398" s="5"/>
      <c r="G398" s="11" t="str">
        <f>IF(ISERROR(AVERAGE(F$13:F398)),"n/a",AVERAGE(F$13:F398))</f>
        <v>n/a</v>
      </c>
      <c r="H398" s="11" t="str">
        <f t="shared" ref="H398:H461" si="61">G398</f>
        <v>n/a</v>
      </c>
      <c r="J398" s="5"/>
      <c r="K398" s="5"/>
      <c r="L398" s="5"/>
      <c r="M398" s="5"/>
      <c r="N398" s="5"/>
      <c r="O398" s="8" t="str">
        <f t="shared" si="59"/>
        <v>n/a</v>
      </c>
      <c r="Q398" s="5"/>
      <c r="R398" s="5"/>
      <c r="S398" s="5"/>
      <c r="U398" s="6"/>
      <c r="V398" s="9" t="str">
        <f t="shared" ref="V398:V461" si="62">IF(O398="n/a","",IF(O398=U398,1,""))</f>
        <v/>
      </c>
      <c r="W398" s="9" t="str">
        <f t="shared" ref="W398:W461" si="63">IF(O398="n/a","",IF(O398&lt;&gt;U398,1,""))</f>
        <v/>
      </c>
      <c r="X398" s="10">
        <f>SUM(V$13:V398)/COUNTA(B$13:B398)</f>
        <v>0</v>
      </c>
      <c r="Z398" s="5"/>
      <c r="AA398" s="5"/>
      <c r="AC398" s="7"/>
      <c r="AE398" s="54" t="e">
        <f t="shared" ref="AE398:AE461" si="64">+IF($F$4=0,0,IF(W398=1,1,IF(OR(R398*$F$8=1,S398*$F$9=1,F398&gt;=AF398),2,0)))</f>
        <v>#N/A</v>
      </c>
      <c r="AF398" s="4" t="e">
        <f t="shared" si="60"/>
        <v>#N/A</v>
      </c>
    </row>
    <row r="399" spans="2:32">
      <c r="B399" s="5">
        <f t="shared" si="58"/>
        <v>387</v>
      </c>
      <c r="C399" s="5"/>
      <c r="E399" s="13"/>
      <c r="F399" s="5"/>
      <c r="G399" s="11" t="str">
        <f>IF(ISERROR(AVERAGE(F$13:F399)),"n/a",AVERAGE(F$13:F399))</f>
        <v>n/a</v>
      </c>
      <c r="H399" s="11" t="str">
        <f t="shared" si="61"/>
        <v>n/a</v>
      </c>
      <c r="J399" s="5"/>
      <c r="K399" s="5"/>
      <c r="L399" s="5"/>
      <c r="M399" s="5"/>
      <c r="N399" s="5"/>
      <c r="O399" s="8" t="str">
        <f t="shared" si="59"/>
        <v>n/a</v>
      </c>
      <c r="Q399" s="5"/>
      <c r="R399" s="5"/>
      <c r="S399" s="5"/>
      <c r="U399" s="6"/>
      <c r="V399" s="9" t="str">
        <f t="shared" si="62"/>
        <v/>
      </c>
      <c r="W399" s="9" t="str">
        <f t="shared" si="63"/>
        <v/>
      </c>
      <c r="X399" s="10">
        <f>SUM(V$13:V399)/COUNTA(B$13:B399)</f>
        <v>0</v>
      </c>
      <c r="Z399" s="5"/>
      <c r="AA399" s="5"/>
      <c r="AC399" s="7"/>
      <c r="AE399" s="54" t="e">
        <f t="shared" si="64"/>
        <v>#N/A</v>
      </c>
      <c r="AF399" s="4" t="e">
        <f t="shared" si="60"/>
        <v>#N/A</v>
      </c>
    </row>
    <row r="400" spans="2:32">
      <c r="B400" s="5">
        <f t="shared" si="58"/>
        <v>388</v>
      </c>
      <c r="C400" s="5"/>
      <c r="E400" s="13"/>
      <c r="F400" s="5"/>
      <c r="G400" s="11" t="str">
        <f>IF(ISERROR(AVERAGE(F$13:F400)),"n/a",AVERAGE(F$13:F400))</f>
        <v>n/a</v>
      </c>
      <c r="H400" s="11" t="str">
        <f t="shared" si="61"/>
        <v>n/a</v>
      </c>
      <c r="J400" s="5"/>
      <c r="K400" s="5"/>
      <c r="L400" s="5"/>
      <c r="M400" s="5"/>
      <c r="N400" s="5"/>
      <c r="O400" s="8" t="str">
        <f t="shared" si="59"/>
        <v>n/a</v>
      </c>
      <c r="Q400" s="5"/>
      <c r="R400" s="5"/>
      <c r="S400" s="5"/>
      <c r="U400" s="6"/>
      <c r="V400" s="9" t="str">
        <f t="shared" si="62"/>
        <v/>
      </c>
      <c r="W400" s="9" t="str">
        <f t="shared" si="63"/>
        <v/>
      </c>
      <c r="X400" s="10">
        <f>SUM(V$13:V400)/COUNTA(B$13:B400)</f>
        <v>0</v>
      </c>
      <c r="Z400" s="5"/>
      <c r="AA400" s="5"/>
      <c r="AC400" s="7"/>
      <c r="AE400" s="54" t="e">
        <f t="shared" si="64"/>
        <v>#N/A</v>
      </c>
      <c r="AF400" s="4" t="e">
        <f t="shared" si="60"/>
        <v>#N/A</v>
      </c>
    </row>
    <row r="401" spans="2:32">
      <c r="B401" s="5">
        <f t="shared" si="58"/>
        <v>389</v>
      </c>
      <c r="C401" s="5"/>
      <c r="E401" s="13"/>
      <c r="F401" s="5"/>
      <c r="G401" s="11" t="str">
        <f>IF(ISERROR(AVERAGE(F$13:F401)),"n/a",AVERAGE(F$13:F401))</f>
        <v>n/a</v>
      </c>
      <c r="H401" s="11" t="str">
        <f t="shared" si="61"/>
        <v>n/a</v>
      </c>
      <c r="J401" s="5"/>
      <c r="K401" s="5"/>
      <c r="L401" s="5"/>
      <c r="M401" s="5"/>
      <c r="N401" s="5"/>
      <c r="O401" s="8" t="str">
        <f t="shared" si="59"/>
        <v>n/a</v>
      </c>
      <c r="Q401" s="5"/>
      <c r="R401" s="5"/>
      <c r="S401" s="5"/>
      <c r="U401" s="6"/>
      <c r="V401" s="9" t="str">
        <f t="shared" si="62"/>
        <v/>
      </c>
      <c r="W401" s="9" t="str">
        <f t="shared" si="63"/>
        <v/>
      </c>
      <c r="X401" s="10">
        <f>SUM(V$13:V401)/COUNTA(B$13:B401)</f>
        <v>0</v>
      </c>
      <c r="Z401" s="5"/>
      <c r="AA401" s="5"/>
      <c r="AC401" s="7"/>
      <c r="AE401" s="54" t="e">
        <f t="shared" si="64"/>
        <v>#N/A</v>
      </c>
      <c r="AF401" s="4" t="e">
        <f t="shared" si="60"/>
        <v>#N/A</v>
      </c>
    </row>
    <row r="402" spans="2:32">
      <c r="B402" s="5">
        <f t="shared" si="58"/>
        <v>390</v>
      </c>
      <c r="C402" s="5"/>
      <c r="E402" s="13"/>
      <c r="F402" s="5"/>
      <c r="G402" s="11" t="str">
        <f>IF(ISERROR(AVERAGE(F$13:F402)),"n/a",AVERAGE(F$13:F402))</f>
        <v>n/a</v>
      </c>
      <c r="H402" s="11" t="str">
        <f t="shared" si="61"/>
        <v>n/a</v>
      </c>
      <c r="J402" s="5"/>
      <c r="K402" s="5"/>
      <c r="L402" s="5"/>
      <c r="M402" s="5"/>
      <c r="N402" s="5"/>
      <c r="O402" s="8" t="str">
        <f t="shared" si="59"/>
        <v>n/a</v>
      </c>
      <c r="Q402" s="5"/>
      <c r="R402" s="5"/>
      <c r="S402" s="5"/>
      <c r="U402" s="6"/>
      <c r="V402" s="9" t="str">
        <f t="shared" si="62"/>
        <v/>
      </c>
      <c r="W402" s="9" t="str">
        <f t="shared" si="63"/>
        <v/>
      </c>
      <c r="X402" s="10">
        <f>SUM(V$13:V402)/COUNTA(B$13:B402)</f>
        <v>0</v>
      </c>
      <c r="Z402" s="5"/>
      <c r="AA402" s="5"/>
      <c r="AC402" s="7"/>
      <c r="AE402" s="54" t="e">
        <f t="shared" si="64"/>
        <v>#N/A</v>
      </c>
      <c r="AF402" s="4" t="e">
        <f t="shared" si="60"/>
        <v>#N/A</v>
      </c>
    </row>
    <row r="403" spans="2:32">
      <c r="B403" s="5">
        <f t="shared" ref="B403:B466" si="65">+B402+1</f>
        <v>391</v>
      </c>
      <c r="C403" s="5"/>
      <c r="E403" s="13"/>
      <c r="F403" s="5"/>
      <c r="G403" s="11" t="str">
        <f>IF(ISERROR(AVERAGE(F$13:F403)),"n/a",AVERAGE(F$13:F403))</f>
        <v>n/a</v>
      </c>
      <c r="H403" s="11" t="str">
        <f t="shared" si="61"/>
        <v>n/a</v>
      </c>
      <c r="J403" s="5"/>
      <c r="K403" s="5"/>
      <c r="L403" s="5"/>
      <c r="M403" s="5"/>
      <c r="N403" s="5"/>
      <c r="O403" s="8" t="str">
        <f t="shared" si="59"/>
        <v>n/a</v>
      </c>
      <c r="Q403" s="5"/>
      <c r="R403" s="5"/>
      <c r="S403" s="5"/>
      <c r="U403" s="6"/>
      <c r="V403" s="9" t="str">
        <f t="shared" si="62"/>
        <v/>
      </c>
      <c r="W403" s="9" t="str">
        <f t="shared" si="63"/>
        <v/>
      </c>
      <c r="X403" s="10">
        <f>SUM(V$13:V403)/COUNTA(B$13:B403)</f>
        <v>0</v>
      </c>
      <c r="Z403" s="5"/>
      <c r="AA403" s="5"/>
      <c r="AC403" s="7"/>
      <c r="AE403" s="54" t="e">
        <f t="shared" si="64"/>
        <v>#N/A</v>
      </c>
      <c r="AF403" s="4" t="e">
        <f t="shared" si="60"/>
        <v>#N/A</v>
      </c>
    </row>
    <row r="404" spans="2:32">
      <c r="B404" s="5">
        <f t="shared" si="65"/>
        <v>392</v>
      </c>
      <c r="C404" s="5"/>
      <c r="E404" s="13"/>
      <c r="F404" s="5"/>
      <c r="G404" s="11" t="str">
        <f>IF(ISERROR(AVERAGE(F$13:F404)),"n/a",AVERAGE(F$13:F404))</f>
        <v>n/a</v>
      </c>
      <c r="H404" s="11" t="str">
        <f t="shared" si="61"/>
        <v>n/a</v>
      </c>
      <c r="J404" s="5"/>
      <c r="K404" s="5"/>
      <c r="L404" s="5"/>
      <c r="M404" s="5"/>
      <c r="N404" s="5"/>
      <c r="O404" s="8" t="str">
        <f t="shared" si="59"/>
        <v>n/a</v>
      </c>
      <c r="Q404" s="5"/>
      <c r="R404" s="5"/>
      <c r="S404" s="5"/>
      <c r="U404" s="6"/>
      <c r="V404" s="9" t="str">
        <f t="shared" si="62"/>
        <v/>
      </c>
      <c r="W404" s="9" t="str">
        <f t="shared" si="63"/>
        <v/>
      </c>
      <c r="X404" s="10">
        <f>SUM(V$13:V404)/COUNTA(B$13:B404)</f>
        <v>0</v>
      </c>
      <c r="Z404" s="5"/>
      <c r="AA404" s="5"/>
      <c r="AC404" s="7"/>
      <c r="AE404" s="54" t="e">
        <f t="shared" si="64"/>
        <v>#N/A</v>
      </c>
      <c r="AF404" s="4" t="e">
        <f t="shared" si="60"/>
        <v>#N/A</v>
      </c>
    </row>
    <row r="405" spans="2:32">
      <c r="B405" s="5">
        <f t="shared" si="65"/>
        <v>393</v>
      </c>
      <c r="C405" s="5"/>
      <c r="E405" s="13"/>
      <c r="F405" s="5"/>
      <c r="G405" s="11" t="str">
        <f>IF(ISERROR(AVERAGE(F$13:F405)),"n/a",AVERAGE(F$13:F405))</f>
        <v>n/a</v>
      </c>
      <c r="H405" s="11" t="str">
        <f t="shared" si="61"/>
        <v>n/a</v>
      </c>
      <c r="J405" s="5"/>
      <c r="K405" s="5"/>
      <c r="L405" s="5"/>
      <c r="M405" s="5"/>
      <c r="N405" s="5"/>
      <c r="O405" s="8" t="str">
        <f t="shared" si="59"/>
        <v>n/a</v>
      </c>
      <c r="Q405" s="5"/>
      <c r="R405" s="5"/>
      <c r="S405" s="5"/>
      <c r="U405" s="6"/>
      <c r="V405" s="9" t="str">
        <f t="shared" si="62"/>
        <v/>
      </c>
      <c r="W405" s="9" t="str">
        <f t="shared" si="63"/>
        <v/>
      </c>
      <c r="X405" s="10">
        <f>SUM(V$13:V405)/COUNTA(B$13:B405)</f>
        <v>0</v>
      </c>
      <c r="Z405" s="5"/>
      <c r="AA405" s="5"/>
      <c r="AC405" s="7"/>
      <c r="AE405" s="54" t="e">
        <f t="shared" si="64"/>
        <v>#N/A</v>
      </c>
      <c r="AF405" s="4" t="e">
        <f t="shared" si="60"/>
        <v>#N/A</v>
      </c>
    </row>
    <row r="406" spans="2:32">
      <c r="B406" s="5">
        <f t="shared" si="65"/>
        <v>394</v>
      </c>
      <c r="C406" s="5"/>
      <c r="E406" s="13"/>
      <c r="F406" s="5"/>
      <c r="G406" s="11" t="str">
        <f>IF(ISERROR(AVERAGE(F$13:F406)),"n/a",AVERAGE(F$13:F406))</f>
        <v>n/a</v>
      </c>
      <c r="H406" s="11" t="str">
        <f t="shared" si="61"/>
        <v>n/a</v>
      </c>
      <c r="J406" s="5"/>
      <c r="K406" s="5"/>
      <c r="L406" s="5"/>
      <c r="M406" s="5"/>
      <c r="N406" s="5"/>
      <c r="O406" s="8" t="str">
        <f t="shared" si="59"/>
        <v>n/a</v>
      </c>
      <c r="Q406" s="5"/>
      <c r="R406" s="5"/>
      <c r="S406" s="5"/>
      <c r="U406" s="6"/>
      <c r="V406" s="9" t="str">
        <f t="shared" si="62"/>
        <v/>
      </c>
      <c r="W406" s="9" t="str">
        <f t="shared" si="63"/>
        <v/>
      </c>
      <c r="X406" s="10">
        <f>SUM(V$13:V406)/COUNTA(B$13:B406)</f>
        <v>0</v>
      </c>
      <c r="Z406" s="5"/>
      <c r="AA406" s="5"/>
      <c r="AC406" s="7"/>
      <c r="AE406" s="54" t="e">
        <f t="shared" si="64"/>
        <v>#N/A</v>
      </c>
      <c r="AF406" s="4" t="e">
        <f t="shared" si="60"/>
        <v>#N/A</v>
      </c>
    </row>
    <row r="407" spans="2:32">
      <c r="B407" s="5">
        <f t="shared" si="65"/>
        <v>395</v>
      </c>
      <c r="C407" s="5"/>
      <c r="E407" s="13"/>
      <c r="F407" s="5"/>
      <c r="G407" s="11" t="str">
        <f>IF(ISERROR(AVERAGE(F$13:F407)),"n/a",AVERAGE(F$13:F407))</f>
        <v>n/a</v>
      </c>
      <c r="H407" s="11" t="str">
        <f t="shared" si="61"/>
        <v>n/a</v>
      </c>
      <c r="J407" s="5"/>
      <c r="K407" s="5"/>
      <c r="L407" s="5"/>
      <c r="M407" s="5"/>
      <c r="N407" s="5"/>
      <c r="O407" s="8" t="str">
        <f t="shared" si="59"/>
        <v>n/a</v>
      </c>
      <c r="Q407" s="5"/>
      <c r="R407" s="5"/>
      <c r="S407" s="5"/>
      <c r="U407" s="6"/>
      <c r="V407" s="9" t="str">
        <f t="shared" si="62"/>
        <v/>
      </c>
      <c r="W407" s="9" t="str">
        <f t="shared" si="63"/>
        <v/>
      </c>
      <c r="X407" s="10">
        <f>SUM(V$13:V407)/COUNTA(B$13:B407)</f>
        <v>0</v>
      </c>
      <c r="Z407" s="5"/>
      <c r="AA407" s="5"/>
      <c r="AC407" s="7"/>
      <c r="AE407" s="54" t="e">
        <f t="shared" si="64"/>
        <v>#N/A</v>
      </c>
      <c r="AF407" s="4" t="e">
        <f t="shared" si="60"/>
        <v>#N/A</v>
      </c>
    </row>
    <row r="408" spans="2:32">
      <c r="B408" s="5">
        <f t="shared" si="65"/>
        <v>396</v>
      </c>
      <c r="C408" s="5"/>
      <c r="E408" s="13"/>
      <c r="F408" s="5"/>
      <c r="G408" s="11" t="str">
        <f>IF(ISERROR(AVERAGE(F$13:F408)),"n/a",AVERAGE(F$13:F408))</f>
        <v>n/a</v>
      </c>
      <c r="H408" s="11" t="str">
        <f t="shared" si="61"/>
        <v>n/a</v>
      </c>
      <c r="J408" s="5"/>
      <c r="K408" s="5"/>
      <c r="L408" s="5"/>
      <c r="M408" s="5"/>
      <c r="N408" s="5"/>
      <c r="O408" s="8" t="str">
        <f t="shared" si="59"/>
        <v>n/a</v>
      </c>
      <c r="Q408" s="5"/>
      <c r="R408" s="5"/>
      <c r="S408" s="5"/>
      <c r="U408" s="6"/>
      <c r="V408" s="9" t="str">
        <f t="shared" si="62"/>
        <v/>
      </c>
      <c r="W408" s="9" t="str">
        <f t="shared" si="63"/>
        <v/>
      </c>
      <c r="X408" s="10">
        <f>SUM(V$13:V408)/COUNTA(B$13:B408)</f>
        <v>0</v>
      </c>
      <c r="Z408" s="5"/>
      <c r="AA408" s="5"/>
      <c r="AC408" s="7"/>
      <c r="AE408" s="54" t="e">
        <f t="shared" si="64"/>
        <v>#N/A</v>
      </c>
      <c r="AF408" s="4" t="e">
        <f t="shared" si="60"/>
        <v>#N/A</v>
      </c>
    </row>
    <row r="409" spans="2:32">
      <c r="B409" s="5">
        <f t="shared" si="65"/>
        <v>397</v>
      </c>
      <c r="C409" s="5"/>
      <c r="E409" s="13"/>
      <c r="F409" s="5"/>
      <c r="G409" s="11" t="str">
        <f>IF(ISERROR(AVERAGE(F$13:F409)),"n/a",AVERAGE(F$13:F409))</f>
        <v>n/a</v>
      </c>
      <c r="H409" s="11" t="str">
        <f t="shared" si="61"/>
        <v>n/a</v>
      </c>
      <c r="J409" s="5"/>
      <c r="K409" s="5"/>
      <c r="L409" s="5"/>
      <c r="M409" s="5"/>
      <c r="N409" s="5"/>
      <c r="O409" s="8" t="str">
        <f t="shared" si="59"/>
        <v>n/a</v>
      </c>
      <c r="Q409" s="5"/>
      <c r="R409" s="5"/>
      <c r="S409" s="5"/>
      <c r="U409" s="6"/>
      <c r="V409" s="9" t="str">
        <f t="shared" si="62"/>
        <v/>
      </c>
      <c r="W409" s="9" t="str">
        <f t="shared" si="63"/>
        <v/>
      </c>
      <c r="X409" s="10">
        <f>SUM(V$13:V409)/COUNTA(B$13:B409)</f>
        <v>0</v>
      </c>
      <c r="Z409" s="5"/>
      <c r="AA409" s="5"/>
      <c r="AC409" s="7"/>
      <c r="AE409" s="54" t="e">
        <f t="shared" si="64"/>
        <v>#N/A</v>
      </c>
      <c r="AF409" s="4" t="e">
        <f t="shared" si="60"/>
        <v>#N/A</v>
      </c>
    </row>
    <row r="410" spans="2:32">
      <c r="B410" s="5">
        <f t="shared" si="65"/>
        <v>398</v>
      </c>
      <c r="C410" s="5"/>
      <c r="E410" s="13"/>
      <c r="F410" s="5"/>
      <c r="G410" s="11" t="str">
        <f>IF(ISERROR(AVERAGE(F$13:F410)),"n/a",AVERAGE(F$13:F410))</f>
        <v>n/a</v>
      </c>
      <c r="H410" s="11" t="str">
        <f t="shared" si="61"/>
        <v>n/a</v>
      </c>
      <c r="J410" s="5"/>
      <c r="K410" s="5"/>
      <c r="L410" s="5"/>
      <c r="M410" s="5"/>
      <c r="N410" s="5"/>
      <c r="O410" s="8" t="str">
        <f t="shared" si="59"/>
        <v>n/a</v>
      </c>
      <c r="Q410" s="5"/>
      <c r="R410" s="5"/>
      <c r="S410" s="5"/>
      <c r="U410" s="6"/>
      <c r="V410" s="9" t="str">
        <f t="shared" si="62"/>
        <v/>
      </c>
      <c r="W410" s="9" t="str">
        <f t="shared" si="63"/>
        <v/>
      </c>
      <c r="X410" s="10">
        <f>SUM(V$13:V410)/COUNTA(B$13:B410)</f>
        <v>0</v>
      </c>
      <c r="Z410" s="5"/>
      <c r="AA410" s="5"/>
      <c r="AC410" s="7"/>
      <c r="AE410" s="54" t="e">
        <f t="shared" si="64"/>
        <v>#N/A</v>
      </c>
      <c r="AF410" s="4" t="e">
        <f t="shared" si="60"/>
        <v>#N/A</v>
      </c>
    </row>
    <row r="411" spans="2:32">
      <c r="B411" s="5">
        <f t="shared" si="65"/>
        <v>399</v>
      </c>
      <c r="C411" s="5"/>
      <c r="E411" s="13"/>
      <c r="F411" s="5"/>
      <c r="G411" s="11" t="str">
        <f>IF(ISERROR(AVERAGE(F$13:F411)),"n/a",AVERAGE(F$13:F411))</f>
        <v>n/a</v>
      </c>
      <c r="H411" s="11" t="str">
        <f t="shared" si="61"/>
        <v>n/a</v>
      </c>
      <c r="J411" s="5"/>
      <c r="K411" s="5"/>
      <c r="L411" s="5"/>
      <c r="M411" s="5"/>
      <c r="N411" s="5"/>
      <c r="O411" s="8" t="str">
        <f t="shared" si="59"/>
        <v>n/a</v>
      </c>
      <c r="Q411" s="5"/>
      <c r="R411" s="5"/>
      <c r="S411" s="5"/>
      <c r="U411" s="6"/>
      <c r="V411" s="9" t="str">
        <f t="shared" si="62"/>
        <v/>
      </c>
      <c r="W411" s="9" t="str">
        <f t="shared" si="63"/>
        <v/>
      </c>
      <c r="X411" s="10">
        <f>SUM(V$13:V411)/COUNTA(B$13:B411)</f>
        <v>0</v>
      </c>
      <c r="Z411" s="5"/>
      <c r="AA411" s="5"/>
      <c r="AC411" s="7"/>
      <c r="AE411" s="54" t="e">
        <f t="shared" si="64"/>
        <v>#N/A</v>
      </c>
      <c r="AF411" s="4" t="e">
        <f t="shared" si="60"/>
        <v>#N/A</v>
      </c>
    </row>
    <row r="412" spans="2:32">
      <c r="B412" s="5">
        <f t="shared" si="65"/>
        <v>400</v>
      </c>
      <c r="C412" s="5"/>
      <c r="E412" s="13"/>
      <c r="F412" s="5"/>
      <c r="G412" s="11" t="str">
        <f>IF(ISERROR(AVERAGE(F$13:F412)),"n/a",AVERAGE(F$13:F412))</f>
        <v>n/a</v>
      </c>
      <c r="H412" s="11" t="str">
        <f t="shared" si="61"/>
        <v>n/a</v>
      </c>
      <c r="J412" s="5"/>
      <c r="K412" s="5"/>
      <c r="L412" s="5"/>
      <c r="M412" s="5"/>
      <c r="N412" s="5"/>
      <c r="O412" s="8" t="str">
        <f t="shared" si="59"/>
        <v>n/a</v>
      </c>
      <c r="Q412" s="5"/>
      <c r="R412" s="5"/>
      <c r="S412" s="5"/>
      <c r="U412" s="6"/>
      <c r="V412" s="9" t="str">
        <f t="shared" si="62"/>
        <v/>
      </c>
      <c r="W412" s="9" t="str">
        <f t="shared" si="63"/>
        <v/>
      </c>
      <c r="X412" s="10">
        <f>SUM(V$13:V412)/COUNTA(B$13:B412)</f>
        <v>0</v>
      </c>
      <c r="Z412" s="5"/>
      <c r="AA412" s="5"/>
      <c r="AC412" s="7"/>
      <c r="AE412" s="54" t="e">
        <f t="shared" si="64"/>
        <v>#N/A</v>
      </c>
      <c r="AF412" s="4" t="e">
        <f t="shared" si="60"/>
        <v>#N/A</v>
      </c>
    </row>
    <row r="413" spans="2:32">
      <c r="B413" s="5">
        <f t="shared" si="65"/>
        <v>401</v>
      </c>
      <c r="C413" s="5"/>
      <c r="E413" s="13"/>
      <c r="F413" s="5"/>
      <c r="G413" s="11" t="str">
        <f>IF(ISERROR(AVERAGE(F$13:F413)),"n/a",AVERAGE(F$13:F413))</f>
        <v>n/a</v>
      </c>
      <c r="H413" s="11" t="str">
        <f t="shared" si="61"/>
        <v>n/a</v>
      </c>
      <c r="J413" s="5"/>
      <c r="K413" s="5"/>
      <c r="L413" s="5"/>
      <c r="M413" s="5"/>
      <c r="N413" s="5"/>
      <c r="O413" s="8" t="str">
        <f t="shared" si="59"/>
        <v>n/a</v>
      </c>
      <c r="Q413" s="5"/>
      <c r="R413" s="5"/>
      <c r="S413" s="5"/>
      <c r="U413" s="6"/>
      <c r="V413" s="9" t="str">
        <f t="shared" si="62"/>
        <v/>
      </c>
      <c r="W413" s="9" t="str">
        <f t="shared" si="63"/>
        <v/>
      </c>
      <c r="X413" s="10">
        <f>SUM(V$13:V413)/COUNTA(B$13:B413)</f>
        <v>0</v>
      </c>
      <c r="Z413" s="5"/>
      <c r="AA413" s="5"/>
      <c r="AC413" s="7"/>
      <c r="AE413" s="54" t="e">
        <f t="shared" si="64"/>
        <v>#N/A</v>
      </c>
      <c r="AF413" s="4" t="e">
        <f t="shared" si="60"/>
        <v>#N/A</v>
      </c>
    </row>
    <row r="414" spans="2:32">
      <c r="B414" s="5">
        <f t="shared" si="65"/>
        <v>402</v>
      </c>
      <c r="C414" s="5"/>
      <c r="E414" s="13"/>
      <c r="F414" s="5"/>
      <c r="G414" s="11" t="str">
        <f>IF(ISERROR(AVERAGE(F$13:F414)),"n/a",AVERAGE(F$13:F414))</f>
        <v>n/a</v>
      </c>
      <c r="H414" s="11" t="str">
        <f t="shared" si="61"/>
        <v>n/a</v>
      </c>
      <c r="J414" s="5"/>
      <c r="K414" s="5"/>
      <c r="L414" s="5"/>
      <c r="M414" s="5"/>
      <c r="N414" s="5"/>
      <c r="O414" s="8" t="str">
        <f t="shared" si="59"/>
        <v>n/a</v>
      </c>
      <c r="Q414" s="5"/>
      <c r="R414" s="5"/>
      <c r="S414" s="5"/>
      <c r="U414" s="6"/>
      <c r="V414" s="9" t="str">
        <f t="shared" si="62"/>
        <v/>
      </c>
      <c r="W414" s="9" t="str">
        <f t="shared" si="63"/>
        <v/>
      </c>
      <c r="X414" s="10">
        <f>SUM(V$13:V414)/COUNTA(B$13:B414)</f>
        <v>0</v>
      </c>
      <c r="Z414" s="5"/>
      <c r="AA414" s="5"/>
      <c r="AC414" s="7"/>
      <c r="AE414" s="54" t="e">
        <f t="shared" si="64"/>
        <v>#N/A</v>
      </c>
      <c r="AF414" s="4" t="e">
        <f t="shared" si="60"/>
        <v>#N/A</v>
      </c>
    </row>
    <row r="415" spans="2:32">
      <c r="B415" s="5">
        <f t="shared" si="65"/>
        <v>403</v>
      </c>
      <c r="C415" s="5"/>
      <c r="E415" s="13"/>
      <c r="F415" s="5"/>
      <c r="G415" s="11" t="str">
        <f>IF(ISERROR(AVERAGE(F$13:F415)),"n/a",AVERAGE(F$13:F415))</f>
        <v>n/a</v>
      </c>
      <c r="H415" s="11" t="str">
        <f t="shared" si="61"/>
        <v>n/a</v>
      </c>
      <c r="J415" s="5"/>
      <c r="K415" s="5"/>
      <c r="L415" s="5"/>
      <c r="M415" s="5"/>
      <c r="N415" s="5"/>
      <c r="O415" s="8" t="str">
        <f t="shared" si="59"/>
        <v>n/a</v>
      </c>
      <c r="Q415" s="5"/>
      <c r="R415" s="5"/>
      <c r="S415" s="5"/>
      <c r="U415" s="6"/>
      <c r="V415" s="9" t="str">
        <f t="shared" si="62"/>
        <v/>
      </c>
      <c r="W415" s="9" t="str">
        <f t="shared" si="63"/>
        <v/>
      </c>
      <c r="X415" s="10">
        <f>SUM(V$13:V415)/COUNTA(B$13:B415)</f>
        <v>0</v>
      </c>
      <c r="Z415" s="5"/>
      <c r="AA415" s="5"/>
      <c r="AC415" s="7"/>
      <c r="AE415" s="54" t="e">
        <f t="shared" si="64"/>
        <v>#N/A</v>
      </c>
      <c r="AF415" s="4" t="e">
        <f t="shared" si="60"/>
        <v>#N/A</v>
      </c>
    </row>
    <row r="416" spans="2:32">
      <c r="B416" s="5">
        <f t="shared" si="65"/>
        <v>404</v>
      </c>
      <c r="C416" s="5"/>
      <c r="E416" s="13"/>
      <c r="F416" s="5"/>
      <c r="G416" s="11" t="str">
        <f>IF(ISERROR(AVERAGE(F$13:F416)),"n/a",AVERAGE(F$13:F416))</f>
        <v>n/a</v>
      </c>
      <c r="H416" s="11" t="str">
        <f t="shared" si="61"/>
        <v>n/a</v>
      </c>
      <c r="J416" s="5"/>
      <c r="K416" s="5"/>
      <c r="L416" s="5"/>
      <c r="M416" s="5"/>
      <c r="N416" s="5"/>
      <c r="O416" s="8" t="str">
        <f t="shared" si="59"/>
        <v>n/a</v>
      </c>
      <c r="Q416" s="5"/>
      <c r="R416" s="5"/>
      <c r="S416" s="5"/>
      <c r="U416" s="6"/>
      <c r="V416" s="9" t="str">
        <f t="shared" si="62"/>
        <v/>
      </c>
      <c r="W416" s="9" t="str">
        <f t="shared" si="63"/>
        <v/>
      </c>
      <c r="X416" s="10">
        <f>SUM(V$13:V416)/COUNTA(B$13:B416)</f>
        <v>0</v>
      </c>
      <c r="Z416" s="5"/>
      <c r="AA416" s="5"/>
      <c r="AC416" s="7"/>
      <c r="AE416" s="54" t="e">
        <f t="shared" si="64"/>
        <v>#N/A</v>
      </c>
      <c r="AF416" s="4" t="e">
        <f t="shared" si="60"/>
        <v>#N/A</v>
      </c>
    </row>
    <row r="417" spans="2:32">
      <c r="B417" s="5">
        <f t="shared" si="65"/>
        <v>405</v>
      </c>
      <c r="C417" s="5"/>
      <c r="E417" s="13"/>
      <c r="F417" s="5"/>
      <c r="G417" s="11" t="str">
        <f>IF(ISERROR(AVERAGE(F$13:F417)),"n/a",AVERAGE(F$13:F417))</f>
        <v>n/a</v>
      </c>
      <c r="H417" s="11" t="str">
        <f t="shared" si="61"/>
        <v>n/a</v>
      </c>
      <c r="J417" s="5"/>
      <c r="K417" s="5"/>
      <c r="L417" s="5"/>
      <c r="M417" s="5"/>
      <c r="N417" s="5"/>
      <c r="O417" s="8" t="str">
        <f t="shared" si="59"/>
        <v>n/a</v>
      </c>
      <c r="Q417" s="5"/>
      <c r="R417" s="5"/>
      <c r="S417" s="5"/>
      <c r="U417" s="6"/>
      <c r="V417" s="9" t="str">
        <f t="shared" si="62"/>
        <v/>
      </c>
      <c r="W417" s="9" t="str">
        <f t="shared" si="63"/>
        <v/>
      </c>
      <c r="X417" s="10">
        <f>SUM(V$13:V417)/COUNTA(B$13:B417)</f>
        <v>0</v>
      </c>
      <c r="Z417" s="5"/>
      <c r="AA417" s="5"/>
      <c r="AC417" s="7"/>
      <c r="AE417" s="54" t="e">
        <f t="shared" si="64"/>
        <v>#N/A</v>
      </c>
      <c r="AF417" s="4" t="e">
        <f t="shared" si="60"/>
        <v>#N/A</v>
      </c>
    </row>
    <row r="418" spans="2:32">
      <c r="B418" s="5">
        <f t="shared" si="65"/>
        <v>406</v>
      </c>
      <c r="C418" s="5"/>
      <c r="E418" s="13"/>
      <c r="F418" s="5"/>
      <c r="G418" s="11" t="str">
        <f>IF(ISERROR(AVERAGE(F$13:F418)),"n/a",AVERAGE(F$13:F418))</f>
        <v>n/a</v>
      </c>
      <c r="H418" s="11" t="str">
        <f t="shared" si="61"/>
        <v>n/a</v>
      </c>
      <c r="J418" s="5"/>
      <c r="K418" s="5"/>
      <c r="L418" s="5"/>
      <c r="M418" s="5"/>
      <c r="N418" s="5"/>
      <c r="O418" s="8" t="str">
        <f t="shared" si="59"/>
        <v>n/a</v>
      </c>
      <c r="Q418" s="5"/>
      <c r="R418" s="5"/>
      <c r="S418" s="5"/>
      <c r="U418" s="6"/>
      <c r="V418" s="9" t="str">
        <f t="shared" si="62"/>
        <v/>
      </c>
      <c r="W418" s="9" t="str">
        <f t="shared" si="63"/>
        <v/>
      </c>
      <c r="X418" s="10">
        <f>SUM(V$13:V418)/COUNTA(B$13:B418)</f>
        <v>0</v>
      </c>
      <c r="Z418" s="5"/>
      <c r="AA418" s="5"/>
      <c r="AC418" s="7"/>
      <c r="AE418" s="54" t="e">
        <f t="shared" si="64"/>
        <v>#N/A</v>
      </c>
      <c r="AF418" s="4" t="e">
        <f t="shared" si="60"/>
        <v>#N/A</v>
      </c>
    </row>
    <row r="419" spans="2:32">
      <c r="B419" s="5">
        <f t="shared" si="65"/>
        <v>407</v>
      </c>
      <c r="C419" s="5"/>
      <c r="E419" s="13"/>
      <c r="F419" s="5"/>
      <c r="G419" s="11" t="str">
        <f>IF(ISERROR(AVERAGE(F$13:F419)),"n/a",AVERAGE(F$13:F419))</f>
        <v>n/a</v>
      </c>
      <c r="H419" s="11" t="str">
        <f t="shared" si="61"/>
        <v>n/a</v>
      </c>
      <c r="J419" s="5"/>
      <c r="K419" s="5"/>
      <c r="L419" s="5"/>
      <c r="M419" s="5"/>
      <c r="N419" s="5"/>
      <c r="O419" s="8" t="str">
        <f t="shared" si="59"/>
        <v>n/a</v>
      </c>
      <c r="Q419" s="5"/>
      <c r="R419" s="5"/>
      <c r="S419" s="5"/>
      <c r="U419" s="6"/>
      <c r="V419" s="9" t="str">
        <f t="shared" si="62"/>
        <v/>
      </c>
      <c r="W419" s="9" t="str">
        <f t="shared" si="63"/>
        <v/>
      </c>
      <c r="X419" s="10">
        <f>SUM(V$13:V419)/COUNTA(B$13:B419)</f>
        <v>0</v>
      </c>
      <c r="Z419" s="5"/>
      <c r="AA419" s="5"/>
      <c r="AC419" s="7"/>
      <c r="AE419" s="54" t="e">
        <f t="shared" si="64"/>
        <v>#N/A</v>
      </c>
      <c r="AF419" s="4" t="e">
        <f t="shared" si="60"/>
        <v>#N/A</v>
      </c>
    </row>
    <row r="420" spans="2:32">
      <c r="B420" s="5">
        <f t="shared" si="65"/>
        <v>408</v>
      </c>
      <c r="C420" s="5"/>
      <c r="E420" s="13"/>
      <c r="F420" s="5"/>
      <c r="G420" s="11" t="str">
        <f>IF(ISERROR(AVERAGE(F$13:F420)),"n/a",AVERAGE(F$13:F420))</f>
        <v>n/a</v>
      </c>
      <c r="H420" s="11" t="str">
        <f t="shared" si="61"/>
        <v>n/a</v>
      </c>
      <c r="J420" s="5"/>
      <c r="K420" s="5"/>
      <c r="L420" s="5"/>
      <c r="M420" s="5"/>
      <c r="N420" s="5"/>
      <c r="O420" s="8" t="str">
        <f t="shared" si="59"/>
        <v>n/a</v>
      </c>
      <c r="Q420" s="5"/>
      <c r="R420" s="5"/>
      <c r="S420" s="5"/>
      <c r="U420" s="6"/>
      <c r="V420" s="9" t="str">
        <f t="shared" si="62"/>
        <v/>
      </c>
      <c r="W420" s="9" t="str">
        <f t="shared" si="63"/>
        <v/>
      </c>
      <c r="X420" s="10">
        <f>SUM(V$13:V420)/COUNTA(B$13:B420)</f>
        <v>0</v>
      </c>
      <c r="Z420" s="5"/>
      <c r="AA420" s="5"/>
      <c r="AC420" s="7"/>
      <c r="AE420" s="54" t="e">
        <f t="shared" si="64"/>
        <v>#N/A</v>
      </c>
      <c r="AF420" s="4" t="e">
        <f t="shared" si="60"/>
        <v>#N/A</v>
      </c>
    </row>
    <row r="421" spans="2:32">
      <c r="B421" s="5">
        <f t="shared" si="65"/>
        <v>409</v>
      </c>
      <c r="C421" s="5"/>
      <c r="E421" s="13"/>
      <c r="F421" s="5"/>
      <c r="G421" s="11" t="str">
        <f>IF(ISERROR(AVERAGE(F$13:F421)),"n/a",AVERAGE(F$13:F421))</f>
        <v>n/a</v>
      </c>
      <c r="H421" s="11" t="str">
        <f t="shared" si="61"/>
        <v>n/a</v>
      </c>
      <c r="J421" s="5"/>
      <c r="K421" s="5"/>
      <c r="L421" s="5"/>
      <c r="M421" s="5"/>
      <c r="N421" s="5"/>
      <c r="O421" s="8" t="str">
        <f t="shared" si="59"/>
        <v>n/a</v>
      </c>
      <c r="Q421" s="5"/>
      <c r="R421" s="5"/>
      <c r="S421" s="5"/>
      <c r="U421" s="6"/>
      <c r="V421" s="9" t="str">
        <f t="shared" si="62"/>
        <v/>
      </c>
      <c r="W421" s="9" t="str">
        <f t="shared" si="63"/>
        <v/>
      </c>
      <c r="X421" s="10">
        <f>SUM(V$13:V421)/COUNTA(B$13:B421)</f>
        <v>0</v>
      </c>
      <c r="Z421" s="5"/>
      <c r="AA421" s="5"/>
      <c r="AC421" s="7"/>
      <c r="AE421" s="54" t="e">
        <f t="shared" si="64"/>
        <v>#N/A</v>
      </c>
      <c r="AF421" s="4" t="e">
        <f t="shared" si="60"/>
        <v>#N/A</v>
      </c>
    </row>
    <row r="422" spans="2:32">
      <c r="B422" s="5">
        <f t="shared" si="65"/>
        <v>410</v>
      </c>
      <c r="C422" s="5"/>
      <c r="E422" s="13"/>
      <c r="F422" s="5"/>
      <c r="G422" s="11" t="str">
        <f>IF(ISERROR(AVERAGE(F$13:F422)),"n/a",AVERAGE(F$13:F422))</f>
        <v>n/a</v>
      </c>
      <c r="H422" s="11" t="str">
        <f t="shared" si="61"/>
        <v>n/a</v>
      </c>
      <c r="J422" s="5"/>
      <c r="K422" s="5"/>
      <c r="L422" s="5"/>
      <c r="M422" s="5"/>
      <c r="N422" s="5"/>
      <c r="O422" s="8" t="str">
        <f t="shared" si="59"/>
        <v>n/a</v>
      </c>
      <c r="Q422" s="5"/>
      <c r="R422" s="5"/>
      <c r="S422" s="5"/>
      <c r="U422" s="6"/>
      <c r="V422" s="9" t="str">
        <f t="shared" si="62"/>
        <v/>
      </c>
      <c r="W422" s="9" t="str">
        <f t="shared" si="63"/>
        <v/>
      </c>
      <c r="X422" s="10">
        <f>SUM(V$13:V422)/COUNTA(B$13:B422)</f>
        <v>0</v>
      </c>
      <c r="Z422" s="5"/>
      <c r="AA422" s="5"/>
      <c r="AC422" s="7"/>
      <c r="AE422" s="54" t="e">
        <f t="shared" si="64"/>
        <v>#N/A</v>
      </c>
      <c r="AF422" s="4" t="e">
        <f t="shared" si="60"/>
        <v>#N/A</v>
      </c>
    </row>
    <row r="423" spans="2:32">
      <c r="B423" s="5">
        <f t="shared" si="65"/>
        <v>411</v>
      </c>
      <c r="C423" s="5"/>
      <c r="E423" s="13"/>
      <c r="F423" s="5"/>
      <c r="G423" s="11" t="str">
        <f>IF(ISERROR(AVERAGE(F$13:F423)),"n/a",AVERAGE(F$13:F423))</f>
        <v>n/a</v>
      </c>
      <c r="H423" s="11" t="str">
        <f t="shared" si="61"/>
        <v>n/a</v>
      </c>
      <c r="J423" s="5"/>
      <c r="K423" s="5"/>
      <c r="L423" s="5"/>
      <c r="M423" s="5"/>
      <c r="N423" s="5"/>
      <c r="O423" s="8" t="str">
        <f t="shared" si="59"/>
        <v>n/a</v>
      </c>
      <c r="Q423" s="5"/>
      <c r="R423" s="5"/>
      <c r="S423" s="5"/>
      <c r="U423" s="6"/>
      <c r="V423" s="9" t="str">
        <f t="shared" si="62"/>
        <v/>
      </c>
      <c r="W423" s="9" t="str">
        <f t="shared" si="63"/>
        <v/>
      </c>
      <c r="X423" s="10">
        <f>SUM(V$13:V423)/COUNTA(B$13:B423)</f>
        <v>0</v>
      </c>
      <c r="Z423" s="5"/>
      <c r="AA423" s="5"/>
      <c r="AC423" s="7"/>
      <c r="AE423" s="54" t="e">
        <f t="shared" si="64"/>
        <v>#N/A</v>
      </c>
      <c r="AF423" s="4" t="e">
        <f t="shared" si="60"/>
        <v>#N/A</v>
      </c>
    </row>
    <row r="424" spans="2:32">
      <c r="B424" s="5">
        <f t="shared" si="65"/>
        <v>412</v>
      </c>
      <c r="C424" s="5"/>
      <c r="E424" s="13"/>
      <c r="F424" s="5"/>
      <c r="G424" s="11" t="str">
        <f>IF(ISERROR(AVERAGE(F$13:F424)),"n/a",AVERAGE(F$13:F424))</f>
        <v>n/a</v>
      </c>
      <c r="H424" s="11" t="str">
        <f t="shared" si="61"/>
        <v>n/a</v>
      </c>
      <c r="J424" s="5"/>
      <c r="K424" s="5"/>
      <c r="L424" s="5"/>
      <c r="M424" s="5"/>
      <c r="N424" s="5"/>
      <c r="O424" s="8" t="str">
        <f t="shared" si="59"/>
        <v>n/a</v>
      </c>
      <c r="Q424" s="5"/>
      <c r="R424" s="5"/>
      <c r="S424" s="5"/>
      <c r="U424" s="6"/>
      <c r="V424" s="9" t="str">
        <f t="shared" si="62"/>
        <v/>
      </c>
      <c r="W424" s="9" t="str">
        <f t="shared" si="63"/>
        <v/>
      </c>
      <c r="X424" s="10">
        <f>SUM(V$13:V424)/COUNTA(B$13:B424)</f>
        <v>0</v>
      </c>
      <c r="Z424" s="5"/>
      <c r="AA424" s="5"/>
      <c r="AC424" s="7"/>
      <c r="AE424" s="54" t="e">
        <f t="shared" si="64"/>
        <v>#N/A</v>
      </c>
      <c r="AF424" s="4" t="e">
        <f t="shared" si="60"/>
        <v>#N/A</v>
      </c>
    </row>
    <row r="425" spans="2:32">
      <c r="B425" s="5">
        <f t="shared" si="65"/>
        <v>413</v>
      </c>
      <c r="C425" s="5"/>
      <c r="E425" s="13"/>
      <c r="F425" s="5"/>
      <c r="G425" s="11" t="str">
        <f>IF(ISERROR(AVERAGE(F$13:F425)),"n/a",AVERAGE(F$13:F425))</f>
        <v>n/a</v>
      </c>
      <c r="H425" s="11" t="str">
        <f t="shared" si="61"/>
        <v>n/a</v>
      </c>
      <c r="J425" s="5"/>
      <c r="K425" s="5"/>
      <c r="L425" s="5"/>
      <c r="M425" s="5"/>
      <c r="N425" s="5"/>
      <c r="O425" s="8" t="str">
        <f t="shared" si="59"/>
        <v>n/a</v>
      </c>
      <c r="Q425" s="5"/>
      <c r="R425" s="5"/>
      <c r="S425" s="5"/>
      <c r="U425" s="6"/>
      <c r="V425" s="9" t="str">
        <f t="shared" si="62"/>
        <v/>
      </c>
      <c r="W425" s="9" t="str">
        <f t="shared" si="63"/>
        <v/>
      </c>
      <c r="X425" s="10">
        <f>SUM(V$13:V425)/COUNTA(B$13:B425)</f>
        <v>0</v>
      </c>
      <c r="Z425" s="5"/>
      <c r="AA425" s="5"/>
      <c r="AC425" s="7"/>
      <c r="AE425" s="54" t="e">
        <f t="shared" si="64"/>
        <v>#N/A</v>
      </c>
      <c r="AF425" s="4" t="e">
        <f t="shared" si="60"/>
        <v>#N/A</v>
      </c>
    </row>
    <row r="426" spans="2:32">
      <c r="B426" s="5">
        <f t="shared" si="65"/>
        <v>414</v>
      </c>
      <c r="C426" s="5"/>
      <c r="E426" s="13"/>
      <c r="F426" s="5"/>
      <c r="G426" s="11" t="str">
        <f>IF(ISERROR(AVERAGE(F$13:F426)),"n/a",AVERAGE(F$13:F426))</f>
        <v>n/a</v>
      </c>
      <c r="H426" s="11" t="str">
        <f t="shared" si="61"/>
        <v>n/a</v>
      </c>
      <c r="J426" s="5"/>
      <c r="K426" s="5"/>
      <c r="L426" s="5"/>
      <c r="M426" s="5"/>
      <c r="N426" s="5"/>
      <c r="O426" s="8" t="str">
        <f t="shared" si="59"/>
        <v>n/a</v>
      </c>
      <c r="Q426" s="5"/>
      <c r="R426" s="5"/>
      <c r="S426" s="5"/>
      <c r="U426" s="6"/>
      <c r="V426" s="9" t="str">
        <f t="shared" si="62"/>
        <v/>
      </c>
      <c r="W426" s="9" t="str">
        <f t="shared" si="63"/>
        <v/>
      </c>
      <c r="X426" s="10">
        <f>SUM(V$13:V426)/COUNTA(B$13:B426)</f>
        <v>0</v>
      </c>
      <c r="Z426" s="5"/>
      <c r="AA426" s="5"/>
      <c r="AC426" s="7"/>
      <c r="AE426" s="54" t="e">
        <f t="shared" si="64"/>
        <v>#N/A</v>
      </c>
      <c r="AF426" s="4" t="e">
        <f t="shared" si="60"/>
        <v>#N/A</v>
      </c>
    </row>
    <row r="427" spans="2:32">
      <c r="B427" s="5">
        <f t="shared" si="65"/>
        <v>415</v>
      </c>
      <c r="C427" s="5"/>
      <c r="E427" s="13"/>
      <c r="F427" s="5"/>
      <c r="G427" s="11" t="str">
        <f>IF(ISERROR(AVERAGE(F$13:F427)),"n/a",AVERAGE(F$13:F427))</f>
        <v>n/a</v>
      </c>
      <c r="H427" s="11" t="str">
        <f t="shared" si="61"/>
        <v>n/a</v>
      </c>
      <c r="J427" s="5"/>
      <c r="K427" s="5"/>
      <c r="L427" s="5"/>
      <c r="M427" s="5"/>
      <c r="N427" s="5"/>
      <c r="O427" s="8" t="str">
        <f t="shared" si="59"/>
        <v>n/a</v>
      </c>
      <c r="Q427" s="5"/>
      <c r="R427" s="5"/>
      <c r="S427" s="5"/>
      <c r="U427" s="6"/>
      <c r="V427" s="9" t="str">
        <f t="shared" si="62"/>
        <v/>
      </c>
      <c r="W427" s="9" t="str">
        <f t="shared" si="63"/>
        <v/>
      </c>
      <c r="X427" s="10">
        <f>SUM(V$13:V427)/COUNTA(B$13:B427)</f>
        <v>0</v>
      </c>
      <c r="Z427" s="5"/>
      <c r="AA427" s="5"/>
      <c r="AC427" s="7"/>
      <c r="AE427" s="54" t="e">
        <f t="shared" si="64"/>
        <v>#N/A</v>
      </c>
      <c r="AF427" s="4" t="e">
        <f t="shared" si="60"/>
        <v>#N/A</v>
      </c>
    </row>
    <row r="428" spans="2:32">
      <c r="B428" s="5">
        <f t="shared" si="65"/>
        <v>416</v>
      </c>
      <c r="C428" s="5"/>
      <c r="E428" s="13"/>
      <c r="F428" s="5"/>
      <c r="G428" s="11" t="str">
        <f>IF(ISERROR(AVERAGE(F$13:F428)),"n/a",AVERAGE(F$13:F428))</f>
        <v>n/a</v>
      </c>
      <c r="H428" s="11" t="str">
        <f t="shared" si="61"/>
        <v>n/a</v>
      </c>
      <c r="J428" s="5"/>
      <c r="K428" s="5"/>
      <c r="L428" s="5"/>
      <c r="M428" s="5"/>
      <c r="N428" s="5"/>
      <c r="O428" s="8" t="str">
        <f t="shared" si="59"/>
        <v>n/a</v>
      </c>
      <c r="Q428" s="5"/>
      <c r="R428" s="5"/>
      <c r="S428" s="5"/>
      <c r="U428" s="6"/>
      <c r="V428" s="9" t="str">
        <f t="shared" si="62"/>
        <v/>
      </c>
      <c r="W428" s="9" t="str">
        <f t="shared" si="63"/>
        <v/>
      </c>
      <c r="X428" s="10">
        <f>SUM(V$13:V428)/COUNTA(B$13:B428)</f>
        <v>0</v>
      </c>
      <c r="Z428" s="5"/>
      <c r="AA428" s="5"/>
      <c r="AC428" s="7"/>
      <c r="AE428" s="54" t="e">
        <f t="shared" si="64"/>
        <v>#N/A</v>
      </c>
      <c r="AF428" s="4" t="e">
        <f t="shared" si="60"/>
        <v>#N/A</v>
      </c>
    </row>
    <row r="429" spans="2:32">
      <c r="B429" s="5">
        <f t="shared" si="65"/>
        <v>417</v>
      </c>
      <c r="C429" s="5"/>
      <c r="E429" s="13"/>
      <c r="F429" s="5"/>
      <c r="G429" s="11" t="str">
        <f>IF(ISERROR(AVERAGE(F$13:F429)),"n/a",AVERAGE(F$13:F429))</f>
        <v>n/a</v>
      </c>
      <c r="H429" s="11" t="str">
        <f t="shared" si="61"/>
        <v>n/a</v>
      </c>
      <c r="J429" s="5"/>
      <c r="K429" s="5"/>
      <c r="L429" s="5"/>
      <c r="M429" s="5"/>
      <c r="N429" s="5"/>
      <c r="O429" s="8" t="str">
        <f t="shared" si="59"/>
        <v>n/a</v>
      </c>
      <c r="Q429" s="5"/>
      <c r="R429" s="5"/>
      <c r="S429" s="5"/>
      <c r="U429" s="6"/>
      <c r="V429" s="9" t="str">
        <f t="shared" si="62"/>
        <v/>
      </c>
      <c r="W429" s="9" t="str">
        <f t="shared" si="63"/>
        <v/>
      </c>
      <c r="X429" s="10">
        <f>SUM(V$13:V429)/COUNTA(B$13:B429)</f>
        <v>0</v>
      </c>
      <c r="Z429" s="5"/>
      <c r="AA429" s="5"/>
      <c r="AC429" s="7"/>
      <c r="AE429" s="54" t="e">
        <f t="shared" si="64"/>
        <v>#N/A</v>
      </c>
      <c r="AF429" s="4" t="e">
        <f t="shared" si="60"/>
        <v>#N/A</v>
      </c>
    </row>
    <row r="430" spans="2:32">
      <c r="B430" s="5">
        <f t="shared" si="65"/>
        <v>418</v>
      </c>
      <c r="C430" s="5"/>
      <c r="E430" s="13"/>
      <c r="F430" s="5"/>
      <c r="G430" s="11" t="str">
        <f>IF(ISERROR(AVERAGE(F$13:F430)),"n/a",AVERAGE(F$13:F430))</f>
        <v>n/a</v>
      </c>
      <c r="H430" s="11" t="str">
        <f t="shared" si="61"/>
        <v>n/a</v>
      </c>
      <c r="J430" s="5"/>
      <c r="K430" s="5"/>
      <c r="L430" s="5"/>
      <c r="M430" s="5"/>
      <c r="N430" s="5"/>
      <c r="O430" s="8" t="str">
        <f t="shared" si="59"/>
        <v>n/a</v>
      </c>
      <c r="Q430" s="5"/>
      <c r="R430" s="5"/>
      <c r="S430" s="5"/>
      <c r="U430" s="6"/>
      <c r="V430" s="9" t="str">
        <f t="shared" si="62"/>
        <v/>
      </c>
      <c r="W430" s="9" t="str">
        <f t="shared" si="63"/>
        <v/>
      </c>
      <c r="X430" s="10">
        <f>SUM(V$13:V430)/COUNTA(B$13:B430)</f>
        <v>0</v>
      </c>
      <c r="Z430" s="5"/>
      <c r="AA430" s="5"/>
      <c r="AC430" s="7"/>
      <c r="AE430" s="54" t="e">
        <f t="shared" si="64"/>
        <v>#N/A</v>
      </c>
      <c r="AF430" s="4" t="e">
        <f t="shared" si="60"/>
        <v>#N/A</v>
      </c>
    </row>
    <row r="431" spans="2:32">
      <c r="B431" s="5">
        <f t="shared" si="65"/>
        <v>419</v>
      </c>
      <c r="C431" s="5"/>
      <c r="E431" s="13"/>
      <c r="F431" s="5"/>
      <c r="G431" s="11" t="str">
        <f>IF(ISERROR(AVERAGE(F$13:F431)),"n/a",AVERAGE(F$13:F431))</f>
        <v>n/a</v>
      </c>
      <c r="H431" s="11" t="str">
        <f t="shared" si="61"/>
        <v>n/a</v>
      </c>
      <c r="J431" s="5"/>
      <c r="K431" s="5"/>
      <c r="L431" s="5"/>
      <c r="M431" s="5"/>
      <c r="N431" s="5"/>
      <c r="O431" s="8" t="str">
        <f t="shared" si="59"/>
        <v>n/a</v>
      </c>
      <c r="Q431" s="5"/>
      <c r="R431" s="5"/>
      <c r="S431" s="5"/>
      <c r="U431" s="6"/>
      <c r="V431" s="9" t="str">
        <f t="shared" si="62"/>
        <v/>
      </c>
      <c r="W431" s="9" t="str">
        <f t="shared" si="63"/>
        <v/>
      </c>
      <c r="X431" s="10">
        <f>SUM(V$13:V431)/COUNTA(B$13:B431)</f>
        <v>0</v>
      </c>
      <c r="Z431" s="5"/>
      <c r="AA431" s="5"/>
      <c r="AC431" s="7"/>
      <c r="AE431" s="54" t="e">
        <f t="shared" si="64"/>
        <v>#N/A</v>
      </c>
      <c r="AF431" s="4" t="e">
        <f t="shared" si="60"/>
        <v>#N/A</v>
      </c>
    </row>
    <row r="432" spans="2:32">
      <c r="B432" s="5">
        <f t="shared" si="65"/>
        <v>420</v>
      </c>
      <c r="C432" s="5"/>
      <c r="E432" s="13"/>
      <c r="F432" s="5"/>
      <c r="G432" s="11" t="str">
        <f>IF(ISERROR(AVERAGE(F$13:F432)),"n/a",AVERAGE(F$13:F432))</f>
        <v>n/a</v>
      </c>
      <c r="H432" s="11" t="str">
        <f t="shared" si="61"/>
        <v>n/a</v>
      </c>
      <c r="J432" s="5"/>
      <c r="K432" s="5"/>
      <c r="L432" s="5"/>
      <c r="M432" s="5"/>
      <c r="N432" s="5"/>
      <c r="O432" s="8" t="str">
        <f t="shared" si="59"/>
        <v>n/a</v>
      </c>
      <c r="Q432" s="5"/>
      <c r="R432" s="5"/>
      <c r="S432" s="5"/>
      <c r="U432" s="6"/>
      <c r="V432" s="9" t="str">
        <f t="shared" si="62"/>
        <v/>
      </c>
      <c r="W432" s="9" t="str">
        <f t="shared" si="63"/>
        <v/>
      </c>
      <c r="X432" s="10">
        <f>SUM(V$13:V432)/COUNTA(B$13:B432)</f>
        <v>0</v>
      </c>
      <c r="Z432" s="5"/>
      <c r="AA432" s="5"/>
      <c r="AC432" s="7"/>
      <c r="AE432" s="54" t="e">
        <f t="shared" si="64"/>
        <v>#N/A</v>
      </c>
      <c r="AF432" s="4" t="e">
        <f t="shared" si="60"/>
        <v>#N/A</v>
      </c>
    </row>
    <row r="433" spans="2:32">
      <c r="B433" s="5">
        <f t="shared" si="65"/>
        <v>421</v>
      </c>
      <c r="C433" s="5"/>
      <c r="E433" s="13"/>
      <c r="F433" s="5"/>
      <c r="G433" s="11" t="str">
        <f>IF(ISERROR(AVERAGE(F$13:F433)),"n/a",AVERAGE(F$13:F433))</f>
        <v>n/a</v>
      </c>
      <c r="H433" s="11" t="str">
        <f t="shared" si="61"/>
        <v>n/a</v>
      </c>
      <c r="J433" s="5"/>
      <c r="K433" s="5"/>
      <c r="L433" s="5"/>
      <c r="M433" s="5"/>
      <c r="N433" s="5"/>
      <c r="O433" s="8" t="str">
        <f t="shared" si="59"/>
        <v>n/a</v>
      </c>
      <c r="Q433" s="5"/>
      <c r="R433" s="5"/>
      <c r="S433" s="5"/>
      <c r="U433" s="6"/>
      <c r="V433" s="9" t="str">
        <f t="shared" si="62"/>
        <v/>
      </c>
      <c r="W433" s="9" t="str">
        <f t="shared" si="63"/>
        <v/>
      </c>
      <c r="X433" s="10">
        <f>SUM(V$13:V433)/COUNTA(B$13:B433)</f>
        <v>0</v>
      </c>
      <c r="Z433" s="5"/>
      <c r="AA433" s="5"/>
      <c r="AC433" s="7"/>
      <c r="AE433" s="54" t="e">
        <f t="shared" si="64"/>
        <v>#N/A</v>
      </c>
      <c r="AF433" s="4" t="e">
        <f t="shared" si="60"/>
        <v>#N/A</v>
      </c>
    </row>
    <row r="434" spans="2:32">
      <c r="B434" s="5">
        <f t="shared" si="65"/>
        <v>422</v>
      </c>
      <c r="C434" s="5"/>
      <c r="E434" s="13"/>
      <c r="F434" s="5"/>
      <c r="G434" s="11" t="str">
        <f>IF(ISERROR(AVERAGE(F$13:F434)),"n/a",AVERAGE(F$13:F434))</f>
        <v>n/a</v>
      </c>
      <c r="H434" s="11" t="str">
        <f t="shared" si="61"/>
        <v>n/a</v>
      </c>
      <c r="J434" s="5"/>
      <c r="K434" s="5"/>
      <c r="L434" s="5"/>
      <c r="M434" s="5"/>
      <c r="N434" s="5"/>
      <c r="O434" s="8" t="str">
        <f t="shared" si="59"/>
        <v>n/a</v>
      </c>
      <c r="Q434" s="5"/>
      <c r="R434" s="5"/>
      <c r="S434" s="5"/>
      <c r="U434" s="6"/>
      <c r="V434" s="9" t="str">
        <f t="shared" si="62"/>
        <v/>
      </c>
      <c r="W434" s="9" t="str">
        <f t="shared" si="63"/>
        <v/>
      </c>
      <c r="X434" s="10">
        <f>SUM(V$13:V434)/COUNTA(B$13:B434)</f>
        <v>0</v>
      </c>
      <c r="Z434" s="5"/>
      <c r="AA434" s="5"/>
      <c r="AC434" s="7"/>
      <c r="AE434" s="54" t="e">
        <f t="shared" si="64"/>
        <v>#N/A</v>
      </c>
      <c r="AF434" s="4" t="e">
        <f t="shared" si="60"/>
        <v>#N/A</v>
      </c>
    </row>
    <row r="435" spans="2:32">
      <c r="B435" s="5">
        <f t="shared" si="65"/>
        <v>423</v>
      </c>
      <c r="C435" s="5"/>
      <c r="E435" s="13"/>
      <c r="F435" s="5"/>
      <c r="G435" s="11" t="str">
        <f>IF(ISERROR(AVERAGE(F$13:F435)),"n/a",AVERAGE(F$13:F435))</f>
        <v>n/a</v>
      </c>
      <c r="H435" s="11" t="str">
        <f t="shared" si="61"/>
        <v>n/a</v>
      </c>
      <c r="J435" s="5"/>
      <c r="K435" s="5"/>
      <c r="L435" s="5"/>
      <c r="M435" s="5"/>
      <c r="N435" s="5"/>
      <c r="O435" s="8" t="str">
        <f t="shared" si="59"/>
        <v>n/a</v>
      </c>
      <c r="Q435" s="5"/>
      <c r="R435" s="5"/>
      <c r="S435" s="5"/>
      <c r="U435" s="6"/>
      <c r="V435" s="9" t="str">
        <f t="shared" si="62"/>
        <v/>
      </c>
      <c r="W435" s="9" t="str">
        <f t="shared" si="63"/>
        <v/>
      </c>
      <c r="X435" s="10">
        <f>SUM(V$13:V435)/COUNTA(B$13:B435)</f>
        <v>0</v>
      </c>
      <c r="Z435" s="5"/>
      <c r="AA435" s="5"/>
      <c r="AC435" s="7"/>
      <c r="AE435" s="54" t="e">
        <f t="shared" si="64"/>
        <v>#N/A</v>
      </c>
      <c r="AF435" s="4" t="e">
        <f t="shared" si="60"/>
        <v>#N/A</v>
      </c>
    </row>
    <row r="436" spans="2:32">
      <c r="B436" s="5">
        <f t="shared" si="65"/>
        <v>424</v>
      </c>
      <c r="C436" s="5"/>
      <c r="E436" s="13"/>
      <c r="F436" s="5"/>
      <c r="G436" s="11" t="str">
        <f>IF(ISERROR(AVERAGE(F$13:F436)),"n/a",AVERAGE(F$13:F436))</f>
        <v>n/a</v>
      </c>
      <c r="H436" s="11" t="str">
        <f t="shared" si="61"/>
        <v>n/a</v>
      </c>
      <c r="J436" s="5"/>
      <c r="K436" s="5"/>
      <c r="L436" s="5"/>
      <c r="M436" s="5"/>
      <c r="N436" s="5"/>
      <c r="O436" s="8" t="str">
        <f t="shared" si="59"/>
        <v>n/a</v>
      </c>
      <c r="Q436" s="5"/>
      <c r="R436" s="5"/>
      <c r="S436" s="5"/>
      <c r="U436" s="6"/>
      <c r="V436" s="9" t="str">
        <f t="shared" si="62"/>
        <v/>
      </c>
      <c r="W436" s="9" t="str">
        <f t="shared" si="63"/>
        <v/>
      </c>
      <c r="X436" s="10">
        <f>SUM(V$13:V436)/COUNTA(B$13:B436)</f>
        <v>0</v>
      </c>
      <c r="Z436" s="5"/>
      <c r="AA436" s="5"/>
      <c r="AC436" s="7"/>
      <c r="AE436" s="54" t="e">
        <f t="shared" si="64"/>
        <v>#N/A</v>
      </c>
      <c r="AF436" s="4" t="e">
        <f t="shared" si="60"/>
        <v>#N/A</v>
      </c>
    </row>
    <row r="437" spans="2:32">
      <c r="B437" s="5">
        <f t="shared" si="65"/>
        <v>425</v>
      </c>
      <c r="C437" s="5"/>
      <c r="E437" s="13"/>
      <c r="F437" s="5"/>
      <c r="G437" s="11" t="str">
        <f>IF(ISERROR(AVERAGE(F$13:F437)),"n/a",AVERAGE(F$13:F437))</f>
        <v>n/a</v>
      </c>
      <c r="H437" s="11" t="str">
        <f t="shared" si="61"/>
        <v>n/a</v>
      </c>
      <c r="J437" s="5"/>
      <c r="K437" s="5"/>
      <c r="L437" s="5"/>
      <c r="M437" s="5"/>
      <c r="N437" s="5"/>
      <c r="O437" s="8" t="str">
        <f t="shared" si="59"/>
        <v>n/a</v>
      </c>
      <c r="Q437" s="5"/>
      <c r="R437" s="5"/>
      <c r="S437" s="5"/>
      <c r="U437" s="6"/>
      <c r="V437" s="9" t="str">
        <f t="shared" si="62"/>
        <v/>
      </c>
      <c r="W437" s="9" t="str">
        <f t="shared" si="63"/>
        <v/>
      </c>
      <c r="X437" s="10">
        <f>SUM(V$13:V437)/COUNTA(B$13:B437)</f>
        <v>0</v>
      </c>
      <c r="Z437" s="5"/>
      <c r="AA437" s="5"/>
      <c r="AC437" s="7"/>
      <c r="AE437" s="54" t="e">
        <f t="shared" si="64"/>
        <v>#N/A</v>
      </c>
      <c r="AF437" s="4" t="e">
        <f t="shared" si="60"/>
        <v>#N/A</v>
      </c>
    </row>
    <row r="438" spans="2:32">
      <c r="B438" s="5">
        <f t="shared" si="65"/>
        <v>426</v>
      </c>
      <c r="C438" s="5"/>
      <c r="E438" s="13"/>
      <c r="F438" s="5"/>
      <c r="G438" s="11" t="str">
        <f>IF(ISERROR(AVERAGE(F$13:F438)),"n/a",AVERAGE(F$13:F438))</f>
        <v>n/a</v>
      </c>
      <c r="H438" s="11" t="str">
        <f t="shared" si="61"/>
        <v>n/a</v>
      </c>
      <c r="J438" s="5"/>
      <c r="K438" s="5"/>
      <c r="L438" s="5"/>
      <c r="M438" s="5"/>
      <c r="N438" s="5"/>
      <c r="O438" s="8" t="str">
        <f t="shared" si="59"/>
        <v>n/a</v>
      </c>
      <c r="Q438" s="5"/>
      <c r="R438" s="5"/>
      <c r="S438" s="5"/>
      <c r="U438" s="6"/>
      <c r="V438" s="9" t="str">
        <f t="shared" si="62"/>
        <v/>
      </c>
      <c r="W438" s="9" t="str">
        <f t="shared" si="63"/>
        <v/>
      </c>
      <c r="X438" s="10">
        <f>SUM(V$13:V438)/COUNTA(B$13:B438)</f>
        <v>0</v>
      </c>
      <c r="Z438" s="5"/>
      <c r="AA438" s="5"/>
      <c r="AC438" s="7"/>
      <c r="AE438" s="54" t="e">
        <f t="shared" si="64"/>
        <v>#N/A</v>
      </c>
      <c r="AF438" s="4" t="e">
        <f t="shared" si="60"/>
        <v>#N/A</v>
      </c>
    </row>
    <row r="439" spans="2:32">
      <c r="B439" s="5">
        <f t="shared" si="65"/>
        <v>427</v>
      </c>
      <c r="C439" s="5"/>
      <c r="E439" s="13"/>
      <c r="F439" s="5"/>
      <c r="G439" s="11" t="str">
        <f>IF(ISERROR(AVERAGE(F$13:F439)),"n/a",AVERAGE(F$13:F439))</f>
        <v>n/a</v>
      </c>
      <c r="H439" s="11" t="str">
        <f t="shared" si="61"/>
        <v>n/a</v>
      </c>
      <c r="J439" s="5"/>
      <c r="K439" s="5"/>
      <c r="L439" s="5"/>
      <c r="M439" s="5"/>
      <c r="N439" s="5"/>
      <c r="O439" s="8" t="str">
        <f t="shared" si="59"/>
        <v>n/a</v>
      </c>
      <c r="Q439" s="5"/>
      <c r="R439" s="5"/>
      <c r="S439" s="5"/>
      <c r="U439" s="6"/>
      <c r="V439" s="9" t="str">
        <f t="shared" si="62"/>
        <v/>
      </c>
      <c r="W439" s="9" t="str">
        <f t="shared" si="63"/>
        <v/>
      </c>
      <c r="X439" s="10">
        <f>SUM(V$13:V439)/COUNTA(B$13:B439)</f>
        <v>0</v>
      </c>
      <c r="Z439" s="5"/>
      <c r="AA439" s="5"/>
      <c r="AC439" s="7"/>
      <c r="AE439" s="54" t="e">
        <f t="shared" si="64"/>
        <v>#N/A</v>
      </c>
      <c r="AF439" s="4" t="e">
        <f t="shared" si="60"/>
        <v>#N/A</v>
      </c>
    </row>
    <row r="440" spans="2:32">
      <c r="B440" s="5">
        <f t="shared" si="65"/>
        <v>428</v>
      </c>
      <c r="C440" s="5"/>
      <c r="E440" s="13"/>
      <c r="F440" s="5"/>
      <c r="G440" s="11" t="str">
        <f>IF(ISERROR(AVERAGE(F$13:F440)),"n/a",AVERAGE(F$13:F440))</f>
        <v>n/a</v>
      </c>
      <c r="H440" s="11" t="str">
        <f t="shared" si="61"/>
        <v>n/a</v>
      </c>
      <c r="J440" s="5"/>
      <c r="K440" s="5"/>
      <c r="L440" s="5"/>
      <c r="M440" s="5"/>
      <c r="N440" s="5"/>
      <c r="O440" s="8" t="str">
        <f t="shared" si="59"/>
        <v>n/a</v>
      </c>
      <c r="Q440" s="5"/>
      <c r="R440" s="5"/>
      <c r="S440" s="5"/>
      <c r="U440" s="6"/>
      <c r="V440" s="9" t="str">
        <f t="shared" si="62"/>
        <v/>
      </c>
      <c r="W440" s="9" t="str">
        <f t="shared" si="63"/>
        <v/>
      </c>
      <c r="X440" s="10">
        <f>SUM(V$13:V440)/COUNTA(B$13:B440)</f>
        <v>0</v>
      </c>
      <c r="Z440" s="5"/>
      <c r="AA440" s="5"/>
      <c r="AC440" s="7"/>
      <c r="AE440" s="54" t="e">
        <f t="shared" si="64"/>
        <v>#N/A</v>
      </c>
      <c r="AF440" s="4" t="e">
        <f t="shared" si="60"/>
        <v>#N/A</v>
      </c>
    </row>
    <row r="441" spans="2:32">
      <c r="B441" s="5">
        <f t="shared" si="65"/>
        <v>429</v>
      </c>
      <c r="C441" s="5"/>
      <c r="E441" s="13"/>
      <c r="F441" s="5"/>
      <c r="G441" s="11" t="str">
        <f>IF(ISERROR(AVERAGE(F$13:F441)),"n/a",AVERAGE(F$13:F441))</f>
        <v>n/a</v>
      </c>
      <c r="H441" s="11" t="str">
        <f t="shared" si="61"/>
        <v>n/a</v>
      </c>
      <c r="J441" s="5"/>
      <c r="K441" s="5"/>
      <c r="L441" s="5"/>
      <c r="M441" s="5"/>
      <c r="N441" s="5"/>
      <c r="O441" s="8" t="str">
        <f t="shared" si="59"/>
        <v>n/a</v>
      </c>
      <c r="Q441" s="5"/>
      <c r="R441" s="5"/>
      <c r="S441" s="5"/>
      <c r="U441" s="6"/>
      <c r="V441" s="9" t="str">
        <f t="shared" si="62"/>
        <v/>
      </c>
      <c r="W441" s="9" t="str">
        <f t="shared" si="63"/>
        <v/>
      </c>
      <c r="X441" s="10">
        <f>SUM(V$13:V441)/COUNTA(B$13:B441)</f>
        <v>0</v>
      </c>
      <c r="Z441" s="5"/>
      <c r="AA441" s="5"/>
      <c r="AC441" s="7"/>
      <c r="AE441" s="54" t="e">
        <f t="shared" si="64"/>
        <v>#N/A</v>
      </c>
      <c r="AF441" s="4" t="e">
        <f t="shared" si="60"/>
        <v>#N/A</v>
      </c>
    </row>
    <row r="442" spans="2:32">
      <c r="B442" s="5">
        <f t="shared" si="65"/>
        <v>430</v>
      </c>
      <c r="C442" s="5"/>
      <c r="E442" s="13"/>
      <c r="F442" s="5"/>
      <c r="G442" s="11" t="str">
        <f>IF(ISERROR(AVERAGE(F$13:F442)),"n/a",AVERAGE(F$13:F442))</f>
        <v>n/a</v>
      </c>
      <c r="H442" s="11" t="str">
        <f t="shared" si="61"/>
        <v>n/a</v>
      </c>
      <c r="J442" s="5"/>
      <c r="K442" s="5"/>
      <c r="L442" s="5"/>
      <c r="M442" s="5"/>
      <c r="N442" s="5"/>
      <c r="O442" s="8" t="str">
        <f t="shared" si="59"/>
        <v>n/a</v>
      </c>
      <c r="Q442" s="5"/>
      <c r="R442" s="5"/>
      <c r="S442" s="5"/>
      <c r="U442" s="6"/>
      <c r="V442" s="9" t="str">
        <f t="shared" si="62"/>
        <v/>
      </c>
      <c r="W442" s="9" t="str">
        <f t="shared" si="63"/>
        <v/>
      </c>
      <c r="X442" s="10">
        <f>SUM(V$13:V442)/COUNTA(B$13:B442)</f>
        <v>0</v>
      </c>
      <c r="Z442" s="5"/>
      <c r="AA442" s="5"/>
      <c r="AC442" s="7"/>
      <c r="AE442" s="54" t="e">
        <f t="shared" si="64"/>
        <v>#N/A</v>
      </c>
      <c r="AF442" s="4" t="e">
        <f t="shared" si="60"/>
        <v>#N/A</v>
      </c>
    </row>
    <row r="443" spans="2:32">
      <c r="B443" s="5">
        <f t="shared" si="65"/>
        <v>431</v>
      </c>
      <c r="C443" s="5"/>
      <c r="E443" s="13"/>
      <c r="F443" s="5"/>
      <c r="G443" s="11" t="str">
        <f>IF(ISERROR(AVERAGE(F$13:F443)),"n/a",AVERAGE(F$13:F443))</f>
        <v>n/a</v>
      </c>
      <c r="H443" s="11" t="str">
        <f t="shared" si="61"/>
        <v>n/a</v>
      </c>
      <c r="J443" s="5"/>
      <c r="K443" s="5"/>
      <c r="L443" s="5"/>
      <c r="M443" s="5"/>
      <c r="N443" s="5"/>
      <c r="O443" s="8" t="str">
        <f t="shared" si="59"/>
        <v>n/a</v>
      </c>
      <c r="Q443" s="5"/>
      <c r="R443" s="5"/>
      <c r="S443" s="5"/>
      <c r="U443" s="6"/>
      <c r="V443" s="9" t="str">
        <f t="shared" si="62"/>
        <v/>
      </c>
      <c r="W443" s="9" t="str">
        <f t="shared" si="63"/>
        <v/>
      </c>
      <c r="X443" s="10">
        <f>SUM(V$13:V443)/COUNTA(B$13:B443)</f>
        <v>0</v>
      </c>
      <c r="Z443" s="5"/>
      <c r="AA443" s="5"/>
      <c r="AC443" s="7"/>
      <c r="AE443" s="54" t="e">
        <f t="shared" si="64"/>
        <v>#N/A</v>
      </c>
      <c r="AF443" s="4" t="e">
        <f t="shared" si="60"/>
        <v>#N/A</v>
      </c>
    </row>
    <row r="444" spans="2:32">
      <c r="B444" s="5">
        <f t="shared" si="65"/>
        <v>432</v>
      </c>
      <c r="C444" s="5"/>
      <c r="E444" s="13"/>
      <c r="F444" s="5"/>
      <c r="G444" s="11" t="str">
        <f>IF(ISERROR(AVERAGE(F$13:F444)),"n/a",AVERAGE(F$13:F444))</f>
        <v>n/a</v>
      </c>
      <c r="H444" s="11" t="str">
        <f t="shared" si="61"/>
        <v>n/a</v>
      </c>
      <c r="J444" s="5"/>
      <c r="K444" s="5"/>
      <c r="L444" s="5"/>
      <c r="M444" s="5"/>
      <c r="N444" s="5"/>
      <c r="O444" s="8" t="str">
        <f t="shared" si="59"/>
        <v>n/a</v>
      </c>
      <c r="Q444" s="5"/>
      <c r="R444" s="5"/>
      <c r="S444" s="5"/>
      <c r="U444" s="6"/>
      <c r="V444" s="9" t="str">
        <f t="shared" si="62"/>
        <v/>
      </c>
      <c r="W444" s="9" t="str">
        <f t="shared" si="63"/>
        <v/>
      </c>
      <c r="X444" s="10">
        <f>SUM(V$13:V444)/COUNTA(B$13:B444)</f>
        <v>0</v>
      </c>
      <c r="Z444" s="5"/>
      <c r="AA444" s="5"/>
      <c r="AC444" s="7"/>
      <c r="AE444" s="54" t="e">
        <f t="shared" si="64"/>
        <v>#N/A</v>
      </c>
      <c r="AF444" s="4" t="e">
        <f t="shared" si="60"/>
        <v>#N/A</v>
      </c>
    </row>
    <row r="445" spans="2:32">
      <c r="B445" s="5">
        <f t="shared" si="65"/>
        <v>433</v>
      </c>
      <c r="C445" s="5"/>
      <c r="E445" s="13"/>
      <c r="F445" s="5"/>
      <c r="G445" s="11" t="str">
        <f>IF(ISERROR(AVERAGE(F$13:F445)),"n/a",AVERAGE(F$13:F445))</f>
        <v>n/a</v>
      </c>
      <c r="H445" s="11" t="str">
        <f t="shared" si="61"/>
        <v>n/a</v>
      </c>
      <c r="J445" s="5"/>
      <c r="K445" s="5"/>
      <c r="L445" s="5"/>
      <c r="M445" s="5"/>
      <c r="N445" s="5"/>
      <c r="O445" s="8" t="str">
        <f t="shared" si="59"/>
        <v>n/a</v>
      </c>
      <c r="Q445" s="5"/>
      <c r="R445" s="5"/>
      <c r="S445" s="5"/>
      <c r="U445" s="6"/>
      <c r="V445" s="9" t="str">
        <f t="shared" si="62"/>
        <v/>
      </c>
      <c r="W445" s="9" t="str">
        <f t="shared" si="63"/>
        <v/>
      </c>
      <c r="X445" s="10">
        <f>SUM(V$13:V445)/COUNTA(B$13:B445)</f>
        <v>0</v>
      </c>
      <c r="Z445" s="5"/>
      <c r="AA445" s="5"/>
      <c r="AC445" s="7"/>
      <c r="AE445" s="54" t="e">
        <f t="shared" si="64"/>
        <v>#N/A</v>
      </c>
      <c r="AF445" s="4" t="e">
        <f t="shared" si="60"/>
        <v>#N/A</v>
      </c>
    </row>
    <row r="446" spans="2:32">
      <c r="B446" s="5">
        <f t="shared" si="65"/>
        <v>434</v>
      </c>
      <c r="C446" s="5"/>
      <c r="E446" s="13"/>
      <c r="F446" s="5"/>
      <c r="G446" s="11" t="str">
        <f>IF(ISERROR(AVERAGE(F$13:F446)),"n/a",AVERAGE(F$13:F446))</f>
        <v>n/a</v>
      </c>
      <c r="H446" s="11" t="str">
        <f t="shared" si="61"/>
        <v>n/a</v>
      </c>
      <c r="J446" s="5"/>
      <c r="K446" s="5"/>
      <c r="L446" s="5"/>
      <c r="M446" s="5"/>
      <c r="N446" s="5"/>
      <c r="O446" s="8" t="str">
        <f t="shared" si="59"/>
        <v>n/a</v>
      </c>
      <c r="Q446" s="5"/>
      <c r="R446" s="5"/>
      <c r="S446" s="5"/>
      <c r="U446" s="6"/>
      <c r="V446" s="9" t="str">
        <f t="shared" si="62"/>
        <v/>
      </c>
      <c r="W446" s="9" t="str">
        <f t="shared" si="63"/>
        <v/>
      </c>
      <c r="X446" s="10">
        <f>SUM(V$13:V446)/COUNTA(B$13:B446)</f>
        <v>0</v>
      </c>
      <c r="Z446" s="5"/>
      <c r="AA446" s="5"/>
      <c r="AC446" s="7"/>
      <c r="AE446" s="54" t="e">
        <f t="shared" si="64"/>
        <v>#N/A</v>
      </c>
      <c r="AF446" s="4" t="e">
        <f t="shared" si="60"/>
        <v>#N/A</v>
      </c>
    </row>
    <row r="447" spans="2:32">
      <c r="B447" s="5">
        <f t="shared" si="65"/>
        <v>435</v>
      </c>
      <c r="C447" s="5"/>
      <c r="E447" s="13"/>
      <c r="F447" s="5"/>
      <c r="G447" s="11" t="str">
        <f>IF(ISERROR(AVERAGE(F$13:F447)),"n/a",AVERAGE(F$13:F447))</f>
        <v>n/a</v>
      </c>
      <c r="H447" s="11" t="str">
        <f t="shared" si="61"/>
        <v>n/a</v>
      </c>
      <c r="J447" s="5"/>
      <c r="K447" s="5"/>
      <c r="L447" s="5"/>
      <c r="M447" s="5"/>
      <c r="N447" s="5"/>
      <c r="O447" s="8" t="str">
        <f t="shared" si="59"/>
        <v>n/a</v>
      </c>
      <c r="Q447" s="5"/>
      <c r="R447" s="5"/>
      <c r="S447" s="5"/>
      <c r="U447" s="6"/>
      <c r="V447" s="9" t="str">
        <f t="shared" si="62"/>
        <v/>
      </c>
      <c r="W447" s="9" t="str">
        <f t="shared" si="63"/>
        <v/>
      </c>
      <c r="X447" s="10">
        <f>SUM(V$13:V447)/COUNTA(B$13:B447)</f>
        <v>0</v>
      </c>
      <c r="Z447" s="5"/>
      <c r="AA447" s="5"/>
      <c r="AC447" s="7"/>
      <c r="AE447" s="54" t="e">
        <f t="shared" si="64"/>
        <v>#N/A</v>
      </c>
      <c r="AF447" s="4" t="e">
        <f t="shared" si="60"/>
        <v>#N/A</v>
      </c>
    </row>
    <row r="448" spans="2:32">
      <c r="B448" s="5">
        <f t="shared" si="65"/>
        <v>436</v>
      </c>
      <c r="C448" s="5"/>
      <c r="E448" s="13"/>
      <c r="F448" s="5"/>
      <c r="G448" s="11" t="str">
        <f>IF(ISERROR(AVERAGE(F$13:F448)),"n/a",AVERAGE(F$13:F448))</f>
        <v>n/a</v>
      </c>
      <c r="H448" s="11" t="str">
        <f t="shared" si="61"/>
        <v>n/a</v>
      </c>
      <c r="J448" s="5"/>
      <c r="K448" s="5"/>
      <c r="L448" s="5"/>
      <c r="M448" s="5"/>
      <c r="N448" s="5"/>
      <c r="O448" s="8" t="str">
        <f t="shared" si="59"/>
        <v>n/a</v>
      </c>
      <c r="Q448" s="5"/>
      <c r="R448" s="5"/>
      <c r="S448" s="5"/>
      <c r="U448" s="6"/>
      <c r="V448" s="9" t="str">
        <f t="shared" si="62"/>
        <v/>
      </c>
      <c r="W448" s="9" t="str">
        <f t="shared" si="63"/>
        <v/>
      </c>
      <c r="X448" s="10">
        <f>SUM(V$13:V448)/COUNTA(B$13:B448)</f>
        <v>0</v>
      </c>
      <c r="Z448" s="5"/>
      <c r="AA448" s="5"/>
      <c r="AC448" s="7"/>
      <c r="AE448" s="54" t="e">
        <f t="shared" si="64"/>
        <v>#N/A</v>
      </c>
      <c r="AF448" s="4" t="e">
        <f t="shared" si="60"/>
        <v>#N/A</v>
      </c>
    </row>
    <row r="449" spans="2:32">
      <c r="B449" s="5">
        <f t="shared" si="65"/>
        <v>437</v>
      </c>
      <c r="C449" s="5"/>
      <c r="E449" s="13"/>
      <c r="F449" s="5"/>
      <c r="G449" s="11" t="str">
        <f>IF(ISERROR(AVERAGE(F$13:F449)),"n/a",AVERAGE(F$13:F449))</f>
        <v>n/a</v>
      </c>
      <c r="H449" s="11" t="str">
        <f t="shared" si="61"/>
        <v>n/a</v>
      </c>
      <c r="J449" s="5"/>
      <c r="K449" s="5"/>
      <c r="L449" s="5"/>
      <c r="M449" s="5"/>
      <c r="N449" s="5"/>
      <c r="O449" s="8" t="str">
        <f t="shared" si="59"/>
        <v>n/a</v>
      </c>
      <c r="Q449" s="5"/>
      <c r="R449" s="5"/>
      <c r="S449" s="5"/>
      <c r="U449" s="6"/>
      <c r="V449" s="9" t="str">
        <f t="shared" si="62"/>
        <v/>
      </c>
      <c r="W449" s="9" t="str">
        <f t="shared" si="63"/>
        <v/>
      </c>
      <c r="X449" s="10">
        <f>SUM(V$13:V449)/COUNTA(B$13:B449)</f>
        <v>0</v>
      </c>
      <c r="Z449" s="5"/>
      <c r="AA449" s="5"/>
      <c r="AC449" s="7"/>
      <c r="AE449" s="54" t="e">
        <f t="shared" si="64"/>
        <v>#N/A</v>
      </c>
      <c r="AF449" s="4" t="e">
        <f t="shared" si="60"/>
        <v>#N/A</v>
      </c>
    </row>
    <row r="450" spans="2:32">
      <c r="B450" s="5">
        <f t="shared" si="65"/>
        <v>438</v>
      </c>
      <c r="C450" s="5"/>
      <c r="E450" s="13"/>
      <c r="F450" s="5"/>
      <c r="G450" s="11" t="str">
        <f>IF(ISERROR(AVERAGE(F$13:F450)),"n/a",AVERAGE(F$13:F450))</f>
        <v>n/a</v>
      </c>
      <c r="H450" s="11" t="str">
        <f t="shared" si="61"/>
        <v>n/a</v>
      </c>
      <c r="J450" s="5"/>
      <c r="K450" s="5"/>
      <c r="L450" s="5"/>
      <c r="M450" s="5"/>
      <c r="N450" s="5"/>
      <c r="O450" s="8" t="str">
        <f t="shared" si="59"/>
        <v>n/a</v>
      </c>
      <c r="Q450" s="5"/>
      <c r="R450" s="5"/>
      <c r="S450" s="5"/>
      <c r="U450" s="6"/>
      <c r="V450" s="9" t="str">
        <f t="shared" si="62"/>
        <v/>
      </c>
      <c r="W450" s="9" t="str">
        <f t="shared" si="63"/>
        <v/>
      </c>
      <c r="X450" s="10">
        <f>SUM(V$13:V450)/COUNTA(B$13:B450)</f>
        <v>0</v>
      </c>
      <c r="Z450" s="5"/>
      <c r="AA450" s="5"/>
      <c r="AC450" s="7"/>
      <c r="AE450" s="54" t="e">
        <f t="shared" si="64"/>
        <v>#N/A</v>
      </c>
      <c r="AF450" s="4" t="e">
        <f t="shared" si="60"/>
        <v>#N/A</v>
      </c>
    </row>
    <row r="451" spans="2:32">
      <c r="B451" s="5">
        <f t="shared" si="65"/>
        <v>439</v>
      </c>
      <c r="C451" s="5"/>
      <c r="E451" s="13"/>
      <c r="F451" s="5"/>
      <c r="G451" s="11" t="str">
        <f>IF(ISERROR(AVERAGE(F$13:F451)),"n/a",AVERAGE(F$13:F451))</f>
        <v>n/a</v>
      </c>
      <c r="H451" s="11" t="str">
        <f t="shared" si="61"/>
        <v>n/a</v>
      </c>
      <c r="J451" s="5"/>
      <c r="K451" s="5"/>
      <c r="L451" s="5"/>
      <c r="M451" s="5"/>
      <c r="N451" s="5"/>
      <c r="O451" s="8" t="str">
        <f t="shared" si="59"/>
        <v>n/a</v>
      </c>
      <c r="Q451" s="5"/>
      <c r="R451" s="5"/>
      <c r="S451" s="5"/>
      <c r="U451" s="6"/>
      <c r="V451" s="9" t="str">
        <f t="shared" si="62"/>
        <v/>
      </c>
      <c r="W451" s="9" t="str">
        <f t="shared" si="63"/>
        <v/>
      </c>
      <c r="X451" s="10">
        <f>SUM(V$13:V451)/COUNTA(B$13:B451)</f>
        <v>0</v>
      </c>
      <c r="Z451" s="5"/>
      <c r="AA451" s="5"/>
      <c r="AC451" s="7"/>
      <c r="AE451" s="54" t="e">
        <f t="shared" si="64"/>
        <v>#N/A</v>
      </c>
      <c r="AF451" s="4" t="e">
        <f t="shared" si="60"/>
        <v>#N/A</v>
      </c>
    </row>
    <row r="452" spans="2:32">
      <c r="B452" s="5">
        <f t="shared" si="65"/>
        <v>440</v>
      </c>
      <c r="C452" s="5"/>
      <c r="E452" s="13"/>
      <c r="F452" s="5"/>
      <c r="G452" s="11" t="str">
        <f>IF(ISERROR(AVERAGE(F$13:F452)),"n/a",AVERAGE(F$13:F452))</f>
        <v>n/a</v>
      </c>
      <c r="H452" s="11" t="str">
        <f t="shared" si="61"/>
        <v>n/a</v>
      </c>
      <c r="J452" s="5"/>
      <c r="K452" s="5"/>
      <c r="L452" s="5"/>
      <c r="M452" s="5"/>
      <c r="N452" s="5"/>
      <c r="O452" s="8" t="str">
        <f t="shared" si="59"/>
        <v>n/a</v>
      </c>
      <c r="Q452" s="5"/>
      <c r="R452" s="5"/>
      <c r="S452" s="5"/>
      <c r="U452" s="6"/>
      <c r="V452" s="9" t="str">
        <f t="shared" si="62"/>
        <v/>
      </c>
      <c r="W452" s="9" t="str">
        <f t="shared" si="63"/>
        <v/>
      </c>
      <c r="X452" s="10">
        <f>SUM(V$13:V452)/COUNTA(B$13:B452)</f>
        <v>0</v>
      </c>
      <c r="Z452" s="5"/>
      <c r="AA452" s="5"/>
      <c r="AC452" s="7"/>
      <c r="AE452" s="54" t="e">
        <f t="shared" si="64"/>
        <v>#N/A</v>
      </c>
      <c r="AF452" s="4" t="e">
        <f t="shared" si="60"/>
        <v>#N/A</v>
      </c>
    </row>
    <row r="453" spans="2:32">
      <c r="B453" s="5">
        <f t="shared" si="65"/>
        <v>441</v>
      </c>
      <c r="C453" s="5"/>
      <c r="E453" s="13"/>
      <c r="F453" s="5"/>
      <c r="G453" s="11" t="str">
        <f>IF(ISERROR(AVERAGE(F$13:F453)),"n/a",AVERAGE(F$13:F453))</f>
        <v>n/a</v>
      </c>
      <c r="H453" s="11" t="str">
        <f t="shared" si="61"/>
        <v>n/a</v>
      </c>
      <c r="J453" s="5"/>
      <c r="K453" s="5"/>
      <c r="L453" s="5"/>
      <c r="M453" s="5"/>
      <c r="N453" s="5"/>
      <c r="O453" s="8" t="str">
        <f t="shared" si="59"/>
        <v>n/a</v>
      </c>
      <c r="Q453" s="5"/>
      <c r="R453" s="5"/>
      <c r="S453" s="5"/>
      <c r="U453" s="6"/>
      <c r="V453" s="9" t="str">
        <f t="shared" si="62"/>
        <v/>
      </c>
      <c r="W453" s="9" t="str">
        <f t="shared" si="63"/>
        <v/>
      </c>
      <c r="X453" s="10">
        <f>SUM(V$13:V453)/COUNTA(B$13:B453)</f>
        <v>0</v>
      </c>
      <c r="Z453" s="5"/>
      <c r="AA453" s="5"/>
      <c r="AC453" s="7"/>
      <c r="AE453" s="54" t="e">
        <f t="shared" si="64"/>
        <v>#N/A</v>
      </c>
      <c r="AF453" s="4" t="e">
        <f t="shared" si="60"/>
        <v>#N/A</v>
      </c>
    </row>
    <row r="454" spans="2:32">
      <c r="B454" s="5">
        <f t="shared" si="65"/>
        <v>442</v>
      </c>
      <c r="C454" s="5"/>
      <c r="E454" s="13"/>
      <c r="F454" s="5"/>
      <c r="G454" s="11" t="str">
        <f>IF(ISERROR(AVERAGE(F$13:F454)),"n/a",AVERAGE(F$13:F454))</f>
        <v>n/a</v>
      </c>
      <c r="H454" s="11" t="str">
        <f t="shared" si="61"/>
        <v>n/a</v>
      </c>
      <c r="J454" s="5"/>
      <c r="K454" s="5"/>
      <c r="L454" s="5"/>
      <c r="M454" s="5"/>
      <c r="N454" s="5"/>
      <c r="O454" s="8" t="str">
        <f t="shared" si="59"/>
        <v>n/a</v>
      </c>
      <c r="Q454" s="5"/>
      <c r="R454" s="5"/>
      <c r="S454" s="5"/>
      <c r="U454" s="6"/>
      <c r="V454" s="9" t="str">
        <f t="shared" si="62"/>
        <v/>
      </c>
      <c r="W454" s="9" t="str">
        <f t="shared" si="63"/>
        <v/>
      </c>
      <c r="X454" s="10">
        <f>SUM(V$13:V454)/COUNTA(B$13:B454)</f>
        <v>0</v>
      </c>
      <c r="Z454" s="5"/>
      <c r="AA454" s="5"/>
      <c r="AC454" s="7"/>
      <c r="AE454" s="54" t="e">
        <f t="shared" si="64"/>
        <v>#N/A</v>
      </c>
      <c r="AF454" s="4" t="e">
        <f t="shared" si="60"/>
        <v>#N/A</v>
      </c>
    </row>
    <row r="455" spans="2:32">
      <c r="B455" s="5">
        <f t="shared" si="65"/>
        <v>443</v>
      </c>
      <c r="C455" s="5"/>
      <c r="E455" s="13"/>
      <c r="F455" s="5"/>
      <c r="G455" s="11" t="str">
        <f>IF(ISERROR(AVERAGE(F$13:F455)),"n/a",AVERAGE(F$13:F455))</f>
        <v>n/a</v>
      </c>
      <c r="H455" s="11" t="str">
        <f t="shared" si="61"/>
        <v>n/a</v>
      </c>
      <c r="J455" s="5"/>
      <c r="K455" s="5"/>
      <c r="L455" s="5"/>
      <c r="M455" s="5"/>
      <c r="N455" s="5"/>
      <c r="O455" s="8" t="str">
        <f t="shared" si="59"/>
        <v>n/a</v>
      </c>
      <c r="Q455" s="5"/>
      <c r="R455" s="5"/>
      <c r="S455" s="5"/>
      <c r="U455" s="6"/>
      <c r="V455" s="9" t="str">
        <f t="shared" si="62"/>
        <v/>
      </c>
      <c r="W455" s="9" t="str">
        <f t="shared" si="63"/>
        <v/>
      </c>
      <c r="X455" s="10">
        <f>SUM(V$13:V455)/COUNTA(B$13:B455)</f>
        <v>0</v>
      </c>
      <c r="Z455" s="5"/>
      <c r="AA455" s="5"/>
      <c r="AC455" s="7"/>
      <c r="AE455" s="54" t="e">
        <f t="shared" si="64"/>
        <v>#N/A</v>
      </c>
      <c r="AF455" s="4" t="e">
        <f t="shared" si="60"/>
        <v>#N/A</v>
      </c>
    </row>
    <row r="456" spans="2:32">
      <c r="B456" s="5">
        <f t="shared" si="65"/>
        <v>444</v>
      </c>
      <c r="C456" s="5"/>
      <c r="E456" s="13"/>
      <c r="F456" s="5"/>
      <c r="G456" s="11" t="str">
        <f>IF(ISERROR(AVERAGE(F$13:F456)),"n/a",AVERAGE(F$13:F456))</f>
        <v>n/a</v>
      </c>
      <c r="H456" s="11" t="str">
        <f t="shared" si="61"/>
        <v>n/a</v>
      </c>
      <c r="J456" s="5"/>
      <c r="K456" s="5"/>
      <c r="L456" s="5"/>
      <c r="M456" s="5"/>
      <c r="N456" s="5"/>
      <c r="O456" s="8" t="str">
        <f t="shared" si="59"/>
        <v>n/a</v>
      </c>
      <c r="Q456" s="5"/>
      <c r="R456" s="5"/>
      <c r="S456" s="5"/>
      <c r="U456" s="6"/>
      <c r="V456" s="9" t="str">
        <f t="shared" si="62"/>
        <v/>
      </c>
      <c r="W456" s="9" t="str">
        <f t="shared" si="63"/>
        <v/>
      </c>
      <c r="X456" s="10">
        <f>SUM(V$13:V456)/COUNTA(B$13:B456)</f>
        <v>0</v>
      </c>
      <c r="Z456" s="5"/>
      <c r="AA456" s="5"/>
      <c r="AC456" s="7"/>
      <c r="AE456" s="54" t="e">
        <f t="shared" si="64"/>
        <v>#N/A</v>
      </c>
      <c r="AF456" s="4" t="e">
        <f t="shared" si="60"/>
        <v>#N/A</v>
      </c>
    </row>
    <row r="457" spans="2:32">
      <c r="B457" s="5">
        <f t="shared" si="65"/>
        <v>445</v>
      </c>
      <c r="C457" s="5"/>
      <c r="E457" s="13"/>
      <c r="F457" s="5"/>
      <c r="G457" s="11" t="str">
        <f>IF(ISERROR(AVERAGE(F$13:F457)),"n/a",AVERAGE(F$13:F457))</f>
        <v>n/a</v>
      </c>
      <c r="H457" s="11" t="str">
        <f t="shared" si="61"/>
        <v>n/a</v>
      </c>
      <c r="J457" s="5"/>
      <c r="K457" s="5"/>
      <c r="L457" s="5"/>
      <c r="M457" s="5"/>
      <c r="N457" s="5"/>
      <c r="O457" s="8" t="str">
        <f t="shared" si="59"/>
        <v>n/a</v>
      </c>
      <c r="Q457" s="5"/>
      <c r="R457" s="5"/>
      <c r="S457" s="5"/>
      <c r="U457" s="6"/>
      <c r="V457" s="9" t="str">
        <f t="shared" si="62"/>
        <v/>
      </c>
      <c r="W457" s="9" t="str">
        <f t="shared" si="63"/>
        <v/>
      </c>
      <c r="X457" s="10">
        <f>SUM(V$13:V457)/COUNTA(B$13:B457)</f>
        <v>0</v>
      </c>
      <c r="Z457" s="5"/>
      <c r="AA457" s="5"/>
      <c r="AC457" s="7"/>
      <c r="AE457" s="54" t="e">
        <f t="shared" si="64"/>
        <v>#N/A</v>
      </c>
      <c r="AF457" s="4" t="e">
        <f t="shared" si="60"/>
        <v>#N/A</v>
      </c>
    </row>
    <row r="458" spans="2:32">
      <c r="B458" s="5">
        <f t="shared" si="65"/>
        <v>446</v>
      </c>
      <c r="C458" s="5"/>
      <c r="E458" s="13"/>
      <c r="F458" s="5"/>
      <c r="G458" s="11" t="str">
        <f>IF(ISERROR(AVERAGE(F$13:F458)),"n/a",AVERAGE(F$13:F458))</f>
        <v>n/a</v>
      </c>
      <c r="H458" s="11" t="str">
        <f t="shared" si="61"/>
        <v>n/a</v>
      </c>
      <c r="J458" s="5"/>
      <c r="K458" s="5"/>
      <c r="L458" s="5"/>
      <c r="M458" s="5"/>
      <c r="N458" s="5"/>
      <c r="O458" s="8" t="str">
        <f t="shared" si="59"/>
        <v>n/a</v>
      </c>
      <c r="Q458" s="5"/>
      <c r="R458" s="5"/>
      <c r="S458" s="5"/>
      <c r="U458" s="6"/>
      <c r="V458" s="9" t="str">
        <f t="shared" si="62"/>
        <v/>
      </c>
      <c r="W458" s="9" t="str">
        <f t="shared" si="63"/>
        <v/>
      </c>
      <c r="X458" s="10">
        <f>SUM(V$13:V458)/COUNTA(B$13:B458)</f>
        <v>0</v>
      </c>
      <c r="Z458" s="5"/>
      <c r="AA458" s="5"/>
      <c r="AC458" s="7"/>
      <c r="AE458" s="54" t="e">
        <f t="shared" si="64"/>
        <v>#N/A</v>
      </c>
      <c r="AF458" s="4" t="e">
        <f t="shared" si="60"/>
        <v>#N/A</v>
      </c>
    </row>
    <row r="459" spans="2:32">
      <c r="B459" s="5">
        <f t="shared" si="65"/>
        <v>447</v>
      </c>
      <c r="C459" s="5"/>
      <c r="E459" s="13"/>
      <c r="F459" s="5"/>
      <c r="G459" s="11" t="str">
        <f>IF(ISERROR(AVERAGE(F$13:F459)),"n/a",AVERAGE(F$13:F459))</f>
        <v>n/a</v>
      </c>
      <c r="H459" s="11" t="str">
        <f t="shared" si="61"/>
        <v>n/a</v>
      </c>
      <c r="J459" s="5"/>
      <c r="K459" s="5"/>
      <c r="L459" s="5"/>
      <c r="M459" s="5"/>
      <c r="N459" s="5"/>
      <c r="O459" s="8" t="str">
        <f t="shared" si="59"/>
        <v>n/a</v>
      </c>
      <c r="Q459" s="5"/>
      <c r="R459" s="5"/>
      <c r="S459" s="5"/>
      <c r="U459" s="6"/>
      <c r="V459" s="9" t="str">
        <f t="shared" si="62"/>
        <v/>
      </c>
      <c r="W459" s="9" t="str">
        <f t="shared" si="63"/>
        <v/>
      </c>
      <c r="X459" s="10">
        <f>SUM(V$13:V459)/COUNTA(B$13:B459)</f>
        <v>0</v>
      </c>
      <c r="Z459" s="5"/>
      <c r="AA459" s="5"/>
      <c r="AC459" s="7"/>
      <c r="AE459" s="54" t="e">
        <f t="shared" si="64"/>
        <v>#N/A</v>
      </c>
      <c r="AF459" s="4" t="e">
        <f t="shared" si="60"/>
        <v>#N/A</v>
      </c>
    </row>
    <row r="460" spans="2:32">
      <c r="B460" s="5">
        <f t="shared" si="65"/>
        <v>448</v>
      </c>
      <c r="C460" s="5"/>
      <c r="E460" s="13"/>
      <c r="F460" s="5"/>
      <c r="G460" s="11" t="str">
        <f>IF(ISERROR(AVERAGE(F$13:F460)),"n/a",AVERAGE(F$13:F460))</f>
        <v>n/a</v>
      </c>
      <c r="H460" s="11" t="str">
        <f t="shared" si="61"/>
        <v>n/a</v>
      </c>
      <c r="J460" s="5"/>
      <c r="K460" s="5"/>
      <c r="L460" s="5"/>
      <c r="M460" s="5"/>
      <c r="N460" s="5"/>
      <c r="O460" s="8" t="str">
        <f t="shared" si="59"/>
        <v>n/a</v>
      </c>
      <c r="Q460" s="5"/>
      <c r="R460" s="5"/>
      <c r="S460" s="5"/>
      <c r="U460" s="6"/>
      <c r="V460" s="9" t="str">
        <f t="shared" si="62"/>
        <v/>
      </c>
      <c r="W460" s="9" t="str">
        <f t="shared" si="63"/>
        <v/>
      </c>
      <c r="X460" s="10">
        <f>SUM(V$13:V460)/COUNTA(B$13:B460)</f>
        <v>0</v>
      </c>
      <c r="Z460" s="5"/>
      <c r="AA460" s="5"/>
      <c r="AC460" s="7"/>
      <c r="AE460" s="54" t="e">
        <f t="shared" si="64"/>
        <v>#N/A</v>
      </c>
      <c r="AF460" s="4" t="e">
        <f t="shared" si="60"/>
        <v>#N/A</v>
      </c>
    </row>
    <row r="461" spans="2:32">
      <c r="B461" s="5">
        <f t="shared" si="65"/>
        <v>449</v>
      </c>
      <c r="C461" s="5"/>
      <c r="E461" s="13"/>
      <c r="F461" s="5"/>
      <c r="G461" s="11" t="str">
        <f>IF(ISERROR(AVERAGE(F$13:F461)),"n/a",AVERAGE(F$13:F461))</f>
        <v>n/a</v>
      </c>
      <c r="H461" s="11" t="str">
        <f t="shared" si="61"/>
        <v>n/a</v>
      </c>
      <c r="J461" s="5"/>
      <c r="K461" s="5"/>
      <c r="L461" s="5"/>
      <c r="M461" s="5"/>
      <c r="N461" s="5"/>
      <c r="O461" s="8" t="str">
        <f t="shared" ref="O461:O524" si="66">IF(J461=1,"A",IF(K461=1,"B",IF(L461=1,"C",IF(M461=1,"D",IF(N461=1,"E","n/a")))))</f>
        <v>n/a</v>
      </c>
      <c r="Q461" s="5"/>
      <c r="R461" s="5"/>
      <c r="S461" s="5"/>
      <c r="U461" s="6"/>
      <c r="V461" s="9" t="str">
        <f t="shared" si="62"/>
        <v/>
      </c>
      <c r="W461" s="9" t="str">
        <f t="shared" si="63"/>
        <v/>
      </c>
      <c r="X461" s="10">
        <f>SUM(V$13:V461)/COUNTA(B$13:B461)</f>
        <v>0</v>
      </c>
      <c r="Z461" s="5"/>
      <c r="AA461" s="5"/>
      <c r="AC461" s="7"/>
      <c r="AE461" s="54" t="e">
        <f t="shared" si="64"/>
        <v>#N/A</v>
      </c>
      <c r="AF461" s="4" t="e">
        <f t="shared" ref="AF461:AF524" si="67">HLOOKUP(C461,$K$6:$O$7,2,FALSE)</f>
        <v>#N/A</v>
      </c>
    </row>
    <row r="462" spans="2:32">
      <c r="B462" s="5">
        <f t="shared" si="65"/>
        <v>450</v>
      </c>
      <c r="C462" s="5"/>
      <c r="E462" s="13"/>
      <c r="F462" s="5"/>
      <c r="G462" s="11" t="str">
        <f>IF(ISERROR(AVERAGE(F$13:F462)),"n/a",AVERAGE(F$13:F462))</f>
        <v>n/a</v>
      </c>
      <c r="H462" s="11" t="str">
        <f t="shared" ref="H462:H525" si="68">G462</f>
        <v>n/a</v>
      </c>
      <c r="J462" s="5"/>
      <c r="K462" s="5"/>
      <c r="L462" s="5"/>
      <c r="M462" s="5"/>
      <c r="N462" s="5"/>
      <c r="O462" s="8" t="str">
        <f t="shared" si="66"/>
        <v>n/a</v>
      </c>
      <c r="Q462" s="5"/>
      <c r="R462" s="5"/>
      <c r="S462" s="5"/>
      <c r="U462" s="6"/>
      <c r="V462" s="9" t="str">
        <f t="shared" ref="V462:V525" si="69">IF(O462="n/a","",IF(O462=U462,1,""))</f>
        <v/>
      </c>
      <c r="W462" s="9" t="str">
        <f t="shared" ref="W462:W525" si="70">IF(O462="n/a","",IF(O462&lt;&gt;U462,1,""))</f>
        <v/>
      </c>
      <c r="X462" s="10">
        <f>SUM(V$13:V462)/COUNTA(B$13:B462)</f>
        <v>0</v>
      </c>
      <c r="Z462" s="5"/>
      <c r="AA462" s="5"/>
      <c r="AC462" s="7"/>
      <c r="AE462" s="54" t="e">
        <f t="shared" ref="AE462:AE525" si="71">+IF($F$4=0,0,IF(W462=1,1,IF(OR(R462*$F$8=1,S462*$F$9=1,F462&gt;=AF462),2,0)))</f>
        <v>#N/A</v>
      </c>
      <c r="AF462" s="4" t="e">
        <f t="shared" si="67"/>
        <v>#N/A</v>
      </c>
    </row>
    <row r="463" spans="2:32">
      <c r="B463" s="5">
        <f t="shared" si="65"/>
        <v>451</v>
      </c>
      <c r="C463" s="5"/>
      <c r="E463" s="13"/>
      <c r="F463" s="5"/>
      <c r="G463" s="11" t="str">
        <f>IF(ISERROR(AVERAGE(F$13:F463)),"n/a",AVERAGE(F$13:F463))</f>
        <v>n/a</v>
      </c>
      <c r="H463" s="11" t="str">
        <f t="shared" si="68"/>
        <v>n/a</v>
      </c>
      <c r="J463" s="5"/>
      <c r="K463" s="5"/>
      <c r="L463" s="5"/>
      <c r="M463" s="5"/>
      <c r="N463" s="5"/>
      <c r="O463" s="8" t="str">
        <f t="shared" si="66"/>
        <v>n/a</v>
      </c>
      <c r="Q463" s="5"/>
      <c r="R463" s="5"/>
      <c r="S463" s="5"/>
      <c r="U463" s="6"/>
      <c r="V463" s="9" t="str">
        <f t="shared" si="69"/>
        <v/>
      </c>
      <c r="W463" s="9" t="str">
        <f t="shared" si="70"/>
        <v/>
      </c>
      <c r="X463" s="10">
        <f>SUM(V$13:V463)/COUNTA(B$13:B463)</f>
        <v>0</v>
      </c>
      <c r="Z463" s="5"/>
      <c r="AA463" s="5"/>
      <c r="AC463" s="7"/>
      <c r="AE463" s="54" t="e">
        <f t="shared" si="71"/>
        <v>#N/A</v>
      </c>
      <c r="AF463" s="4" t="e">
        <f t="shared" si="67"/>
        <v>#N/A</v>
      </c>
    </row>
    <row r="464" spans="2:32">
      <c r="B464" s="5">
        <f t="shared" si="65"/>
        <v>452</v>
      </c>
      <c r="C464" s="5"/>
      <c r="E464" s="13"/>
      <c r="F464" s="5"/>
      <c r="G464" s="11" t="str">
        <f>IF(ISERROR(AVERAGE(F$13:F464)),"n/a",AVERAGE(F$13:F464))</f>
        <v>n/a</v>
      </c>
      <c r="H464" s="11" t="str">
        <f t="shared" si="68"/>
        <v>n/a</v>
      </c>
      <c r="J464" s="5"/>
      <c r="K464" s="5"/>
      <c r="L464" s="5"/>
      <c r="M464" s="5"/>
      <c r="N464" s="5"/>
      <c r="O464" s="8" t="str">
        <f t="shared" si="66"/>
        <v>n/a</v>
      </c>
      <c r="Q464" s="5"/>
      <c r="R464" s="5"/>
      <c r="S464" s="5"/>
      <c r="U464" s="6"/>
      <c r="V464" s="9" t="str">
        <f t="shared" si="69"/>
        <v/>
      </c>
      <c r="W464" s="9" t="str">
        <f t="shared" si="70"/>
        <v/>
      </c>
      <c r="X464" s="10">
        <f>SUM(V$13:V464)/COUNTA(B$13:B464)</f>
        <v>0</v>
      </c>
      <c r="Z464" s="5"/>
      <c r="AA464" s="5"/>
      <c r="AC464" s="7"/>
      <c r="AE464" s="54" t="e">
        <f t="shared" si="71"/>
        <v>#N/A</v>
      </c>
      <c r="AF464" s="4" t="e">
        <f t="shared" si="67"/>
        <v>#N/A</v>
      </c>
    </row>
    <row r="465" spans="2:32">
      <c r="B465" s="5">
        <f t="shared" si="65"/>
        <v>453</v>
      </c>
      <c r="C465" s="5"/>
      <c r="E465" s="13"/>
      <c r="F465" s="5"/>
      <c r="G465" s="11" t="str">
        <f>IF(ISERROR(AVERAGE(F$13:F465)),"n/a",AVERAGE(F$13:F465))</f>
        <v>n/a</v>
      </c>
      <c r="H465" s="11" t="str">
        <f t="shared" si="68"/>
        <v>n/a</v>
      </c>
      <c r="J465" s="5"/>
      <c r="K465" s="5"/>
      <c r="L465" s="5"/>
      <c r="M465" s="5"/>
      <c r="N465" s="5"/>
      <c r="O465" s="8" t="str">
        <f t="shared" si="66"/>
        <v>n/a</v>
      </c>
      <c r="Q465" s="5"/>
      <c r="R465" s="5"/>
      <c r="S465" s="5"/>
      <c r="U465" s="6"/>
      <c r="V465" s="9" t="str">
        <f t="shared" si="69"/>
        <v/>
      </c>
      <c r="W465" s="9" t="str">
        <f t="shared" si="70"/>
        <v/>
      </c>
      <c r="X465" s="10">
        <f>SUM(V$13:V465)/COUNTA(B$13:B465)</f>
        <v>0</v>
      </c>
      <c r="Z465" s="5"/>
      <c r="AA465" s="5"/>
      <c r="AC465" s="7"/>
      <c r="AE465" s="54" t="e">
        <f t="shared" si="71"/>
        <v>#N/A</v>
      </c>
      <c r="AF465" s="4" t="e">
        <f t="shared" si="67"/>
        <v>#N/A</v>
      </c>
    </row>
    <row r="466" spans="2:32">
      <c r="B466" s="5">
        <f t="shared" si="65"/>
        <v>454</v>
      </c>
      <c r="C466" s="5"/>
      <c r="E466" s="13"/>
      <c r="F466" s="5"/>
      <c r="G466" s="11" t="str">
        <f>IF(ISERROR(AVERAGE(F$13:F466)),"n/a",AVERAGE(F$13:F466))</f>
        <v>n/a</v>
      </c>
      <c r="H466" s="11" t="str">
        <f t="shared" si="68"/>
        <v>n/a</v>
      </c>
      <c r="J466" s="5"/>
      <c r="K466" s="5"/>
      <c r="L466" s="5"/>
      <c r="M466" s="5"/>
      <c r="N466" s="5"/>
      <c r="O466" s="8" t="str">
        <f t="shared" si="66"/>
        <v>n/a</v>
      </c>
      <c r="Q466" s="5"/>
      <c r="R466" s="5"/>
      <c r="S466" s="5"/>
      <c r="U466" s="6"/>
      <c r="V466" s="9" t="str">
        <f t="shared" si="69"/>
        <v/>
      </c>
      <c r="W466" s="9" t="str">
        <f t="shared" si="70"/>
        <v/>
      </c>
      <c r="X466" s="10">
        <f>SUM(V$13:V466)/COUNTA(B$13:B466)</f>
        <v>0</v>
      </c>
      <c r="Z466" s="5"/>
      <c r="AA466" s="5"/>
      <c r="AC466" s="7"/>
      <c r="AE466" s="54" t="e">
        <f t="shared" si="71"/>
        <v>#N/A</v>
      </c>
      <c r="AF466" s="4" t="e">
        <f t="shared" si="67"/>
        <v>#N/A</v>
      </c>
    </row>
    <row r="467" spans="2:32">
      <c r="B467" s="5">
        <f t="shared" ref="B467:B530" si="72">+B466+1</f>
        <v>455</v>
      </c>
      <c r="C467" s="5"/>
      <c r="E467" s="13"/>
      <c r="F467" s="5"/>
      <c r="G467" s="11" t="str">
        <f>IF(ISERROR(AVERAGE(F$13:F467)),"n/a",AVERAGE(F$13:F467))</f>
        <v>n/a</v>
      </c>
      <c r="H467" s="11" t="str">
        <f t="shared" si="68"/>
        <v>n/a</v>
      </c>
      <c r="J467" s="5"/>
      <c r="K467" s="5"/>
      <c r="L467" s="5"/>
      <c r="M467" s="5"/>
      <c r="N467" s="5"/>
      <c r="O467" s="8" t="str">
        <f t="shared" si="66"/>
        <v>n/a</v>
      </c>
      <c r="Q467" s="5"/>
      <c r="R467" s="5"/>
      <c r="S467" s="5"/>
      <c r="U467" s="6"/>
      <c r="V467" s="9" t="str">
        <f t="shared" si="69"/>
        <v/>
      </c>
      <c r="W467" s="9" t="str">
        <f t="shared" si="70"/>
        <v/>
      </c>
      <c r="X467" s="10">
        <f>SUM(V$13:V467)/COUNTA(B$13:B467)</f>
        <v>0</v>
      </c>
      <c r="Z467" s="5"/>
      <c r="AA467" s="5"/>
      <c r="AC467" s="7"/>
      <c r="AE467" s="54" t="e">
        <f t="shared" si="71"/>
        <v>#N/A</v>
      </c>
      <c r="AF467" s="4" t="e">
        <f t="shared" si="67"/>
        <v>#N/A</v>
      </c>
    </row>
    <row r="468" spans="2:32">
      <c r="B468" s="5">
        <f t="shared" si="72"/>
        <v>456</v>
      </c>
      <c r="C468" s="5"/>
      <c r="E468" s="13"/>
      <c r="F468" s="5"/>
      <c r="G468" s="11" t="str">
        <f>IF(ISERROR(AVERAGE(F$13:F468)),"n/a",AVERAGE(F$13:F468))</f>
        <v>n/a</v>
      </c>
      <c r="H468" s="11" t="str">
        <f t="shared" si="68"/>
        <v>n/a</v>
      </c>
      <c r="J468" s="5"/>
      <c r="K468" s="5"/>
      <c r="L468" s="5"/>
      <c r="M468" s="5"/>
      <c r="N468" s="5"/>
      <c r="O468" s="8" t="str">
        <f t="shared" si="66"/>
        <v>n/a</v>
      </c>
      <c r="Q468" s="5"/>
      <c r="R468" s="5"/>
      <c r="S468" s="5"/>
      <c r="U468" s="6"/>
      <c r="V468" s="9" t="str">
        <f t="shared" si="69"/>
        <v/>
      </c>
      <c r="W468" s="9" t="str">
        <f t="shared" si="70"/>
        <v/>
      </c>
      <c r="X468" s="10">
        <f>SUM(V$13:V468)/COUNTA(B$13:B468)</f>
        <v>0</v>
      </c>
      <c r="Z468" s="5"/>
      <c r="AA468" s="5"/>
      <c r="AC468" s="7"/>
      <c r="AE468" s="54" t="e">
        <f t="shared" si="71"/>
        <v>#N/A</v>
      </c>
      <c r="AF468" s="4" t="e">
        <f t="shared" si="67"/>
        <v>#N/A</v>
      </c>
    </row>
    <row r="469" spans="2:32">
      <c r="B469" s="5">
        <f t="shared" si="72"/>
        <v>457</v>
      </c>
      <c r="C469" s="5"/>
      <c r="E469" s="13"/>
      <c r="F469" s="5"/>
      <c r="G469" s="11" t="str">
        <f>IF(ISERROR(AVERAGE(F$13:F469)),"n/a",AVERAGE(F$13:F469))</f>
        <v>n/a</v>
      </c>
      <c r="H469" s="11" t="str">
        <f t="shared" si="68"/>
        <v>n/a</v>
      </c>
      <c r="J469" s="5"/>
      <c r="K469" s="5"/>
      <c r="L469" s="5"/>
      <c r="M469" s="5"/>
      <c r="N469" s="5"/>
      <c r="O469" s="8" t="str">
        <f t="shared" si="66"/>
        <v>n/a</v>
      </c>
      <c r="Q469" s="5"/>
      <c r="R469" s="5"/>
      <c r="S469" s="5"/>
      <c r="U469" s="6"/>
      <c r="V469" s="9" t="str">
        <f t="shared" si="69"/>
        <v/>
      </c>
      <c r="W469" s="9" t="str">
        <f t="shared" si="70"/>
        <v/>
      </c>
      <c r="X469" s="10">
        <f>SUM(V$13:V469)/COUNTA(B$13:B469)</f>
        <v>0</v>
      </c>
      <c r="Z469" s="5"/>
      <c r="AA469" s="5"/>
      <c r="AC469" s="7"/>
      <c r="AE469" s="54" t="e">
        <f t="shared" si="71"/>
        <v>#N/A</v>
      </c>
      <c r="AF469" s="4" t="e">
        <f t="shared" si="67"/>
        <v>#N/A</v>
      </c>
    </row>
    <row r="470" spans="2:32">
      <c r="B470" s="5">
        <f t="shared" si="72"/>
        <v>458</v>
      </c>
      <c r="C470" s="5"/>
      <c r="E470" s="13"/>
      <c r="F470" s="5"/>
      <c r="G470" s="11" t="str">
        <f>IF(ISERROR(AVERAGE(F$13:F470)),"n/a",AVERAGE(F$13:F470))</f>
        <v>n/a</v>
      </c>
      <c r="H470" s="11" t="str">
        <f t="shared" si="68"/>
        <v>n/a</v>
      </c>
      <c r="J470" s="5"/>
      <c r="K470" s="5"/>
      <c r="L470" s="5"/>
      <c r="M470" s="5"/>
      <c r="N470" s="5"/>
      <c r="O470" s="8" t="str">
        <f t="shared" si="66"/>
        <v>n/a</v>
      </c>
      <c r="Q470" s="5"/>
      <c r="R470" s="5"/>
      <c r="S470" s="5"/>
      <c r="U470" s="6"/>
      <c r="V470" s="9" t="str">
        <f t="shared" si="69"/>
        <v/>
      </c>
      <c r="W470" s="9" t="str">
        <f t="shared" si="70"/>
        <v/>
      </c>
      <c r="X470" s="10">
        <f>SUM(V$13:V470)/COUNTA(B$13:B470)</f>
        <v>0</v>
      </c>
      <c r="Z470" s="5"/>
      <c r="AA470" s="5"/>
      <c r="AC470" s="7"/>
      <c r="AE470" s="54" t="e">
        <f t="shared" si="71"/>
        <v>#N/A</v>
      </c>
      <c r="AF470" s="4" t="e">
        <f t="shared" si="67"/>
        <v>#N/A</v>
      </c>
    </row>
    <row r="471" spans="2:32">
      <c r="B471" s="5">
        <f t="shared" si="72"/>
        <v>459</v>
      </c>
      <c r="C471" s="5"/>
      <c r="E471" s="13"/>
      <c r="F471" s="5"/>
      <c r="G471" s="11" t="str">
        <f>IF(ISERROR(AVERAGE(F$13:F471)),"n/a",AVERAGE(F$13:F471))</f>
        <v>n/a</v>
      </c>
      <c r="H471" s="11" t="str">
        <f t="shared" si="68"/>
        <v>n/a</v>
      </c>
      <c r="J471" s="5"/>
      <c r="K471" s="5"/>
      <c r="L471" s="5"/>
      <c r="M471" s="5"/>
      <c r="N471" s="5"/>
      <c r="O471" s="8" t="str">
        <f t="shared" si="66"/>
        <v>n/a</v>
      </c>
      <c r="Q471" s="5"/>
      <c r="R471" s="5"/>
      <c r="S471" s="5"/>
      <c r="U471" s="6"/>
      <c r="V471" s="9" t="str">
        <f t="shared" si="69"/>
        <v/>
      </c>
      <c r="W471" s="9" t="str">
        <f t="shared" si="70"/>
        <v/>
      </c>
      <c r="X471" s="10">
        <f>SUM(V$13:V471)/COUNTA(B$13:B471)</f>
        <v>0</v>
      </c>
      <c r="Z471" s="5"/>
      <c r="AA471" s="5"/>
      <c r="AC471" s="7"/>
      <c r="AE471" s="54" t="e">
        <f t="shared" si="71"/>
        <v>#N/A</v>
      </c>
      <c r="AF471" s="4" t="e">
        <f t="shared" si="67"/>
        <v>#N/A</v>
      </c>
    </row>
    <row r="472" spans="2:32">
      <c r="B472" s="5">
        <f t="shared" si="72"/>
        <v>460</v>
      </c>
      <c r="C472" s="5"/>
      <c r="E472" s="13"/>
      <c r="F472" s="5"/>
      <c r="G472" s="11" t="str">
        <f>IF(ISERROR(AVERAGE(F$13:F472)),"n/a",AVERAGE(F$13:F472))</f>
        <v>n/a</v>
      </c>
      <c r="H472" s="11" t="str">
        <f t="shared" si="68"/>
        <v>n/a</v>
      </c>
      <c r="J472" s="5"/>
      <c r="K472" s="5"/>
      <c r="L472" s="5"/>
      <c r="M472" s="5"/>
      <c r="N472" s="5"/>
      <c r="O472" s="8" t="str">
        <f t="shared" si="66"/>
        <v>n/a</v>
      </c>
      <c r="Q472" s="5"/>
      <c r="R472" s="5"/>
      <c r="S472" s="5"/>
      <c r="U472" s="6"/>
      <c r="V472" s="9" t="str">
        <f t="shared" si="69"/>
        <v/>
      </c>
      <c r="W472" s="9" t="str">
        <f t="shared" si="70"/>
        <v/>
      </c>
      <c r="X472" s="10">
        <f>SUM(V$13:V472)/COUNTA(B$13:B472)</f>
        <v>0</v>
      </c>
      <c r="Z472" s="5"/>
      <c r="AA472" s="5"/>
      <c r="AC472" s="7"/>
      <c r="AE472" s="54" t="e">
        <f t="shared" si="71"/>
        <v>#N/A</v>
      </c>
      <c r="AF472" s="4" t="e">
        <f t="shared" si="67"/>
        <v>#N/A</v>
      </c>
    </row>
    <row r="473" spans="2:32">
      <c r="B473" s="5">
        <f t="shared" si="72"/>
        <v>461</v>
      </c>
      <c r="C473" s="5"/>
      <c r="E473" s="13"/>
      <c r="F473" s="5"/>
      <c r="G473" s="11" t="str">
        <f>IF(ISERROR(AVERAGE(F$13:F473)),"n/a",AVERAGE(F$13:F473))</f>
        <v>n/a</v>
      </c>
      <c r="H473" s="11" t="str">
        <f t="shared" si="68"/>
        <v>n/a</v>
      </c>
      <c r="J473" s="5"/>
      <c r="K473" s="5"/>
      <c r="L473" s="5"/>
      <c r="M473" s="5"/>
      <c r="N473" s="5"/>
      <c r="O473" s="8" t="str">
        <f t="shared" si="66"/>
        <v>n/a</v>
      </c>
      <c r="Q473" s="5"/>
      <c r="R473" s="5"/>
      <c r="S473" s="5"/>
      <c r="U473" s="6"/>
      <c r="V473" s="9" t="str">
        <f t="shared" si="69"/>
        <v/>
      </c>
      <c r="W473" s="9" t="str">
        <f t="shared" si="70"/>
        <v/>
      </c>
      <c r="X473" s="10">
        <f>SUM(V$13:V473)/COUNTA(B$13:B473)</f>
        <v>0</v>
      </c>
      <c r="Z473" s="5"/>
      <c r="AA473" s="5"/>
      <c r="AC473" s="7"/>
      <c r="AE473" s="54" t="e">
        <f t="shared" si="71"/>
        <v>#N/A</v>
      </c>
      <c r="AF473" s="4" t="e">
        <f t="shared" si="67"/>
        <v>#N/A</v>
      </c>
    </row>
    <row r="474" spans="2:32">
      <c r="B474" s="5">
        <f t="shared" si="72"/>
        <v>462</v>
      </c>
      <c r="C474" s="5"/>
      <c r="E474" s="13"/>
      <c r="F474" s="5"/>
      <c r="G474" s="11" t="str">
        <f>IF(ISERROR(AVERAGE(F$13:F474)),"n/a",AVERAGE(F$13:F474))</f>
        <v>n/a</v>
      </c>
      <c r="H474" s="11" t="str">
        <f t="shared" si="68"/>
        <v>n/a</v>
      </c>
      <c r="J474" s="5"/>
      <c r="K474" s="5"/>
      <c r="L474" s="5"/>
      <c r="M474" s="5"/>
      <c r="N474" s="5"/>
      <c r="O474" s="8" t="str">
        <f t="shared" si="66"/>
        <v>n/a</v>
      </c>
      <c r="Q474" s="5"/>
      <c r="R474" s="5"/>
      <c r="S474" s="5"/>
      <c r="U474" s="6"/>
      <c r="V474" s="9" t="str">
        <f t="shared" si="69"/>
        <v/>
      </c>
      <c r="W474" s="9" t="str">
        <f t="shared" si="70"/>
        <v/>
      </c>
      <c r="X474" s="10">
        <f>SUM(V$13:V474)/COUNTA(B$13:B474)</f>
        <v>0</v>
      </c>
      <c r="Z474" s="5"/>
      <c r="AA474" s="5"/>
      <c r="AC474" s="7"/>
      <c r="AE474" s="54" t="e">
        <f t="shared" si="71"/>
        <v>#N/A</v>
      </c>
      <c r="AF474" s="4" t="e">
        <f t="shared" si="67"/>
        <v>#N/A</v>
      </c>
    </row>
    <row r="475" spans="2:32">
      <c r="B475" s="5">
        <f t="shared" si="72"/>
        <v>463</v>
      </c>
      <c r="C475" s="5"/>
      <c r="E475" s="13"/>
      <c r="F475" s="5"/>
      <c r="G475" s="11" t="str">
        <f>IF(ISERROR(AVERAGE(F$13:F475)),"n/a",AVERAGE(F$13:F475))</f>
        <v>n/a</v>
      </c>
      <c r="H475" s="11" t="str">
        <f t="shared" si="68"/>
        <v>n/a</v>
      </c>
      <c r="J475" s="5"/>
      <c r="K475" s="5"/>
      <c r="L475" s="5"/>
      <c r="M475" s="5"/>
      <c r="N475" s="5"/>
      <c r="O475" s="8" t="str">
        <f t="shared" si="66"/>
        <v>n/a</v>
      </c>
      <c r="Q475" s="5"/>
      <c r="R475" s="5"/>
      <c r="S475" s="5"/>
      <c r="U475" s="6"/>
      <c r="V475" s="9" t="str">
        <f t="shared" si="69"/>
        <v/>
      </c>
      <c r="W475" s="9" t="str">
        <f t="shared" si="70"/>
        <v/>
      </c>
      <c r="X475" s="10">
        <f>SUM(V$13:V475)/COUNTA(B$13:B475)</f>
        <v>0</v>
      </c>
      <c r="Z475" s="5"/>
      <c r="AA475" s="5"/>
      <c r="AC475" s="7"/>
      <c r="AE475" s="54" t="e">
        <f t="shared" si="71"/>
        <v>#N/A</v>
      </c>
      <c r="AF475" s="4" t="e">
        <f t="shared" si="67"/>
        <v>#N/A</v>
      </c>
    </row>
    <row r="476" spans="2:32">
      <c r="B476" s="5">
        <f t="shared" si="72"/>
        <v>464</v>
      </c>
      <c r="C476" s="5"/>
      <c r="E476" s="13"/>
      <c r="F476" s="5"/>
      <c r="G476" s="11" t="str">
        <f>IF(ISERROR(AVERAGE(F$13:F476)),"n/a",AVERAGE(F$13:F476))</f>
        <v>n/a</v>
      </c>
      <c r="H476" s="11" t="str">
        <f t="shared" si="68"/>
        <v>n/a</v>
      </c>
      <c r="J476" s="5"/>
      <c r="K476" s="5"/>
      <c r="L476" s="5"/>
      <c r="M476" s="5"/>
      <c r="N476" s="5"/>
      <c r="O476" s="8" t="str">
        <f t="shared" si="66"/>
        <v>n/a</v>
      </c>
      <c r="Q476" s="5"/>
      <c r="R476" s="5"/>
      <c r="S476" s="5"/>
      <c r="U476" s="6"/>
      <c r="V476" s="9" t="str">
        <f t="shared" si="69"/>
        <v/>
      </c>
      <c r="W476" s="9" t="str">
        <f t="shared" si="70"/>
        <v/>
      </c>
      <c r="X476" s="10">
        <f>SUM(V$13:V476)/COUNTA(B$13:B476)</f>
        <v>0</v>
      </c>
      <c r="Z476" s="5"/>
      <c r="AA476" s="5"/>
      <c r="AC476" s="7"/>
      <c r="AE476" s="54" t="e">
        <f t="shared" si="71"/>
        <v>#N/A</v>
      </c>
      <c r="AF476" s="4" t="e">
        <f t="shared" si="67"/>
        <v>#N/A</v>
      </c>
    </row>
    <row r="477" spans="2:32">
      <c r="B477" s="5">
        <f t="shared" si="72"/>
        <v>465</v>
      </c>
      <c r="C477" s="5"/>
      <c r="E477" s="13"/>
      <c r="F477" s="5"/>
      <c r="G477" s="11" t="str">
        <f>IF(ISERROR(AVERAGE(F$13:F477)),"n/a",AVERAGE(F$13:F477))</f>
        <v>n/a</v>
      </c>
      <c r="H477" s="11" t="str">
        <f t="shared" si="68"/>
        <v>n/a</v>
      </c>
      <c r="J477" s="5"/>
      <c r="K477" s="5"/>
      <c r="L477" s="5"/>
      <c r="M477" s="5"/>
      <c r="N477" s="5"/>
      <c r="O477" s="8" t="str">
        <f t="shared" si="66"/>
        <v>n/a</v>
      </c>
      <c r="Q477" s="5"/>
      <c r="R477" s="5"/>
      <c r="S477" s="5"/>
      <c r="U477" s="6"/>
      <c r="V477" s="9" t="str">
        <f t="shared" si="69"/>
        <v/>
      </c>
      <c r="W477" s="9" t="str">
        <f t="shared" si="70"/>
        <v/>
      </c>
      <c r="X477" s="10">
        <f>SUM(V$13:V477)/COUNTA(B$13:B477)</f>
        <v>0</v>
      </c>
      <c r="Z477" s="5"/>
      <c r="AA477" s="5"/>
      <c r="AC477" s="7"/>
      <c r="AE477" s="54" t="e">
        <f t="shared" si="71"/>
        <v>#N/A</v>
      </c>
      <c r="AF477" s="4" t="e">
        <f t="shared" si="67"/>
        <v>#N/A</v>
      </c>
    </row>
    <row r="478" spans="2:32">
      <c r="B478" s="5">
        <f t="shared" si="72"/>
        <v>466</v>
      </c>
      <c r="C478" s="5"/>
      <c r="E478" s="13"/>
      <c r="F478" s="5"/>
      <c r="G478" s="11" t="str">
        <f>IF(ISERROR(AVERAGE(F$13:F478)),"n/a",AVERAGE(F$13:F478))</f>
        <v>n/a</v>
      </c>
      <c r="H478" s="11" t="str">
        <f t="shared" si="68"/>
        <v>n/a</v>
      </c>
      <c r="J478" s="5"/>
      <c r="K478" s="5"/>
      <c r="L478" s="5"/>
      <c r="M478" s="5"/>
      <c r="N478" s="5"/>
      <c r="O478" s="8" t="str">
        <f t="shared" si="66"/>
        <v>n/a</v>
      </c>
      <c r="Q478" s="5"/>
      <c r="R478" s="5"/>
      <c r="S478" s="5"/>
      <c r="U478" s="6"/>
      <c r="V478" s="9" t="str">
        <f t="shared" si="69"/>
        <v/>
      </c>
      <c r="W478" s="9" t="str">
        <f t="shared" si="70"/>
        <v/>
      </c>
      <c r="X478" s="10">
        <f>SUM(V$13:V478)/COUNTA(B$13:B478)</f>
        <v>0</v>
      </c>
      <c r="Z478" s="5"/>
      <c r="AA478" s="5"/>
      <c r="AC478" s="7"/>
      <c r="AE478" s="54" t="e">
        <f t="shared" si="71"/>
        <v>#N/A</v>
      </c>
      <c r="AF478" s="4" t="e">
        <f t="shared" si="67"/>
        <v>#N/A</v>
      </c>
    </row>
    <row r="479" spans="2:32">
      <c r="B479" s="5">
        <f t="shared" si="72"/>
        <v>467</v>
      </c>
      <c r="C479" s="5"/>
      <c r="E479" s="13"/>
      <c r="F479" s="5"/>
      <c r="G479" s="11" t="str">
        <f>IF(ISERROR(AVERAGE(F$13:F479)),"n/a",AVERAGE(F$13:F479))</f>
        <v>n/a</v>
      </c>
      <c r="H479" s="11" t="str">
        <f t="shared" si="68"/>
        <v>n/a</v>
      </c>
      <c r="J479" s="5"/>
      <c r="K479" s="5"/>
      <c r="L479" s="5"/>
      <c r="M479" s="5"/>
      <c r="N479" s="5"/>
      <c r="O479" s="8" t="str">
        <f t="shared" si="66"/>
        <v>n/a</v>
      </c>
      <c r="Q479" s="5"/>
      <c r="R479" s="5"/>
      <c r="S479" s="5"/>
      <c r="U479" s="6"/>
      <c r="V479" s="9" t="str">
        <f t="shared" si="69"/>
        <v/>
      </c>
      <c r="W479" s="9" t="str">
        <f t="shared" si="70"/>
        <v/>
      </c>
      <c r="X479" s="10">
        <f>SUM(V$13:V479)/COUNTA(B$13:B479)</f>
        <v>0</v>
      </c>
      <c r="Z479" s="5"/>
      <c r="AA479" s="5"/>
      <c r="AC479" s="7"/>
      <c r="AE479" s="54" t="e">
        <f t="shared" si="71"/>
        <v>#N/A</v>
      </c>
      <c r="AF479" s="4" t="e">
        <f t="shared" si="67"/>
        <v>#N/A</v>
      </c>
    </row>
    <row r="480" spans="2:32">
      <c r="B480" s="5">
        <f t="shared" si="72"/>
        <v>468</v>
      </c>
      <c r="C480" s="5"/>
      <c r="E480" s="13"/>
      <c r="F480" s="5"/>
      <c r="G480" s="11" t="str">
        <f>IF(ISERROR(AVERAGE(F$13:F480)),"n/a",AVERAGE(F$13:F480))</f>
        <v>n/a</v>
      </c>
      <c r="H480" s="11" t="str">
        <f t="shared" si="68"/>
        <v>n/a</v>
      </c>
      <c r="J480" s="5"/>
      <c r="K480" s="5"/>
      <c r="L480" s="5"/>
      <c r="M480" s="5"/>
      <c r="N480" s="5"/>
      <c r="O480" s="8" t="str">
        <f t="shared" si="66"/>
        <v>n/a</v>
      </c>
      <c r="Q480" s="5"/>
      <c r="R480" s="5"/>
      <c r="S480" s="5"/>
      <c r="U480" s="6"/>
      <c r="V480" s="9" t="str">
        <f t="shared" si="69"/>
        <v/>
      </c>
      <c r="W480" s="9" t="str">
        <f t="shared" si="70"/>
        <v/>
      </c>
      <c r="X480" s="10">
        <f>SUM(V$13:V480)/COUNTA(B$13:B480)</f>
        <v>0</v>
      </c>
      <c r="Z480" s="5"/>
      <c r="AA480" s="5"/>
      <c r="AC480" s="7"/>
      <c r="AE480" s="54" t="e">
        <f t="shared" si="71"/>
        <v>#N/A</v>
      </c>
      <c r="AF480" s="4" t="e">
        <f t="shared" si="67"/>
        <v>#N/A</v>
      </c>
    </row>
    <row r="481" spans="2:32">
      <c r="B481" s="5">
        <f t="shared" si="72"/>
        <v>469</v>
      </c>
      <c r="C481" s="5"/>
      <c r="E481" s="13"/>
      <c r="F481" s="5"/>
      <c r="G481" s="11" t="str">
        <f>IF(ISERROR(AVERAGE(F$13:F481)),"n/a",AVERAGE(F$13:F481))</f>
        <v>n/a</v>
      </c>
      <c r="H481" s="11" t="str">
        <f t="shared" si="68"/>
        <v>n/a</v>
      </c>
      <c r="J481" s="5"/>
      <c r="K481" s="5"/>
      <c r="L481" s="5"/>
      <c r="M481" s="5"/>
      <c r="N481" s="5"/>
      <c r="O481" s="8" t="str">
        <f t="shared" si="66"/>
        <v>n/a</v>
      </c>
      <c r="Q481" s="5"/>
      <c r="R481" s="5"/>
      <c r="S481" s="5"/>
      <c r="U481" s="6"/>
      <c r="V481" s="9" t="str">
        <f t="shared" si="69"/>
        <v/>
      </c>
      <c r="W481" s="9" t="str">
        <f t="shared" si="70"/>
        <v/>
      </c>
      <c r="X481" s="10">
        <f>SUM(V$13:V481)/COUNTA(B$13:B481)</f>
        <v>0</v>
      </c>
      <c r="Z481" s="5"/>
      <c r="AA481" s="5"/>
      <c r="AC481" s="7"/>
      <c r="AE481" s="54" t="e">
        <f t="shared" si="71"/>
        <v>#N/A</v>
      </c>
      <c r="AF481" s="4" t="e">
        <f t="shared" si="67"/>
        <v>#N/A</v>
      </c>
    </row>
    <row r="482" spans="2:32">
      <c r="B482" s="5">
        <f t="shared" si="72"/>
        <v>470</v>
      </c>
      <c r="C482" s="5"/>
      <c r="E482" s="13"/>
      <c r="F482" s="5"/>
      <c r="G482" s="11" t="str">
        <f>IF(ISERROR(AVERAGE(F$13:F482)),"n/a",AVERAGE(F$13:F482))</f>
        <v>n/a</v>
      </c>
      <c r="H482" s="11" t="str">
        <f t="shared" si="68"/>
        <v>n/a</v>
      </c>
      <c r="J482" s="5"/>
      <c r="K482" s="5"/>
      <c r="L482" s="5"/>
      <c r="M482" s="5"/>
      <c r="N482" s="5"/>
      <c r="O482" s="8" t="str">
        <f t="shared" si="66"/>
        <v>n/a</v>
      </c>
      <c r="Q482" s="5"/>
      <c r="R482" s="5"/>
      <c r="S482" s="5"/>
      <c r="U482" s="6"/>
      <c r="V482" s="9" t="str">
        <f t="shared" si="69"/>
        <v/>
      </c>
      <c r="W482" s="9" t="str">
        <f t="shared" si="70"/>
        <v/>
      </c>
      <c r="X482" s="10">
        <f>SUM(V$13:V482)/COUNTA(B$13:B482)</f>
        <v>0</v>
      </c>
      <c r="Z482" s="5"/>
      <c r="AA482" s="5"/>
      <c r="AC482" s="7"/>
      <c r="AE482" s="54" t="e">
        <f t="shared" si="71"/>
        <v>#N/A</v>
      </c>
      <c r="AF482" s="4" t="e">
        <f t="shared" si="67"/>
        <v>#N/A</v>
      </c>
    </row>
    <row r="483" spans="2:32">
      <c r="B483" s="5">
        <f t="shared" si="72"/>
        <v>471</v>
      </c>
      <c r="C483" s="5"/>
      <c r="E483" s="13"/>
      <c r="F483" s="5"/>
      <c r="G483" s="11" t="str">
        <f>IF(ISERROR(AVERAGE(F$13:F483)),"n/a",AVERAGE(F$13:F483))</f>
        <v>n/a</v>
      </c>
      <c r="H483" s="11" t="str">
        <f t="shared" si="68"/>
        <v>n/a</v>
      </c>
      <c r="J483" s="5"/>
      <c r="K483" s="5"/>
      <c r="L483" s="5"/>
      <c r="M483" s="5"/>
      <c r="N483" s="5"/>
      <c r="O483" s="8" t="str">
        <f t="shared" si="66"/>
        <v>n/a</v>
      </c>
      <c r="Q483" s="5"/>
      <c r="R483" s="5"/>
      <c r="S483" s="5"/>
      <c r="U483" s="6"/>
      <c r="V483" s="9" t="str">
        <f t="shared" si="69"/>
        <v/>
      </c>
      <c r="W483" s="9" t="str">
        <f t="shared" si="70"/>
        <v/>
      </c>
      <c r="X483" s="10">
        <f>SUM(V$13:V483)/COUNTA(B$13:B483)</f>
        <v>0</v>
      </c>
      <c r="Z483" s="5"/>
      <c r="AA483" s="5"/>
      <c r="AC483" s="7"/>
      <c r="AE483" s="54" t="e">
        <f t="shared" si="71"/>
        <v>#N/A</v>
      </c>
      <c r="AF483" s="4" t="e">
        <f t="shared" si="67"/>
        <v>#N/A</v>
      </c>
    </row>
    <row r="484" spans="2:32">
      <c r="B484" s="5">
        <f t="shared" si="72"/>
        <v>472</v>
      </c>
      <c r="C484" s="5"/>
      <c r="E484" s="13"/>
      <c r="F484" s="5"/>
      <c r="G484" s="11" t="str">
        <f>IF(ISERROR(AVERAGE(F$13:F484)),"n/a",AVERAGE(F$13:F484))</f>
        <v>n/a</v>
      </c>
      <c r="H484" s="11" t="str">
        <f t="shared" si="68"/>
        <v>n/a</v>
      </c>
      <c r="J484" s="5"/>
      <c r="K484" s="5"/>
      <c r="L484" s="5"/>
      <c r="M484" s="5"/>
      <c r="N484" s="5"/>
      <c r="O484" s="8" t="str">
        <f t="shared" si="66"/>
        <v>n/a</v>
      </c>
      <c r="Q484" s="5"/>
      <c r="R484" s="5"/>
      <c r="S484" s="5"/>
      <c r="U484" s="6"/>
      <c r="V484" s="9" t="str">
        <f t="shared" si="69"/>
        <v/>
      </c>
      <c r="W484" s="9" t="str">
        <f t="shared" si="70"/>
        <v/>
      </c>
      <c r="X484" s="10">
        <f>SUM(V$13:V484)/COUNTA(B$13:B484)</f>
        <v>0</v>
      </c>
      <c r="Z484" s="5"/>
      <c r="AA484" s="5"/>
      <c r="AC484" s="7"/>
      <c r="AE484" s="54" t="e">
        <f t="shared" si="71"/>
        <v>#N/A</v>
      </c>
      <c r="AF484" s="4" t="e">
        <f t="shared" si="67"/>
        <v>#N/A</v>
      </c>
    </row>
    <row r="485" spans="2:32">
      <c r="B485" s="5">
        <f t="shared" si="72"/>
        <v>473</v>
      </c>
      <c r="C485" s="5"/>
      <c r="E485" s="13"/>
      <c r="F485" s="5"/>
      <c r="G485" s="11" t="str">
        <f>IF(ISERROR(AVERAGE(F$13:F485)),"n/a",AVERAGE(F$13:F485))</f>
        <v>n/a</v>
      </c>
      <c r="H485" s="11" t="str">
        <f t="shared" si="68"/>
        <v>n/a</v>
      </c>
      <c r="J485" s="5"/>
      <c r="K485" s="5"/>
      <c r="L485" s="5"/>
      <c r="M485" s="5"/>
      <c r="N485" s="5"/>
      <c r="O485" s="8" t="str">
        <f t="shared" si="66"/>
        <v>n/a</v>
      </c>
      <c r="Q485" s="5"/>
      <c r="R485" s="5"/>
      <c r="S485" s="5"/>
      <c r="U485" s="6"/>
      <c r="V485" s="9" t="str">
        <f t="shared" si="69"/>
        <v/>
      </c>
      <c r="W485" s="9" t="str">
        <f t="shared" si="70"/>
        <v/>
      </c>
      <c r="X485" s="10">
        <f>SUM(V$13:V485)/COUNTA(B$13:B485)</f>
        <v>0</v>
      </c>
      <c r="Z485" s="5"/>
      <c r="AA485" s="5"/>
      <c r="AC485" s="7"/>
      <c r="AE485" s="54" t="e">
        <f t="shared" si="71"/>
        <v>#N/A</v>
      </c>
      <c r="AF485" s="4" t="e">
        <f t="shared" si="67"/>
        <v>#N/A</v>
      </c>
    </row>
    <row r="486" spans="2:32">
      <c r="B486" s="5">
        <f t="shared" si="72"/>
        <v>474</v>
      </c>
      <c r="C486" s="5"/>
      <c r="E486" s="13"/>
      <c r="F486" s="5"/>
      <c r="G486" s="11" t="str">
        <f>IF(ISERROR(AVERAGE(F$13:F486)),"n/a",AVERAGE(F$13:F486))</f>
        <v>n/a</v>
      </c>
      <c r="H486" s="11" t="str">
        <f t="shared" si="68"/>
        <v>n/a</v>
      </c>
      <c r="J486" s="5"/>
      <c r="K486" s="5"/>
      <c r="L486" s="5"/>
      <c r="M486" s="5"/>
      <c r="N486" s="5"/>
      <c r="O486" s="8" t="str">
        <f t="shared" si="66"/>
        <v>n/a</v>
      </c>
      <c r="Q486" s="5"/>
      <c r="R486" s="5"/>
      <c r="S486" s="5"/>
      <c r="U486" s="6"/>
      <c r="V486" s="9" t="str">
        <f t="shared" si="69"/>
        <v/>
      </c>
      <c r="W486" s="9" t="str">
        <f t="shared" si="70"/>
        <v/>
      </c>
      <c r="X486" s="10">
        <f>SUM(V$13:V486)/COUNTA(B$13:B486)</f>
        <v>0</v>
      </c>
      <c r="Z486" s="5"/>
      <c r="AA486" s="5"/>
      <c r="AC486" s="7"/>
      <c r="AE486" s="54" t="e">
        <f t="shared" si="71"/>
        <v>#N/A</v>
      </c>
      <c r="AF486" s="4" t="e">
        <f t="shared" si="67"/>
        <v>#N/A</v>
      </c>
    </row>
    <row r="487" spans="2:32">
      <c r="B487" s="5">
        <f t="shared" si="72"/>
        <v>475</v>
      </c>
      <c r="C487" s="5"/>
      <c r="E487" s="13"/>
      <c r="F487" s="5"/>
      <c r="G487" s="11" t="str">
        <f>IF(ISERROR(AVERAGE(F$13:F487)),"n/a",AVERAGE(F$13:F487))</f>
        <v>n/a</v>
      </c>
      <c r="H487" s="11" t="str">
        <f t="shared" si="68"/>
        <v>n/a</v>
      </c>
      <c r="J487" s="5"/>
      <c r="K487" s="5"/>
      <c r="L487" s="5"/>
      <c r="M487" s="5"/>
      <c r="N487" s="5"/>
      <c r="O487" s="8" t="str">
        <f t="shared" si="66"/>
        <v>n/a</v>
      </c>
      <c r="Q487" s="5"/>
      <c r="R487" s="5"/>
      <c r="S487" s="5"/>
      <c r="U487" s="6"/>
      <c r="V487" s="9" t="str">
        <f t="shared" si="69"/>
        <v/>
      </c>
      <c r="W487" s="9" t="str">
        <f t="shared" si="70"/>
        <v/>
      </c>
      <c r="X487" s="10">
        <f>SUM(V$13:V487)/COUNTA(B$13:B487)</f>
        <v>0</v>
      </c>
      <c r="Z487" s="5"/>
      <c r="AA487" s="5"/>
      <c r="AC487" s="7"/>
      <c r="AE487" s="54" t="e">
        <f t="shared" si="71"/>
        <v>#N/A</v>
      </c>
      <c r="AF487" s="4" t="e">
        <f t="shared" si="67"/>
        <v>#N/A</v>
      </c>
    </row>
    <row r="488" spans="2:32">
      <c r="B488" s="5">
        <f t="shared" si="72"/>
        <v>476</v>
      </c>
      <c r="C488" s="5"/>
      <c r="E488" s="13"/>
      <c r="F488" s="5"/>
      <c r="G488" s="11" t="str">
        <f>IF(ISERROR(AVERAGE(F$13:F488)),"n/a",AVERAGE(F$13:F488))</f>
        <v>n/a</v>
      </c>
      <c r="H488" s="11" t="str">
        <f t="shared" si="68"/>
        <v>n/a</v>
      </c>
      <c r="J488" s="5"/>
      <c r="K488" s="5"/>
      <c r="L488" s="5"/>
      <c r="M488" s="5"/>
      <c r="N488" s="5"/>
      <c r="O488" s="8" t="str">
        <f t="shared" si="66"/>
        <v>n/a</v>
      </c>
      <c r="Q488" s="5"/>
      <c r="R488" s="5"/>
      <c r="S488" s="5"/>
      <c r="U488" s="6"/>
      <c r="V488" s="9" t="str">
        <f t="shared" si="69"/>
        <v/>
      </c>
      <c r="W488" s="9" t="str">
        <f t="shared" si="70"/>
        <v/>
      </c>
      <c r="X488" s="10">
        <f>SUM(V$13:V488)/COUNTA(B$13:B488)</f>
        <v>0</v>
      </c>
      <c r="Z488" s="5"/>
      <c r="AA488" s="5"/>
      <c r="AC488" s="7"/>
      <c r="AE488" s="54" t="e">
        <f t="shared" si="71"/>
        <v>#N/A</v>
      </c>
      <c r="AF488" s="4" t="e">
        <f t="shared" si="67"/>
        <v>#N/A</v>
      </c>
    </row>
    <row r="489" spans="2:32">
      <c r="B489" s="5">
        <f t="shared" si="72"/>
        <v>477</v>
      </c>
      <c r="C489" s="5"/>
      <c r="E489" s="13"/>
      <c r="F489" s="5"/>
      <c r="G489" s="11" t="str">
        <f>IF(ISERROR(AVERAGE(F$13:F489)),"n/a",AVERAGE(F$13:F489))</f>
        <v>n/a</v>
      </c>
      <c r="H489" s="11" t="str">
        <f t="shared" si="68"/>
        <v>n/a</v>
      </c>
      <c r="J489" s="5"/>
      <c r="K489" s="5"/>
      <c r="L489" s="5"/>
      <c r="M489" s="5"/>
      <c r="N489" s="5"/>
      <c r="O489" s="8" t="str">
        <f t="shared" si="66"/>
        <v>n/a</v>
      </c>
      <c r="Q489" s="5"/>
      <c r="R489" s="5"/>
      <c r="S489" s="5"/>
      <c r="U489" s="6"/>
      <c r="V489" s="9" t="str">
        <f t="shared" si="69"/>
        <v/>
      </c>
      <c r="W489" s="9" t="str">
        <f t="shared" si="70"/>
        <v/>
      </c>
      <c r="X489" s="10">
        <f>SUM(V$13:V489)/COUNTA(B$13:B489)</f>
        <v>0</v>
      </c>
      <c r="Z489" s="5"/>
      <c r="AA489" s="5"/>
      <c r="AC489" s="7"/>
      <c r="AE489" s="54" t="e">
        <f t="shared" si="71"/>
        <v>#N/A</v>
      </c>
      <c r="AF489" s="4" t="e">
        <f t="shared" si="67"/>
        <v>#N/A</v>
      </c>
    </row>
    <row r="490" spans="2:32">
      <c r="B490" s="5">
        <f t="shared" si="72"/>
        <v>478</v>
      </c>
      <c r="C490" s="5"/>
      <c r="E490" s="13"/>
      <c r="F490" s="5"/>
      <c r="G490" s="11" t="str">
        <f>IF(ISERROR(AVERAGE(F$13:F490)),"n/a",AVERAGE(F$13:F490))</f>
        <v>n/a</v>
      </c>
      <c r="H490" s="11" t="str">
        <f t="shared" si="68"/>
        <v>n/a</v>
      </c>
      <c r="J490" s="5"/>
      <c r="K490" s="5"/>
      <c r="L490" s="5"/>
      <c r="M490" s="5"/>
      <c r="N490" s="5"/>
      <c r="O490" s="8" t="str">
        <f t="shared" si="66"/>
        <v>n/a</v>
      </c>
      <c r="Q490" s="5"/>
      <c r="R490" s="5"/>
      <c r="S490" s="5"/>
      <c r="U490" s="6"/>
      <c r="V490" s="9" t="str">
        <f t="shared" si="69"/>
        <v/>
      </c>
      <c r="W490" s="9" t="str">
        <f t="shared" si="70"/>
        <v/>
      </c>
      <c r="X490" s="10">
        <f>SUM(V$13:V490)/COUNTA(B$13:B490)</f>
        <v>0</v>
      </c>
      <c r="Z490" s="5"/>
      <c r="AA490" s="5"/>
      <c r="AC490" s="7"/>
      <c r="AE490" s="54" t="e">
        <f t="shared" si="71"/>
        <v>#N/A</v>
      </c>
      <c r="AF490" s="4" t="e">
        <f t="shared" si="67"/>
        <v>#N/A</v>
      </c>
    </row>
    <row r="491" spans="2:32">
      <c r="B491" s="5">
        <f t="shared" si="72"/>
        <v>479</v>
      </c>
      <c r="C491" s="5"/>
      <c r="E491" s="13"/>
      <c r="F491" s="5"/>
      <c r="G491" s="11" t="str">
        <f>IF(ISERROR(AVERAGE(F$13:F491)),"n/a",AVERAGE(F$13:F491))</f>
        <v>n/a</v>
      </c>
      <c r="H491" s="11" t="str">
        <f t="shared" si="68"/>
        <v>n/a</v>
      </c>
      <c r="J491" s="5"/>
      <c r="K491" s="5"/>
      <c r="L491" s="5"/>
      <c r="M491" s="5"/>
      <c r="N491" s="5"/>
      <c r="O491" s="8" t="str">
        <f t="shared" si="66"/>
        <v>n/a</v>
      </c>
      <c r="Q491" s="5"/>
      <c r="R491" s="5"/>
      <c r="S491" s="5"/>
      <c r="U491" s="6"/>
      <c r="V491" s="9" t="str">
        <f t="shared" si="69"/>
        <v/>
      </c>
      <c r="W491" s="9" t="str">
        <f t="shared" si="70"/>
        <v/>
      </c>
      <c r="X491" s="10">
        <f>SUM(V$13:V491)/COUNTA(B$13:B491)</f>
        <v>0</v>
      </c>
      <c r="Z491" s="5"/>
      <c r="AA491" s="5"/>
      <c r="AC491" s="7"/>
      <c r="AE491" s="54" t="e">
        <f t="shared" si="71"/>
        <v>#N/A</v>
      </c>
      <c r="AF491" s="4" t="e">
        <f t="shared" si="67"/>
        <v>#N/A</v>
      </c>
    </row>
    <row r="492" spans="2:32">
      <c r="B492" s="5">
        <f t="shared" si="72"/>
        <v>480</v>
      </c>
      <c r="C492" s="5"/>
      <c r="E492" s="13"/>
      <c r="F492" s="5"/>
      <c r="G492" s="11" t="str">
        <f>IF(ISERROR(AVERAGE(F$13:F492)),"n/a",AVERAGE(F$13:F492))</f>
        <v>n/a</v>
      </c>
      <c r="H492" s="11" t="str">
        <f t="shared" si="68"/>
        <v>n/a</v>
      </c>
      <c r="J492" s="5"/>
      <c r="K492" s="5"/>
      <c r="L492" s="5"/>
      <c r="M492" s="5"/>
      <c r="N492" s="5"/>
      <c r="O492" s="8" t="str">
        <f t="shared" si="66"/>
        <v>n/a</v>
      </c>
      <c r="Q492" s="5"/>
      <c r="R492" s="5"/>
      <c r="S492" s="5"/>
      <c r="U492" s="6"/>
      <c r="V492" s="9" t="str">
        <f t="shared" si="69"/>
        <v/>
      </c>
      <c r="W492" s="9" t="str">
        <f t="shared" si="70"/>
        <v/>
      </c>
      <c r="X492" s="10">
        <f>SUM(V$13:V492)/COUNTA(B$13:B492)</f>
        <v>0</v>
      </c>
      <c r="Z492" s="5"/>
      <c r="AA492" s="5"/>
      <c r="AC492" s="7"/>
      <c r="AE492" s="54" t="e">
        <f t="shared" si="71"/>
        <v>#N/A</v>
      </c>
      <c r="AF492" s="4" t="e">
        <f t="shared" si="67"/>
        <v>#N/A</v>
      </c>
    </row>
    <row r="493" spans="2:32">
      <c r="B493" s="5">
        <f t="shared" si="72"/>
        <v>481</v>
      </c>
      <c r="C493" s="5"/>
      <c r="E493" s="13"/>
      <c r="F493" s="5"/>
      <c r="G493" s="11" t="str">
        <f>IF(ISERROR(AVERAGE(F$13:F493)),"n/a",AVERAGE(F$13:F493))</f>
        <v>n/a</v>
      </c>
      <c r="H493" s="11" t="str">
        <f t="shared" si="68"/>
        <v>n/a</v>
      </c>
      <c r="J493" s="5"/>
      <c r="K493" s="5"/>
      <c r="L493" s="5"/>
      <c r="M493" s="5"/>
      <c r="N493" s="5"/>
      <c r="O493" s="8" t="str">
        <f t="shared" si="66"/>
        <v>n/a</v>
      </c>
      <c r="Q493" s="5"/>
      <c r="R493" s="5"/>
      <c r="S493" s="5"/>
      <c r="U493" s="6"/>
      <c r="V493" s="9" t="str">
        <f t="shared" si="69"/>
        <v/>
      </c>
      <c r="W493" s="9" t="str">
        <f t="shared" si="70"/>
        <v/>
      </c>
      <c r="X493" s="10">
        <f>SUM(V$13:V493)/COUNTA(B$13:B493)</f>
        <v>0</v>
      </c>
      <c r="Z493" s="5"/>
      <c r="AA493" s="5"/>
      <c r="AC493" s="7"/>
      <c r="AE493" s="54" t="e">
        <f t="shared" si="71"/>
        <v>#N/A</v>
      </c>
      <c r="AF493" s="4" t="e">
        <f t="shared" si="67"/>
        <v>#N/A</v>
      </c>
    </row>
    <row r="494" spans="2:32">
      <c r="B494" s="5">
        <f t="shared" si="72"/>
        <v>482</v>
      </c>
      <c r="C494" s="5"/>
      <c r="E494" s="13"/>
      <c r="F494" s="5"/>
      <c r="G494" s="11" t="str">
        <f>IF(ISERROR(AVERAGE(F$13:F494)),"n/a",AVERAGE(F$13:F494))</f>
        <v>n/a</v>
      </c>
      <c r="H494" s="11" t="str">
        <f t="shared" si="68"/>
        <v>n/a</v>
      </c>
      <c r="J494" s="5"/>
      <c r="K494" s="5"/>
      <c r="L494" s="5"/>
      <c r="M494" s="5"/>
      <c r="N494" s="5"/>
      <c r="O494" s="8" t="str">
        <f t="shared" si="66"/>
        <v>n/a</v>
      </c>
      <c r="Q494" s="5"/>
      <c r="R494" s="5"/>
      <c r="S494" s="5"/>
      <c r="U494" s="6"/>
      <c r="V494" s="9" t="str">
        <f t="shared" si="69"/>
        <v/>
      </c>
      <c r="W494" s="9" t="str">
        <f t="shared" si="70"/>
        <v/>
      </c>
      <c r="X494" s="10">
        <f>SUM(V$13:V494)/COUNTA(B$13:B494)</f>
        <v>0</v>
      </c>
      <c r="Z494" s="5"/>
      <c r="AA494" s="5"/>
      <c r="AC494" s="7"/>
      <c r="AE494" s="54" t="e">
        <f t="shared" si="71"/>
        <v>#N/A</v>
      </c>
      <c r="AF494" s="4" t="e">
        <f t="shared" si="67"/>
        <v>#N/A</v>
      </c>
    </row>
    <row r="495" spans="2:32">
      <c r="B495" s="5">
        <f t="shared" si="72"/>
        <v>483</v>
      </c>
      <c r="C495" s="5"/>
      <c r="E495" s="13"/>
      <c r="F495" s="5"/>
      <c r="G495" s="11" t="str">
        <f>IF(ISERROR(AVERAGE(F$13:F495)),"n/a",AVERAGE(F$13:F495))</f>
        <v>n/a</v>
      </c>
      <c r="H495" s="11" t="str">
        <f t="shared" si="68"/>
        <v>n/a</v>
      </c>
      <c r="J495" s="5"/>
      <c r="K495" s="5"/>
      <c r="L495" s="5"/>
      <c r="M495" s="5"/>
      <c r="N495" s="5"/>
      <c r="O495" s="8" t="str">
        <f t="shared" si="66"/>
        <v>n/a</v>
      </c>
      <c r="Q495" s="5"/>
      <c r="R495" s="5"/>
      <c r="S495" s="5"/>
      <c r="U495" s="6"/>
      <c r="V495" s="9" t="str">
        <f t="shared" si="69"/>
        <v/>
      </c>
      <c r="W495" s="9" t="str">
        <f t="shared" si="70"/>
        <v/>
      </c>
      <c r="X495" s="10">
        <f>SUM(V$13:V495)/COUNTA(B$13:B495)</f>
        <v>0</v>
      </c>
      <c r="Z495" s="5"/>
      <c r="AA495" s="5"/>
      <c r="AC495" s="7"/>
      <c r="AE495" s="54" t="e">
        <f t="shared" si="71"/>
        <v>#N/A</v>
      </c>
      <c r="AF495" s="4" t="e">
        <f t="shared" si="67"/>
        <v>#N/A</v>
      </c>
    </row>
    <row r="496" spans="2:32">
      <c r="B496" s="5">
        <f t="shared" si="72"/>
        <v>484</v>
      </c>
      <c r="C496" s="5"/>
      <c r="E496" s="13"/>
      <c r="F496" s="5"/>
      <c r="G496" s="11" t="str">
        <f>IF(ISERROR(AVERAGE(F$13:F496)),"n/a",AVERAGE(F$13:F496))</f>
        <v>n/a</v>
      </c>
      <c r="H496" s="11" t="str">
        <f t="shared" si="68"/>
        <v>n/a</v>
      </c>
      <c r="J496" s="5"/>
      <c r="K496" s="5"/>
      <c r="L496" s="5"/>
      <c r="M496" s="5"/>
      <c r="N496" s="5"/>
      <c r="O496" s="8" t="str">
        <f t="shared" si="66"/>
        <v>n/a</v>
      </c>
      <c r="Q496" s="5"/>
      <c r="R496" s="5"/>
      <c r="S496" s="5"/>
      <c r="U496" s="6"/>
      <c r="V496" s="9" t="str">
        <f t="shared" si="69"/>
        <v/>
      </c>
      <c r="W496" s="9" t="str">
        <f t="shared" si="70"/>
        <v/>
      </c>
      <c r="X496" s="10">
        <f>SUM(V$13:V496)/COUNTA(B$13:B496)</f>
        <v>0</v>
      </c>
      <c r="Z496" s="5"/>
      <c r="AA496" s="5"/>
      <c r="AC496" s="7"/>
      <c r="AE496" s="54" t="e">
        <f t="shared" si="71"/>
        <v>#N/A</v>
      </c>
      <c r="AF496" s="4" t="e">
        <f t="shared" si="67"/>
        <v>#N/A</v>
      </c>
    </row>
    <row r="497" spans="2:32">
      <c r="B497" s="5">
        <f t="shared" si="72"/>
        <v>485</v>
      </c>
      <c r="C497" s="5"/>
      <c r="E497" s="13"/>
      <c r="F497" s="5"/>
      <c r="G497" s="11" t="str">
        <f>IF(ISERROR(AVERAGE(F$13:F497)),"n/a",AVERAGE(F$13:F497))</f>
        <v>n/a</v>
      </c>
      <c r="H497" s="11" t="str">
        <f t="shared" si="68"/>
        <v>n/a</v>
      </c>
      <c r="J497" s="5"/>
      <c r="K497" s="5"/>
      <c r="L497" s="5"/>
      <c r="M497" s="5"/>
      <c r="N497" s="5"/>
      <c r="O497" s="8" t="str">
        <f t="shared" si="66"/>
        <v>n/a</v>
      </c>
      <c r="Q497" s="5"/>
      <c r="R497" s="5"/>
      <c r="S497" s="5"/>
      <c r="U497" s="6"/>
      <c r="V497" s="9" t="str">
        <f t="shared" si="69"/>
        <v/>
      </c>
      <c r="W497" s="9" t="str">
        <f t="shared" si="70"/>
        <v/>
      </c>
      <c r="X497" s="10">
        <f>SUM(V$13:V497)/COUNTA(B$13:B497)</f>
        <v>0</v>
      </c>
      <c r="Z497" s="5"/>
      <c r="AA497" s="5"/>
      <c r="AC497" s="7"/>
      <c r="AE497" s="54" t="e">
        <f t="shared" si="71"/>
        <v>#N/A</v>
      </c>
      <c r="AF497" s="4" t="e">
        <f t="shared" si="67"/>
        <v>#N/A</v>
      </c>
    </row>
    <row r="498" spans="2:32">
      <c r="B498" s="5">
        <f t="shared" si="72"/>
        <v>486</v>
      </c>
      <c r="C498" s="5"/>
      <c r="E498" s="13"/>
      <c r="F498" s="5"/>
      <c r="G498" s="11" t="str">
        <f>IF(ISERROR(AVERAGE(F$13:F498)),"n/a",AVERAGE(F$13:F498))</f>
        <v>n/a</v>
      </c>
      <c r="H498" s="11" t="str">
        <f t="shared" si="68"/>
        <v>n/a</v>
      </c>
      <c r="J498" s="5"/>
      <c r="K498" s="5"/>
      <c r="L498" s="5"/>
      <c r="M498" s="5"/>
      <c r="N498" s="5"/>
      <c r="O498" s="8" t="str">
        <f t="shared" si="66"/>
        <v>n/a</v>
      </c>
      <c r="Q498" s="5"/>
      <c r="R498" s="5"/>
      <c r="S498" s="5"/>
      <c r="U498" s="6"/>
      <c r="V498" s="9" t="str">
        <f t="shared" si="69"/>
        <v/>
      </c>
      <c r="W498" s="9" t="str">
        <f t="shared" si="70"/>
        <v/>
      </c>
      <c r="X498" s="10">
        <f>SUM(V$13:V498)/COUNTA(B$13:B498)</f>
        <v>0</v>
      </c>
      <c r="Z498" s="5"/>
      <c r="AA498" s="5"/>
      <c r="AC498" s="7"/>
      <c r="AE498" s="54" t="e">
        <f t="shared" si="71"/>
        <v>#N/A</v>
      </c>
      <c r="AF498" s="4" t="e">
        <f t="shared" si="67"/>
        <v>#N/A</v>
      </c>
    </row>
    <row r="499" spans="2:32">
      <c r="B499" s="5">
        <f t="shared" si="72"/>
        <v>487</v>
      </c>
      <c r="C499" s="5"/>
      <c r="E499" s="13"/>
      <c r="F499" s="5"/>
      <c r="G499" s="11" t="str">
        <f>IF(ISERROR(AVERAGE(F$13:F499)),"n/a",AVERAGE(F$13:F499))</f>
        <v>n/a</v>
      </c>
      <c r="H499" s="11" t="str">
        <f t="shared" si="68"/>
        <v>n/a</v>
      </c>
      <c r="J499" s="5"/>
      <c r="K499" s="5"/>
      <c r="L499" s="5"/>
      <c r="M499" s="5"/>
      <c r="N499" s="5"/>
      <c r="O499" s="8" t="str">
        <f t="shared" si="66"/>
        <v>n/a</v>
      </c>
      <c r="Q499" s="5"/>
      <c r="R499" s="5"/>
      <c r="S499" s="5"/>
      <c r="U499" s="6"/>
      <c r="V499" s="9" t="str">
        <f t="shared" si="69"/>
        <v/>
      </c>
      <c r="W499" s="9" t="str">
        <f t="shared" si="70"/>
        <v/>
      </c>
      <c r="X499" s="10">
        <f>SUM(V$13:V499)/COUNTA(B$13:B499)</f>
        <v>0</v>
      </c>
      <c r="Z499" s="5"/>
      <c r="AA499" s="5"/>
      <c r="AC499" s="7"/>
      <c r="AE499" s="54" t="e">
        <f t="shared" si="71"/>
        <v>#N/A</v>
      </c>
      <c r="AF499" s="4" t="e">
        <f t="shared" si="67"/>
        <v>#N/A</v>
      </c>
    </row>
    <row r="500" spans="2:32">
      <c r="B500" s="5">
        <f t="shared" si="72"/>
        <v>488</v>
      </c>
      <c r="C500" s="5"/>
      <c r="E500" s="13"/>
      <c r="F500" s="5"/>
      <c r="G500" s="11" t="str">
        <f>IF(ISERROR(AVERAGE(F$13:F500)),"n/a",AVERAGE(F$13:F500))</f>
        <v>n/a</v>
      </c>
      <c r="H500" s="11" t="str">
        <f t="shared" si="68"/>
        <v>n/a</v>
      </c>
      <c r="J500" s="5"/>
      <c r="K500" s="5"/>
      <c r="L500" s="5"/>
      <c r="M500" s="5"/>
      <c r="N500" s="5"/>
      <c r="O500" s="8" t="str">
        <f t="shared" si="66"/>
        <v>n/a</v>
      </c>
      <c r="Q500" s="5"/>
      <c r="R500" s="5"/>
      <c r="S500" s="5"/>
      <c r="U500" s="6"/>
      <c r="V500" s="9" t="str">
        <f t="shared" si="69"/>
        <v/>
      </c>
      <c r="W500" s="9" t="str">
        <f t="shared" si="70"/>
        <v/>
      </c>
      <c r="X500" s="10">
        <f>SUM(V$13:V500)/COUNTA(B$13:B500)</f>
        <v>0</v>
      </c>
      <c r="Z500" s="5"/>
      <c r="AA500" s="5"/>
      <c r="AC500" s="7"/>
      <c r="AE500" s="54" t="e">
        <f t="shared" si="71"/>
        <v>#N/A</v>
      </c>
      <c r="AF500" s="4" t="e">
        <f t="shared" si="67"/>
        <v>#N/A</v>
      </c>
    </row>
    <row r="501" spans="2:32">
      <c r="B501" s="5">
        <f t="shared" si="72"/>
        <v>489</v>
      </c>
      <c r="C501" s="5"/>
      <c r="E501" s="13"/>
      <c r="F501" s="5"/>
      <c r="G501" s="11" t="str">
        <f>IF(ISERROR(AVERAGE(F$13:F501)),"n/a",AVERAGE(F$13:F501))</f>
        <v>n/a</v>
      </c>
      <c r="H501" s="11" t="str">
        <f t="shared" si="68"/>
        <v>n/a</v>
      </c>
      <c r="J501" s="5"/>
      <c r="K501" s="5"/>
      <c r="L501" s="5"/>
      <c r="M501" s="5"/>
      <c r="N501" s="5"/>
      <c r="O501" s="8" t="str">
        <f t="shared" si="66"/>
        <v>n/a</v>
      </c>
      <c r="Q501" s="5"/>
      <c r="R501" s="5"/>
      <c r="S501" s="5"/>
      <c r="U501" s="6"/>
      <c r="V501" s="9" t="str">
        <f t="shared" si="69"/>
        <v/>
      </c>
      <c r="W501" s="9" t="str">
        <f t="shared" si="70"/>
        <v/>
      </c>
      <c r="X501" s="10">
        <f>SUM(V$13:V501)/COUNTA(B$13:B501)</f>
        <v>0</v>
      </c>
      <c r="Z501" s="5"/>
      <c r="AA501" s="5"/>
      <c r="AC501" s="7"/>
      <c r="AE501" s="54" t="e">
        <f t="shared" si="71"/>
        <v>#N/A</v>
      </c>
      <c r="AF501" s="4" t="e">
        <f t="shared" si="67"/>
        <v>#N/A</v>
      </c>
    </row>
    <row r="502" spans="2:32">
      <c r="B502" s="5">
        <f t="shared" si="72"/>
        <v>490</v>
      </c>
      <c r="C502" s="5"/>
      <c r="E502" s="13"/>
      <c r="F502" s="5"/>
      <c r="G502" s="11" t="str">
        <f>IF(ISERROR(AVERAGE(F$13:F502)),"n/a",AVERAGE(F$13:F502))</f>
        <v>n/a</v>
      </c>
      <c r="H502" s="11" t="str">
        <f t="shared" si="68"/>
        <v>n/a</v>
      </c>
      <c r="J502" s="5"/>
      <c r="K502" s="5"/>
      <c r="L502" s="5"/>
      <c r="M502" s="5"/>
      <c r="N502" s="5"/>
      <c r="O502" s="8" t="str">
        <f t="shared" si="66"/>
        <v>n/a</v>
      </c>
      <c r="Q502" s="5"/>
      <c r="R502" s="5"/>
      <c r="S502" s="5"/>
      <c r="U502" s="6"/>
      <c r="V502" s="9" t="str">
        <f t="shared" si="69"/>
        <v/>
      </c>
      <c r="W502" s="9" t="str">
        <f t="shared" si="70"/>
        <v/>
      </c>
      <c r="X502" s="10">
        <f>SUM(V$13:V502)/COUNTA(B$13:B502)</f>
        <v>0</v>
      </c>
      <c r="Z502" s="5"/>
      <c r="AA502" s="5"/>
      <c r="AC502" s="7"/>
      <c r="AE502" s="54" t="e">
        <f t="shared" si="71"/>
        <v>#N/A</v>
      </c>
      <c r="AF502" s="4" t="e">
        <f t="shared" si="67"/>
        <v>#N/A</v>
      </c>
    </row>
    <row r="503" spans="2:32">
      <c r="B503" s="5">
        <f t="shared" si="72"/>
        <v>491</v>
      </c>
      <c r="C503" s="5"/>
      <c r="E503" s="13"/>
      <c r="F503" s="5"/>
      <c r="G503" s="11" t="str">
        <f>IF(ISERROR(AVERAGE(F$13:F503)),"n/a",AVERAGE(F$13:F503))</f>
        <v>n/a</v>
      </c>
      <c r="H503" s="11" t="str">
        <f t="shared" si="68"/>
        <v>n/a</v>
      </c>
      <c r="J503" s="5"/>
      <c r="K503" s="5"/>
      <c r="L503" s="5"/>
      <c r="M503" s="5"/>
      <c r="N503" s="5"/>
      <c r="O503" s="8" t="str">
        <f t="shared" si="66"/>
        <v>n/a</v>
      </c>
      <c r="Q503" s="5"/>
      <c r="R503" s="5"/>
      <c r="S503" s="5"/>
      <c r="U503" s="6"/>
      <c r="V503" s="9" t="str">
        <f t="shared" si="69"/>
        <v/>
      </c>
      <c r="W503" s="9" t="str">
        <f t="shared" si="70"/>
        <v/>
      </c>
      <c r="X503" s="10">
        <f>SUM(V$13:V503)/COUNTA(B$13:B503)</f>
        <v>0</v>
      </c>
      <c r="Z503" s="5"/>
      <c r="AA503" s="5"/>
      <c r="AC503" s="7"/>
      <c r="AE503" s="54" t="e">
        <f t="shared" si="71"/>
        <v>#N/A</v>
      </c>
      <c r="AF503" s="4" t="e">
        <f t="shared" si="67"/>
        <v>#N/A</v>
      </c>
    </row>
    <row r="504" spans="2:32">
      <c r="B504" s="5">
        <f t="shared" si="72"/>
        <v>492</v>
      </c>
      <c r="C504" s="5"/>
      <c r="E504" s="13"/>
      <c r="F504" s="5"/>
      <c r="G504" s="11" t="str">
        <f>IF(ISERROR(AVERAGE(F$13:F504)),"n/a",AVERAGE(F$13:F504))</f>
        <v>n/a</v>
      </c>
      <c r="H504" s="11" t="str">
        <f t="shared" si="68"/>
        <v>n/a</v>
      </c>
      <c r="J504" s="5"/>
      <c r="K504" s="5"/>
      <c r="L504" s="5"/>
      <c r="M504" s="5"/>
      <c r="N504" s="5"/>
      <c r="O504" s="8" t="str">
        <f t="shared" si="66"/>
        <v>n/a</v>
      </c>
      <c r="Q504" s="5"/>
      <c r="R504" s="5"/>
      <c r="S504" s="5"/>
      <c r="U504" s="6"/>
      <c r="V504" s="9" t="str">
        <f t="shared" si="69"/>
        <v/>
      </c>
      <c r="W504" s="9" t="str">
        <f t="shared" si="70"/>
        <v/>
      </c>
      <c r="X504" s="10">
        <f>SUM(V$13:V504)/COUNTA(B$13:B504)</f>
        <v>0</v>
      </c>
      <c r="Z504" s="5"/>
      <c r="AA504" s="5"/>
      <c r="AC504" s="7"/>
      <c r="AE504" s="54" t="e">
        <f t="shared" si="71"/>
        <v>#N/A</v>
      </c>
      <c r="AF504" s="4" t="e">
        <f t="shared" si="67"/>
        <v>#N/A</v>
      </c>
    </row>
    <row r="505" spans="2:32">
      <c r="B505" s="5">
        <f t="shared" si="72"/>
        <v>493</v>
      </c>
      <c r="C505" s="5"/>
      <c r="E505" s="13"/>
      <c r="F505" s="5"/>
      <c r="G505" s="11" t="str">
        <f>IF(ISERROR(AVERAGE(F$13:F505)),"n/a",AVERAGE(F$13:F505))</f>
        <v>n/a</v>
      </c>
      <c r="H505" s="11" t="str">
        <f t="shared" si="68"/>
        <v>n/a</v>
      </c>
      <c r="J505" s="5"/>
      <c r="K505" s="5"/>
      <c r="L505" s="5"/>
      <c r="M505" s="5"/>
      <c r="N505" s="5"/>
      <c r="O505" s="8" t="str">
        <f t="shared" si="66"/>
        <v>n/a</v>
      </c>
      <c r="Q505" s="5"/>
      <c r="R505" s="5"/>
      <c r="S505" s="5"/>
      <c r="U505" s="6"/>
      <c r="V505" s="9" t="str">
        <f t="shared" si="69"/>
        <v/>
      </c>
      <c r="W505" s="9" t="str">
        <f t="shared" si="70"/>
        <v/>
      </c>
      <c r="X505" s="10">
        <f>SUM(V$13:V505)/COUNTA(B$13:B505)</f>
        <v>0</v>
      </c>
      <c r="Z505" s="5"/>
      <c r="AA505" s="5"/>
      <c r="AC505" s="7"/>
      <c r="AE505" s="54" t="e">
        <f t="shared" si="71"/>
        <v>#N/A</v>
      </c>
      <c r="AF505" s="4" t="e">
        <f t="shared" si="67"/>
        <v>#N/A</v>
      </c>
    </row>
    <row r="506" spans="2:32">
      <c r="B506" s="5">
        <f t="shared" si="72"/>
        <v>494</v>
      </c>
      <c r="C506" s="5"/>
      <c r="E506" s="13"/>
      <c r="F506" s="5"/>
      <c r="G506" s="11" t="str">
        <f>IF(ISERROR(AVERAGE(F$13:F506)),"n/a",AVERAGE(F$13:F506))</f>
        <v>n/a</v>
      </c>
      <c r="H506" s="11" t="str">
        <f t="shared" si="68"/>
        <v>n/a</v>
      </c>
      <c r="J506" s="5"/>
      <c r="K506" s="5"/>
      <c r="L506" s="5"/>
      <c r="M506" s="5"/>
      <c r="N506" s="5"/>
      <c r="O506" s="8" t="str">
        <f t="shared" si="66"/>
        <v>n/a</v>
      </c>
      <c r="Q506" s="5"/>
      <c r="R506" s="5"/>
      <c r="S506" s="5"/>
      <c r="U506" s="6"/>
      <c r="V506" s="9" t="str">
        <f t="shared" si="69"/>
        <v/>
      </c>
      <c r="W506" s="9" t="str">
        <f t="shared" si="70"/>
        <v/>
      </c>
      <c r="X506" s="10">
        <f>SUM(V$13:V506)/COUNTA(B$13:B506)</f>
        <v>0</v>
      </c>
      <c r="Z506" s="5"/>
      <c r="AA506" s="5"/>
      <c r="AC506" s="7"/>
      <c r="AE506" s="54" t="e">
        <f t="shared" si="71"/>
        <v>#N/A</v>
      </c>
      <c r="AF506" s="4" t="e">
        <f t="shared" si="67"/>
        <v>#N/A</v>
      </c>
    </row>
    <row r="507" spans="2:32">
      <c r="B507" s="5">
        <f t="shared" si="72"/>
        <v>495</v>
      </c>
      <c r="C507" s="5"/>
      <c r="E507" s="13"/>
      <c r="F507" s="5"/>
      <c r="G507" s="11" t="str">
        <f>IF(ISERROR(AVERAGE(F$13:F507)),"n/a",AVERAGE(F$13:F507))</f>
        <v>n/a</v>
      </c>
      <c r="H507" s="11" t="str">
        <f t="shared" si="68"/>
        <v>n/a</v>
      </c>
      <c r="J507" s="5"/>
      <c r="K507" s="5"/>
      <c r="L507" s="5"/>
      <c r="M507" s="5"/>
      <c r="N507" s="5"/>
      <c r="O507" s="8" t="str">
        <f t="shared" si="66"/>
        <v>n/a</v>
      </c>
      <c r="Q507" s="5"/>
      <c r="R507" s="5"/>
      <c r="S507" s="5"/>
      <c r="U507" s="6"/>
      <c r="V507" s="9" t="str">
        <f t="shared" si="69"/>
        <v/>
      </c>
      <c r="W507" s="9" t="str">
        <f t="shared" si="70"/>
        <v/>
      </c>
      <c r="X507" s="10">
        <f>SUM(V$13:V507)/COUNTA(B$13:B507)</f>
        <v>0</v>
      </c>
      <c r="Z507" s="5"/>
      <c r="AA507" s="5"/>
      <c r="AC507" s="7"/>
      <c r="AE507" s="54" t="e">
        <f t="shared" si="71"/>
        <v>#N/A</v>
      </c>
      <c r="AF507" s="4" t="e">
        <f t="shared" si="67"/>
        <v>#N/A</v>
      </c>
    </row>
    <row r="508" spans="2:32">
      <c r="B508" s="5">
        <f t="shared" si="72"/>
        <v>496</v>
      </c>
      <c r="C508" s="5"/>
      <c r="E508" s="13"/>
      <c r="F508" s="5"/>
      <c r="G508" s="11" t="str">
        <f>IF(ISERROR(AVERAGE(F$13:F508)),"n/a",AVERAGE(F$13:F508))</f>
        <v>n/a</v>
      </c>
      <c r="H508" s="11" t="str">
        <f t="shared" si="68"/>
        <v>n/a</v>
      </c>
      <c r="J508" s="5"/>
      <c r="K508" s="5"/>
      <c r="L508" s="5"/>
      <c r="M508" s="5"/>
      <c r="N508" s="5"/>
      <c r="O508" s="8" t="str">
        <f t="shared" si="66"/>
        <v>n/a</v>
      </c>
      <c r="Q508" s="5"/>
      <c r="R508" s="5"/>
      <c r="S508" s="5"/>
      <c r="U508" s="6"/>
      <c r="V508" s="9" t="str">
        <f t="shared" si="69"/>
        <v/>
      </c>
      <c r="W508" s="9" t="str">
        <f t="shared" si="70"/>
        <v/>
      </c>
      <c r="X508" s="10">
        <f>SUM(V$13:V508)/COUNTA(B$13:B508)</f>
        <v>0</v>
      </c>
      <c r="Z508" s="5"/>
      <c r="AA508" s="5"/>
      <c r="AC508" s="7"/>
      <c r="AE508" s="54" t="e">
        <f t="shared" si="71"/>
        <v>#N/A</v>
      </c>
      <c r="AF508" s="4" t="e">
        <f t="shared" si="67"/>
        <v>#N/A</v>
      </c>
    </row>
    <row r="509" spans="2:32">
      <c r="B509" s="5">
        <f t="shared" si="72"/>
        <v>497</v>
      </c>
      <c r="C509" s="5"/>
      <c r="E509" s="13"/>
      <c r="F509" s="5"/>
      <c r="G509" s="11" t="str">
        <f>IF(ISERROR(AVERAGE(F$13:F509)),"n/a",AVERAGE(F$13:F509))</f>
        <v>n/a</v>
      </c>
      <c r="H509" s="11" t="str">
        <f t="shared" si="68"/>
        <v>n/a</v>
      </c>
      <c r="J509" s="5"/>
      <c r="K509" s="5"/>
      <c r="L509" s="5"/>
      <c r="M509" s="5"/>
      <c r="N509" s="5"/>
      <c r="O509" s="8" t="str">
        <f t="shared" si="66"/>
        <v>n/a</v>
      </c>
      <c r="Q509" s="5"/>
      <c r="R509" s="5"/>
      <c r="S509" s="5"/>
      <c r="U509" s="6"/>
      <c r="V509" s="9" t="str">
        <f t="shared" si="69"/>
        <v/>
      </c>
      <c r="W509" s="9" t="str">
        <f t="shared" si="70"/>
        <v/>
      </c>
      <c r="X509" s="10">
        <f>SUM(V$13:V509)/COUNTA(B$13:B509)</f>
        <v>0</v>
      </c>
      <c r="Z509" s="5"/>
      <c r="AA509" s="5"/>
      <c r="AC509" s="7"/>
      <c r="AE509" s="54" t="e">
        <f t="shared" si="71"/>
        <v>#N/A</v>
      </c>
      <c r="AF509" s="4" t="e">
        <f t="shared" si="67"/>
        <v>#N/A</v>
      </c>
    </row>
    <row r="510" spans="2:32">
      <c r="B510" s="5">
        <f t="shared" si="72"/>
        <v>498</v>
      </c>
      <c r="C510" s="5"/>
      <c r="E510" s="13"/>
      <c r="F510" s="5"/>
      <c r="G510" s="11" t="str">
        <f>IF(ISERROR(AVERAGE(F$13:F510)),"n/a",AVERAGE(F$13:F510))</f>
        <v>n/a</v>
      </c>
      <c r="H510" s="11" t="str">
        <f t="shared" si="68"/>
        <v>n/a</v>
      </c>
      <c r="J510" s="5"/>
      <c r="K510" s="5"/>
      <c r="L510" s="5"/>
      <c r="M510" s="5"/>
      <c r="N510" s="5"/>
      <c r="O510" s="8" t="str">
        <f t="shared" si="66"/>
        <v>n/a</v>
      </c>
      <c r="Q510" s="5"/>
      <c r="R510" s="5"/>
      <c r="S510" s="5"/>
      <c r="U510" s="6"/>
      <c r="V510" s="9" t="str">
        <f t="shared" si="69"/>
        <v/>
      </c>
      <c r="W510" s="9" t="str">
        <f t="shared" si="70"/>
        <v/>
      </c>
      <c r="X510" s="10">
        <f>SUM(V$13:V510)/COUNTA(B$13:B510)</f>
        <v>0</v>
      </c>
      <c r="Z510" s="5"/>
      <c r="AA510" s="5"/>
      <c r="AC510" s="7"/>
      <c r="AE510" s="54" t="e">
        <f t="shared" si="71"/>
        <v>#N/A</v>
      </c>
      <c r="AF510" s="4" t="e">
        <f t="shared" si="67"/>
        <v>#N/A</v>
      </c>
    </row>
    <row r="511" spans="2:32">
      <c r="B511" s="5">
        <f t="shared" si="72"/>
        <v>499</v>
      </c>
      <c r="C511" s="5"/>
      <c r="E511" s="13"/>
      <c r="F511" s="5"/>
      <c r="G511" s="11" t="str">
        <f>IF(ISERROR(AVERAGE(F$13:F511)),"n/a",AVERAGE(F$13:F511))</f>
        <v>n/a</v>
      </c>
      <c r="H511" s="11" t="str">
        <f t="shared" si="68"/>
        <v>n/a</v>
      </c>
      <c r="J511" s="5"/>
      <c r="K511" s="5"/>
      <c r="L511" s="5"/>
      <c r="M511" s="5"/>
      <c r="N511" s="5"/>
      <c r="O511" s="8" t="str">
        <f t="shared" si="66"/>
        <v>n/a</v>
      </c>
      <c r="Q511" s="5"/>
      <c r="R511" s="5"/>
      <c r="S511" s="5"/>
      <c r="U511" s="6"/>
      <c r="V511" s="9" t="str">
        <f t="shared" si="69"/>
        <v/>
      </c>
      <c r="W511" s="9" t="str">
        <f t="shared" si="70"/>
        <v/>
      </c>
      <c r="X511" s="10">
        <f>SUM(V$13:V511)/COUNTA(B$13:B511)</f>
        <v>0</v>
      </c>
      <c r="Z511" s="5"/>
      <c r="AA511" s="5"/>
      <c r="AC511" s="7"/>
      <c r="AE511" s="54" t="e">
        <f t="shared" si="71"/>
        <v>#N/A</v>
      </c>
      <c r="AF511" s="4" t="e">
        <f t="shared" si="67"/>
        <v>#N/A</v>
      </c>
    </row>
    <row r="512" spans="2:32">
      <c r="B512" s="5">
        <f t="shared" si="72"/>
        <v>500</v>
      </c>
      <c r="C512" s="5"/>
      <c r="E512" s="13"/>
      <c r="F512" s="5"/>
      <c r="G512" s="11" t="str">
        <f>IF(ISERROR(AVERAGE(F$13:F512)),"n/a",AVERAGE(F$13:F512))</f>
        <v>n/a</v>
      </c>
      <c r="H512" s="11" t="str">
        <f t="shared" si="68"/>
        <v>n/a</v>
      </c>
      <c r="J512" s="5"/>
      <c r="K512" s="5"/>
      <c r="L512" s="5"/>
      <c r="M512" s="5"/>
      <c r="N512" s="5"/>
      <c r="O512" s="8" t="str">
        <f t="shared" si="66"/>
        <v>n/a</v>
      </c>
      <c r="Q512" s="5"/>
      <c r="R512" s="5"/>
      <c r="S512" s="5"/>
      <c r="U512" s="6"/>
      <c r="V512" s="9" t="str">
        <f t="shared" si="69"/>
        <v/>
      </c>
      <c r="W512" s="9" t="str">
        <f t="shared" si="70"/>
        <v/>
      </c>
      <c r="X512" s="10">
        <f>SUM(V$13:V512)/COUNTA(B$13:B512)</f>
        <v>0</v>
      </c>
      <c r="Z512" s="5"/>
      <c r="AA512" s="5"/>
      <c r="AC512" s="7"/>
      <c r="AE512" s="54" t="e">
        <f t="shared" si="71"/>
        <v>#N/A</v>
      </c>
      <c r="AF512" s="4" t="e">
        <f t="shared" si="67"/>
        <v>#N/A</v>
      </c>
    </row>
    <row r="513" spans="2:32">
      <c r="B513" s="5">
        <f t="shared" si="72"/>
        <v>501</v>
      </c>
      <c r="C513" s="5"/>
      <c r="E513" s="13"/>
      <c r="F513" s="5"/>
      <c r="G513" s="11" t="str">
        <f>IF(ISERROR(AVERAGE(F$13:F513)),"n/a",AVERAGE(F$13:F513))</f>
        <v>n/a</v>
      </c>
      <c r="H513" s="11" t="str">
        <f t="shared" si="68"/>
        <v>n/a</v>
      </c>
      <c r="J513" s="5"/>
      <c r="K513" s="5"/>
      <c r="L513" s="5"/>
      <c r="M513" s="5"/>
      <c r="N513" s="5"/>
      <c r="O513" s="8" t="str">
        <f t="shared" si="66"/>
        <v>n/a</v>
      </c>
      <c r="Q513" s="5"/>
      <c r="R513" s="5"/>
      <c r="S513" s="5"/>
      <c r="U513" s="6"/>
      <c r="V513" s="9" t="str">
        <f t="shared" si="69"/>
        <v/>
      </c>
      <c r="W513" s="9" t="str">
        <f t="shared" si="70"/>
        <v/>
      </c>
      <c r="X513" s="10">
        <f>SUM(V$13:V513)/COUNTA(B$13:B513)</f>
        <v>0</v>
      </c>
      <c r="Z513" s="5"/>
      <c r="AA513" s="5"/>
      <c r="AC513" s="7"/>
      <c r="AE513" s="54" t="e">
        <f t="shared" si="71"/>
        <v>#N/A</v>
      </c>
      <c r="AF513" s="4" t="e">
        <f t="shared" si="67"/>
        <v>#N/A</v>
      </c>
    </row>
    <row r="514" spans="2:32">
      <c r="B514" s="5">
        <f t="shared" si="72"/>
        <v>502</v>
      </c>
      <c r="C514" s="5"/>
      <c r="E514" s="13"/>
      <c r="F514" s="5"/>
      <c r="G514" s="11" t="str">
        <f>IF(ISERROR(AVERAGE(F$13:F514)),"n/a",AVERAGE(F$13:F514))</f>
        <v>n/a</v>
      </c>
      <c r="H514" s="11" t="str">
        <f t="shared" si="68"/>
        <v>n/a</v>
      </c>
      <c r="J514" s="5"/>
      <c r="K514" s="5"/>
      <c r="L514" s="5"/>
      <c r="M514" s="5"/>
      <c r="N514" s="5"/>
      <c r="O514" s="8" t="str">
        <f t="shared" si="66"/>
        <v>n/a</v>
      </c>
      <c r="Q514" s="5"/>
      <c r="R514" s="5"/>
      <c r="S514" s="5"/>
      <c r="U514" s="6"/>
      <c r="V514" s="9" t="str">
        <f t="shared" si="69"/>
        <v/>
      </c>
      <c r="W514" s="9" t="str">
        <f t="shared" si="70"/>
        <v/>
      </c>
      <c r="X514" s="10">
        <f>SUM(V$13:V514)/COUNTA(B$13:B514)</f>
        <v>0</v>
      </c>
      <c r="Z514" s="5"/>
      <c r="AA514" s="5"/>
      <c r="AC514" s="7"/>
      <c r="AE514" s="54" t="e">
        <f t="shared" si="71"/>
        <v>#N/A</v>
      </c>
      <c r="AF514" s="4" t="e">
        <f t="shared" si="67"/>
        <v>#N/A</v>
      </c>
    </row>
    <row r="515" spans="2:32">
      <c r="B515" s="5">
        <f t="shared" si="72"/>
        <v>503</v>
      </c>
      <c r="C515" s="5"/>
      <c r="E515" s="13"/>
      <c r="F515" s="5"/>
      <c r="G515" s="11" t="str">
        <f>IF(ISERROR(AVERAGE(F$13:F515)),"n/a",AVERAGE(F$13:F515))</f>
        <v>n/a</v>
      </c>
      <c r="H515" s="11" t="str">
        <f t="shared" si="68"/>
        <v>n/a</v>
      </c>
      <c r="J515" s="5"/>
      <c r="K515" s="5"/>
      <c r="L515" s="5"/>
      <c r="M515" s="5"/>
      <c r="N515" s="5"/>
      <c r="O515" s="8" t="str">
        <f t="shared" si="66"/>
        <v>n/a</v>
      </c>
      <c r="Q515" s="5"/>
      <c r="R515" s="5"/>
      <c r="S515" s="5"/>
      <c r="U515" s="6"/>
      <c r="V515" s="9" t="str">
        <f t="shared" si="69"/>
        <v/>
      </c>
      <c r="W515" s="9" t="str">
        <f t="shared" si="70"/>
        <v/>
      </c>
      <c r="X515" s="10">
        <f>SUM(V$13:V515)/COUNTA(B$13:B515)</f>
        <v>0</v>
      </c>
      <c r="Z515" s="5"/>
      <c r="AA515" s="5"/>
      <c r="AC515" s="7"/>
      <c r="AE515" s="54" t="e">
        <f t="shared" si="71"/>
        <v>#N/A</v>
      </c>
      <c r="AF515" s="4" t="e">
        <f t="shared" si="67"/>
        <v>#N/A</v>
      </c>
    </row>
    <row r="516" spans="2:32">
      <c r="B516" s="5">
        <f t="shared" si="72"/>
        <v>504</v>
      </c>
      <c r="C516" s="5"/>
      <c r="E516" s="13"/>
      <c r="F516" s="5"/>
      <c r="G516" s="11" t="str">
        <f>IF(ISERROR(AVERAGE(F$13:F516)),"n/a",AVERAGE(F$13:F516))</f>
        <v>n/a</v>
      </c>
      <c r="H516" s="11" t="str">
        <f t="shared" si="68"/>
        <v>n/a</v>
      </c>
      <c r="J516" s="5"/>
      <c r="K516" s="5"/>
      <c r="L516" s="5"/>
      <c r="M516" s="5"/>
      <c r="N516" s="5"/>
      <c r="O516" s="8" t="str">
        <f t="shared" si="66"/>
        <v>n/a</v>
      </c>
      <c r="Q516" s="5"/>
      <c r="R516" s="5"/>
      <c r="S516" s="5"/>
      <c r="U516" s="6"/>
      <c r="V516" s="9" t="str">
        <f t="shared" si="69"/>
        <v/>
      </c>
      <c r="W516" s="9" t="str">
        <f t="shared" si="70"/>
        <v/>
      </c>
      <c r="X516" s="10">
        <f>SUM(V$13:V516)/COUNTA(B$13:B516)</f>
        <v>0</v>
      </c>
      <c r="Z516" s="5"/>
      <c r="AA516" s="5"/>
      <c r="AC516" s="7"/>
      <c r="AE516" s="54" t="e">
        <f t="shared" si="71"/>
        <v>#N/A</v>
      </c>
      <c r="AF516" s="4" t="e">
        <f t="shared" si="67"/>
        <v>#N/A</v>
      </c>
    </row>
    <row r="517" spans="2:32">
      <c r="B517" s="5">
        <f t="shared" si="72"/>
        <v>505</v>
      </c>
      <c r="C517" s="5"/>
      <c r="E517" s="13"/>
      <c r="F517" s="5"/>
      <c r="G517" s="11" t="str">
        <f>IF(ISERROR(AVERAGE(F$13:F517)),"n/a",AVERAGE(F$13:F517))</f>
        <v>n/a</v>
      </c>
      <c r="H517" s="11" t="str">
        <f t="shared" si="68"/>
        <v>n/a</v>
      </c>
      <c r="J517" s="5"/>
      <c r="K517" s="5"/>
      <c r="L517" s="5"/>
      <c r="M517" s="5"/>
      <c r="N517" s="5"/>
      <c r="O517" s="8" t="str">
        <f t="shared" si="66"/>
        <v>n/a</v>
      </c>
      <c r="Q517" s="5"/>
      <c r="R517" s="5"/>
      <c r="S517" s="5"/>
      <c r="U517" s="6"/>
      <c r="V517" s="9" t="str">
        <f t="shared" si="69"/>
        <v/>
      </c>
      <c r="W517" s="9" t="str">
        <f t="shared" si="70"/>
        <v/>
      </c>
      <c r="X517" s="10">
        <f>SUM(V$13:V517)/COUNTA(B$13:B517)</f>
        <v>0</v>
      </c>
      <c r="Z517" s="5"/>
      <c r="AA517" s="5"/>
      <c r="AC517" s="7"/>
      <c r="AE517" s="54" t="e">
        <f t="shared" si="71"/>
        <v>#N/A</v>
      </c>
      <c r="AF517" s="4" t="e">
        <f t="shared" si="67"/>
        <v>#N/A</v>
      </c>
    </row>
    <row r="518" spans="2:32">
      <c r="B518" s="5">
        <f t="shared" si="72"/>
        <v>506</v>
      </c>
      <c r="C518" s="5"/>
      <c r="E518" s="13"/>
      <c r="F518" s="5"/>
      <c r="G518" s="11" t="str">
        <f>IF(ISERROR(AVERAGE(F$13:F518)),"n/a",AVERAGE(F$13:F518))</f>
        <v>n/a</v>
      </c>
      <c r="H518" s="11" t="str">
        <f t="shared" si="68"/>
        <v>n/a</v>
      </c>
      <c r="J518" s="5"/>
      <c r="K518" s="5"/>
      <c r="L518" s="5"/>
      <c r="M518" s="5"/>
      <c r="N518" s="5"/>
      <c r="O518" s="8" t="str">
        <f t="shared" si="66"/>
        <v>n/a</v>
      </c>
      <c r="Q518" s="5"/>
      <c r="R518" s="5"/>
      <c r="S518" s="5"/>
      <c r="U518" s="6"/>
      <c r="V518" s="9" t="str">
        <f t="shared" si="69"/>
        <v/>
      </c>
      <c r="W518" s="9" t="str">
        <f t="shared" si="70"/>
        <v/>
      </c>
      <c r="X518" s="10">
        <f>SUM(V$13:V518)/COUNTA(B$13:B518)</f>
        <v>0</v>
      </c>
      <c r="Z518" s="5"/>
      <c r="AA518" s="5"/>
      <c r="AC518" s="7"/>
      <c r="AE518" s="54" t="e">
        <f t="shared" si="71"/>
        <v>#N/A</v>
      </c>
      <c r="AF518" s="4" t="e">
        <f t="shared" si="67"/>
        <v>#N/A</v>
      </c>
    </row>
    <row r="519" spans="2:32">
      <c r="B519" s="5">
        <f t="shared" si="72"/>
        <v>507</v>
      </c>
      <c r="C519" s="5"/>
      <c r="E519" s="13"/>
      <c r="F519" s="5"/>
      <c r="G519" s="11" t="str">
        <f>IF(ISERROR(AVERAGE(F$13:F519)),"n/a",AVERAGE(F$13:F519))</f>
        <v>n/a</v>
      </c>
      <c r="H519" s="11" t="str">
        <f t="shared" si="68"/>
        <v>n/a</v>
      </c>
      <c r="J519" s="5"/>
      <c r="K519" s="5"/>
      <c r="L519" s="5"/>
      <c r="M519" s="5"/>
      <c r="N519" s="5"/>
      <c r="O519" s="8" t="str">
        <f t="shared" si="66"/>
        <v>n/a</v>
      </c>
      <c r="Q519" s="5"/>
      <c r="R519" s="5"/>
      <c r="S519" s="5"/>
      <c r="U519" s="6"/>
      <c r="V519" s="9" t="str">
        <f t="shared" si="69"/>
        <v/>
      </c>
      <c r="W519" s="9" t="str">
        <f t="shared" si="70"/>
        <v/>
      </c>
      <c r="X519" s="10">
        <f>SUM(V$13:V519)/COUNTA(B$13:B519)</f>
        <v>0</v>
      </c>
      <c r="Z519" s="5"/>
      <c r="AA519" s="5"/>
      <c r="AC519" s="7"/>
      <c r="AE519" s="54" t="e">
        <f t="shared" si="71"/>
        <v>#N/A</v>
      </c>
      <c r="AF519" s="4" t="e">
        <f t="shared" si="67"/>
        <v>#N/A</v>
      </c>
    </row>
    <row r="520" spans="2:32">
      <c r="B520" s="5">
        <f t="shared" si="72"/>
        <v>508</v>
      </c>
      <c r="C520" s="5"/>
      <c r="E520" s="13"/>
      <c r="F520" s="5"/>
      <c r="G520" s="11" t="str">
        <f>IF(ISERROR(AVERAGE(F$13:F520)),"n/a",AVERAGE(F$13:F520))</f>
        <v>n/a</v>
      </c>
      <c r="H520" s="11" t="str">
        <f t="shared" si="68"/>
        <v>n/a</v>
      </c>
      <c r="J520" s="5"/>
      <c r="K520" s="5"/>
      <c r="L520" s="5"/>
      <c r="M520" s="5"/>
      <c r="N520" s="5"/>
      <c r="O520" s="8" t="str">
        <f t="shared" si="66"/>
        <v>n/a</v>
      </c>
      <c r="Q520" s="5"/>
      <c r="R520" s="5"/>
      <c r="S520" s="5"/>
      <c r="U520" s="6"/>
      <c r="V520" s="9" t="str">
        <f t="shared" si="69"/>
        <v/>
      </c>
      <c r="W520" s="9" t="str">
        <f t="shared" si="70"/>
        <v/>
      </c>
      <c r="X520" s="10">
        <f>SUM(V$13:V520)/COUNTA(B$13:B520)</f>
        <v>0</v>
      </c>
      <c r="Z520" s="5"/>
      <c r="AA520" s="5"/>
      <c r="AC520" s="7"/>
      <c r="AE520" s="54" t="e">
        <f t="shared" si="71"/>
        <v>#N/A</v>
      </c>
      <c r="AF520" s="4" t="e">
        <f t="shared" si="67"/>
        <v>#N/A</v>
      </c>
    </row>
    <row r="521" spans="2:32">
      <c r="B521" s="5">
        <f t="shared" si="72"/>
        <v>509</v>
      </c>
      <c r="C521" s="5"/>
      <c r="E521" s="13"/>
      <c r="F521" s="5"/>
      <c r="G521" s="11" t="str">
        <f>IF(ISERROR(AVERAGE(F$13:F521)),"n/a",AVERAGE(F$13:F521))</f>
        <v>n/a</v>
      </c>
      <c r="H521" s="11" t="str">
        <f t="shared" si="68"/>
        <v>n/a</v>
      </c>
      <c r="J521" s="5"/>
      <c r="K521" s="5"/>
      <c r="L521" s="5"/>
      <c r="M521" s="5"/>
      <c r="N521" s="5"/>
      <c r="O521" s="8" t="str">
        <f t="shared" si="66"/>
        <v>n/a</v>
      </c>
      <c r="Q521" s="5"/>
      <c r="R521" s="5"/>
      <c r="S521" s="5"/>
      <c r="U521" s="6"/>
      <c r="V521" s="9" t="str">
        <f t="shared" si="69"/>
        <v/>
      </c>
      <c r="W521" s="9" t="str">
        <f t="shared" si="70"/>
        <v/>
      </c>
      <c r="X521" s="10">
        <f>SUM(V$13:V521)/COUNTA(B$13:B521)</f>
        <v>0</v>
      </c>
      <c r="Z521" s="5"/>
      <c r="AA521" s="5"/>
      <c r="AC521" s="7"/>
      <c r="AE521" s="54" t="e">
        <f t="shared" si="71"/>
        <v>#N/A</v>
      </c>
      <c r="AF521" s="4" t="e">
        <f t="shared" si="67"/>
        <v>#N/A</v>
      </c>
    </row>
    <row r="522" spans="2:32">
      <c r="B522" s="5">
        <f t="shared" si="72"/>
        <v>510</v>
      </c>
      <c r="C522" s="5"/>
      <c r="E522" s="13"/>
      <c r="F522" s="5"/>
      <c r="G522" s="11" t="str">
        <f>IF(ISERROR(AVERAGE(F$13:F522)),"n/a",AVERAGE(F$13:F522))</f>
        <v>n/a</v>
      </c>
      <c r="H522" s="11" t="str">
        <f t="shared" si="68"/>
        <v>n/a</v>
      </c>
      <c r="J522" s="5"/>
      <c r="K522" s="5"/>
      <c r="L522" s="5"/>
      <c r="M522" s="5"/>
      <c r="N522" s="5"/>
      <c r="O522" s="8" t="str">
        <f t="shared" si="66"/>
        <v>n/a</v>
      </c>
      <c r="Q522" s="5"/>
      <c r="R522" s="5"/>
      <c r="S522" s="5"/>
      <c r="U522" s="6"/>
      <c r="V522" s="9" t="str">
        <f t="shared" si="69"/>
        <v/>
      </c>
      <c r="W522" s="9" t="str">
        <f t="shared" si="70"/>
        <v/>
      </c>
      <c r="X522" s="10">
        <f>SUM(V$13:V522)/COUNTA(B$13:B522)</f>
        <v>0</v>
      </c>
      <c r="Z522" s="5"/>
      <c r="AA522" s="5"/>
      <c r="AC522" s="7"/>
      <c r="AE522" s="54" t="e">
        <f t="shared" si="71"/>
        <v>#N/A</v>
      </c>
      <c r="AF522" s="4" t="e">
        <f t="shared" si="67"/>
        <v>#N/A</v>
      </c>
    </row>
    <row r="523" spans="2:32">
      <c r="B523" s="5">
        <f t="shared" si="72"/>
        <v>511</v>
      </c>
      <c r="C523" s="5"/>
      <c r="E523" s="13"/>
      <c r="F523" s="5"/>
      <c r="G523" s="11" t="str">
        <f>IF(ISERROR(AVERAGE(F$13:F523)),"n/a",AVERAGE(F$13:F523))</f>
        <v>n/a</v>
      </c>
      <c r="H523" s="11" t="str">
        <f t="shared" si="68"/>
        <v>n/a</v>
      </c>
      <c r="J523" s="5"/>
      <c r="K523" s="5"/>
      <c r="L523" s="5"/>
      <c r="M523" s="5"/>
      <c r="N523" s="5"/>
      <c r="O523" s="8" t="str">
        <f t="shared" si="66"/>
        <v>n/a</v>
      </c>
      <c r="Q523" s="5"/>
      <c r="R523" s="5"/>
      <c r="S523" s="5"/>
      <c r="U523" s="6"/>
      <c r="V523" s="9" t="str">
        <f t="shared" si="69"/>
        <v/>
      </c>
      <c r="W523" s="9" t="str">
        <f t="shared" si="70"/>
        <v/>
      </c>
      <c r="X523" s="10">
        <f>SUM(V$13:V523)/COUNTA(B$13:B523)</f>
        <v>0</v>
      </c>
      <c r="Z523" s="5"/>
      <c r="AA523" s="5"/>
      <c r="AC523" s="7"/>
      <c r="AE523" s="54" t="e">
        <f t="shared" si="71"/>
        <v>#N/A</v>
      </c>
      <c r="AF523" s="4" t="e">
        <f t="shared" si="67"/>
        <v>#N/A</v>
      </c>
    </row>
    <row r="524" spans="2:32">
      <c r="B524" s="5">
        <f t="shared" si="72"/>
        <v>512</v>
      </c>
      <c r="C524" s="5"/>
      <c r="E524" s="13"/>
      <c r="F524" s="5"/>
      <c r="G524" s="11" t="str">
        <f>IF(ISERROR(AVERAGE(F$13:F524)),"n/a",AVERAGE(F$13:F524))</f>
        <v>n/a</v>
      </c>
      <c r="H524" s="11" t="str">
        <f t="shared" si="68"/>
        <v>n/a</v>
      </c>
      <c r="J524" s="5"/>
      <c r="K524" s="5"/>
      <c r="L524" s="5"/>
      <c r="M524" s="5"/>
      <c r="N524" s="5"/>
      <c r="O524" s="8" t="str">
        <f t="shared" si="66"/>
        <v>n/a</v>
      </c>
      <c r="Q524" s="5"/>
      <c r="R524" s="5"/>
      <c r="S524" s="5"/>
      <c r="U524" s="6"/>
      <c r="V524" s="9" t="str">
        <f t="shared" si="69"/>
        <v/>
      </c>
      <c r="W524" s="9" t="str">
        <f t="shared" si="70"/>
        <v/>
      </c>
      <c r="X524" s="10">
        <f>SUM(V$13:V524)/COUNTA(B$13:B524)</f>
        <v>0</v>
      </c>
      <c r="Z524" s="5"/>
      <c r="AA524" s="5"/>
      <c r="AC524" s="7"/>
      <c r="AE524" s="54" t="e">
        <f t="shared" si="71"/>
        <v>#N/A</v>
      </c>
      <c r="AF524" s="4" t="e">
        <f t="shared" si="67"/>
        <v>#N/A</v>
      </c>
    </row>
    <row r="525" spans="2:32">
      <c r="B525" s="5">
        <f t="shared" si="72"/>
        <v>513</v>
      </c>
      <c r="C525" s="5"/>
      <c r="E525" s="13"/>
      <c r="F525" s="5"/>
      <c r="G525" s="11" t="str">
        <f>IF(ISERROR(AVERAGE(F$13:F525)),"n/a",AVERAGE(F$13:F525))</f>
        <v>n/a</v>
      </c>
      <c r="H525" s="11" t="str">
        <f t="shared" si="68"/>
        <v>n/a</v>
      </c>
      <c r="J525" s="5"/>
      <c r="K525" s="5"/>
      <c r="L525" s="5"/>
      <c r="M525" s="5"/>
      <c r="N525" s="5"/>
      <c r="O525" s="8" t="str">
        <f t="shared" ref="O525:O588" si="73">IF(J525=1,"A",IF(K525=1,"B",IF(L525=1,"C",IF(M525=1,"D",IF(N525=1,"E","n/a")))))</f>
        <v>n/a</v>
      </c>
      <c r="Q525" s="5"/>
      <c r="R525" s="5"/>
      <c r="S525" s="5"/>
      <c r="U525" s="6"/>
      <c r="V525" s="9" t="str">
        <f t="shared" si="69"/>
        <v/>
      </c>
      <c r="W525" s="9" t="str">
        <f t="shared" si="70"/>
        <v/>
      </c>
      <c r="X525" s="10">
        <f>SUM(V$13:V525)/COUNTA(B$13:B525)</f>
        <v>0</v>
      </c>
      <c r="Z525" s="5"/>
      <c r="AA525" s="5"/>
      <c r="AC525" s="7"/>
      <c r="AE525" s="54" t="e">
        <f t="shared" si="71"/>
        <v>#N/A</v>
      </c>
      <c r="AF525" s="4" t="e">
        <f t="shared" ref="AF525:AF588" si="74">HLOOKUP(C525,$K$6:$O$7,2,FALSE)</f>
        <v>#N/A</v>
      </c>
    </row>
    <row r="526" spans="2:32">
      <c r="B526" s="5">
        <f t="shared" si="72"/>
        <v>514</v>
      </c>
      <c r="C526" s="5"/>
      <c r="E526" s="13"/>
      <c r="F526" s="5"/>
      <c r="G526" s="11" t="str">
        <f>IF(ISERROR(AVERAGE(F$13:F526)),"n/a",AVERAGE(F$13:F526))</f>
        <v>n/a</v>
      </c>
      <c r="H526" s="11" t="str">
        <f t="shared" ref="H526:H589" si="75">G526</f>
        <v>n/a</v>
      </c>
      <c r="J526" s="5"/>
      <c r="K526" s="5"/>
      <c r="L526" s="5"/>
      <c r="M526" s="5"/>
      <c r="N526" s="5"/>
      <c r="O526" s="8" t="str">
        <f t="shared" si="73"/>
        <v>n/a</v>
      </c>
      <c r="Q526" s="5"/>
      <c r="R526" s="5"/>
      <c r="S526" s="5"/>
      <c r="U526" s="6"/>
      <c r="V526" s="9" t="str">
        <f t="shared" ref="V526:V589" si="76">IF(O526="n/a","",IF(O526=U526,1,""))</f>
        <v/>
      </c>
      <c r="W526" s="9" t="str">
        <f t="shared" ref="W526:W589" si="77">IF(O526="n/a","",IF(O526&lt;&gt;U526,1,""))</f>
        <v/>
      </c>
      <c r="X526" s="10">
        <f>SUM(V$13:V526)/COUNTA(B$13:B526)</f>
        <v>0</v>
      </c>
      <c r="Z526" s="5"/>
      <c r="AA526" s="5"/>
      <c r="AC526" s="7"/>
      <c r="AE526" s="54" t="e">
        <f t="shared" ref="AE526:AE589" si="78">+IF($F$4=0,0,IF(W526=1,1,IF(OR(R526*$F$8=1,S526*$F$9=1,F526&gt;=AF526),2,0)))</f>
        <v>#N/A</v>
      </c>
      <c r="AF526" s="4" t="e">
        <f t="shared" si="74"/>
        <v>#N/A</v>
      </c>
    </row>
    <row r="527" spans="2:32">
      <c r="B527" s="5">
        <f t="shared" si="72"/>
        <v>515</v>
      </c>
      <c r="C527" s="5"/>
      <c r="E527" s="13"/>
      <c r="F527" s="5"/>
      <c r="G527" s="11" t="str">
        <f>IF(ISERROR(AVERAGE(F$13:F527)),"n/a",AVERAGE(F$13:F527))</f>
        <v>n/a</v>
      </c>
      <c r="H527" s="11" t="str">
        <f t="shared" si="75"/>
        <v>n/a</v>
      </c>
      <c r="J527" s="5"/>
      <c r="K527" s="5"/>
      <c r="L527" s="5"/>
      <c r="M527" s="5"/>
      <c r="N527" s="5"/>
      <c r="O527" s="8" t="str">
        <f t="shared" si="73"/>
        <v>n/a</v>
      </c>
      <c r="Q527" s="5"/>
      <c r="R527" s="5"/>
      <c r="S527" s="5"/>
      <c r="U527" s="6"/>
      <c r="V527" s="9" t="str">
        <f t="shared" si="76"/>
        <v/>
      </c>
      <c r="W527" s="9" t="str">
        <f t="shared" si="77"/>
        <v/>
      </c>
      <c r="X527" s="10">
        <f>SUM(V$13:V527)/COUNTA(B$13:B527)</f>
        <v>0</v>
      </c>
      <c r="Z527" s="5"/>
      <c r="AA527" s="5"/>
      <c r="AC527" s="7"/>
      <c r="AE527" s="54" t="e">
        <f t="shared" si="78"/>
        <v>#N/A</v>
      </c>
      <c r="AF527" s="4" t="e">
        <f t="shared" si="74"/>
        <v>#N/A</v>
      </c>
    </row>
    <row r="528" spans="2:32">
      <c r="B528" s="5">
        <f t="shared" si="72"/>
        <v>516</v>
      </c>
      <c r="C528" s="5"/>
      <c r="E528" s="13"/>
      <c r="F528" s="5"/>
      <c r="G528" s="11" t="str">
        <f>IF(ISERROR(AVERAGE(F$13:F528)),"n/a",AVERAGE(F$13:F528))</f>
        <v>n/a</v>
      </c>
      <c r="H528" s="11" t="str">
        <f t="shared" si="75"/>
        <v>n/a</v>
      </c>
      <c r="J528" s="5"/>
      <c r="K528" s="5"/>
      <c r="L528" s="5"/>
      <c r="M528" s="5"/>
      <c r="N528" s="5"/>
      <c r="O528" s="8" t="str">
        <f t="shared" si="73"/>
        <v>n/a</v>
      </c>
      <c r="Q528" s="5"/>
      <c r="R528" s="5"/>
      <c r="S528" s="5"/>
      <c r="U528" s="6"/>
      <c r="V528" s="9" t="str">
        <f t="shared" si="76"/>
        <v/>
      </c>
      <c r="W528" s="9" t="str">
        <f t="shared" si="77"/>
        <v/>
      </c>
      <c r="X528" s="10">
        <f>SUM(V$13:V528)/COUNTA(B$13:B528)</f>
        <v>0</v>
      </c>
      <c r="Z528" s="5"/>
      <c r="AA528" s="5"/>
      <c r="AC528" s="7"/>
      <c r="AE528" s="54" t="e">
        <f t="shared" si="78"/>
        <v>#N/A</v>
      </c>
      <c r="AF528" s="4" t="e">
        <f t="shared" si="74"/>
        <v>#N/A</v>
      </c>
    </row>
    <row r="529" spans="2:32">
      <c r="B529" s="5">
        <f t="shared" si="72"/>
        <v>517</v>
      </c>
      <c r="C529" s="5"/>
      <c r="E529" s="13"/>
      <c r="F529" s="5"/>
      <c r="G529" s="11" t="str">
        <f>IF(ISERROR(AVERAGE(F$13:F529)),"n/a",AVERAGE(F$13:F529))</f>
        <v>n/a</v>
      </c>
      <c r="H529" s="11" t="str">
        <f t="shared" si="75"/>
        <v>n/a</v>
      </c>
      <c r="J529" s="5"/>
      <c r="K529" s="5"/>
      <c r="L529" s="5"/>
      <c r="M529" s="5"/>
      <c r="N529" s="5"/>
      <c r="O529" s="8" t="str">
        <f t="shared" si="73"/>
        <v>n/a</v>
      </c>
      <c r="Q529" s="5"/>
      <c r="R529" s="5"/>
      <c r="S529" s="5"/>
      <c r="U529" s="6"/>
      <c r="V529" s="9" t="str">
        <f t="shared" si="76"/>
        <v/>
      </c>
      <c r="W529" s="9" t="str">
        <f t="shared" si="77"/>
        <v/>
      </c>
      <c r="X529" s="10">
        <f>SUM(V$13:V529)/COUNTA(B$13:B529)</f>
        <v>0</v>
      </c>
      <c r="Z529" s="5"/>
      <c r="AA529" s="5"/>
      <c r="AC529" s="7"/>
      <c r="AE529" s="54" t="e">
        <f t="shared" si="78"/>
        <v>#N/A</v>
      </c>
      <c r="AF529" s="4" t="e">
        <f t="shared" si="74"/>
        <v>#N/A</v>
      </c>
    </row>
    <row r="530" spans="2:32">
      <c r="B530" s="5">
        <f t="shared" si="72"/>
        <v>518</v>
      </c>
      <c r="C530" s="5"/>
      <c r="E530" s="13"/>
      <c r="F530" s="5"/>
      <c r="G530" s="11" t="str">
        <f>IF(ISERROR(AVERAGE(F$13:F530)),"n/a",AVERAGE(F$13:F530))</f>
        <v>n/a</v>
      </c>
      <c r="H530" s="11" t="str">
        <f t="shared" si="75"/>
        <v>n/a</v>
      </c>
      <c r="J530" s="5"/>
      <c r="K530" s="5"/>
      <c r="L530" s="5"/>
      <c r="M530" s="5"/>
      <c r="N530" s="5"/>
      <c r="O530" s="8" t="str">
        <f t="shared" si="73"/>
        <v>n/a</v>
      </c>
      <c r="Q530" s="5"/>
      <c r="R530" s="5"/>
      <c r="S530" s="5"/>
      <c r="U530" s="6"/>
      <c r="V530" s="9" t="str">
        <f t="shared" si="76"/>
        <v/>
      </c>
      <c r="W530" s="9" t="str">
        <f t="shared" si="77"/>
        <v/>
      </c>
      <c r="X530" s="10">
        <f>SUM(V$13:V530)/COUNTA(B$13:B530)</f>
        <v>0</v>
      </c>
      <c r="Z530" s="5"/>
      <c r="AA530" s="5"/>
      <c r="AC530" s="7"/>
      <c r="AE530" s="54" t="e">
        <f t="shared" si="78"/>
        <v>#N/A</v>
      </c>
      <c r="AF530" s="4" t="e">
        <f t="shared" si="74"/>
        <v>#N/A</v>
      </c>
    </row>
    <row r="531" spans="2:32">
      <c r="B531" s="5">
        <f t="shared" ref="B531:B594" si="79">+B530+1</f>
        <v>519</v>
      </c>
      <c r="C531" s="5"/>
      <c r="E531" s="13"/>
      <c r="F531" s="5"/>
      <c r="G531" s="11" t="str">
        <f>IF(ISERROR(AVERAGE(F$13:F531)),"n/a",AVERAGE(F$13:F531))</f>
        <v>n/a</v>
      </c>
      <c r="H531" s="11" t="str">
        <f t="shared" si="75"/>
        <v>n/a</v>
      </c>
      <c r="J531" s="5"/>
      <c r="K531" s="5"/>
      <c r="L531" s="5"/>
      <c r="M531" s="5"/>
      <c r="N531" s="5"/>
      <c r="O531" s="8" t="str">
        <f t="shared" si="73"/>
        <v>n/a</v>
      </c>
      <c r="Q531" s="5"/>
      <c r="R531" s="5"/>
      <c r="S531" s="5"/>
      <c r="U531" s="6"/>
      <c r="V531" s="9" t="str">
        <f t="shared" si="76"/>
        <v/>
      </c>
      <c r="W531" s="9" t="str">
        <f t="shared" si="77"/>
        <v/>
      </c>
      <c r="X531" s="10">
        <f>SUM(V$13:V531)/COUNTA(B$13:B531)</f>
        <v>0</v>
      </c>
      <c r="Z531" s="5"/>
      <c r="AA531" s="5"/>
      <c r="AC531" s="7"/>
      <c r="AE531" s="54" t="e">
        <f t="shared" si="78"/>
        <v>#N/A</v>
      </c>
      <c r="AF531" s="4" t="e">
        <f t="shared" si="74"/>
        <v>#N/A</v>
      </c>
    </row>
    <row r="532" spans="2:32">
      <c r="B532" s="5">
        <f t="shared" si="79"/>
        <v>520</v>
      </c>
      <c r="C532" s="5"/>
      <c r="E532" s="13"/>
      <c r="F532" s="5"/>
      <c r="G532" s="11" t="str">
        <f>IF(ISERROR(AVERAGE(F$13:F532)),"n/a",AVERAGE(F$13:F532))</f>
        <v>n/a</v>
      </c>
      <c r="H532" s="11" t="str">
        <f t="shared" si="75"/>
        <v>n/a</v>
      </c>
      <c r="J532" s="5"/>
      <c r="K532" s="5"/>
      <c r="L532" s="5"/>
      <c r="M532" s="5"/>
      <c r="N532" s="5"/>
      <c r="O532" s="8" t="str">
        <f t="shared" si="73"/>
        <v>n/a</v>
      </c>
      <c r="Q532" s="5"/>
      <c r="R532" s="5"/>
      <c r="S532" s="5"/>
      <c r="U532" s="6"/>
      <c r="V532" s="9" t="str">
        <f t="shared" si="76"/>
        <v/>
      </c>
      <c r="W532" s="9" t="str">
        <f t="shared" si="77"/>
        <v/>
      </c>
      <c r="X532" s="10">
        <f>SUM(V$13:V532)/COUNTA(B$13:B532)</f>
        <v>0</v>
      </c>
      <c r="Z532" s="5"/>
      <c r="AA532" s="5"/>
      <c r="AC532" s="7"/>
      <c r="AE532" s="54" t="e">
        <f t="shared" si="78"/>
        <v>#N/A</v>
      </c>
      <c r="AF532" s="4" t="e">
        <f t="shared" si="74"/>
        <v>#N/A</v>
      </c>
    </row>
    <row r="533" spans="2:32">
      <c r="B533" s="5">
        <f t="shared" si="79"/>
        <v>521</v>
      </c>
      <c r="C533" s="5"/>
      <c r="E533" s="13"/>
      <c r="F533" s="5"/>
      <c r="G533" s="11" t="str">
        <f>IF(ISERROR(AVERAGE(F$13:F533)),"n/a",AVERAGE(F$13:F533))</f>
        <v>n/a</v>
      </c>
      <c r="H533" s="11" t="str">
        <f t="shared" si="75"/>
        <v>n/a</v>
      </c>
      <c r="J533" s="5"/>
      <c r="K533" s="5"/>
      <c r="L533" s="5"/>
      <c r="M533" s="5"/>
      <c r="N533" s="5"/>
      <c r="O533" s="8" t="str">
        <f t="shared" si="73"/>
        <v>n/a</v>
      </c>
      <c r="Q533" s="5"/>
      <c r="R533" s="5"/>
      <c r="S533" s="5"/>
      <c r="U533" s="6"/>
      <c r="V533" s="9" t="str">
        <f t="shared" si="76"/>
        <v/>
      </c>
      <c r="W533" s="9" t="str">
        <f t="shared" si="77"/>
        <v/>
      </c>
      <c r="X533" s="10">
        <f>SUM(V$13:V533)/COUNTA(B$13:B533)</f>
        <v>0</v>
      </c>
      <c r="Z533" s="5"/>
      <c r="AA533" s="5"/>
      <c r="AC533" s="7"/>
      <c r="AE533" s="54" t="e">
        <f t="shared" si="78"/>
        <v>#N/A</v>
      </c>
      <c r="AF533" s="4" t="e">
        <f t="shared" si="74"/>
        <v>#N/A</v>
      </c>
    </row>
    <row r="534" spans="2:32">
      <c r="B534" s="5">
        <f t="shared" si="79"/>
        <v>522</v>
      </c>
      <c r="C534" s="5"/>
      <c r="E534" s="13"/>
      <c r="F534" s="5"/>
      <c r="G534" s="11" t="str">
        <f>IF(ISERROR(AVERAGE(F$13:F534)),"n/a",AVERAGE(F$13:F534))</f>
        <v>n/a</v>
      </c>
      <c r="H534" s="11" t="str">
        <f t="shared" si="75"/>
        <v>n/a</v>
      </c>
      <c r="J534" s="5"/>
      <c r="K534" s="5"/>
      <c r="L534" s="5"/>
      <c r="M534" s="5"/>
      <c r="N534" s="5"/>
      <c r="O534" s="8" t="str">
        <f t="shared" si="73"/>
        <v>n/a</v>
      </c>
      <c r="Q534" s="5"/>
      <c r="R534" s="5"/>
      <c r="S534" s="5"/>
      <c r="U534" s="6"/>
      <c r="V534" s="9" t="str">
        <f t="shared" si="76"/>
        <v/>
      </c>
      <c r="W534" s="9" t="str">
        <f t="shared" si="77"/>
        <v/>
      </c>
      <c r="X534" s="10">
        <f>SUM(V$13:V534)/COUNTA(B$13:B534)</f>
        <v>0</v>
      </c>
      <c r="Z534" s="5"/>
      <c r="AA534" s="5"/>
      <c r="AC534" s="7"/>
      <c r="AE534" s="54" t="e">
        <f t="shared" si="78"/>
        <v>#N/A</v>
      </c>
      <c r="AF534" s="4" t="e">
        <f t="shared" si="74"/>
        <v>#N/A</v>
      </c>
    </row>
    <row r="535" spans="2:32">
      <c r="B535" s="5">
        <f t="shared" si="79"/>
        <v>523</v>
      </c>
      <c r="C535" s="5"/>
      <c r="E535" s="13"/>
      <c r="F535" s="5"/>
      <c r="G535" s="11" t="str">
        <f>IF(ISERROR(AVERAGE(F$13:F535)),"n/a",AVERAGE(F$13:F535))</f>
        <v>n/a</v>
      </c>
      <c r="H535" s="11" t="str">
        <f t="shared" si="75"/>
        <v>n/a</v>
      </c>
      <c r="J535" s="5"/>
      <c r="K535" s="5"/>
      <c r="L535" s="5"/>
      <c r="M535" s="5"/>
      <c r="N535" s="5"/>
      <c r="O535" s="8" t="str">
        <f t="shared" si="73"/>
        <v>n/a</v>
      </c>
      <c r="Q535" s="5"/>
      <c r="R535" s="5"/>
      <c r="S535" s="5"/>
      <c r="U535" s="6"/>
      <c r="V535" s="9" t="str">
        <f t="shared" si="76"/>
        <v/>
      </c>
      <c r="W535" s="9" t="str">
        <f t="shared" si="77"/>
        <v/>
      </c>
      <c r="X535" s="10">
        <f>SUM(V$13:V535)/COUNTA(B$13:B535)</f>
        <v>0</v>
      </c>
      <c r="Z535" s="5"/>
      <c r="AA535" s="5"/>
      <c r="AC535" s="7"/>
      <c r="AE535" s="54" t="e">
        <f t="shared" si="78"/>
        <v>#N/A</v>
      </c>
      <c r="AF535" s="4" t="e">
        <f t="shared" si="74"/>
        <v>#N/A</v>
      </c>
    </row>
    <row r="536" spans="2:32">
      <c r="B536" s="5">
        <f t="shared" si="79"/>
        <v>524</v>
      </c>
      <c r="C536" s="5"/>
      <c r="E536" s="13"/>
      <c r="F536" s="5"/>
      <c r="G536" s="11" t="str">
        <f>IF(ISERROR(AVERAGE(F$13:F536)),"n/a",AVERAGE(F$13:F536))</f>
        <v>n/a</v>
      </c>
      <c r="H536" s="11" t="str">
        <f t="shared" si="75"/>
        <v>n/a</v>
      </c>
      <c r="J536" s="5"/>
      <c r="K536" s="5"/>
      <c r="L536" s="5"/>
      <c r="M536" s="5"/>
      <c r="N536" s="5"/>
      <c r="O536" s="8" t="str">
        <f t="shared" si="73"/>
        <v>n/a</v>
      </c>
      <c r="Q536" s="5"/>
      <c r="R536" s="5"/>
      <c r="S536" s="5"/>
      <c r="U536" s="6"/>
      <c r="V536" s="9" t="str">
        <f t="shared" si="76"/>
        <v/>
      </c>
      <c r="W536" s="9" t="str">
        <f t="shared" si="77"/>
        <v/>
      </c>
      <c r="X536" s="10">
        <f>SUM(V$13:V536)/COUNTA(B$13:B536)</f>
        <v>0</v>
      </c>
      <c r="Z536" s="5"/>
      <c r="AA536" s="5"/>
      <c r="AC536" s="7"/>
      <c r="AE536" s="54" t="e">
        <f t="shared" si="78"/>
        <v>#N/A</v>
      </c>
      <c r="AF536" s="4" t="e">
        <f t="shared" si="74"/>
        <v>#N/A</v>
      </c>
    </row>
    <row r="537" spans="2:32">
      <c r="B537" s="5">
        <f t="shared" si="79"/>
        <v>525</v>
      </c>
      <c r="C537" s="5"/>
      <c r="E537" s="13"/>
      <c r="F537" s="5"/>
      <c r="G537" s="11" t="str">
        <f>IF(ISERROR(AVERAGE(F$13:F537)),"n/a",AVERAGE(F$13:F537))</f>
        <v>n/a</v>
      </c>
      <c r="H537" s="11" t="str">
        <f t="shared" si="75"/>
        <v>n/a</v>
      </c>
      <c r="J537" s="5"/>
      <c r="K537" s="5"/>
      <c r="L537" s="5"/>
      <c r="M537" s="5"/>
      <c r="N537" s="5"/>
      <c r="O537" s="8" t="str">
        <f t="shared" si="73"/>
        <v>n/a</v>
      </c>
      <c r="Q537" s="5"/>
      <c r="R537" s="5"/>
      <c r="S537" s="5"/>
      <c r="U537" s="6"/>
      <c r="V537" s="9" t="str">
        <f t="shared" si="76"/>
        <v/>
      </c>
      <c r="W537" s="9" t="str">
        <f t="shared" si="77"/>
        <v/>
      </c>
      <c r="X537" s="10">
        <f>SUM(V$13:V537)/COUNTA(B$13:B537)</f>
        <v>0</v>
      </c>
      <c r="Z537" s="5"/>
      <c r="AA537" s="5"/>
      <c r="AC537" s="7"/>
      <c r="AE537" s="54" t="e">
        <f t="shared" si="78"/>
        <v>#N/A</v>
      </c>
      <c r="AF537" s="4" t="e">
        <f t="shared" si="74"/>
        <v>#N/A</v>
      </c>
    </row>
    <row r="538" spans="2:32">
      <c r="B538" s="5">
        <f t="shared" si="79"/>
        <v>526</v>
      </c>
      <c r="C538" s="5"/>
      <c r="E538" s="13"/>
      <c r="F538" s="5"/>
      <c r="G538" s="11" t="str">
        <f>IF(ISERROR(AVERAGE(F$13:F538)),"n/a",AVERAGE(F$13:F538))</f>
        <v>n/a</v>
      </c>
      <c r="H538" s="11" t="str">
        <f t="shared" si="75"/>
        <v>n/a</v>
      </c>
      <c r="J538" s="5"/>
      <c r="K538" s="5"/>
      <c r="L538" s="5"/>
      <c r="M538" s="5"/>
      <c r="N538" s="5"/>
      <c r="O538" s="8" t="str">
        <f t="shared" si="73"/>
        <v>n/a</v>
      </c>
      <c r="Q538" s="5"/>
      <c r="R538" s="5"/>
      <c r="S538" s="5"/>
      <c r="U538" s="6"/>
      <c r="V538" s="9" t="str">
        <f t="shared" si="76"/>
        <v/>
      </c>
      <c r="W538" s="9" t="str">
        <f t="shared" si="77"/>
        <v/>
      </c>
      <c r="X538" s="10">
        <f>SUM(V$13:V538)/COUNTA(B$13:B538)</f>
        <v>0</v>
      </c>
      <c r="Z538" s="5"/>
      <c r="AA538" s="5"/>
      <c r="AC538" s="7"/>
      <c r="AE538" s="54" t="e">
        <f t="shared" si="78"/>
        <v>#N/A</v>
      </c>
      <c r="AF538" s="4" t="e">
        <f t="shared" si="74"/>
        <v>#N/A</v>
      </c>
    </row>
    <row r="539" spans="2:32">
      <c r="B539" s="5">
        <f t="shared" si="79"/>
        <v>527</v>
      </c>
      <c r="C539" s="5"/>
      <c r="E539" s="13"/>
      <c r="F539" s="5"/>
      <c r="G539" s="11" t="str">
        <f>IF(ISERROR(AVERAGE(F$13:F539)),"n/a",AVERAGE(F$13:F539))</f>
        <v>n/a</v>
      </c>
      <c r="H539" s="11" t="str">
        <f t="shared" si="75"/>
        <v>n/a</v>
      </c>
      <c r="J539" s="5"/>
      <c r="K539" s="5"/>
      <c r="L539" s="5"/>
      <c r="M539" s="5"/>
      <c r="N539" s="5"/>
      <c r="O539" s="8" t="str">
        <f t="shared" si="73"/>
        <v>n/a</v>
      </c>
      <c r="Q539" s="5"/>
      <c r="R539" s="5"/>
      <c r="S539" s="5"/>
      <c r="U539" s="6"/>
      <c r="V539" s="9" t="str">
        <f t="shared" si="76"/>
        <v/>
      </c>
      <c r="W539" s="9" t="str">
        <f t="shared" si="77"/>
        <v/>
      </c>
      <c r="X539" s="10">
        <f>SUM(V$13:V539)/COUNTA(B$13:B539)</f>
        <v>0</v>
      </c>
      <c r="Z539" s="5"/>
      <c r="AA539" s="5"/>
      <c r="AC539" s="7"/>
      <c r="AE539" s="54" t="e">
        <f t="shared" si="78"/>
        <v>#N/A</v>
      </c>
      <c r="AF539" s="4" t="e">
        <f t="shared" si="74"/>
        <v>#N/A</v>
      </c>
    </row>
    <row r="540" spans="2:32">
      <c r="B540" s="5">
        <f t="shared" si="79"/>
        <v>528</v>
      </c>
      <c r="C540" s="5"/>
      <c r="E540" s="13"/>
      <c r="F540" s="5"/>
      <c r="G540" s="11" t="str">
        <f>IF(ISERROR(AVERAGE(F$13:F540)),"n/a",AVERAGE(F$13:F540))</f>
        <v>n/a</v>
      </c>
      <c r="H540" s="11" t="str">
        <f t="shared" si="75"/>
        <v>n/a</v>
      </c>
      <c r="J540" s="5"/>
      <c r="K540" s="5"/>
      <c r="L540" s="5"/>
      <c r="M540" s="5"/>
      <c r="N540" s="5"/>
      <c r="O540" s="8" t="str">
        <f t="shared" si="73"/>
        <v>n/a</v>
      </c>
      <c r="Q540" s="5"/>
      <c r="R540" s="5"/>
      <c r="S540" s="5"/>
      <c r="U540" s="6"/>
      <c r="V540" s="9" t="str">
        <f t="shared" si="76"/>
        <v/>
      </c>
      <c r="W540" s="9" t="str">
        <f t="shared" si="77"/>
        <v/>
      </c>
      <c r="X540" s="10">
        <f>SUM(V$13:V540)/COUNTA(B$13:B540)</f>
        <v>0</v>
      </c>
      <c r="Z540" s="5"/>
      <c r="AA540" s="5"/>
      <c r="AC540" s="7"/>
      <c r="AE540" s="54" t="e">
        <f t="shared" si="78"/>
        <v>#N/A</v>
      </c>
      <c r="AF540" s="4" t="e">
        <f t="shared" si="74"/>
        <v>#N/A</v>
      </c>
    </row>
    <row r="541" spans="2:32">
      <c r="B541" s="5">
        <f t="shared" si="79"/>
        <v>529</v>
      </c>
      <c r="C541" s="5"/>
      <c r="E541" s="13"/>
      <c r="F541" s="5"/>
      <c r="G541" s="11" t="str">
        <f>IF(ISERROR(AVERAGE(F$13:F541)),"n/a",AVERAGE(F$13:F541))</f>
        <v>n/a</v>
      </c>
      <c r="H541" s="11" t="str">
        <f t="shared" si="75"/>
        <v>n/a</v>
      </c>
      <c r="J541" s="5"/>
      <c r="K541" s="5"/>
      <c r="L541" s="5"/>
      <c r="M541" s="5"/>
      <c r="N541" s="5"/>
      <c r="O541" s="8" t="str">
        <f t="shared" si="73"/>
        <v>n/a</v>
      </c>
      <c r="Q541" s="5"/>
      <c r="R541" s="5"/>
      <c r="S541" s="5"/>
      <c r="U541" s="6"/>
      <c r="V541" s="9" t="str">
        <f t="shared" si="76"/>
        <v/>
      </c>
      <c r="W541" s="9" t="str">
        <f t="shared" si="77"/>
        <v/>
      </c>
      <c r="X541" s="10">
        <f>SUM(V$13:V541)/COUNTA(B$13:B541)</f>
        <v>0</v>
      </c>
      <c r="Z541" s="5"/>
      <c r="AA541" s="5"/>
      <c r="AC541" s="7"/>
      <c r="AE541" s="54" t="e">
        <f t="shared" si="78"/>
        <v>#N/A</v>
      </c>
      <c r="AF541" s="4" t="e">
        <f t="shared" si="74"/>
        <v>#N/A</v>
      </c>
    </row>
    <row r="542" spans="2:32">
      <c r="B542" s="5">
        <f t="shared" si="79"/>
        <v>530</v>
      </c>
      <c r="C542" s="5"/>
      <c r="E542" s="13"/>
      <c r="F542" s="5"/>
      <c r="G542" s="11" t="str">
        <f>IF(ISERROR(AVERAGE(F$13:F542)),"n/a",AVERAGE(F$13:F542))</f>
        <v>n/a</v>
      </c>
      <c r="H542" s="11" t="str">
        <f t="shared" si="75"/>
        <v>n/a</v>
      </c>
      <c r="J542" s="5"/>
      <c r="K542" s="5"/>
      <c r="L542" s="5"/>
      <c r="M542" s="5"/>
      <c r="N542" s="5"/>
      <c r="O542" s="8" t="str">
        <f t="shared" si="73"/>
        <v>n/a</v>
      </c>
      <c r="Q542" s="5"/>
      <c r="R542" s="5"/>
      <c r="S542" s="5"/>
      <c r="U542" s="6"/>
      <c r="V542" s="9" t="str">
        <f t="shared" si="76"/>
        <v/>
      </c>
      <c r="W542" s="9" t="str">
        <f t="shared" si="77"/>
        <v/>
      </c>
      <c r="X542" s="10">
        <f>SUM(V$13:V542)/COUNTA(B$13:B542)</f>
        <v>0</v>
      </c>
      <c r="Z542" s="5"/>
      <c r="AA542" s="5"/>
      <c r="AC542" s="7"/>
      <c r="AE542" s="54" t="e">
        <f t="shared" si="78"/>
        <v>#N/A</v>
      </c>
      <c r="AF542" s="4" t="e">
        <f t="shared" si="74"/>
        <v>#N/A</v>
      </c>
    </row>
    <row r="543" spans="2:32">
      <c r="B543" s="5">
        <f t="shared" si="79"/>
        <v>531</v>
      </c>
      <c r="C543" s="5"/>
      <c r="E543" s="13"/>
      <c r="F543" s="5"/>
      <c r="G543" s="11" t="str">
        <f>IF(ISERROR(AVERAGE(F$13:F543)),"n/a",AVERAGE(F$13:F543))</f>
        <v>n/a</v>
      </c>
      <c r="H543" s="11" t="str">
        <f t="shared" si="75"/>
        <v>n/a</v>
      </c>
      <c r="J543" s="5"/>
      <c r="K543" s="5"/>
      <c r="L543" s="5"/>
      <c r="M543" s="5"/>
      <c r="N543" s="5"/>
      <c r="O543" s="8" t="str">
        <f t="shared" si="73"/>
        <v>n/a</v>
      </c>
      <c r="Q543" s="5"/>
      <c r="R543" s="5"/>
      <c r="S543" s="5"/>
      <c r="U543" s="6"/>
      <c r="V543" s="9" t="str">
        <f t="shared" si="76"/>
        <v/>
      </c>
      <c r="W543" s="9" t="str">
        <f t="shared" si="77"/>
        <v/>
      </c>
      <c r="X543" s="10">
        <f>SUM(V$13:V543)/COUNTA(B$13:B543)</f>
        <v>0</v>
      </c>
      <c r="Z543" s="5"/>
      <c r="AA543" s="5"/>
      <c r="AC543" s="7"/>
      <c r="AE543" s="54" t="e">
        <f t="shared" si="78"/>
        <v>#N/A</v>
      </c>
      <c r="AF543" s="4" t="e">
        <f t="shared" si="74"/>
        <v>#N/A</v>
      </c>
    </row>
    <row r="544" spans="2:32">
      <c r="B544" s="5">
        <f t="shared" si="79"/>
        <v>532</v>
      </c>
      <c r="C544" s="5"/>
      <c r="E544" s="13"/>
      <c r="F544" s="5"/>
      <c r="G544" s="11" t="str">
        <f>IF(ISERROR(AVERAGE(F$13:F544)),"n/a",AVERAGE(F$13:F544))</f>
        <v>n/a</v>
      </c>
      <c r="H544" s="11" t="str">
        <f t="shared" si="75"/>
        <v>n/a</v>
      </c>
      <c r="J544" s="5"/>
      <c r="K544" s="5"/>
      <c r="L544" s="5"/>
      <c r="M544" s="5"/>
      <c r="N544" s="5"/>
      <c r="O544" s="8" t="str">
        <f t="shared" si="73"/>
        <v>n/a</v>
      </c>
      <c r="Q544" s="5"/>
      <c r="R544" s="5"/>
      <c r="S544" s="5"/>
      <c r="U544" s="6"/>
      <c r="V544" s="9" t="str">
        <f t="shared" si="76"/>
        <v/>
      </c>
      <c r="W544" s="9" t="str">
        <f t="shared" si="77"/>
        <v/>
      </c>
      <c r="X544" s="10">
        <f>SUM(V$13:V544)/COUNTA(B$13:B544)</f>
        <v>0</v>
      </c>
      <c r="Z544" s="5"/>
      <c r="AA544" s="5"/>
      <c r="AC544" s="7"/>
      <c r="AE544" s="54" t="e">
        <f t="shared" si="78"/>
        <v>#N/A</v>
      </c>
      <c r="AF544" s="4" t="e">
        <f t="shared" si="74"/>
        <v>#N/A</v>
      </c>
    </row>
    <row r="545" spans="2:32">
      <c r="B545" s="5">
        <f t="shared" si="79"/>
        <v>533</v>
      </c>
      <c r="C545" s="5"/>
      <c r="E545" s="13"/>
      <c r="F545" s="5"/>
      <c r="G545" s="11" t="str">
        <f>IF(ISERROR(AVERAGE(F$13:F545)),"n/a",AVERAGE(F$13:F545))</f>
        <v>n/a</v>
      </c>
      <c r="H545" s="11" t="str">
        <f t="shared" si="75"/>
        <v>n/a</v>
      </c>
      <c r="J545" s="5"/>
      <c r="K545" s="5"/>
      <c r="L545" s="5"/>
      <c r="M545" s="5"/>
      <c r="N545" s="5"/>
      <c r="O545" s="8" t="str">
        <f t="shared" si="73"/>
        <v>n/a</v>
      </c>
      <c r="Q545" s="5"/>
      <c r="R545" s="5"/>
      <c r="S545" s="5"/>
      <c r="U545" s="6"/>
      <c r="V545" s="9" t="str">
        <f t="shared" si="76"/>
        <v/>
      </c>
      <c r="W545" s="9" t="str">
        <f t="shared" si="77"/>
        <v/>
      </c>
      <c r="X545" s="10">
        <f>SUM(V$13:V545)/COUNTA(B$13:B545)</f>
        <v>0</v>
      </c>
      <c r="Z545" s="5"/>
      <c r="AA545" s="5"/>
      <c r="AC545" s="7"/>
      <c r="AE545" s="54" t="e">
        <f t="shared" si="78"/>
        <v>#N/A</v>
      </c>
      <c r="AF545" s="4" t="e">
        <f t="shared" si="74"/>
        <v>#N/A</v>
      </c>
    </row>
    <row r="546" spans="2:32">
      <c r="B546" s="5">
        <f t="shared" si="79"/>
        <v>534</v>
      </c>
      <c r="C546" s="5"/>
      <c r="E546" s="13"/>
      <c r="F546" s="5"/>
      <c r="G546" s="11" t="str">
        <f>IF(ISERROR(AVERAGE(F$13:F546)),"n/a",AVERAGE(F$13:F546))</f>
        <v>n/a</v>
      </c>
      <c r="H546" s="11" t="str">
        <f t="shared" si="75"/>
        <v>n/a</v>
      </c>
      <c r="J546" s="5"/>
      <c r="K546" s="5"/>
      <c r="L546" s="5"/>
      <c r="M546" s="5"/>
      <c r="N546" s="5"/>
      <c r="O546" s="8" t="str">
        <f t="shared" si="73"/>
        <v>n/a</v>
      </c>
      <c r="Q546" s="5"/>
      <c r="R546" s="5"/>
      <c r="S546" s="5"/>
      <c r="U546" s="6"/>
      <c r="V546" s="9" t="str">
        <f t="shared" si="76"/>
        <v/>
      </c>
      <c r="W546" s="9" t="str">
        <f t="shared" si="77"/>
        <v/>
      </c>
      <c r="X546" s="10">
        <f>SUM(V$13:V546)/COUNTA(B$13:B546)</f>
        <v>0</v>
      </c>
      <c r="Z546" s="5"/>
      <c r="AA546" s="5"/>
      <c r="AC546" s="7"/>
      <c r="AE546" s="54" t="e">
        <f t="shared" si="78"/>
        <v>#N/A</v>
      </c>
      <c r="AF546" s="4" t="e">
        <f t="shared" si="74"/>
        <v>#N/A</v>
      </c>
    </row>
    <row r="547" spans="2:32">
      <c r="B547" s="5">
        <f t="shared" si="79"/>
        <v>535</v>
      </c>
      <c r="C547" s="5"/>
      <c r="E547" s="13"/>
      <c r="F547" s="5"/>
      <c r="G547" s="11" t="str">
        <f>IF(ISERROR(AVERAGE(F$13:F547)),"n/a",AVERAGE(F$13:F547))</f>
        <v>n/a</v>
      </c>
      <c r="H547" s="11" t="str">
        <f t="shared" si="75"/>
        <v>n/a</v>
      </c>
      <c r="J547" s="5"/>
      <c r="K547" s="5"/>
      <c r="L547" s="5"/>
      <c r="M547" s="5"/>
      <c r="N547" s="5"/>
      <c r="O547" s="8" t="str">
        <f t="shared" si="73"/>
        <v>n/a</v>
      </c>
      <c r="Q547" s="5"/>
      <c r="R547" s="5"/>
      <c r="S547" s="5"/>
      <c r="U547" s="6"/>
      <c r="V547" s="9" t="str">
        <f t="shared" si="76"/>
        <v/>
      </c>
      <c r="W547" s="9" t="str">
        <f t="shared" si="77"/>
        <v/>
      </c>
      <c r="X547" s="10">
        <f>SUM(V$13:V547)/COUNTA(B$13:B547)</f>
        <v>0</v>
      </c>
      <c r="Z547" s="5"/>
      <c r="AA547" s="5"/>
      <c r="AC547" s="7"/>
      <c r="AE547" s="54" t="e">
        <f t="shared" si="78"/>
        <v>#N/A</v>
      </c>
      <c r="AF547" s="4" t="e">
        <f t="shared" si="74"/>
        <v>#N/A</v>
      </c>
    </row>
    <row r="548" spans="2:32">
      <c r="B548" s="5">
        <f t="shared" si="79"/>
        <v>536</v>
      </c>
      <c r="C548" s="5"/>
      <c r="E548" s="13"/>
      <c r="F548" s="5"/>
      <c r="G548" s="11" t="str">
        <f>IF(ISERROR(AVERAGE(F$13:F548)),"n/a",AVERAGE(F$13:F548))</f>
        <v>n/a</v>
      </c>
      <c r="H548" s="11" t="str">
        <f t="shared" si="75"/>
        <v>n/a</v>
      </c>
      <c r="J548" s="5"/>
      <c r="K548" s="5"/>
      <c r="L548" s="5"/>
      <c r="M548" s="5"/>
      <c r="N548" s="5"/>
      <c r="O548" s="8" t="str">
        <f t="shared" si="73"/>
        <v>n/a</v>
      </c>
      <c r="Q548" s="5"/>
      <c r="R548" s="5"/>
      <c r="S548" s="5"/>
      <c r="U548" s="6"/>
      <c r="V548" s="9" t="str">
        <f t="shared" si="76"/>
        <v/>
      </c>
      <c r="W548" s="9" t="str">
        <f t="shared" si="77"/>
        <v/>
      </c>
      <c r="X548" s="10">
        <f>SUM(V$13:V548)/COUNTA(B$13:B548)</f>
        <v>0</v>
      </c>
      <c r="Z548" s="5"/>
      <c r="AA548" s="5"/>
      <c r="AC548" s="7"/>
      <c r="AE548" s="54" t="e">
        <f t="shared" si="78"/>
        <v>#N/A</v>
      </c>
      <c r="AF548" s="4" t="e">
        <f t="shared" si="74"/>
        <v>#N/A</v>
      </c>
    </row>
    <row r="549" spans="2:32">
      <c r="B549" s="5">
        <f t="shared" si="79"/>
        <v>537</v>
      </c>
      <c r="C549" s="5"/>
      <c r="E549" s="13"/>
      <c r="F549" s="5"/>
      <c r="G549" s="11" t="str">
        <f>IF(ISERROR(AVERAGE(F$13:F549)),"n/a",AVERAGE(F$13:F549))</f>
        <v>n/a</v>
      </c>
      <c r="H549" s="11" t="str">
        <f t="shared" si="75"/>
        <v>n/a</v>
      </c>
      <c r="J549" s="5"/>
      <c r="K549" s="5"/>
      <c r="L549" s="5"/>
      <c r="M549" s="5"/>
      <c r="N549" s="5"/>
      <c r="O549" s="8" t="str">
        <f t="shared" si="73"/>
        <v>n/a</v>
      </c>
      <c r="Q549" s="5"/>
      <c r="R549" s="5"/>
      <c r="S549" s="5"/>
      <c r="U549" s="6"/>
      <c r="V549" s="9" t="str">
        <f t="shared" si="76"/>
        <v/>
      </c>
      <c r="W549" s="9" t="str">
        <f t="shared" si="77"/>
        <v/>
      </c>
      <c r="X549" s="10">
        <f>SUM(V$13:V549)/COUNTA(B$13:B549)</f>
        <v>0</v>
      </c>
      <c r="Z549" s="5"/>
      <c r="AA549" s="5"/>
      <c r="AC549" s="7"/>
      <c r="AE549" s="54" t="e">
        <f t="shared" si="78"/>
        <v>#N/A</v>
      </c>
      <c r="AF549" s="4" t="e">
        <f t="shared" si="74"/>
        <v>#N/A</v>
      </c>
    </row>
    <row r="550" spans="2:32">
      <c r="B550" s="5">
        <f t="shared" si="79"/>
        <v>538</v>
      </c>
      <c r="C550" s="5"/>
      <c r="E550" s="13"/>
      <c r="F550" s="5"/>
      <c r="G550" s="11" t="str">
        <f>IF(ISERROR(AVERAGE(F$13:F550)),"n/a",AVERAGE(F$13:F550))</f>
        <v>n/a</v>
      </c>
      <c r="H550" s="11" t="str">
        <f t="shared" si="75"/>
        <v>n/a</v>
      </c>
      <c r="J550" s="5"/>
      <c r="K550" s="5"/>
      <c r="L550" s="5"/>
      <c r="M550" s="5"/>
      <c r="N550" s="5"/>
      <c r="O550" s="8" t="str">
        <f t="shared" si="73"/>
        <v>n/a</v>
      </c>
      <c r="Q550" s="5"/>
      <c r="R550" s="5"/>
      <c r="S550" s="5"/>
      <c r="U550" s="6"/>
      <c r="V550" s="9" t="str">
        <f t="shared" si="76"/>
        <v/>
      </c>
      <c r="W550" s="9" t="str">
        <f t="shared" si="77"/>
        <v/>
      </c>
      <c r="X550" s="10">
        <f>SUM(V$13:V550)/COUNTA(B$13:B550)</f>
        <v>0</v>
      </c>
      <c r="Z550" s="5"/>
      <c r="AA550" s="5"/>
      <c r="AC550" s="7"/>
      <c r="AE550" s="54" t="e">
        <f t="shared" si="78"/>
        <v>#N/A</v>
      </c>
      <c r="AF550" s="4" t="e">
        <f t="shared" si="74"/>
        <v>#N/A</v>
      </c>
    </row>
    <row r="551" spans="2:32">
      <c r="B551" s="5">
        <f t="shared" si="79"/>
        <v>539</v>
      </c>
      <c r="C551" s="5"/>
      <c r="E551" s="13"/>
      <c r="F551" s="5"/>
      <c r="G551" s="11" t="str">
        <f>IF(ISERROR(AVERAGE(F$13:F551)),"n/a",AVERAGE(F$13:F551))</f>
        <v>n/a</v>
      </c>
      <c r="H551" s="11" t="str">
        <f t="shared" si="75"/>
        <v>n/a</v>
      </c>
      <c r="J551" s="5"/>
      <c r="K551" s="5"/>
      <c r="L551" s="5"/>
      <c r="M551" s="5"/>
      <c r="N551" s="5"/>
      <c r="O551" s="8" t="str">
        <f t="shared" si="73"/>
        <v>n/a</v>
      </c>
      <c r="Q551" s="5"/>
      <c r="R551" s="5"/>
      <c r="S551" s="5"/>
      <c r="U551" s="6"/>
      <c r="V551" s="9" t="str">
        <f t="shared" si="76"/>
        <v/>
      </c>
      <c r="W551" s="9" t="str">
        <f t="shared" si="77"/>
        <v/>
      </c>
      <c r="X551" s="10">
        <f>SUM(V$13:V551)/COUNTA(B$13:B551)</f>
        <v>0</v>
      </c>
      <c r="Z551" s="5"/>
      <c r="AA551" s="5"/>
      <c r="AC551" s="7"/>
      <c r="AE551" s="54" t="e">
        <f t="shared" si="78"/>
        <v>#N/A</v>
      </c>
      <c r="AF551" s="4" t="e">
        <f t="shared" si="74"/>
        <v>#N/A</v>
      </c>
    </row>
    <row r="552" spans="2:32">
      <c r="B552" s="5">
        <f t="shared" si="79"/>
        <v>540</v>
      </c>
      <c r="C552" s="5"/>
      <c r="E552" s="13"/>
      <c r="F552" s="5"/>
      <c r="G552" s="11" t="str">
        <f>IF(ISERROR(AVERAGE(F$13:F552)),"n/a",AVERAGE(F$13:F552))</f>
        <v>n/a</v>
      </c>
      <c r="H552" s="11" t="str">
        <f t="shared" si="75"/>
        <v>n/a</v>
      </c>
      <c r="J552" s="5"/>
      <c r="K552" s="5"/>
      <c r="L552" s="5"/>
      <c r="M552" s="5"/>
      <c r="N552" s="5"/>
      <c r="O552" s="8" t="str">
        <f t="shared" si="73"/>
        <v>n/a</v>
      </c>
      <c r="Q552" s="5"/>
      <c r="R552" s="5"/>
      <c r="S552" s="5"/>
      <c r="U552" s="6"/>
      <c r="V552" s="9" t="str">
        <f t="shared" si="76"/>
        <v/>
      </c>
      <c r="W552" s="9" t="str">
        <f t="shared" si="77"/>
        <v/>
      </c>
      <c r="X552" s="10">
        <f>SUM(V$13:V552)/COUNTA(B$13:B552)</f>
        <v>0</v>
      </c>
      <c r="Z552" s="5"/>
      <c r="AA552" s="5"/>
      <c r="AC552" s="7"/>
      <c r="AE552" s="54" t="e">
        <f t="shared" si="78"/>
        <v>#N/A</v>
      </c>
      <c r="AF552" s="4" t="e">
        <f t="shared" si="74"/>
        <v>#N/A</v>
      </c>
    </row>
    <row r="553" spans="2:32">
      <c r="B553" s="5">
        <f t="shared" si="79"/>
        <v>541</v>
      </c>
      <c r="C553" s="5"/>
      <c r="E553" s="13"/>
      <c r="F553" s="5"/>
      <c r="G553" s="11" t="str">
        <f>IF(ISERROR(AVERAGE(F$13:F553)),"n/a",AVERAGE(F$13:F553))</f>
        <v>n/a</v>
      </c>
      <c r="H553" s="11" t="str">
        <f t="shared" si="75"/>
        <v>n/a</v>
      </c>
      <c r="J553" s="5"/>
      <c r="K553" s="5"/>
      <c r="L553" s="5"/>
      <c r="M553" s="5"/>
      <c r="N553" s="5"/>
      <c r="O553" s="8" t="str">
        <f t="shared" si="73"/>
        <v>n/a</v>
      </c>
      <c r="Q553" s="5"/>
      <c r="R553" s="5"/>
      <c r="S553" s="5"/>
      <c r="U553" s="6"/>
      <c r="V553" s="9" t="str">
        <f t="shared" si="76"/>
        <v/>
      </c>
      <c r="W553" s="9" t="str">
        <f t="shared" si="77"/>
        <v/>
      </c>
      <c r="X553" s="10">
        <f>SUM(V$13:V553)/COUNTA(B$13:B553)</f>
        <v>0</v>
      </c>
      <c r="Z553" s="5"/>
      <c r="AA553" s="5"/>
      <c r="AC553" s="7"/>
      <c r="AE553" s="54" t="e">
        <f t="shared" si="78"/>
        <v>#N/A</v>
      </c>
      <c r="AF553" s="4" t="e">
        <f t="shared" si="74"/>
        <v>#N/A</v>
      </c>
    </row>
    <row r="554" spans="2:32">
      <c r="B554" s="5">
        <f t="shared" si="79"/>
        <v>542</v>
      </c>
      <c r="C554" s="5"/>
      <c r="E554" s="13"/>
      <c r="F554" s="5"/>
      <c r="G554" s="11" t="str">
        <f>IF(ISERROR(AVERAGE(F$13:F554)),"n/a",AVERAGE(F$13:F554))</f>
        <v>n/a</v>
      </c>
      <c r="H554" s="11" t="str">
        <f t="shared" si="75"/>
        <v>n/a</v>
      </c>
      <c r="J554" s="5"/>
      <c r="K554" s="5"/>
      <c r="L554" s="5"/>
      <c r="M554" s="5"/>
      <c r="N554" s="5"/>
      <c r="O554" s="8" t="str">
        <f t="shared" si="73"/>
        <v>n/a</v>
      </c>
      <c r="Q554" s="5"/>
      <c r="R554" s="5"/>
      <c r="S554" s="5"/>
      <c r="U554" s="6"/>
      <c r="V554" s="9" t="str">
        <f t="shared" si="76"/>
        <v/>
      </c>
      <c r="W554" s="9" t="str">
        <f t="shared" si="77"/>
        <v/>
      </c>
      <c r="X554" s="10">
        <f>SUM(V$13:V554)/COUNTA(B$13:B554)</f>
        <v>0</v>
      </c>
      <c r="Z554" s="5"/>
      <c r="AA554" s="5"/>
      <c r="AC554" s="7"/>
      <c r="AE554" s="54" t="e">
        <f t="shared" si="78"/>
        <v>#N/A</v>
      </c>
      <c r="AF554" s="4" t="e">
        <f t="shared" si="74"/>
        <v>#N/A</v>
      </c>
    </row>
    <row r="555" spans="2:32">
      <c r="B555" s="5">
        <f t="shared" si="79"/>
        <v>543</v>
      </c>
      <c r="C555" s="5"/>
      <c r="E555" s="13"/>
      <c r="F555" s="5"/>
      <c r="G555" s="11" t="str">
        <f>IF(ISERROR(AVERAGE(F$13:F555)),"n/a",AVERAGE(F$13:F555))</f>
        <v>n/a</v>
      </c>
      <c r="H555" s="11" t="str">
        <f t="shared" si="75"/>
        <v>n/a</v>
      </c>
      <c r="J555" s="5"/>
      <c r="K555" s="5"/>
      <c r="L555" s="5"/>
      <c r="M555" s="5"/>
      <c r="N555" s="5"/>
      <c r="O555" s="8" t="str">
        <f t="shared" si="73"/>
        <v>n/a</v>
      </c>
      <c r="Q555" s="5"/>
      <c r="R555" s="5"/>
      <c r="S555" s="5"/>
      <c r="U555" s="6"/>
      <c r="V555" s="9" t="str">
        <f t="shared" si="76"/>
        <v/>
      </c>
      <c r="W555" s="9" t="str">
        <f t="shared" si="77"/>
        <v/>
      </c>
      <c r="X555" s="10">
        <f>SUM(V$13:V555)/COUNTA(B$13:B555)</f>
        <v>0</v>
      </c>
      <c r="Z555" s="5"/>
      <c r="AA555" s="5"/>
      <c r="AC555" s="7"/>
      <c r="AE555" s="54" t="e">
        <f t="shared" si="78"/>
        <v>#N/A</v>
      </c>
      <c r="AF555" s="4" t="e">
        <f t="shared" si="74"/>
        <v>#N/A</v>
      </c>
    </row>
    <row r="556" spans="2:32">
      <c r="B556" s="5">
        <f t="shared" si="79"/>
        <v>544</v>
      </c>
      <c r="C556" s="5"/>
      <c r="E556" s="13"/>
      <c r="F556" s="5"/>
      <c r="G556" s="11" t="str">
        <f>IF(ISERROR(AVERAGE(F$13:F556)),"n/a",AVERAGE(F$13:F556))</f>
        <v>n/a</v>
      </c>
      <c r="H556" s="11" t="str">
        <f t="shared" si="75"/>
        <v>n/a</v>
      </c>
      <c r="J556" s="5"/>
      <c r="K556" s="5"/>
      <c r="L556" s="5"/>
      <c r="M556" s="5"/>
      <c r="N556" s="5"/>
      <c r="O556" s="8" t="str">
        <f t="shared" si="73"/>
        <v>n/a</v>
      </c>
      <c r="Q556" s="5"/>
      <c r="R556" s="5"/>
      <c r="S556" s="5"/>
      <c r="U556" s="6"/>
      <c r="V556" s="9" t="str">
        <f t="shared" si="76"/>
        <v/>
      </c>
      <c r="W556" s="9" t="str">
        <f t="shared" si="77"/>
        <v/>
      </c>
      <c r="X556" s="10">
        <f>SUM(V$13:V556)/COUNTA(B$13:B556)</f>
        <v>0</v>
      </c>
      <c r="Z556" s="5"/>
      <c r="AA556" s="5"/>
      <c r="AC556" s="7"/>
      <c r="AE556" s="54" t="e">
        <f t="shared" si="78"/>
        <v>#N/A</v>
      </c>
      <c r="AF556" s="4" t="e">
        <f t="shared" si="74"/>
        <v>#N/A</v>
      </c>
    </row>
    <row r="557" spans="2:32">
      <c r="B557" s="5">
        <f t="shared" si="79"/>
        <v>545</v>
      </c>
      <c r="C557" s="5"/>
      <c r="E557" s="13"/>
      <c r="F557" s="5"/>
      <c r="G557" s="11" t="str">
        <f>IF(ISERROR(AVERAGE(F$13:F557)),"n/a",AVERAGE(F$13:F557))</f>
        <v>n/a</v>
      </c>
      <c r="H557" s="11" t="str">
        <f t="shared" si="75"/>
        <v>n/a</v>
      </c>
      <c r="J557" s="5"/>
      <c r="K557" s="5"/>
      <c r="L557" s="5"/>
      <c r="M557" s="5"/>
      <c r="N557" s="5"/>
      <c r="O557" s="8" t="str">
        <f t="shared" si="73"/>
        <v>n/a</v>
      </c>
      <c r="Q557" s="5"/>
      <c r="R557" s="5"/>
      <c r="S557" s="5"/>
      <c r="U557" s="6"/>
      <c r="V557" s="9" t="str">
        <f t="shared" si="76"/>
        <v/>
      </c>
      <c r="W557" s="9" t="str">
        <f t="shared" si="77"/>
        <v/>
      </c>
      <c r="X557" s="10">
        <f>SUM(V$13:V557)/COUNTA(B$13:B557)</f>
        <v>0</v>
      </c>
      <c r="Z557" s="5"/>
      <c r="AA557" s="5"/>
      <c r="AC557" s="7"/>
      <c r="AE557" s="54" t="e">
        <f t="shared" si="78"/>
        <v>#N/A</v>
      </c>
      <c r="AF557" s="4" t="e">
        <f t="shared" si="74"/>
        <v>#N/A</v>
      </c>
    </row>
    <row r="558" spans="2:32">
      <c r="B558" s="5">
        <f t="shared" si="79"/>
        <v>546</v>
      </c>
      <c r="C558" s="5"/>
      <c r="E558" s="13"/>
      <c r="F558" s="5"/>
      <c r="G558" s="11" t="str">
        <f>IF(ISERROR(AVERAGE(F$13:F558)),"n/a",AVERAGE(F$13:F558))</f>
        <v>n/a</v>
      </c>
      <c r="H558" s="11" t="str">
        <f t="shared" si="75"/>
        <v>n/a</v>
      </c>
      <c r="J558" s="5"/>
      <c r="K558" s="5"/>
      <c r="L558" s="5"/>
      <c r="M558" s="5"/>
      <c r="N558" s="5"/>
      <c r="O558" s="8" t="str">
        <f t="shared" si="73"/>
        <v>n/a</v>
      </c>
      <c r="Q558" s="5"/>
      <c r="R558" s="5"/>
      <c r="S558" s="5"/>
      <c r="U558" s="6"/>
      <c r="V558" s="9" t="str">
        <f t="shared" si="76"/>
        <v/>
      </c>
      <c r="W558" s="9" t="str">
        <f t="shared" si="77"/>
        <v/>
      </c>
      <c r="X558" s="10">
        <f>SUM(V$13:V558)/COUNTA(B$13:B558)</f>
        <v>0</v>
      </c>
      <c r="Z558" s="5"/>
      <c r="AA558" s="5"/>
      <c r="AC558" s="7"/>
      <c r="AE558" s="54" t="e">
        <f t="shared" si="78"/>
        <v>#N/A</v>
      </c>
      <c r="AF558" s="4" t="e">
        <f t="shared" si="74"/>
        <v>#N/A</v>
      </c>
    </row>
    <row r="559" spans="2:32">
      <c r="B559" s="5">
        <f t="shared" si="79"/>
        <v>547</v>
      </c>
      <c r="C559" s="5"/>
      <c r="E559" s="13"/>
      <c r="F559" s="5"/>
      <c r="G559" s="11" t="str">
        <f>IF(ISERROR(AVERAGE(F$13:F559)),"n/a",AVERAGE(F$13:F559))</f>
        <v>n/a</v>
      </c>
      <c r="H559" s="11" t="str">
        <f t="shared" si="75"/>
        <v>n/a</v>
      </c>
      <c r="J559" s="5"/>
      <c r="K559" s="5"/>
      <c r="L559" s="5"/>
      <c r="M559" s="5"/>
      <c r="N559" s="5"/>
      <c r="O559" s="8" t="str">
        <f t="shared" si="73"/>
        <v>n/a</v>
      </c>
      <c r="Q559" s="5"/>
      <c r="R559" s="5"/>
      <c r="S559" s="5"/>
      <c r="U559" s="6"/>
      <c r="V559" s="9" t="str">
        <f t="shared" si="76"/>
        <v/>
      </c>
      <c r="W559" s="9" t="str">
        <f t="shared" si="77"/>
        <v/>
      </c>
      <c r="X559" s="10">
        <f>SUM(V$13:V559)/COUNTA(B$13:B559)</f>
        <v>0</v>
      </c>
      <c r="Z559" s="5"/>
      <c r="AA559" s="5"/>
      <c r="AC559" s="7"/>
      <c r="AE559" s="54" t="e">
        <f t="shared" si="78"/>
        <v>#N/A</v>
      </c>
      <c r="AF559" s="4" t="e">
        <f t="shared" si="74"/>
        <v>#N/A</v>
      </c>
    </row>
    <row r="560" spans="2:32">
      <c r="B560" s="5">
        <f t="shared" si="79"/>
        <v>548</v>
      </c>
      <c r="C560" s="5"/>
      <c r="E560" s="13"/>
      <c r="F560" s="5"/>
      <c r="G560" s="11" t="str">
        <f>IF(ISERROR(AVERAGE(F$13:F560)),"n/a",AVERAGE(F$13:F560))</f>
        <v>n/a</v>
      </c>
      <c r="H560" s="11" t="str">
        <f t="shared" si="75"/>
        <v>n/a</v>
      </c>
      <c r="J560" s="5"/>
      <c r="K560" s="5"/>
      <c r="L560" s="5"/>
      <c r="M560" s="5"/>
      <c r="N560" s="5"/>
      <c r="O560" s="8" t="str">
        <f t="shared" si="73"/>
        <v>n/a</v>
      </c>
      <c r="Q560" s="5"/>
      <c r="R560" s="5"/>
      <c r="S560" s="5"/>
      <c r="U560" s="6"/>
      <c r="V560" s="9" t="str">
        <f t="shared" si="76"/>
        <v/>
      </c>
      <c r="W560" s="9" t="str">
        <f t="shared" si="77"/>
        <v/>
      </c>
      <c r="X560" s="10">
        <f>SUM(V$13:V560)/COUNTA(B$13:B560)</f>
        <v>0</v>
      </c>
      <c r="Z560" s="5"/>
      <c r="AA560" s="5"/>
      <c r="AC560" s="7"/>
      <c r="AE560" s="54" t="e">
        <f t="shared" si="78"/>
        <v>#N/A</v>
      </c>
      <c r="AF560" s="4" t="e">
        <f t="shared" si="74"/>
        <v>#N/A</v>
      </c>
    </row>
    <row r="561" spans="2:32">
      <c r="B561" s="5">
        <f t="shared" si="79"/>
        <v>549</v>
      </c>
      <c r="C561" s="5"/>
      <c r="E561" s="13"/>
      <c r="F561" s="5"/>
      <c r="G561" s="11" t="str">
        <f>IF(ISERROR(AVERAGE(F$13:F561)),"n/a",AVERAGE(F$13:F561))</f>
        <v>n/a</v>
      </c>
      <c r="H561" s="11" t="str">
        <f t="shared" si="75"/>
        <v>n/a</v>
      </c>
      <c r="J561" s="5"/>
      <c r="K561" s="5"/>
      <c r="L561" s="5"/>
      <c r="M561" s="5"/>
      <c r="N561" s="5"/>
      <c r="O561" s="8" t="str">
        <f t="shared" si="73"/>
        <v>n/a</v>
      </c>
      <c r="Q561" s="5"/>
      <c r="R561" s="5"/>
      <c r="S561" s="5"/>
      <c r="U561" s="6"/>
      <c r="V561" s="9" t="str">
        <f t="shared" si="76"/>
        <v/>
      </c>
      <c r="W561" s="9" t="str">
        <f t="shared" si="77"/>
        <v/>
      </c>
      <c r="X561" s="10">
        <f>SUM(V$13:V561)/COUNTA(B$13:B561)</f>
        <v>0</v>
      </c>
      <c r="Z561" s="5"/>
      <c r="AA561" s="5"/>
      <c r="AC561" s="7"/>
      <c r="AE561" s="54" t="e">
        <f t="shared" si="78"/>
        <v>#N/A</v>
      </c>
      <c r="AF561" s="4" t="e">
        <f t="shared" si="74"/>
        <v>#N/A</v>
      </c>
    </row>
    <row r="562" spans="2:32">
      <c r="B562" s="5">
        <f t="shared" si="79"/>
        <v>550</v>
      </c>
      <c r="C562" s="5"/>
      <c r="E562" s="13"/>
      <c r="F562" s="5"/>
      <c r="G562" s="11" t="str">
        <f>IF(ISERROR(AVERAGE(F$13:F562)),"n/a",AVERAGE(F$13:F562))</f>
        <v>n/a</v>
      </c>
      <c r="H562" s="11" t="str">
        <f t="shared" si="75"/>
        <v>n/a</v>
      </c>
      <c r="J562" s="5"/>
      <c r="K562" s="5"/>
      <c r="L562" s="5"/>
      <c r="M562" s="5"/>
      <c r="N562" s="5"/>
      <c r="O562" s="8" t="str">
        <f t="shared" si="73"/>
        <v>n/a</v>
      </c>
      <c r="Q562" s="5"/>
      <c r="R562" s="5"/>
      <c r="S562" s="5"/>
      <c r="U562" s="6"/>
      <c r="V562" s="9" t="str">
        <f t="shared" si="76"/>
        <v/>
      </c>
      <c r="W562" s="9" t="str">
        <f t="shared" si="77"/>
        <v/>
      </c>
      <c r="X562" s="10">
        <f>SUM(V$13:V562)/COUNTA(B$13:B562)</f>
        <v>0</v>
      </c>
      <c r="Z562" s="5"/>
      <c r="AA562" s="5"/>
      <c r="AC562" s="7"/>
      <c r="AE562" s="54" t="e">
        <f t="shared" si="78"/>
        <v>#N/A</v>
      </c>
      <c r="AF562" s="4" t="e">
        <f t="shared" si="74"/>
        <v>#N/A</v>
      </c>
    </row>
    <row r="563" spans="2:32">
      <c r="B563" s="5">
        <f t="shared" si="79"/>
        <v>551</v>
      </c>
      <c r="C563" s="5"/>
      <c r="E563" s="13"/>
      <c r="F563" s="5"/>
      <c r="G563" s="11" t="str">
        <f>IF(ISERROR(AVERAGE(F$13:F563)),"n/a",AVERAGE(F$13:F563))</f>
        <v>n/a</v>
      </c>
      <c r="H563" s="11" t="str">
        <f t="shared" si="75"/>
        <v>n/a</v>
      </c>
      <c r="J563" s="5"/>
      <c r="K563" s="5"/>
      <c r="L563" s="5"/>
      <c r="M563" s="5"/>
      <c r="N563" s="5"/>
      <c r="O563" s="8" t="str">
        <f t="shared" si="73"/>
        <v>n/a</v>
      </c>
      <c r="Q563" s="5"/>
      <c r="R563" s="5"/>
      <c r="S563" s="5"/>
      <c r="U563" s="6"/>
      <c r="V563" s="9" t="str">
        <f t="shared" si="76"/>
        <v/>
      </c>
      <c r="W563" s="9" t="str">
        <f t="shared" si="77"/>
        <v/>
      </c>
      <c r="X563" s="10">
        <f>SUM(V$13:V563)/COUNTA(B$13:B563)</f>
        <v>0</v>
      </c>
      <c r="Z563" s="5"/>
      <c r="AA563" s="5"/>
      <c r="AC563" s="7"/>
      <c r="AE563" s="54" t="e">
        <f t="shared" si="78"/>
        <v>#N/A</v>
      </c>
      <c r="AF563" s="4" t="e">
        <f t="shared" si="74"/>
        <v>#N/A</v>
      </c>
    </row>
    <row r="564" spans="2:32">
      <c r="B564" s="5">
        <f t="shared" si="79"/>
        <v>552</v>
      </c>
      <c r="C564" s="5"/>
      <c r="E564" s="13"/>
      <c r="F564" s="5"/>
      <c r="G564" s="11" t="str">
        <f>IF(ISERROR(AVERAGE(F$13:F564)),"n/a",AVERAGE(F$13:F564))</f>
        <v>n/a</v>
      </c>
      <c r="H564" s="11" t="str">
        <f t="shared" si="75"/>
        <v>n/a</v>
      </c>
      <c r="J564" s="5"/>
      <c r="K564" s="5"/>
      <c r="L564" s="5"/>
      <c r="M564" s="5"/>
      <c r="N564" s="5"/>
      <c r="O564" s="8" t="str">
        <f t="shared" si="73"/>
        <v>n/a</v>
      </c>
      <c r="Q564" s="5"/>
      <c r="R564" s="5"/>
      <c r="S564" s="5"/>
      <c r="U564" s="6"/>
      <c r="V564" s="9" t="str">
        <f t="shared" si="76"/>
        <v/>
      </c>
      <c r="W564" s="9" t="str">
        <f t="shared" si="77"/>
        <v/>
      </c>
      <c r="X564" s="10">
        <f>SUM(V$13:V564)/COUNTA(B$13:B564)</f>
        <v>0</v>
      </c>
      <c r="Z564" s="5"/>
      <c r="AA564" s="5"/>
      <c r="AC564" s="7"/>
      <c r="AE564" s="54" t="e">
        <f t="shared" si="78"/>
        <v>#N/A</v>
      </c>
      <c r="AF564" s="4" t="e">
        <f t="shared" si="74"/>
        <v>#N/A</v>
      </c>
    </row>
    <row r="565" spans="2:32">
      <c r="B565" s="5">
        <f t="shared" si="79"/>
        <v>553</v>
      </c>
      <c r="C565" s="5"/>
      <c r="E565" s="13"/>
      <c r="F565" s="5"/>
      <c r="G565" s="11" t="str">
        <f>IF(ISERROR(AVERAGE(F$13:F565)),"n/a",AVERAGE(F$13:F565))</f>
        <v>n/a</v>
      </c>
      <c r="H565" s="11" t="str">
        <f t="shared" si="75"/>
        <v>n/a</v>
      </c>
      <c r="J565" s="5"/>
      <c r="K565" s="5"/>
      <c r="L565" s="5"/>
      <c r="M565" s="5"/>
      <c r="N565" s="5"/>
      <c r="O565" s="8" t="str">
        <f t="shared" si="73"/>
        <v>n/a</v>
      </c>
      <c r="Q565" s="5"/>
      <c r="R565" s="5"/>
      <c r="S565" s="5"/>
      <c r="U565" s="6"/>
      <c r="V565" s="9" t="str">
        <f t="shared" si="76"/>
        <v/>
      </c>
      <c r="W565" s="9" t="str">
        <f t="shared" si="77"/>
        <v/>
      </c>
      <c r="X565" s="10">
        <f>SUM(V$13:V565)/COUNTA(B$13:B565)</f>
        <v>0</v>
      </c>
      <c r="Z565" s="5"/>
      <c r="AA565" s="5"/>
      <c r="AC565" s="7"/>
      <c r="AE565" s="54" t="e">
        <f t="shared" si="78"/>
        <v>#N/A</v>
      </c>
      <c r="AF565" s="4" t="e">
        <f t="shared" si="74"/>
        <v>#N/A</v>
      </c>
    </row>
    <row r="566" spans="2:32">
      <c r="B566" s="5">
        <f t="shared" si="79"/>
        <v>554</v>
      </c>
      <c r="C566" s="5"/>
      <c r="E566" s="13"/>
      <c r="F566" s="5"/>
      <c r="G566" s="11" t="str">
        <f>IF(ISERROR(AVERAGE(F$13:F566)),"n/a",AVERAGE(F$13:F566))</f>
        <v>n/a</v>
      </c>
      <c r="H566" s="11" t="str">
        <f t="shared" si="75"/>
        <v>n/a</v>
      </c>
      <c r="J566" s="5"/>
      <c r="K566" s="5"/>
      <c r="L566" s="5"/>
      <c r="M566" s="5"/>
      <c r="N566" s="5"/>
      <c r="O566" s="8" t="str">
        <f t="shared" si="73"/>
        <v>n/a</v>
      </c>
      <c r="Q566" s="5"/>
      <c r="R566" s="5"/>
      <c r="S566" s="5"/>
      <c r="U566" s="6"/>
      <c r="V566" s="9" t="str">
        <f t="shared" si="76"/>
        <v/>
      </c>
      <c r="W566" s="9" t="str">
        <f t="shared" si="77"/>
        <v/>
      </c>
      <c r="X566" s="10">
        <f>SUM(V$13:V566)/COUNTA(B$13:B566)</f>
        <v>0</v>
      </c>
      <c r="Z566" s="5"/>
      <c r="AA566" s="5"/>
      <c r="AC566" s="7"/>
      <c r="AE566" s="54" t="e">
        <f t="shared" si="78"/>
        <v>#N/A</v>
      </c>
      <c r="AF566" s="4" t="e">
        <f t="shared" si="74"/>
        <v>#N/A</v>
      </c>
    </row>
    <row r="567" spans="2:32">
      <c r="B567" s="5">
        <f t="shared" si="79"/>
        <v>555</v>
      </c>
      <c r="C567" s="5"/>
      <c r="E567" s="13"/>
      <c r="F567" s="5"/>
      <c r="G567" s="11" t="str">
        <f>IF(ISERROR(AVERAGE(F$13:F567)),"n/a",AVERAGE(F$13:F567))</f>
        <v>n/a</v>
      </c>
      <c r="H567" s="11" t="str">
        <f t="shared" si="75"/>
        <v>n/a</v>
      </c>
      <c r="J567" s="5"/>
      <c r="K567" s="5"/>
      <c r="L567" s="5"/>
      <c r="M567" s="5"/>
      <c r="N567" s="5"/>
      <c r="O567" s="8" t="str">
        <f t="shared" si="73"/>
        <v>n/a</v>
      </c>
      <c r="Q567" s="5"/>
      <c r="R567" s="5"/>
      <c r="S567" s="5"/>
      <c r="U567" s="6"/>
      <c r="V567" s="9" t="str">
        <f t="shared" si="76"/>
        <v/>
      </c>
      <c r="W567" s="9" t="str">
        <f t="shared" si="77"/>
        <v/>
      </c>
      <c r="X567" s="10">
        <f>SUM(V$13:V567)/COUNTA(B$13:B567)</f>
        <v>0</v>
      </c>
      <c r="Z567" s="5"/>
      <c r="AA567" s="5"/>
      <c r="AC567" s="7"/>
      <c r="AE567" s="54" t="e">
        <f t="shared" si="78"/>
        <v>#N/A</v>
      </c>
      <c r="AF567" s="4" t="e">
        <f t="shared" si="74"/>
        <v>#N/A</v>
      </c>
    </row>
    <row r="568" spans="2:32">
      <c r="B568" s="5">
        <f t="shared" si="79"/>
        <v>556</v>
      </c>
      <c r="C568" s="5"/>
      <c r="E568" s="13"/>
      <c r="F568" s="5"/>
      <c r="G568" s="11" t="str">
        <f>IF(ISERROR(AVERAGE(F$13:F568)),"n/a",AVERAGE(F$13:F568))</f>
        <v>n/a</v>
      </c>
      <c r="H568" s="11" t="str">
        <f t="shared" si="75"/>
        <v>n/a</v>
      </c>
      <c r="J568" s="5"/>
      <c r="K568" s="5"/>
      <c r="L568" s="5"/>
      <c r="M568" s="5"/>
      <c r="N568" s="5"/>
      <c r="O568" s="8" t="str">
        <f t="shared" si="73"/>
        <v>n/a</v>
      </c>
      <c r="Q568" s="5"/>
      <c r="R568" s="5"/>
      <c r="S568" s="5"/>
      <c r="U568" s="6"/>
      <c r="V568" s="9" t="str">
        <f t="shared" si="76"/>
        <v/>
      </c>
      <c r="W568" s="9" t="str">
        <f t="shared" si="77"/>
        <v/>
      </c>
      <c r="X568" s="10">
        <f>SUM(V$13:V568)/COUNTA(B$13:B568)</f>
        <v>0</v>
      </c>
      <c r="Z568" s="5"/>
      <c r="AA568" s="5"/>
      <c r="AC568" s="7"/>
      <c r="AE568" s="54" t="e">
        <f t="shared" si="78"/>
        <v>#N/A</v>
      </c>
      <c r="AF568" s="4" t="e">
        <f t="shared" si="74"/>
        <v>#N/A</v>
      </c>
    </row>
    <row r="569" spans="2:32">
      <c r="B569" s="5">
        <f t="shared" si="79"/>
        <v>557</v>
      </c>
      <c r="C569" s="5"/>
      <c r="E569" s="13"/>
      <c r="F569" s="5"/>
      <c r="G569" s="11" t="str">
        <f>IF(ISERROR(AVERAGE(F$13:F569)),"n/a",AVERAGE(F$13:F569))</f>
        <v>n/a</v>
      </c>
      <c r="H569" s="11" t="str">
        <f t="shared" si="75"/>
        <v>n/a</v>
      </c>
      <c r="J569" s="5"/>
      <c r="K569" s="5"/>
      <c r="L569" s="5"/>
      <c r="M569" s="5"/>
      <c r="N569" s="5"/>
      <c r="O569" s="8" t="str">
        <f t="shared" si="73"/>
        <v>n/a</v>
      </c>
      <c r="Q569" s="5"/>
      <c r="R569" s="5"/>
      <c r="S569" s="5"/>
      <c r="U569" s="6"/>
      <c r="V569" s="9" t="str">
        <f t="shared" si="76"/>
        <v/>
      </c>
      <c r="W569" s="9" t="str">
        <f t="shared" si="77"/>
        <v/>
      </c>
      <c r="X569" s="10">
        <f>SUM(V$13:V569)/COUNTA(B$13:B569)</f>
        <v>0</v>
      </c>
      <c r="Z569" s="5"/>
      <c r="AA569" s="5"/>
      <c r="AC569" s="7"/>
      <c r="AE569" s="54" t="e">
        <f t="shared" si="78"/>
        <v>#N/A</v>
      </c>
      <c r="AF569" s="4" t="e">
        <f t="shared" si="74"/>
        <v>#N/A</v>
      </c>
    </row>
    <row r="570" spans="2:32">
      <c r="B570" s="5">
        <f t="shared" si="79"/>
        <v>558</v>
      </c>
      <c r="C570" s="5"/>
      <c r="E570" s="13"/>
      <c r="F570" s="5"/>
      <c r="G570" s="11" t="str">
        <f>IF(ISERROR(AVERAGE(F$13:F570)),"n/a",AVERAGE(F$13:F570))</f>
        <v>n/a</v>
      </c>
      <c r="H570" s="11" t="str">
        <f t="shared" si="75"/>
        <v>n/a</v>
      </c>
      <c r="J570" s="5"/>
      <c r="K570" s="5"/>
      <c r="L570" s="5"/>
      <c r="M570" s="5"/>
      <c r="N570" s="5"/>
      <c r="O570" s="8" t="str">
        <f t="shared" si="73"/>
        <v>n/a</v>
      </c>
      <c r="Q570" s="5"/>
      <c r="R570" s="5"/>
      <c r="S570" s="5"/>
      <c r="U570" s="6"/>
      <c r="V570" s="9" t="str">
        <f t="shared" si="76"/>
        <v/>
      </c>
      <c r="W570" s="9" t="str">
        <f t="shared" si="77"/>
        <v/>
      </c>
      <c r="X570" s="10">
        <f>SUM(V$13:V570)/COUNTA(B$13:B570)</f>
        <v>0</v>
      </c>
      <c r="Z570" s="5"/>
      <c r="AA570" s="5"/>
      <c r="AC570" s="7"/>
      <c r="AE570" s="54" t="e">
        <f t="shared" si="78"/>
        <v>#N/A</v>
      </c>
      <c r="AF570" s="4" t="e">
        <f t="shared" si="74"/>
        <v>#N/A</v>
      </c>
    </row>
    <row r="571" spans="2:32">
      <c r="B571" s="5">
        <f t="shared" si="79"/>
        <v>559</v>
      </c>
      <c r="C571" s="5"/>
      <c r="E571" s="13"/>
      <c r="F571" s="5"/>
      <c r="G571" s="11" t="str">
        <f>IF(ISERROR(AVERAGE(F$13:F571)),"n/a",AVERAGE(F$13:F571))</f>
        <v>n/a</v>
      </c>
      <c r="H571" s="11" t="str">
        <f t="shared" si="75"/>
        <v>n/a</v>
      </c>
      <c r="J571" s="5"/>
      <c r="K571" s="5"/>
      <c r="L571" s="5"/>
      <c r="M571" s="5"/>
      <c r="N571" s="5"/>
      <c r="O571" s="8" t="str">
        <f t="shared" si="73"/>
        <v>n/a</v>
      </c>
      <c r="Q571" s="5"/>
      <c r="R571" s="5"/>
      <c r="S571" s="5"/>
      <c r="U571" s="6"/>
      <c r="V571" s="9" t="str">
        <f t="shared" si="76"/>
        <v/>
      </c>
      <c r="W571" s="9" t="str">
        <f t="shared" si="77"/>
        <v/>
      </c>
      <c r="X571" s="10">
        <f>SUM(V$13:V571)/COUNTA(B$13:B571)</f>
        <v>0</v>
      </c>
      <c r="Z571" s="5"/>
      <c r="AA571" s="5"/>
      <c r="AC571" s="7"/>
      <c r="AE571" s="54" t="e">
        <f t="shared" si="78"/>
        <v>#N/A</v>
      </c>
      <c r="AF571" s="4" t="e">
        <f t="shared" si="74"/>
        <v>#N/A</v>
      </c>
    </row>
    <row r="572" spans="2:32">
      <c r="B572" s="5">
        <f t="shared" si="79"/>
        <v>560</v>
      </c>
      <c r="C572" s="5"/>
      <c r="E572" s="13"/>
      <c r="F572" s="5"/>
      <c r="G572" s="11" t="str">
        <f>IF(ISERROR(AVERAGE(F$13:F572)),"n/a",AVERAGE(F$13:F572))</f>
        <v>n/a</v>
      </c>
      <c r="H572" s="11" t="str">
        <f t="shared" si="75"/>
        <v>n/a</v>
      </c>
      <c r="J572" s="5"/>
      <c r="K572" s="5"/>
      <c r="L572" s="5"/>
      <c r="M572" s="5"/>
      <c r="N572" s="5"/>
      <c r="O572" s="8" t="str">
        <f t="shared" si="73"/>
        <v>n/a</v>
      </c>
      <c r="Q572" s="5"/>
      <c r="R572" s="5"/>
      <c r="S572" s="5"/>
      <c r="U572" s="6"/>
      <c r="V572" s="9" t="str">
        <f t="shared" si="76"/>
        <v/>
      </c>
      <c r="W572" s="9" t="str">
        <f t="shared" si="77"/>
        <v/>
      </c>
      <c r="X572" s="10">
        <f>SUM(V$13:V572)/COUNTA(B$13:B572)</f>
        <v>0</v>
      </c>
      <c r="Z572" s="5"/>
      <c r="AA572" s="5"/>
      <c r="AC572" s="7"/>
      <c r="AE572" s="54" t="e">
        <f t="shared" si="78"/>
        <v>#N/A</v>
      </c>
      <c r="AF572" s="4" t="e">
        <f t="shared" si="74"/>
        <v>#N/A</v>
      </c>
    </row>
    <row r="573" spans="2:32">
      <c r="B573" s="5">
        <f t="shared" si="79"/>
        <v>561</v>
      </c>
      <c r="C573" s="5"/>
      <c r="E573" s="13"/>
      <c r="F573" s="5"/>
      <c r="G573" s="11" t="str">
        <f>IF(ISERROR(AVERAGE(F$13:F573)),"n/a",AVERAGE(F$13:F573))</f>
        <v>n/a</v>
      </c>
      <c r="H573" s="11" t="str">
        <f t="shared" si="75"/>
        <v>n/a</v>
      </c>
      <c r="J573" s="5"/>
      <c r="K573" s="5"/>
      <c r="L573" s="5"/>
      <c r="M573" s="5"/>
      <c r="N573" s="5"/>
      <c r="O573" s="8" t="str">
        <f t="shared" si="73"/>
        <v>n/a</v>
      </c>
      <c r="Q573" s="5"/>
      <c r="R573" s="5"/>
      <c r="S573" s="5"/>
      <c r="U573" s="6"/>
      <c r="V573" s="9" t="str">
        <f t="shared" si="76"/>
        <v/>
      </c>
      <c r="W573" s="9" t="str">
        <f t="shared" si="77"/>
        <v/>
      </c>
      <c r="X573" s="10">
        <f>SUM(V$13:V573)/COUNTA(B$13:B573)</f>
        <v>0</v>
      </c>
      <c r="Z573" s="5"/>
      <c r="AA573" s="5"/>
      <c r="AC573" s="7"/>
      <c r="AE573" s="54" t="e">
        <f t="shared" si="78"/>
        <v>#N/A</v>
      </c>
      <c r="AF573" s="4" t="e">
        <f t="shared" si="74"/>
        <v>#N/A</v>
      </c>
    </row>
    <row r="574" spans="2:32">
      <c r="B574" s="5">
        <f t="shared" si="79"/>
        <v>562</v>
      </c>
      <c r="C574" s="5"/>
      <c r="E574" s="13"/>
      <c r="F574" s="5"/>
      <c r="G574" s="11" t="str">
        <f>IF(ISERROR(AVERAGE(F$13:F574)),"n/a",AVERAGE(F$13:F574))</f>
        <v>n/a</v>
      </c>
      <c r="H574" s="11" t="str">
        <f t="shared" si="75"/>
        <v>n/a</v>
      </c>
      <c r="J574" s="5"/>
      <c r="K574" s="5"/>
      <c r="L574" s="5"/>
      <c r="M574" s="5"/>
      <c r="N574" s="5"/>
      <c r="O574" s="8" t="str">
        <f t="shared" si="73"/>
        <v>n/a</v>
      </c>
      <c r="Q574" s="5"/>
      <c r="R574" s="5"/>
      <c r="S574" s="5"/>
      <c r="U574" s="6"/>
      <c r="V574" s="9" t="str">
        <f t="shared" si="76"/>
        <v/>
      </c>
      <c r="W574" s="9" t="str">
        <f t="shared" si="77"/>
        <v/>
      </c>
      <c r="X574" s="10">
        <f>SUM(V$13:V574)/COUNTA(B$13:B574)</f>
        <v>0</v>
      </c>
      <c r="Z574" s="5"/>
      <c r="AA574" s="5"/>
      <c r="AC574" s="7"/>
      <c r="AE574" s="54" t="e">
        <f t="shared" si="78"/>
        <v>#N/A</v>
      </c>
      <c r="AF574" s="4" t="e">
        <f t="shared" si="74"/>
        <v>#N/A</v>
      </c>
    </row>
    <row r="575" spans="2:32">
      <c r="B575" s="5">
        <f t="shared" si="79"/>
        <v>563</v>
      </c>
      <c r="C575" s="5"/>
      <c r="E575" s="13"/>
      <c r="F575" s="5"/>
      <c r="G575" s="11" t="str">
        <f>IF(ISERROR(AVERAGE(F$13:F575)),"n/a",AVERAGE(F$13:F575))</f>
        <v>n/a</v>
      </c>
      <c r="H575" s="11" t="str">
        <f t="shared" si="75"/>
        <v>n/a</v>
      </c>
      <c r="J575" s="5"/>
      <c r="K575" s="5"/>
      <c r="L575" s="5"/>
      <c r="M575" s="5"/>
      <c r="N575" s="5"/>
      <c r="O575" s="8" t="str">
        <f t="shared" si="73"/>
        <v>n/a</v>
      </c>
      <c r="Q575" s="5"/>
      <c r="R575" s="5"/>
      <c r="S575" s="5"/>
      <c r="U575" s="6"/>
      <c r="V575" s="9" t="str">
        <f t="shared" si="76"/>
        <v/>
      </c>
      <c r="W575" s="9" t="str">
        <f t="shared" si="77"/>
        <v/>
      </c>
      <c r="X575" s="10">
        <f>SUM(V$13:V575)/COUNTA(B$13:B575)</f>
        <v>0</v>
      </c>
      <c r="Z575" s="5"/>
      <c r="AA575" s="5"/>
      <c r="AC575" s="7"/>
      <c r="AE575" s="54" t="e">
        <f t="shared" si="78"/>
        <v>#N/A</v>
      </c>
      <c r="AF575" s="4" t="e">
        <f t="shared" si="74"/>
        <v>#N/A</v>
      </c>
    </row>
    <row r="576" spans="2:32">
      <c r="B576" s="5">
        <f t="shared" si="79"/>
        <v>564</v>
      </c>
      <c r="C576" s="5"/>
      <c r="E576" s="13"/>
      <c r="F576" s="5"/>
      <c r="G576" s="11" t="str">
        <f>IF(ISERROR(AVERAGE(F$13:F576)),"n/a",AVERAGE(F$13:F576))</f>
        <v>n/a</v>
      </c>
      <c r="H576" s="11" t="str">
        <f t="shared" si="75"/>
        <v>n/a</v>
      </c>
      <c r="J576" s="5"/>
      <c r="K576" s="5"/>
      <c r="L576" s="5"/>
      <c r="M576" s="5"/>
      <c r="N576" s="5"/>
      <c r="O576" s="8" t="str">
        <f t="shared" si="73"/>
        <v>n/a</v>
      </c>
      <c r="Q576" s="5"/>
      <c r="R576" s="5"/>
      <c r="S576" s="5"/>
      <c r="U576" s="6"/>
      <c r="V576" s="9" t="str">
        <f t="shared" si="76"/>
        <v/>
      </c>
      <c r="W576" s="9" t="str">
        <f t="shared" si="77"/>
        <v/>
      </c>
      <c r="X576" s="10">
        <f>SUM(V$13:V576)/COUNTA(B$13:B576)</f>
        <v>0</v>
      </c>
      <c r="Z576" s="5"/>
      <c r="AA576" s="5"/>
      <c r="AC576" s="7"/>
      <c r="AE576" s="54" t="e">
        <f t="shared" si="78"/>
        <v>#N/A</v>
      </c>
      <c r="AF576" s="4" t="e">
        <f t="shared" si="74"/>
        <v>#N/A</v>
      </c>
    </row>
    <row r="577" spans="2:32">
      <c r="B577" s="5">
        <f t="shared" si="79"/>
        <v>565</v>
      </c>
      <c r="C577" s="5"/>
      <c r="E577" s="13"/>
      <c r="F577" s="5"/>
      <c r="G577" s="11" t="str">
        <f>IF(ISERROR(AVERAGE(F$13:F577)),"n/a",AVERAGE(F$13:F577))</f>
        <v>n/a</v>
      </c>
      <c r="H577" s="11" t="str">
        <f t="shared" si="75"/>
        <v>n/a</v>
      </c>
      <c r="J577" s="5"/>
      <c r="K577" s="5"/>
      <c r="L577" s="5"/>
      <c r="M577" s="5"/>
      <c r="N577" s="5"/>
      <c r="O577" s="8" t="str">
        <f t="shared" si="73"/>
        <v>n/a</v>
      </c>
      <c r="Q577" s="5"/>
      <c r="R577" s="5"/>
      <c r="S577" s="5"/>
      <c r="U577" s="6"/>
      <c r="V577" s="9" t="str">
        <f t="shared" si="76"/>
        <v/>
      </c>
      <c r="W577" s="9" t="str">
        <f t="shared" si="77"/>
        <v/>
      </c>
      <c r="X577" s="10">
        <f>SUM(V$13:V577)/COUNTA(B$13:B577)</f>
        <v>0</v>
      </c>
      <c r="Z577" s="5"/>
      <c r="AA577" s="5"/>
      <c r="AC577" s="7"/>
      <c r="AE577" s="54" t="e">
        <f t="shared" si="78"/>
        <v>#N/A</v>
      </c>
      <c r="AF577" s="4" t="e">
        <f t="shared" si="74"/>
        <v>#N/A</v>
      </c>
    </row>
    <row r="578" spans="2:32">
      <c r="B578" s="5">
        <f t="shared" si="79"/>
        <v>566</v>
      </c>
      <c r="C578" s="5"/>
      <c r="E578" s="13"/>
      <c r="F578" s="5"/>
      <c r="G578" s="11" t="str">
        <f>IF(ISERROR(AVERAGE(F$13:F578)),"n/a",AVERAGE(F$13:F578))</f>
        <v>n/a</v>
      </c>
      <c r="H578" s="11" t="str">
        <f t="shared" si="75"/>
        <v>n/a</v>
      </c>
      <c r="J578" s="5"/>
      <c r="K578" s="5"/>
      <c r="L578" s="5"/>
      <c r="M578" s="5"/>
      <c r="N578" s="5"/>
      <c r="O578" s="8" t="str">
        <f t="shared" si="73"/>
        <v>n/a</v>
      </c>
      <c r="Q578" s="5"/>
      <c r="R578" s="5"/>
      <c r="S578" s="5"/>
      <c r="U578" s="6"/>
      <c r="V578" s="9" t="str">
        <f t="shared" si="76"/>
        <v/>
      </c>
      <c r="W578" s="9" t="str">
        <f t="shared" si="77"/>
        <v/>
      </c>
      <c r="X578" s="10">
        <f>SUM(V$13:V578)/COUNTA(B$13:B578)</f>
        <v>0</v>
      </c>
      <c r="Z578" s="5"/>
      <c r="AA578" s="5"/>
      <c r="AC578" s="7"/>
      <c r="AE578" s="54" t="e">
        <f t="shared" si="78"/>
        <v>#N/A</v>
      </c>
      <c r="AF578" s="4" t="e">
        <f t="shared" si="74"/>
        <v>#N/A</v>
      </c>
    </row>
    <row r="579" spans="2:32">
      <c r="B579" s="5">
        <f t="shared" si="79"/>
        <v>567</v>
      </c>
      <c r="C579" s="5"/>
      <c r="E579" s="13"/>
      <c r="F579" s="5"/>
      <c r="G579" s="11" t="str">
        <f>IF(ISERROR(AVERAGE(F$13:F579)),"n/a",AVERAGE(F$13:F579))</f>
        <v>n/a</v>
      </c>
      <c r="H579" s="11" t="str">
        <f t="shared" si="75"/>
        <v>n/a</v>
      </c>
      <c r="J579" s="5"/>
      <c r="K579" s="5"/>
      <c r="L579" s="5"/>
      <c r="M579" s="5"/>
      <c r="N579" s="5"/>
      <c r="O579" s="8" t="str">
        <f t="shared" si="73"/>
        <v>n/a</v>
      </c>
      <c r="Q579" s="5"/>
      <c r="R579" s="5"/>
      <c r="S579" s="5"/>
      <c r="U579" s="6"/>
      <c r="V579" s="9" t="str">
        <f t="shared" si="76"/>
        <v/>
      </c>
      <c r="W579" s="9" t="str">
        <f t="shared" si="77"/>
        <v/>
      </c>
      <c r="X579" s="10">
        <f>SUM(V$13:V579)/COUNTA(B$13:B579)</f>
        <v>0</v>
      </c>
      <c r="Z579" s="5"/>
      <c r="AA579" s="5"/>
      <c r="AC579" s="7"/>
      <c r="AE579" s="54" t="e">
        <f t="shared" si="78"/>
        <v>#N/A</v>
      </c>
      <c r="AF579" s="4" t="e">
        <f t="shared" si="74"/>
        <v>#N/A</v>
      </c>
    </row>
    <row r="580" spans="2:32">
      <c r="B580" s="5">
        <f t="shared" si="79"/>
        <v>568</v>
      </c>
      <c r="C580" s="5"/>
      <c r="E580" s="13"/>
      <c r="F580" s="5"/>
      <c r="G580" s="11" t="str">
        <f>IF(ISERROR(AVERAGE(F$13:F580)),"n/a",AVERAGE(F$13:F580))</f>
        <v>n/a</v>
      </c>
      <c r="H580" s="11" t="str">
        <f t="shared" si="75"/>
        <v>n/a</v>
      </c>
      <c r="J580" s="5"/>
      <c r="K580" s="5"/>
      <c r="L580" s="5"/>
      <c r="M580" s="5"/>
      <c r="N580" s="5"/>
      <c r="O580" s="8" t="str">
        <f t="shared" si="73"/>
        <v>n/a</v>
      </c>
      <c r="Q580" s="5"/>
      <c r="R580" s="5"/>
      <c r="S580" s="5"/>
      <c r="U580" s="6"/>
      <c r="V580" s="9" t="str">
        <f t="shared" si="76"/>
        <v/>
      </c>
      <c r="W580" s="9" t="str">
        <f t="shared" si="77"/>
        <v/>
      </c>
      <c r="X580" s="10">
        <f>SUM(V$13:V580)/COUNTA(B$13:B580)</f>
        <v>0</v>
      </c>
      <c r="Z580" s="5"/>
      <c r="AA580" s="5"/>
      <c r="AC580" s="7"/>
      <c r="AE580" s="54" t="e">
        <f t="shared" si="78"/>
        <v>#N/A</v>
      </c>
      <c r="AF580" s="4" t="e">
        <f t="shared" si="74"/>
        <v>#N/A</v>
      </c>
    </row>
    <row r="581" spans="2:32">
      <c r="B581" s="5">
        <f t="shared" si="79"/>
        <v>569</v>
      </c>
      <c r="C581" s="5"/>
      <c r="E581" s="13"/>
      <c r="F581" s="5"/>
      <c r="G581" s="11" t="str">
        <f>IF(ISERROR(AVERAGE(F$13:F581)),"n/a",AVERAGE(F$13:F581))</f>
        <v>n/a</v>
      </c>
      <c r="H581" s="11" t="str">
        <f t="shared" si="75"/>
        <v>n/a</v>
      </c>
      <c r="J581" s="5"/>
      <c r="K581" s="5"/>
      <c r="L581" s="5"/>
      <c r="M581" s="5"/>
      <c r="N581" s="5"/>
      <c r="O581" s="8" t="str">
        <f t="shared" si="73"/>
        <v>n/a</v>
      </c>
      <c r="Q581" s="5"/>
      <c r="R581" s="5"/>
      <c r="S581" s="5"/>
      <c r="U581" s="6"/>
      <c r="V581" s="9" t="str">
        <f t="shared" si="76"/>
        <v/>
      </c>
      <c r="W581" s="9" t="str">
        <f t="shared" si="77"/>
        <v/>
      </c>
      <c r="X581" s="10">
        <f>SUM(V$13:V581)/COUNTA(B$13:B581)</f>
        <v>0</v>
      </c>
      <c r="Z581" s="5"/>
      <c r="AA581" s="5"/>
      <c r="AC581" s="7"/>
      <c r="AE581" s="54" t="e">
        <f t="shared" si="78"/>
        <v>#N/A</v>
      </c>
      <c r="AF581" s="4" t="e">
        <f t="shared" si="74"/>
        <v>#N/A</v>
      </c>
    </row>
    <row r="582" spans="2:32">
      <c r="B582" s="5">
        <f t="shared" si="79"/>
        <v>570</v>
      </c>
      <c r="C582" s="5"/>
      <c r="E582" s="13"/>
      <c r="F582" s="5"/>
      <c r="G582" s="11" t="str">
        <f>IF(ISERROR(AVERAGE(F$13:F582)),"n/a",AVERAGE(F$13:F582))</f>
        <v>n/a</v>
      </c>
      <c r="H582" s="11" t="str">
        <f t="shared" si="75"/>
        <v>n/a</v>
      </c>
      <c r="J582" s="5"/>
      <c r="K582" s="5"/>
      <c r="L582" s="5"/>
      <c r="M582" s="5"/>
      <c r="N582" s="5"/>
      <c r="O582" s="8" t="str">
        <f t="shared" si="73"/>
        <v>n/a</v>
      </c>
      <c r="Q582" s="5"/>
      <c r="R582" s="5"/>
      <c r="S582" s="5"/>
      <c r="U582" s="6"/>
      <c r="V582" s="9" t="str">
        <f t="shared" si="76"/>
        <v/>
      </c>
      <c r="W582" s="9" t="str">
        <f t="shared" si="77"/>
        <v/>
      </c>
      <c r="X582" s="10">
        <f>SUM(V$13:V582)/COUNTA(B$13:B582)</f>
        <v>0</v>
      </c>
      <c r="Z582" s="5"/>
      <c r="AA582" s="5"/>
      <c r="AC582" s="7"/>
      <c r="AE582" s="54" t="e">
        <f t="shared" si="78"/>
        <v>#N/A</v>
      </c>
      <c r="AF582" s="4" t="e">
        <f t="shared" si="74"/>
        <v>#N/A</v>
      </c>
    </row>
    <row r="583" spans="2:32">
      <c r="B583" s="5">
        <f t="shared" si="79"/>
        <v>571</v>
      </c>
      <c r="C583" s="5"/>
      <c r="E583" s="13"/>
      <c r="F583" s="5"/>
      <c r="G583" s="11" t="str">
        <f>IF(ISERROR(AVERAGE(F$13:F583)),"n/a",AVERAGE(F$13:F583))</f>
        <v>n/a</v>
      </c>
      <c r="H583" s="11" t="str">
        <f t="shared" si="75"/>
        <v>n/a</v>
      </c>
      <c r="J583" s="5"/>
      <c r="K583" s="5"/>
      <c r="L583" s="5"/>
      <c r="M583" s="5"/>
      <c r="N583" s="5"/>
      <c r="O583" s="8" t="str">
        <f t="shared" si="73"/>
        <v>n/a</v>
      </c>
      <c r="Q583" s="5"/>
      <c r="R583" s="5"/>
      <c r="S583" s="5"/>
      <c r="U583" s="6"/>
      <c r="V583" s="9" t="str">
        <f t="shared" si="76"/>
        <v/>
      </c>
      <c r="W583" s="9" t="str">
        <f t="shared" si="77"/>
        <v/>
      </c>
      <c r="X583" s="10">
        <f>SUM(V$13:V583)/COUNTA(B$13:B583)</f>
        <v>0</v>
      </c>
      <c r="Z583" s="5"/>
      <c r="AA583" s="5"/>
      <c r="AC583" s="7"/>
      <c r="AE583" s="54" t="e">
        <f t="shared" si="78"/>
        <v>#N/A</v>
      </c>
      <c r="AF583" s="4" t="e">
        <f t="shared" si="74"/>
        <v>#N/A</v>
      </c>
    </row>
    <row r="584" spans="2:32">
      <c r="B584" s="5">
        <f t="shared" si="79"/>
        <v>572</v>
      </c>
      <c r="C584" s="5"/>
      <c r="E584" s="13"/>
      <c r="F584" s="5"/>
      <c r="G584" s="11" t="str">
        <f>IF(ISERROR(AVERAGE(F$13:F584)),"n/a",AVERAGE(F$13:F584))</f>
        <v>n/a</v>
      </c>
      <c r="H584" s="11" t="str">
        <f t="shared" si="75"/>
        <v>n/a</v>
      </c>
      <c r="J584" s="5"/>
      <c r="K584" s="5"/>
      <c r="L584" s="5"/>
      <c r="M584" s="5"/>
      <c r="N584" s="5"/>
      <c r="O584" s="8" t="str">
        <f t="shared" si="73"/>
        <v>n/a</v>
      </c>
      <c r="Q584" s="5"/>
      <c r="R584" s="5"/>
      <c r="S584" s="5"/>
      <c r="U584" s="6"/>
      <c r="V584" s="9" t="str">
        <f t="shared" si="76"/>
        <v/>
      </c>
      <c r="W584" s="9" t="str">
        <f t="shared" si="77"/>
        <v/>
      </c>
      <c r="X584" s="10">
        <f>SUM(V$13:V584)/COUNTA(B$13:B584)</f>
        <v>0</v>
      </c>
      <c r="Z584" s="5"/>
      <c r="AA584" s="5"/>
      <c r="AC584" s="7"/>
      <c r="AE584" s="54" t="e">
        <f t="shared" si="78"/>
        <v>#N/A</v>
      </c>
      <c r="AF584" s="4" t="e">
        <f t="shared" si="74"/>
        <v>#N/A</v>
      </c>
    </row>
    <row r="585" spans="2:32">
      <c r="B585" s="5">
        <f t="shared" si="79"/>
        <v>573</v>
      </c>
      <c r="C585" s="5"/>
      <c r="E585" s="13"/>
      <c r="F585" s="5"/>
      <c r="G585" s="11" t="str">
        <f>IF(ISERROR(AVERAGE(F$13:F585)),"n/a",AVERAGE(F$13:F585))</f>
        <v>n/a</v>
      </c>
      <c r="H585" s="11" t="str">
        <f t="shared" si="75"/>
        <v>n/a</v>
      </c>
      <c r="J585" s="5"/>
      <c r="K585" s="5"/>
      <c r="L585" s="5"/>
      <c r="M585" s="5"/>
      <c r="N585" s="5"/>
      <c r="O585" s="8" t="str">
        <f t="shared" si="73"/>
        <v>n/a</v>
      </c>
      <c r="Q585" s="5"/>
      <c r="R585" s="5"/>
      <c r="S585" s="5"/>
      <c r="U585" s="6"/>
      <c r="V585" s="9" t="str">
        <f t="shared" si="76"/>
        <v/>
      </c>
      <c r="W585" s="9" t="str">
        <f t="shared" si="77"/>
        <v/>
      </c>
      <c r="X585" s="10">
        <f>SUM(V$13:V585)/COUNTA(B$13:B585)</f>
        <v>0</v>
      </c>
      <c r="Z585" s="5"/>
      <c r="AA585" s="5"/>
      <c r="AC585" s="7"/>
      <c r="AE585" s="54" t="e">
        <f t="shared" si="78"/>
        <v>#N/A</v>
      </c>
      <c r="AF585" s="4" t="e">
        <f t="shared" si="74"/>
        <v>#N/A</v>
      </c>
    </row>
    <row r="586" spans="2:32">
      <c r="B586" s="5">
        <f t="shared" si="79"/>
        <v>574</v>
      </c>
      <c r="C586" s="5"/>
      <c r="E586" s="13"/>
      <c r="F586" s="5"/>
      <c r="G586" s="11" t="str">
        <f>IF(ISERROR(AVERAGE(F$13:F586)),"n/a",AVERAGE(F$13:F586))</f>
        <v>n/a</v>
      </c>
      <c r="H586" s="11" t="str">
        <f t="shared" si="75"/>
        <v>n/a</v>
      </c>
      <c r="J586" s="5"/>
      <c r="K586" s="5"/>
      <c r="L586" s="5"/>
      <c r="M586" s="5"/>
      <c r="N586" s="5"/>
      <c r="O586" s="8" t="str">
        <f t="shared" si="73"/>
        <v>n/a</v>
      </c>
      <c r="Q586" s="5"/>
      <c r="R586" s="5"/>
      <c r="S586" s="5"/>
      <c r="U586" s="6"/>
      <c r="V586" s="9" t="str">
        <f t="shared" si="76"/>
        <v/>
      </c>
      <c r="W586" s="9" t="str">
        <f t="shared" si="77"/>
        <v/>
      </c>
      <c r="X586" s="10">
        <f>SUM(V$13:V586)/COUNTA(B$13:B586)</f>
        <v>0</v>
      </c>
      <c r="Z586" s="5"/>
      <c r="AA586" s="5"/>
      <c r="AC586" s="7"/>
      <c r="AE586" s="54" t="e">
        <f t="shared" si="78"/>
        <v>#N/A</v>
      </c>
      <c r="AF586" s="4" t="e">
        <f t="shared" si="74"/>
        <v>#N/A</v>
      </c>
    </row>
    <row r="587" spans="2:32">
      <c r="B587" s="5">
        <f t="shared" si="79"/>
        <v>575</v>
      </c>
      <c r="C587" s="5"/>
      <c r="E587" s="13"/>
      <c r="F587" s="5"/>
      <c r="G587" s="11" t="str">
        <f>IF(ISERROR(AVERAGE(F$13:F587)),"n/a",AVERAGE(F$13:F587))</f>
        <v>n/a</v>
      </c>
      <c r="H587" s="11" t="str">
        <f t="shared" si="75"/>
        <v>n/a</v>
      </c>
      <c r="J587" s="5"/>
      <c r="K587" s="5"/>
      <c r="L587" s="5"/>
      <c r="M587" s="5"/>
      <c r="N587" s="5"/>
      <c r="O587" s="8" t="str">
        <f t="shared" si="73"/>
        <v>n/a</v>
      </c>
      <c r="Q587" s="5"/>
      <c r="R587" s="5"/>
      <c r="S587" s="5"/>
      <c r="U587" s="6"/>
      <c r="V587" s="9" t="str">
        <f t="shared" si="76"/>
        <v/>
      </c>
      <c r="W587" s="9" t="str">
        <f t="shared" si="77"/>
        <v/>
      </c>
      <c r="X587" s="10">
        <f>SUM(V$13:V587)/COUNTA(B$13:B587)</f>
        <v>0</v>
      </c>
      <c r="Z587" s="5"/>
      <c r="AA587" s="5"/>
      <c r="AC587" s="7"/>
      <c r="AE587" s="54" t="e">
        <f t="shared" si="78"/>
        <v>#N/A</v>
      </c>
      <c r="AF587" s="4" t="e">
        <f t="shared" si="74"/>
        <v>#N/A</v>
      </c>
    </row>
    <row r="588" spans="2:32">
      <c r="B588" s="5">
        <f t="shared" si="79"/>
        <v>576</v>
      </c>
      <c r="C588" s="5"/>
      <c r="E588" s="13"/>
      <c r="F588" s="5"/>
      <c r="G588" s="11" t="str">
        <f>IF(ISERROR(AVERAGE(F$13:F588)),"n/a",AVERAGE(F$13:F588))</f>
        <v>n/a</v>
      </c>
      <c r="H588" s="11" t="str">
        <f t="shared" si="75"/>
        <v>n/a</v>
      </c>
      <c r="J588" s="5"/>
      <c r="K588" s="5"/>
      <c r="L588" s="5"/>
      <c r="M588" s="5"/>
      <c r="N588" s="5"/>
      <c r="O588" s="8" t="str">
        <f t="shared" si="73"/>
        <v>n/a</v>
      </c>
      <c r="Q588" s="5"/>
      <c r="R588" s="5"/>
      <c r="S588" s="5"/>
      <c r="U588" s="6"/>
      <c r="V588" s="9" t="str">
        <f t="shared" si="76"/>
        <v/>
      </c>
      <c r="W588" s="9" t="str">
        <f t="shared" si="77"/>
        <v/>
      </c>
      <c r="X588" s="10">
        <f>SUM(V$13:V588)/COUNTA(B$13:B588)</f>
        <v>0</v>
      </c>
      <c r="Z588" s="5"/>
      <c r="AA588" s="5"/>
      <c r="AC588" s="7"/>
      <c r="AE588" s="54" t="e">
        <f t="shared" si="78"/>
        <v>#N/A</v>
      </c>
      <c r="AF588" s="4" t="e">
        <f t="shared" si="74"/>
        <v>#N/A</v>
      </c>
    </row>
    <row r="589" spans="2:32">
      <c r="B589" s="5">
        <f t="shared" si="79"/>
        <v>577</v>
      </c>
      <c r="C589" s="5"/>
      <c r="E589" s="13"/>
      <c r="F589" s="5"/>
      <c r="G589" s="11" t="str">
        <f>IF(ISERROR(AVERAGE(F$13:F589)),"n/a",AVERAGE(F$13:F589))</f>
        <v>n/a</v>
      </c>
      <c r="H589" s="11" t="str">
        <f t="shared" si="75"/>
        <v>n/a</v>
      </c>
      <c r="J589" s="5"/>
      <c r="K589" s="5"/>
      <c r="L589" s="5"/>
      <c r="M589" s="5"/>
      <c r="N589" s="5"/>
      <c r="O589" s="8" t="str">
        <f t="shared" ref="O589:O652" si="80">IF(J589=1,"A",IF(K589=1,"B",IF(L589=1,"C",IF(M589=1,"D",IF(N589=1,"E","n/a")))))</f>
        <v>n/a</v>
      </c>
      <c r="Q589" s="5"/>
      <c r="R589" s="5"/>
      <c r="S589" s="5"/>
      <c r="U589" s="6"/>
      <c r="V589" s="9" t="str">
        <f t="shared" si="76"/>
        <v/>
      </c>
      <c r="W589" s="9" t="str">
        <f t="shared" si="77"/>
        <v/>
      </c>
      <c r="X589" s="10">
        <f>SUM(V$13:V589)/COUNTA(B$13:B589)</f>
        <v>0</v>
      </c>
      <c r="Z589" s="5"/>
      <c r="AA589" s="5"/>
      <c r="AC589" s="7"/>
      <c r="AE589" s="54" t="e">
        <f t="shared" si="78"/>
        <v>#N/A</v>
      </c>
      <c r="AF589" s="4" t="e">
        <f t="shared" ref="AF589:AF652" si="81">HLOOKUP(C589,$K$6:$O$7,2,FALSE)</f>
        <v>#N/A</v>
      </c>
    </row>
    <row r="590" spans="2:32">
      <c r="B590" s="5">
        <f t="shared" si="79"/>
        <v>578</v>
      </c>
      <c r="C590" s="5"/>
      <c r="E590" s="13"/>
      <c r="F590" s="5"/>
      <c r="G590" s="11" t="str">
        <f>IF(ISERROR(AVERAGE(F$13:F590)),"n/a",AVERAGE(F$13:F590))</f>
        <v>n/a</v>
      </c>
      <c r="H590" s="11" t="str">
        <f t="shared" ref="H590:H653" si="82">G590</f>
        <v>n/a</v>
      </c>
      <c r="J590" s="5"/>
      <c r="K590" s="5"/>
      <c r="L590" s="5"/>
      <c r="M590" s="5"/>
      <c r="N590" s="5"/>
      <c r="O590" s="8" t="str">
        <f t="shared" si="80"/>
        <v>n/a</v>
      </c>
      <c r="Q590" s="5"/>
      <c r="R590" s="5"/>
      <c r="S590" s="5"/>
      <c r="U590" s="6"/>
      <c r="V590" s="9" t="str">
        <f t="shared" ref="V590:V653" si="83">IF(O590="n/a","",IF(O590=U590,1,""))</f>
        <v/>
      </c>
      <c r="W590" s="9" t="str">
        <f t="shared" ref="W590:W653" si="84">IF(O590="n/a","",IF(O590&lt;&gt;U590,1,""))</f>
        <v/>
      </c>
      <c r="X590" s="10">
        <f>SUM(V$13:V590)/COUNTA(B$13:B590)</f>
        <v>0</v>
      </c>
      <c r="Z590" s="5"/>
      <c r="AA590" s="5"/>
      <c r="AC590" s="7"/>
      <c r="AE590" s="54" t="e">
        <f t="shared" ref="AE590:AE653" si="85">+IF($F$4=0,0,IF(W590=1,1,IF(OR(R590*$F$8=1,S590*$F$9=1,F590&gt;=AF590),2,0)))</f>
        <v>#N/A</v>
      </c>
      <c r="AF590" s="4" t="e">
        <f t="shared" si="81"/>
        <v>#N/A</v>
      </c>
    </row>
    <row r="591" spans="2:32">
      <c r="B591" s="5">
        <f t="shared" si="79"/>
        <v>579</v>
      </c>
      <c r="C591" s="5"/>
      <c r="E591" s="13"/>
      <c r="F591" s="5"/>
      <c r="G591" s="11" t="str">
        <f>IF(ISERROR(AVERAGE(F$13:F591)),"n/a",AVERAGE(F$13:F591))</f>
        <v>n/a</v>
      </c>
      <c r="H591" s="11" t="str">
        <f t="shared" si="82"/>
        <v>n/a</v>
      </c>
      <c r="J591" s="5"/>
      <c r="K591" s="5"/>
      <c r="L591" s="5"/>
      <c r="M591" s="5"/>
      <c r="N591" s="5"/>
      <c r="O591" s="8" t="str">
        <f t="shared" si="80"/>
        <v>n/a</v>
      </c>
      <c r="Q591" s="5"/>
      <c r="R591" s="5"/>
      <c r="S591" s="5"/>
      <c r="U591" s="6"/>
      <c r="V591" s="9" t="str">
        <f t="shared" si="83"/>
        <v/>
      </c>
      <c r="W591" s="9" t="str">
        <f t="shared" si="84"/>
        <v/>
      </c>
      <c r="X591" s="10">
        <f>SUM(V$13:V591)/COUNTA(B$13:B591)</f>
        <v>0</v>
      </c>
      <c r="Z591" s="5"/>
      <c r="AA591" s="5"/>
      <c r="AC591" s="7"/>
      <c r="AE591" s="54" t="e">
        <f t="shared" si="85"/>
        <v>#N/A</v>
      </c>
      <c r="AF591" s="4" t="e">
        <f t="shared" si="81"/>
        <v>#N/A</v>
      </c>
    </row>
    <row r="592" spans="2:32">
      <c r="B592" s="5">
        <f t="shared" si="79"/>
        <v>580</v>
      </c>
      <c r="C592" s="5"/>
      <c r="E592" s="13"/>
      <c r="F592" s="5"/>
      <c r="G592" s="11" t="str">
        <f>IF(ISERROR(AVERAGE(F$13:F592)),"n/a",AVERAGE(F$13:F592))</f>
        <v>n/a</v>
      </c>
      <c r="H592" s="11" t="str">
        <f t="shared" si="82"/>
        <v>n/a</v>
      </c>
      <c r="J592" s="5"/>
      <c r="K592" s="5"/>
      <c r="L592" s="5"/>
      <c r="M592" s="5"/>
      <c r="N592" s="5"/>
      <c r="O592" s="8" t="str">
        <f t="shared" si="80"/>
        <v>n/a</v>
      </c>
      <c r="Q592" s="5"/>
      <c r="R592" s="5"/>
      <c r="S592" s="5"/>
      <c r="U592" s="6"/>
      <c r="V592" s="9" t="str">
        <f t="shared" si="83"/>
        <v/>
      </c>
      <c r="W592" s="9" t="str">
        <f t="shared" si="84"/>
        <v/>
      </c>
      <c r="X592" s="10">
        <f>SUM(V$13:V592)/COUNTA(B$13:B592)</f>
        <v>0</v>
      </c>
      <c r="Z592" s="5"/>
      <c r="AA592" s="5"/>
      <c r="AC592" s="7"/>
      <c r="AE592" s="54" t="e">
        <f t="shared" si="85"/>
        <v>#N/A</v>
      </c>
      <c r="AF592" s="4" t="e">
        <f t="shared" si="81"/>
        <v>#N/A</v>
      </c>
    </row>
    <row r="593" spans="2:32">
      <c r="B593" s="5">
        <f t="shared" si="79"/>
        <v>581</v>
      </c>
      <c r="C593" s="5"/>
      <c r="E593" s="13"/>
      <c r="F593" s="5"/>
      <c r="G593" s="11" t="str">
        <f>IF(ISERROR(AVERAGE(F$13:F593)),"n/a",AVERAGE(F$13:F593))</f>
        <v>n/a</v>
      </c>
      <c r="H593" s="11" t="str">
        <f t="shared" si="82"/>
        <v>n/a</v>
      </c>
      <c r="J593" s="5"/>
      <c r="K593" s="5"/>
      <c r="L593" s="5"/>
      <c r="M593" s="5"/>
      <c r="N593" s="5"/>
      <c r="O593" s="8" t="str">
        <f t="shared" si="80"/>
        <v>n/a</v>
      </c>
      <c r="Q593" s="5"/>
      <c r="R593" s="5"/>
      <c r="S593" s="5"/>
      <c r="U593" s="6"/>
      <c r="V593" s="9" t="str">
        <f t="shared" si="83"/>
        <v/>
      </c>
      <c r="W593" s="9" t="str">
        <f t="shared" si="84"/>
        <v/>
      </c>
      <c r="X593" s="10">
        <f>SUM(V$13:V593)/COUNTA(B$13:B593)</f>
        <v>0</v>
      </c>
      <c r="Z593" s="5"/>
      <c r="AA593" s="5"/>
      <c r="AC593" s="7"/>
      <c r="AE593" s="54" t="e">
        <f t="shared" si="85"/>
        <v>#N/A</v>
      </c>
      <c r="AF593" s="4" t="e">
        <f t="shared" si="81"/>
        <v>#N/A</v>
      </c>
    </row>
    <row r="594" spans="2:32">
      <c r="B594" s="5">
        <f t="shared" si="79"/>
        <v>582</v>
      </c>
      <c r="C594" s="5"/>
      <c r="E594" s="13"/>
      <c r="F594" s="5"/>
      <c r="G594" s="11" t="str">
        <f>IF(ISERROR(AVERAGE(F$13:F594)),"n/a",AVERAGE(F$13:F594))</f>
        <v>n/a</v>
      </c>
      <c r="H594" s="11" t="str">
        <f t="shared" si="82"/>
        <v>n/a</v>
      </c>
      <c r="J594" s="5"/>
      <c r="K594" s="5"/>
      <c r="L594" s="5"/>
      <c r="M594" s="5"/>
      <c r="N594" s="5"/>
      <c r="O594" s="8" t="str">
        <f t="shared" si="80"/>
        <v>n/a</v>
      </c>
      <c r="Q594" s="5"/>
      <c r="R594" s="5"/>
      <c r="S594" s="5"/>
      <c r="U594" s="6"/>
      <c r="V594" s="9" t="str">
        <f t="shared" si="83"/>
        <v/>
      </c>
      <c r="W594" s="9" t="str">
        <f t="shared" si="84"/>
        <v/>
      </c>
      <c r="X594" s="10">
        <f>SUM(V$13:V594)/COUNTA(B$13:B594)</f>
        <v>0</v>
      </c>
      <c r="Z594" s="5"/>
      <c r="AA594" s="5"/>
      <c r="AC594" s="7"/>
      <c r="AE594" s="54" t="e">
        <f t="shared" si="85"/>
        <v>#N/A</v>
      </c>
      <c r="AF594" s="4" t="e">
        <f t="shared" si="81"/>
        <v>#N/A</v>
      </c>
    </row>
    <row r="595" spans="2:32">
      <c r="B595" s="5">
        <f t="shared" ref="B595:B658" si="86">+B594+1</f>
        <v>583</v>
      </c>
      <c r="C595" s="5"/>
      <c r="E595" s="13"/>
      <c r="F595" s="5"/>
      <c r="G595" s="11" t="str">
        <f>IF(ISERROR(AVERAGE(F$13:F595)),"n/a",AVERAGE(F$13:F595))</f>
        <v>n/a</v>
      </c>
      <c r="H595" s="11" t="str">
        <f t="shared" si="82"/>
        <v>n/a</v>
      </c>
      <c r="J595" s="5"/>
      <c r="K595" s="5"/>
      <c r="L595" s="5"/>
      <c r="M595" s="5"/>
      <c r="N595" s="5"/>
      <c r="O595" s="8" t="str">
        <f t="shared" si="80"/>
        <v>n/a</v>
      </c>
      <c r="Q595" s="5"/>
      <c r="R595" s="5"/>
      <c r="S595" s="5"/>
      <c r="U595" s="6"/>
      <c r="V595" s="9" t="str">
        <f t="shared" si="83"/>
        <v/>
      </c>
      <c r="W595" s="9" t="str">
        <f t="shared" si="84"/>
        <v/>
      </c>
      <c r="X595" s="10">
        <f>SUM(V$13:V595)/COUNTA(B$13:B595)</f>
        <v>0</v>
      </c>
      <c r="Z595" s="5"/>
      <c r="AA595" s="5"/>
      <c r="AC595" s="7"/>
      <c r="AE595" s="54" t="e">
        <f t="shared" si="85"/>
        <v>#N/A</v>
      </c>
      <c r="AF595" s="4" t="e">
        <f t="shared" si="81"/>
        <v>#N/A</v>
      </c>
    </row>
    <row r="596" spans="2:32">
      <c r="B596" s="5">
        <f t="shared" si="86"/>
        <v>584</v>
      </c>
      <c r="C596" s="5"/>
      <c r="E596" s="13"/>
      <c r="F596" s="5"/>
      <c r="G596" s="11" t="str">
        <f>IF(ISERROR(AVERAGE(F$13:F596)),"n/a",AVERAGE(F$13:F596))</f>
        <v>n/a</v>
      </c>
      <c r="H596" s="11" t="str">
        <f t="shared" si="82"/>
        <v>n/a</v>
      </c>
      <c r="J596" s="5"/>
      <c r="K596" s="5"/>
      <c r="L596" s="5"/>
      <c r="M596" s="5"/>
      <c r="N596" s="5"/>
      <c r="O596" s="8" t="str">
        <f t="shared" si="80"/>
        <v>n/a</v>
      </c>
      <c r="Q596" s="5"/>
      <c r="R596" s="5"/>
      <c r="S596" s="5"/>
      <c r="U596" s="6"/>
      <c r="V596" s="9" t="str">
        <f t="shared" si="83"/>
        <v/>
      </c>
      <c r="W596" s="9" t="str">
        <f t="shared" si="84"/>
        <v/>
      </c>
      <c r="X596" s="10">
        <f>SUM(V$13:V596)/COUNTA(B$13:B596)</f>
        <v>0</v>
      </c>
      <c r="Z596" s="5"/>
      <c r="AA596" s="5"/>
      <c r="AC596" s="7"/>
      <c r="AE596" s="54" t="e">
        <f t="shared" si="85"/>
        <v>#N/A</v>
      </c>
      <c r="AF596" s="4" t="e">
        <f t="shared" si="81"/>
        <v>#N/A</v>
      </c>
    </row>
    <row r="597" spans="2:32">
      <c r="B597" s="5">
        <f t="shared" si="86"/>
        <v>585</v>
      </c>
      <c r="C597" s="5"/>
      <c r="E597" s="13"/>
      <c r="F597" s="5"/>
      <c r="G597" s="11" t="str">
        <f>IF(ISERROR(AVERAGE(F$13:F597)),"n/a",AVERAGE(F$13:F597))</f>
        <v>n/a</v>
      </c>
      <c r="H597" s="11" t="str">
        <f t="shared" si="82"/>
        <v>n/a</v>
      </c>
      <c r="J597" s="5"/>
      <c r="K597" s="5"/>
      <c r="L597" s="5"/>
      <c r="M597" s="5"/>
      <c r="N597" s="5"/>
      <c r="O597" s="8" t="str">
        <f t="shared" si="80"/>
        <v>n/a</v>
      </c>
      <c r="Q597" s="5"/>
      <c r="R597" s="5"/>
      <c r="S597" s="5"/>
      <c r="U597" s="6"/>
      <c r="V597" s="9" t="str">
        <f t="shared" si="83"/>
        <v/>
      </c>
      <c r="W597" s="9" t="str">
        <f t="shared" si="84"/>
        <v/>
      </c>
      <c r="X597" s="10">
        <f>SUM(V$13:V597)/COUNTA(B$13:B597)</f>
        <v>0</v>
      </c>
      <c r="Z597" s="5"/>
      <c r="AA597" s="5"/>
      <c r="AC597" s="7"/>
      <c r="AE597" s="54" t="e">
        <f t="shared" si="85"/>
        <v>#N/A</v>
      </c>
      <c r="AF597" s="4" t="e">
        <f t="shared" si="81"/>
        <v>#N/A</v>
      </c>
    </row>
    <row r="598" spans="2:32">
      <c r="B598" s="5">
        <f t="shared" si="86"/>
        <v>586</v>
      </c>
      <c r="C598" s="5"/>
      <c r="E598" s="13"/>
      <c r="F598" s="5"/>
      <c r="G598" s="11" t="str">
        <f>IF(ISERROR(AVERAGE(F$13:F598)),"n/a",AVERAGE(F$13:F598))</f>
        <v>n/a</v>
      </c>
      <c r="H598" s="11" t="str">
        <f t="shared" si="82"/>
        <v>n/a</v>
      </c>
      <c r="J598" s="5"/>
      <c r="K598" s="5"/>
      <c r="L598" s="5"/>
      <c r="M598" s="5"/>
      <c r="N598" s="5"/>
      <c r="O598" s="8" t="str">
        <f t="shared" si="80"/>
        <v>n/a</v>
      </c>
      <c r="Q598" s="5"/>
      <c r="R598" s="5"/>
      <c r="S598" s="5"/>
      <c r="U598" s="6"/>
      <c r="V598" s="9" t="str">
        <f t="shared" si="83"/>
        <v/>
      </c>
      <c r="W598" s="9" t="str">
        <f t="shared" si="84"/>
        <v/>
      </c>
      <c r="X598" s="10">
        <f>SUM(V$13:V598)/COUNTA(B$13:B598)</f>
        <v>0</v>
      </c>
      <c r="Z598" s="5"/>
      <c r="AA598" s="5"/>
      <c r="AC598" s="7"/>
      <c r="AE598" s="54" t="e">
        <f t="shared" si="85"/>
        <v>#N/A</v>
      </c>
      <c r="AF598" s="4" t="e">
        <f t="shared" si="81"/>
        <v>#N/A</v>
      </c>
    </row>
    <row r="599" spans="2:32">
      <c r="B599" s="5">
        <f t="shared" si="86"/>
        <v>587</v>
      </c>
      <c r="C599" s="5"/>
      <c r="E599" s="13"/>
      <c r="F599" s="5"/>
      <c r="G599" s="11" t="str">
        <f>IF(ISERROR(AVERAGE(F$13:F599)),"n/a",AVERAGE(F$13:F599))</f>
        <v>n/a</v>
      </c>
      <c r="H599" s="11" t="str">
        <f t="shared" si="82"/>
        <v>n/a</v>
      </c>
      <c r="J599" s="5"/>
      <c r="K599" s="5"/>
      <c r="L599" s="5"/>
      <c r="M599" s="5"/>
      <c r="N599" s="5"/>
      <c r="O599" s="8" t="str">
        <f t="shared" si="80"/>
        <v>n/a</v>
      </c>
      <c r="Q599" s="5"/>
      <c r="R599" s="5"/>
      <c r="S599" s="5"/>
      <c r="U599" s="6"/>
      <c r="V599" s="9" t="str">
        <f t="shared" si="83"/>
        <v/>
      </c>
      <c r="W599" s="9" t="str">
        <f t="shared" si="84"/>
        <v/>
      </c>
      <c r="X599" s="10">
        <f>SUM(V$13:V599)/COUNTA(B$13:B599)</f>
        <v>0</v>
      </c>
      <c r="Z599" s="5"/>
      <c r="AA599" s="5"/>
      <c r="AC599" s="7"/>
      <c r="AE599" s="54" t="e">
        <f t="shared" si="85"/>
        <v>#N/A</v>
      </c>
      <c r="AF599" s="4" t="e">
        <f t="shared" si="81"/>
        <v>#N/A</v>
      </c>
    </row>
    <row r="600" spans="2:32">
      <c r="B600" s="5">
        <f t="shared" si="86"/>
        <v>588</v>
      </c>
      <c r="C600" s="5"/>
      <c r="E600" s="13"/>
      <c r="F600" s="5"/>
      <c r="G600" s="11" t="str">
        <f>IF(ISERROR(AVERAGE(F$13:F600)),"n/a",AVERAGE(F$13:F600))</f>
        <v>n/a</v>
      </c>
      <c r="H600" s="11" t="str">
        <f t="shared" si="82"/>
        <v>n/a</v>
      </c>
      <c r="J600" s="5"/>
      <c r="K600" s="5"/>
      <c r="L600" s="5"/>
      <c r="M600" s="5"/>
      <c r="N600" s="5"/>
      <c r="O600" s="8" t="str">
        <f t="shared" si="80"/>
        <v>n/a</v>
      </c>
      <c r="Q600" s="5"/>
      <c r="R600" s="5"/>
      <c r="S600" s="5"/>
      <c r="U600" s="6"/>
      <c r="V600" s="9" t="str">
        <f t="shared" si="83"/>
        <v/>
      </c>
      <c r="W600" s="9" t="str">
        <f t="shared" si="84"/>
        <v/>
      </c>
      <c r="X600" s="10">
        <f>SUM(V$13:V600)/COUNTA(B$13:B600)</f>
        <v>0</v>
      </c>
      <c r="Z600" s="5"/>
      <c r="AA600" s="5"/>
      <c r="AC600" s="7"/>
      <c r="AE600" s="54" t="e">
        <f t="shared" si="85"/>
        <v>#N/A</v>
      </c>
      <c r="AF600" s="4" t="e">
        <f t="shared" si="81"/>
        <v>#N/A</v>
      </c>
    </row>
    <row r="601" spans="2:32">
      <c r="B601" s="5">
        <f t="shared" si="86"/>
        <v>589</v>
      </c>
      <c r="C601" s="5"/>
      <c r="E601" s="13"/>
      <c r="F601" s="5"/>
      <c r="G601" s="11" t="str">
        <f>IF(ISERROR(AVERAGE(F$13:F601)),"n/a",AVERAGE(F$13:F601))</f>
        <v>n/a</v>
      </c>
      <c r="H601" s="11" t="str">
        <f t="shared" si="82"/>
        <v>n/a</v>
      </c>
      <c r="J601" s="5"/>
      <c r="K601" s="5"/>
      <c r="L601" s="5"/>
      <c r="M601" s="5"/>
      <c r="N601" s="5"/>
      <c r="O601" s="8" t="str">
        <f t="shared" si="80"/>
        <v>n/a</v>
      </c>
      <c r="Q601" s="5"/>
      <c r="R601" s="5"/>
      <c r="S601" s="5"/>
      <c r="U601" s="6"/>
      <c r="V601" s="9" t="str">
        <f t="shared" si="83"/>
        <v/>
      </c>
      <c r="W601" s="9" t="str">
        <f t="shared" si="84"/>
        <v/>
      </c>
      <c r="X601" s="10">
        <f>SUM(V$13:V601)/COUNTA(B$13:B601)</f>
        <v>0</v>
      </c>
      <c r="Z601" s="5"/>
      <c r="AA601" s="5"/>
      <c r="AC601" s="7"/>
      <c r="AE601" s="54" t="e">
        <f t="shared" si="85"/>
        <v>#N/A</v>
      </c>
      <c r="AF601" s="4" t="e">
        <f t="shared" si="81"/>
        <v>#N/A</v>
      </c>
    </row>
    <row r="602" spans="2:32">
      <c r="B602" s="5">
        <f t="shared" si="86"/>
        <v>590</v>
      </c>
      <c r="C602" s="5"/>
      <c r="E602" s="13"/>
      <c r="F602" s="5"/>
      <c r="G602" s="11" t="str">
        <f>IF(ISERROR(AVERAGE(F$13:F602)),"n/a",AVERAGE(F$13:F602))</f>
        <v>n/a</v>
      </c>
      <c r="H602" s="11" t="str">
        <f t="shared" si="82"/>
        <v>n/a</v>
      </c>
      <c r="J602" s="5"/>
      <c r="K602" s="5"/>
      <c r="L602" s="5"/>
      <c r="M602" s="5"/>
      <c r="N602" s="5"/>
      <c r="O602" s="8" t="str">
        <f t="shared" si="80"/>
        <v>n/a</v>
      </c>
      <c r="Q602" s="5"/>
      <c r="R602" s="5"/>
      <c r="S602" s="5"/>
      <c r="U602" s="6"/>
      <c r="V602" s="9" t="str">
        <f t="shared" si="83"/>
        <v/>
      </c>
      <c r="W602" s="9" t="str">
        <f t="shared" si="84"/>
        <v/>
      </c>
      <c r="X602" s="10">
        <f>SUM(V$13:V602)/COUNTA(B$13:B602)</f>
        <v>0</v>
      </c>
      <c r="Z602" s="5"/>
      <c r="AA602" s="5"/>
      <c r="AC602" s="7"/>
      <c r="AE602" s="54" t="e">
        <f t="shared" si="85"/>
        <v>#N/A</v>
      </c>
      <c r="AF602" s="4" t="e">
        <f t="shared" si="81"/>
        <v>#N/A</v>
      </c>
    </row>
    <row r="603" spans="2:32">
      <c r="B603" s="5">
        <f t="shared" si="86"/>
        <v>591</v>
      </c>
      <c r="C603" s="5"/>
      <c r="E603" s="13"/>
      <c r="F603" s="5"/>
      <c r="G603" s="11" t="str">
        <f>IF(ISERROR(AVERAGE(F$13:F603)),"n/a",AVERAGE(F$13:F603))</f>
        <v>n/a</v>
      </c>
      <c r="H603" s="11" t="str">
        <f t="shared" si="82"/>
        <v>n/a</v>
      </c>
      <c r="J603" s="5"/>
      <c r="K603" s="5"/>
      <c r="L603" s="5"/>
      <c r="M603" s="5"/>
      <c r="N603" s="5"/>
      <c r="O603" s="8" t="str">
        <f t="shared" si="80"/>
        <v>n/a</v>
      </c>
      <c r="Q603" s="5"/>
      <c r="R603" s="5"/>
      <c r="S603" s="5"/>
      <c r="U603" s="6"/>
      <c r="V603" s="9" t="str">
        <f t="shared" si="83"/>
        <v/>
      </c>
      <c r="W603" s="9" t="str">
        <f t="shared" si="84"/>
        <v/>
      </c>
      <c r="X603" s="10">
        <f>SUM(V$13:V603)/COUNTA(B$13:B603)</f>
        <v>0</v>
      </c>
      <c r="Z603" s="5"/>
      <c r="AA603" s="5"/>
      <c r="AC603" s="7"/>
      <c r="AE603" s="54" t="e">
        <f t="shared" si="85"/>
        <v>#N/A</v>
      </c>
      <c r="AF603" s="4" t="e">
        <f t="shared" si="81"/>
        <v>#N/A</v>
      </c>
    </row>
    <row r="604" spans="2:32">
      <c r="B604" s="5">
        <f t="shared" si="86"/>
        <v>592</v>
      </c>
      <c r="C604" s="5"/>
      <c r="E604" s="13"/>
      <c r="F604" s="5"/>
      <c r="G604" s="11" t="str">
        <f>IF(ISERROR(AVERAGE(F$13:F604)),"n/a",AVERAGE(F$13:F604))</f>
        <v>n/a</v>
      </c>
      <c r="H604" s="11" t="str">
        <f t="shared" si="82"/>
        <v>n/a</v>
      </c>
      <c r="J604" s="5"/>
      <c r="K604" s="5"/>
      <c r="L604" s="5"/>
      <c r="M604" s="5"/>
      <c r="N604" s="5"/>
      <c r="O604" s="8" t="str">
        <f t="shared" si="80"/>
        <v>n/a</v>
      </c>
      <c r="Q604" s="5"/>
      <c r="R604" s="5"/>
      <c r="S604" s="5"/>
      <c r="U604" s="6"/>
      <c r="V604" s="9" t="str">
        <f t="shared" si="83"/>
        <v/>
      </c>
      <c r="W604" s="9" t="str">
        <f t="shared" si="84"/>
        <v/>
      </c>
      <c r="X604" s="10">
        <f>SUM(V$13:V604)/COUNTA(B$13:B604)</f>
        <v>0</v>
      </c>
      <c r="Z604" s="5"/>
      <c r="AA604" s="5"/>
      <c r="AC604" s="7"/>
      <c r="AE604" s="54" t="e">
        <f t="shared" si="85"/>
        <v>#N/A</v>
      </c>
      <c r="AF604" s="4" t="e">
        <f t="shared" si="81"/>
        <v>#N/A</v>
      </c>
    </row>
    <row r="605" spans="2:32">
      <c r="B605" s="5">
        <f t="shared" si="86"/>
        <v>593</v>
      </c>
      <c r="C605" s="5"/>
      <c r="E605" s="13"/>
      <c r="F605" s="5"/>
      <c r="G605" s="11" t="str">
        <f>IF(ISERROR(AVERAGE(F$13:F605)),"n/a",AVERAGE(F$13:F605))</f>
        <v>n/a</v>
      </c>
      <c r="H605" s="11" t="str">
        <f t="shared" si="82"/>
        <v>n/a</v>
      </c>
      <c r="J605" s="5"/>
      <c r="K605" s="5"/>
      <c r="L605" s="5"/>
      <c r="M605" s="5"/>
      <c r="N605" s="5"/>
      <c r="O605" s="8" t="str">
        <f t="shared" si="80"/>
        <v>n/a</v>
      </c>
      <c r="Q605" s="5"/>
      <c r="R605" s="5"/>
      <c r="S605" s="5"/>
      <c r="U605" s="6"/>
      <c r="V605" s="9" t="str">
        <f t="shared" si="83"/>
        <v/>
      </c>
      <c r="W605" s="9" t="str">
        <f t="shared" si="84"/>
        <v/>
      </c>
      <c r="X605" s="10">
        <f>SUM(V$13:V605)/COUNTA(B$13:B605)</f>
        <v>0</v>
      </c>
      <c r="Z605" s="5"/>
      <c r="AA605" s="5"/>
      <c r="AC605" s="7"/>
      <c r="AE605" s="54" t="e">
        <f t="shared" si="85"/>
        <v>#N/A</v>
      </c>
      <c r="AF605" s="4" t="e">
        <f t="shared" si="81"/>
        <v>#N/A</v>
      </c>
    </row>
    <row r="606" spans="2:32">
      <c r="B606" s="5">
        <f t="shared" si="86"/>
        <v>594</v>
      </c>
      <c r="C606" s="5"/>
      <c r="E606" s="13"/>
      <c r="F606" s="5"/>
      <c r="G606" s="11" t="str">
        <f>IF(ISERROR(AVERAGE(F$13:F606)),"n/a",AVERAGE(F$13:F606))</f>
        <v>n/a</v>
      </c>
      <c r="H606" s="11" t="str">
        <f t="shared" si="82"/>
        <v>n/a</v>
      </c>
      <c r="J606" s="5"/>
      <c r="K606" s="5"/>
      <c r="L606" s="5"/>
      <c r="M606" s="5"/>
      <c r="N606" s="5"/>
      <c r="O606" s="8" t="str">
        <f t="shared" si="80"/>
        <v>n/a</v>
      </c>
      <c r="Q606" s="5"/>
      <c r="R606" s="5"/>
      <c r="S606" s="5"/>
      <c r="U606" s="6"/>
      <c r="V606" s="9" t="str">
        <f t="shared" si="83"/>
        <v/>
      </c>
      <c r="W606" s="9" t="str">
        <f t="shared" si="84"/>
        <v/>
      </c>
      <c r="X606" s="10">
        <f>SUM(V$13:V606)/COUNTA(B$13:B606)</f>
        <v>0</v>
      </c>
      <c r="Z606" s="5"/>
      <c r="AA606" s="5"/>
      <c r="AC606" s="7"/>
      <c r="AE606" s="54" t="e">
        <f t="shared" si="85"/>
        <v>#N/A</v>
      </c>
      <c r="AF606" s="4" t="e">
        <f t="shared" si="81"/>
        <v>#N/A</v>
      </c>
    </row>
    <row r="607" spans="2:32">
      <c r="B607" s="5">
        <f t="shared" si="86"/>
        <v>595</v>
      </c>
      <c r="C607" s="5"/>
      <c r="E607" s="13"/>
      <c r="F607" s="5"/>
      <c r="G607" s="11" t="str">
        <f>IF(ISERROR(AVERAGE(F$13:F607)),"n/a",AVERAGE(F$13:F607))</f>
        <v>n/a</v>
      </c>
      <c r="H607" s="11" t="str">
        <f t="shared" si="82"/>
        <v>n/a</v>
      </c>
      <c r="J607" s="5"/>
      <c r="K607" s="5"/>
      <c r="L607" s="5"/>
      <c r="M607" s="5"/>
      <c r="N607" s="5"/>
      <c r="O607" s="8" t="str">
        <f t="shared" si="80"/>
        <v>n/a</v>
      </c>
      <c r="Q607" s="5"/>
      <c r="R607" s="5"/>
      <c r="S607" s="5"/>
      <c r="U607" s="6"/>
      <c r="V607" s="9" t="str">
        <f t="shared" si="83"/>
        <v/>
      </c>
      <c r="W607" s="9" t="str">
        <f t="shared" si="84"/>
        <v/>
      </c>
      <c r="X607" s="10">
        <f>SUM(V$13:V607)/COUNTA(B$13:B607)</f>
        <v>0</v>
      </c>
      <c r="Z607" s="5"/>
      <c r="AA607" s="5"/>
      <c r="AC607" s="7"/>
      <c r="AE607" s="54" t="e">
        <f t="shared" si="85"/>
        <v>#N/A</v>
      </c>
      <c r="AF607" s="4" t="e">
        <f t="shared" si="81"/>
        <v>#N/A</v>
      </c>
    </row>
    <row r="608" spans="2:32">
      <c r="B608" s="5">
        <f t="shared" si="86"/>
        <v>596</v>
      </c>
      <c r="C608" s="5"/>
      <c r="E608" s="13"/>
      <c r="F608" s="5"/>
      <c r="G608" s="11" t="str">
        <f>IF(ISERROR(AVERAGE(F$13:F608)),"n/a",AVERAGE(F$13:F608))</f>
        <v>n/a</v>
      </c>
      <c r="H608" s="11" t="str">
        <f t="shared" si="82"/>
        <v>n/a</v>
      </c>
      <c r="J608" s="5"/>
      <c r="K608" s="5"/>
      <c r="L608" s="5"/>
      <c r="M608" s="5"/>
      <c r="N608" s="5"/>
      <c r="O608" s="8" t="str">
        <f t="shared" si="80"/>
        <v>n/a</v>
      </c>
      <c r="Q608" s="5"/>
      <c r="R608" s="5"/>
      <c r="S608" s="5"/>
      <c r="U608" s="6"/>
      <c r="V608" s="9" t="str">
        <f t="shared" si="83"/>
        <v/>
      </c>
      <c r="W608" s="9" t="str">
        <f t="shared" si="84"/>
        <v/>
      </c>
      <c r="X608" s="10">
        <f>SUM(V$13:V608)/COUNTA(B$13:B608)</f>
        <v>0</v>
      </c>
      <c r="Z608" s="5"/>
      <c r="AA608" s="5"/>
      <c r="AC608" s="7"/>
      <c r="AE608" s="54" t="e">
        <f t="shared" si="85"/>
        <v>#N/A</v>
      </c>
      <c r="AF608" s="4" t="e">
        <f t="shared" si="81"/>
        <v>#N/A</v>
      </c>
    </row>
    <row r="609" spans="2:32">
      <c r="B609" s="5">
        <f t="shared" si="86"/>
        <v>597</v>
      </c>
      <c r="C609" s="5"/>
      <c r="E609" s="13"/>
      <c r="F609" s="5"/>
      <c r="G609" s="11" t="str">
        <f>IF(ISERROR(AVERAGE(F$13:F609)),"n/a",AVERAGE(F$13:F609))</f>
        <v>n/a</v>
      </c>
      <c r="H609" s="11" t="str">
        <f t="shared" si="82"/>
        <v>n/a</v>
      </c>
      <c r="J609" s="5"/>
      <c r="K609" s="5"/>
      <c r="L609" s="5"/>
      <c r="M609" s="5"/>
      <c r="N609" s="5"/>
      <c r="O609" s="8" t="str">
        <f t="shared" si="80"/>
        <v>n/a</v>
      </c>
      <c r="Q609" s="5"/>
      <c r="R609" s="5"/>
      <c r="S609" s="5"/>
      <c r="U609" s="6"/>
      <c r="V609" s="9" t="str">
        <f t="shared" si="83"/>
        <v/>
      </c>
      <c r="W609" s="9" t="str">
        <f t="shared" si="84"/>
        <v/>
      </c>
      <c r="X609" s="10">
        <f>SUM(V$13:V609)/COUNTA(B$13:B609)</f>
        <v>0</v>
      </c>
      <c r="Z609" s="5"/>
      <c r="AA609" s="5"/>
      <c r="AC609" s="7"/>
      <c r="AE609" s="54" t="e">
        <f t="shared" si="85"/>
        <v>#N/A</v>
      </c>
      <c r="AF609" s="4" t="e">
        <f t="shared" si="81"/>
        <v>#N/A</v>
      </c>
    </row>
    <row r="610" spans="2:32">
      <c r="B610" s="5">
        <f t="shared" si="86"/>
        <v>598</v>
      </c>
      <c r="C610" s="5"/>
      <c r="E610" s="13"/>
      <c r="F610" s="5"/>
      <c r="G610" s="11" t="str">
        <f>IF(ISERROR(AVERAGE(F$13:F610)),"n/a",AVERAGE(F$13:F610))</f>
        <v>n/a</v>
      </c>
      <c r="H610" s="11" t="str">
        <f t="shared" si="82"/>
        <v>n/a</v>
      </c>
      <c r="J610" s="5"/>
      <c r="K610" s="5"/>
      <c r="L610" s="5"/>
      <c r="M610" s="5"/>
      <c r="N610" s="5"/>
      <c r="O610" s="8" t="str">
        <f t="shared" si="80"/>
        <v>n/a</v>
      </c>
      <c r="Q610" s="5"/>
      <c r="R610" s="5"/>
      <c r="S610" s="5"/>
      <c r="U610" s="6"/>
      <c r="V610" s="9" t="str">
        <f t="shared" si="83"/>
        <v/>
      </c>
      <c r="W610" s="9" t="str">
        <f t="shared" si="84"/>
        <v/>
      </c>
      <c r="X610" s="10">
        <f>SUM(V$13:V610)/COUNTA(B$13:B610)</f>
        <v>0</v>
      </c>
      <c r="Z610" s="5"/>
      <c r="AA610" s="5"/>
      <c r="AC610" s="7"/>
      <c r="AE610" s="54" t="e">
        <f t="shared" si="85"/>
        <v>#N/A</v>
      </c>
      <c r="AF610" s="4" t="e">
        <f t="shared" si="81"/>
        <v>#N/A</v>
      </c>
    </row>
    <row r="611" spans="2:32">
      <c r="B611" s="5">
        <f t="shared" si="86"/>
        <v>599</v>
      </c>
      <c r="C611" s="5"/>
      <c r="E611" s="13"/>
      <c r="F611" s="5"/>
      <c r="G611" s="11" t="str">
        <f>IF(ISERROR(AVERAGE(F$13:F611)),"n/a",AVERAGE(F$13:F611))</f>
        <v>n/a</v>
      </c>
      <c r="H611" s="11" t="str">
        <f t="shared" si="82"/>
        <v>n/a</v>
      </c>
      <c r="J611" s="5"/>
      <c r="K611" s="5"/>
      <c r="L611" s="5"/>
      <c r="M611" s="5"/>
      <c r="N611" s="5"/>
      <c r="O611" s="8" t="str">
        <f t="shared" si="80"/>
        <v>n/a</v>
      </c>
      <c r="Q611" s="5"/>
      <c r="R611" s="5"/>
      <c r="S611" s="5"/>
      <c r="U611" s="6"/>
      <c r="V611" s="9" t="str">
        <f t="shared" si="83"/>
        <v/>
      </c>
      <c r="W611" s="9" t="str">
        <f t="shared" si="84"/>
        <v/>
      </c>
      <c r="X611" s="10">
        <f>SUM(V$13:V611)/COUNTA(B$13:B611)</f>
        <v>0</v>
      </c>
      <c r="Z611" s="5"/>
      <c r="AA611" s="5"/>
      <c r="AC611" s="7"/>
      <c r="AE611" s="54" t="e">
        <f t="shared" si="85"/>
        <v>#N/A</v>
      </c>
      <c r="AF611" s="4" t="e">
        <f t="shared" si="81"/>
        <v>#N/A</v>
      </c>
    </row>
    <row r="612" spans="2:32">
      <c r="B612" s="5">
        <f t="shared" si="86"/>
        <v>600</v>
      </c>
      <c r="C612" s="5"/>
      <c r="E612" s="13"/>
      <c r="F612" s="5"/>
      <c r="G612" s="11" t="str">
        <f>IF(ISERROR(AVERAGE(F$13:F612)),"n/a",AVERAGE(F$13:F612))</f>
        <v>n/a</v>
      </c>
      <c r="H612" s="11" t="str">
        <f t="shared" si="82"/>
        <v>n/a</v>
      </c>
      <c r="J612" s="5"/>
      <c r="K612" s="5"/>
      <c r="L612" s="5"/>
      <c r="M612" s="5"/>
      <c r="N612" s="5"/>
      <c r="O612" s="8" t="str">
        <f t="shared" si="80"/>
        <v>n/a</v>
      </c>
      <c r="Q612" s="5"/>
      <c r="R612" s="5"/>
      <c r="S612" s="5"/>
      <c r="U612" s="6"/>
      <c r="V612" s="9" t="str">
        <f t="shared" si="83"/>
        <v/>
      </c>
      <c r="W612" s="9" t="str">
        <f t="shared" si="84"/>
        <v/>
      </c>
      <c r="X612" s="10">
        <f>SUM(V$13:V612)/COUNTA(B$13:B612)</f>
        <v>0</v>
      </c>
      <c r="Z612" s="5"/>
      <c r="AA612" s="5"/>
      <c r="AC612" s="7"/>
      <c r="AE612" s="54" t="e">
        <f t="shared" si="85"/>
        <v>#N/A</v>
      </c>
      <c r="AF612" s="4" t="e">
        <f t="shared" si="81"/>
        <v>#N/A</v>
      </c>
    </row>
    <row r="613" spans="2:32">
      <c r="B613" s="5">
        <f t="shared" si="86"/>
        <v>601</v>
      </c>
      <c r="C613" s="5"/>
      <c r="E613" s="13"/>
      <c r="F613" s="5"/>
      <c r="G613" s="11" t="str">
        <f>IF(ISERROR(AVERAGE(F$13:F613)),"n/a",AVERAGE(F$13:F613))</f>
        <v>n/a</v>
      </c>
      <c r="H613" s="11" t="str">
        <f t="shared" si="82"/>
        <v>n/a</v>
      </c>
      <c r="J613" s="5"/>
      <c r="K613" s="5"/>
      <c r="L613" s="5"/>
      <c r="M613" s="5"/>
      <c r="N613" s="5"/>
      <c r="O613" s="8" t="str">
        <f t="shared" si="80"/>
        <v>n/a</v>
      </c>
      <c r="Q613" s="5"/>
      <c r="R613" s="5"/>
      <c r="S613" s="5"/>
      <c r="U613" s="6"/>
      <c r="V613" s="9" t="str">
        <f t="shared" si="83"/>
        <v/>
      </c>
      <c r="W613" s="9" t="str">
        <f t="shared" si="84"/>
        <v/>
      </c>
      <c r="X613" s="10">
        <f>SUM(V$13:V613)/COUNTA(B$13:B613)</f>
        <v>0</v>
      </c>
      <c r="Z613" s="5"/>
      <c r="AA613" s="5"/>
      <c r="AC613" s="7"/>
      <c r="AE613" s="54" t="e">
        <f t="shared" si="85"/>
        <v>#N/A</v>
      </c>
      <c r="AF613" s="4" t="e">
        <f t="shared" si="81"/>
        <v>#N/A</v>
      </c>
    </row>
    <row r="614" spans="2:32">
      <c r="B614" s="5">
        <f t="shared" si="86"/>
        <v>602</v>
      </c>
      <c r="C614" s="5"/>
      <c r="E614" s="13"/>
      <c r="F614" s="5"/>
      <c r="G614" s="11" t="str">
        <f>IF(ISERROR(AVERAGE(F$13:F614)),"n/a",AVERAGE(F$13:F614))</f>
        <v>n/a</v>
      </c>
      <c r="H614" s="11" t="str">
        <f t="shared" si="82"/>
        <v>n/a</v>
      </c>
      <c r="J614" s="5"/>
      <c r="K614" s="5"/>
      <c r="L614" s="5"/>
      <c r="M614" s="5"/>
      <c r="N614" s="5"/>
      <c r="O614" s="8" t="str">
        <f t="shared" si="80"/>
        <v>n/a</v>
      </c>
      <c r="Q614" s="5"/>
      <c r="R614" s="5"/>
      <c r="S614" s="5"/>
      <c r="U614" s="6"/>
      <c r="V614" s="9" t="str">
        <f t="shared" si="83"/>
        <v/>
      </c>
      <c r="W614" s="9" t="str">
        <f t="shared" si="84"/>
        <v/>
      </c>
      <c r="X614" s="10">
        <f>SUM(V$13:V614)/COUNTA(B$13:B614)</f>
        <v>0</v>
      </c>
      <c r="Z614" s="5"/>
      <c r="AA614" s="5"/>
      <c r="AC614" s="7"/>
      <c r="AE614" s="54" t="e">
        <f t="shared" si="85"/>
        <v>#N/A</v>
      </c>
      <c r="AF614" s="4" t="e">
        <f t="shared" si="81"/>
        <v>#N/A</v>
      </c>
    </row>
    <row r="615" spans="2:32">
      <c r="B615" s="5">
        <f t="shared" si="86"/>
        <v>603</v>
      </c>
      <c r="C615" s="5"/>
      <c r="E615" s="13"/>
      <c r="F615" s="5"/>
      <c r="G615" s="11" t="str">
        <f>IF(ISERROR(AVERAGE(F$13:F615)),"n/a",AVERAGE(F$13:F615))</f>
        <v>n/a</v>
      </c>
      <c r="H615" s="11" t="str">
        <f t="shared" si="82"/>
        <v>n/a</v>
      </c>
      <c r="J615" s="5"/>
      <c r="K615" s="5"/>
      <c r="L615" s="5"/>
      <c r="M615" s="5"/>
      <c r="N615" s="5"/>
      <c r="O615" s="8" t="str">
        <f t="shared" si="80"/>
        <v>n/a</v>
      </c>
      <c r="Q615" s="5"/>
      <c r="R615" s="5"/>
      <c r="S615" s="5"/>
      <c r="U615" s="6"/>
      <c r="V615" s="9" t="str">
        <f t="shared" si="83"/>
        <v/>
      </c>
      <c r="W615" s="9" t="str">
        <f t="shared" si="84"/>
        <v/>
      </c>
      <c r="X615" s="10">
        <f>SUM(V$13:V615)/COUNTA(B$13:B615)</f>
        <v>0</v>
      </c>
      <c r="Z615" s="5"/>
      <c r="AA615" s="5"/>
      <c r="AC615" s="7"/>
      <c r="AE615" s="54" t="e">
        <f t="shared" si="85"/>
        <v>#N/A</v>
      </c>
      <c r="AF615" s="4" t="e">
        <f t="shared" si="81"/>
        <v>#N/A</v>
      </c>
    </row>
    <row r="616" spans="2:32">
      <c r="B616" s="5">
        <f t="shared" si="86"/>
        <v>604</v>
      </c>
      <c r="C616" s="5"/>
      <c r="E616" s="13"/>
      <c r="F616" s="5"/>
      <c r="G616" s="11" t="str">
        <f>IF(ISERROR(AVERAGE(F$13:F616)),"n/a",AVERAGE(F$13:F616))</f>
        <v>n/a</v>
      </c>
      <c r="H616" s="11" t="str">
        <f t="shared" si="82"/>
        <v>n/a</v>
      </c>
      <c r="J616" s="5"/>
      <c r="K616" s="5"/>
      <c r="L616" s="5"/>
      <c r="M616" s="5"/>
      <c r="N616" s="5"/>
      <c r="O616" s="8" t="str">
        <f t="shared" si="80"/>
        <v>n/a</v>
      </c>
      <c r="Q616" s="5"/>
      <c r="R616" s="5"/>
      <c r="S616" s="5"/>
      <c r="U616" s="6"/>
      <c r="V616" s="9" t="str">
        <f t="shared" si="83"/>
        <v/>
      </c>
      <c r="W616" s="9" t="str">
        <f t="shared" si="84"/>
        <v/>
      </c>
      <c r="X616" s="10">
        <f>SUM(V$13:V616)/COUNTA(B$13:B616)</f>
        <v>0</v>
      </c>
      <c r="Z616" s="5"/>
      <c r="AA616" s="5"/>
      <c r="AC616" s="7"/>
      <c r="AE616" s="54" t="e">
        <f t="shared" si="85"/>
        <v>#N/A</v>
      </c>
      <c r="AF616" s="4" t="e">
        <f t="shared" si="81"/>
        <v>#N/A</v>
      </c>
    </row>
    <row r="617" spans="2:32">
      <c r="B617" s="5">
        <f t="shared" si="86"/>
        <v>605</v>
      </c>
      <c r="C617" s="5"/>
      <c r="E617" s="13"/>
      <c r="F617" s="5"/>
      <c r="G617" s="11" t="str">
        <f>IF(ISERROR(AVERAGE(F$13:F617)),"n/a",AVERAGE(F$13:F617))</f>
        <v>n/a</v>
      </c>
      <c r="H617" s="11" t="str">
        <f t="shared" si="82"/>
        <v>n/a</v>
      </c>
      <c r="J617" s="5"/>
      <c r="K617" s="5"/>
      <c r="L617" s="5"/>
      <c r="M617" s="5"/>
      <c r="N617" s="5"/>
      <c r="O617" s="8" t="str">
        <f t="shared" si="80"/>
        <v>n/a</v>
      </c>
      <c r="Q617" s="5"/>
      <c r="R617" s="5"/>
      <c r="S617" s="5"/>
      <c r="U617" s="6"/>
      <c r="V617" s="9" t="str">
        <f t="shared" si="83"/>
        <v/>
      </c>
      <c r="W617" s="9" t="str">
        <f t="shared" si="84"/>
        <v/>
      </c>
      <c r="X617" s="10">
        <f>SUM(V$13:V617)/COUNTA(B$13:B617)</f>
        <v>0</v>
      </c>
      <c r="Z617" s="5"/>
      <c r="AA617" s="5"/>
      <c r="AC617" s="7"/>
      <c r="AE617" s="54" t="e">
        <f t="shared" si="85"/>
        <v>#N/A</v>
      </c>
      <c r="AF617" s="4" t="e">
        <f t="shared" si="81"/>
        <v>#N/A</v>
      </c>
    </row>
    <row r="618" spans="2:32">
      <c r="B618" s="5">
        <f t="shared" si="86"/>
        <v>606</v>
      </c>
      <c r="C618" s="5"/>
      <c r="E618" s="13"/>
      <c r="F618" s="5"/>
      <c r="G618" s="11" t="str">
        <f>IF(ISERROR(AVERAGE(F$13:F618)),"n/a",AVERAGE(F$13:F618))</f>
        <v>n/a</v>
      </c>
      <c r="H618" s="11" t="str">
        <f t="shared" si="82"/>
        <v>n/a</v>
      </c>
      <c r="J618" s="5"/>
      <c r="K618" s="5"/>
      <c r="L618" s="5"/>
      <c r="M618" s="5"/>
      <c r="N618" s="5"/>
      <c r="O618" s="8" t="str">
        <f t="shared" si="80"/>
        <v>n/a</v>
      </c>
      <c r="Q618" s="5"/>
      <c r="R618" s="5"/>
      <c r="S618" s="5"/>
      <c r="U618" s="6"/>
      <c r="V618" s="9" t="str">
        <f t="shared" si="83"/>
        <v/>
      </c>
      <c r="W618" s="9" t="str">
        <f t="shared" si="84"/>
        <v/>
      </c>
      <c r="X618" s="10">
        <f>SUM(V$13:V618)/COUNTA(B$13:B618)</f>
        <v>0</v>
      </c>
      <c r="Z618" s="5"/>
      <c r="AA618" s="5"/>
      <c r="AC618" s="7"/>
      <c r="AE618" s="54" t="e">
        <f t="shared" si="85"/>
        <v>#N/A</v>
      </c>
      <c r="AF618" s="4" t="e">
        <f t="shared" si="81"/>
        <v>#N/A</v>
      </c>
    </row>
    <row r="619" spans="2:32">
      <c r="B619" s="5">
        <f t="shared" si="86"/>
        <v>607</v>
      </c>
      <c r="C619" s="5"/>
      <c r="E619" s="13"/>
      <c r="F619" s="5"/>
      <c r="G619" s="11" t="str">
        <f>IF(ISERROR(AVERAGE(F$13:F619)),"n/a",AVERAGE(F$13:F619))</f>
        <v>n/a</v>
      </c>
      <c r="H619" s="11" t="str">
        <f t="shared" si="82"/>
        <v>n/a</v>
      </c>
      <c r="J619" s="5"/>
      <c r="K619" s="5"/>
      <c r="L619" s="5"/>
      <c r="M619" s="5"/>
      <c r="N619" s="5"/>
      <c r="O619" s="8" t="str">
        <f t="shared" si="80"/>
        <v>n/a</v>
      </c>
      <c r="Q619" s="5"/>
      <c r="R619" s="5"/>
      <c r="S619" s="5"/>
      <c r="U619" s="6"/>
      <c r="V619" s="9" t="str">
        <f t="shared" si="83"/>
        <v/>
      </c>
      <c r="W619" s="9" t="str">
        <f t="shared" si="84"/>
        <v/>
      </c>
      <c r="X619" s="10">
        <f>SUM(V$13:V619)/COUNTA(B$13:B619)</f>
        <v>0</v>
      </c>
      <c r="Z619" s="5"/>
      <c r="AA619" s="5"/>
      <c r="AC619" s="7"/>
      <c r="AE619" s="54" t="e">
        <f t="shared" si="85"/>
        <v>#N/A</v>
      </c>
      <c r="AF619" s="4" t="e">
        <f t="shared" si="81"/>
        <v>#N/A</v>
      </c>
    </row>
    <row r="620" spans="2:32">
      <c r="B620" s="5">
        <f t="shared" si="86"/>
        <v>608</v>
      </c>
      <c r="C620" s="5"/>
      <c r="E620" s="13"/>
      <c r="F620" s="5"/>
      <c r="G620" s="11" t="str">
        <f>IF(ISERROR(AVERAGE(F$13:F620)),"n/a",AVERAGE(F$13:F620))</f>
        <v>n/a</v>
      </c>
      <c r="H620" s="11" t="str">
        <f t="shared" si="82"/>
        <v>n/a</v>
      </c>
      <c r="J620" s="5"/>
      <c r="K620" s="5"/>
      <c r="L620" s="5"/>
      <c r="M620" s="5"/>
      <c r="N620" s="5"/>
      <c r="O620" s="8" t="str">
        <f t="shared" si="80"/>
        <v>n/a</v>
      </c>
      <c r="Q620" s="5"/>
      <c r="R620" s="5"/>
      <c r="S620" s="5"/>
      <c r="U620" s="6"/>
      <c r="V620" s="9" t="str">
        <f t="shared" si="83"/>
        <v/>
      </c>
      <c r="W620" s="9" t="str">
        <f t="shared" si="84"/>
        <v/>
      </c>
      <c r="X620" s="10">
        <f>SUM(V$13:V620)/COUNTA(B$13:B620)</f>
        <v>0</v>
      </c>
      <c r="Z620" s="5"/>
      <c r="AA620" s="5"/>
      <c r="AC620" s="7"/>
      <c r="AE620" s="54" t="e">
        <f t="shared" si="85"/>
        <v>#N/A</v>
      </c>
      <c r="AF620" s="4" t="e">
        <f t="shared" si="81"/>
        <v>#N/A</v>
      </c>
    </row>
    <row r="621" spans="2:32">
      <c r="B621" s="5">
        <f t="shared" si="86"/>
        <v>609</v>
      </c>
      <c r="C621" s="5"/>
      <c r="E621" s="13"/>
      <c r="F621" s="5"/>
      <c r="G621" s="11" t="str">
        <f>IF(ISERROR(AVERAGE(F$13:F621)),"n/a",AVERAGE(F$13:F621))</f>
        <v>n/a</v>
      </c>
      <c r="H621" s="11" t="str">
        <f t="shared" si="82"/>
        <v>n/a</v>
      </c>
      <c r="J621" s="5"/>
      <c r="K621" s="5"/>
      <c r="L621" s="5"/>
      <c r="M621" s="5"/>
      <c r="N621" s="5"/>
      <c r="O621" s="8" t="str">
        <f t="shared" si="80"/>
        <v>n/a</v>
      </c>
      <c r="Q621" s="5"/>
      <c r="R621" s="5"/>
      <c r="S621" s="5"/>
      <c r="U621" s="6"/>
      <c r="V621" s="9" t="str">
        <f t="shared" si="83"/>
        <v/>
      </c>
      <c r="W621" s="9" t="str">
        <f t="shared" si="84"/>
        <v/>
      </c>
      <c r="X621" s="10">
        <f>SUM(V$13:V621)/COUNTA(B$13:B621)</f>
        <v>0</v>
      </c>
      <c r="Z621" s="5"/>
      <c r="AA621" s="5"/>
      <c r="AC621" s="7"/>
      <c r="AE621" s="54" t="e">
        <f t="shared" si="85"/>
        <v>#N/A</v>
      </c>
      <c r="AF621" s="4" t="e">
        <f t="shared" si="81"/>
        <v>#N/A</v>
      </c>
    </row>
    <row r="622" spans="2:32">
      <c r="B622" s="5">
        <f t="shared" si="86"/>
        <v>610</v>
      </c>
      <c r="C622" s="5"/>
      <c r="E622" s="13"/>
      <c r="F622" s="5"/>
      <c r="G622" s="11" t="str">
        <f>IF(ISERROR(AVERAGE(F$13:F622)),"n/a",AVERAGE(F$13:F622))</f>
        <v>n/a</v>
      </c>
      <c r="H622" s="11" t="str">
        <f t="shared" si="82"/>
        <v>n/a</v>
      </c>
      <c r="J622" s="5"/>
      <c r="K622" s="5"/>
      <c r="L622" s="5"/>
      <c r="M622" s="5"/>
      <c r="N622" s="5"/>
      <c r="O622" s="8" t="str">
        <f t="shared" si="80"/>
        <v>n/a</v>
      </c>
      <c r="Q622" s="5"/>
      <c r="R622" s="5"/>
      <c r="S622" s="5"/>
      <c r="U622" s="6"/>
      <c r="V622" s="9" t="str">
        <f t="shared" si="83"/>
        <v/>
      </c>
      <c r="W622" s="9" t="str">
        <f t="shared" si="84"/>
        <v/>
      </c>
      <c r="X622" s="10">
        <f>SUM(V$13:V622)/COUNTA(B$13:B622)</f>
        <v>0</v>
      </c>
      <c r="Z622" s="5"/>
      <c r="AA622" s="5"/>
      <c r="AC622" s="7"/>
      <c r="AE622" s="54" t="e">
        <f t="shared" si="85"/>
        <v>#N/A</v>
      </c>
      <c r="AF622" s="4" t="e">
        <f t="shared" si="81"/>
        <v>#N/A</v>
      </c>
    </row>
    <row r="623" spans="2:32">
      <c r="B623" s="5">
        <f t="shared" si="86"/>
        <v>611</v>
      </c>
      <c r="C623" s="5"/>
      <c r="E623" s="13"/>
      <c r="F623" s="5"/>
      <c r="G623" s="11" t="str">
        <f>IF(ISERROR(AVERAGE(F$13:F623)),"n/a",AVERAGE(F$13:F623))</f>
        <v>n/a</v>
      </c>
      <c r="H623" s="11" t="str">
        <f t="shared" si="82"/>
        <v>n/a</v>
      </c>
      <c r="J623" s="5"/>
      <c r="K623" s="5"/>
      <c r="L623" s="5"/>
      <c r="M623" s="5"/>
      <c r="N623" s="5"/>
      <c r="O623" s="8" t="str">
        <f t="shared" si="80"/>
        <v>n/a</v>
      </c>
      <c r="Q623" s="5"/>
      <c r="R623" s="5"/>
      <c r="S623" s="5"/>
      <c r="U623" s="6"/>
      <c r="V623" s="9" t="str">
        <f t="shared" si="83"/>
        <v/>
      </c>
      <c r="W623" s="9" t="str">
        <f t="shared" si="84"/>
        <v/>
      </c>
      <c r="X623" s="10">
        <f>SUM(V$13:V623)/COUNTA(B$13:B623)</f>
        <v>0</v>
      </c>
      <c r="Z623" s="5"/>
      <c r="AA623" s="5"/>
      <c r="AC623" s="7"/>
      <c r="AE623" s="54" t="e">
        <f t="shared" si="85"/>
        <v>#N/A</v>
      </c>
      <c r="AF623" s="4" t="e">
        <f t="shared" si="81"/>
        <v>#N/A</v>
      </c>
    </row>
    <row r="624" spans="2:32">
      <c r="B624" s="5">
        <f t="shared" si="86"/>
        <v>612</v>
      </c>
      <c r="C624" s="5"/>
      <c r="E624" s="13"/>
      <c r="F624" s="5"/>
      <c r="G624" s="11" t="str">
        <f>IF(ISERROR(AVERAGE(F$13:F624)),"n/a",AVERAGE(F$13:F624))</f>
        <v>n/a</v>
      </c>
      <c r="H624" s="11" t="str">
        <f t="shared" si="82"/>
        <v>n/a</v>
      </c>
      <c r="J624" s="5"/>
      <c r="K624" s="5"/>
      <c r="L624" s="5"/>
      <c r="M624" s="5"/>
      <c r="N624" s="5"/>
      <c r="O624" s="8" t="str">
        <f t="shared" si="80"/>
        <v>n/a</v>
      </c>
      <c r="Q624" s="5"/>
      <c r="R624" s="5"/>
      <c r="S624" s="5"/>
      <c r="U624" s="6"/>
      <c r="V624" s="9" t="str">
        <f t="shared" si="83"/>
        <v/>
      </c>
      <c r="W624" s="9" t="str">
        <f t="shared" si="84"/>
        <v/>
      </c>
      <c r="X624" s="10">
        <f>SUM(V$13:V624)/COUNTA(B$13:B624)</f>
        <v>0</v>
      </c>
      <c r="Z624" s="5"/>
      <c r="AA624" s="5"/>
      <c r="AC624" s="7"/>
      <c r="AE624" s="54" t="e">
        <f t="shared" si="85"/>
        <v>#N/A</v>
      </c>
      <c r="AF624" s="4" t="e">
        <f t="shared" si="81"/>
        <v>#N/A</v>
      </c>
    </row>
    <row r="625" spans="2:32">
      <c r="B625" s="5">
        <f t="shared" si="86"/>
        <v>613</v>
      </c>
      <c r="C625" s="5"/>
      <c r="E625" s="13"/>
      <c r="F625" s="5"/>
      <c r="G625" s="11" t="str">
        <f>IF(ISERROR(AVERAGE(F$13:F625)),"n/a",AVERAGE(F$13:F625))</f>
        <v>n/a</v>
      </c>
      <c r="H625" s="11" t="str">
        <f t="shared" si="82"/>
        <v>n/a</v>
      </c>
      <c r="J625" s="5"/>
      <c r="K625" s="5"/>
      <c r="L625" s="5"/>
      <c r="M625" s="5"/>
      <c r="N625" s="5"/>
      <c r="O625" s="8" t="str">
        <f t="shared" si="80"/>
        <v>n/a</v>
      </c>
      <c r="Q625" s="5"/>
      <c r="R625" s="5"/>
      <c r="S625" s="5"/>
      <c r="U625" s="6"/>
      <c r="V625" s="9" t="str">
        <f t="shared" si="83"/>
        <v/>
      </c>
      <c r="W625" s="9" t="str">
        <f t="shared" si="84"/>
        <v/>
      </c>
      <c r="X625" s="10">
        <f>SUM(V$13:V625)/COUNTA(B$13:B625)</f>
        <v>0</v>
      </c>
      <c r="Z625" s="5"/>
      <c r="AA625" s="5"/>
      <c r="AC625" s="7"/>
      <c r="AE625" s="54" t="e">
        <f t="shared" si="85"/>
        <v>#N/A</v>
      </c>
      <c r="AF625" s="4" t="e">
        <f t="shared" si="81"/>
        <v>#N/A</v>
      </c>
    </row>
    <row r="626" spans="2:32">
      <c r="B626" s="5">
        <f t="shared" si="86"/>
        <v>614</v>
      </c>
      <c r="C626" s="5"/>
      <c r="E626" s="13"/>
      <c r="F626" s="5"/>
      <c r="G626" s="11" t="str">
        <f>IF(ISERROR(AVERAGE(F$13:F626)),"n/a",AVERAGE(F$13:F626))</f>
        <v>n/a</v>
      </c>
      <c r="H626" s="11" t="str">
        <f t="shared" si="82"/>
        <v>n/a</v>
      </c>
      <c r="J626" s="5"/>
      <c r="K626" s="5"/>
      <c r="L626" s="5"/>
      <c r="M626" s="5"/>
      <c r="N626" s="5"/>
      <c r="O626" s="8" t="str">
        <f t="shared" si="80"/>
        <v>n/a</v>
      </c>
      <c r="Q626" s="5"/>
      <c r="R626" s="5"/>
      <c r="S626" s="5"/>
      <c r="U626" s="6"/>
      <c r="V626" s="9" t="str">
        <f t="shared" si="83"/>
        <v/>
      </c>
      <c r="W626" s="9" t="str">
        <f t="shared" si="84"/>
        <v/>
      </c>
      <c r="X626" s="10">
        <f>SUM(V$13:V626)/COUNTA(B$13:B626)</f>
        <v>0</v>
      </c>
      <c r="Z626" s="5"/>
      <c r="AA626" s="5"/>
      <c r="AC626" s="7"/>
      <c r="AE626" s="54" t="e">
        <f t="shared" si="85"/>
        <v>#N/A</v>
      </c>
      <c r="AF626" s="4" t="e">
        <f t="shared" si="81"/>
        <v>#N/A</v>
      </c>
    </row>
    <row r="627" spans="2:32">
      <c r="B627" s="5">
        <f t="shared" si="86"/>
        <v>615</v>
      </c>
      <c r="C627" s="5"/>
      <c r="E627" s="13"/>
      <c r="F627" s="5"/>
      <c r="G627" s="11" t="str">
        <f>IF(ISERROR(AVERAGE(F$13:F627)),"n/a",AVERAGE(F$13:F627))</f>
        <v>n/a</v>
      </c>
      <c r="H627" s="11" t="str">
        <f t="shared" si="82"/>
        <v>n/a</v>
      </c>
      <c r="J627" s="5"/>
      <c r="K627" s="5"/>
      <c r="L627" s="5"/>
      <c r="M627" s="5"/>
      <c r="N627" s="5"/>
      <c r="O627" s="8" t="str">
        <f t="shared" si="80"/>
        <v>n/a</v>
      </c>
      <c r="Q627" s="5"/>
      <c r="R627" s="5"/>
      <c r="S627" s="5"/>
      <c r="U627" s="6"/>
      <c r="V627" s="9" t="str">
        <f t="shared" si="83"/>
        <v/>
      </c>
      <c r="W627" s="9" t="str">
        <f t="shared" si="84"/>
        <v/>
      </c>
      <c r="X627" s="10">
        <f>SUM(V$13:V627)/COUNTA(B$13:B627)</f>
        <v>0</v>
      </c>
      <c r="Z627" s="5"/>
      <c r="AA627" s="5"/>
      <c r="AC627" s="7"/>
      <c r="AE627" s="54" t="e">
        <f t="shared" si="85"/>
        <v>#N/A</v>
      </c>
      <c r="AF627" s="4" t="e">
        <f t="shared" si="81"/>
        <v>#N/A</v>
      </c>
    </row>
    <row r="628" spans="2:32">
      <c r="B628" s="5">
        <f t="shared" si="86"/>
        <v>616</v>
      </c>
      <c r="C628" s="5"/>
      <c r="E628" s="13"/>
      <c r="F628" s="5"/>
      <c r="G628" s="11" t="str">
        <f>IF(ISERROR(AVERAGE(F$13:F628)),"n/a",AVERAGE(F$13:F628))</f>
        <v>n/a</v>
      </c>
      <c r="H628" s="11" t="str">
        <f t="shared" si="82"/>
        <v>n/a</v>
      </c>
      <c r="J628" s="5"/>
      <c r="K628" s="5"/>
      <c r="L628" s="5"/>
      <c r="M628" s="5"/>
      <c r="N628" s="5"/>
      <c r="O628" s="8" t="str">
        <f t="shared" si="80"/>
        <v>n/a</v>
      </c>
      <c r="Q628" s="5"/>
      <c r="R628" s="5"/>
      <c r="S628" s="5"/>
      <c r="U628" s="6"/>
      <c r="V628" s="9" t="str">
        <f t="shared" si="83"/>
        <v/>
      </c>
      <c r="W628" s="9" t="str">
        <f t="shared" si="84"/>
        <v/>
      </c>
      <c r="X628" s="10">
        <f>SUM(V$13:V628)/COUNTA(B$13:B628)</f>
        <v>0</v>
      </c>
      <c r="Z628" s="5"/>
      <c r="AA628" s="5"/>
      <c r="AC628" s="7"/>
      <c r="AE628" s="54" t="e">
        <f t="shared" si="85"/>
        <v>#N/A</v>
      </c>
      <c r="AF628" s="4" t="e">
        <f t="shared" si="81"/>
        <v>#N/A</v>
      </c>
    </row>
    <row r="629" spans="2:32">
      <c r="B629" s="5">
        <f t="shared" si="86"/>
        <v>617</v>
      </c>
      <c r="C629" s="5"/>
      <c r="E629" s="13"/>
      <c r="F629" s="5"/>
      <c r="G629" s="11" t="str">
        <f>IF(ISERROR(AVERAGE(F$13:F629)),"n/a",AVERAGE(F$13:F629))</f>
        <v>n/a</v>
      </c>
      <c r="H629" s="11" t="str">
        <f t="shared" si="82"/>
        <v>n/a</v>
      </c>
      <c r="J629" s="5"/>
      <c r="K629" s="5"/>
      <c r="L629" s="5"/>
      <c r="M629" s="5"/>
      <c r="N629" s="5"/>
      <c r="O629" s="8" t="str">
        <f t="shared" si="80"/>
        <v>n/a</v>
      </c>
      <c r="Q629" s="5"/>
      <c r="R629" s="5"/>
      <c r="S629" s="5"/>
      <c r="U629" s="6"/>
      <c r="V629" s="9" t="str">
        <f t="shared" si="83"/>
        <v/>
      </c>
      <c r="W629" s="9" t="str">
        <f t="shared" si="84"/>
        <v/>
      </c>
      <c r="X629" s="10">
        <f>SUM(V$13:V629)/COUNTA(B$13:B629)</f>
        <v>0</v>
      </c>
      <c r="Z629" s="5"/>
      <c r="AA629" s="5"/>
      <c r="AC629" s="7"/>
      <c r="AE629" s="54" t="e">
        <f t="shared" si="85"/>
        <v>#N/A</v>
      </c>
      <c r="AF629" s="4" t="e">
        <f t="shared" si="81"/>
        <v>#N/A</v>
      </c>
    </row>
    <row r="630" spans="2:32">
      <c r="B630" s="5">
        <f t="shared" si="86"/>
        <v>618</v>
      </c>
      <c r="C630" s="5"/>
      <c r="E630" s="13"/>
      <c r="F630" s="5"/>
      <c r="G630" s="11" t="str">
        <f>IF(ISERROR(AVERAGE(F$13:F630)),"n/a",AVERAGE(F$13:F630))</f>
        <v>n/a</v>
      </c>
      <c r="H630" s="11" t="str">
        <f t="shared" si="82"/>
        <v>n/a</v>
      </c>
      <c r="J630" s="5"/>
      <c r="K630" s="5"/>
      <c r="L630" s="5"/>
      <c r="M630" s="5"/>
      <c r="N630" s="5"/>
      <c r="O630" s="8" t="str">
        <f t="shared" si="80"/>
        <v>n/a</v>
      </c>
      <c r="Q630" s="5"/>
      <c r="R630" s="5"/>
      <c r="S630" s="5"/>
      <c r="U630" s="6"/>
      <c r="V630" s="9" t="str">
        <f t="shared" si="83"/>
        <v/>
      </c>
      <c r="W630" s="9" t="str">
        <f t="shared" si="84"/>
        <v/>
      </c>
      <c r="X630" s="10">
        <f>SUM(V$13:V630)/COUNTA(B$13:B630)</f>
        <v>0</v>
      </c>
      <c r="Z630" s="5"/>
      <c r="AA630" s="5"/>
      <c r="AC630" s="7"/>
      <c r="AE630" s="54" t="e">
        <f t="shared" si="85"/>
        <v>#N/A</v>
      </c>
      <c r="AF630" s="4" t="e">
        <f t="shared" si="81"/>
        <v>#N/A</v>
      </c>
    </row>
    <row r="631" spans="2:32">
      <c r="B631" s="5">
        <f t="shared" si="86"/>
        <v>619</v>
      </c>
      <c r="C631" s="5"/>
      <c r="E631" s="13"/>
      <c r="F631" s="5"/>
      <c r="G631" s="11" t="str">
        <f>IF(ISERROR(AVERAGE(F$13:F631)),"n/a",AVERAGE(F$13:F631))</f>
        <v>n/a</v>
      </c>
      <c r="H631" s="11" t="str">
        <f t="shared" si="82"/>
        <v>n/a</v>
      </c>
      <c r="J631" s="5"/>
      <c r="K631" s="5"/>
      <c r="L631" s="5"/>
      <c r="M631" s="5"/>
      <c r="N631" s="5"/>
      <c r="O631" s="8" t="str">
        <f t="shared" si="80"/>
        <v>n/a</v>
      </c>
      <c r="Q631" s="5"/>
      <c r="R631" s="5"/>
      <c r="S631" s="5"/>
      <c r="U631" s="6"/>
      <c r="V631" s="9" t="str">
        <f t="shared" si="83"/>
        <v/>
      </c>
      <c r="W631" s="9" t="str">
        <f t="shared" si="84"/>
        <v/>
      </c>
      <c r="X631" s="10">
        <f>SUM(V$13:V631)/COUNTA(B$13:B631)</f>
        <v>0</v>
      </c>
      <c r="Z631" s="5"/>
      <c r="AA631" s="5"/>
      <c r="AC631" s="7"/>
      <c r="AE631" s="54" t="e">
        <f t="shared" si="85"/>
        <v>#N/A</v>
      </c>
      <c r="AF631" s="4" t="e">
        <f t="shared" si="81"/>
        <v>#N/A</v>
      </c>
    </row>
    <row r="632" spans="2:32">
      <c r="B632" s="5">
        <f t="shared" si="86"/>
        <v>620</v>
      </c>
      <c r="C632" s="5"/>
      <c r="E632" s="13"/>
      <c r="F632" s="5"/>
      <c r="G632" s="11" t="str">
        <f>IF(ISERROR(AVERAGE(F$13:F632)),"n/a",AVERAGE(F$13:F632))</f>
        <v>n/a</v>
      </c>
      <c r="H632" s="11" t="str">
        <f t="shared" si="82"/>
        <v>n/a</v>
      </c>
      <c r="J632" s="5"/>
      <c r="K632" s="5"/>
      <c r="L632" s="5"/>
      <c r="M632" s="5"/>
      <c r="N632" s="5"/>
      <c r="O632" s="8" t="str">
        <f t="shared" si="80"/>
        <v>n/a</v>
      </c>
      <c r="Q632" s="5"/>
      <c r="R632" s="5"/>
      <c r="S632" s="5"/>
      <c r="U632" s="6"/>
      <c r="V632" s="9" t="str">
        <f t="shared" si="83"/>
        <v/>
      </c>
      <c r="W632" s="9" t="str">
        <f t="shared" si="84"/>
        <v/>
      </c>
      <c r="X632" s="10">
        <f>SUM(V$13:V632)/COUNTA(B$13:B632)</f>
        <v>0</v>
      </c>
      <c r="Z632" s="5"/>
      <c r="AA632" s="5"/>
      <c r="AC632" s="7"/>
      <c r="AE632" s="54" t="e">
        <f t="shared" si="85"/>
        <v>#N/A</v>
      </c>
      <c r="AF632" s="4" t="e">
        <f t="shared" si="81"/>
        <v>#N/A</v>
      </c>
    </row>
    <row r="633" spans="2:32">
      <c r="B633" s="5">
        <f t="shared" si="86"/>
        <v>621</v>
      </c>
      <c r="C633" s="5"/>
      <c r="E633" s="13"/>
      <c r="F633" s="5"/>
      <c r="G633" s="11" t="str">
        <f>IF(ISERROR(AVERAGE(F$13:F633)),"n/a",AVERAGE(F$13:F633))</f>
        <v>n/a</v>
      </c>
      <c r="H633" s="11" t="str">
        <f t="shared" si="82"/>
        <v>n/a</v>
      </c>
      <c r="J633" s="5"/>
      <c r="K633" s="5"/>
      <c r="L633" s="5"/>
      <c r="M633" s="5"/>
      <c r="N633" s="5"/>
      <c r="O633" s="8" t="str">
        <f t="shared" si="80"/>
        <v>n/a</v>
      </c>
      <c r="Q633" s="5"/>
      <c r="R633" s="5"/>
      <c r="S633" s="5"/>
      <c r="U633" s="6"/>
      <c r="V633" s="9" t="str">
        <f t="shared" si="83"/>
        <v/>
      </c>
      <c r="W633" s="9" t="str">
        <f t="shared" si="84"/>
        <v/>
      </c>
      <c r="X633" s="10">
        <f>SUM(V$13:V633)/COUNTA(B$13:B633)</f>
        <v>0</v>
      </c>
      <c r="Z633" s="5"/>
      <c r="AA633" s="5"/>
      <c r="AC633" s="7"/>
      <c r="AE633" s="54" t="e">
        <f t="shared" si="85"/>
        <v>#N/A</v>
      </c>
      <c r="AF633" s="4" t="e">
        <f t="shared" si="81"/>
        <v>#N/A</v>
      </c>
    </row>
    <row r="634" spans="2:32">
      <c r="B634" s="5">
        <f t="shared" si="86"/>
        <v>622</v>
      </c>
      <c r="C634" s="5"/>
      <c r="E634" s="13"/>
      <c r="F634" s="5"/>
      <c r="G634" s="11" t="str">
        <f>IF(ISERROR(AVERAGE(F$13:F634)),"n/a",AVERAGE(F$13:F634))</f>
        <v>n/a</v>
      </c>
      <c r="H634" s="11" t="str">
        <f t="shared" si="82"/>
        <v>n/a</v>
      </c>
      <c r="J634" s="5"/>
      <c r="K634" s="5"/>
      <c r="L634" s="5"/>
      <c r="M634" s="5"/>
      <c r="N634" s="5"/>
      <c r="O634" s="8" t="str">
        <f t="shared" si="80"/>
        <v>n/a</v>
      </c>
      <c r="Q634" s="5"/>
      <c r="R634" s="5"/>
      <c r="S634" s="5"/>
      <c r="U634" s="6"/>
      <c r="V634" s="9" t="str">
        <f t="shared" si="83"/>
        <v/>
      </c>
      <c r="W634" s="9" t="str">
        <f t="shared" si="84"/>
        <v/>
      </c>
      <c r="X634" s="10">
        <f>SUM(V$13:V634)/COUNTA(B$13:B634)</f>
        <v>0</v>
      </c>
      <c r="Z634" s="5"/>
      <c r="AA634" s="5"/>
      <c r="AC634" s="7"/>
      <c r="AE634" s="54" t="e">
        <f t="shared" si="85"/>
        <v>#N/A</v>
      </c>
      <c r="AF634" s="4" t="e">
        <f t="shared" si="81"/>
        <v>#N/A</v>
      </c>
    </row>
    <row r="635" spans="2:32">
      <c r="B635" s="5">
        <f t="shared" si="86"/>
        <v>623</v>
      </c>
      <c r="C635" s="5"/>
      <c r="E635" s="13"/>
      <c r="F635" s="5"/>
      <c r="G635" s="11" t="str">
        <f>IF(ISERROR(AVERAGE(F$13:F635)),"n/a",AVERAGE(F$13:F635))</f>
        <v>n/a</v>
      </c>
      <c r="H635" s="11" t="str">
        <f t="shared" si="82"/>
        <v>n/a</v>
      </c>
      <c r="J635" s="5"/>
      <c r="K635" s="5"/>
      <c r="L635" s="5"/>
      <c r="M635" s="5"/>
      <c r="N635" s="5"/>
      <c r="O635" s="8" t="str">
        <f t="shared" si="80"/>
        <v>n/a</v>
      </c>
      <c r="Q635" s="5"/>
      <c r="R635" s="5"/>
      <c r="S635" s="5"/>
      <c r="U635" s="6"/>
      <c r="V635" s="9" t="str">
        <f t="shared" si="83"/>
        <v/>
      </c>
      <c r="W635" s="9" t="str">
        <f t="shared" si="84"/>
        <v/>
      </c>
      <c r="X635" s="10">
        <f>SUM(V$13:V635)/COUNTA(B$13:B635)</f>
        <v>0</v>
      </c>
      <c r="Z635" s="5"/>
      <c r="AA635" s="5"/>
      <c r="AC635" s="7"/>
      <c r="AE635" s="54" t="e">
        <f t="shared" si="85"/>
        <v>#N/A</v>
      </c>
      <c r="AF635" s="4" t="e">
        <f t="shared" si="81"/>
        <v>#N/A</v>
      </c>
    </row>
    <row r="636" spans="2:32">
      <c r="B636" s="5">
        <f t="shared" si="86"/>
        <v>624</v>
      </c>
      <c r="C636" s="5"/>
      <c r="E636" s="13"/>
      <c r="F636" s="5"/>
      <c r="G636" s="11" t="str">
        <f>IF(ISERROR(AVERAGE(F$13:F636)),"n/a",AVERAGE(F$13:F636))</f>
        <v>n/a</v>
      </c>
      <c r="H636" s="11" t="str">
        <f t="shared" si="82"/>
        <v>n/a</v>
      </c>
      <c r="J636" s="5"/>
      <c r="K636" s="5"/>
      <c r="L636" s="5"/>
      <c r="M636" s="5"/>
      <c r="N636" s="5"/>
      <c r="O636" s="8" t="str">
        <f t="shared" si="80"/>
        <v>n/a</v>
      </c>
      <c r="Q636" s="5"/>
      <c r="R636" s="5"/>
      <c r="S636" s="5"/>
      <c r="U636" s="6"/>
      <c r="V636" s="9" t="str">
        <f t="shared" si="83"/>
        <v/>
      </c>
      <c r="W636" s="9" t="str">
        <f t="shared" si="84"/>
        <v/>
      </c>
      <c r="X636" s="10">
        <f>SUM(V$13:V636)/COUNTA(B$13:B636)</f>
        <v>0</v>
      </c>
      <c r="Z636" s="5"/>
      <c r="AA636" s="5"/>
      <c r="AC636" s="7"/>
      <c r="AE636" s="54" t="e">
        <f t="shared" si="85"/>
        <v>#N/A</v>
      </c>
      <c r="AF636" s="4" t="e">
        <f t="shared" si="81"/>
        <v>#N/A</v>
      </c>
    </row>
    <row r="637" spans="2:32">
      <c r="B637" s="5">
        <f t="shared" si="86"/>
        <v>625</v>
      </c>
      <c r="C637" s="5"/>
      <c r="E637" s="13"/>
      <c r="F637" s="5"/>
      <c r="G637" s="11" t="str">
        <f>IF(ISERROR(AVERAGE(F$13:F637)),"n/a",AVERAGE(F$13:F637))</f>
        <v>n/a</v>
      </c>
      <c r="H637" s="11" t="str">
        <f t="shared" si="82"/>
        <v>n/a</v>
      </c>
      <c r="J637" s="5"/>
      <c r="K637" s="5"/>
      <c r="L637" s="5"/>
      <c r="M637" s="5"/>
      <c r="N637" s="5"/>
      <c r="O637" s="8" t="str">
        <f t="shared" si="80"/>
        <v>n/a</v>
      </c>
      <c r="Q637" s="5"/>
      <c r="R637" s="5"/>
      <c r="S637" s="5"/>
      <c r="U637" s="6"/>
      <c r="V637" s="9" t="str">
        <f t="shared" si="83"/>
        <v/>
      </c>
      <c r="W637" s="9" t="str">
        <f t="shared" si="84"/>
        <v/>
      </c>
      <c r="X637" s="10">
        <f>SUM(V$13:V637)/COUNTA(B$13:B637)</f>
        <v>0</v>
      </c>
      <c r="Z637" s="5"/>
      <c r="AA637" s="5"/>
      <c r="AC637" s="7"/>
      <c r="AE637" s="54" t="e">
        <f t="shared" si="85"/>
        <v>#N/A</v>
      </c>
      <c r="AF637" s="4" t="e">
        <f t="shared" si="81"/>
        <v>#N/A</v>
      </c>
    </row>
    <row r="638" spans="2:32">
      <c r="B638" s="5">
        <f t="shared" si="86"/>
        <v>626</v>
      </c>
      <c r="C638" s="5"/>
      <c r="E638" s="13"/>
      <c r="F638" s="5"/>
      <c r="G638" s="11" t="str">
        <f>IF(ISERROR(AVERAGE(F$13:F638)),"n/a",AVERAGE(F$13:F638))</f>
        <v>n/a</v>
      </c>
      <c r="H638" s="11" t="str">
        <f t="shared" si="82"/>
        <v>n/a</v>
      </c>
      <c r="J638" s="5"/>
      <c r="K638" s="5"/>
      <c r="L638" s="5"/>
      <c r="M638" s="5"/>
      <c r="N638" s="5"/>
      <c r="O638" s="8" t="str">
        <f t="shared" si="80"/>
        <v>n/a</v>
      </c>
      <c r="Q638" s="5"/>
      <c r="R638" s="5"/>
      <c r="S638" s="5"/>
      <c r="U638" s="6"/>
      <c r="V638" s="9" t="str">
        <f t="shared" si="83"/>
        <v/>
      </c>
      <c r="W638" s="9" t="str">
        <f t="shared" si="84"/>
        <v/>
      </c>
      <c r="X638" s="10">
        <f>SUM(V$13:V638)/COUNTA(B$13:B638)</f>
        <v>0</v>
      </c>
      <c r="Z638" s="5"/>
      <c r="AA638" s="5"/>
      <c r="AC638" s="7"/>
      <c r="AE638" s="54" t="e">
        <f t="shared" si="85"/>
        <v>#N/A</v>
      </c>
      <c r="AF638" s="4" t="e">
        <f t="shared" si="81"/>
        <v>#N/A</v>
      </c>
    </row>
    <row r="639" spans="2:32">
      <c r="B639" s="5">
        <f t="shared" si="86"/>
        <v>627</v>
      </c>
      <c r="C639" s="5"/>
      <c r="E639" s="13"/>
      <c r="F639" s="5"/>
      <c r="G639" s="11" t="str">
        <f>IF(ISERROR(AVERAGE(F$13:F639)),"n/a",AVERAGE(F$13:F639))</f>
        <v>n/a</v>
      </c>
      <c r="H639" s="11" t="str">
        <f t="shared" si="82"/>
        <v>n/a</v>
      </c>
      <c r="J639" s="5"/>
      <c r="K639" s="5"/>
      <c r="L639" s="5"/>
      <c r="M639" s="5"/>
      <c r="N639" s="5"/>
      <c r="O639" s="8" t="str">
        <f t="shared" si="80"/>
        <v>n/a</v>
      </c>
      <c r="Q639" s="5"/>
      <c r="R639" s="5"/>
      <c r="S639" s="5"/>
      <c r="U639" s="6"/>
      <c r="V639" s="9" t="str">
        <f t="shared" si="83"/>
        <v/>
      </c>
      <c r="W639" s="9" t="str">
        <f t="shared" si="84"/>
        <v/>
      </c>
      <c r="X639" s="10">
        <f>SUM(V$13:V639)/COUNTA(B$13:B639)</f>
        <v>0</v>
      </c>
      <c r="Z639" s="5"/>
      <c r="AA639" s="5"/>
      <c r="AC639" s="7"/>
      <c r="AE639" s="54" t="e">
        <f t="shared" si="85"/>
        <v>#N/A</v>
      </c>
      <c r="AF639" s="4" t="e">
        <f t="shared" si="81"/>
        <v>#N/A</v>
      </c>
    </row>
    <row r="640" spans="2:32">
      <c r="B640" s="5">
        <f t="shared" si="86"/>
        <v>628</v>
      </c>
      <c r="C640" s="5"/>
      <c r="E640" s="13"/>
      <c r="F640" s="5"/>
      <c r="G640" s="11" t="str">
        <f>IF(ISERROR(AVERAGE(F$13:F640)),"n/a",AVERAGE(F$13:F640))</f>
        <v>n/a</v>
      </c>
      <c r="H640" s="11" t="str">
        <f t="shared" si="82"/>
        <v>n/a</v>
      </c>
      <c r="J640" s="5"/>
      <c r="K640" s="5"/>
      <c r="L640" s="5"/>
      <c r="M640" s="5"/>
      <c r="N640" s="5"/>
      <c r="O640" s="8" t="str">
        <f t="shared" si="80"/>
        <v>n/a</v>
      </c>
      <c r="Q640" s="5"/>
      <c r="R640" s="5"/>
      <c r="S640" s="5"/>
      <c r="U640" s="6"/>
      <c r="V640" s="9" t="str">
        <f t="shared" si="83"/>
        <v/>
      </c>
      <c r="W640" s="9" t="str">
        <f t="shared" si="84"/>
        <v/>
      </c>
      <c r="X640" s="10">
        <f>SUM(V$13:V640)/COUNTA(B$13:B640)</f>
        <v>0</v>
      </c>
      <c r="Z640" s="5"/>
      <c r="AA640" s="5"/>
      <c r="AC640" s="7"/>
      <c r="AE640" s="54" t="e">
        <f t="shared" si="85"/>
        <v>#N/A</v>
      </c>
      <c r="AF640" s="4" t="e">
        <f t="shared" si="81"/>
        <v>#N/A</v>
      </c>
    </row>
    <row r="641" spans="2:32">
      <c r="B641" s="5">
        <f t="shared" si="86"/>
        <v>629</v>
      </c>
      <c r="C641" s="5"/>
      <c r="E641" s="13"/>
      <c r="F641" s="5"/>
      <c r="G641" s="11" t="str">
        <f>IF(ISERROR(AVERAGE(F$13:F641)),"n/a",AVERAGE(F$13:F641))</f>
        <v>n/a</v>
      </c>
      <c r="H641" s="11" t="str">
        <f t="shared" si="82"/>
        <v>n/a</v>
      </c>
      <c r="J641" s="5"/>
      <c r="K641" s="5"/>
      <c r="L641" s="5"/>
      <c r="M641" s="5"/>
      <c r="N641" s="5"/>
      <c r="O641" s="8" t="str">
        <f t="shared" si="80"/>
        <v>n/a</v>
      </c>
      <c r="Q641" s="5"/>
      <c r="R641" s="5"/>
      <c r="S641" s="5"/>
      <c r="U641" s="6"/>
      <c r="V641" s="9" t="str">
        <f t="shared" si="83"/>
        <v/>
      </c>
      <c r="W641" s="9" t="str">
        <f t="shared" si="84"/>
        <v/>
      </c>
      <c r="X641" s="10">
        <f>SUM(V$13:V641)/COUNTA(B$13:B641)</f>
        <v>0</v>
      </c>
      <c r="Z641" s="5"/>
      <c r="AA641" s="5"/>
      <c r="AC641" s="7"/>
      <c r="AE641" s="54" t="e">
        <f t="shared" si="85"/>
        <v>#N/A</v>
      </c>
      <c r="AF641" s="4" t="e">
        <f t="shared" si="81"/>
        <v>#N/A</v>
      </c>
    </row>
    <row r="642" spans="2:32">
      <c r="B642" s="5">
        <f t="shared" si="86"/>
        <v>630</v>
      </c>
      <c r="C642" s="5"/>
      <c r="E642" s="13"/>
      <c r="F642" s="5"/>
      <c r="G642" s="11" t="str">
        <f>IF(ISERROR(AVERAGE(F$13:F642)),"n/a",AVERAGE(F$13:F642))</f>
        <v>n/a</v>
      </c>
      <c r="H642" s="11" t="str">
        <f t="shared" si="82"/>
        <v>n/a</v>
      </c>
      <c r="J642" s="5"/>
      <c r="K642" s="5"/>
      <c r="L642" s="5"/>
      <c r="M642" s="5"/>
      <c r="N642" s="5"/>
      <c r="O642" s="8" t="str">
        <f t="shared" si="80"/>
        <v>n/a</v>
      </c>
      <c r="Q642" s="5"/>
      <c r="R642" s="5"/>
      <c r="S642" s="5"/>
      <c r="U642" s="6"/>
      <c r="V642" s="9" t="str">
        <f t="shared" si="83"/>
        <v/>
      </c>
      <c r="W642" s="9" t="str">
        <f t="shared" si="84"/>
        <v/>
      </c>
      <c r="X642" s="10">
        <f>SUM(V$13:V642)/COUNTA(B$13:B642)</f>
        <v>0</v>
      </c>
      <c r="Z642" s="5"/>
      <c r="AA642" s="5"/>
      <c r="AC642" s="7"/>
      <c r="AE642" s="54" t="e">
        <f t="shared" si="85"/>
        <v>#N/A</v>
      </c>
      <c r="AF642" s="4" t="e">
        <f t="shared" si="81"/>
        <v>#N/A</v>
      </c>
    </row>
    <row r="643" spans="2:32">
      <c r="B643" s="5">
        <f t="shared" si="86"/>
        <v>631</v>
      </c>
      <c r="C643" s="5"/>
      <c r="E643" s="13"/>
      <c r="F643" s="5"/>
      <c r="G643" s="11" t="str">
        <f>IF(ISERROR(AVERAGE(F$13:F643)),"n/a",AVERAGE(F$13:F643))</f>
        <v>n/a</v>
      </c>
      <c r="H643" s="11" t="str">
        <f t="shared" si="82"/>
        <v>n/a</v>
      </c>
      <c r="J643" s="5"/>
      <c r="K643" s="5"/>
      <c r="L643" s="5"/>
      <c r="M643" s="5"/>
      <c r="N643" s="5"/>
      <c r="O643" s="8" t="str">
        <f t="shared" si="80"/>
        <v>n/a</v>
      </c>
      <c r="Q643" s="5"/>
      <c r="R643" s="5"/>
      <c r="S643" s="5"/>
      <c r="U643" s="6"/>
      <c r="V643" s="9" t="str">
        <f t="shared" si="83"/>
        <v/>
      </c>
      <c r="W643" s="9" t="str">
        <f t="shared" si="84"/>
        <v/>
      </c>
      <c r="X643" s="10">
        <f>SUM(V$13:V643)/COUNTA(B$13:B643)</f>
        <v>0</v>
      </c>
      <c r="Z643" s="5"/>
      <c r="AA643" s="5"/>
      <c r="AC643" s="7"/>
      <c r="AE643" s="54" t="e">
        <f t="shared" si="85"/>
        <v>#N/A</v>
      </c>
      <c r="AF643" s="4" t="e">
        <f t="shared" si="81"/>
        <v>#N/A</v>
      </c>
    </row>
    <row r="644" spans="2:32">
      <c r="B644" s="5">
        <f t="shared" si="86"/>
        <v>632</v>
      </c>
      <c r="C644" s="5"/>
      <c r="E644" s="13"/>
      <c r="F644" s="5"/>
      <c r="G644" s="11" t="str">
        <f>IF(ISERROR(AVERAGE(F$13:F644)),"n/a",AVERAGE(F$13:F644))</f>
        <v>n/a</v>
      </c>
      <c r="H644" s="11" t="str">
        <f t="shared" si="82"/>
        <v>n/a</v>
      </c>
      <c r="J644" s="5"/>
      <c r="K644" s="5"/>
      <c r="L644" s="5"/>
      <c r="M644" s="5"/>
      <c r="N644" s="5"/>
      <c r="O644" s="8" t="str">
        <f t="shared" si="80"/>
        <v>n/a</v>
      </c>
      <c r="Q644" s="5"/>
      <c r="R644" s="5"/>
      <c r="S644" s="5"/>
      <c r="U644" s="6"/>
      <c r="V644" s="9" t="str">
        <f t="shared" si="83"/>
        <v/>
      </c>
      <c r="W644" s="9" t="str">
        <f t="shared" si="84"/>
        <v/>
      </c>
      <c r="X644" s="10">
        <f>SUM(V$13:V644)/COUNTA(B$13:B644)</f>
        <v>0</v>
      </c>
      <c r="Z644" s="5"/>
      <c r="AA644" s="5"/>
      <c r="AC644" s="7"/>
      <c r="AE644" s="54" t="e">
        <f t="shared" si="85"/>
        <v>#N/A</v>
      </c>
      <c r="AF644" s="4" t="e">
        <f t="shared" si="81"/>
        <v>#N/A</v>
      </c>
    </row>
    <row r="645" spans="2:32">
      <c r="B645" s="5">
        <f t="shared" si="86"/>
        <v>633</v>
      </c>
      <c r="C645" s="5"/>
      <c r="E645" s="13"/>
      <c r="F645" s="5"/>
      <c r="G645" s="11" t="str">
        <f>IF(ISERROR(AVERAGE(F$13:F645)),"n/a",AVERAGE(F$13:F645))</f>
        <v>n/a</v>
      </c>
      <c r="H645" s="11" t="str">
        <f t="shared" si="82"/>
        <v>n/a</v>
      </c>
      <c r="J645" s="5"/>
      <c r="K645" s="5"/>
      <c r="L645" s="5"/>
      <c r="M645" s="5"/>
      <c r="N645" s="5"/>
      <c r="O645" s="8" t="str">
        <f t="shared" si="80"/>
        <v>n/a</v>
      </c>
      <c r="Q645" s="5"/>
      <c r="R645" s="5"/>
      <c r="S645" s="5"/>
      <c r="U645" s="6"/>
      <c r="V645" s="9" t="str">
        <f t="shared" si="83"/>
        <v/>
      </c>
      <c r="W645" s="9" t="str">
        <f t="shared" si="84"/>
        <v/>
      </c>
      <c r="X645" s="10">
        <f>SUM(V$13:V645)/COUNTA(B$13:B645)</f>
        <v>0</v>
      </c>
      <c r="Z645" s="5"/>
      <c r="AA645" s="5"/>
      <c r="AC645" s="7"/>
      <c r="AE645" s="54" t="e">
        <f t="shared" si="85"/>
        <v>#N/A</v>
      </c>
      <c r="AF645" s="4" t="e">
        <f t="shared" si="81"/>
        <v>#N/A</v>
      </c>
    </row>
    <row r="646" spans="2:32">
      <c r="B646" s="5">
        <f t="shared" si="86"/>
        <v>634</v>
      </c>
      <c r="C646" s="5"/>
      <c r="E646" s="13"/>
      <c r="F646" s="5"/>
      <c r="G646" s="11" t="str">
        <f>IF(ISERROR(AVERAGE(F$13:F646)),"n/a",AVERAGE(F$13:F646))</f>
        <v>n/a</v>
      </c>
      <c r="H646" s="11" t="str">
        <f t="shared" si="82"/>
        <v>n/a</v>
      </c>
      <c r="J646" s="5"/>
      <c r="K646" s="5"/>
      <c r="L646" s="5"/>
      <c r="M646" s="5"/>
      <c r="N646" s="5"/>
      <c r="O646" s="8" t="str">
        <f t="shared" si="80"/>
        <v>n/a</v>
      </c>
      <c r="Q646" s="5"/>
      <c r="R646" s="5"/>
      <c r="S646" s="5"/>
      <c r="U646" s="6"/>
      <c r="V646" s="9" t="str">
        <f t="shared" si="83"/>
        <v/>
      </c>
      <c r="W646" s="9" t="str">
        <f t="shared" si="84"/>
        <v/>
      </c>
      <c r="X646" s="10">
        <f>SUM(V$13:V646)/COUNTA(B$13:B646)</f>
        <v>0</v>
      </c>
      <c r="Z646" s="5"/>
      <c r="AA646" s="5"/>
      <c r="AC646" s="7"/>
      <c r="AE646" s="54" t="e">
        <f t="shared" si="85"/>
        <v>#N/A</v>
      </c>
      <c r="AF646" s="4" t="e">
        <f t="shared" si="81"/>
        <v>#N/A</v>
      </c>
    </row>
    <row r="647" spans="2:32">
      <c r="B647" s="5">
        <f t="shared" si="86"/>
        <v>635</v>
      </c>
      <c r="C647" s="5"/>
      <c r="E647" s="13"/>
      <c r="F647" s="5"/>
      <c r="G647" s="11" t="str">
        <f>IF(ISERROR(AVERAGE(F$13:F647)),"n/a",AVERAGE(F$13:F647))</f>
        <v>n/a</v>
      </c>
      <c r="H647" s="11" t="str">
        <f t="shared" si="82"/>
        <v>n/a</v>
      </c>
      <c r="J647" s="5"/>
      <c r="K647" s="5"/>
      <c r="L647" s="5"/>
      <c r="M647" s="5"/>
      <c r="N647" s="5"/>
      <c r="O647" s="8" t="str">
        <f t="shared" si="80"/>
        <v>n/a</v>
      </c>
      <c r="Q647" s="5"/>
      <c r="R647" s="5"/>
      <c r="S647" s="5"/>
      <c r="U647" s="6"/>
      <c r="V647" s="9" t="str">
        <f t="shared" si="83"/>
        <v/>
      </c>
      <c r="W647" s="9" t="str">
        <f t="shared" si="84"/>
        <v/>
      </c>
      <c r="X647" s="10">
        <f>SUM(V$13:V647)/COUNTA(B$13:B647)</f>
        <v>0</v>
      </c>
      <c r="Z647" s="5"/>
      <c r="AA647" s="5"/>
      <c r="AC647" s="7"/>
      <c r="AE647" s="54" t="e">
        <f t="shared" si="85"/>
        <v>#N/A</v>
      </c>
      <c r="AF647" s="4" t="e">
        <f t="shared" si="81"/>
        <v>#N/A</v>
      </c>
    </row>
    <row r="648" spans="2:32">
      <c r="B648" s="5">
        <f t="shared" si="86"/>
        <v>636</v>
      </c>
      <c r="C648" s="5"/>
      <c r="E648" s="13"/>
      <c r="F648" s="5"/>
      <c r="G648" s="11" t="str">
        <f>IF(ISERROR(AVERAGE(F$13:F648)),"n/a",AVERAGE(F$13:F648))</f>
        <v>n/a</v>
      </c>
      <c r="H648" s="11" t="str">
        <f t="shared" si="82"/>
        <v>n/a</v>
      </c>
      <c r="J648" s="5"/>
      <c r="K648" s="5"/>
      <c r="L648" s="5"/>
      <c r="M648" s="5"/>
      <c r="N648" s="5"/>
      <c r="O648" s="8" t="str">
        <f t="shared" si="80"/>
        <v>n/a</v>
      </c>
      <c r="Q648" s="5"/>
      <c r="R648" s="5"/>
      <c r="S648" s="5"/>
      <c r="U648" s="6"/>
      <c r="V648" s="9" t="str">
        <f t="shared" si="83"/>
        <v/>
      </c>
      <c r="W648" s="9" t="str">
        <f t="shared" si="84"/>
        <v/>
      </c>
      <c r="X648" s="10">
        <f>SUM(V$13:V648)/COUNTA(B$13:B648)</f>
        <v>0</v>
      </c>
      <c r="Z648" s="5"/>
      <c r="AA648" s="5"/>
      <c r="AC648" s="7"/>
      <c r="AE648" s="54" t="e">
        <f t="shared" si="85"/>
        <v>#N/A</v>
      </c>
      <c r="AF648" s="4" t="e">
        <f t="shared" si="81"/>
        <v>#N/A</v>
      </c>
    </row>
    <row r="649" spans="2:32">
      <c r="B649" s="5">
        <f t="shared" si="86"/>
        <v>637</v>
      </c>
      <c r="C649" s="5"/>
      <c r="E649" s="13"/>
      <c r="F649" s="5"/>
      <c r="G649" s="11" t="str">
        <f>IF(ISERROR(AVERAGE(F$13:F649)),"n/a",AVERAGE(F$13:F649))</f>
        <v>n/a</v>
      </c>
      <c r="H649" s="11" t="str">
        <f t="shared" si="82"/>
        <v>n/a</v>
      </c>
      <c r="J649" s="5"/>
      <c r="K649" s="5"/>
      <c r="L649" s="5"/>
      <c r="M649" s="5"/>
      <c r="N649" s="5"/>
      <c r="O649" s="8" t="str">
        <f t="shared" si="80"/>
        <v>n/a</v>
      </c>
      <c r="Q649" s="5"/>
      <c r="R649" s="5"/>
      <c r="S649" s="5"/>
      <c r="U649" s="6"/>
      <c r="V649" s="9" t="str">
        <f t="shared" si="83"/>
        <v/>
      </c>
      <c r="W649" s="9" t="str">
        <f t="shared" si="84"/>
        <v/>
      </c>
      <c r="X649" s="10">
        <f>SUM(V$13:V649)/COUNTA(B$13:B649)</f>
        <v>0</v>
      </c>
      <c r="Z649" s="5"/>
      <c r="AA649" s="5"/>
      <c r="AC649" s="7"/>
      <c r="AE649" s="54" t="e">
        <f t="shared" si="85"/>
        <v>#N/A</v>
      </c>
      <c r="AF649" s="4" t="e">
        <f t="shared" si="81"/>
        <v>#N/A</v>
      </c>
    </row>
    <row r="650" spans="2:32">
      <c r="B650" s="5">
        <f t="shared" si="86"/>
        <v>638</v>
      </c>
      <c r="C650" s="5"/>
      <c r="E650" s="13"/>
      <c r="F650" s="5"/>
      <c r="G650" s="11" t="str">
        <f>IF(ISERROR(AVERAGE(F$13:F650)),"n/a",AVERAGE(F$13:F650))</f>
        <v>n/a</v>
      </c>
      <c r="H650" s="11" t="str">
        <f t="shared" si="82"/>
        <v>n/a</v>
      </c>
      <c r="J650" s="5"/>
      <c r="K650" s="5"/>
      <c r="L650" s="5"/>
      <c r="M650" s="5"/>
      <c r="N650" s="5"/>
      <c r="O650" s="8" t="str">
        <f t="shared" si="80"/>
        <v>n/a</v>
      </c>
      <c r="Q650" s="5"/>
      <c r="R650" s="5"/>
      <c r="S650" s="5"/>
      <c r="U650" s="6"/>
      <c r="V650" s="9" t="str">
        <f t="shared" si="83"/>
        <v/>
      </c>
      <c r="W650" s="9" t="str">
        <f t="shared" si="84"/>
        <v/>
      </c>
      <c r="X650" s="10">
        <f>SUM(V$13:V650)/COUNTA(B$13:B650)</f>
        <v>0</v>
      </c>
      <c r="Z650" s="5"/>
      <c r="AA650" s="5"/>
      <c r="AC650" s="7"/>
      <c r="AE650" s="54" t="e">
        <f t="shared" si="85"/>
        <v>#N/A</v>
      </c>
      <c r="AF650" s="4" t="e">
        <f t="shared" si="81"/>
        <v>#N/A</v>
      </c>
    </row>
    <row r="651" spans="2:32">
      <c r="B651" s="5">
        <f t="shared" si="86"/>
        <v>639</v>
      </c>
      <c r="C651" s="5"/>
      <c r="E651" s="13"/>
      <c r="F651" s="5"/>
      <c r="G651" s="11" t="str">
        <f>IF(ISERROR(AVERAGE(F$13:F651)),"n/a",AVERAGE(F$13:F651))</f>
        <v>n/a</v>
      </c>
      <c r="H651" s="11" t="str">
        <f t="shared" si="82"/>
        <v>n/a</v>
      </c>
      <c r="J651" s="5"/>
      <c r="K651" s="5"/>
      <c r="L651" s="5"/>
      <c r="M651" s="5"/>
      <c r="N651" s="5"/>
      <c r="O651" s="8" t="str">
        <f t="shared" si="80"/>
        <v>n/a</v>
      </c>
      <c r="Q651" s="5"/>
      <c r="R651" s="5"/>
      <c r="S651" s="5"/>
      <c r="U651" s="6"/>
      <c r="V651" s="9" t="str">
        <f t="shared" si="83"/>
        <v/>
      </c>
      <c r="W651" s="9" t="str">
        <f t="shared" si="84"/>
        <v/>
      </c>
      <c r="X651" s="10">
        <f>SUM(V$13:V651)/COUNTA(B$13:B651)</f>
        <v>0</v>
      </c>
      <c r="Z651" s="5"/>
      <c r="AA651" s="5"/>
      <c r="AC651" s="7"/>
      <c r="AE651" s="54" t="e">
        <f t="shared" si="85"/>
        <v>#N/A</v>
      </c>
      <c r="AF651" s="4" t="e">
        <f t="shared" si="81"/>
        <v>#N/A</v>
      </c>
    </row>
    <row r="652" spans="2:32">
      <c r="B652" s="5">
        <f t="shared" si="86"/>
        <v>640</v>
      </c>
      <c r="C652" s="5"/>
      <c r="E652" s="13"/>
      <c r="F652" s="5"/>
      <c r="G652" s="11" t="str">
        <f>IF(ISERROR(AVERAGE(F$13:F652)),"n/a",AVERAGE(F$13:F652))</f>
        <v>n/a</v>
      </c>
      <c r="H652" s="11" t="str">
        <f t="shared" si="82"/>
        <v>n/a</v>
      </c>
      <c r="J652" s="5"/>
      <c r="K652" s="5"/>
      <c r="L652" s="5"/>
      <c r="M652" s="5"/>
      <c r="N652" s="5"/>
      <c r="O652" s="8" t="str">
        <f t="shared" si="80"/>
        <v>n/a</v>
      </c>
      <c r="Q652" s="5"/>
      <c r="R652" s="5"/>
      <c r="S652" s="5"/>
      <c r="U652" s="6"/>
      <c r="V652" s="9" t="str">
        <f t="shared" si="83"/>
        <v/>
      </c>
      <c r="W652" s="9" t="str">
        <f t="shared" si="84"/>
        <v/>
      </c>
      <c r="X652" s="10">
        <f>SUM(V$13:V652)/COUNTA(B$13:B652)</f>
        <v>0</v>
      </c>
      <c r="Z652" s="5"/>
      <c r="AA652" s="5"/>
      <c r="AC652" s="7"/>
      <c r="AE652" s="54" t="e">
        <f t="shared" si="85"/>
        <v>#N/A</v>
      </c>
      <c r="AF652" s="4" t="e">
        <f t="shared" si="81"/>
        <v>#N/A</v>
      </c>
    </row>
    <row r="653" spans="2:32">
      <c r="B653" s="5">
        <f t="shared" si="86"/>
        <v>641</v>
      </c>
      <c r="C653" s="5"/>
      <c r="E653" s="13"/>
      <c r="F653" s="5"/>
      <c r="G653" s="11" t="str">
        <f>IF(ISERROR(AVERAGE(F$13:F653)),"n/a",AVERAGE(F$13:F653))</f>
        <v>n/a</v>
      </c>
      <c r="H653" s="11" t="str">
        <f t="shared" si="82"/>
        <v>n/a</v>
      </c>
      <c r="J653" s="5"/>
      <c r="K653" s="5"/>
      <c r="L653" s="5"/>
      <c r="M653" s="5"/>
      <c r="N653" s="5"/>
      <c r="O653" s="8" t="str">
        <f t="shared" ref="O653:O716" si="87">IF(J653=1,"A",IF(K653=1,"B",IF(L653=1,"C",IF(M653=1,"D",IF(N653=1,"E","n/a")))))</f>
        <v>n/a</v>
      </c>
      <c r="Q653" s="5"/>
      <c r="R653" s="5"/>
      <c r="S653" s="5"/>
      <c r="U653" s="6"/>
      <c r="V653" s="9" t="str">
        <f t="shared" si="83"/>
        <v/>
      </c>
      <c r="W653" s="9" t="str">
        <f t="shared" si="84"/>
        <v/>
      </c>
      <c r="X653" s="10">
        <f>SUM(V$13:V653)/COUNTA(B$13:B653)</f>
        <v>0</v>
      </c>
      <c r="Z653" s="5"/>
      <c r="AA653" s="5"/>
      <c r="AC653" s="7"/>
      <c r="AE653" s="54" t="e">
        <f t="shared" si="85"/>
        <v>#N/A</v>
      </c>
      <c r="AF653" s="4" t="e">
        <f t="shared" ref="AF653:AF716" si="88">HLOOKUP(C653,$K$6:$O$7,2,FALSE)</f>
        <v>#N/A</v>
      </c>
    </row>
    <row r="654" spans="2:32">
      <c r="B654" s="5">
        <f t="shared" si="86"/>
        <v>642</v>
      </c>
      <c r="C654" s="5"/>
      <c r="E654" s="13"/>
      <c r="F654" s="5"/>
      <c r="G654" s="11" t="str">
        <f>IF(ISERROR(AVERAGE(F$13:F654)),"n/a",AVERAGE(F$13:F654))</f>
        <v>n/a</v>
      </c>
      <c r="H654" s="11" t="str">
        <f t="shared" ref="H654:H717" si="89">G654</f>
        <v>n/a</v>
      </c>
      <c r="J654" s="5"/>
      <c r="K654" s="5"/>
      <c r="L654" s="5"/>
      <c r="M654" s="5"/>
      <c r="N654" s="5"/>
      <c r="O654" s="8" t="str">
        <f t="shared" si="87"/>
        <v>n/a</v>
      </c>
      <c r="Q654" s="5"/>
      <c r="R654" s="5"/>
      <c r="S654" s="5"/>
      <c r="U654" s="6"/>
      <c r="V654" s="9" t="str">
        <f t="shared" ref="V654:V717" si="90">IF(O654="n/a","",IF(O654=U654,1,""))</f>
        <v/>
      </c>
      <c r="W654" s="9" t="str">
        <f t="shared" ref="W654:W717" si="91">IF(O654="n/a","",IF(O654&lt;&gt;U654,1,""))</f>
        <v/>
      </c>
      <c r="X654" s="10">
        <f>SUM(V$13:V654)/COUNTA(B$13:B654)</f>
        <v>0</v>
      </c>
      <c r="Z654" s="5"/>
      <c r="AA654" s="5"/>
      <c r="AC654" s="7"/>
      <c r="AE654" s="54" t="e">
        <f t="shared" ref="AE654:AE717" si="92">+IF($F$4=0,0,IF(W654=1,1,IF(OR(R654*$F$8=1,S654*$F$9=1,F654&gt;=AF654),2,0)))</f>
        <v>#N/A</v>
      </c>
      <c r="AF654" s="4" t="e">
        <f t="shared" si="88"/>
        <v>#N/A</v>
      </c>
    </row>
    <row r="655" spans="2:32">
      <c r="B655" s="5">
        <f t="shared" si="86"/>
        <v>643</v>
      </c>
      <c r="C655" s="5"/>
      <c r="E655" s="13"/>
      <c r="F655" s="5"/>
      <c r="G655" s="11" t="str">
        <f>IF(ISERROR(AVERAGE(F$13:F655)),"n/a",AVERAGE(F$13:F655))</f>
        <v>n/a</v>
      </c>
      <c r="H655" s="11" t="str">
        <f t="shared" si="89"/>
        <v>n/a</v>
      </c>
      <c r="J655" s="5"/>
      <c r="K655" s="5"/>
      <c r="L655" s="5"/>
      <c r="M655" s="5"/>
      <c r="N655" s="5"/>
      <c r="O655" s="8" t="str">
        <f t="shared" si="87"/>
        <v>n/a</v>
      </c>
      <c r="Q655" s="5"/>
      <c r="R655" s="5"/>
      <c r="S655" s="5"/>
      <c r="U655" s="6"/>
      <c r="V655" s="9" t="str">
        <f t="shared" si="90"/>
        <v/>
      </c>
      <c r="W655" s="9" t="str">
        <f t="shared" si="91"/>
        <v/>
      </c>
      <c r="X655" s="10">
        <f>SUM(V$13:V655)/COUNTA(B$13:B655)</f>
        <v>0</v>
      </c>
      <c r="Z655" s="5"/>
      <c r="AA655" s="5"/>
      <c r="AC655" s="7"/>
      <c r="AE655" s="54" t="e">
        <f t="shared" si="92"/>
        <v>#N/A</v>
      </c>
      <c r="AF655" s="4" t="e">
        <f t="shared" si="88"/>
        <v>#N/A</v>
      </c>
    </row>
    <row r="656" spans="2:32">
      <c r="B656" s="5">
        <f t="shared" si="86"/>
        <v>644</v>
      </c>
      <c r="C656" s="5"/>
      <c r="E656" s="13"/>
      <c r="F656" s="5"/>
      <c r="G656" s="11" t="str">
        <f>IF(ISERROR(AVERAGE(F$13:F656)),"n/a",AVERAGE(F$13:F656))</f>
        <v>n/a</v>
      </c>
      <c r="H656" s="11" t="str">
        <f t="shared" si="89"/>
        <v>n/a</v>
      </c>
      <c r="J656" s="5"/>
      <c r="K656" s="5"/>
      <c r="L656" s="5"/>
      <c r="M656" s="5"/>
      <c r="N656" s="5"/>
      <c r="O656" s="8" t="str">
        <f t="shared" si="87"/>
        <v>n/a</v>
      </c>
      <c r="Q656" s="5"/>
      <c r="R656" s="5"/>
      <c r="S656" s="5"/>
      <c r="U656" s="6"/>
      <c r="V656" s="9" t="str">
        <f t="shared" si="90"/>
        <v/>
      </c>
      <c r="W656" s="9" t="str">
        <f t="shared" si="91"/>
        <v/>
      </c>
      <c r="X656" s="10">
        <f>SUM(V$13:V656)/COUNTA(B$13:B656)</f>
        <v>0</v>
      </c>
      <c r="Z656" s="5"/>
      <c r="AA656" s="5"/>
      <c r="AC656" s="7"/>
      <c r="AE656" s="54" t="e">
        <f t="shared" si="92"/>
        <v>#N/A</v>
      </c>
      <c r="AF656" s="4" t="e">
        <f t="shared" si="88"/>
        <v>#N/A</v>
      </c>
    </row>
    <row r="657" spans="2:32">
      <c r="B657" s="5">
        <f t="shared" si="86"/>
        <v>645</v>
      </c>
      <c r="C657" s="5"/>
      <c r="E657" s="13"/>
      <c r="F657" s="5"/>
      <c r="G657" s="11" t="str">
        <f>IF(ISERROR(AVERAGE(F$13:F657)),"n/a",AVERAGE(F$13:F657))</f>
        <v>n/a</v>
      </c>
      <c r="H657" s="11" t="str">
        <f t="shared" si="89"/>
        <v>n/a</v>
      </c>
      <c r="J657" s="5"/>
      <c r="K657" s="5"/>
      <c r="L657" s="5"/>
      <c r="M657" s="5"/>
      <c r="N657" s="5"/>
      <c r="O657" s="8" t="str">
        <f t="shared" si="87"/>
        <v>n/a</v>
      </c>
      <c r="Q657" s="5"/>
      <c r="R657" s="5"/>
      <c r="S657" s="5"/>
      <c r="U657" s="6"/>
      <c r="V657" s="9" t="str">
        <f t="shared" si="90"/>
        <v/>
      </c>
      <c r="W657" s="9" t="str">
        <f t="shared" si="91"/>
        <v/>
      </c>
      <c r="X657" s="10">
        <f>SUM(V$13:V657)/COUNTA(B$13:B657)</f>
        <v>0</v>
      </c>
      <c r="Z657" s="5"/>
      <c r="AA657" s="5"/>
      <c r="AC657" s="7"/>
      <c r="AE657" s="54" t="e">
        <f t="shared" si="92"/>
        <v>#N/A</v>
      </c>
      <c r="AF657" s="4" t="e">
        <f t="shared" si="88"/>
        <v>#N/A</v>
      </c>
    </row>
    <row r="658" spans="2:32">
      <c r="B658" s="5">
        <f t="shared" si="86"/>
        <v>646</v>
      </c>
      <c r="C658" s="5"/>
      <c r="E658" s="13"/>
      <c r="F658" s="5"/>
      <c r="G658" s="11" t="str">
        <f>IF(ISERROR(AVERAGE(F$13:F658)),"n/a",AVERAGE(F$13:F658))</f>
        <v>n/a</v>
      </c>
      <c r="H658" s="11" t="str">
        <f t="shared" si="89"/>
        <v>n/a</v>
      </c>
      <c r="J658" s="5"/>
      <c r="K658" s="5"/>
      <c r="L658" s="5"/>
      <c r="M658" s="5"/>
      <c r="N658" s="5"/>
      <c r="O658" s="8" t="str">
        <f t="shared" si="87"/>
        <v>n/a</v>
      </c>
      <c r="Q658" s="5"/>
      <c r="R658" s="5"/>
      <c r="S658" s="5"/>
      <c r="U658" s="6"/>
      <c r="V658" s="9" t="str">
        <f t="shared" si="90"/>
        <v/>
      </c>
      <c r="W658" s="9" t="str">
        <f t="shared" si="91"/>
        <v/>
      </c>
      <c r="X658" s="10">
        <f>SUM(V$13:V658)/COUNTA(B$13:B658)</f>
        <v>0</v>
      </c>
      <c r="Z658" s="5"/>
      <c r="AA658" s="5"/>
      <c r="AC658" s="7"/>
      <c r="AE658" s="54" t="e">
        <f t="shared" si="92"/>
        <v>#N/A</v>
      </c>
      <c r="AF658" s="4" t="e">
        <f t="shared" si="88"/>
        <v>#N/A</v>
      </c>
    </row>
    <row r="659" spans="2:32">
      <c r="B659" s="5">
        <f t="shared" ref="B659:B722" si="93">+B658+1</f>
        <v>647</v>
      </c>
      <c r="C659" s="5"/>
      <c r="E659" s="13"/>
      <c r="F659" s="5"/>
      <c r="G659" s="11" t="str">
        <f>IF(ISERROR(AVERAGE(F$13:F659)),"n/a",AVERAGE(F$13:F659))</f>
        <v>n/a</v>
      </c>
      <c r="H659" s="11" t="str">
        <f t="shared" si="89"/>
        <v>n/a</v>
      </c>
      <c r="J659" s="5"/>
      <c r="K659" s="5"/>
      <c r="L659" s="5"/>
      <c r="M659" s="5"/>
      <c r="N659" s="5"/>
      <c r="O659" s="8" t="str">
        <f t="shared" si="87"/>
        <v>n/a</v>
      </c>
      <c r="Q659" s="5"/>
      <c r="R659" s="5"/>
      <c r="S659" s="5"/>
      <c r="U659" s="6"/>
      <c r="V659" s="9" t="str">
        <f t="shared" si="90"/>
        <v/>
      </c>
      <c r="W659" s="9" t="str">
        <f t="shared" si="91"/>
        <v/>
      </c>
      <c r="X659" s="10">
        <f>SUM(V$13:V659)/COUNTA(B$13:B659)</f>
        <v>0</v>
      </c>
      <c r="Z659" s="5"/>
      <c r="AA659" s="5"/>
      <c r="AC659" s="7"/>
      <c r="AE659" s="54" t="e">
        <f t="shared" si="92"/>
        <v>#N/A</v>
      </c>
      <c r="AF659" s="4" t="e">
        <f t="shared" si="88"/>
        <v>#N/A</v>
      </c>
    </row>
    <row r="660" spans="2:32">
      <c r="B660" s="5">
        <f t="shared" si="93"/>
        <v>648</v>
      </c>
      <c r="C660" s="5"/>
      <c r="E660" s="13"/>
      <c r="F660" s="5"/>
      <c r="G660" s="11" t="str">
        <f>IF(ISERROR(AVERAGE(F$13:F660)),"n/a",AVERAGE(F$13:F660))</f>
        <v>n/a</v>
      </c>
      <c r="H660" s="11" t="str">
        <f t="shared" si="89"/>
        <v>n/a</v>
      </c>
      <c r="J660" s="5"/>
      <c r="K660" s="5"/>
      <c r="L660" s="5"/>
      <c r="M660" s="5"/>
      <c r="N660" s="5"/>
      <c r="O660" s="8" t="str">
        <f t="shared" si="87"/>
        <v>n/a</v>
      </c>
      <c r="Q660" s="5"/>
      <c r="R660" s="5"/>
      <c r="S660" s="5"/>
      <c r="U660" s="6"/>
      <c r="V660" s="9" t="str">
        <f t="shared" si="90"/>
        <v/>
      </c>
      <c r="W660" s="9" t="str">
        <f t="shared" si="91"/>
        <v/>
      </c>
      <c r="X660" s="10">
        <f>SUM(V$13:V660)/COUNTA(B$13:B660)</f>
        <v>0</v>
      </c>
      <c r="Z660" s="5"/>
      <c r="AA660" s="5"/>
      <c r="AC660" s="7"/>
      <c r="AE660" s="54" t="e">
        <f t="shared" si="92"/>
        <v>#N/A</v>
      </c>
      <c r="AF660" s="4" t="e">
        <f t="shared" si="88"/>
        <v>#N/A</v>
      </c>
    </row>
    <row r="661" spans="2:32">
      <c r="B661" s="5">
        <f t="shared" si="93"/>
        <v>649</v>
      </c>
      <c r="C661" s="5"/>
      <c r="E661" s="13"/>
      <c r="F661" s="5"/>
      <c r="G661" s="11" t="str">
        <f>IF(ISERROR(AVERAGE(F$13:F661)),"n/a",AVERAGE(F$13:F661))</f>
        <v>n/a</v>
      </c>
      <c r="H661" s="11" t="str">
        <f t="shared" si="89"/>
        <v>n/a</v>
      </c>
      <c r="J661" s="5"/>
      <c r="K661" s="5"/>
      <c r="L661" s="5"/>
      <c r="M661" s="5"/>
      <c r="N661" s="5"/>
      <c r="O661" s="8" t="str">
        <f t="shared" si="87"/>
        <v>n/a</v>
      </c>
      <c r="Q661" s="5"/>
      <c r="R661" s="5"/>
      <c r="S661" s="5"/>
      <c r="U661" s="6"/>
      <c r="V661" s="9" t="str">
        <f t="shared" si="90"/>
        <v/>
      </c>
      <c r="W661" s="9" t="str">
        <f t="shared" si="91"/>
        <v/>
      </c>
      <c r="X661" s="10">
        <f>SUM(V$13:V661)/COUNTA(B$13:B661)</f>
        <v>0</v>
      </c>
      <c r="Z661" s="5"/>
      <c r="AA661" s="5"/>
      <c r="AC661" s="7"/>
      <c r="AE661" s="54" t="e">
        <f t="shared" si="92"/>
        <v>#N/A</v>
      </c>
      <c r="AF661" s="4" t="e">
        <f t="shared" si="88"/>
        <v>#N/A</v>
      </c>
    </row>
    <row r="662" spans="2:32">
      <c r="B662" s="5">
        <f t="shared" si="93"/>
        <v>650</v>
      </c>
      <c r="C662" s="5"/>
      <c r="E662" s="13"/>
      <c r="F662" s="5"/>
      <c r="G662" s="11" t="str">
        <f>IF(ISERROR(AVERAGE(F$13:F662)),"n/a",AVERAGE(F$13:F662))</f>
        <v>n/a</v>
      </c>
      <c r="H662" s="11" t="str">
        <f t="shared" si="89"/>
        <v>n/a</v>
      </c>
      <c r="J662" s="5"/>
      <c r="K662" s="5"/>
      <c r="L662" s="5"/>
      <c r="M662" s="5"/>
      <c r="N662" s="5"/>
      <c r="O662" s="8" t="str">
        <f t="shared" si="87"/>
        <v>n/a</v>
      </c>
      <c r="Q662" s="5"/>
      <c r="R662" s="5"/>
      <c r="S662" s="5"/>
      <c r="U662" s="6"/>
      <c r="V662" s="9" t="str">
        <f t="shared" si="90"/>
        <v/>
      </c>
      <c r="W662" s="9" t="str">
        <f t="shared" si="91"/>
        <v/>
      </c>
      <c r="X662" s="10">
        <f>SUM(V$13:V662)/COUNTA(B$13:B662)</f>
        <v>0</v>
      </c>
      <c r="Z662" s="5"/>
      <c r="AA662" s="5"/>
      <c r="AC662" s="7"/>
      <c r="AE662" s="54" t="e">
        <f t="shared" si="92"/>
        <v>#N/A</v>
      </c>
      <c r="AF662" s="4" t="e">
        <f t="shared" si="88"/>
        <v>#N/A</v>
      </c>
    </row>
    <row r="663" spans="2:32">
      <c r="B663" s="5">
        <f t="shared" si="93"/>
        <v>651</v>
      </c>
      <c r="C663" s="5"/>
      <c r="E663" s="13"/>
      <c r="F663" s="5"/>
      <c r="G663" s="11" t="str">
        <f>IF(ISERROR(AVERAGE(F$13:F663)),"n/a",AVERAGE(F$13:F663))</f>
        <v>n/a</v>
      </c>
      <c r="H663" s="11" t="str">
        <f t="shared" si="89"/>
        <v>n/a</v>
      </c>
      <c r="J663" s="5"/>
      <c r="K663" s="5"/>
      <c r="L663" s="5"/>
      <c r="M663" s="5"/>
      <c r="N663" s="5"/>
      <c r="O663" s="8" t="str">
        <f t="shared" si="87"/>
        <v>n/a</v>
      </c>
      <c r="Q663" s="5"/>
      <c r="R663" s="5"/>
      <c r="S663" s="5"/>
      <c r="U663" s="6"/>
      <c r="V663" s="9" t="str">
        <f t="shared" si="90"/>
        <v/>
      </c>
      <c r="W663" s="9" t="str">
        <f t="shared" si="91"/>
        <v/>
      </c>
      <c r="X663" s="10">
        <f>SUM(V$13:V663)/COUNTA(B$13:B663)</f>
        <v>0</v>
      </c>
      <c r="Z663" s="5"/>
      <c r="AA663" s="5"/>
      <c r="AC663" s="7"/>
      <c r="AE663" s="54" t="e">
        <f t="shared" si="92"/>
        <v>#N/A</v>
      </c>
      <c r="AF663" s="4" t="e">
        <f t="shared" si="88"/>
        <v>#N/A</v>
      </c>
    </row>
    <row r="664" spans="2:32">
      <c r="B664" s="5">
        <f t="shared" si="93"/>
        <v>652</v>
      </c>
      <c r="C664" s="5"/>
      <c r="E664" s="13"/>
      <c r="F664" s="5"/>
      <c r="G664" s="11" t="str">
        <f>IF(ISERROR(AVERAGE(F$13:F664)),"n/a",AVERAGE(F$13:F664))</f>
        <v>n/a</v>
      </c>
      <c r="H664" s="11" t="str">
        <f t="shared" si="89"/>
        <v>n/a</v>
      </c>
      <c r="J664" s="5"/>
      <c r="K664" s="5"/>
      <c r="L664" s="5"/>
      <c r="M664" s="5"/>
      <c r="N664" s="5"/>
      <c r="O664" s="8" t="str">
        <f t="shared" si="87"/>
        <v>n/a</v>
      </c>
      <c r="Q664" s="5"/>
      <c r="R664" s="5"/>
      <c r="S664" s="5"/>
      <c r="U664" s="6"/>
      <c r="V664" s="9" t="str">
        <f t="shared" si="90"/>
        <v/>
      </c>
      <c r="W664" s="9" t="str">
        <f t="shared" si="91"/>
        <v/>
      </c>
      <c r="X664" s="10">
        <f>SUM(V$13:V664)/COUNTA(B$13:B664)</f>
        <v>0</v>
      </c>
      <c r="Z664" s="5"/>
      <c r="AA664" s="5"/>
      <c r="AC664" s="7"/>
      <c r="AE664" s="54" t="e">
        <f t="shared" si="92"/>
        <v>#N/A</v>
      </c>
      <c r="AF664" s="4" t="e">
        <f t="shared" si="88"/>
        <v>#N/A</v>
      </c>
    </row>
    <row r="665" spans="2:32">
      <c r="B665" s="5">
        <f t="shared" si="93"/>
        <v>653</v>
      </c>
      <c r="C665" s="5"/>
      <c r="E665" s="13"/>
      <c r="F665" s="5"/>
      <c r="G665" s="11" t="str">
        <f>IF(ISERROR(AVERAGE(F$13:F665)),"n/a",AVERAGE(F$13:F665))</f>
        <v>n/a</v>
      </c>
      <c r="H665" s="11" t="str">
        <f t="shared" si="89"/>
        <v>n/a</v>
      </c>
      <c r="J665" s="5"/>
      <c r="K665" s="5"/>
      <c r="L665" s="5"/>
      <c r="M665" s="5"/>
      <c r="N665" s="5"/>
      <c r="O665" s="8" t="str">
        <f t="shared" si="87"/>
        <v>n/a</v>
      </c>
      <c r="Q665" s="5"/>
      <c r="R665" s="5"/>
      <c r="S665" s="5"/>
      <c r="U665" s="6"/>
      <c r="V665" s="9" t="str">
        <f t="shared" si="90"/>
        <v/>
      </c>
      <c r="W665" s="9" t="str">
        <f t="shared" si="91"/>
        <v/>
      </c>
      <c r="X665" s="10">
        <f>SUM(V$13:V665)/COUNTA(B$13:B665)</f>
        <v>0</v>
      </c>
      <c r="Z665" s="5"/>
      <c r="AA665" s="5"/>
      <c r="AC665" s="7"/>
      <c r="AE665" s="54" t="e">
        <f t="shared" si="92"/>
        <v>#N/A</v>
      </c>
      <c r="AF665" s="4" t="e">
        <f t="shared" si="88"/>
        <v>#N/A</v>
      </c>
    </row>
    <row r="666" spans="2:32">
      <c r="B666" s="5">
        <f t="shared" si="93"/>
        <v>654</v>
      </c>
      <c r="C666" s="5"/>
      <c r="E666" s="13"/>
      <c r="F666" s="5"/>
      <c r="G666" s="11" t="str">
        <f>IF(ISERROR(AVERAGE(F$13:F666)),"n/a",AVERAGE(F$13:F666))</f>
        <v>n/a</v>
      </c>
      <c r="H666" s="11" t="str">
        <f t="shared" si="89"/>
        <v>n/a</v>
      </c>
      <c r="J666" s="5"/>
      <c r="K666" s="5"/>
      <c r="L666" s="5"/>
      <c r="M666" s="5"/>
      <c r="N666" s="5"/>
      <c r="O666" s="8" t="str">
        <f t="shared" si="87"/>
        <v>n/a</v>
      </c>
      <c r="Q666" s="5"/>
      <c r="R666" s="5"/>
      <c r="S666" s="5"/>
      <c r="U666" s="6"/>
      <c r="V666" s="9" t="str">
        <f t="shared" si="90"/>
        <v/>
      </c>
      <c r="W666" s="9" t="str">
        <f t="shared" si="91"/>
        <v/>
      </c>
      <c r="X666" s="10">
        <f>SUM(V$13:V666)/COUNTA(B$13:B666)</f>
        <v>0</v>
      </c>
      <c r="Z666" s="5"/>
      <c r="AA666" s="5"/>
      <c r="AC666" s="7"/>
      <c r="AE666" s="54" t="e">
        <f t="shared" si="92"/>
        <v>#N/A</v>
      </c>
      <c r="AF666" s="4" t="e">
        <f t="shared" si="88"/>
        <v>#N/A</v>
      </c>
    </row>
    <row r="667" spans="2:32">
      <c r="B667" s="5">
        <f t="shared" si="93"/>
        <v>655</v>
      </c>
      <c r="C667" s="5"/>
      <c r="E667" s="13"/>
      <c r="F667" s="5"/>
      <c r="G667" s="11" t="str">
        <f>IF(ISERROR(AVERAGE(F$13:F667)),"n/a",AVERAGE(F$13:F667))</f>
        <v>n/a</v>
      </c>
      <c r="H667" s="11" t="str">
        <f t="shared" si="89"/>
        <v>n/a</v>
      </c>
      <c r="J667" s="5"/>
      <c r="K667" s="5"/>
      <c r="L667" s="5"/>
      <c r="M667" s="5"/>
      <c r="N667" s="5"/>
      <c r="O667" s="8" t="str">
        <f t="shared" si="87"/>
        <v>n/a</v>
      </c>
      <c r="Q667" s="5"/>
      <c r="R667" s="5"/>
      <c r="S667" s="5"/>
      <c r="U667" s="6"/>
      <c r="V667" s="9" t="str">
        <f t="shared" si="90"/>
        <v/>
      </c>
      <c r="W667" s="9" t="str">
        <f t="shared" si="91"/>
        <v/>
      </c>
      <c r="X667" s="10">
        <f>SUM(V$13:V667)/COUNTA(B$13:B667)</f>
        <v>0</v>
      </c>
      <c r="Z667" s="5"/>
      <c r="AA667" s="5"/>
      <c r="AC667" s="7"/>
      <c r="AE667" s="54" t="e">
        <f t="shared" si="92"/>
        <v>#N/A</v>
      </c>
      <c r="AF667" s="4" t="e">
        <f t="shared" si="88"/>
        <v>#N/A</v>
      </c>
    </row>
    <row r="668" spans="2:32">
      <c r="B668" s="5">
        <f t="shared" si="93"/>
        <v>656</v>
      </c>
      <c r="C668" s="5"/>
      <c r="E668" s="13"/>
      <c r="F668" s="5"/>
      <c r="G668" s="11" t="str">
        <f>IF(ISERROR(AVERAGE(F$13:F668)),"n/a",AVERAGE(F$13:F668))</f>
        <v>n/a</v>
      </c>
      <c r="H668" s="11" t="str">
        <f t="shared" si="89"/>
        <v>n/a</v>
      </c>
      <c r="J668" s="5"/>
      <c r="K668" s="5"/>
      <c r="L668" s="5"/>
      <c r="M668" s="5"/>
      <c r="N668" s="5"/>
      <c r="O668" s="8" t="str">
        <f t="shared" si="87"/>
        <v>n/a</v>
      </c>
      <c r="Q668" s="5"/>
      <c r="R668" s="5"/>
      <c r="S668" s="5"/>
      <c r="U668" s="6"/>
      <c r="V668" s="9" t="str">
        <f t="shared" si="90"/>
        <v/>
      </c>
      <c r="W668" s="9" t="str">
        <f t="shared" si="91"/>
        <v/>
      </c>
      <c r="X668" s="10">
        <f>SUM(V$13:V668)/COUNTA(B$13:B668)</f>
        <v>0</v>
      </c>
      <c r="Z668" s="5"/>
      <c r="AA668" s="5"/>
      <c r="AC668" s="7"/>
      <c r="AE668" s="54" t="e">
        <f t="shared" si="92"/>
        <v>#N/A</v>
      </c>
      <c r="AF668" s="4" t="e">
        <f t="shared" si="88"/>
        <v>#N/A</v>
      </c>
    </row>
    <row r="669" spans="2:32">
      <c r="B669" s="5">
        <f t="shared" si="93"/>
        <v>657</v>
      </c>
      <c r="C669" s="5"/>
      <c r="E669" s="13"/>
      <c r="F669" s="5"/>
      <c r="G669" s="11" t="str">
        <f>IF(ISERROR(AVERAGE(F$13:F669)),"n/a",AVERAGE(F$13:F669))</f>
        <v>n/a</v>
      </c>
      <c r="H669" s="11" t="str">
        <f t="shared" si="89"/>
        <v>n/a</v>
      </c>
      <c r="J669" s="5"/>
      <c r="K669" s="5"/>
      <c r="L669" s="5"/>
      <c r="M669" s="5"/>
      <c r="N669" s="5"/>
      <c r="O669" s="8" t="str">
        <f t="shared" si="87"/>
        <v>n/a</v>
      </c>
      <c r="Q669" s="5"/>
      <c r="R669" s="5"/>
      <c r="S669" s="5"/>
      <c r="U669" s="6"/>
      <c r="V669" s="9" t="str">
        <f t="shared" si="90"/>
        <v/>
      </c>
      <c r="W669" s="9" t="str">
        <f t="shared" si="91"/>
        <v/>
      </c>
      <c r="X669" s="10">
        <f>SUM(V$13:V669)/COUNTA(B$13:B669)</f>
        <v>0</v>
      </c>
      <c r="Z669" s="5"/>
      <c r="AA669" s="5"/>
      <c r="AC669" s="7"/>
      <c r="AE669" s="54" t="e">
        <f t="shared" si="92"/>
        <v>#N/A</v>
      </c>
      <c r="AF669" s="4" t="e">
        <f t="shared" si="88"/>
        <v>#N/A</v>
      </c>
    </row>
    <row r="670" spans="2:32">
      <c r="B670" s="5">
        <f t="shared" si="93"/>
        <v>658</v>
      </c>
      <c r="C670" s="5"/>
      <c r="E670" s="13"/>
      <c r="F670" s="5"/>
      <c r="G670" s="11" t="str">
        <f>IF(ISERROR(AVERAGE(F$13:F670)),"n/a",AVERAGE(F$13:F670))</f>
        <v>n/a</v>
      </c>
      <c r="H670" s="11" t="str">
        <f t="shared" si="89"/>
        <v>n/a</v>
      </c>
      <c r="J670" s="5"/>
      <c r="K670" s="5"/>
      <c r="L670" s="5"/>
      <c r="M670" s="5"/>
      <c r="N670" s="5"/>
      <c r="O670" s="8" t="str">
        <f t="shared" si="87"/>
        <v>n/a</v>
      </c>
      <c r="Q670" s="5"/>
      <c r="R670" s="5"/>
      <c r="S670" s="5"/>
      <c r="U670" s="6"/>
      <c r="V670" s="9" t="str">
        <f t="shared" si="90"/>
        <v/>
      </c>
      <c r="W670" s="9" t="str">
        <f t="shared" si="91"/>
        <v/>
      </c>
      <c r="X670" s="10">
        <f>SUM(V$13:V670)/COUNTA(B$13:B670)</f>
        <v>0</v>
      </c>
      <c r="Z670" s="5"/>
      <c r="AA670" s="5"/>
      <c r="AC670" s="7"/>
      <c r="AE670" s="54" t="e">
        <f t="shared" si="92"/>
        <v>#N/A</v>
      </c>
      <c r="AF670" s="4" t="e">
        <f t="shared" si="88"/>
        <v>#N/A</v>
      </c>
    </row>
    <row r="671" spans="2:32">
      <c r="B671" s="5">
        <f t="shared" si="93"/>
        <v>659</v>
      </c>
      <c r="C671" s="5"/>
      <c r="E671" s="13"/>
      <c r="F671" s="5"/>
      <c r="G671" s="11" t="str">
        <f>IF(ISERROR(AVERAGE(F$13:F671)),"n/a",AVERAGE(F$13:F671))</f>
        <v>n/a</v>
      </c>
      <c r="H671" s="11" t="str">
        <f t="shared" si="89"/>
        <v>n/a</v>
      </c>
      <c r="J671" s="5"/>
      <c r="K671" s="5"/>
      <c r="L671" s="5"/>
      <c r="M671" s="5"/>
      <c r="N671" s="5"/>
      <c r="O671" s="8" t="str">
        <f t="shared" si="87"/>
        <v>n/a</v>
      </c>
      <c r="Q671" s="5"/>
      <c r="R671" s="5"/>
      <c r="S671" s="5"/>
      <c r="U671" s="6"/>
      <c r="V671" s="9" t="str">
        <f t="shared" si="90"/>
        <v/>
      </c>
      <c r="W671" s="9" t="str">
        <f t="shared" si="91"/>
        <v/>
      </c>
      <c r="X671" s="10">
        <f>SUM(V$13:V671)/COUNTA(B$13:B671)</f>
        <v>0</v>
      </c>
      <c r="Z671" s="5"/>
      <c r="AA671" s="5"/>
      <c r="AC671" s="7"/>
      <c r="AE671" s="54" t="e">
        <f t="shared" si="92"/>
        <v>#N/A</v>
      </c>
      <c r="AF671" s="4" t="e">
        <f t="shared" si="88"/>
        <v>#N/A</v>
      </c>
    </row>
    <row r="672" spans="2:32">
      <c r="B672" s="5">
        <f t="shared" si="93"/>
        <v>660</v>
      </c>
      <c r="C672" s="5"/>
      <c r="E672" s="13"/>
      <c r="F672" s="5"/>
      <c r="G672" s="11" t="str">
        <f>IF(ISERROR(AVERAGE(F$13:F672)),"n/a",AVERAGE(F$13:F672))</f>
        <v>n/a</v>
      </c>
      <c r="H672" s="11" t="str">
        <f t="shared" si="89"/>
        <v>n/a</v>
      </c>
      <c r="J672" s="5"/>
      <c r="K672" s="5"/>
      <c r="L672" s="5"/>
      <c r="M672" s="5"/>
      <c r="N672" s="5"/>
      <c r="O672" s="8" t="str">
        <f t="shared" si="87"/>
        <v>n/a</v>
      </c>
      <c r="Q672" s="5"/>
      <c r="R672" s="5"/>
      <c r="S672" s="5"/>
      <c r="U672" s="6"/>
      <c r="V672" s="9" t="str">
        <f t="shared" si="90"/>
        <v/>
      </c>
      <c r="W672" s="9" t="str">
        <f t="shared" si="91"/>
        <v/>
      </c>
      <c r="X672" s="10">
        <f>SUM(V$13:V672)/COUNTA(B$13:B672)</f>
        <v>0</v>
      </c>
      <c r="Z672" s="5"/>
      <c r="AA672" s="5"/>
      <c r="AC672" s="7"/>
      <c r="AE672" s="54" t="e">
        <f t="shared" si="92"/>
        <v>#N/A</v>
      </c>
      <c r="AF672" s="4" t="e">
        <f t="shared" si="88"/>
        <v>#N/A</v>
      </c>
    </row>
    <row r="673" spans="2:32">
      <c r="B673" s="5">
        <f t="shared" si="93"/>
        <v>661</v>
      </c>
      <c r="C673" s="5"/>
      <c r="E673" s="13"/>
      <c r="F673" s="5"/>
      <c r="G673" s="11" t="str">
        <f>IF(ISERROR(AVERAGE(F$13:F673)),"n/a",AVERAGE(F$13:F673))</f>
        <v>n/a</v>
      </c>
      <c r="H673" s="11" t="str">
        <f t="shared" si="89"/>
        <v>n/a</v>
      </c>
      <c r="J673" s="5"/>
      <c r="K673" s="5"/>
      <c r="L673" s="5"/>
      <c r="M673" s="5"/>
      <c r="N673" s="5"/>
      <c r="O673" s="8" t="str">
        <f t="shared" si="87"/>
        <v>n/a</v>
      </c>
      <c r="Q673" s="5"/>
      <c r="R673" s="5"/>
      <c r="S673" s="5"/>
      <c r="U673" s="6"/>
      <c r="V673" s="9" t="str">
        <f t="shared" si="90"/>
        <v/>
      </c>
      <c r="W673" s="9" t="str">
        <f t="shared" si="91"/>
        <v/>
      </c>
      <c r="X673" s="10">
        <f>SUM(V$13:V673)/COUNTA(B$13:B673)</f>
        <v>0</v>
      </c>
      <c r="Z673" s="5"/>
      <c r="AA673" s="5"/>
      <c r="AC673" s="7"/>
      <c r="AE673" s="54" t="e">
        <f t="shared" si="92"/>
        <v>#N/A</v>
      </c>
      <c r="AF673" s="4" t="e">
        <f t="shared" si="88"/>
        <v>#N/A</v>
      </c>
    </row>
    <row r="674" spans="2:32">
      <c r="B674" s="5">
        <f t="shared" si="93"/>
        <v>662</v>
      </c>
      <c r="C674" s="5"/>
      <c r="E674" s="13"/>
      <c r="F674" s="5"/>
      <c r="G674" s="11" t="str">
        <f>IF(ISERROR(AVERAGE(F$13:F674)),"n/a",AVERAGE(F$13:F674))</f>
        <v>n/a</v>
      </c>
      <c r="H674" s="11" t="str">
        <f t="shared" si="89"/>
        <v>n/a</v>
      </c>
      <c r="J674" s="5"/>
      <c r="K674" s="5"/>
      <c r="L674" s="5"/>
      <c r="M674" s="5"/>
      <c r="N674" s="5"/>
      <c r="O674" s="8" t="str">
        <f t="shared" si="87"/>
        <v>n/a</v>
      </c>
      <c r="Q674" s="5"/>
      <c r="R674" s="5"/>
      <c r="S674" s="5"/>
      <c r="U674" s="6"/>
      <c r="V674" s="9" t="str">
        <f t="shared" si="90"/>
        <v/>
      </c>
      <c r="W674" s="9" t="str">
        <f t="shared" si="91"/>
        <v/>
      </c>
      <c r="X674" s="10">
        <f>SUM(V$13:V674)/COUNTA(B$13:B674)</f>
        <v>0</v>
      </c>
      <c r="Z674" s="5"/>
      <c r="AA674" s="5"/>
      <c r="AC674" s="7"/>
      <c r="AE674" s="54" t="e">
        <f t="shared" si="92"/>
        <v>#N/A</v>
      </c>
      <c r="AF674" s="4" t="e">
        <f t="shared" si="88"/>
        <v>#N/A</v>
      </c>
    </row>
    <row r="675" spans="2:32">
      <c r="B675" s="5">
        <f t="shared" si="93"/>
        <v>663</v>
      </c>
      <c r="C675" s="5"/>
      <c r="E675" s="13"/>
      <c r="F675" s="5"/>
      <c r="G675" s="11" t="str">
        <f>IF(ISERROR(AVERAGE(F$13:F675)),"n/a",AVERAGE(F$13:F675))</f>
        <v>n/a</v>
      </c>
      <c r="H675" s="11" t="str">
        <f t="shared" si="89"/>
        <v>n/a</v>
      </c>
      <c r="J675" s="5"/>
      <c r="K675" s="5"/>
      <c r="L675" s="5"/>
      <c r="M675" s="5"/>
      <c r="N675" s="5"/>
      <c r="O675" s="8" t="str">
        <f t="shared" si="87"/>
        <v>n/a</v>
      </c>
      <c r="Q675" s="5"/>
      <c r="R675" s="5"/>
      <c r="S675" s="5"/>
      <c r="U675" s="6"/>
      <c r="V675" s="9" t="str">
        <f t="shared" si="90"/>
        <v/>
      </c>
      <c r="W675" s="9" t="str">
        <f t="shared" si="91"/>
        <v/>
      </c>
      <c r="X675" s="10">
        <f>SUM(V$13:V675)/COUNTA(B$13:B675)</f>
        <v>0</v>
      </c>
      <c r="Z675" s="5"/>
      <c r="AA675" s="5"/>
      <c r="AC675" s="7"/>
      <c r="AE675" s="54" t="e">
        <f t="shared" si="92"/>
        <v>#N/A</v>
      </c>
      <c r="AF675" s="4" t="e">
        <f t="shared" si="88"/>
        <v>#N/A</v>
      </c>
    </row>
    <row r="676" spans="2:32">
      <c r="B676" s="5">
        <f t="shared" si="93"/>
        <v>664</v>
      </c>
      <c r="C676" s="5"/>
      <c r="E676" s="13"/>
      <c r="F676" s="5"/>
      <c r="G676" s="11" t="str">
        <f>IF(ISERROR(AVERAGE(F$13:F676)),"n/a",AVERAGE(F$13:F676))</f>
        <v>n/a</v>
      </c>
      <c r="H676" s="11" t="str">
        <f t="shared" si="89"/>
        <v>n/a</v>
      </c>
      <c r="J676" s="5"/>
      <c r="K676" s="5"/>
      <c r="L676" s="5"/>
      <c r="M676" s="5"/>
      <c r="N676" s="5"/>
      <c r="O676" s="8" t="str">
        <f t="shared" si="87"/>
        <v>n/a</v>
      </c>
      <c r="Q676" s="5"/>
      <c r="R676" s="5"/>
      <c r="S676" s="5"/>
      <c r="U676" s="6"/>
      <c r="V676" s="9" t="str">
        <f t="shared" si="90"/>
        <v/>
      </c>
      <c r="W676" s="9" t="str">
        <f t="shared" si="91"/>
        <v/>
      </c>
      <c r="X676" s="10">
        <f>SUM(V$13:V676)/COUNTA(B$13:B676)</f>
        <v>0</v>
      </c>
      <c r="Z676" s="5"/>
      <c r="AA676" s="5"/>
      <c r="AC676" s="7"/>
      <c r="AE676" s="54" t="e">
        <f t="shared" si="92"/>
        <v>#N/A</v>
      </c>
      <c r="AF676" s="4" t="e">
        <f t="shared" si="88"/>
        <v>#N/A</v>
      </c>
    </row>
    <row r="677" spans="2:32">
      <c r="B677" s="5">
        <f t="shared" si="93"/>
        <v>665</v>
      </c>
      <c r="C677" s="5"/>
      <c r="E677" s="13"/>
      <c r="F677" s="5"/>
      <c r="G677" s="11" t="str">
        <f>IF(ISERROR(AVERAGE(F$13:F677)),"n/a",AVERAGE(F$13:F677))</f>
        <v>n/a</v>
      </c>
      <c r="H677" s="11" t="str">
        <f t="shared" si="89"/>
        <v>n/a</v>
      </c>
      <c r="J677" s="5"/>
      <c r="K677" s="5"/>
      <c r="L677" s="5"/>
      <c r="M677" s="5"/>
      <c r="N677" s="5"/>
      <c r="O677" s="8" t="str">
        <f t="shared" si="87"/>
        <v>n/a</v>
      </c>
      <c r="Q677" s="5"/>
      <c r="R677" s="5"/>
      <c r="S677" s="5"/>
      <c r="U677" s="6"/>
      <c r="V677" s="9" t="str">
        <f t="shared" si="90"/>
        <v/>
      </c>
      <c r="W677" s="9" t="str">
        <f t="shared" si="91"/>
        <v/>
      </c>
      <c r="X677" s="10">
        <f>SUM(V$13:V677)/COUNTA(B$13:B677)</f>
        <v>0</v>
      </c>
      <c r="Z677" s="5"/>
      <c r="AA677" s="5"/>
      <c r="AC677" s="7"/>
      <c r="AE677" s="54" t="e">
        <f t="shared" si="92"/>
        <v>#N/A</v>
      </c>
      <c r="AF677" s="4" t="e">
        <f t="shared" si="88"/>
        <v>#N/A</v>
      </c>
    </row>
    <row r="678" spans="2:32">
      <c r="B678" s="5">
        <f t="shared" si="93"/>
        <v>666</v>
      </c>
      <c r="C678" s="5"/>
      <c r="E678" s="13"/>
      <c r="F678" s="5"/>
      <c r="G678" s="11" t="str">
        <f>IF(ISERROR(AVERAGE(F$13:F678)),"n/a",AVERAGE(F$13:F678))</f>
        <v>n/a</v>
      </c>
      <c r="H678" s="11" t="str">
        <f t="shared" si="89"/>
        <v>n/a</v>
      </c>
      <c r="J678" s="5"/>
      <c r="K678" s="5"/>
      <c r="L678" s="5"/>
      <c r="M678" s="5"/>
      <c r="N678" s="5"/>
      <c r="O678" s="8" t="str">
        <f t="shared" si="87"/>
        <v>n/a</v>
      </c>
      <c r="Q678" s="5"/>
      <c r="R678" s="5"/>
      <c r="S678" s="5"/>
      <c r="U678" s="6"/>
      <c r="V678" s="9" t="str">
        <f t="shared" si="90"/>
        <v/>
      </c>
      <c r="W678" s="9" t="str">
        <f t="shared" si="91"/>
        <v/>
      </c>
      <c r="X678" s="10">
        <f>SUM(V$13:V678)/COUNTA(B$13:B678)</f>
        <v>0</v>
      </c>
      <c r="Z678" s="5"/>
      <c r="AA678" s="5"/>
      <c r="AC678" s="7"/>
      <c r="AE678" s="54" t="e">
        <f t="shared" si="92"/>
        <v>#N/A</v>
      </c>
      <c r="AF678" s="4" t="e">
        <f t="shared" si="88"/>
        <v>#N/A</v>
      </c>
    </row>
    <row r="679" spans="2:32">
      <c r="B679" s="5">
        <f t="shared" si="93"/>
        <v>667</v>
      </c>
      <c r="C679" s="5"/>
      <c r="E679" s="13"/>
      <c r="F679" s="5"/>
      <c r="G679" s="11" t="str">
        <f>IF(ISERROR(AVERAGE(F$13:F679)),"n/a",AVERAGE(F$13:F679))</f>
        <v>n/a</v>
      </c>
      <c r="H679" s="11" t="str">
        <f t="shared" si="89"/>
        <v>n/a</v>
      </c>
      <c r="J679" s="5"/>
      <c r="K679" s="5"/>
      <c r="L679" s="5"/>
      <c r="M679" s="5"/>
      <c r="N679" s="5"/>
      <c r="O679" s="8" t="str">
        <f t="shared" si="87"/>
        <v>n/a</v>
      </c>
      <c r="Q679" s="5"/>
      <c r="R679" s="5"/>
      <c r="S679" s="5"/>
      <c r="U679" s="6"/>
      <c r="V679" s="9" t="str">
        <f t="shared" si="90"/>
        <v/>
      </c>
      <c r="W679" s="9" t="str">
        <f t="shared" si="91"/>
        <v/>
      </c>
      <c r="X679" s="10">
        <f>SUM(V$13:V679)/COUNTA(B$13:B679)</f>
        <v>0</v>
      </c>
      <c r="Z679" s="5"/>
      <c r="AA679" s="5"/>
      <c r="AC679" s="7"/>
      <c r="AE679" s="54" t="e">
        <f t="shared" si="92"/>
        <v>#N/A</v>
      </c>
      <c r="AF679" s="4" t="e">
        <f t="shared" si="88"/>
        <v>#N/A</v>
      </c>
    </row>
    <row r="680" spans="2:32">
      <c r="B680" s="5">
        <f t="shared" si="93"/>
        <v>668</v>
      </c>
      <c r="C680" s="5"/>
      <c r="E680" s="13"/>
      <c r="F680" s="5"/>
      <c r="G680" s="11" t="str">
        <f>IF(ISERROR(AVERAGE(F$13:F680)),"n/a",AVERAGE(F$13:F680))</f>
        <v>n/a</v>
      </c>
      <c r="H680" s="11" t="str">
        <f t="shared" si="89"/>
        <v>n/a</v>
      </c>
      <c r="J680" s="5"/>
      <c r="K680" s="5"/>
      <c r="L680" s="5"/>
      <c r="M680" s="5"/>
      <c r="N680" s="5"/>
      <c r="O680" s="8" t="str">
        <f t="shared" si="87"/>
        <v>n/a</v>
      </c>
      <c r="Q680" s="5"/>
      <c r="R680" s="5"/>
      <c r="S680" s="5"/>
      <c r="U680" s="6"/>
      <c r="V680" s="9" t="str">
        <f t="shared" si="90"/>
        <v/>
      </c>
      <c r="W680" s="9" t="str">
        <f t="shared" si="91"/>
        <v/>
      </c>
      <c r="X680" s="10">
        <f>SUM(V$13:V680)/COUNTA(B$13:B680)</f>
        <v>0</v>
      </c>
      <c r="Z680" s="5"/>
      <c r="AA680" s="5"/>
      <c r="AC680" s="7"/>
      <c r="AE680" s="54" t="e">
        <f t="shared" si="92"/>
        <v>#N/A</v>
      </c>
      <c r="AF680" s="4" t="e">
        <f t="shared" si="88"/>
        <v>#N/A</v>
      </c>
    </row>
    <row r="681" spans="2:32">
      <c r="B681" s="5">
        <f t="shared" si="93"/>
        <v>669</v>
      </c>
      <c r="C681" s="5"/>
      <c r="E681" s="13"/>
      <c r="F681" s="5"/>
      <c r="G681" s="11" t="str">
        <f>IF(ISERROR(AVERAGE(F$13:F681)),"n/a",AVERAGE(F$13:F681))</f>
        <v>n/a</v>
      </c>
      <c r="H681" s="11" t="str">
        <f t="shared" si="89"/>
        <v>n/a</v>
      </c>
      <c r="J681" s="5"/>
      <c r="K681" s="5"/>
      <c r="L681" s="5"/>
      <c r="M681" s="5"/>
      <c r="N681" s="5"/>
      <c r="O681" s="8" t="str">
        <f t="shared" si="87"/>
        <v>n/a</v>
      </c>
      <c r="Q681" s="5"/>
      <c r="R681" s="5"/>
      <c r="S681" s="5"/>
      <c r="U681" s="6"/>
      <c r="V681" s="9" t="str">
        <f t="shared" si="90"/>
        <v/>
      </c>
      <c r="W681" s="9" t="str">
        <f t="shared" si="91"/>
        <v/>
      </c>
      <c r="X681" s="10">
        <f>SUM(V$13:V681)/COUNTA(B$13:B681)</f>
        <v>0</v>
      </c>
      <c r="Z681" s="5"/>
      <c r="AA681" s="5"/>
      <c r="AC681" s="7"/>
      <c r="AE681" s="54" t="e">
        <f t="shared" si="92"/>
        <v>#N/A</v>
      </c>
      <c r="AF681" s="4" t="e">
        <f t="shared" si="88"/>
        <v>#N/A</v>
      </c>
    </row>
    <row r="682" spans="2:32">
      <c r="B682" s="5">
        <f t="shared" si="93"/>
        <v>670</v>
      </c>
      <c r="C682" s="5"/>
      <c r="E682" s="13"/>
      <c r="F682" s="5"/>
      <c r="G682" s="11" t="str">
        <f>IF(ISERROR(AVERAGE(F$13:F682)),"n/a",AVERAGE(F$13:F682))</f>
        <v>n/a</v>
      </c>
      <c r="H682" s="11" t="str">
        <f t="shared" si="89"/>
        <v>n/a</v>
      </c>
      <c r="J682" s="5"/>
      <c r="K682" s="5"/>
      <c r="L682" s="5"/>
      <c r="M682" s="5"/>
      <c r="N682" s="5"/>
      <c r="O682" s="8" t="str">
        <f t="shared" si="87"/>
        <v>n/a</v>
      </c>
      <c r="Q682" s="5"/>
      <c r="R682" s="5"/>
      <c r="S682" s="5"/>
      <c r="U682" s="6"/>
      <c r="V682" s="9" t="str">
        <f t="shared" si="90"/>
        <v/>
      </c>
      <c r="W682" s="9" t="str">
        <f t="shared" si="91"/>
        <v/>
      </c>
      <c r="X682" s="10">
        <f>SUM(V$13:V682)/COUNTA(B$13:B682)</f>
        <v>0</v>
      </c>
      <c r="Z682" s="5"/>
      <c r="AA682" s="5"/>
      <c r="AC682" s="7"/>
      <c r="AE682" s="54" t="e">
        <f t="shared" si="92"/>
        <v>#N/A</v>
      </c>
      <c r="AF682" s="4" t="e">
        <f t="shared" si="88"/>
        <v>#N/A</v>
      </c>
    </row>
    <row r="683" spans="2:32">
      <c r="B683" s="5">
        <f t="shared" si="93"/>
        <v>671</v>
      </c>
      <c r="C683" s="5"/>
      <c r="E683" s="13"/>
      <c r="F683" s="5"/>
      <c r="G683" s="11" t="str">
        <f>IF(ISERROR(AVERAGE(F$13:F683)),"n/a",AVERAGE(F$13:F683))</f>
        <v>n/a</v>
      </c>
      <c r="H683" s="11" t="str">
        <f t="shared" si="89"/>
        <v>n/a</v>
      </c>
      <c r="J683" s="5"/>
      <c r="K683" s="5"/>
      <c r="L683" s="5"/>
      <c r="M683" s="5"/>
      <c r="N683" s="5"/>
      <c r="O683" s="8" t="str">
        <f t="shared" si="87"/>
        <v>n/a</v>
      </c>
      <c r="Q683" s="5"/>
      <c r="R683" s="5"/>
      <c r="S683" s="5"/>
      <c r="U683" s="6"/>
      <c r="V683" s="9" t="str">
        <f t="shared" si="90"/>
        <v/>
      </c>
      <c r="W683" s="9" t="str">
        <f t="shared" si="91"/>
        <v/>
      </c>
      <c r="X683" s="10">
        <f>SUM(V$13:V683)/COUNTA(B$13:B683)</f>
        <v>0</v>
      </c>
      <c r="Z683" s="5"/>
      <c r="AA683" s="5"/>
      <c r="AC683" s="7"/>
      <c r="AE683" s="54" t="e">
        <f t="shared" si="92"/>
        <v>#N/A</v>
      </c>
      <c r="AF683" s="4" t="e">
        <f t="shared" si="88"/>
        <v>#N/A</v>
      </c>
    </row>
    <row r="684" spans="2:32">
      <c r="B684" s="5">
        <f t="shared" si="93"/>
        <v>672</v>
      </c>
      <c r="C684" s="5"/>
      <c r="E684" s="13"/>
      <c r="F684" s="5"/>
      <c r="G684" s="11" t="str">
        <f>IF(ISERROR(AVERAGE(F$13:F684)),"n/a",AVERAGE(F$13:F684))</f>
        <v>n/a</v>
      </c>
      <c r="H684" s="11" t="str">
        <f t="shared" si="89"/>
        <v>n/a</v>
      </c>
      <c r="J684" s="5"/>
      <c r="K684" s="5"/>
      <c r="L684" s="5"/>
      <c r="M684" s="5"/>
      <c r="N684" s="5"/>
      <c r="O684" s="8" t="str">
        <f t="shared" si="87"/>
        <v>n/a</v>
      </c>
      <c r="Q684" s="5"/>
      <c r="R684" s="5"/>
      <c r="S684" s="5"/>
      <c r="U684" s="6"/>
      <c r="V684" s="9" t="str">
        <f t="shared" si="90"/>
        <v/>
      </c>
      <c r="W684" s="9" t="str">
        <f t="shared" si="91"/>
        <v/>
      </c>
      <c r="X684" s="10">
        <f>SUM(V$13:V684)/COUNTA(B$13:B684)</f>
        <v>0</v>
      </c>
      <c r="Z684" s="5"/>
      <c r="AA684" s="5"/>
      <c r="AC684" s="7"/>
      <c r="AE684" s="54" t="e">
        <f t="shared" si="92"/>
        <v>#N/A</v>
      </c>
      <c r="AF684" s="4" t="e">
        <f t="shared" si="88"/>
        <v>#N/A</v>
      </c>
    </row>
    <row r="685" spans="2:32">
      <c r="B685" s="5">
        <f t="shared" si="93"/>
        <v>673</v>
      </c>
      <c r="C685" s="5"/>
      <c r="E685" s="13"/>
      <c r="F685" s="5"/>
      <c r="G685" s="11" t="str">
        <f>IF(ISERROR(AVERAGE(F$13:F685)),"n/a",AVERAGE(F$13:F685))</f>
        <v>n/a</v>
      </c>
      <c r="H685" s="11" t="str">
        <f t="shared" si="89"/>
        <v>n/a</v>
      </c>
      <c r="J685" s="5"/>
      <c r="K685" s="5"/>
      <c r="L685" s="5"/>
      <c r="M685" s="5"/>
      <c r="N685" s="5"/>
      <c r="O685" s="8" t="str">
        <f t="shared" si="87"/>
        <v>n/a</v>
      </c>
      <c r="Q685" s="5"/>
      <c r="R685" s="5"/>
      <c r="S685" s="5"/>
      <c r="U685" s="6"/>
      <c r="V685" s="9" t="str">
        <f t="shared" si="90"/>
        <v/>
      </c>
      <c r="W685" s="9" t="str">
        <f t="shared" si="91"/>
        <v/>
      </c>
      <c r="X685" s="10">
        <f>SUM(V$13:V685)/COUNTA(B$13:B685)</f>
        <v>0</v>
      </c>
      <c r="Z685" s="5"/>
      <c r="AA685" s="5"/>
      <c r="AC685" s="7"/>
      <c r="AE685" s="54" t="e">
        <f t="shared" si="92"/>
        <v>#N/A</v>
      </c>
      <c r="AF685" s="4" t="e">
        <f t="shared" si="88"/>
        <v>#N/A</v>
      </c>
    </row>
    <row r="686" spans="2:32">
      <c r="B686" s="5">
        <f t="shared" si="93"/>
        <v>674</v>
      </c>
      <c r="C686" s="5"/>
      <c r="E686" s="13"/>
      <c r="F686" s="5"/>
      <c r="G686" s="11" t="str">
        <f>IF(ISERROR(AVERAGE(F$13:F686)),"n/a",AVERAGE(F$13:F686))</f>
        <v>n/a</v>
      </c>
      <c r="H686" s="11" t="str">
        <f t="shared" si="89"/>
        <v>n/a</v>
      </c>
      <c r="J686" s="5"/>
      <c r="K686" s="5"/>
      <c r="L686" s="5"/>
      <c r="M686" s="5"/>
      <c r="N686" s="5"/>
      <c r="O686" s="8" t="str">
        <f t="shared" si="87"/>
        <v>n/a</v>
      </c>
      <c r="Q686" s="5"/>
      <c r="R686" s="5"/>
      <c r="S686" s="5"/>
      <c r="U686" s="6"/>
      <c r="V686" s="9" t="str">
        <f t="shared" si="90"/>
        <v/>
      </c>
      <c r="W686" s="9" t="str">
        <f t="shared" si="91"/>
        <v/>
      </c>
      <c r="X686" s="10">
        <f>SUM(V$13:V686)/COUNTA(B$13:B686)</f>
        <v>0</v>
      </c>
      <c r="Z686" s="5"/>
      <c r="AA686" s="5"/>
      <c r="AC686" s="7"/>
      <c r="AE686" s="54" t="e">
        <f t="shared" si="92"/>
        <v>#N/A</v>
      </c>
      <c r="AF686" s="4" t="e">
        <f t="shared" si="88"/>
        <v>#N/A</v>
      </c>
    </row>
    <row r="687" spans="2:32">
      <c r="B687" s="5">
        <f t="shared" si="93"/>
        <v>675</v>
      </c>
      <c r="C687" s="5"/>
      <c r="E687" s="13"/>
      <c r="F687" s="5"/>
      <c r="G687" s="11" t="str">
        <f>IF(ISERROR(AVERAGE(F$13:F687)),"n/a",AVERAGE(F$13:F687))</f>
        <v>n/a</v>
      </c>
      <c r="H687" s="11" t="str">
        <f t="shared" si="89"/>
        <v>n/a</v>
      </c>
      <c r="J687" s="5"/>
      <c r="K687" s="5"/>
      <c r="L687" s="5"/>
      <c r="M687" s="5"/>
      <c r="N687" s="5"/>
      <c r="O687" s="8" t="str">
        <f t="shared" si="87"/>
        <v>n/a</v>
      </c>
      <c r="Q687" s="5"/>
      <c r="R687" s="5"/>
      <c r="S687" s="5"/>
      <c r="U687" s="6"/>
      <c r="V687" s="9" t="str">
        <f t="shared" si="90"/>
        <v/>
      </c>
      <c r="W687" s="9" t="str">
        <f t="shared" si="91"/>
        <v/>
      </c>
      <c r="X687" s="10">
        <f>SUM(V$13:V687)/COUNTA(B$13:B687)</f>
        <v>0</v>
      </c>
      <c r="Z687" s="5"/>
      <c r="AA687" s="5"/>
      <c r="AC687" s="7"/>
      <c r="AE687" s="54" t="e">
        <f t="shared" si="92"/>
        <v>#N/A</v>
      </c>
      <c r="AF687" s="4" t="e">
        <f t="shared" si="88"/>
        <v>#N/A</v>
      </c>
    </row>
    <row r="688" spans="2:32">
      <c r="B688" s="5">
        <f t="shared" si="93"/>
        <v>676</v>
      </c>
      <c r="C688" s="5"/>
      <c r="E688" s="13"/>
      <c r="F688" s="5"/>
      <c r="G688" s="11" t="str">
        <f>IF(ISERROR(AVERAGE(F$13:F688)),"n/a",AVERAGE(F$13:F688))</f>
        <v>n/a</v>
      </c>
      <c r="H688" s="11" t="str">
        <f t="shared" si="89"/>
        <v>n/a</v>
      </c>
      <c r="J688" s="5"/>
      <c r="K688" s="5"/>
      <c r="L688" s="5"/>
      <c r="M688" s="5"/>
      <c r="N688" s="5"/>
      <c r="O688" s="8" t="str">
        <f t="shared" si="87"/>
        <v>n/a</v>
      </c>
      <c r="Q688" s="5"/>
      <c r="R688" s="5"/>
      <c r="S688" s="5"/>
      <c r="U688" s="6"/>
      <c r="V688" s="9" t="str">
        <f t="shared" si="90"/>
        <v/>
      </c>
      <c r="W688" s="9" t="str">
        <f t="shared" si="91"/>
        <v/>
      </c>
      <c r="X688" s="10">
        <f>SUM(V$13:V688)/COUNTA(B$13:B688)</f>
        <v>0</v>
      </c>
      <c r="Z688" s="5"/>
      <c r="AA688" s="5"/>
      <c r="AC688" s="7"/>
      <c r="AE688" s="54" t="e">
        <f t="shared" si="92"/>
        <v>#N/A</v>
      </c>
      <c r="AF688" s="4" t="e">
        <f t="shared" si="88"/>
        <v>#N/A</v>
      </c>
    </row>
    <row r="689" spans="2:32">
      <c r="B689" s="5">
        <f t="shared" si="93"/>
        <v>677</v>
      </c>
      <c r="C689" s="5"/>
      <c r="E689" s="13"/>
      <c r="F689" s="5"/>
      <c r="G689" s="11" t="str">
        <f>IF(ISERROR(AVERAGE(F$13:F689)),"n/a",AVERAGE(F$13:F689))</f>
        <v>n/a</v>
      </c>
      <c r="H689" s="11" t="str">
        <f t="shared" si="89"/>
        <v>n/a</v>
      </c>
      <c r="J689" s="5"/>
      <c r="K689" s="5"/>
      <c r="L689" s="5"/>
      <c r="M689" s="5"/>
      <c r="N689" s="5"/>
      <c r="O689" s="8" t="str">
        <f t="shared" si="87"/>
        <v>n/a</v>
      </c>
      <c r="Q689" s="5"/>
      <c r="R689" s="5"/>
      <c r="S689" s="5"/>
      <c r="U689" s="6"/>
      <c r="V689" s="9" t="str">
        <f t="shared" si="90"/>
        <v/>
      </c>
      <c r="W689" s="9" t="str">
        <f t="shared" si="91"/>
        <v/>
      </c>
      <c r="X689" s="10">
        <f>SUM(V$13:V689)/COUNTA(B$13:B689)</f>
        <v>0</v>
      </c>
      <c r="Z689" s="5"/>
      <c r="AA689" s="5"/>
      <c r="AC689" s="7"/>
      <c r="AE689" s="54" t="e">
        <f t="shared" si="92"/>
        <v>#N/A</v>
      </c>
      <c r="AF689" s="4" t="e">
        <f t="shared" si="88"/>
        <v>#N/A</v>
      </c>
    </row>
    <row r="690" spans="2:32">
      <c r="B690" s="5">
        <f t="shared" si="93"/>
        <v>678</v>
      </c>
      <c r="C690" s="5"/>
      <c r="E690" s="13"/>
      <c r="F690" s="5"/>
      <c r="G690" s="11" t="str">
        <f>IF(ISERROR(AVERAGE(F$13:F690)),"n/a",AVERAGE(F$13:F690))</f>
        <v>n/a</v>
      </c>
      <c r="H690" s="11" t="str">
        <f t="shared" si="89"/>
        <v>n/a</v>
      </c>
      <c r="J690" s="5"/>
      <c r="K690" s="5"/>
      <c r="L690" s="5"/>
      <c r="M690" s="5"/>
      <c r="N690" s="5"/>
      <c r="O690" s="8" t="str">
        <f t="shared" si="87"/>
        <v>n/a</v>
      </c>
      <c r="Q690" s="5"/>
      <c r="R690" s="5"/>
      <c r="S690" s="5"/>
      <c r="U690" s="6"/>
      <c r="V690" s="9" t="str">
        <f t="shared" si="90"/>
        <v/>
      </c>
      <c r="W690" s="9" t="str">
        <f t="shared" si="91"/>
        <v/>
      </c>
      <c r="X690" s="10">
        <f>SUM(V$13:V690)/COUNTA(B$13:B690)</f>
        <v>0</v>
      </c>
      <c r="Z690" s="5"/>
      <c r="AA690" s="5"/>
      <c r="AC690" s="7"/>
      <c r="AE690" s="54" t="e">
        <f t="shared" si="92"/>
        <v>#N/A</v>
      </c>
      <c r="AF690" s="4" t="e">
        <f t="shared" si="88"/>
        <v>#N/A</v>
      </c>
    </row>
    <row r="691" spans="2:32">
      <c r="B691" s="5">
        <f t="shared" si="93"/>
        <v>679</v>
      </c>
      <c r="C691" s="5"/>
      <c r="E691" s="13"/>
      <c r="F691" s="5"/>
      <c r="G691" s="11" t="str">
        <f>IF(ISERROR(AVERAGE(F$13:F691)),"n/a",AVERAGE(F$13:F691))</f>
        <v>n/a</v>
      </c>
      <c r="H691" s="11" t="str">
        <f t="shared" si="89"/>
        <v>n/a</v>
      </c>
      <c r="J691" s="5"/>
      <c r="K691" s="5"/>
      <c r="L691" s="5"/>
      <c r="M691" s="5"/>
      <c r="N691" s="5"/>
      <c r="O691" s="8" t="str">
        <f t="shared" si="87"/>
        <v>n/a</v>
      </c>
      <c r="Q691" s="5"/>
      <c r="R691" s="5"/>
      <c r="S691" s="5"/>
      <c r="U691" s="6"/>
      <c r="V691" s="9" t="str">
        <f t="shared" si="90"/>
        <v/>
      </c>
      <c r="W691" s="9" t="str">
        <f t="shared" si="91"/>
        <v/>
      </c>
      <c r="X691" s="10">
        <f>SUM(V$13:V691)/COUNTA(B$13:B691)</f>
        <v>0</v>
      </c>
      <c r="Z691" s="5"/>
      <c r="AA691" s="5"/>
      <c r="AC691" s="7"/>
      <c r="AE691" s="54" t="e">
        <f t="shared" si="92"/>
        <v>#N/A</v>
      </c>
      <c r="AF691" s="4" t="e">
        <f t="shared" si="88"/>
        <v>#N/A</v>
      </c>
    </row>
    <row r="692" spans="2:32">
      <c r="B692" s="5">
        <f t="shared" si="93"/>
        <v>680</v>
      </c>
      <c r="C692" s="5"/>
      <c r="E692" s="13"/>
      <c r="F692" s="5"/>
      <c r="G692" s="11" t="str">
        <f>IF(ISERROR(AVERAGE(F$13:F692)),"n/a",AVERAGE(F$13:F692))</f>
        <v>n/a</v>
      </c>
      <c r="H692" s="11" t="str">
        <f t="shared" si="89"/>
        <v>n/a</v>
      </c>
      <c r="J692" s="5"/>
      <c r="K692" s="5"/>
      <c r="L692" s="5"/>
      <c r="M692" s="5"/>
      <c r="N692" s="5"/>
      <c r="O692" s="8" t="str">
        <f t="shared" si="87"/>
        <v>n/a</v>
      </c>
      <c r="Q692" s="5"/>
      <c r="R692" s="5"/>
      <c r="S692" s="5"/>
      <c r="U692" s="6"/>
      <c r="V692" s="9" t="str">
        <f t="shared" si="90"/>
        <v/>
      </c>
      <c r="W692" s="9" t="str">
        <f t="shared" si="91"/>
        <v/>
      </c>
      <c r="X692" s="10">
        <f>SUM(V$13:V692)/COUNTA(B$13:B692)</f>
        <v>0</v>
      </c>
      <c r="Z692" s="5"/>
      <c r="AA692" s="5"/>
      <c r="AC692" s="7"/>
      <c r="AE692" s="54" t="e">
        <f t="shared" si="92"/>
        <v>#N/A</v>
      </c>
      <c r="AF692" s="4" t="e">
        <f t="shared" si="88"/>
        <v>#N/A</v>
      </c>
    </row>
    <row r="693" spans="2:32">
      <c r="B693" s="5">
        <f t="shared" si="93"/>
        <v>681</v>
      </c>
      <c r="C693" s="5"/>
      <c r="E693" s="13"/>
      <c r="F693" s="5"/>
      <c r="G693" s="11" t="str">
        <f>IF(ISERROR(AVERAGE(F$13:F693)),"n/a",AVERAGE(F$13:F693))</f>
        <v>n/a</v>
      </c>
      <c r="H693" s="11" t="str">
        <f t="shared" si="89"/>
        <v>n/a</v>
      </c>
      <c r="J693" s="5"/>
      <c r="K693" s="5"/>
      <c r="L693" s="5"/>
      <c r="M693" s="5"/>
      <c r="N693" s="5"/>
      <c r="O693" s="8" t="str">
        <f t="shared" si="87"/>
        <v>n/a</v>
      </c>
      <c r="Q693" s="5"/>
      <c r="R693" s="5"/>
      <c r="S693" s="5"/>
      <c r="U693" s="6"/>
      <c r="V693" s="9" t="str">
        <f t="shared" si="90"/>
        <v/>
      </c>
      <c r="W693" s="9" t="str">
        <f t="shared" si="91"/>
        <v/>
      </c>
      <c r="X693" s="10">
        <f>SUM(V$13:V693)/COUNTA(B$13:B693)</f>
        <v>0</v>
      </c>
      <c r="Z693" s="5"/>
      <c r="AA693" s="5"/>
      <c r="AC693" s="7"/>
      <c r="AE693" s="54" t="e">
        <f t="shared" si="92"/>
        <v>#N/A</v>
      </c>
      <c r="AF693" s="4" t="e">
        <f t="shared" si="88"/>
        <v>#N/A</v>
      </c>
    </row>
    <row r="694" spans="2:32">
      <c r="B694" s="5">
        <f t="shared" si="93"/>
        <v>682</v>
      </c>
      <c r="C694" s="5"/>
      <c r="E694" s="13"/>
      <c r="F694" s="5"/>
      <c r="G694" s="11" t="str">
        <f>IF(ISERROR(AVERAGE(F$13:F694)),"n/a",AVERAGE(F$13:F694))</f>
        <v>n/a</v>
      </c>
      <c r="H694" s="11" t="str">
        <f t="shared" si="89"/>
        <v>n/a</v>
      </c>
      <c r="J694" s="5"/>
      <c r="K694" s="5"/>
      <c r="L694" s="5"/>
      <c r="M694" s="5"/>
      <c r="N694" s="5"/>
      <c r="O694" s="8" t="str">
        <f t="shared" si="87"/>
        <v>n/a</v>
      </c>
      <c r="Q694" s="5"/>
      <c r="R694" s="5"/>
      <c r="S694" s="5"/>
      <c r="U694" s="6"/>
      <c r="V694" s="9" t="str">
        <f t="shared" si="90"/>
        <v/>
      </c>
      <c r="W694" s="9" t="str">
        <f t="shared" si="91"/>
        <v/>
      </c>
      <c r="X694" s="10">
        <f>SUM(V$13:V694)/COUNTA(B$13:B694)</f>
        <v>0</v>
      </c>
      <c r="Z694" s="5"/>
      <c r="AA694" s="5"/>
      <c r="AC694" s="7"/>
      <c r="AE694" s="54" t="e">
        <f t="shared" si="92"/>
        <v>#N/A</v>
      </c>
      <c r="AF694" s="4" t="e">
        <f t="shared" si="88"/>
        <v>#N/A</v>
      </c>
    </row>
    <row r="695" spans="2:32">
      <c r="B695" s="5">
        <f t="shared" si="93"/>
        <v>683</v>
      </c>
      <c r="C695" s="5"/>
      <c r="E695" s="13"/>
      <c r="F695" s="5"/>
      <c r="G695" s="11" t="str">
        <f>IF(ISERROR(AVERAGE(F$13:F695)),"n/a",AVERAGE(F$13:F695))</f>
        <v>n/a</v>
      </c>
      <c r="H695" s="11" t="str">
        <f t="shared" si="89"/>
        <v>n/a</v>
      </c>
      <c r="J695" s="5"/>
      <c r="K695" s="5"/>
      <c r="L695" s="5"/>
      <c r="M695" s="5"/>
      <c r="N695" s="5"/>
      <c r="O695" s="8" t="str">
        <f t="shared" si="87"/>
        <v>n/a</v>
      </c>
      <c r="Q695" s="5"/>
      <c r="R695" s="5"/>
      <c r="S695" s="5"/>
      <c r="U695" s="6"/>
      <c r="V695" s="9" t="str">
        <f t="shared" si="90"/>
        <v/>
      </c>
      <c r="W695" s="9" t="str">
        <f t="shared" si="91"/>
        <v/>
      </c>
      <c r="X695" s="10">
        <f>SUM(V$13:V695)/COUNTA(B$13:B695)</f>
        <v>0</v>
      </c>
      <c r="Z695" s="5"/>
      <c r="AA695" s="5"/>
      <c r="AC695" s="7"/>
      <c r="AE695" s="54" t="e">
        <f t="shared" si="92"/>
        <v>#N/A</v>
      </c>
      <c r="AF695" s="4" t="e">
        <f t="shared" si="88"/>
        <v>#N/A</v>
      </c>
    </row>
    <row r="696" spans="2:32">
      <c r="B696" s="5">
        <f t="shared" si="93"/>
        <v>684</v>
      </c>
      <c r="C696" s="5"/>
      <c r="E696" s="13"/>
      <c r="F696" s="5"/>
      <c r="G696" s="11" t="str">
        <f>IF(ISERROR(AVERAGE(F$13:F696)),"n/a",AVERAGE(F$13:F696))</f>
        <v>n/a</v>
      </c>
      <c r="H696" s="11" t="str">
        <f t="shared" si="89"/>
        <v>n/a</v>
      </c>
      <c r="J696" s="5"/>
      <c r="K696" s="5"/>
      <c r="L696" s="5"/>
      <c r="M696" s="5"/>
      <c r="N696" s="5"/>
      <c r="O696" s="8" t="str">
        <f t="shared" si="87"/>
        <v>n/a</v>
      </c>
      <c r="Q696" s="5"/>
      <c r="R696" s="5"/>
      <c r="S696" s="5"/>
      <c r="U696" s="6"/>
      <c r="V696" s="9" t="str">
        <f t="shared" si="90"/>
        <v/>
      </c>
      <c r="W696" s="9" t="str">
        <f t="shared" si="91"/>
        <v/>
      </c>
      <c r="X696" s="10">
        <f>SUM(V$13:V696)/COUNTA(B$13:B696)</f>
        <v>0</v>
      </c>
      <c r="Z696" s="5"/>
      <c r="AA696" s="5"/>
      <c r="AC696" s="7"/>
      <c r="AE696" s="54" t="e">
        <f t="shared" si="92"/>
        <v>#N/A</v>
      </c>
      <c r="AF696" s="4" t="e">
        <f t="shared" si="88"/>
        <v>#N/A</v>
      </c>
    </row>
    <row r="697" spans="2:32">
      <c r="B697" s="5">
        <f t="shared" si="93"/>
        <v>685</v>
      </c>
      <c r="C697" s="5"/>
      <c r="E697" s="13"/>
      <c r="F697" s="5"/>
      <c r="G697" s="11" t="str">
        <f>IF(ISERROR(AVERAGE(F$13:F697)),"n/a",AVERAGE(F$13:F697))</f>
        <v>n/a</v>
      </c>
      <c r="H697" s="11" t="str">
        <f t="shared" si="89"/>
        <v>n/a</v>
      </c>
      <c r="J697" s="5"/>
      <c r="K697" s="5"/>
      <c r="L697" s="5"/>
      <c r="M697" s="5"/>
      <c r="N697" s="5"/>
      <c r="O697" s="8" t="str">
        <f t="shared" si="87"/>
        <v>n/a</v>
      </c>
      <c r="Q697" s="5"/>
      <c r="R697" s="5"/>
      <c r="S697" s="5"/>
      <c r="U697" s="6"/>
      <c r="V697" s="9" t="str">
        <f t="shared" si="90"/>
        <v/>
      </c>
      <c r="W697" s="9" t="str">
        <f t="shared" si="91"/>
        <v/>
      </c>
      <c r="X697" s="10">
        <f>SUM(V$13:V697)/COUNTA(B$13:B697)</f>
        <v>0</v>
      </c>
      <c r="Z697" s="5"/>
      <c r="AA697" s="5"/>
      <c r="AC697" s="7"/>
      <c r="AE697" s="54" t="e">
        <f t="shared" si="92"/>
        <v>#N/A</v>
      </c>
      <c r="AF697" s="4" t="e">
        <f t="shared" si="88"/>
        <v>#N/A</v>
      </c>
    </row>
    <row r="698" spans="2:32">
      <c r="B698" s="5">
        <f t="shared" si="93"/>
        <v>686</v>
      </c>
      <c r="C698" s="5"/>
      <c r="E698" s="13"/>
      <c r="F698" s="5"/>
      <c r="G698" s="11" t="str">
        <f>IF(ISERROR(AVERAGE(F$13:F698)),"n/a",AVERAGE(F$13:F698))</f>
        <v>n/a</v>
      </c>
      <c r="H698" s="11" t="str">
        <f t="shared" si="89"/>
        <v>n/a</v>
      </c>
      <c r="J698" s="5"/>
      <c r="K698" s="5"/>
      <c r="L698" s="5"/>
      <c r="M698" s="5"/>
      <c r="N698" s="5"/>
      <c r="O698" s="8" t="str">
        <f t="shared" si="87"/>
        <v>n/a</v>
      </c>
      <c r="Q698" s="5"/>
      <c r="R698" s="5"/>
      <c r="S698" s="5"/>
      <c r="U698" s="6"/>
      <c r="V698" s="9" t="str">
        <f t="shared" si="90"/>
        <v/>
      </c>
      <c r="W698" s="9" t="str">
        <f t="shared" si="91"/>
        <v/>
      </c>
      <c r="X698" s="10">
        <f>SUM(V$13:V698)/COUNTA(B$13:B698)</f>
        <v>0</v>
      </c>
      <c r="Z698" s="5"/>
      <c r="AA698" s="5"/>
      <c r="AC698" s="7"/>
      <c r="AE698" s="54" t="e">
        <f t="shared" si="92"/>
        <v>#N/A</v>
      </c>
      <c r="AF698" s="4" t="e">
        <f t="shared" si="88"/>
        <v>#N/A</v>
      </c>
    </row>
    <row r="699" spans="2:32">
      <c r="B699" s="5">
        <f t="shared" si="93"/>
        <v>687</v>
      </c>
      <c r="C699" s="5"/>
      <c r="E699" s="13"/>
      <c r="F699" s="5"/>
      <c r="G699" s="11" t="str">
        <f>IF(ISERROR(AVERAGE(F$13:F699)),"n/a",AVERAGE(F$13:F699))</f>
        <v>n/a</v>
      </c>
      <c r="H699" s="11" t="str">
        <f t="shared" si="89"/>
        <v>n/a</v>
      </c>
      <c r="J699" s="5"/>
      <c r="K699" s="5"/>
      <c r="L699" s="5"/>
      <c r="M699" s="5"/>
      <c r="N699" s="5"/>
      <c r="O699" s="8" t="str">
        <f t="shared" si="87"/>
        <v>n/a</v>
      </c>
      <c r="Q699" s="5"/>
      <c r="R699" s="5"/>
      <c r="S699" s="5"/>
      <c r="U699" s="6"/>
      <c r="V699" s="9" t="str">
        <f t="shared" si="90"/>
        <v/>
      </c>
      <c r="W699" s="9" t="str">
        <f t="shared" si="91"/>
        <v/>
      </c>
      <c r="X699" s="10">
        <f>SUM(V$13:V699)/COUNTA(B$13:B699)</f>
        <v>0</v>
      </c>
      <c r="Z699" s="5"/>
      <c r="AA699" s="5"/>
      <c r="AC699" s="7"/>
      <c r="AE699" s="54" t="e">
        <f t="shared" si="92"/>
        <v>#N/A</v>
      </c>
      <c r="AF699" s="4" t="e">
        <f t="shared" si="88"/>
        <v>#N/A</v>
      </c>
    </row>
    <row r="700" spans="2:32">
      <c r="B700" s="5">
        <f t="shared" si="93"/>
        <v>688</v>
      </c>
      <c r="C700" s="5"/>
      <c r="E700" s="13"/>
      <c r="F700" s="5"/>
      <c r="G700" s="11" t="str">
        <f>IF(ISERROR(AVERAGE(F$13:F700)),"n/a",AVERAGE(F$13:F700))</f>
        <v>n/a</v>
      </c>
      <c r="H700" s="11" t="str">
        <f t="shared" si="89"/>
        <v>n/a</v>
      </c>
      <c r="J700" s="5"/>
      <c r="K700" s="5"/>
      <c r="L700" s="5"/>
      <c r="M700" s="5"/>
      <c r="N700" s="5"/>
      <c r="O700" s="8" t="str">
        <f t="shared" si="87"/>
        <v>n/a</v>
      </c>
      <c r="Q700" s="5"/>
      <c r="R700" s="5"/>
      <c r="S700" s="5"/>
      <c r="U700" s="6"/>
      <c r="V700" s="9" t="str">
        <f t="shared" si="90"/>
        <v/>
      </c>
      <c r="W700" s="9" t="str">
        <f t="shared" si="91"/>
        <v/>
      </c>
      <c r="X700" s="10">
        <f>SUM(V$13:V700)/COUNTA(B$13:B700)</f>
        <v>0</v>
      </c>
      <c r="Z700" s="5"/>
      <c r="AA700" s="5"/>
      <c r="AC700" s="7"/>
      <c r="AE700" s="54" t="e">
        <f t="shared" si="92"/>
        <v>#N/A</v>
      </c>
      <c r="AF700" s="4" t="e">
        <f t="shared" si="88"/>
        <v>#N/A</v>
      </c>
    </row>
    <row r="701" spans="2:32">
      <c r="B701" s="5">
        <f t="shared" si="93"/>
        <v>689</v>
      </c>
      <c r="C701" s="5"/>
      <c r="E701" s="13"/>
      <c r="F701" s="5"/>
      <c r="G701" s="11" t="str">
        <f>IF(ISERROR(AVERAGE(F$13:F701)),"n/a",AVERAGE(F$13:F701))</f>
        <v>n/a</v>
      </c>
      <c r="H701" s="11" t="str">
        <f t="shared" si="89"/>
        <v>n/a</v>
      </c>
      <c r="J701" s="5"/>
      <c r="K701" s="5"/>
      <c r="L701" s="5"/>
      <c r="M701" s="5"/>
      <c r="N701" s="5"/>
      <c r="O701" s="8" t="str">
        <f t="shared" si="87"/>
        <v>n/a</v>
      </c>
      <c r="Q701" s="5"/>
      <c r="R701" s="5"/>
      <c r="S701" s="5"/>
      <c r="U701" s="6"/>
      <c r="V701" s="9" t="str">
        <f t="shared" si="90"/>
        <v/>
      </c>
      <c r="W701" s="9" t="str">
        <f t="shared" si="91"/>
        <v/>
      </c>
      <c r="X701" s="10">
        <f>SUM(V$13:V701)/COUNTA(B$13:B701)</f>
        <v>0</v>
      </c>
      <c r="Z701" s="5"/>
      <c r="AA701" s="5"/>
      <c r="AC701" s="7"/>
      <c r="AE701" s="54" t="e">
        <f t="shared" si="92"/>
        <v>#N/A</v>
      </c>
      <c r="AF701" s="4" t="e">
        <f t="shared" si="88"/>
        <v>#N/A</v>
      </c>
    </row>
    <row r="702" spans="2:32">
      <c r="B702" s="5">
        <f t="shared" si="93"/>
        <v>690</v>
      </c>
      <c r="C702" s="5"/>
      <c r="E702" s="13"/>
      <c r="F702" s="5"/>
      <c r="G702" s="11" t="str">
        <f>IF(ISERROR(AVERAGE(F$13:F702)),"n/a",AVERAGE(F$13:F702))</f>
        <v>n/a</v>
      </c>
      <c r="H702" s="11" t="str">
        <f t="shared" si="89"/>
        <v>n/a</v>
      </c>
      <c r="J702" s="5"/>
      <c r="K702" s="5"/>
      <c r="L702" s="5"/>
      <c r="M702" s="5"/>
      <c r="N702" s="5"/>
      <c r="O702" s="8" t="str">
        <f t="shared" si="87"/>
        <v>n/a</v>
      </c>
      <c r="Q702" s="5"/>
      <c r="R702" s="5"/>
      <c r="S702" s="5"/>
      <c r="U702" s="6"/>
      <c r="V702" s="9" t="str">
        <f t="shared" si="90"/>
        <v/>
      </c>
      <c r="W702" s="9" t="str">
        <f t="shared" si="91"/>
        <v/>
      </c>
      <c r="X702" s="10">
        <f>SUM(V$13:V702)/COUNTA(B$13:B702)</f>
        <v>0</v>
      </c>
      <c r="Z702" s="5"/>
      <c r="AA702" s="5"/>
      <c r="AC702" s="7"/>
      <c r="AE702" s="54" t="e">
        <f t="shared" si="92"/>
        <v>#N/A</v>
      </c>
      <c r="AF702" s="4" t="e">
        <f t="shared" si="88"/>
        <v>#N/A</v>
      </c>
    </row>
    <row r="703" spans="2:32">
      <c r="B703" s="5">
        <f t="shared" si="93"/>
        <v>691</v>
      </c>
      <c r="C703" s="5"/>
      <c r="E703" s="13"/>
      <c r="F703" s="5"/>
      <c r="G703" s="11" t="str">
        <f>IF(ISERROR(AVERAGE(F$13:F703)),"n/a",AVERAGE(F$13:F703))</f>
        <v>n/a</v>
      </c>
      <c r="H703" s="11" t="str">
        <f t="shared" si="89"/>
        <v>n/a</v>
      </c>
      <c r="J703" s="5"/>
      <c r="K703" s="5"/>
      <c r="L703" s="5"/>
      <c r="M703" s="5"/>
      <c r="N703" s="5"/>
      <c r="O703" s="8" t="str">
        <f t="shared" si="87"/>
        <v>n/a</v>
      </c>
      <c r="Q703" s="5"/>
      <c r="R703" s="5"/>
      <c r="S703" s="5"/>
      <c r="U703" s="6"/>
      <c r="V703" s="9" t="str">
        <f t="shared" si="90"/>
        <v/>
      </c>
      <c r="W703" s="9" t="str">
        <f t="shared" si="91"/>
        <v/>
      </c>
      <c r="X703" s="10">
        <f>SUM(V$13:V703)/COUNTA(B$13:B703)</f>
        <v>0</v>
      </c>
      <c r="Z703" s="5"/>
      <c r="AA703" s="5"/>
      <c r="AC703" s="7"/>
      <c r="AE703" s="54" t="e">
        <f t="shared" si="92"/>
        <v>#N/A</v>
      </c>
      <c r="AF703" s="4" t="e">
        <f t="shared" si="88"/>
        <v>#N/A</v>
      </c>
    </row>
    <row r="704" spans="2:32">
      <c r="B704" s="5">
        <f t="shared" si="93"/>
        <v>692</v>
      </c>
      <c r="C704" s="5"/>
      <c r="E704" s="13"/>
      <c r="F704" s="5"/>
      <c r="G704" s="11" t="str">
        <f>IF(ISERROR(AVERAGE(F$13:F704)),"n/a",AVERAGE(F$13:F704))</f>
        <v>n/a</v>
      </c>
      <c r="H704" s="11" t="str">
        <f t="shared" si="89"/>
        <v>n/a</v>
      </c>
      <c r="J704" s="5"/>
      <c r="K704" s="5"/>
      <c r="L704" s="5"/>
      <c r="M704" s="5"/>
      <c r="N704" s="5"/>
      <c r="O704" s="8" t="str">
        <f t="shared" si="87"/>
        <v>n/a</v>
      </c>
      <c r="Q704" s="5"/>
      <c r="R704" s="5"/>
      <c r="S704" s="5"/>
      <c r="U704" s="6"/>
      <c r="V704" s="9" t="str">
        <f t="shared" si="90"/>
        <v/>
      </c>
      <c r="W704" s="9" t="str">
        <f t="shared" si="91"/>
        <v/>
      </c>
      <c r="X704" s="10">
        <f>SUM(V$13:V704)/COUNTA(B$13:B704)</f>
        <v>0</v>
      </c>
      <c r="Z704" s="5"/>
      <c r="AA704" s="5"/>
      <c r="AC704" s="7"/>
      <c r="AE704" s="54" t="e">
        <f t="shared" si="92"/>
        <v>#N/A</v>
      </c>
      <c r="AF704" s="4" t="e">
        <f t="shared" si="88"/>
        <v>#N/A</v>
      </c>
    </row>
    <row r="705" spans="2:32">
      <c r="B705" s="5">
        <f t="shared" si="93"/>
        <v>693</v>
      </c>
      <c r="C705" s="5"/>
      <c r="E705" s="13"/>
      <c r="F705" s="5"/>
      <c r="G705" s="11" t="str">
        <f>IF(ISERROR(AVERAGE(F$13:F705)),"n/a",AVERAGE(F$13:F705))</f>
        <v>n/a</v>
      </c>
      <c r="H705" s="11" t="str">
        <f t="shared" si="89"/>
        <v>n/a</v>
      </c>
      <c r="J705" s="5"/>
      <c r="K705" s="5"/>
      <c r="L705" s="5"/>
      <c r="M705" s="5"/>
      <c r="N705" s="5"/>
      <c r="O705" s="8" t="str">
        <f t="shared" si="87"/>
        <v>n/a</v>
      </c>
      <c r="Q705" s="5"/>
      <c r="R705" s="5"/>
      <c r="S705" s="5"/>
      <c r="U705" s="6"/>
      <c r="V705" s="9" t="str">
        <f t="shared" si="90"/>
        <v/>
      </c>
      <c r="W705" s="9" t="str">
        <f t="shared" si="91"/>
        <v/>
      </c>
      <c r="X705" s="10">
        <f>SUM(V$13:V705)/COUNTA(B$13:B705)</f>
        <v>0</v>
      </c>
      <c r="Z705" s="5"/>
      <c r="AA705" s="5"/>
      <c r="AC705" s="7"/>
      <c r="AE705" s="54" t="e">
        <f t="shared" si="92"/>
        <v>#N/A</v>
      </c>
      <c r="AF705" s="4" t="e">
        <f t="shared" si="88"/>
        <v>#N/A</v>
      </c>
    </row>
    <row r="706" spans="2:32">
      <c r="B706" s="5">
        <f t="shared" si="93"/>
        <v>694</v>
      </c>
      <c r="C706" s="5"/>
      <c r="E706" s="13"/>
      <c r="F706" s="5"/>
      <c r="G706" s="11" t="str">
        <f>IF(ISERROR(AVERAGE(F$13:F706)),"n/a",AVERAGE(F$13:F706))</f>
        <v>n/a</v>
      </c>
      <c r="H706" s="11" t="str">
        <f t="shared" si="89"/>
        <v>n/a</v>
      </c>
      <c r="J706" s="5"/>
      <c r="K706" s="5"/>
      <c r="L706" s="5"/>
      <c r="M706" s="5"/>
      <c r="N706" s="5"/>
      <c r="O706" s="8" t="str">
        <f t="shared" si="87"/>
        <v>n/a</v>
      </c>
      <c r="Q706" s="5"/>
      <c r="R706" s="5"/>
      <c r="S706" s="5"/>
      <c r="U706" s="6"/>
      <c r="V706" s="9" t="str">
        <f t="shared" si="90"/>
        <v/>
      </c>
      <c r="W706" s="9" t="str">
        <f t="shared" si="91"/>
        <v/>
      </c>
      <c r="X706" s="10">
        <f>SUM(V$13:V706)/COUNTA(B$13:B706)</f>
        <v>0</v>
      </c>
      <c r="Z706" s="5"/>
      <c r="AA706" s="5"/>
      <c r="AC706" s="7"/>
      <c r="AE706" s="54" t="e">
        <f t="shared" si="92"/>
        <v>#N/A</v>
      </c>
      <c r="AF706" s="4" t="e">
        <f t="shared" si="88"/>
        <v>#N/A</v>
      </c>
    </row>
    <row r="707" spans="2:32">
      <c r="B707" s="5">
        <f t="shared" si="93"/>
        <v>695</v>
      </c>
      <c r="C707" s="5"/>
      <c r="E707" s="13"/>
      <c r="F707" s="5"/>
      <c r="G707" s="11" t="str">
        <f>IF(ISERROR(AVERAGE(F$13:F707)),"n/a",AVERAGE(F$13:F707))</f>
        <v>n/a</v>
      </c>
      <c r="H707" s="11" t="str">
        <f t="shared" si="89"/>
        <v>n/a</v>
      </c>
      <c r="J707" s="5"/>
      <c r="K707" s="5"/>
      <c r="L707" s="5"/>
      <c r="M707" s="5"/>
      <c r="N707" s="5"/>
      <c r="O707" s="8" t="str">
        <f t="shared" si="87"/>
        <v>n/a</v>
      </c>
      <c r="Q707" s="5"/>
      <c r="R707" s="5"/>
      <c r="S707" s="5"/>
      <c r="U707" s="6"/>
      <c r="V707" s="9" t="str">
        <f t="shared" si="90"/>
        <v/>
      </c>
      <c r="W707" s="9" t="str">
        <f t="shared" si="91"/>
        <v/>
      </c>
      <c r="X707" s="10">
        <f>SUM(V$13:V707)/COUNTA(B$13:B707)</f>
        <v>0</v>
      </c>
      <c r="Z707" s="5"/>
      <c r="AA707" s="5"/>
      <c r="AC707" s="7"/>
      <c r="AE707" s="54" t="e">
        <f t="shared" si="92"/>
        <v>#N/A</v>
      </c>
      <c r="AF707" s="4" t="e">
        <f t="shared" si="88"/>
        <v>#N/A</v>
      </c>
    </row>
    <row r="708" spans="2:32">
      <c r="B708" s="5">
        <f t="shared" si="93"/>
        <v>696</v>
      </c>
      <c r="C708" s="5"/>
      <c r="E708" s="13"/>
      <c r="F708" s="5"/>
      <c r="G708" s="11" t="str">
        <f>IF(ISERROR(AVERAGE(F$13:F708)),"n/a",AVERAGE(F$13:F708))</f>
        <v>n/a</v>
      </c>
      <c r="H708" s="11" t="str">
        <f t="shared" si="89"/>
        <v>n/a</v>
      </c>
      <c r="J708" s="5"/>
      <c r="K708" s="5"/>
      <c r="L708" s="5"/>
      <c r="M708" s="5"/>
      <c r="N708" s="5"/>
      <c r="O708" s="8" t="str">
        <f t="shared" si="87"/>
        <v>n/a</v>
      </c>
      <c r="Q708" s="5"/>
      <c r="R708" s="5"/>
      <c r="S708" s="5"/>
      <c r="U708" s="6"/>
      <c r="V708" s="9" t="str">
        <f t="shared" si="90"/>
        <v/>
      </c>
      <c r="W708" s="9" t="str">
        <f t="shared" si="91"/>
        <v/>
      </c>
      <c r="X708" s="10">
        <f>SUM(V$13:V708)/COUNTA(B$13:B708)</f>
        <v>0</v>
      </c>
      <c r="Z708" s="5"/>
      <c r="AA708" s="5"/>
      <c r="AC708" s="7"/>
      <c r="AE708" s="54" t="e">
        <f t="shared" si="92"/>
        <v>#N/A</v>
      </c>
      <c r="AF708" s="4" t="e">
        <f t="shared" si="88"/>
        <v>#N/A</v>
      </c>
    </row>
    <row r="709" spans="2:32">
      <c r="B709" s="5">
        <f t="shared" si="93"/>
        <v>697</v>
      </c>
      <c r="C709" s="5"/>
      <c r="E709" s="13"/>
      <c r="F709" s="5"/>
      <c r="G709" s="11" t="str">
        <f>IF(ISERROR(AVERAGE(F$13:F709)),"n/a",AVERAGE(F$13:F709))</f>
        <v>n/a</v>
      </c>
      <c r="H709" s="11" t="str">
        <f t="shared" si="89"/>
        <v>n/a</v>
      </c>
      <c r="J709" s="5"/>
      <c r="K709" s="5"/>
      <c r="L709" s="5"/>
      <c r="M709" s="5"/>
      <c r="N709" s="5"/>
      <c r="O709" s="8" t="str">
        <f t="shared" si="87"/>
        <v>n/a</v>
      </c>
      <c r="Q709" s="5"/>
      <c r="R709" s="5"/>
      <c r="S709" s="5"/>
      <c r="U709" s="6"/>
      <c r="V709" s="9" t="str">
        <f t="shared" si="90"/>
        <v/>
      </c>
      <c r="W709" s="9" t="str">
        <f t="shared" si="91"/>
        <v/>
      </c>
      <c r="X709" s="10">
        <f>SUM(V$13:V709)/COUNTA(B$13:B709)</f>
        <v>0</v>
      </c>
      <c r="Z709" s="5"/>
      <c r="AA709" s="5"/>
      <c r="AC709" s="7"/>
      <c r="AE709" s="54" t="e">
        <f t="shared" si="92"/>
        <v>#N/A</v>
      </c>
      <c r="AF709" s="4" t="e">
        <f t="shared" si="88"/>
        <v>#N/A</v>
      </c>
    </row>
    <row r="710" spans="2:32">
      <c r="B710" s="5">
        <f t="shared" si="93"/>
        <v>698</v>
      </c>
      <c r="C710" s="5"/>
      <c r="E710" s="13"/>
      <c r="F710" s="5"/>
      <c r="G710" s="11" t="str">
        <f>IF(ISERROR(AVERAGE(F$13:F710)),"n/a",AVERAGE(F$13:F710))</f>
        <v>n/a</v>
      </c>
      <c r="H710" s="11" t="str">
        <f t="shared" si="89"/>
        <v>n/a</v>
      </c>
      <c r="J710" s="5"/>
      <c r="K710" s="5"/>
      <c r="L710" s="5"/>
      <c r="M710" s="5"/>
      <c r="N710" s="5"/>
      <c r="O710" s="8" t="str">
        <f t="shared" si="87"/>
        <v>n/a</v>
      </c>
      <c r="Q710" s="5"/>
      <c r="R710" s="5"/>
      <c r="S710" s="5"/>
      <c r="U710" s="6"/>
      <c r="V710" s="9" t="str">
        <f t="shared" si="90"/>
        <v/>
      </c>
      <c r="W710" s="9" t="str">
        <f t="shared" si="91"/>
        <v/>
      </c>
      <c r="X710" s="10">
        <f>SUM(V$13:V710)/COUNTA(B$13:B710)</f>
        <v>0</v>
      </c>
      <c r="Z710" s="5"/>
      <c r="AA710" s="5"/>
      <c r="AC710" s="7"/>
      <c r="AE710" s="54" t="e">
        <f t="shared" si="92"/>
        <v>#N/A</v>
      </c>
      <c r="AF710" s="4" t="e">
        <f t="shared" si="88"/>
        <v>#N/A</v>
      </c>
    </row>
    <row r="711" spans="2:32">
      <c r="B711" s="5">
        <f t="shared" si="93"/>
        <v>699</v>
      </c>
      <c r="C711" s="5"/>
      <c r="E711" s="13"/>
      <c r="F711" s="5"/>
      <c r="G711" s="11" t="str">
        <f>IF(ISERROR(AVERAGE(F$13:F711)),"n/a",AVERAGE(F$13:F711))</f>
        <v>n/a</v>
      </c>
      <c r="H711" s="11" t="str">
        <f t="shared" si="89"/>
        <v>n/a</v>
      </c>
      <c r="J711" s="5"/>
      <c r="K711" s="5"/>
      <c r="L711" s="5"/>
      <c r="M711" s="5"/>
      <c r="N711" s="5"/>
      <c r="O711" s="8" t="str">
        <f t="shared" si="87"/>
        <v>n/a</v>
      </c>
      <c r="Q711" s="5"/>
      <c r="R711" s="5"/>
      <c r="S711" s="5"/>
      <c r="U711" s="6"/>
      <c r="V711" s="9" t="str">
        <f t="shared" si="90"/>
        <v/>
      </c>
      <c r="W711" s="9" t="str">
        <f t="shared" si="91"/>
        <v/>
      </c>
      <c r="X711" s="10">
        <f>SUM(V$13:V711)/COUNTA(B$13:B711)</f>
        <v>0</v>
      </c>
      <c r="Z711" s="5"/>
      <c r="AA711" s="5"/>
      <c r="AC711" s="7"/>
      <c r="AE711" s="54" t="e">
        <f t="shared" si="92"/>
        <v>#N/A</v>
      </c>
      <c r="AF711" s="4" t="e">
        <f t="shared" si="88"/>
        <v>#N/A</v>
      </c>
    </row>
    <row r="712" spans="2:32">
      <c r="B712" s="5">
        <f t="shared" si="93"/>
        <v>700</v>
      </c>
      <c r="C712" s="5"/>
      <c r="E712" s="13"/>
      <c r="F712" s="5"/>
      <c r="G712" s="11" t="str">
        <f>IF(ISERROR(AVERAGE(F$13:F712)),"n/a",AVERAGE(F$13:F712))</f>
        <v>n/a</v>
      </c>
      <c r="H712" s="11" t="str">
        <f t="shared" si="89"/>
        <v>n/a</v>
      </c>
      <c r="J712" s="5"/>
      <c r="K712" s="5"/>
      <c r="L712" s="5"/>
      <c r="M712" s="5"/>
      <c r="N712" s="5"/>
      <c r="O712" s="8" t="str">
        <f t="shared" si="87"/>
        <v>n/a</v>
      </c>
      <c r="Q712" s="5"/>
      <c r="R712" s="5"/>
      <c r="S712" s="5"/>
      <c r="U712" s="6"/>
      <c r="V712" s="9" t="str">
        <f t="shared" si="90"/>
        <v/>
      </c>
      <c r="W712" s="9" t="str">
        <f t="shared" si="91"/>
        <v/>
      </c>
      <c r="X712" s="10">
        <f>SUM(V$13:V712)/COUNTA(B$13:B712)</f>
        <v>0</v>
      </c>
      <c r="Z712" s="5"/>
      <c r="AA712" s="5"/>
      <c r="AC712" s="7"/>
      <c r="AE712" s="54" t="e">
        <f t="shared" si="92"/>
        <v>#N/A</v>
      </c>
      <c r="AF712" s="4" t="e">
        <f t="shared" si="88"/>
        <v>#N/A</v>
      </c>
    </row>
    <row r="713" spans="2:32">
      <c r="B713" s="5">
        <f t="shared" si="93"/>
        <v>701</v>
      </c>
      <c r="C713" s="5"/>
      <c r="E713" s="13"/>
      <c r="F713" s="5"/>
      <c r="G713" s="11" t="str">
        <f>IF(ISERROR(AVERAGE(F$13:F713)),"n/a",AVERAGE(F$13:F713))</f>
        <v>n/a</v>
      </c>
      <c r="H713" s="11" t="str">
        <f t="shared" si="89"/>
        <v>n/a</v>
      </c>
      <c r="J713" s="5"/>
      <c r="K713" s="5"/>
      <c r="L713" s="5"/>
      <c r="M713" s="5"/>
      <c r="N713" s="5"/>
      <c r="O713" s="8" t="str">
        <f t="shared" si="87"/>
        <v>n/a</v>
      </c>
      <c r="Q713" s="5"/>
      <c r="R713" s="5"/>
      <c r="S713" s="5"/>
      <c r="U713" s="6"/>
      <c r="V713" s="9" t="str">
        <f t="shared" si="90"/>
        <v/>
      </c>
      <c r="W713" s="9" t="str">
        <f t="shared" si="91"/>
        <v/>
      </c>
      <c r="X713" s="10">
        <f>SUM(V$13:V713)/COUNTA(B$13:B713)</f>
        <v>0</v>
      </c>
      <c r="Z713" s="5"/>
      <c r="AA713" s="5"/>
      <c r="AC713" s="7"/>
      <c r="AE713" s="54" t="e">
        <f t="shared" si="92"/>
        <v>#N/A</v>
      </c>
      <c r="AF713" s="4" t="e">
        <f t="shared" si="88"/>
        <v>#N/A</v>
      </c>
    </row>
    <row r="714" spans="2:32">
      <c r="B714" s="5">
        <f t="shared" si="93"/>
        <v>702</v>
      </c>
      <c r="C714" s="5"/>
      <c r="E714" s="13"/>
      <c r="F714" s="5"/>
      <c r="G714" s="11" t="str">
        <f>IF(ISERROR(AVERAGE(F$13:F714)),"n/a",AVERAGE(F$13:F714))</f>
        <v>n/a</v>
      </c>
      <c r="H714" s="11" t="str">
        <f t="shared" si="89"/>
        <v>n/a</v>
      </c>
      <c r="J714" s="5"/>
      <c r="K714" s="5"/>
      <c r="L714" s="5"/>
      <c r="M714" s="5"/>
      <c r="N714" s="5"/>
      <c r="O714" s="8" t="str">
        <f t="shared" si="87"/>
        <v>n/a</v>
      </c>
      <c r="Q714" s="5"/>
      <c r="R714" s="5"/>
      <c r="S714" s="5"/>
      <c r="U714" s="6"/>
      <c r="V714" s="9" t="str">
        <f t="shared" si="90"/>
        <v/>
      </c>
      <c r="W714" s="9" t="str">
        <f t="shared" si="91"/>
        <v/>
      </c>
      <c r="X714" s="10">
        <f>SUM(V$13:V714)/COUNTA(B$13:B714)</f>
        <v>0</v>
      </c>
      <c r="Z714" s="5"/>
      <c r="AA714" s="5"/>
      <c r="AC714" s="7"/>
      <c r="AE714" s="54" t="e">
        <f t="shared" si="92"/>
        <v>#N/A</v>
      </c>
      <c r="AF714" s="4" t="e">
        <f t="shared" si="88"/>
        <v>#N/A</v>
      </c>
    </row>
    <row r="715" spans="2:32">
      <c r="B715" s="5">
        <f t="shared" si="93"/>
        <v>703</v>
      </c>
      <c r="C715" s="5"/>
      <c r="E715" s="13"/>
      <c r="F715" s="5"/>
      <c r="G715" s="11" t="str">
        <f>IF(ISERROR(AVERAGE(F$13:F715)),"n/a",AVERAGE(F$13:F715))</f>
        <v>n/a</v>
      </c>
      <c r="H715" s="11" t="str">
        <f t="shared" si="89"/>
        <v>n/a</v>
      </c>
      <c r="J715" s="5"/>
      <c r="K715" s="5"/>
      <c r="L715" s="5"/>
      <c r="M715" s="5"/>
      <c r="N715" s="5"/>
      <c r="O715" s="8" t="str">
        <f t="shared" si="87"/>
        <v>n/a</v>
      </c>
      <c r="Q715" s="5"/>
      <c r="R715" s="5"/>
      <c r="S715" s="5"/>
      <c r="U715" s="6"/>
      <c r="V715" s="9" t="str">
        <f t="shared" si="90"/>
        <v/>
      </c>
      <c r="W715" s="9" t="str">
        <f t="shared" si="91"/>
        <v/>
      </c>
      <c r="X715" s="10">
        <f>SUM(V$13:V715)/COUNTA(B$13:B715)</f>
        <v>0</v>
      </c>
      <c r="Z715" s="5"/>
      <c r="AA715" s="5"/>
      <c r="AC715" s="7"/>
      <c r="AE715" s="54" t="e">
        <f t="shared" si="92"/>
        <v>#N/A</v>
      </c>
      <c r="AF715" s="4" t="e">
        <f t="shared" si="88"/>
        <v>#N/A</v>
      </c>
    </row>
    <row r="716" spans="2:32">
      <c r="B716" s="5">
        <f t="shared" si="93"/>
        <v>704</v>
      </c>
      <c r="C716" s="5"/>
      <c r="E716" s="13"/>
      <c r="F716" s="5"/>
      <c r="G716" s="11" t="str">
        <f>IF(ISERROR(AVERAGE(F$13:F716)),"n/a",AVERAGE(F$13:F716))</f>
        <v>n/a</v>
      </c>
      <c r="H716" s="11" t="str">
        <f t="shared" si="89"/>
        <v>n/a</v>
      </c>
      <c r="J716" s="5"/>
      <c r="K716" s="5"/>
      <c r="L716" s="5"/>
      <c r="M716" s="5"/>
      <c r="N716" s="5"/>
      <c r="O716" s="8" t="str">
        <f t="shared" si="87"/>
        <v>n/a</v>
      </c>
      <c r="Q716" s="5"/>
      <c r="R716" s="5"/>
      <c r="S716" s="5"/>
      <c r="U716" s="6"/>
      <c r="V716" s="9" t="str">
        <f t="shared" si="90"/>
        <v/>
      </c>
      <c r="W716" s="9" t="str">
        <f t="shared" si="91"/>
        <v/>
      </c>
      <c r="X716" s="10">
        <f>SUM(V$13:V716)/COUNTA(B$13:B716)</f>
        <v>0</v>
      </c>
      <c r="Z716" s="5"/>
      <c r="AA716" s="5"/>
      <c r="AC716" s="7"/>
      <c r="AE716" s="54" t="e">
        <f t="shared" si="92"/>
        <v>#N/A</v>
      </c>
      <c r="AF716" s="4" t="e">
        <f t="shared" si="88"/>
        <v>#N/A</v>
      </c>
    </row>
    <row r="717" spans="2:32">
      <c r="B717" s="5">
        <f t="shared" si="93"/>
        <v>705</v>
      </c>
      <c r="C717" s="5"/>
      <c r="E717" s="13"/>
      <c r="F717" s="5"/>
      <c r="G717" s="11" t="str">
        <f>IF(ISERROR(AVERAGE(F$13:F717)),"n/a",AVERAGE(F$13:F717))</f>
        <v>n/a</v>
      </c>
      <c r="H717" s="11" t="str">
        <f t="shared" si="89"/>
        <v>n/a</v>
      </c>
      <c r="J717" s="5"/>
      <c r="K717" s="5"/>
      <c r="L717" s="5"/>
      <c r="M717" s="5"/>
      <c r="N717" s="5"/>
      <c r="O717" s="8" t="str">
        <f t="shared" ref="O717:O780" si="94">IF(J717=1,"A",IF(K717=1,"B",IF(L717=1,"C",IF(M717=1,"D",IF(N717=1,"E","n/a")))))</f>
        <v>n/a</v>
      </c>
      <c r="Q717" s="5"/>
      <c r="R717" s="5"/>
      <c r="S717" s="5"/>
      <c r="U717" s="6"/>
      <c r="V717" s="9" t="str">
        <f t="shared" si="90"/>
        <v/>
      </c>
      <c r="W717" s="9" t="str">
        <f t="shared" si="91"/>
        <v/>
      </c>
      <c r="X717" s="10">
        <f>SUM(V$13:V717)/COUNTA(B$13:B717)</f>
        <v>0</v>
      </c>
      <c r="Z717" s="5"/>
      <c r="AA717" s="5"/>
      <c r="AC717" s="7"/>
      <c r="AE717" s="54" t="e">
        <f t="shared" si="92"/>
        <v>#N/A</v>
      </c>
      <c r="AF717" s="4" t="e">
        <f t="shared" ref="AF717:AF780" si="95">HLOOKUP(C717,$K$6:$O$7,2,FALSE)</f>
        <v>#N/A</v>
      </c>
    </row>
    <row r="718" spans="2:32">
      <c r="B718" s="5">
        <f t="shared" si="93"/>
        <v>706</v>
      </c>
      <c r="C718" s="5"/>
      <c r="E718" s="13"/>
      <c r="F718" s="5"/>
      <c r="G718" s="11" t="str">
        <f>IF(ISERROR(AVERAGE(F$13:F718)),"n/a",AVERAGE(F$13:F718))</f>
        <v>n/a</v>
      </c>
      <c r="H718" s="11" t="str">
        <f t="shared" ref="H718:H781" si="96">G718</f>
        <v>n/a</v>
      </c>
      <c r="J718" s="5"/>
      <c r="K718" s="5"/>
      <c r="L718" s="5"/>
      <c r="M718" s="5"/>
      <c r="N718" s="5"/>
      <c r="O718" s="8" t="str">
        <f t="shared" si="94"/>
        <v>n/a</v>
      </c>
      <c r="Q718" s="5"/>
      <c r="R718" s="5"/>
      <c r="S718" s="5"/>
      <c r="U718" s="6"/>
      <c r="V718" s="9" t="str">
        <f t="shared" ref="V718:V781" si="97">IF(O718="n/a","",IF(O718=U718,1,""))</f>
        <v/>
      </c>
      <c r="W718" s="9" t="str">
        <f t="shared" ref="W718:W781" si="98">IF(O718="n/a","",IF(O718&lt;&gt;U718,1,""))</f>
        <v/>
      </c>
      <c r="X718" s="10">
        <f>SUM(V$13:V718)/COUNTA(B$13:B718)</f>
        <v>0</v>
      </c>
      <c r="Z718" s="5"/>
      <c r="AA718" s="5"/>
      <c r="AC718" s="7"/>
      <c r="AE718" s="54" t="e">
        <f t="shared" ref="AE718:AE781" si="99">+IF($F$4=0,0,IF(W718=1,1,IF(OR(R718*$F$8=1,S718*$F$9=1,F718&gt;=AF718),2,0)))</f>
        <v>#N/A</v>
      </c>
      <c r="AF718" s="4" t="e">
        <f t="shared" si="95"/>
        <v>#N/A</v>
      </c>
    </row>
    <row r="719" spans="2:32">
      <c r="B719" s="5">
        <f t="shared" si="93"/>
        <v>707</v>
      </c>
      <c r="C719" s="5"/>
      <c r="E719" s="13"/>
      <c r="F719" s="5"/>
      <c r="G719" s="11" t="str">
        <f>IF(ISERROR(AVERAGE(F$13:F719)),"n/a",AVERAGE(F$13:F719))</f>
        <v>n/a</v>
      </c>
      <c r="H719" s="11" t="str">
        <f t="shared" si="96"/>
        <v>n/a</v>
      </c>
      <c r="J719" s="5"/>
      <c r="K719" s="5"/>
      <c r="L719" s="5"/>
      <c r="M719" s="5"/>
      <c r="N719" s="5"/>
      <c r="O719" s="8" t="str">
        <f t="shared" si="94"/>
        <v>n/a</v>
      </c>
      <c r="Q719" s="5"/>
      <c r="R719" s="5"/>
      <c r="S719" s="5"/>
      <c r="U719" s="6"/>
      <c r="V719" s="9" t="str">
        <f t="shared" si="97"/>
        <v/>
      </c>
      <c r="W719" s="9" t="str">
        <f t="shared" si="98"/>
        <v/>
      </c>
      <c r="X719" s="10">
        <f>SUM(V$13:V719)/COUNTA(B$13:B719)</f>
        <v>0</v>
      </c>
      <c r="Z719" s="5"/>
      <c r="AA719" s="5"/>
      <c r="AC719" s="7"/>
      <c r="AE719" s="54" t="e">
        <f t="shared" si="99"/>
        <v>#N/A</v>
      </c>
      <c r="AF719" s="4" t="e">
        <f t="shared" si="95"/>
        <v>#N/A</v>
      </c>
    </row>
    <row r="720" spans="2:32">
      <c r="B720" s="5">
        <f t="shared" si="93"/>
        <v>708</v>
      </c>
      <c r="C720" s="5"/>
      <c r="E720" s="13"/>
      <c r="F720" s="5"/>
      <c r="G720" s="11" t="str">
        <f>IF(ISERROR(AVERAGE(F$13:F720)),"n/a",AVERAGE(F$13:F720))</f>
        <v>n/a</v>
      </c>
      <c r="H720" s="11" t="str">
        <f t="shared" si="96"/>
        <v>n/a</v>
      </c>
      <c r="J720" s="5"/>
      <c r="K720" s="5"/>
      <c r="L720" s="5"/>
      <c r="M720" s="5"/>
      <c r="N720" s="5"/>
      <c r="O720" s="8" t="str">
        <f t="shared" si="94"/>
        <v>n/a</v>
      </c>
      <c r="Q720" s="5"/>
      <c r="R720" s="5"/>
      <c r="S720" s="5"/>
      <c r="U720" s="6"/>
      <c r="V720" s="9" t="str">
        <f t="shared" si="97"/>
        <v/>
      </c>
      <c r="W720" s="9" t="str">
        <f t="shared" si="98"/>
        <v/>
      </c>
      <c r="X720" s="10">
        <f>SUM(V$13:V720)/COUNTA(B$13:B720)</f>
        <v>0</v>
      </c>
      <c r="Z720" s="5"/>
      <c r="AA720" s="5"/>
      <c r="AC720" s="7"/>
      <c r="AE720" s="54" t="e">
        <f t="shared" si="99"/>
        <v>#N/A</v>
      </c>
      <c r="AF720" s="4" t="e">
        <f t="shared" si="95"/>
        <v>#N/A</v>
      </c>
    </row>
    <row r="721" spans="2:32">
      <c r="B721" s="5">
        <f t="shared" si="93"/>
        <v>709</v>
      </c>
      <c r="C721" s="5"/>
      <c r="E721" s="13"/>
      <c r="F721" s="5"/>
      <c r="G721" s="11" t="str">
        <f>IF(ISERROR(AVERAGE(F$13:F721)),"n/a",AVERAGE(F$13:F721))</f>
        <v>n/a</v>
      </c>
      <c r="H721" s="11" t="str">
        <f t="shared" si="96"/>
        <v>n/a</v>
      </c>
      <c r="J721" s="5"/>
      <c r="K721" s="5"/>
      <c r="L721" s="5"/>
      <c r="M721" s="5"/>
      <c r="N721" s="5"/>
      <c r="O721" s="8" t="str">
        <f t="shared" si="94"/>
        <v>n/a</v>
      </c>
      <c r="Q721" s="5"/>
      <c r="R721" s="5"/>
      <c r="S721" s="5"/>
      <c r="U721" s="6"/>
      <c r="V721" s="9" t="str">
        <f t="shared" si="97"/>
        <v/>
      </c>
      <c r="W721" s="9" t="str">
        <f t="shared" si="98"/>
        <v/>
      </c>
      <c r="X721" s="10">
        <f>SUM(V$13:V721)/COUNTA(B$13:B721)</f>
        <v>0</v>
      </c>
      <c r="Z721" s="5"/>
      <c r="AA721" s="5"/>
      <c r="AC721" s="7"/>
      <c r="AE721" s="54" t="e">
        <f t="shared" si="99"/>
        <v>#N/A</v>
      </c>
      <c r="AF721" s="4" t="e">
        <f t="shared" si="95"/>
        <v>#N/A</v>
      </c>
    </row>
    <row r="722" spans="2:32">
      <c r="B722" s="5">
        <f t="shared" si="93"/>
        <v>710</v>
      </c>
      <c r="C722" s="5"/>
      <c r="E722" s="13"/>
      <c r="F722" s="5"/>
      <c r="G722" s="11" t="str">
        <f>IF(ISERROR(AVERAGE(F$13:F722)),"n/a",AVERAGE(F$13:F722))</f>
        <v>n/a</v>
      </c>
      <c r="H722" s="11" t="str">
        <f t="shared" si="96"/>
        <v>n/a</v>
      </c>
      <c r="J722" s="5"/>
      <c r="K722" s="5"/>
      <c r="L722" s="5"/>
      <c r="M722" s="5"/>
      <c r="N722" s="5"/>
      <c r="O722" s="8" t="str">
        <f t="shared" si="94"/>
        <v>n/a</v>
      </c>
      <c r="Q722" s="5"/>
      <c r="R722" s="5"/>
      <c r="S722" s="5"/>
      <c r="U722" s="6"/>
      <c r="V722" s="9" t="str">
        <f t="shared" si="97"/>
        <v/>
      </c>
      <c r="W722" s="9" t="str">
        <f t="shared" si="98"/>
        <v/>
      </c>
      <c r="X722" s="10">
        <f>SUM(V$13:V722)/COUNTA(B$13:B722)</f>
        <v>0</v>
      </c>
      <c r="Z722" s="5"/>
      <c r="AA722" s="5"/>
      <c r="AC722" s="7"/>
      <c r="AE722" s="54" t="e">
        <f t="shared" si="99"/>
        <v>#N/A</v>
      </c>
      <c r="AF722" s="4" t="e">
        <f t="shared" si="95"/>
        <v>#N/A</v>
      </c>
    </row>
    <row r="723" spans="2:32">
      <c r="B723" s="5">
        <f t="shared" ref="B723:B786" si="100">+B722+1</f>
        <v>711</v>
      </c>
      <c r="C723" s="5"/>
      <c r="E723" s="13"/>
      <c r="F723" s="5"/>
      <c r="G723" s="11" t="str">
        <f>IF(ISERROR(AVERAGE(F$13:F723)),"n/a",AVERAGE(F$13:F723))</f>
        <v>n/a</v>
      </c>
      <c r="H723" s="11" t="str">
        <f t="shared" si="96"/>
        <v>n/a</v>
      </c>
      <c r="J723" s="5"/>
      <c r="K723" s="5"/>
      <c r="L723" s="5"/>
      <c r="M723" s="5"/>
      <c r="N723" s="5"/>
      <c r="O723" s="8" t="str">
        <f t="shared" si="94"/>
        <v>n/a</v>
      </c>
      <c r="Q723" s="5"/>
      <c r="R723" s="5"/>
      <c r="S723" s="5"/>
      <c r="U723" s="6"/>
      <c r="V723" s="9" t="str">
        <f t="shared" si="97"/>
        <v/>
      </c>
      <c r="W723" s="9" t="str">
        <f t="shared" si="98"/>
        <v/>
      </c>
      <c r="X723" s="10">
        <f>SUM(V$13:V723)/COUNTA(B$13:B723)</f>
        <v>0</v>
      </c>
      <c r="Z723" s="5"/>
      <c r="AA723" s="5"/>
      <c r="AC723" s="7"/>
      <c r="AE723" s="54" t="e">
        <f t="shared" si="99"/>
        <v>#N/A</v>
      </c>
      <c r="AF723" s="4" t="e">
        <f t="shared" si="95"/>
        <v>#N/A</v>
      </c>
    </row>
    <row r="724" spans="2:32">
      <c r="B724" s="5">
        <f t="shared" si="100"/>
        <v>712</v>
      </c>
      <c r="C724" s="5"/>
      <c r="E724" s="13"/>
      <c r="F724" s="5"/>
      <c r="G724" s="11" t="str">
        <f>IF(ISERROR(AVERAGE(F$13:F724)),"n/a",AVERAGE(F$13:F724))</f>
        <v>n/a</v>
      </c>
      <c r="H724" s="11" t="str">
        <f t="shared" si="96"/>
        <v>n/a</v>
      </c>
      <c r="J724" s="5"/>
      <c r="K724" s="5"/>
      <c r="L724" s="5"/>
      <c r="M724" s="5"/>
      <c r="N724" s="5"/>
      <c r="O724" s="8" t="str">
        <f t="shared" si="94"/>
        <v>n/a</v>
      </c>
      <c r="Q724" s="5"/>
      <c r="R724" s="5"/>
      <c r="S724" s="5"/>
      <c r="U724" s="6"/>
      <c r="V724" s="9" t="str">
        <f t="shared" si="97"/>
        <v/>
      </c>
      <c r="W724" s="9" t="str">
        <f t="shared" si="98"/>
        <v/>
      </c>
      <c r="X724" s="10">
        <f>SUM(V$13:V724)/COUNTA(B$13:B724)</f>
        <v>0</v>
      </c>
      <c r="Z724" s="5"/>
      <c r="AA724" s="5"/>
      <c r="AC724" s="7"/>
      <c r="AE724" s="54" t="e">
        <f t="shared" si="99"/>
        <v>#N/A</v>
      </c>
      <c r="AF724" s="4" t="e">
        <f t="shared" si="95"/>
        <v>#N/A</v>
      </c>
    </row>
    <row r="725" spans="2:32">
      <c r="B725" s="5">
        <f t="shared" si="100"/>
        <v>713</v>
      </c>
      <c r="C725" s="5"/>
      <c r="E725" s="13"/>
      <c r="F725" s="5"/>
      <c r="G725" s="11" t="str">
        <f>IF(ISERROR(AVERAGE(F$13:F725)),"n/a",AVERAGE(F$13:F725))</f>
        <v>n/a</v>
      </c>
      <c r="H725" s="11" t="str">
        <f t="shared" si="96"/>
        <v>n/a</v>
      </c>
      <c r="J725" s="5"/>
      <c r="K725" s="5"/>
      <c r="L725" s="5"/>
      <c r="M725" s="5"/>
      <c r="N725" s="5"/>
      <c r="O725" s="8" t="str">
        <f t="shared" si="94"/>
        <v>n/a</v>
      </c>
      <c r="Q725" s="5"/>
      <c r="R725" s="5"/>
      <c r="S725" s="5"/>
      <c r="U725" s="6"/>
      <c r="V725" s="9" t="str">
        <f t="shared" si="97"/>
        <v/>
      </c>
      <c r="W725" s="9" t="str">
        <f t="shared" si="98"/>
        <v/>
      </c>
      <c r="X725" s="10">
        <f>SUM(V$13:V725)/COUNTA(B$13:B725)</f>
        <v>0</v>
      </c>
      <c r="Z725" s="5"/>
      <c r="AA725" s="5"/>
      <c r="AC725" s="7"/>
      <c r="AE725" s="54" t="e">
        <f t="shared" si="99"/>
        <v>#N/A</v>
      </c>
      <c r="AF725" s="4" t="e">
        <f t="shared" si="95"/>
        <v>#N/A</v>
      </c>
    </row>
    <row r="726" spans="2:32">
      <c r="B726" s="5">
        <f t="shared" si="100"/>
        <v>714</v>
      </c>
      <c r="C726" s="5"/>
      <c r="E726" s="13"/>
      <c r="F726" s="5"/>
      <c r="G726" s="11" t="str">
        <f>IF(ISERROR(AVERAGE(F$13:F726)),"n/a",AVERAGE(F$13:F726))</f>
        <v>n/a</v>
      </c>
      <c r="H726" s="11" t="str">
        <f t="shared" si="96"/>
        <v>n/a</v>
      </c>
      <c r="J726" s="5"/>
      <c r="K726" s="5"/>
      <c r="L726" s="5"/>
      <c r="M726" s="5"/>
      <c r="N726" s="5"/>
      <c r="O726" s="8" t="str">
        <f t="shared" si="94"/>
        <v>n/a</v>
      </c>
      <c r="Q726" s="5"/>
      <c r="R726" s="5"/>
      <c r="S726" s="5"/>
      <c r="U726" s="6"/>
      <c r="V726" s="9" t="str">
        <f t="shared" si="97"/>
        <v/>
      </c>
      <c r="W726" s="9" t="str">
        <f t="shared" si="98"/>
        <v/>
      </c>
      <c r="X726" s="10">
        <f>SUM(V$13:V726)/COUNTA(B$13:B726)</f>
        <v>0</v>
      </c>
      <c r="Z726" s="5"/>
      <c r="AA726" s="5"/>
      <c r="AC726" s="7"/>
      <c r="AE726" s="54" t="e">
        <f t="shared" si="99"/>
        <v>#N/A</v>
      </c>
      <c r="AF726" s="4" t="e">
        <f t="shared" si="95"/>
        <v>#N/A</v>
      </c>
    </row>
    <row r="727" spans="2:32">
      <c r="B727" s="5">
        <f t="shared" si="100"/>
        <v>715</v>
      </c>
      <c r="C727" s="5"/>
      <c r="E727" s="13"/>
      <c r="F727" s="5"/>
      <c r="G727" s="11" t="str">
        <f>IF(ISERROR(AVERAGE(F$13:F727)),"n/a",AVERAGE(F$13:F727))</f>
        <v>n/a</v>
      </c>
      <c r="H727" s="11" t="str">
        <f t="shared" si="96"/>
        <v>n/a</v>
      </c>
      <c r="J727" s="5"/>
      <c r="K727" s="5"/>
      <c r="L727" s="5"/>
      <c r="M727" s="5"/>
      <c r="N727" s="5"/>
      <c r="O727" s="8" t="str">
        <f t="shared" si="94"/>
        <v>n/a</v>
      </c>
      <c r="Q727" s="5"/>
      <c r="R727" s="5"/>
      <c r="S727" s="5"/>
      <c r="U727" s="6"/>
      <c r="V727" s="9" t="str">
        <f t="shared" si="97"/>
        <v/>
      </c>
      <c r="W727" s="9" t="str">
        <f t="shared" si="98"/>
        <v/>
      </c>
      <c r="X727" s="10">
        <f>SUM(V$13:V727)/COUNTA(B$13:B727)</f>
        <v>0</v>
      </c>
      <c r="Z727" s="5"/>
      <c r="AA727" s="5"/>
      <c r="AC727" s="7"/>
      <c r="AE727" s="54" t="e">
        <f t="shared" si="99"/>
        <v>#N/A</v>
      </c>
      <c r="AF727" s="4" t="e">
        <f t="shared" si="95"/>
        <v>#N/A</v>
      </c>
    </row>
    <row r="728" spans="2:32">
      <c r="B728" s="5">
        <f t="shared" si="100"/>
        <v>716</v>
      </c>
      <c r="C728" s="5"/>
      <c r="E728" s="13"/>
      <c r="F728" s="5"/>
      <c r="G728" s="11" t="str">
        <f>IF(ISERROR(AVERAGE(F$13:F728)),"n/a",AVERAGE(F$13:F728))</f>
        <v>n/a</v>
      </c>
      <c r="H728" s="11" t="str">
        <f t="shared" si="96"/>
        <v>n/a</v>
      </c>
      <c r="J728" s="5"/>
      <c r="K728" s="5"/>
      <c r="L728" s="5"/>
      <c r="M728" s="5"/>
      <c r="N728" s="5"/>
      <c r="O728" s="8" t="str">
        <f t="shared" si="94"/>
        <v>n/a</v>
      </c>
      <c r="Q728" s="5"/>
      <c r="R728" s="5"/>
      <c r="S728" s="5"/>
      <c r="U728" s="6"/>
      <c r="V728" s="9" t="str">
        <f t="shared" si="97"/>
        <v/>
      </c>
      <c r="W728" s="9" t="str">
        <f t="shared" si="98"/>
        <v/>
      </c>
      <c r="X728" s="10">
        <f>SUM(V$13:V728)/COUNTA(B$13:B728)</f>
        <v>0</v>
      </c>
      <c r="Z728" s="5"/>
      <c r="AA728" s="5"/>
      <c r="AC728" s="7"/>
      <c r="AE728" s="54" t="e">
        <f t="shared" si="99"/>
        <v>#N/A</v>
      </c>
      <c r="AF728" s="4" t="e">
        <f t="shared" si="95"/>
        <v>#N/A</v>
      </c>
    </row>
    <row r="729" spans="2:32">
      <c r="B729" s="5">
        <f t="shared" si="100"/>
        <v>717</v>
      </c>
      <c r="C729" s="5"/>
      <c r="E729" s="13"/>
      <c r="F729" s="5"/>
      <c r="G729" s="11" t="str">
        <f>IF(ISERROR(AVERAGE(F$13:F729)),"n/a",AVERAGE(F$13:F729))</f>
        <v>n/a</v>
      </c>
      <c r="H729" s="11" t="str">
        <f t="shared" si="96"/>
        <v>n/a</v>
      </c>
      <c r="J729" s="5"/>
      <c r="K729" s="5"/>
      <c r="L729" s="5"/>
      <c r="M729" s="5"/>
      <c r="N729" s="5"/>
      <c r="O729" s="8" t="str">
        <f t="shared" si="94"/>
        <v>n/a</v>
      </c>
      <c r="Q729" s="5"/>
      <c r="R729" s="5"/>
      <c r="S729" s="5"/>
      <c r="U729" s="6"/>
      <c r="V729" s="9" t="str">
        <f t="shared" si="97"/>
        <v/>
      </c>
      <c r="W729" s="9" t="str">
        <f t="shared" si="98"/>
        <v/>
      </c>
      <c r="X729" s="10">
        <f>SUM(V$13:V729)/COUNTA(B$13:B729)</f>
        <v>0</v>
      </c>
      <c r="Z729" s="5"/>
      <c r="AA729" s="5"/>
      <c r="AC729" s="7"/>
      <c r="AE729" s="54" t="e">
        <f t="shared" si="99"/>
        <v>#N/A</v>
      </c>
      <c r="AF729" s="4" t="e">
        <f t="shared" si="95"/>
        <v>#N/A</v>
      </c>
    </row>
    <row r="730" spans="2:32">
      <c r="B730" s="5">
        <f t="shared" si="100"/>
        <v>718</v>
      </c>
      <c r="C730" s="5"/>
      <c r="E730" s="13"/>
      <c r="F730" s="5"/>
      <c r="G730" s="11" t="str">
        <f>IF(ISERROR(AVERAGE(F$13:F730)),"n/a",AVERAGE(F$13:F730))</f>
        <v>n/a</v>
      </c>
      <c r="H730" s="11" t="str">
        <f t="shared" si="96"/>
        <v>n/a</v>
      </c>
      <c r="J730" s="5"/>
      <c r="K730" s="5"/>
      <c r="L730" s="5"/>
      <c r="M730" s="5"/>
      <c r="N730" s="5"/>
      <c r="O730" s="8" t="str">
        <f t="shared" si="94"/>
        <v>n/a</v>
      </c>
      <c r="Q730" s="5"/>
      <c r="R730" s="5"/>
      <c r="S730" s="5"/>
      <c r="U730" s="6"/>
      <c r="V730" s="9" t="str">
        <f t="shared" si="97"/>
        <v/>
      </c>
      <c r="W730" s="9" t="str">
        <f t="shared" si="98"/>
        <v/>
      </c>
      <c r="X730" s="10">
        <f>SUM(V$13:V730)/COUNTA(B$13:B730)</f>
        <v>0</v>
      </c>
      <c r="Z730" s="5"/>
      <c r="AA730" s="5"/>
      <c r="AC730" s="7"/>
      <c r="AE730" s="54" t="e">
        <f t="shared" si="99"/>
        <v>#N/A</v>
      </c>
      <c r="AF730" s="4" t="e">
        <f t="shared" si="95"/>
        <v>#N/A</v>
      </c>
    </row>
    <row r="731" spans="2:32">
      <c r="B731" s="5">
        <f t="shared" si="100"/>
        <v>719</v>
      </c>
      <c r="C731" s="5"/>
      <c r="E731" s="13"/>
      <c r="F731" s="5"/>
      <c r="G731" s="11" t="str">
        <f>IF(ISERROR(AVERAGE(F$13:F731)),"n/a",AVERAGE(F$13:F731))</f>
        <v>n/a</v>
      </c>
      <c r="H731" s="11" t="str">
        <f t="shared" si="96"/>
        <v>n/a</v>
      </c>
      <c r="J731" s="5"/>
      <c r="K731" s="5"/>
      <c r="L731" s="5"/>
      <c r="M731" s="5"/>
      <c r="N731" s="5"/>
      <c r="O731" s="8" t="str">
        <f t="shared" si="94"/>
        <v>n/a</v>
      </c>
      <c r="Q731" s="5"/>
      <c r="R731" s="5"/>
      <c r="S731" s="5"/>
      <c r="U731" s="6"/>
      <c r="V731" s="9" t="str">
        <f t="shared" si="97"/>
        <v/>
      </c>
      <c r="W731" s="9" t="str">
        <f t="shared" si="98"/>
        <v/>
      </c>
      <c r="X731" s="10">
        <f>SUM(V$13:V731)/COUNTA(B$13:B731)</f>
        <v>0</v>
      </c>
      <c r="Z731" s="5"/>
      <c r="AA731" s="5"/>
      <c r="AC731" s="7"/>
      <c r="AE731" s="54" t="e">
        <f t="shared" si="99"/>
        <v>#N/A</v>
      </c>
      <c r="AF731" s="4" t="e">
        <f t="shared" si="95"/>
        <v>#N/A</v>
      </c>
    </row>
    <row r="732" spans="2:32">
      <c r="B732" s="5">
        <f t="shared" si="100"/>
        <v>720</v>
      </c>
      <c r="C732" s="5"/>
      <c r="E732" s="13"/>
      <c r="F732" s="5"/>
      <c r="G732" s="11" t="str">
        <f>IF(ISERROR(AVERAGE(F$13:F732)),"n/a",AVERAGE(F$13:F732))</f>
        <v>n/a</v>
      </c>
      <c r="H732" s="11" t="str">
        <f t="shared" si="96"/>
        <v>n/a</v>
      </c>
      <c r="J732" s="5"/>
      <c r="K732" s="5"/>
      <c r="L732" s="5"/>
      <c r="M732" s="5"/>
      <c r="N732" s="5"/>
      <c r="O732" s="8" t="str">
        <f t="shared" si="94"/>
        <v>n/a</v>
      </c>
      <c r="Q732" s="5"/>
      <c r="R732" s="5"/>
      <c r="S732" s="5"/>
      <c r="U732" s="6"/>
      <c r="V732" s="9" t="str">
        <f t="shared" si="97"/>
        <v/>
      </c>
      <c r="W732" s="9" t="str">
        <f t="shared" si="98"/>
        <v/>
      </c>
      <c r="X732" s="10">
        <f>SUM(V$13:V732)/COUNTA(B$13:B732)</f>
        <v>0</v>
      </c>
      <c r="Z732" s="5"/>
      <c r="AA732" s="5"/>
      <c r="AC732" s="7"/>
      <c r="AE732" s="54" t="e">
        <f t="shared" si="99"/>
        <v>#N/A</v>
      </c>
      <c r="AF732" s="4" t="e">
        <f t="shared" si="95"/>
        <v>#N/A</v>
      </c>
    </row>
    <row r="733" spans="2:32">
      <c r="B733" s="5">
        <f t="shared" si="100"/>
        <v>721</v>
      </c>
      <c r="C733" s="5"/>
      <c r="E733" s="13"/>
      <c r="F733" s="5"/>
      <c r="G733" s="11" t="str">
        <f>IF(ISERROR(AVERAGE(F$13:F733)),"n/a",AVERAGE(F$13:F733))</f>
        <v>n/a</v>
      </c>
      <c r="H733" s="11" t="str">
        <f t="shared" si="96"/>
        <v>n/a</v>
      </c>
      <c r="J733" s="5"/>
      <c r="K733" s="5"/>
      <c r="L733" s="5"/>
      <c r="M733" s="5"/>
      <c r="N733" s="5"/>
      <c r="O733" s="8" t="str">
        <f t="shared" si="94"/>
        <v>n/a</v>
      </c>
      <c r="Q733" s="5"/>
      <c r="R733" s="5"/>
      <c r="S733" s="5"/>
      <c r="U733" s="6"/>
      <c r="V733" s="9" t="str">
        <f t="shared" si="97"/>
        <v/>
      </c>
      <c r="W733" s="9" t="str">
        <f t="shared" si="98"/>
        <v/>
      </c>
      <c r="X733" s="10">
        <f>SUM(V$13:V733)/COUNTA(B$13:B733)</f>
        <v>0</v>
      </c>
      <c r="Z733" s="5"/>
      <c r="AA733" s="5"/>
      <c r="AC733" s="7"/>
      <c r="AE733" s="54" t="e">
        <f t="shared" si="99"/>
        <v>#N/A</v>
      </c>
      <c r="AF733" s="4" t="e">
        <f t="shared" si="95"/>
        <v>#N/A</v>
      </c>
    </row>
    <row r="734" spans="2:32">
      <c r="B734" s="5">
        <f t="shared" si="100"/>
        <v>722</v>
      </c>
      <c r="C734" s="5"/>
      <c r="E734" s="13"/>
      <c r="F734" s="5"/>
      <c r="G734" s="11" t="str">
        <f>IF(ISERROR(AVERAGE(F$13:F734)),"n/a",AVERAGE(F$13:F734))</f>
        <v>n/a</v>
      </c>
      <c r="H734" s="11" t="str">
        <f t="shared" si="96"/>
        <v>n/a</v>
      </c>
      <c r="J734" s="5"/>
      <c r="K734" s="5"/>
      <c r="L734" s="5"/>
      <c r="M734" s="5"/>
      <c r="N734" s="5"/>
      <c r="O734" s="8" t="str">
        <f t="shared" si="94"/>
        <v>n/a</v>
      </c>
      <c r="Q734" s="5"/>
      <c r="R734" s="5"/>
      <c r="S734" s="5"/>
      <c r="U734" s="6"/>
      <c r="V734" s="9" t="str">
        <f t="shared" si="97"/>
        <v/>
      </c>
      <c r="W734" s="9" t="str">
        <f t="shared" si="98"/>
        <v/>
      </c>
      <c r="X734" s="10">
        <f>SUM(V$13:V734)/COUNTA(B$13:B734)</f>
        <v>0</v>
      </c>
      <c r="Z734" s="5"/>
      <c r="AA734" s="5"/>
      <c r="AC734" s="7"/>
      <c r="AE734" s="54" t="e">
        <f t="shared" si="99"/>
        <v>#N/A</v>
      </c>
      <c r="AF734" s="4" t="e">
        <f t="shared" si="95"/>
        <v>#N/A</v>
      </c>
    </row>
    <row r="735" spans="2:32">
      <c r="B735" s="5">
        <f t="shared" si="100"/>
        <v>723</v>
      </c>
      <c r="C735" s="5"/>
      <c r="E735" s="13"/>
      <c r="F735" s="5"/>
      <c r="G735" s="11" t="str">
        <f>IF(ISERROR(AVERAGE(F$13:F735)),"n/a",AVERAGE(F$13:F735))</f>
        <v>n/a</v>
      </c>
      <c r="H735" s="11" t="str">
        <f t="shared" si="96"/>
        <v>n/a</v>
      </c>
      <c r="J735" s="5"/>
      <c r="K735" s="5"/>
      <c r="L735" s="5"/>
      <c r="M735" s="5"/>
      <c r="N735" s="5"/>
      <c r="O735" s="8" t="str">
        <f t="shared" si="94"/>
        <v>n/a</v>
      </c>
      <c r="Q735" s="5"/>
      <c r="R735" s="5"/>
      <c r="S735" s="5"/>
      <c r="U735" s="6"/>
      <c r="V735" s="9" t="str">
        <f t="shared" si="97"/>
        <v/>
      </c>
      <c r="W735" s="9" t="str">
        <f t="shared" si="98"/>
        <v/>
      </c>
      <c r="X735" s="10">
        <f>SUM(V$13:V735)/COUNTA(B$13:B735)</f>
        <v>0</v>
      </c>
      <c r="Z735" s="5"/>
      <c r="AA735" s="5"/>
      <c r="AC735" s="7"/>
      <c r="AE735" s="54" t="e">
        <f t="shared" si="99"/>
        <v>#N/A</v>
      </c>
      <c r="AF735" s="4" t="e">
        <f t="shared" si="95"/>
        <v>#N/A</v>
      </c>
    </row>
    <row r="736" spans="2:32">
      <c r="B736" s="5">
        <f t="shared" si="100"/>
        <v>724</v>
      </c>
      <c r="C736" s="5"/>
      <c r="E736" s="13"/>
      <c r="F736" s="5"/>
      <c r="G736" s="11" t="str">
        <f>IF(ISERROR(AVERAGE(F$13:F736)),"n/a",AVERAGE(F$13:F736))</f>
        <v>n/a</v>
      </c>
      <c r="H736" s="11" t="str">
        <f t="shared" si="96"/>
        <v>n/a</v>
      </c>
      <c r="J736" s="5"/>
      <c r="K736" s="5"/>
      <c r="L736" s="5"/>
      <c r="M736" s="5"/>
      <c r="N736" s="5"/>
      <c r="O736" s="8" t="str">
        <f t="shared" si="94"/>
        <v>n/a</v>
      </c>
      <c r="Q736" s="5"/>
      <c r="R736" s="5"/>
      <c r="S736" s="5"/>
      <c r="U736" s="6"/>
      <c r="V736" s="9" t="str">
        <f t="shared" si="97"/>
        <v/>
      </c>
      <c r="W736" s="9" t="str">
        <f t="shared" si="98"/>
        <v/>
      </c>
      <c r="X736" s="10">
        <f>SUM(V$13:V736)/COUNTA(B$13:B736)</f>
        <v>0</v>
      </c>
      <c r="Z736" s="5"/>
      <c r="AA736" s="5"/>
      <c r="AC736" s="7"/>
      <c r="AE736" s="54" t="e">
        <f t="shared" si="99"/>
        <v>#N/A</v>
      </c>
      <c r="AF736" s="4" t="e">
        <f t="shared" si="95"/>
        <v>#N/A</v>
      </c>
    </row>
    <row r="737" spans="2:32">
      <c r="B737" s="5">
        <f t="shared" si="100"/>
        <v>725</v>
      </c>
      <c r="C737" s="5"/>
      <c r="E737" s="13"/>
      <c r="F737" s="5"/>
      <c r="G737" s="11" t="str">
        <f>IF(ISERROR(AVERAGE(F$13:F737)),"n/a",AVERAGE(F$13:F737))</f>
        <v>n/a</v>
      </c>
      <c r="H737" s="11" t="str">
        <f t="shared" si="96"/>
        <v>n/a</v>
      </c>
      <c r="J737" s="5"/>
      <c r="K737" s="5"/>
      <c r="L737" s="5"/>
      <c r="M737" s="5"/>
      <c r="N737" s="5"/>
      <c r="O737" s="8" t="str">
        <f t="shared" si="94"/>
        <v>n/a</v>
      </c>
      <c r="Q737" s="5"/>
      <c r="R737" s="5"/>
      <c r="S737" s="5"/>
      <c r="U737" s="6"/>
      <c r="V737" s="9" t="str">
        <f t="shared" si="97"/>
        <v/>
      </c>
      <c r="W737" s="9" t="str">
        <f t="shared" si="98"/>
        <v/>
      </c>
      <c r="X737" s="10">
        <f>SUM(V$13:V737)/COUNTA(B$13:B737)</f>
        <v>0</v>
      </c>
      <c r="Z737" s="5"/>
      <c r="AA737" s="5"/>
      <c r="AC737" s="7"/>
      <c r="AE737" s="54" t="e">
        <f t="shared" si="99"/>
        <v>#N/A</v>
      </c>
      <c r="AF737" s="4" t="e">
        <f t="shared" si="95"/>
        <v>#N/A</v>
      </c>
    </row>
    <row r="738" spans="2:32">
      <c r="B738" s="5">
        <f t="shared" si="100"/>
        <v>726</v>
      </c>
      <c r="C738" s="5"/>
      <c r="E738" s="13"/>
      <c r="F738" s="5"/>
      <c r="G738" s="11" t="str">
        <f>IF(ISERROR(AVERAGE(F$13:F738)),"n/a",AVERAGE(F$13:F738))</f>
        <v>n/a</v>
      </c>
      <c r="H738" s="11" t="str">
        <f t="shared" si="96"/>
        <v>n/a</v>
      </c>
      <c r="J738" s="5"/>
      <c r="K738" s="5"/>
      <c r="L738" s="5"/>
      <c r="M738" s="5"/>
      <c r="N738" s="5"/>
      <c r="O738" s="8" t="str">
        <f t="shared" si="94"/>
        <v>n/a</v>
      </c>
      <c r="Q738" s="5"/>
      <c r="R738" s="5"/>
      <c r="S738" s="5"/>
      <c r="U738" s="6"/>
      <c r="V738" s="9" t="str">
        <f t="shared" si="97"/>
        <v/>
      </c>
      <c r="W738" s="9" t="str">
        <f t="shared" si="98"/>
        <v/>
      </c>
      <c r="X738" s="10">
        <f>SUM(V$13:V738)/COUNTA(B$13:B738)</f>
        <v>0</v>
      </c>
      <c r="Z738" s="5"/>
      <c r="AA738" s="5"/>
      <c r="AC738" s="7"/>
      <c r="AE738" s="54" t="e">
        <f t="shared" si="99"/>
        <v>#N/A</v>
      </c>
      <c r="AF738" s="4" t="e">
        <f t="shared" si="95"/>
        <v>#N/A</v>
      </c>
    </row>
    <row r="739" spans="2:32">
      <c r="B739" s="5">
        <f t="shared" si="100"/>
        <v>727</v>
      </c>
      <c r="C739" s="5"/>
      <c r="E739" s="13"/>
      <c r="F739" s="5"/>
      <c r="G739" s="11" t="str">
        <f>IF(ISERROR(AVERAGE(F$13:F739)),"n/a",AVERAGE(F$13:F739))</f>
        <v>n/a</v>
      </c>
      <c r="H739" s="11" t="str">
        <f t="shared" si="96"/>
        <v>n/a</v>
      </c>
      <c r="J739" s="5"/>
      <c r="K739" s="5"/>
      <c r="L739" s="5"/>
      <c r="M739" s="5"/>
      <c r="N739" s="5"/>
      <c r="O739" s="8" t="str">
        <f t="shared" si="94"/>
        <v>n/a</v>
      </c>
      <c r="Q739" s="5"/>
      <c r="R739" s="5"/>
      <c r="S739" s="5"/>
      <c r="U739" s="6"/>
      <c r="V739" s="9" t="str">
        <f t="shared" si="97"/>
        <v/>
      </c>
      <c r="W739" s="9" t="str">
        <f t="shared" si="98"/>
        <v/>
      </c>
      <c r="X739" s="10">
        <f>SUM(V$13:V739)/COUNTA(B$13:B739)</f>
        <v>0</v>
      </c>
      <c r="Z739" s="5"/>
      <c r="AA739" s="5"/>
      <c r="AC739" s="7"/>
      <c r="AE739" s="54" t="e">
        <f t="shared" si="99"/>
        <v>#N/A</v>
      </c>
      <c r="AF739" s="4" t="e">
        <f t="shared" si="95"/>
        <v>#N/A</v>
      </c>
    </row>
    <row r="740" spans="2:32">
      <c r="B740" s="5">
        <f t="shared" si="100"/>
        <v>728</v>
      </c>
      <c r="C740" s="5"/>
      <c r="E740" s="13"/>
      <c r="F740" s="5"/>
      <c r="G740" s="11" t="str">
        <f>IF(ISERROR(AVERAGE(F$13:F740)),"n/a",AVERAGE(F$13:F740))</f>
        <v>n/a</v>
      </c>
      <c r="H740" s="11" t="str">
        <f t="shared" si="96"/>
        <v>n/a</v>
      </c>
      <c r="J740" s="5"/>
      <c r="K740" s="5"/>
      <c r="L740" s="5"/>
      <c r="M740" s="5"/>
      <c r="N740" s="5"/>
      <c r="O740" s="8" t="str">
        <f t="shared" si="94"/>
        <v>n/a</v>
      </c>
      <c r="Q740" s="5"/>
      <c r="R740" s="5"/>
      <c r="S740" s="5"/>
      <c r="U740" s="6"/>
      <c r="V740" s="9" t="str">
        <f t="shared" si="97"/>
        <v/>
      </c>
      <c r="W740" s="9" t="str">
        <f t="shared" si="98"/>
        <v/>
      </c>
      <c r="X740" s="10">
        <f>SUM(V$13:V740)/COUNTA(B$13:B740)</f>
        <v>0</v>
      </c>
      <c r="Z740" s="5"/>
      <c r="AA740" s="5"/>
      <c r="AC740" s="7"/>
      <c r="AE740" s="54" t="e">
        <f t="shared" si="99"/>
        <v>#N/A</v>
      </c>
      <c r="AF740" s="4" t="e">
        <f t="shared" si="95"/>
        <v>#N/A</v>
      </c>
    </row>
    <row r="741" spans="2:32">
      <c r="B741" s="5">
        <f t="shared" si="100"/>
        <v>729</v>
      </c>
      <c r="C741" s="5"/>
      <c r="E741" s="13"/>
      <c r="F741" s="5"/>
      <c r="G741" s="11" t="str">
        <f>IF(ISERROR(AVERAGE(F$13:F741)),"n/a",AVERAGE(F$13:F741))</f>
        <v>n/a</v>
      </c>
      <c r="H741" s="11" t="str">
        <f t="shared" si="96"/>
        <v>n/a</v>
      </c>
      <c r="J741" s="5"/>
      <c r="K741" s="5"/>
      <c r="L741" s="5"/>
      <c r="M741" s="5"/>
      <c r="N741" s="5"/>
      <c r="O741" s="8" t="str">
        <f t="shared" si="94"/>
        <v>n/a</v>
      </c>
      <c r="Q741" s="5"/>
      <c r="R741" s="5"/>
      <c r="S741" s="5"/>
      <c r="U741" s="6"/>
      <c r="V741" s="9" t="str">
        <f t="shared" si="97"/>
        <v/>
      </c>
      <c r="W741" s="9" t="str">
        <f t="shared" si="98"/>
        <v/>
      </c>
      <c r="X741" s="10">
        <f>SUM(V$13:V741)/COUNTA(B$13:B741)</f>
        <v>0</v>
      </c>
      <c r="Z741" s="5"/>
      <c r="AA741" s="5"/>
      <c r="AC741" s="7"/>
      <c r="AE741" s="54" t="e">
        <f t="shared" si="99"/>
        <v>#N/A</v>
      </c>
      <c r="AF741" s="4" t="e">
        <f t="shared" si="95"/>
        <v>#N/A</v>
      </c>
    </row>
    <row r="742" spans="2:32">
      <c r="B742" s="5">
        <f t="shared" si="100"/>
        <v>730</v>
      </c>
      <c r="C742" s="5"/>
      <c r="E742" s="13"/>
      <c r="F742" s="5"/>
      <c r="G742" s="11" t="str">
        <f>IF(ISERROR(AVERAGE(F$13:F742)),"n/a",AVERAGE(F$13:F742))</f>
        <v>n/a</v>
      </c>
      <c r="H742" s="11" t="str">
        <f t="shared" si="96"/>
        <v>n/a</v>
      </c>
      <c r="J742" s="5"/>
      <c r="K742" s="5"/>
      <c r="L742" s="5"/>
      <c r="M742" s="5"/>
      <c r="N742" s="5"/>
      <c r="O742" s="8" t="str">
        <f t="shared" si="94"/>
        <v>n/a</v>
      </c>
      <c r="Q742" s="5"/>
      <c r="R742" s="5"/>
      <c r="S742" s="5"/>
      <c r="U742" s="6"/>
      <c r="V742" s="9" t="str">
        <f t="shared" si="97"/>
        <v/>
      </c>
      <c r="W742" s="9" t="str">
        <f t="shared" si="98"/>
        <v/>
      </c>
      <c r="X742" s="10">
        <f>SUM(V$13:V742)/COUNTA(B$13:B742)</f>
        <v>0</v>
      </c>
      <c r="Z742" s="5"/>
      <c r="AA742" s="5"/>
      <c r="AC742" s="7"/>
      <c r="AE742" s="54" t="e">
        <f t="shared" si="99"/>
        <v>#N/A</v>
      </c>
      <c r="AF742" s="4" t="e">
        <f t="shared" si="95"/>
        <v>#N/A</v>
      </c>
    </row>
    <row r="743" spans="2:32">
      <c r="B743" s="5">
        <f t="shared" si="100"/>
        <v>731</v>
      </c>
      <c r="C743" s="5"/>
      <c r="E743" s="13"/>
      <c r="F743" s="5"/>
      <c r="G743" s="11" t="str">
        <f>IF(ISERROR(AVERAGE(F$13:F743)),"n/a",AVERAGE(F$13:F743))</f>
        <v>n/a</v>
      </c>
      <c r="H743" s="11" t="str">
        <f t="shared" si="96"/>
        <v>n/a</v>
      </c>
      <c r="J743" s="5"/>
      <c r="K743" s="5"/>
      <c r="L743" s="5"/>
      <c r="M743" s="5"/>
      <c r="N743" s="5"/>
      <c r="O743" s="8" t="str">
        <f t="shared" si="94"/>
        <v>n/a</v>
      </c>
      <c r="Q743" s="5"/>
      <c r="R743" s="5"/>
      <c r="S743" s="5"/>
      <c r="U743" s="6"/>
      <c r="V743" s="9" t="str">
        <f t="shared" si="97"/>
        <v/>
      </c>
      <c r="W743" s="9" t="str">
        <f t="shared" si="98"/>
        <v/>
      </c>
      <c r="X743" s="10">
        <f>SUM(V$13:V743)/COUNTA(B$13:B743)</f>
        <v>0</v>
      </c>
      <c r="Z743" s="5"/>
      <c r="AA743" s="5"/>
      <c r="AC743" s="7"/>
      <c r="AE743" s="54" t="e">
        <f t="shared" si="99"/>
        <v>#N/A</v>
      </c>
      <c r="AF743" s="4" t="e">
        <f t="shared" si="95"/>
        <v>#N/A</v>
      </c>
    </row>
    <row r="744" spans="2:32">
      <c r="B744" s="5">
        <f t="shared" si="100"/>
        <v>732</v>
      </c>
      <c r="C744" s="5"/>
      <c r="E744" s="13"/>
      <c r="F744" s="5"/>
      <c r="G744" s="11" t="str">
        <f>IF(ISERROR(AVERAGE(F$13:F744)),"n/a",AVERAGE(F$13:F744))</f>
        <v>n/a</v>
      </c>
      <c r="H744" s="11" t="str">
        <f t="shared" si="96"/>
        <v>n/a</v>
      </c>
      <c r="J744" s="5"/>
      <c r="K744" s="5"/>
      <c r="L744" s="5"/>
      <c r="M744" s="5"/>
      <c r="N744" s="5"/>
      <c r="O744" s="8" t="str">
        <f t="shared" si="94"/>
        <v>n/a</v>
      </c>
      <c r="Q744" s="5"/>
      <c r="R744" s="5"/>
      <c r="S744" s="5"/>
      <c r="U744" s="6"/>
      <c r="V744" s="9" t="str">
        <f t="shared" si="97"/>
        <v/>
      </c>
      <c r="W744" s="9" t="str">
        <f t="shared" si="98"/>
        <v/>
      </c>
      <c r="X744" s="10">
        <f>SUM(V$13:V744)/COUNTA(B$13:B744)</f>
        <v>0</v>
      </c>
      <c r="Z744" s="5"/>
      <c r="AA744" s="5"/>
      <c r="AC744" s="7"/>
      <c r="AE744" s="54" t="e">
        <f t="shared" si="99"/>
        <v>#N/A</v>
      </c>
      <c r="AF744" s="4" t="e">
        <f t="shared" si="95"/>
        <v>#N/A</v>
      </c>
    </row>
    <row r="745" spans="2:32">
      <c r="B745" s="5">
        <f t="shared" si="100"/>
        <v>733</v>
      </c>
      <c r="C745" s="5"/>
      <c r="E745" s="13"/>
      <c r="F745" s="5"/>
      <c r="G745" s="11" t="str">
        <f>IF(ISERROR(AVERAGE(F$13:F745)),"n/a",AVERAGE(F$13:F745))</f>
        <v>n/a</v>
      </c>
      <c r="H745" s="11" t="str">
        <f t="shared" si="96"/>
        <v>n/a</v>
      </c>
      <c r="J745" s="5"/>
      <c r="K745" s="5"/>
      <c r="L745" s="5"/>
      <c r="M745" s="5"/>
      <c r="N745" s="5"/>
      <c r="O745" s="8" t="str">
        <f t="shared" si="94"/>
        <v>n/a</v>
      </c>
      <c r="Q745" s="5"/>
      <c r="R745" s="5"/>
      <c r="S745" s="5"/>
      <c r="U745" s="6"/>
      <c r="V745" s="9" t="str">
        <f t="shared" si="97"/>
        <v/>
      </c>
      <c r="W745" s="9" t="str">
        <f t="shared" si="98"/>
        <v/>
      </c>
      <c r="X745" s="10">
        <f>SUM(V$13:V745)/COUNTA(B$13:B745)</f>
        <v>0</v>
      </c>
      <c r="Z745" s="5"/>
      <c r="AA745" s="5"/>
      <c r="AC745" s="7"/>
      <c r="AE745" s="54" t="e">
        <f t="shared" si="99"/>
        <v>#N/A</v>
      </c>
      <c r="AF745" s="4" t="e">
        <f t="shared" si="95"/>
        <v>#N/A</v>
      </c>
    </row>
    <row r="746" spans="2:32">
      <c r="B746" s="5">
        <f t="shared" si="100"/>
        <v>734</v>
      </c>
      <c r="C746" s="5"/>
      <c r="E746" s="13"/>
      <c r="F746" s="5"/>
      <c r="G746" s="11" t="str">
        <f>IF(ISERROR(AVERAGE(F$13:F746)),"n/a",AVERAGE(F$13:F746))</f>
        <v>n/a</v>
      </c>
      <c r="H746" s="11" t="str">
        <f t="shared" si="96"/>
        <v>n/a</v>
      </c>
      <c r="J746" s="5"/>
      <c r="K746" s="5"/>
      <c r="L746" s="5"/>
      <c r="M746" s="5"/>
      <c r="N746" s="5"/>
      <c r="O746" s="8" t="str">
        <f t="shared" si="94"/>
        <v>n/a</v>
      </c>
      <c r="Q746" s="5"/>
      <c r="R746" s="5"/>
      <c r="S746" s="5"/>
      <c r="U746" s="6"/>
      <c r="V746" s="9" t="str">
        <f t="shared" si="97"/>
        <v/>
      </c>
      <c r="W746" s="9" t="str">
        <f t="shared" si="98"/>
        <v/>
      </c>
      <c r="X746" s="10">
        <f>SUM(V$13:V746)/COUNTA(B$13:B746)</f>
        <v>0</v>
      </c>
      <c r="Z746" s="5"/>
      <c r="AA746" s="5"/>
      <c r="AC746" s="7"/>
      <c r="AE746" s="54" t="e">
        <f t="shared" si="99"/>
        <v>#N/A</v>
      </c>
      <c r="AF746" s="4" t="e">
        <f t="shared" si="95"/>
        <v>#N/A</v>
      </c>
    </row>
    <row r="747" spans="2:32">
      <c r="B747" s="5">
        <f t="shared" si="100"/>
        <v>735</v>
      </c>
      <c r="C747" s="5"/>
      <c r="E747" s="13"/>
      <c r="F747" s="5"/>
      <c r="G747" s="11" t="str">
        <f>IF(ISERROR(AVERAGE(F$13:F747)),"n/a",AVERAGE(F$13:F747))</f>
        <v>n/a</v>
      </c>
      <c r="H747" s="11" t="str">
        <f t="shared" si="96"/>
        <v>n/a</v>
      </c>
      <c r="J747" s="5"/>
      <c r="K747" s="5"/>
      <c r="L747" s="5"/>
      <c r="M747" s="5"/>
      <c r="N747" s="5"/>
      <c r="O747" s="8" t="str">
        <f t="shared" si="94"/>
        <v>n/a</v>
      </c>
      <c r="Q747" s="5"/>
      <c r="R747" s="5"/>
      <c r="S747" s="5"/>
      <c r="U747" s="6"/>
      <c r="V747" s="9" t="str">
        <f t="shared" si="97"/>
        <v/>
      </c>
      <c r="W747" s="9" t="str">
        <f t="shared" si="98"/>
        <v/>
      </c>
      <c r="X747" s="10">
        <f>SUM(V$13:V747)/COUNTA(B$13:B747)</f>
        <v>0</v>
      </c>
      <c r="Z747" s="5"/>
      <c r="AA747" s="5"/>
      <c r="AC747" s="7"/>
      <c r="AE747" s="54" t="e">
        <f t="shared" si="99"/>
        <v>#N/A</v>
      </c>
      <c r="AF747" s="4" t="e">
        <f t="shared" si="95"/>
        <v>#N/A</v>
      </c>
    </row>
    <row r="748" spans="2:32">
      <c r="B748" s="5">
        <f t="shared" si="100"/>
        <v>736</v>
      </c>
      <c r="C748" s="5"/>
      <c r="E748" s="13"/>
      <c r="F748" s="5"/>
      <c r="G748" s="11" t="str">
        <f>IF(ISERROR(AVERAGE(F$13:F748)),"n/a",AVERAGE(F$13:F748))</f>
        <v>n/a</v>
      </c>
      <c r="H748" s="11" t="str">
        <f t="shared" si="96"/>
        <v>n/a</v>
      </c>
      <c r="J748" s="5"/>
      <c r="K748" s="5"/>
      <c r="L748" s="5"/>
      <c r="M748" s="5"/>
      <c r="N748" s="5"/>
      <c r="O748" s="8" t="str">
        <f t="shared" si="94"/>
        <v>n/a</v>
      </c>
      <c r="Q748" s="5"/>
      <c r="R748" s="5"/>
      <c r="S748" s="5"/>
      <c r="U748" s="6"/>
      <c r="V748" s="9" t="str">
        <f t="shared" si="97"/>
        <v/>
      </c>
      <c r="W748" s="9" t="str">
        <f t="shared" si="98"/>
        <v/>
      </c>
      <c r="X748" s="10">
        <f>SUM(V$13:V748)/COUNTA(B$13:B748)</f>
        <v>0</v>
      </c>
      <c r="Z748" s="5"/>
      <c r="AA748" s="5"/>
      <c r="AC748" s="7"/>
      <c r="AE748" s="54" t="e">
        <f t="shared" si="99"/>
        <v>#N/A</v>
      </c>
      <c r="AF748" s="4" t="e">
        <f t="shared" si="95"/>
        <v>#N/A</v>
      </c>
    </row>
    <row r="749" spans="2:32">
      <c r="B749" s="5">
        <f t="shared" si="100"/>
        <v>737</v>
      </c>
      <c r="C749" s="5"/>
      <c r="E749" s="13"/>
      <c r="F749" s="5"/>
      <c r="G749" s="11" t="str">
        <f>IF(ISERROR(AVERAGE(F$13:F749)),"n/a",AVERAGE(F$13:F749))</f>
        <v>n/a</v>
      </c>
      <c r="H749" s="11" t="str">
        <f t="shared" si="96"/>
        <v>n/a</v>
      </c>
      <c r="J749" s="5"/>
      <c r="K749" s="5"/>
      <c r="L749" s="5"/>
      <c r="M749" s="5"/>
      <c r="N749" s="5"/>
      <c r="O749" s="8" t="str">
        <f t="shared" si="94"/>
        <v>n/a</v>
      </c>
      <c r="Q749" s="5"/>
      <c r="R749" s="5"/>
      <c r="S749" s="5"/>
      <c r="U749" s="6"/>
      <c r="V749" s="9" t="str">
        <f t="shared" si="97"/>
        <v/>
      </c>
      <c r="W749" s="9" t="str">
        <f t="shared" si="98"/>
        <v/>
      </c>
      <c r="X749" s="10">
        <f>SUM(V$13:V749)/COUNTA(B$13:B749)</f>
        <v>0</v>
      </c>
      <c r="Z749" s="5"/>
      <c r="AA749" s="5"/>
      <c r="AC749" s="7"/>
      <c r="AE749" s="54" t="e">
        <f t="shared" si="99"/>
        <v>#N/A</v>
      </c>
      <c r="AF749" s="4" t="e">
        <f t="shared" si="95"/>
        <v>#N/A</v>
      </c>
    </row>
    <row r="750" spans="2:32">
      <c r="B750" s="5">
        <f t="shared" si="100"/>
        <v>738</v>
      </c>
      <c r="C750" s="5"/>
      <c r="E750" s="13"/>
      <c r="F750" s="5"/>
      <c r="G750" s="11" t="str">
        <f>IF(ISERROR(AVERAGE(F$13:F750)),"n/a",AVERAGE(F$13:F750))</f>
        <v>n/a</v>
      </c>
      <c r="H750" s="11" t="str">
        <f t="shared" si="96"/>
        <v>n/a</v>
      </c>
      <c r="J750" s="5"/>
      <c r="K750" s="5"/>
      <c r="L750" s="5"/>
      <c r="M750" s="5"/>
      <c r="N750" s="5"/>
      <c r="O750" s="8" t="str">
        <f t="shared" si="94"/>
        <v>n/a</v>
      </c>
      <c r="Q750" s="5"/>
      <c r="R750" s="5"/>
      <c r="S750" s="5"/>
      <c r="U750" s="6"/>
      <c r="V750" s="9" t="str">
        <f t="shared" si="97"/>
        <v/>
      </c>
      <c r="W750" s="9" t="str">
        <f t="shared" si="98"/>
        <v/>
      </c>
      <c r="X750" s="10">
        <f>SUM(V$13:V750)/COUNTA(B$13:B750)</f>
        <v>0</v>
      </c>
      <c r="Z750" s="5"/>
      <c r="AA750" s="5"/>
      <c r="AC750" s="7"/>
      <c r="AE750" s="54" t="e">
        <f t="shared" si="99"/>
        <v>#N/A</v>
      </c>
      <c r="AF750" s="4" t="e">
        <f t="shared" si="95"/>
        <v>#N/A</v>
      </c>
    </row>
    <row r="751" spans="2:32">
      <c r="B751" s="5">
        <f t="shared" si="100"/>
        <v>739</v>
      </c>
      <c r="C751" s="5"/>
      <c r="E751" s="13"/>
      <c r="F751" s="5"/>
      <c r="G751" s="11" t="str">
        <f>IF(ISERROR(AVERAGE(F$13:F751)),"n/a",AVERAGE(F$13:F751))</f>
        <v>n/a</v>
      </c>
      <c r="H751" s="11" t="str">
        <f t="shared" si="96"/>
        <v>n/a</v>
      </c>
      <c r="J751" s="5"/>
      <c r="K751" s="5"/>
      <c r="L751" s="5"/>
      <c r="M751" s="5"/>
      <c r="N751" s="5"/>
      <c r="O751" s="8" t="str">
        <f t="shared" si="94"/>
        <v>n/a</v>
      </c>
      <c r="Q751" s="5"/>
      <c r="R751" s="5"/>
      <c r="S751" s="5"/>
      <c r="U751" s="6"/>
      <c r="V751" s="9" t="str">
        <f t="shared" si="97"/>
        <v/>
      </c>
      <c r="W751" s="9" t="str">
        <f t="shared" si="98"/>
        <v/>
      </c>
      <c r="X751" s="10">
        <f>SUM(V$13:V751)/COUNTA(B$13:B751)</f>
        <v>0</v>
      </c>
      <c r="Z751" s="5"/>
      <c r="AA751" s="5"/>
      <c r="AC751" s="7"/>
      <c r="AE751" s="54" t="e">
        <f t="shared" si="99"/>
        <v>#N/A</v>
      </c>
      <c r="AF751" s="4" t="e">
        <f t="shared" si="95"/>
        <v>#N/A</v>
      </c>
    </row>
    <row r="752" spans="2:32">
      <c r="B752" s="5">
        <f t="shared" si="100"/>
        <v>740</v>
      </c>
      <c r="C752" s="5"/>
      <c r="E752" s="13"/>
      <c r="F752" s="5"/>
      <c r="G752" s="11" t="str">
        <f>IF(ISERROR(AVERAGE(F$13:F752)),"n/a",AVERAGE(F$13:F752))</f>
        <v>n/a</v>
      </c>
      <c r="H752" s="11" t="str">
        <f t="shared" si="96"/>
        <v>n/a</v>
      </c>
      <c r="J752" s="5"/>
      <c r="K752" s="5"/>
      <c r="L752" s="5"/>
      <c r="M752" s="5"/>
      <c r="N752" s="5"/>
      <c r="O752" s="8" t="str">
        <f t="shared" si="94"/>
        <v>n/a</v>
      </c>
      <c r="Q752" s="5"/>
      <c r="R752" s="5"/>
      <c r="S752" s="5"/>
      <c r="U752" s="6"/>
      <c r="V752" s="9" t="str">
        <f t="shared" si="97"/>
        <v/>
      </c>
      <c r="W752" s="9" t="str">
        <f t="shared" si="98"/>
        <v/>
      </c>
      <c r="X752" s="10">
        <f>SUM(V$13:V752)/COUNTA(B$13:B752)</f>
        <v>0</v>
      </c>
      <c r="Z752" s="5"/>
      <c r="AA752" s="5"/>
      <c r="AC752" s="7"/>
      <c r="AE752" s="54" t="e">
        <f t="shared" si="99"/>
        <v>#N/A</v>
      </c>
      <c r="AF752" s="4" t="e">
        <f t="shared" si="95"/>
        <v>#N/A</v>
      </c>
    </row>
    <row r="753" spans="2:32">
      <c r="B753" s="5">
        <f t="shared" si="100"/>
        <v>741</v>
      </c>
      <c r="C753" s="5"/>
      <c r="E753" s="13"/>
      <c r="F753" s="5"/>
      <c r="G753" s="11" t="str">
        <f>IF(ISERROR(AVERAGE(F$13:F753)),"n/a",AVERAGE(F$13:F753))</f>
        <v>n/a</v>
      </c>
      <c r="H753" s="11" t="str">
        <f t="shared" si="96"/>
        <v>n/a</v>
      </c>
      <c r="J753" s="5"/>
      <c r="K753" s="5"/>
      <c r="L753" s="5"/>
      <c r="M753" s="5"/>
      <c r="N753" s="5"/>
      <c r="O753" s="8" t="str">
        <f t="shared" si="94"/>
        <v>n/a</v>
      </c>
      <c r="Q753" s="5"/>
      <c r="R753" s="5"/>
      <c r="S753" s="5"/>
      <c r="U753" s="6"/>
      <c r="V753" s="9" t="str">
        <f t="shared" si="97"/>
        <v/>
      </c>
      <c r="W753" s="9" t="str">
        <f t="shared" si="98"/>
        <v/>
      </c>
      <c r="X753" s="10">
        <f>SUM(V$13:V753)/COUNTA(B$13:B753)</f>
        <v>0</v>
      </c>
      <c r="Z753" s="5"/>
      <c r="AA753" s="5"/>
      <c r="AC753" s="7"/>
      <c r="AE753" s="54" t="e">
        <f t="shared" si="99"/>
        <v>#N/A</v>
      </c>
      <c r="AF753" s="4" t="e">
        <f t="shared" si="95"/>
        <v>#N/A</v>
      </c>
    </row>
    <row r="754" spans="2:32">
      <c r="B754" s="5">
        <f t="shared" si="100"/>
        <v>742</v>
      </c>
      <c r="C754" s="5"/>
      <c r="E754" s="13"/>
      <c r="F754" s="5"/>
      <c r="G754" s="11" t="str">
        <f>IF(ISERROR(AVERAGE(F$13:F754)),"n/a",AVERAGE(F$13:F754))</f>
        <v>n/a</v>
      </c>
      <c r="H754" s="11" t="str">
        <f t="shared" si="96"/>
        <v>n/a</v>
      </c>
      <c r="J754" s="5"/>
      <c r="K754" s="5"/>
      <c r="L754" s="5"/>
      <c r="M754" s="5"/>
      <c r="N754" s="5"/>
      <c r="O754" s="8" t="str">
        <f t="shared" si="94"/>
        <v>n/a</v>
      </c>
      <c r="Q754" s="5"/>
      <c r="R754" s="5"/>
      <c r="S754" s="5"/>
      <c r="U754" s="6"/>
      <c r="V754" s="9" t="str">
        <f t="shared" si="97"/>
        <v/>
      </c>
      <c r="W754" s="9" t="str">
        <f t="shared" si="98"/>
        <v/>
      </c>
      <c r="X754" s="10">
        <f>SUM(V$13:V754)/COUNTA(B$13:B754)</f>
        <v>0</v>
      </c>
      <c r="Z754" s="5"/>
      <c r="AA754" s="5"/>
      <c r="AC754" s="7"/>
      <c r="AE754" s="54" t="e">
        <f t="shared" si="99"/>
        <v>#N/A</v>
      </c>
      <c r="AF754" s="4" t="e">
        <f t="shared" si="95"/>
        <v>#N/A</v>
      </c>
    </row>
    <row r="755" spans="2:32">
      <c r="B755" s="5">
        <f t="shared" si="100"/>
        <v>743</v>
      </c>
      <c r="C755" s="5"/>
      <c r="E755" s="13"/>
      <c r="F755" s="5"/>
      <c r="G755" s="11" t="str">
        <f>IF(ISERROR(AVERAGE(F$13:F755)),"n/a",AVERAGE(F$13:F755))</f>
        <v>n/a</v>
      </c>
      <c r="H755" s="11" t="str">
        <f t="shared" si="96"/>
        <v>n/a</v>
      </c>
      <c r="J755" s="5"/>
      <c r="K755" s="5"/>
      <c r="L755" s="5"/>
      <c r="M755" s="5"/>
      <c r="N755" s="5"/>
      <c r="O755" s="8" t="str">
        <f t="shared" si="94"/>
        <v>n/a</v>
      </c>
      <c r="Q755" s="5"/>
      <c r="R755" s="5"/>
      <c r="S755" s="5"/>
      <c r="U755" s="6"/>
      <c r="V755" s="9" t="str">
        <f t="shared" si="97"/>
        <v/>
      </c>
      <c r="W755" s="9" t="str">
        <f t="shared" si="98"/>
        <v/>
      </c>
      <c r="X755" s="10">
        <f>SUM(V$13:V755)/COUNTA(B$13:B755)</f>
        <v>0</v>
      </c>
      <c r="Z755" s="5"/>
      <c r="AA755" s="5"/>
      <c r="AC755" s="7"/>
      <c r="AE755" s="54" t="e">
        <f t="shared" si="99"/>
        <v>#N/A</v>
      </c>
      <c r="AF755" s="4" t="e">
        <f t="shared" si="95"/>
        <v>#N/A</v>
      </c>
    </row>
    <row r="756" spans="2:32">
      <c r="B756" s="5">
        <f t="shared" si="100"/>
        <v>744</v>
      </c>
      <c r="C756" s="5"/>
      <c r="E756" s="13"/>
      <c r="F756" s="5"/>
      <c r="G756" s="11" t="str">
        <f>IF(ISERROR(AVERAGE(F$13:F756)),"n/a",AVERAGE(F$13:F756))</f>
        <v>n/a</v>
      </c>
      <c r="H756" s="11" t="str">
        <f t="shared" si="96"/>
        <v>n/a</v>
      </c>
      <c r="J756" s="5"/>
      <c r="K756" s="5"/>
      <c r="L756" s="5"/>
      <c r="M756" s="5"/>
      <c r="N756" s="5"/>
      <c r="O756" s="8" t="str">
        <f t="shared" si="94"/>
        <v>n/a</v>
      </c>
      <c r="Q756" s="5"/>
      <c r="R756" s="5"/>
      <c r="S756" s="5"/>
      <c r="U756" s="6"/>
      <c r="V756" s="9" t="str">
        <f t="shared" si="97"/>
        <v/>
      </c>
      <c r="W756" s="9" t="str">
        <f t="shared" si="98"/>
        <v/>
      </c>
      <c r="X756" s="10">
        <f>SUM(V$13:V756)/COUNTA(B$13:B756)</f>
        <v>0</v>
      </c>
      <c r="Z756" s="5"/>
      <c r="AA756" s="5"/>
      <c r="AC756" s="7"/>
      <c r="AE756" s="54" t="e">
        <f t="shared" si="99"/>
        <v>#N/A</v>
      </c>
      <c r="AF756" s="4" t="e">
        <f t="shared" si="95"/>
        <v>#N/A</v>
      </c>
    </row>
    <row r="757" spans="2:32">
      <c r="B757" s="5">
        <f t="shared" si="100"/>
        <v>745</v>
      </c>
      <c r="C757" s="5"/>
      <c r="E757" s="13"/>
      <c r="F757" s="5"/>
      <c r="G757" s="11" t="str">
        <f>IF(ISERROR(AVERAGE(F$13:F757)),"n/a",AVERAGE(F$13:F757))</f>
        <v>n/a</v>
      </c>
      <c r="H757" s="11" t="str">
        <f t="shared" si="96"/>
        <v>n/a</v>
      </c>
      <c r="J757" s="5"/>
      <c r="K757" s="5"/>
      <c r="L757" s="5"/>
      <c r="M757" s="5"/>
      <c r="N757" s="5"/>
      <c r="O757" s="8" t="str">
        <f t="shared" si="94"/>
        <v>n/a</v>
      </c>
      <c r="Q757" s="5"/>
      <c r="R757" s="5"/>
      <c r="S757" s="5"/>
      <c r="U757" s="6"/>
      <c r="V757" s="9" t="str">
        <f t="shared" si="97"/>
        <v/>
      </c>
      <c r="W757" s="9" t="str">
        <f t="shared" si="98"/>
        <v/>
      </c>
      <c r="X757" s="10">
        <f>SUM(V$13:V757)/COUNTA(B$13:B757)</f>
        <v>0</v>
      </c>
      <c r="Z757" s="5"/>
      <c r="AA757" s="5"/>
      <c r="AC757" s="7"/>
      <c r="AE757" s="54" t="e">
        <f t="shared" si="99"/>
        <v>#N/A</v>
      </c>
      <c r="AF757" s="4" t="e">
        <f t="shared" si="95"/>
        <v>#N/A</v>
      </c>
    </row>
    <row r="758" spans="2:32">
      <c r="B758" s="5">
        <f t="shared" si="100"/>
        <v>746</v>
      </c>
      <c r="C758" s="5"/>
      <c r="E758" s="13"/>
      <c r="F758" s="5"/>
      <c r="G758" s="11" t="str">
        <f>IF(ISERROR(AVERAGE(F$13:F758)),"n/a",AVERAGE(F$13:F758))</f>
        <v>n/a</v>
      </c>
      <c r="H758" s="11" t="str">
        <f t="shared" si="96"/>
        <v>n/a</v>
      </c>
      <c r="J758" s="5"/>
      <c r="K758" s="5"/>
      <c r="L758" s="5"/>
      <c r="M758" s="5"/>
      <c r="N758" s="5"/>
      <c r="O758" s="8" t="str">
        <f t="shared" si="94"/>
        <v>n/a</v>
      </c>
      <c r="Q758" s="5"/>
      <c r="R758" s="5"/>
      <c r="S758" s="5"/>
      <c r="U758" s="6"/>
      <c r="V758" s="9" t="str">
        <f t="shared" si="97"/>
        <v/>
      </c>
      <c r="W758" s="9" t="str">
        <f t="shared" si="98"/>
        <v/>
      </c>
      <c r="X758" s="10">
        <f>SUM(V$13:V758)/COUNTA(B$13:B758)</f>
        <v>0</v>
      </c>
      <c r="Z758" s="5"/>
      <c r="AA758" s="5"/>
      <c r="AC758" s="7"/>
      <c r="AE758" s="54" t="e">
        <f t="shared" si="99"/>
        <v>#N/A</v>
      </c>
      <c r="AF758" s="4" t="e">
        <f t="shared" si="95"/>
        <v>#N/A</v>
      </c>
    </row>
    <row r="759" spans="2:32">
      <c r="B759" s="5">
        <f t="shared" si="100"/>
        <v>747</v>
      </c>
      <c r="C759" s="5"/>
      <c r="E759" s="13"/>
      <c r="F759" s="5"/>
      <c r="G759" s="11" t="str">
        <f>IF(ISERROR(AVERAGE(F$13:F759)),"n/a",AVERAGE(F$13:F759))</f>
        <v>n/a</v>
      </c>
      <c r="H759" s="11" t="str">
        <f t="shared" si="96"/>
        <v>n/a</v>
      </c>
      <c r="J759" s="5"/>
      <c r="K759" s="5"/>
      <c r="L759" s="5"/>
      <c r="M759" s="5"/>
      <c r="N759" s="5"/>
      <c r="O759" s="8" t="str">
        <f t="shared" si="94"/>
        <v>n/a</v>
      </c>
      <c r="Q759" s="5"/>
      <c r="R759" s="5"/>
      <c r="S759" s="5"/>
      <c r="U759" s="6"/>
      <c r="V759" s="9" t="str">
        <f t="shared" si="97"/>
        <v/>
      </c>
      <c r="W759" s="9" t="str">
        <f t="shared" si="98"/>
        <v/>
      </c>
      <c r="X759" s="10">
        <f>SUM(V$13:V759)/COUNTA(B$13:B759)</f>
        <v>0</v>
      </c>
      <c r="Z759" s="5"/>
      <c r="AA759" s="5"/>
      <c r="AC759" s="7"/>
      <c r="AE759" s="54" t="e">
        <f t="shared" si="99"/>
        <v>#N/A</v>
      </c>
      <c r="AF759" s="4" t="e">
        <f t="shared" si="95"/>
        <v>#N/A</v>
      </c>
    </row>
    <row r="760" spans="2:32">
      <c r="B760" s="5">
        <f t="shared" si="100"/>
        <v>748</v>
      </c>
      <c r="C760" s="5"/>
      <c r="E760" s="13"/>
      <c r="F760" s="5"/>
      <c r="G760" s="11" t="str">
        <f>IF(ISERROR(AVERAGE(F$13:F760)),"n/a",AVERAGE(F$13:F760))</f>
        <v>n/a</v>
      </c>
      <c r="H760" s="11" t="str">
        <f t="shared" si="96"/>
        <v>n/a</v>
      </c>
      <c r="J760" s="5"/>
      <c r="K760" s="5"/>
      <c r="L760" s="5"/>
      <c r="M760" s="5"/>
      <c r="N760" s="5"/>
      <c r="O760" s="8" t="str">
        <f t="shared" si="94"/>
        <v>n/a</v>
      </c>
      <c r="Q760" s="5"/>
      <c r="R760" s="5"/>
      <c r="S760" s="5"/>
      <c r="U760" s="6"/>
      <c r="V760" s="9" t="str">
        <f t="shared" si="97"/>
        <v/>
      </c>
      <c r="W760" s="9" t="str">
        <f t="shared" si="98"/>
        <v/>
      </c>
      <c r="X760" s="10">
        <f>SUM(V$13:V760)/COUNTA(B$13:B760)</f>
        <v>0</v>
      </c>
      <c r="Z760" s="5"/>
      <c r="AA760" s="5"/>
      <c r="AC760" s="7"/>
      <c r="AE760" s="54" t="e">
        <f t="shared" si="99"/>
        <v>#N/A</v>
      </c>
      <c r="AF760" s="4" t="e">
        <f t="shared" si="95"/>
        <v>#N/A</v>
      </c>
    </row>
    <row r="761" spans="2:32">
      <c r="B761" s="5">
        <f t="shared" si="100"/>
        <v>749</v>
      </c>
      <c r="C761" s="5"/>
      <c r="E761" s="13"/>
      <c r="F761" s="5"/>
      <c r="G761" s="11" t="str">
        <f>IF(ISERROR(AVERAGE(F$13:F761)),"n/a",AVERAGE(F$13:F761))</f>
        <v>n/a</v>
      </c>
      <c r="H761" s="11" t="str">
        <f t="shared" si="96"/>
        <v>n/a</v>
      </c>
      <c r="J761" s="5"/>
      <c r="K761" s="5"/>
      <c r="L761" s="5"/>
      <c r="M761" s="5"/>
      <c r="N761" s="5"/>
      <c r="O761" s="8" t="str">
        <f t="shared" si="94"/>
        <v>n/a</v>
      </c>
      <c r="Q761" s="5"/>
      <c r="R761" s="5"/>
      <c r="S761" s="5"/>
      <c r="U761" s="6"/>
      <c r="V761" s="9" t="str">
        <f t="shared" si="97"/>
        <v/>
      </c>
      <c r="W761" s="9" t="str">
        <f t="shared" si="98"/>
        <v/>
      </c>
      <c r="X761" s="10">
        <f>SUM(V$13:V761)/COUNTA(B$13:B761)</f>
        <v>0</v>
      </c>
      <c r="Z761" s="5"/>
      <c r="AA761" s="5"/>
      <c r="AC761" s="7"/>
      <c r="AE761" s="54" t="e">
        <f t="shared" si="99"/>
        <v>#N/A</v>
      </c>
      <c r="AF761" s="4" t="e">
        <f t="shared" si="95"/>
        <v>#N/A</v>
      </c>
    </row>
    <row r="762" spans="2:32">
      <c r="B762" s="5">
        <f t="shared" si="100"/>
        <v>750</v>
      </c>
      <c r="C762" s="5"/>
      <c r="E762" s="13"/>
      <c r="F762" s="5"/>
      <c r="G762" s="11" t="str">
        <f>IF(ISERROR(AVERAGE(F$13:F762)),"n/a",AVERAGE(F$13:F762))</f>
        <v>n/a</v>
      </c>
      <c r="H762" s="11" t="str">
        <f t="shared" si="96"/>
        <v>n/a</v>
      </c>
      <c r="J762" s="5"/>
      <c r="K762" s="5"/>
      <c r="L762" s="5"/>
      <c r="M762" s="5"/>
      <c r="N762" s="5"/>
      <c r="O762" s="8" t="str">
        <f t="shared" si="94"/>
        <v>n/a</v>
      </c>
      <c r="Q762" s="5"/>
      <c r="R762" s="5"/>
      <c r="S762" s="5"/>
      <c r="U762" s="6"/>
      <c r="V762" s="9" t="str">
        <f t="shared" si="97"/>
        <v/>
      </c>
      <c r="W762" s="9" t="str">
        <f t="shared" si="98"/>
        <v/>
      </c>
      <c r="X762" s="10">
        <f>SUM(V$13:V762)/COUNTA(B$13:B762)</f>
        <v>0</v>
      </c>
      <c r="Z762" s="5"/>
      <c r="AA762" s="5"/>
      <c r="AC762" s="7"/>
      <c r="AE762" s="54" t="e">
        <f t="shared" si="99"/>
        <v>#N/A</v>
      </c>
      <c r="AF762" s="4" t="e">
        <f t="shared" si="95"/>
        <v>#N/A</v>
      </c>
    </row>
    <row r="763" spans="2:32">
      <c r="B763" s="5">
        <f t="shared" si="100"/>
        <v>751</v>
      </c>
      <c r="C763" s="5"/>
      <c r="E763" s="13"/>
      <c r="F763" s="5"/>
      <c r="G763" s="11" t="str">
        <f>IF(ISERROR(AVERAGE(F$13:F763)),"n/a",AVERAGE(F$13:F763))</f>
        <v>n/a</v>
      </c>
      <c r="H763" s="11" t="str">
        <f t="shared" si="96"/>
        <v>n/a</v>
      </c>
      <c r="J763" s="5"/>
      <c r="K763" s="5"/>
      <c r="L763" s="5"/>
      <c r="M763" s="5"/>
      <c r="N763" s="5"/>
      <c r="O763" s="8" t="str">
        <f t="shared" si="94"/>
        <v>n/a</v>
      </c>
      <c r="Q763" s="5"/>
      <c r="R763" s="5"/>
      <c r="S763" s="5"/>
      <c r="U763" s="6"/>
      <c r="V763" s="9" t="str">
        <f t="shared" si="97"/>
        <v/>
      </c>
      <c r="W763" s="9" t="str">
        <f t="shared" si="98"/>
        <v/>
      </c>
      <c r="X763" s="10">
        <f>SUM(V$13:V763)/COUNTA(B$13:B763)</f>
        <v>0</v>
      </c>
      <c r="Z763" s="5"/>
      <c r="AA763" s="5"/>
      <c r="AC763" s="7"/>
      <c r="AE763" s="54" t="e">
        <f t="shared" si="99"/>
        <v>#N/A</v>
      </c>
      <c r="AF763" s="4" t="e">
        <f t="shared" si="95"/>
        <v>#N/A</v>
      </c>
    </row>
    <row r="764" spans="2:32">
      <c r="B764" s="5">
        <f t="shared" si="100"/>
        <v>752</v>
      </c>
      <c r="C764" s="5"/>
      <c r="E764" s="13"/>
      <c r="F764" s="5"/>
      <c r="G764" s="11" t="str">
        <f>IF(ISERROR(AVERAGE(F$13:F764)),"n/a",AVERAGE(F$13:F764))</f>
        <v>n/a</v>
      </c>
      <c r="H764" s="11" t="str">
        <f t="shared" si="96"/>
        <v>n/a</v>
      </c>
      <c r="J764" s="5"/>
      <c r="K764" s="5"/>
      <c r="L764" s="5"/>
      <c r="M764" s="5"/>
      <c r="N764" s="5"/>
      <c r="O764" s="8" t="str">
        <f t="shared" si="94"/>
        <v>n/a</v>
      </c>
      <c r="Q764" s="5"/>
      <c r="R764" s="5"/>
      <c r="S764" s="5"/>
      <c r="U764" s="6"/>
      <c r="V764" s="9" t="str">
        <f t="shared" si="97"/>
        <v/>
      </c>
      <c r="W764" s="9" t="str">
        <f t="shared" si="98"/>
        <v/>
      </c>
      <c r="X764" s="10">
        <f>SUM(V$13:V764)/COUNTA(B$13:B764)</f>
        <v>0</v>
      </c>
      <c r="Z764" s="5"/>
      <c r="AA764" s="5"/>
      <c r="AC764" s="7"/>
      <c r="AE764" s="54" t="e">
        <f t="shared" si="99"/>
        <v>#N/A</v>
      </c>
      <c r="AF764" s="4" t="e">
        <f t="shared" si="95"/>
        <v>#N/A</v>
      </c>
    </row>
    <row r="765" spans="2:32">
      <c r="B765" s="5">
        <f t="shared" si="100"/>
        <v>753</v>
      </c>
      <c r="C765" s="5"/>
      <c r="E765" s="13"/>
      <c r="F765" s="5"/>
      <c r="G765" s="11" t="str">
        <f>IF(ISERROR(AVERAGE(F$13:F765)),"n/a",AVERAGE(F$13:F765))</f>
        <v>n/a</v>
      </c>
      <c r="H765" s="11" t="str">
        <f t="shared" si="96"/>
        <v>n/a</v>
      </c>
      <c r="J765" s="5"/>
      <c r="K765" s="5"/>
      <c r="L765" s="5"/>
      <c r="M765" s="5"/>
      <c r="N765" s="5"/>
      <c r="O765" s="8" t="str">
        <f t="shared" si="94"/>
        <v>n/a</v>
      </c>
      <c r="Q765" s="5"/>
      <c r="R765" s="5"/>
      <c r="S765" s="5"/>
      <c r="U765" s="6"/>
      <c r="V765" s="9" t="str">
        <f t="shared" si="97"/>
        <v/>
      </c>
      <c r="W765" s="9" t="str">
        <f t="shared" si="98"/>
        <v/>
      </c>
      <c r="X765" s="10">
        <f>SUM(V$13:V765)/COUNTA(B$13:B765)</f>
        <v>0</v>
      </c>
      <c r="Z765" s="5"/>
      <c r="AA765" s="5"/>
      <c r="AC765" s="7"/>
      <c r="AE765" s="54" t="e">
        <f t="shared" si="99"/>
        <v>#N/A</v>
      </c>
      <c r="AF765" s="4" t="e">
        <f t="shared" si="95"/>
        <v>#N/A</v>
      </c>
    </row>
    <row r="766" spans="2:32">
      <c r="B766" s="5">
        <f t="shared" si="100"/>
        <v>754</v>
      </c>
      <c r="C766" s="5"/>
      <c r="E766" s="13"/>
      <c r="F766" s="5"/>
      <c r="G766" s="11" t="str">
        <f>IF(ISERROR(AVERAGE(F$13:F766)),"n/a",AVERAGE(F$13:F766))</f>
        <v>n/a</v>
      </c>
      <c r="H766" s="11" t="str">
        <f t="shared" si="96"/>
        <v>n/a</v>
      </c>
      <c r="J766" s="5"/>
      <c r="K766" s="5"/>
      <c r="L766" s="5"/>
      <c r="M766" s="5"/>
      <c r="N766" s="5"/>
      <c r="O766" s="8" t="str">
        <f t="shared" si="94"/>
        <v>n/a</v>
      </c>
      <c r="Q766" s="5"/>
      <c r="R766" s="5"/>
      <c r="S766" s="5"/>
      <c r="U766" s="6"/>
      <c r="V766" s="9" t="str">
        <f t="shared" si="97"/>
        <v/>
      </c>
      <c r="W766" s="9" t="str">
        <f t="shared" si="98"/>
        <v/>
      </c>
      <c r="X766" s="10">
        <f>SUM(V$13:V766)/COUNTA(B$13:B766)</f>
        <v>0</v>
      </c>
      <c r="Z766" s="5"/>
      <c r="AA766" s="5"/>
      <c r="AC766" s="7"/>
      <c r="AE766" s="54" t="e">
        <f t="shared" si="99"/>
        <v>#N/A</v>
      </c>
      <c r="AF766" s="4" t="e">
        <f t="shared" si="95"/>
        <v>#N/A</v>
      </c>
    </row>
    <row r="767" spans="2:32">
      <c r="B767" s="5">
        <f t="shared" si="100"/>
        <v>755</v>
      </c>
      <c r="C767" s="5"/>
      <c r="E767" s="13"/>
      <c r="F767" s="5"/>
      <c r="G767" s="11" t="str">
        <f>IF(ISERROR(AVERAGE(F$13:F767)),"n/a",AVERAGE(F$13:F767))</f>
        <v>n/a</v>
      </c>
      <c r="H767" s="11" t="str">
        <f t="shared" si="96"/>
        <v>n/a</v>
      </c>
      <c r="J767" s="5"/>
      <c r="K767" s="5"/>
      <c r="L767" s="5"/>
      <c r="M767" s="5"/>
      <c r="N767" s="5"/>
      <c r="O767" s="8" t="str">
        <f t="shared" si="94"/>
        <v>n/a</v>
      </c>
      <c r="Q767" s="5"/>
      <c r="R767" s="5"/>
      <c r="S767" s="5"/>
      <c r="U767" s="6"/>
      <c r="V767" s="9" t="str">
        <f t="shared" si="97"/>
        <v/>
      </c>
      <c r="W767" s="9" t="str">
        <f t="shared" si="98"/>
        <v/>
      </c>
      <c r="X767" s="10">
        <f>SUM(V$13:V767)/COUNTA(B$13:B767)</f>
        <v>0</v>
      </c>
      <c r="Z767" s="5"/>
      <c r="AA767" s="5"/>
      <c r="AC767" s="7"/>
      <c r="AE767" s="54" t="e">
        <f t="shared" si="99"/>
        <v>#N/A</v>
      </c>
      <c r="AF767" s="4" t="e">
        <f t="shared" si="95"/>
        <v>#N/A</v>
      </c>
    </row>
    <row r="768" spans="2:32">
      <c r="B768" s="5">
        <f t="shared" si="100"/>
        <v>756</v>
      </c>
      <c r="C768" s="5"/>
      <c r="E768" s="13"/>
      <c r="F768" s="5"/>
      <c r="G768" s="11" t="str">
        <f>IF(ISERROR(AVERAGE(F$13:F768)),"n/a",AVERAGE(F$13:F768))</f>
        <v>n/a</v>
      </c>
      <c r="H768" s="11" t="str">
        <f t="shared" si="96"/>
        <v>n/a</v>
      </c>
      <c r="J768" s="5"/>
      <c r="K768" s="5"/>
      <c r="L768" s="5"/>
      <c r="M768" s="5"/>
      <c r="N768" s="5"/>
      <c r="O768" s="8" t="str">
        <f t="shared" si="94"/>
        <v>n/a</v>
      </c>
      <c r="Q768" s="5"/>
      <c r="R768" s="5"/>
      <c r="S768" s="5"/>
      <c r="U768" s="6"/>
      <c r="V768" s="9" t="str">
        <f t="shared" si="97"/>
        <v/>
      </c>
      <c r="W768" s="9" t="str">
        <f t="shared" si="98"/>
        <v/>
      </c>
      <c r="X768" s="10">
        <f>SUM(V$13:V768)/COUNTA(B$13:B768)</f>
        <v>0</v>
      </c>
      <c r="Z768" s="5"/>
      <c r="AA768" s="5"/>
      <c r="AC768" s="7"/>
      <c r="AE768" s="54" t="e">
        <f t="shared" si="99"/>
        <v>#N/A</v>
      </c>
      <c r="AF768" s="4" t="e">
        <f t="shared" si="95"/>
        <v>#N/A</v>
      </c>
    </row>
    <row r="769" spans="2:32">
      <c r="B769" s="5">
        <f t="shared" si="100"/>
        <v>757</v>
      </c>
      <c r="C769" s="5"/>
      <c r="E769" s="13"/>
      <c r="F769" s="5"/>
      <c r="G769" s="11" t="str">
        <f>IF(ISERROR(AVERAGE(F$13:F769)),"n/a",AVERAGE(F$13:F769))</f>
        <v>n/a</v>
      </c>
      <c r="H769" s="11" t="str">
        <f t="shared" si="96"/>
        <v>n/a</v>
      </c>
      <c r="J769" s="5"/>
      <c r="K769" s="5"/>
      <c r="L769" s="5"/>
      <c r="M769" s="5"/>
      <c r="N769" s="5"/>
      <c r="O769" s="8" t="str">
        <f t="shared" si="94"/>
        <v>n/a</v>
      </c>
      <c r="Q769" s="5"/>
      <c r="R769" s="5"/>
      <c r="S769" s="5"/>
      <c r="U769" s="6"/>
      <c r="V769" s="9" t="str">
        <f t="shared" si="97"/>
        <v/>
      </c>
      <c r="W769" s="9" t="str">
        <f t="shared" si="98"/>
        <v/>
      </c>
      <c r="X769" s="10">
        <f>SUM(V$13:V769)/COUNTA(B$13:B769)</f>
        <v>0</v>
      </c>
      <c r="Z769" s="5"/>
      <c r="AA769" s="5"/>
      <c r="AC769" s="7"/>
      <c r="AE769" s="54" t="e">
        <f t="shared" si="99"/>
        <v>#N/A</v>
      </c>
      <c r="AF769" s="4" t="e">
        <f t="shared" si="95"/>
        <v>#N/A</v>
      </c>
    </row>
    <row r="770" spans="2:32">
      <c r="B770" s="5">
        <f t="shared" si="100"/>
        <v>758</v>
      </c>
      <c r="C770" s="5"/>
      <c r="E770" s="13"/>
      <c r="F770" s="5"/>
      <c r="G770" s="11" t="str">
        <f>IF(ISERROR(AVERAGE(F$13:F770)),"n/a",AVERAGE(F$13:F770))</f>
        <v>n/a</v>
      </c>
      <c r="H770" s="11" t="str">
        <f t="shared" si="96"/>
        <v>n/a</v>
      </c>
      <c r="J770" s="5"/>
      <c r="K770" s="5"/>
      <c r="L770" s="5"/>
      <c r="M770" s="5"/>
      <c r="N770" s="5"/>
      <c r="O770" s="8" t="str">
        <f t="shared" si="94"/>
        <v>n/a</v>
      </c>
      <c r="Q770" s="5"/>
      <c r="R770" s="5"/>
      <c r="S770" s="5"/>
      <c r="U770" s="6"/>
      <c r="V770" s="9" t="str">
        <f t="shared" si="97"/>
        <v/>
      </c>
      <c r="W770" s="9" t="str">
        <f t="shared" si="98"/>
        <v/>
      </c>
      <c r="X770" s="10">
        <f>SUM(V$13:V770)/COUNTA(B$13:B770)</f>
        <v>0</v>
      </c>
      <c r="Z770" s="5"/>
      <c r="AA770" s="5"/>
      <c r="AC770" s="7"/>
      <c r="AE770" s="54" t="e">
        <f t="shared" si="99"/>
        <v>#N/A</v>
      </c>
      <c r="AF770" s="4" t="e">
        <f t="shared" si="95"/>
        <v>#N/A</v>
      </c>
    </row>
    <row r="771" spans="2:32">
      <c r="B771" s="5">
        <f t="shared" si="100"/>
        <v>759</v>
      </c>
      <c r="C771" s="5"/>
      <c r="E771" s="13"/>
      <c r="F771" s="5"/>
      <c r="G771" s="11" t="str">
        <f>IF(ISERROR(AVERAGE(F$13:F771)),"n/a",AVERAGE(F$13:F771))</f>
        <v>n/a</v>
      </c>
      <c r="H771" s="11" t="str">
        <f t="shared" si="96"/>
        <v>n/a</v>
      </c>
      <c r="J771" s="5"/>
      <c r="K771" s="5"/>
      <c r="L771" s="5"/>
      <c r="M771" s="5"/>
      <c r="N771" s="5"/>
      <c r="O771" s="8" t="str">
        <f t="shared" si="94"/>
        <v>n/a</v>
      </c>
      <c r="Q771" s="5"/>
      <c r="R771" s="5"/>
      <c r="S771" s="5"/>
      <c r="U771" s="6"/>
      <c r="V771" s="9" t="str">
        <f t="shared" si="97"/>
        <v/>
      </c>
      <c r="W771" s="9" t="str">
        <f t="shared" si="98"/>
        <v/>
      </c>
      <c r="X771" s="10">
        <f>SUM(V$13:V771)/COUNTA(B$13:B771)</f>
        <v>0</v>
      </c>
      <c r="Z771" s="5"/>
      <c r="AA771" s="5"/>
      <c r="AC771" s="7"/>
      <c r="AE771" s="54" t="e">
        <f t="shared" si="99"/>
        <v>#N/A</v>
      </c>
      <c r="AF771" s="4" t="e">
        <f t="shared" si="95"/>
        <v>#N/A</v>
      </c>
    </row>
    <row r="772" spans="2:32">
      <c r="B772" s="5">
        <f t="shared" si="100"/>
        <v>760</v>
      </c>
      <c r="C772" s="5"/>
      <c r="E772" s="13"/>
      <c r="F772" s="5"/>
      <c r="G772" s="11" t="str">
        <f>IF(ISERROR(AVERAGE(F$13:F772)),"n/a",AVERAGE(F$13:F772))</f>
        <v>n/a</v>
      </c>
      <c r="H772" s="11" t="str">
        <f t="shared" si="96"/>
        <v>n/a</v>
      </c>
      <c r="J772" s="5"/>
      <c r="K772" s="5"/>
      <c r="L772" s="5"/>
      <c r="M772" s="5"/>
      <c r="N772" s="5"/>
      <c r="O772" s="8" t="str">
        <f t="shared" si="94"/>
        <v>n/a</v>
      </c>
      <c r="Q772" s="5"/>
      <c r="R772" s="5"/>
      <c r="S772" s="5"/>
      <c r="U772" s="6"/>
      <c r="V772" s="9" t="str">
        <f t="shared" si="97"/>
        <v/>
      </c>
      <c r="W772" s="9" t="str">
        <f t="shared" si="98"/>
        <v/>
      </c>
      <c r="X772" s="10">
        <f>SUM(V$13:V772)/COUNTA(B$13:B772)</f>
        <v>0</v>
      </c>
      <c r="Z772" s="5"/>
      <c r="AA772" s="5"/>
      <c r="AC772" s="7"/>
      <c r="AE772" s="54" t="e">
        <f t="shared" si="99"/>
        <v>#N/A</v>
      </c>
      <c r="AF772" s="4" t="e">
        <f t="shared" si="95"/>
        <v>#N/A</v>
      </c>
    </row>
    <row r="773" spans="2:32">
      <c r="B773" s="5">
        <f t="shared" si="100"/>
        <v>761</v>
      </c>
      <c r="C773" s="5"/>
      <c r="E773" s="13"/>
      <c r="F773" s="5"/>
      <c r="G773" s="11" t="str">
        <f>IF(ISERROR(AVERAGE(F$13:F773)),"n/a",AVERAGE(F$13:F773))</f>
        <v>n/a</v>
      </c>
      <c r="H773" s="11" t="str">
        <f t="shared" si="96"/>
        <v>n/a</v>
      </c>
      <c r="J773" s="5"/>
      <c r="K773" s="5"/>
      <c r="L773" s="5"/>
      <c r="M773" s="5"/>
      <c r="N773" s="5"/>
      <c r="O773" s="8" t="str">
        <f t="shared" si="94"/>
        <v>n/a</v>
      </c>
      <c r="Q773" s="5"/>
      <c r="R773" s="5"/>
      <c r="S773" s="5"/>
      <c r="U773" s="6"/>
      <c r="V773" s="9" t="str">
        <f t="shared" si="97"/>
        <v/>
      </c>
      <c r="W773" s="9" t="str">
        <f t="shared" si="98"/>
        <v/>
      </c>
      <c r="X773" s="10">
        <f>SUM(V$13:V773)/COUNTA(B$13:B773)</f>
        <v>0</v>
      </c>
      <c r="Z773" s="5"/>
      <c r="AA773" s="5"/>
      <c r="AC773" s="7"/>
      <c r="AE773" s="54" t="e">
        <f t="shared" si="99"/>
        <v>#N/A</v>
      </c>
      <c r="AF773" s="4" t="e">
        <f t="shared" si="95"/>
        <v>#N/A</v>
      </c>
    </row>
    <row r="774" spans="2:32">
      <c r="B774" s="5">
        <f t="shared" si="100"/>
        <v>762</v>
      </c>
      <c r="C774" s="5"/>
      <c r="E774" s="13"/>
      <c r="F774" s="5"/>
      <c r="G774" s="11" t="str">
        <f>IF(ISERROR(AVERAGE(F$13:F774)),"n/a",AVERAGE(F$13:F774))</f>
        <v>n/a</v>
      </c>
      <c r="H774" s="11" t="str">
        <f t="shared" si="96"/>
        <v>n/a</v>
      </c>
      <c r="J774" s="5"/>
      <c r="K774" s="5"/>
      <c r="L774" s="5"/>
      <c r="M774" s="5"/>
      <c r="N774" s="5"/>
      <c r="O774" s="8" t="str">
        <f t="shared" si="94"/>
        <v>n/a</v>
      </c>
      <c r="Q774" s="5"/>
      <c r="R774" s="5"/>
      <c r="S774" s="5"/>
      <c r="U774" s="6"/>
      <c r="V774" s="9" t="str">
        <f t="shared" si="97"/>
        <v/>
      </c>
      <c r="W774" s="9" t="str">
        <f t="shared" si="98"/>
        <v/>
      </c>
      <c r="X774" s="10">
        <f>SUM(V$13:V774)/COUNTA(B$13:B774)</f>
        <v>0</v>
      </c>
      <c r="Z774" s="5"/>
      <c r="AA774" s="5"/>
      <c r="AC774" s="7"/>
      <c r="AE774" s="54" t="e">
        <f t="shared" si="99"/>
        <v>#N/A</v>
      </c>
      <c r="AF774" s="4" t="e">
        <f t="shared" si="95"/>
        <v>#N/A</v>
      </c>
    </row>
    <row r="775" spans="2:32">
      <c r="B775" s="5">
        <f t="shared" si="100"/>
        <v>763</v>
      </c>
      <c r="C775" s="5"/>
      <c r="E775" s="13"/>
      <c r="F775" s="5"/>
      <c r="G775" s="11" t="str">
        <f>IF(ISERROR(AVERAGE(F$13:F775)),"n/a",AVERAGE(F$13:F775))</f>
        <v>n/a</v>
      </c>
      <c r="H775" s="11" t="str">
        <f t="shared" si="96"/>
        <v>n/a</v>
      </c>
      <c r="J775" s="5"/>
      <c r="K775" s="5"/>
      <c r="L775" s="5"/>
      <c r="M775" s="5"/>
      <c r="N775" s="5"/>
      <c r="O775" s="8" t="str">
        <f t="shared" si="94"/>
        <v>n/a</v>
      </c>
      <c r="Q775" s="5"/>
      <c r="R775" s="5"/>
      <c r="S775" s="5"/>
      <c r="U775" s="6"/>
      <c r="V775" s="9" t="str">
        <f t="shared" si="97"/>
        <v/>
      </c>
      <c r="W775" s="9" t="str">
        <f t="shared" si="98"/>
        <v/>
      </c>
      <c r="X775" s="10">
        <f>SUM(V$13:V775)/COUNTA(B$13:B775)</f>
        <v>0</v>
      </c>
      <c r="Z775" s="5"/>
      <c r="AA775" s="5"/>
      <c r="AC775" s="7"/>
      <c r="AE775" s="54" t="e">
        <f t="shared" si="99"/>
        <v>#N/A</v>
      </c>
      <c r="AF775" s="4" t="e">
        <f t="shared" si="95"/>
        <v>#N/A</v>
      </c>
    </row>
    <row r="776" spans="2:32">
      <c r="B776" s="5">
        <f t="shared" si="100"/>
        <v>764</v>
      </c>
      <c r="C776" s="5"/>
      <c r="E776" s="13"/>
      <c r="F776" s="5"/>
      <c r="G776" s="11" t="str">
        <f>IF(ISERROR(AVERAGE(F$13:F776)),"n/a",AVERAGE(F$13:F776))</f>
        <v>n/a</v>
      </c>
      <c r="H776" s="11" t="str">
        <f t="shared" si="96"/>
        <v>n/a</v>
      </c>
      <c r="J776" s="5"/>
      <c r="K776" s="5"/>
      <c r="L776" s="5"/>
      <c r="M776" s="5"/>
      <c r="N776" s="5"/>
      <c r="O776" s="8" t="str">
        <f t="shared" si="94"/>
        <v>n/a</v>
      </c>
      <c r="Q776" s="5"/>
      <c r="R776" s="5"/>
      <c r="S776" s="5"/>
      <c r="U776" s="6"/>
      <c r="V776" s="9" t="str">
        <f t="shared" si="97"/>
        <v/>
      </c>
      <c r="W776" s="9" t="str">
        <f t="shared" si="98"/>
        <v/>
      </c>
      <c r="X776" s="10">
        <f>SUM(V$13:V776)/COUNTA(B$13:B776)</f>
        <v>0</v>
      </c>
      <c r="Z776" s="5"/>
      <c r="AA776" s="5"/>
      <c r="AC776" s="7"/>
      <c r="AE776" s="54" t="e">
        <f t="shared" si="99"/>
        <v>#N/A</v>
      </c>
      <c r="AF776" s="4" t="e">
        <f t="shared" si="95"/>
        <v>#N/A</v>
      </c>
    </row>
    <row r="777" spans="2:32">
      <c r="B777" s="5">
        <f t="shared" si="100"/>
        <v>765</v>
      </c>
      <c r="C777" s="5"/>
      <c r="E777" s="13"/>
      <c r="F777" s="5"/>
      <c r="G777" s="11" t="str">
        <f>IF(ISERROR(AVERAGE(F$13:F777)),"n/a",AVERAGE(F$13:F777))</f>
        <v>n/a</v>
      </c>
      <c r="H777" s="11" t="str">
        <f t="shared" si="96"/>
        <v>n/a</v>
      </c>
      <c r="J777" s="5"/>
      <c r="K777" s="5"/>
      <c r="L777" s="5"/>
      <c r="M777" s="5"/>
      <c r="N777" s="5"/>
      <c r="O777" s="8" t="str">
        <f t="shared" si="94"/>
        <v>n/a</v>
      </c>
      <c r="Q777" s="5"/>
      <c r="R777" s="5"/>
      <c r="S777" s="5"/>
      <c r="U777" s="6"/>
      <c r="V777" s="9" t="str">
        <f t="shared" si="97"/>
        <v/>
      </c>
      <c r="W777" s="9" t="str">
        <f t="shared" si="98"/>
        <v/>
      </c>
      <c r="X777" s="10">
        <f>SUM(V$13:V777)/COUNTA(B$13:B777)</f>
        <v>0</v>
      </c>
      <c r="Z777" s="5"/>
      <c r="AA777" s="5"/>
      <c r="AC777" s="7"/>
      <c r="AE777" s="54" t="e">
        <f t="shared" si="99"/>
        <v>#N/A</v>
      </c>
      <c r="AF777" s="4" t="e">
        <f t="shared" si="95"/>
        <v>#N/A</v>
      </c>
    </row>
    <row r="778" spans="2:32">
      <c r="B778" s="5">
        <f t="shared" si="100"/>
        <v>766</v>
      </c>
      <c r="C778" s="5"/>
      <c r="E778" s="13"/>
      <c r="F778" s="5"/>
      <c r="G778" s="11" t="str">
        <f>IF(ISERROR(AVERAGE(F$13:F778)),"n/a",AVERAGE(F$13:F778))</f>
        <v>n/a</v>
      </c>
      <c r="H778" s="11" t="str">
        <f t="shared" si="96"/>
        <v>n/a</v>
      </c>
      <c r="J778" s="5"/>
      <c r="K778" s="5"/>
      <c r="L778" s="5"/>
      <c r="M778" s="5"/>
      <c r="N778" s="5"/>
      <c r="O778" s="8" t="str">
        <f t="shared" si="94"/>
        <v>n/a</v>
      </c>
      <c r="Q778" s="5"/>
      <c r="R778" s="5"/>
      <c r="S778" s="5"/>
      <c r="U778" s="6"/>
      <c r="V778" s="9" t="str">
        <f t="shared" si="97"/>
        <v/>
      </c>
      <c r="W778" s="9" t="str">
        <f t="shared" si="98"/>
        <v/>
      </c>
      <c r="X778" s="10">
        <f>SUM(V$13:V778)/COUNTA(B$13:B778)</f>
        <v>0</v>
      </c>
      <c r="Z778" s="5"/>
      <c r="AA778" s="5"/>
      <c r="AC778" s="7"/>
      <c r="AE778" s="54" t="e">
        <f t="shared" si="99"/>
        <v>#N/A</v>
      </c>
      <c r="AF778" s="4" t="e">
        <f t="shared" si="95"/>
        <v>#N/A</v>
      </c>
    </row>
    <row r="779" spans="2:32">
      <c r="B779" s="5">
        <f t="shared" si="100"/>
        <v>767</v>
      </c>
      <c r="C779" s="5"/>
      <c r="E779" s="13"/>
      <c r="F779" s="5"/>
      <c r="G779" s="11" t="str">
        <f>IF(ISERROR(AVERAGE(F$13:F779)),"n/a",AVERAGE(F$13:F779))</f>
        <v>n/a</v>
      </c>
      <c r="H779" s="11" t="str">
        <f t="shared" si="96"/>
        <v>n/a</v>
      </c>
      <c r="J779" s="5"/>
      <c r="K779" s="5"/>
      <c r="L779" s="5"/>
      <c r="M779" s="5"/>
      <c r="N779" s="5"/>
      <c r="O779" s="8" t="str">
        <f t="shared" si="94"/>
        <v>n/a</v>
      </c>
      <c r="Q779" s="5"/>
      <c r="R779" s="5"/>
      <c r="S779" s="5"/>
      <c r="U779" s="6"/>
      <c r="V779" s="9" t="str">
        <f t="shared" si="97"/>
        <v/>
      </c>
      <c r="W779" s="9" t="str">
        <f t="shared" si="98"/>
        <v/>
      </c>
      <c r="X779" s="10">
        <f>SUM(V$13:V779)/COUNTA(B$13:B779)</f>
        <v>0</v>
      </c>
      <c r="Z779" s="5"/>
      <c r="AA779" s="5"/>
      <c r="AC779" s="7"/>
      <c r="AE779" s="54" t="e">
        <f t="shared" si="99"/>
        <v>#N/A</v>
      </c>
      <c r="AF779" s="4" t="e">
        <f t="shared" si="95"/>
        <v>#N/A</v>
      </c>
    </row>
    <row r="780" spans="2:32">
      <c r="B780" s="5">
        <f t="shared" si="100"/>
        <v>768</v>
      </c>
      <c r="C780" s="5"/>
      <c r="E780" s="13"/>
      <c r="F780" s="5"/>
      <c r="G780" s="11" t="str">
        <f>IF(ISERROR(AVERAGE(F$13:F780)),"n/a",AVERAGE(F$13:F780))</f>
        <v>n/a</v>
      </c>
      <c r="H780" s="11" t="str">
        <f t="shared" si="96"/>
        <v>n/a</v>
      </c>
      <c r="J780" s="5"/>
      <c r="K780" s="5"/>
      <c r="L780" s="5"/>
      <c r="M780" s="5"/>
      <c r="N780" s="5"/>
      <c r="O780" s="8" t="str">
        <f t="shared" si="94"/>
        <v>n/a</v>
      </c>
      <c r="Q780" s="5"/>
      <c r="R780" s="5"/>
      <c r="S780" s="5"/>
      <c r="U780" s="6"/>
      <c r="V780" s="9" t="str">
        <f t="shared" si="97"/>
        <v/>
      </c>
      <c r="W780" s="9" t="str">
        <f t="shared" si="98"/>
        <v/>
      </c>
      <c r="X780" s="10">
        <f>SUM(V$13:V780)/COUNTA(B$13:B780)</f>
        <v>0</v>
      </c>
      <c r="Z780" s="5"/>
      <c r="AA780" s="5"/>
      <c r="AC780" s="7"/>
      <c r="AE780" s="54" t="e">
        <f t="shared" si="99"/>
        <v>#N/A</v>
      </c>
      <c r="AF780" s="4" t="e">
        <f t="shared" si="95"/>
        <v>#N/A</v>
      </c>
    </row>
    <row r="781" spans="2:32">
      <c r="B781" s="5">
        <f t="shared" si="100"/>
        <v>769</v>
      </c>
      <c r="C781" s="5"/>
      <c r="E781" s="13"/>
      <c r="F781" s="5"/>
      <c r="G781" s="11" t="str">
        <f>IF(ISERROR(AVERAGE(F$13:F781)),"n/a",AVERAGE(F$13:F781))</f>
        <v>n/a</v>
      </c>
      <c r="H781" s="11" t="str">
        <f t="shared" si="96"/>
        <v>n/a</v>
      </c>
      <c r="J781" s="5"/>
      <c r="K781" s="5"/>
      <c r="L781" s="5"/>
      <c r="M781" s="5"/>
      <c r="N781" s="5"/>
      <c r="O781" s="8" t="str">
        <f t="shared" ref="O781:O844" si="101">IF(J781=1,"A",IF(K781=1,"B",IF(L781=1,"C",IF(M781=1,"D",IF(N781=1,"E","n/a")))))</f>
        <v>n/a</v>
      </c>
      <c r="Q781" s="5"/>
      <c r="R781" s="5"/>
      <c r="S781" s="5"/>
      <c r="U781" s="6"/>
      <c r="V781" s="9" t="str">
        <f t="shared" si="97"/>
        <v/>
      </c>
      <c r="W781" s="9" t="str">
        <f t="shared" si="98"/>
        <v/>
      </c>
      <c r="X781" s="10">
        <f>SUM(V$13:V781)/COUNTA(B$13:B781)</f>
        <v>0</v>
      </c>
      <c r="Z781" s="5"/>
      <c r="AA781" s="5"/>
      <c r="AC781" s="7"/>
      <c r="AE781" s="54" t="e">
        <f t="shared" si="99"/>
        <v>#N/A</v>
      </c>
      <c r="AF781" s="4" t="e">
        <f t="shared" ref="AF781:AF844" si="102">HLOOKUP(C781,$K$6:$O$7,2,FALSE)</f>
        <v>#N/A</v>
      </c>
    </row>
    <row r="782" spans="2:32">
      <c r="B782" s="5">
        <f t="shared" si="100"/>
        <v>770</v>
      </c>
      <c r="C782" s="5"/>
      <c r="E782" s="13"/>
      <c r="F782" s="5"/>
      <c r="G782" s="11" t="str">
        <f>IF(ISERROR(AVERAGE(F$13:F782)),"n/a",AVERAGE(F$13:F782))</f>
        <v>n/a</v>
      </c>
      <c r="H782" s="11" t="str">
        <f t="shared" ref="H782:H845" si="103">G782</f>
        <v>n/a</v>
      </c>
      <c r="J782" s="5"/>
      <c r="K782" s="5"/>
      <c r="L782" s="5"/>
      <c r="M782" s="5"/>
      <c r="N782" s="5"/>
      <c r="O782" s="8" t="str">
        <f t="shared" si="101"/>
        <v>n/a</v>
      </c>
      <c r="Q782" s="5"/>
      <c r="R782" s="5"/>
      <c r="S782" s="5"/>
      <c r="U782" s="6"/>
      <c r="V782" s="9" t="str">
        <f t="shared" ref="V782:V845" si="104">IF(O782="n/a","",IF(O782=U782,1,""))</f>
        <v/>
      </c>
      <c r="W782" s="9" t="str">
        <f t="shared" ref="W782:W845" si="105">IF(O782="n/a","",IF(O782&lt;&gt;U782,1,""))</f>
        <v/>
      </c>
      <c r="X782" s="10">
        <f>SUM(V$13:V782)/COUNTA(B$13:B782)</f>
        <v>0</v>
      </c>
      <c r="Z782" s="5"/>
      <c r="AA782" s="5"/>
      <c r="AC782" s="7"/>
      <c r="AE782" s="54" t="e">
        <f t="shared" ref="AE782:AE845" si="106">+IF($F$4=0,0,IF(W782=1,1,IF(OR(R782*$F$8=1,S782*$F$9=1,F782&gt;=AF782),2,0)))</f>
        <v>#N/A</v>
      </c>
      <c r="AF782" s="4" t="e">
        <f t="shared" si="102"/>
        <v>#N/A</v>
      </c>
    </row>
    <row r="783" spans="2:32">
      <c r="B783" s="5">
        <f t="shared" si="100"/>
        <v>771</v>
      </c>
      <c r="C783" s="5"/>
      <c r="E783" s="13"/>
      <c r="F783" s="5"/>
      <c r="G783" s="11" t="str">
        <f>IF(ISERROR(AVERAGE(F$13:F783)),"n/a",AVERAGE(F$13:F783))</f>
        <v>n/a</v>
      </c>
      <c r="H783" s="11" t="str">
        <f t="shared" si="103"/>
        <v>n/a</v>
      </c>
      <c r="J783" s="5"/>
      <c r="K783" s="5"/>
      <c r="L783" s="5"/>
      <c r="M783" s="5"/>
      <c r="N783" s="5"/>
      <c r="O783" s="8" t="str">
        <f t="shared" si="101"/>
        <v>n/a</v>
      </c>
      <c r="Q783" s="5"/>
      <c r="R783" s="5"/>
      <c r="S783" s="5"/>
      <c r="U783" s="6"/>
      <c r="V783" s="9" t="str">
        <f t="shared" si="104"/>
        <v/>
      </c>
      <c r="W783" s="9" t="str">
        <f t="shared" si="105"/>
        <v/>
      </c>
      <c r="X783" s="10">
        <f>SUM(V$13:V783)/COUNTA(B$13:B783)</f>
        <v>0</v>
      </c>
      <c r="Z783" s="5"/>
      <c r="AA783" s="5"/>
      <c r="AC783" s="7"/>
      <c r="AE783" s="54" t="e">
        <f t="shared" si="106"/>
        <v>#N/A</v>
      </c>
      <c r="AF783" s="4" t="e">
        <f t="shared" si="102"/>
        <v>#N/A</v>
      </c>
    </row>
    <row r="784" spans="2:32">
      <c r="B784" s="5">
        <f t="shared" si="100"/>
        <v>772</v>
      </c>
      <c r="C784" s="5"/>
      <c r="E784" s="13"/>
      <c r="F784" s="5"/>
      <c r="G784" s="11" t="str">
        <f>IF(ISERROR(AVERAGE(F$13:F784)),"n/a",AVERAGE(F$13:F784))</f>
        <v>n/a</v>
      </c>
      <c r="H784" s="11" t="str">
        <f t="shared" si="103"/>
        <v>n/a</v>
      </c>
      <c r="J784" s="5"/>
      <c r="K784" s="5"/>
      <c r="L784" s="5"/>
      <c r="M784" s="5"/>
      <c r="N784" s="5"/>
      <c r="O784" s="8" t="str">
        <f t="shared" si="101"/>
        <v>n/a</v>
      </c>
      <c r="Q784" s="5"/>
      <c r="R784" s="5"/>
      <c r="S784" s="5"/>
      <c r="U784" s="6"/>
      <c r="V784" s="9" t="str">
        <f t="shared" si="104"/>
        <v/>
      </c>
      <c r="W784" s="9" t="str">
        <f t="shared" si="105"/>
        <v/>
      </c>
      <c r="X784" s="10">
        <f>SUM(V$13:V784)/COUNTA(B$13:B784)</f>
        <v>0</v>
      </c>
      <c r="Z784" s="5"/>
      <c r="AA784" s="5"/>
      <c r="AC784" s="7"/>
      <c r="AE784" s="54" t="e">
        <f t="shared" si="106"/>
        <v>#N/A</v>
      </c>
      <c r="AF784" s="4" t="e">
        <f t="shared" si="102"/>
        <v>#N/A</v>
      </c>
    </row>
    <row r="785" spans="2:32">
      <c r="B785" s="5">
        <f t="shared" si="100"/>
        <v>773</v>
      </c>
      <c r="C785" s="5"/>
      <c r="E785" s="13"/>
      <c r="F785" s="5"/>
      <c r="G785" s="11" t="str">
        <f>IF(ISERROR(AVERAGE(F$13:F785)),"n/a",AVERAGE(F$13:F785))</f>
        <v>n/a</v>
      </c>
      <c r="H785" s="11" t="str">
        <f t="shared" si="103"/>
        <v>n/a</v>
      </c>
      <c r="J785" s="5"/>
      <c r="K785" s="5"/>
      <c r="L785" s="5"/>
      <c r="M785" s="5"/>
      <c r="N785" s="5"/>
      <c r="O785" s="8" t="str">
        <f t="shared" si="101"/>
        <v>n/a</v>
      </c>
      <c r="Q785" s="5"/>
      <c r="R785" s="5"/>
      <c r="S785" s="5"/>
      <c r="U785" s="6"/>
      <c r="V785" s="9" t="str">
        <f t="shared" si="104"/>
        <v/>
      </c>
      <c r="W785" s="9" t="str">
        <f t="shared" si="105"/>
        <v/>
      </c>
      <c r="X785" s="10">
        <f>SUM(V$13:V785)/COUNTA(B$13:B785)</f>
        <v>0</v>
      </c>
      <c r="Z785" s="5"/>
      <c r="AA785" s="5"/>
      <c r="AC785" s="7"/>
      <c r="AE785" s="54" t="e">
        <f t="shared" si="106"/>
        <v>#N/A</v>
      </c>
      <c r="AF785" s="4" t="e">
        <f t="shared" si="102"/>
        <v>#N/A</v>
      </c>
    </row>
    <row r="786" spans="2:32">
      <c r="B786" s="5">
        <f t="shared" si="100"/>
        <v>774</v>
      </c>
      <c r="C786" s="5"/>
      <c r="E786" s="13"/>
      <c r="F786" s="5"/>
      <c r="G786" s="11" t="str">
        <f>IF(ISERROR(AVERAGE(F$13:F786)),"n/a",AVERAGE(F$13:F786))</f>
        <v>n/a</v>
      </c>
      <c r="H786" s="11" t="str">
        <f t="shared" si="103"/>
        <v>n/a</v>
      </c>
      <c r="J786" s="5"/>
      <c r="K786" s="5"/>
      <c r="L786" s="5"/>
      <c r="M786" s="5"/>
      <c r="N786" s="5"/>
      <c r="O786" s="8" t="str">
        <f t="shared" si="101"/>
        <v>n/a</v>
      </c>
      <c r="Q786" s="5"/>
      <c r="R786" s="5"/>
      <c r="S786" s="5"/>
      <c r="U786" s="6"/>
      <c r="V786" s="9" t="str">
        <f t="shared" si="104"/>
        <v/>
      </c>
      <c r="W786" s="9" t="str">
        <f t="shared" si="105"/>
        <v/>
      </c>
      <c r="X786" s="10">
        <f>SUM(V$13:V786)/COUNTA(B$13:B786)</f>
        <v>0</v>
      </c>
      <c r="Z786" s="5"/>
      <c r="AA786" s="5"/>
      <c r="AC786" s="7"/>
      <c r="AE786" s="54" t="e">
        <f t="shared" si="106"/>
        <v>#N/A</v>
      </c>
      <c r="AF786" s="4" t="e">
        <f t="shared" si="102"/>
        <v>#N/A</v>
      </c>
    </row>
    <row r="787" spans="2:32">
      <c r="B787" s="5">
        <f t="shared" ref="B787:B850" si="107">+B786+1</f>
        <v>775</v>
      </c>
      <c r="C787" s="5"/>
      <c r="E787" s="13"/>
      <c r="F787" s="5"/>
      <c r="G787" s="11" t="str">
        <f>IF(ISERROR(AVERAGE(F$13:F787)),"n/a",AVERAGE(F$13:F787))</f>
        <v>n/a</v>
      </c>
      <c r="H787" s="11" t="str">
        <f t="shared" si="103"/>
        <v>n/a</v>
      </c>
      <c r="J787" s="5"/>
      <c r="K787" s="5"/>
      <c r="L787" s="5"/>
      <c r="M787" s="5"/>
      <c r="N787" s="5"/>
      <c r="O787" s="8" t="str">
        <f t="shared" si="101"/>
        <v>n/a</v>
      </c>
      <c r="Q787" s="5"/>
      <c r="R787" s="5"/>
      <c r="S787" s="5"/>
      <c r="U787" s="6"/>
      <c r="V787" s="9" t="str">
        <f t="shared" si="104"/>
        <v/>
      </c>
      <c r="W787" s="9" t="str">
        <f t="shared" si="105"/>
        <v/>
      </c>
      <c r="X787" s="10">
        <f>SUM(V$13:V787)/COUNTA(B$13:B787)</f>
        <v>0</v>
      </c>
      <c r="Z787" s="5"/>
      <c r="AA787" s="5"/>
      <c r="AC787" s="7"/>
      <c r="AE787" s="54" t="e">
        <f t="shared" si="106"/>
        <v>#N/A</v>
      </c>
      <c r="AF787" s="4" t="e">
        <f t="shared" si="102"/>
        <v>#N/A</v>
      </c>
    </row>
    <row r="788" spans="2:32">
      <c r="B788" s="5">
        <f t="shared" si="107"/>
        <v>776</v>
      </c>
      <c r="C788" s="5"/>
      <c r="E788" s="13"/>
      <c r="F788" s="5"/>
      <c r="G788" s="11" t="str">
        <f>IF(ISERROR(AVERAGE(F$13:F788)),"n/a",AVERAGE(F$13:F788))</f>
        <v>n/a</v>
      </c>
      <c r="H788" s="11" t="str">
        <f t="shared" si="103"/>
        <v>n/a</v>
      </c>
      <c r="J788" s="5"/>
      <c r="K788" s="5"/>
      <c r="L788" s="5"/>
      <c r="M788" s="5"/>
      <c r="N788" s="5"/>
      <c r="O788" s="8" t="str">
        <f t="shared" si="101"/>
        <v>n/a</v>
      </c>
      <c r="Q788" s="5"/>
      <c r="R788" s="5"/>
      <c r="S788" s="5"/>
      <c r="U788" s="6"/>
      <c r="V788" s="9" t="str">
        <f t="shared" si="104"/>
        <v/>
      </c>
      <c r="W788" s="9" t="str">
        <f t="shared" si="105"/>
        <v/>
      </c>
      <c r="X788" s="10">
        <f>SUM(V$13:V788)/COUNTA(B$13:B788)</f>
        <v>0</v>
      </c>
      <c r="Z788" s="5"/>
      <c r="AA788" s="5"/>
      <c r="AC788" s="7"/>
      <c r="AE788" s="54" t="e">
        <f t="shared" si="106"/>
        <v>#N/A</v>
      </c>
      <c r="AF788" s="4" t="e">
        <f t="shared" si="102"/>
        <v>#N/A</v>
      </c>
    </row>
    <row r="789" spans="2:32">
      <c r="B789" s="5">
        <f t="shared" si="107"/>
        <v>777</v>
      </c>
      <c r="C789" s="5"/>
      <c r="E789" s="13"/>
      <c r="F789" s="5"/>
      <c r="G789" s="11" t="str">
        <f>IF(ISERROR(AVERAGE(F$13:F789)),"n/a",AVERAGE(F$13:F789))</f>
        <v>n/a</v>
      </c>
      <c r="H789" s="11" t="str">
        <f t="shared" si="103"/>
        <v>n/a</v>
      </c>
      <c r="J789" s="5"/>
      <c r="K789" s="5"/>
      <c r="L789" s="5"/>
      <c r="M789" s="5"/>
      <c r="N789" s="5"/>
      <c r="O789" s="8" t="str">
        <f t="shared" si="101"/>
        <v>n/a</v>
      </c>
      <c r="Q789" s="5"/>
      <c r="R789" s="5"/>
      <c r="S789" s="5"/>
      <c r="U789" s="6"/>
      <c r="V789" s="9" t="str">
        <f t="shared" si="104"/>
        <v/>
      </c>
      <c r="W789" s="9" t="str">
        <f t="shared" si="105"/>
        <v/>
      </c>
      <c r="X789" s="10">
        <f>SUM(V$13:V789)/COUNTA(B$13:B789)</f>
        <v>0</v>
      </c>
      <c r="Z789" s="5"/>
      <c r="AA789" s="5"/>
      <c r="AC789" s="7"/>
      <c r="AE789" s="54" t="e">
        <f t="shared" si="106"/>
        <v>#N/A</v>
      </c>
      <c r="AF789" s="4" t="e">
        <f t="shared" si="102"/>
        <v>#N/A</v>
      </c>
    </row>
    <row r="790" spans="2:32">
      <c r="B790" s="5">
        <f t="shared" si="107"/>
        <v>778</v>
      </c>
      <c r="C790" s="5"/>
      <c r="E790" s="13"/>
      <c r="F790" s="5"/>
      <c r="G790" s="11" t="str">
        <f>IF(ISERROR(AVERAGE(F$13:F790)),"n/a",AVERAGE(F$13:F790))</f>
        <v>n/a</v>
      </c>
      <c r="H790" s="11" t="str">
        <f t="shared" si="103"/>
        <v>n/a</v>
      </c>
      <c r="J790" s="5"/>
      <c r="K790" s="5"/>
      <c r="L790" s="5"/>
      <c r="M790" s="5"/>
      <c r="N790" s="5"/>
      <c r="O790" s="8" t="str">
        <f t="shared" si="101"/>
        <v>n/a</v>
      </c>
      <c r="Q790" s="5"/>
      <c r="R790" s="5"/>
      <c r="S790" s="5"/>
      <c r="U790" s="6"/>
      <c r="V790" s="9" t="str">
        <f t="shared" si="104"/>
        <v/>
      </c>
      <c r="W790" s="9" t="str">
        <f t="shared" si="105"/>
        <v/>
      </c>
      <c r="X790" s="10">
        <f>SUM(V$13:V790)/COUNTA(B$13:B790)</f>
        <v>0</v>
      </c>
      <c r="Z790" s="5"/>
      <c r="AA790" s="5"/>
      <c r="AC790" s="7"/>
      <c r="AE790" s="54" t="e">
        <f t="shared" si="106"/>
        <v>#N/A</v>
      </c>
      <c r="AF790" s="4" t="e">
        <f t="shared" si="102"/>
        <v>#N/A</v>
      </c>
    </row>
    <row r="791" spans="2:32">
      <c r="B791" s="5">
        <f t="shared" si="107"/>
        <v>779</v>
      </c>
      <c r="C791" s="5"/>
      <c r="E791" s="13"/>
      <c r="F791" s="5"/>
      <c r="G791" s="11" t="str">
        <f>IF(ISERROR(AVERAGE(F$13:F791)),"n/a",AVERAGE(F$13:F791))</f>
        <v>n/a</v>
      </c>
      <c r="H791" s="11" t="str">
        <f t="shared" si="103"/>
        <v>n/a</v>
      </c>
      <c r="J791" s="5"/>
      <c r="K791" s="5"/>
      <c r="L791" s="5"/>
      <c r="M791" s="5"/>
      <c r="N791" s="5"/>
      <c r="O791" s="8" t="str">
        <f t="shared" si="101"/>
        <v>n/a</v>
      </c>
      <c r="Q791" s="5"/>
      <c r="R791" s="5"/>
      <c r="S791" s="5"/>
      <c r="U791" s="6"/>
      <c r="V791" s="9" t="str">
        <f t="shared" si="104"/>
        <v/>
      </c>
      <c r="W791" s="9" t="str">
        <f t="shared" si="105"/>
        <v/>
      </c>
      <c r="X791" s="10">
        <f>SUM(V$13:V791)/COUNTA(B$13:B791)</f>
        <v>0</v>
      </c>
      <c r="Z791" s="5"/>
      <c r="AA791" s="5"/>
      <c r="AC791" s="7"/>
      <c r="AE791" s="54" t="e">
        <f t="shared" si="106"/>
        <v>#N/A</v>
      </c>
      <c r="AF791" s="4" t="e">
        <f t="shared" si="102"/>
        <v>#N/A</v>
      </c>
    </row>
    <row r="792" spans="2:32">
      <c r="B792" s="5">
        <f t="shared" si="107"/>
        <v>780</v>
      </c>
      <c r="C792" s="5"/>
      <c r="E792" s="13"/>
      <c r="F792" s="5"/>
      <c r="G792" s="11" t="str">
        <f>IF(ISERROR(AVERAGE(F$13:F792)),"n/a",AVERAGE(F$13:F792))</f>
        <v>n/a</v>
      </c>
      <c r="H792" s="11" t="str">
        <f t="shared" si="103"/>
        <v>n/a</v>
      </c>
      <c r="J792" s="5"/>
      <c r="K792" s="5"/>
      <c r="L792" s="5"/>
      <c r="M792" s="5"/>
      <c r="N792" s="5"/>
      <c r="O792" s="8" t="str">
        <f t="shared" si="101"/>
        <v>n/a</v>
      </c>
      <c r="Q792" s="5"/>
      <c r="R792" s="5"/>
      <c r="S792" s="5"/>
      <c r="U792" s="6"/>
      <c r="V792" s="9" t="str">
        <f t="shared" si="104"/>
        <v/>
      </c>
      <c r="W792" s="9" t="str">
        <f t="shared" si="105"/>
        <v/>
      </c>
      <c r="X792" s="10">
        <f>SUM(V$13:V792)/COUNTA(B$13:B792)</f>
        <v>0</v>
      </c>
      <c r="Z792" s="5"/>
      <c r="AA792" s="5"/>
      <c r="AC792" s="7"/>
      <c r="AE792" s="54" t="e">
        <f t="shared" si="106"/>
        <v>#N/A</v>
      </c>
      <c r="AF792" s="4" t="e">
        <f t="shared" si="102"/>
        <v>#N/A</v>
      </c>
    </row>
    <row r="793" spans="2:32">
      <c r="B793" s="5">
        <f t="shared" si="107"/>
        <v>781</v>
      </c>
      <c r="C793" s="5"/>
      <c r="E793" s="13"/>
      <c r="F793" s="5"/>
      <c r="G793" s="11" t="str">
        <f>IF(ISERROR(AVERAGE(F$13:F793)),"n/a",AVERAGE(F$13:F793))</f>
        <v>n/a</v>
      </c>
      <c r="H793" s="11" t="str">
        <f t="shared" si="103"/>
        <v>n/a</v>
      </c>
      <c r="J793" s="5"/>
      <c r="K793" s="5"/>
      <c r="L793" s="5"/>
      <c r="M793" s="5"/>
      <c r="N793" s="5"/>
      <c r="O793" s="8" t="str">
        <f t="shared" si="101"/>
        <v>n/a</v>
      </c>
      <c r="Q793" s="5"/>
      <c r="R793" s="5"/>
      <c r="S793" s="5"/>
      <c r="U793" s="6"/>
      <c r="V793" s="9" t="str">
        <f t="shared" si="104"/>
        <v/>
      </c>
      <c r="W793" s="9" t="str">
        <f t="shared" si="105"/>
        <v/>
      </c>
      <c r="X793" s="10">
        <f>SUM(V$13:V793)/COUNTA(B$13:B793)</f>
        <v>0</v>
      </c>
      <c r="Z793" s="5"/>
      <c r="AA793" s="5"/>
      <c r="AC793" s="7"/>
      <c r="AE793" s="54" t="e">
        <f t="shared" si="106"/>
        <v>#N/A</v>
      </c>
      <c r="AF793" s="4" t="e">
        <f t="shared" si="102"/>
        <v>#N/A</v>
      </c>
    </row>
    <row r="794" spans="2:32">
      <c r="B794" s="5">
        <f t="shared" si="107"/>
        <v>782</v>
      </c>
      <c r="C794" s="5"/>
      <c r="E794" s="13"/>
      <c r="F794" s="5"/>
      <c r="G794" s="11" t="str">
        <f>IF(ISERROR(AVERAGE(F$13:F794)),"n/a",AVERAGE(F$13:F794))</f>
        <v>n/a</v>
      </c>
      <c r="H794" s="11" t="str">
        <f t="shared" si="103"/>
        <v>n/a</v>
      </c>
      <c r="J794" s="5"/>
      <c r="K794" s="5"/>
      <c r="L794" s="5"/>
      <c r="M794" s="5"/>
      <c r="N794" s="5"/>
      <c r="O794" s="8" t="str">
        <f t="shared" si="101"/>
        <v>n/a</v>
      </c>
      <c r="Q794" s="5"/>
      <c r="R794" s="5"/>
      <c r="S794" s="5"/>
      <c r="U794" s="6"/>
      <c r="V794" s="9" t="str">
        <f t="shared" si="104"/>
        <v/>
      </c>
      <c r="W794" s="9" t="str">
        <f t="shared" si="105"/>
        <v/>
      </c>
      <c r="X794" s="10">
        <f>SUM(V$13:V794)/COUNTA(B$13:B794)</f>
        <v>0</v>
      </c>
      <c r="Z794" s="5"/>
      <c r="AA794" s="5"/>
      <c r="AC794" s="7"/>
      <c r="AE794" s="54" t="e">
        <f t="shared" si="106"/>
        <v>#N/A</v>
      </c>
      <c r="AF794" s="4" t="e">
        <f t="shared" si="102"/>
        <v>#N/A</v>
      </c>
    </row>
    <row r="795" spans="2:32">
      <c r="B795" s="5">
        <f t="shared" si="107"/>
        <v>783</v>
      </c>
      <c r="C795" s="5"/>
      <c r="E795" s="13"/>
      <c r="F795" s="5"/>
      <c r="G795" s="11" t="str">
        <f>IF(ISERROR(AVERAGE(F$13:F795)),"n/a",AVERAGE(F$13:F795))</f>
        <v>n/a</v>
      </c>
      <c r="H795" s="11" t="str">
        <f t="shared" si="103"/>
        <v>n/a</v>
      </c>
      <c r="J795" s="5"/>
      <c r="K795" s="5"/>
      <c r="L795" s="5"/>
      <c r="M795" s="5"/>
      <c r="N795" s="5"/>
      <c r="O795" s="8" t="str">
        <f t="shared" si="101"/>
        <v>n/a</v>
      </c>
      <c r="Q795" s="5"/>
      <c r="R795" s="5"/>
      <c r="S795" s="5"/>
      <c r="U795" s="6"/>
      <c r="V795" s="9" t="str">
        <f t="shared" si="104"/>
        <v/>
      </c>
      <c r="W795" s="9" t="str">
        <f t="shared" si="105"/>
        <v/>
      </c>
      <c r="X795" s="10">
        <f>SUM(V$13:V795)/COUNTA(B$13:B795)</f>
        <v>0</v>
      </c>
      <c r="Z795" s="5"/>
      <c r="AA795" s="5"/>
      <c r="AC795" s="7"/>
      <c r="AE795" s="54" t="e">
        <f t="shared" si="106"/>
        <v>#N/A</v>
      </c>
      <c r="AF795" s="4" t="e">
        <f t="shared" si="102"/>
        <v>#N/A</v>
      </c>
    </row>
    <row r="796" spans="2:32">
      <c r="B796" s="5">
        <f t="shared" si="107"/>
        <v>784</v>
      </c>
      <c r="C796" s="5"/>
      <c r="E796" s="13"/>
      <c r="F796" s="5"/>
      <c r="G796" s="11" t="str">
        <f>IF(ISERROR(AVERAGE(F$13:F796)),"n/a",AVERAGE(F$13:F796))</f>
        <v>n/a</v>
      </c>
      <c r="H796" s="11" t="str">
        <f t="shared" si="103"/>
        <v>n/a</v>
      </c>
      <c r="J796" s="5"/>
      <c r="K796" s="5"/>
      <c r="L796" s="5"/>
      <c r="M796" s="5"/>
      <c r="N796" s="5"/>
      <c r="O796" s="8" t="str">
        <f t="shared" si="101"/>
        <v>n/a</v>
      </c>
      <c r="Q796" s="5"/>
      <c r="R796" s="5"/>
      <c r="S796" s="5"/>
      <c r="U796" s="6"/>
      <c r="V796" s="9" t="str">
        <f t="shared" si="104"/>
        <v/>
      </c>
      <c r="W796" s="9" t="str">
        <f t="shared" si="105"/>
        <v/>
      </c>
      <c r="X796" s="10">
        <f>SUM(V$13:V796)/COUNTA(B$13:B796)</f>
        <v>0</v>
      </c>
      <c r="Z796" s="5"/>
      <c r="AA796" s="5"/>
      <c r="AC796" s="7"/>
      <c r="AE796" s="54" t="e">
        <f t="shared" si="106"/>
        <v>#N/A</v>
      </c>
      <c r="AF796" s="4" t="e">
        <f t="shared" si="102"/>
        <v>#N/A</v>
      </c>
    </row>
    <row r="797" spans="2:32">
      <c r="B797" s="5">
        <f t="shared" si="107"/>
        <v>785</v>
      </c>
      <c r="C797" s="5"/>
      <c r="E797" s="13"/>
      <c r="F797" s="5"/>
      <c r="G797" s="11" t="str">
        <f>IF(ISERROR(AVERAGE(F$13:F797)),"n/a",AVERAGE(F$13:F797))</f>
        <v>n/a</v>
      </c>
      <c r="H797" s="11" t="str">
        <f t="shared" si="103"/>
        <v>n/a</v>
      </c>
      <c r="J797" s="5"/>
      <c r="K797" s="5"/>
      <c r="L797" s="5"/>
      <c r="M797" s="5"/>
      <c r="N797" s="5"/>
      <c r="O797" s="8" t="str">
        <f t="shared" si="101"/>
        <v>n/a</v>
      </c>
      <c r="Q797" s="5"/>
      <c r="R797" s="5"/>
      <c r="S797" s="5"/>
      <c r="U797" s="6"/>
      <c r="V797" s="9" t="str">
        <f t="shared" si="104"/>
        <v/>
      </c>
      <c r="W797" s="9" t="str">
        <f t="shared" si="105"/>
        <v/>
      </c>
      <c r="X797" s="10">
        <f>SUM(V$13:V797)/COUNTA(B$13:B797)</f>
        <v>0</v>
      </c>
      <c r="Z797" s="5"/>
      <c r="AA797" s="5"/>
      <c r="AC797" s="7"/>
      <c r="AE797" s="54" t="e">
        <f t="shared" si="106"/>
        <v>#N/A</v>
      </c>
      <c r="AF797" s="4" t="e">
        <f t="shared" si="102"/>
        <v>#N/A</v>
      </c>
    </row>
    <row r="798" spans="2:32">
      <c r="B798" s="5">
        <f t="shared" si="107"/>
        <v>786</v>
      </c>
      <c r="C798" s="5"/>
      <c r="E798" s="13"/>
      <c r="F798" s="5"/>
      <c r="G798" s="11" t="str">
        <f>IF(ISERROR(AVERAGE(F$13:F798)),"n/a",AVERAGE(F$13:F798))</f>
        <v>n/a</v>
      </c>
      <c r="H798" s="11" t="str">
        <f t="shared" si="103"/>
        <v>n/a</v>
      </c>
      <c r="J798" s="5"/>
      <c r="K798" s="5"/>
      <c r="L798" s="5"/>
      <c r="M798" s="5"/>
      <c r="N798" s="5"/>
      <c r="O798" s="8" t="str">
        <f t="shared" si="101"/>
        <v>n/a</v>
      </c>
      <c r="Q798" s="5"/>
      <c r="R798" s="5"/>
      <c r="S798" s="5"/>
      <c r="U798" s="6"/>
      <c r="V798" s="9" t="str">
        <f t="shared" si="104"/>
        <v/>
      </c>
      <c r="W798" s="9" t="str">
        <f t="shared" si="105"/>
        <v/>
      </c>
      <c r="X798" s="10">
        <f>SUM(V$13:V798)/COUNTA(B$13:B798)</f>
        <v>0</v>
      </c>
      <c r="Z798" s="5"/>
      <c r="AA798" s="5"/>
      <c r="AC798" s="7"/>
      <c r="AE798" s="54" t="e">
        <f t="shared" si="106"/>
        <v>#N/A</v>
      </c>
      <c r="AF798" s="4" t="e">
        <f t="shared" si="102"/>
        <v>#N/A</v>
      </c>
    </row>
    <row r="799" spans="2:32">
      <c r="B799" s="5">
        <f t="shared" si="107"/>
        <v>787</v>
      </c>
      <c r="C799" s="5"/>
      <c r="E799" s="13"/>
      <c r="F799" s="5"/>
      <c r="G799" s="11" t="str">
        <f>IF(ISERROR(AVERAGE(F$13:F799)),"n/a",AVERAGE(F$13:F799))</f>
        <v>n/a</v>
      </c>
      <c r="H799" s="11" t="str">
        <f t="shared" si="103"/>
        <v>n/a</v>
      </c>
      <c r="J799" s="5"/>
      <c r="K799" s="5"/>
      <c r="L799" s="5"/>
      <c r="M799" s="5"/>
      <c r="N799" s="5"/>
      <c r="O799" s="8" t="str">
        <f t="shared" si="101"/>
        <v>n/a</v>
      </c>
      <c r="Q799" s="5"/>
      <c r="R799" s="5"/>
      <c r="S799" s="5"/>
      <c r="U799" s="6"/>
      <c r="V799" s="9" t="str">
        <f t="shared" si="104"/>
        <v/>
      </c>
      <c r="W799" s="9" t="str">
        <f t="shared" si="105"/>
        <v/>
      </c>
      <c r="X799" s="10">
        <f>SUM(V$13:V799)/COUNTA(B$13:B799)</f>
        <v>0</v>
      </c>
      <c r="Z799" s="5"/>
      <c r="AA799" s="5"/>
      <c r="AC799" s="7"/>
      <c r="AE799" s="54" t="e">
        <f t="shared" si="106"/>
        <v>#N/A</v>
      </c>
      <c r="AF799" s="4" t="e">
        <f t="shared" si="102"/>
        <v>#N/A</v>
      </c>
    </row>
    <row r="800" spans="2:32">
      <c r="B800" s="5">
        <f t="shared" si="107"/>
        <v>788</v>
      </c>
      <c r="C800" s="5"/>
      <c r="E800" s="13"/>
      <c r="F800" s="5"/>
      <c r="G800" s="11" t="str">
        <f>IF(ISERROR(AVERAGE(F$13:F800)),"n/a",AVERAGE(F$13:F800))</f>
        <v>n/a</v>
      </c>
      <c r="H800" s="11" t="str">
        <f t="shared" si="103"/>
        <v>n/a</v>
      </c>
      <c r="J800" s="5"/>
      <c r="K800" s="5"/>
      <c r="L800" s="5"/>
      <c r="M800" s="5"/>
      <c r="N800" s="5"/>
      <c r="O800" s="8" t="str">
        <f t="shared" si="101"/>
        <v>n/a</v>
      </c>
      <c r="Q800" s="5"/>
      <c r="R800" s="5"/>
      <c r="S800" s="5"/>
      <c r="U800" s="6"/>
      <c r="V800" s="9" t="str">
        <f t="shared" si="104"/>
        <v/>
      </c>
      <c r="W800" s="9" t="str">
        <f t="shared" si="105"/>
        <v/>
      </c>
      <c r="X800" s="10">
        <f>SUM(V$13:V800)/COUNTA(B$13:B800)</f>
        <v>0</v>
      </c>
      <c r="Z800" s="5"/>
      <c r="AA800" s="5"/>
      <c r="AC800" s="7"/>
      <c r="AE800" s="54" t="e">
        <f t="shared" si="106"/>
        <v>#N/A</v>
      </c>
      <c r="AF800" s="4" t="e">
        <f t="shared" si="102"/>
        <v>#N/A</v>
      </c>
    </row>
    <row r="801" spans="2:32">
      <c r="B801" s="5">
        <f t="shared" si="107"/>
        <v>789</v>
      </c>
      <c r="C801" s="5"/>
      <c r="E801" s="13"/>
      <c r="F801" s="5"/>
      <c r="G801" s="11" t="str">
        <f>IF(ISERROR(AVERAGE(F$13:F801)),"n/a",AVERAGE(F$13:F801))</f>
        <v>n/a</v>
      </c>
      <c r="H801" s="11" t="str">
        <f t="shared" si="103"/>
        <v>n/a</v>
      </c>
      <c r="J801" s="5"/>
      <c r="K801" s="5"/>
      <c r="L801" s="5"/>
      <c r="M801" s="5"/>
      <c r="N801" s="5"/>
      <c r="O801" s="8" t="str">
        <f t="shared" si="101"/>
        <v>n/a</v>
      </c>
      <c r="Q801" s="5"/>
      <c r="R801" s="5"/>
      <c r="S801" s="5"/>
      <c r="U801" s="6"/>
      <c r="V801" s="9" t="str">
        <f t="shared" si="104"/>
        <v/>
      </c>
      <c r="W801" s="9" t="str">
        <f t="shared" si="105"/>
        <v/>
      </c>
      <c r="X801" s="10">
        <f>SUM(V$13:V801)/COUNTA(B$13:B801)</f>
        <v>0</v>
      </c>
      <c r="Z801" s="5"/>
      <c r="AA801" s="5"/>
      <c r="AC801" s="7"/>
      <c r="AE801" s="54" t="e">
        <f t="shared" si="106"/>
        <v>#N/A</v>
      </c>
      <c r="AF801" s="4" t="e">
        <f t="shared" si="102"/>
        <v>#N/A</v>
      </c>
    </row>
    <row r="802" spans="2:32">
      <c r="B802" s="5">
        <f t="shared" si="107"/>
        <v>790</v>
      </c>
      <c r="C802" s="5"/>
      <c r="E802" s="13"/>
      <c r="F802" s="5"/>
      <c r="G802" s="11" t="str">
        <f>IF(ISERROR(AVERAGE(F$13:F802)),"n/a",AVERAGE(F$13:F802))</f>
        <v>n/a</v>
      </c>
      <c r="H802" s="11" t="str">
        <f t="shared" si="103"/>
        <v>n/a</v>
      </c>
      <c r="J802" s="5"/>
      <c r="K802" s="5"/>
      <c r="L802" s="5"/>
      <c r="M802" s="5"/>
      <c r="N802" s="5"/>
      <c r="O802" s="8" t="str">
        <f t="shared" si="101"/>
        <v>n/a</v>
      </c>
      <c r="Q802" s="5"/>
      <c r="R802" s="5"/>
      <c r="S802" s="5"/>
      <c r="U802" s="6"/>
      <c r="V802" s="9" t="str">
        <f t="shared" si="104"/>
        <v/>
      </c>
      <c r="W802" s="9" t="str">
        <f t="shared" si="105"/>
        <v/>
      </c>
      <c r="X802" s="10">
        <f>SUM(V$13:V802)/COUNTA(B$13:B802)</f>
        <v>0</v>
      </c>
      <c r="Z802" s="5"/>
      <c r="AA802" s="5"/>
      <c r="AC802" s="7"/>
      <c r="AE802" s="54" t="e">
        <f t="shared" si="106"/>
        <v>#N/A</v>
      </c>
      <c r="AF802" s="4" t="e">
        <f t="shared" si="102"/>
        <v>#N/A</v>
      </c>
    </row>
    <row r="803" spans="2:32">
      <c r="B803" s="5">
        <f t="shared" si="107"/>
        <v>791</v>
      </c>
      <c r="C803" s="5"/>
      <c r="E803" s="13"/>
      <c r="F803" s="5"/>
      <c r="G803" s="11" t="str">
        <f>IF(ISERROR(AVERAGE(F$13:F803)),"n/a",AVERAGE(F$13:F803))</f>
        <v>n/a</v>
      </c>
      <c r="H803" s="11" t="str">
        <f t="shared" si="103"/>
        <v>n/a</v>
      </c>
      <c r="J803" s="5"/>
      <c r="K803" s="5"/>
      <c r="L803" s="5"/>
      <c r="M803" s="5"/>
      <c r="N803" s="5"/>
      <c r="O803" s="8" t="str">
        <f t="shared" si="101"/>
        <v>n/a</v>
      </c>
      <c r="Q803" s="5"/>
      <c r="R803" s="5"/>
      <c r="S803" s="5"/>
      <c r="U803" s="6"/>
      <c r="V803" s="9" t="str">
        <f t="shared" si="104"/>
        <v/>
      </c>
      <c r="W803" s="9" t="str">
        <f t="shared" si="105"/>
        <v/>
      </c>
      <c r="X803" s="10">
        <f>SUM(V$13:V803)/COUNTA(B$13:B803)</f>
        <v>0</v>
      </c>
      <c r="Z803" s="5"/>
      <c r="AA803" s="5"/>
      <c r="AC803" s="7"/>
      <c r="AE803" s="54" t="e">
        <f t="shared" si="106"/>
        <v>#N/A</v>
      </c>
      <c r="AF803" s="4" t="e">
        <f t="shared" si="102"/>
        <v>#N/A</v>
      </c>
    </row>
    <row r="804" spans="2:32">
      <c r="B804" s="5">
        <f t="shared" si="107"/>
        <v>792</v>
      </c>
      <c r="C804" s="5"/>
      <c r="E804" s="13"/>
      <c r="F804" s="5"/>
      <c r="G804" s="11" t="str">
        <f>IF(ISERROR(AVERAGE(F$13:F804)),"n/a",AVERAGE(F$13:F804))</f>
        <v>n/a</v>
      </c>
      <c r="H804" s="11" t="str">
        <f t="shared" si="103"/>
        <v>n/a</v>
      </c>
      <c r="J804" s="5"/>
      <c r="K804" s="5"/>
      <c r="L804" s="5"/>
      <c r="M804" s="5"/>
      <c r="N804" s="5"/>
      <c r="O804" s="8" t="str">
        <f t="shared" si="101"/>
        <v>n/a</v>
      </c>
      <c r="Q804" s="5"/>
      <c r="R804" s="5"/>
      <c r="S804" s="5"/>
      <c r="U804" s="6"/>
      <c r="V804" s="9" t="str">
        <f t="shared" si="104"/>
        <v/>
      </c>
      <c r="W804" s="9" t="str">
        <f t="shared" si="105"/>
        <v/>
      </c>
      <c r="X804" s="10">
        <f>SUM(V$13:V804)/COUNTA(B$13:B804)</f>
        <v>0</v>
      </c>
      <c r="Z804" s="5"/>
      <c r="AA804" s="5"/>
      <c r="AC804" s="7"/>
      <c r="AE804" s="54" t="e">
        <f t="shared" si="106"/>
        <v>#N/A</v>
      </c>
      <c r="AF804" s="4" t="e">
        <f t="shared" si="102"/>
        <v>#N/A</v>
      </c>
    </row>
    <row r="805" spans="2:32">
      <c r="B805" s="5">
        <f t="shared" si="107"/>
        <v>793</v>
      </c>
      <c r="C805" s="5"/>
      <c r="E805" s="13"/>
      <c r="F805" s="5"/>
      <c r="G805" s="11" t="str">
        <f>IF(ISERROR(AVERAGE(F$13:F805)),"n/a",AVERAGE(F$13:F805))</f>
        <v>n/a</v>
      </c>
      <c r="H805" s="11" t="str">
        <f t="shared" si="103"/>
        <v>n/a</v>
      </c>
      <c r="J805" s="5"/>
      <c r="K805" s="5"/>
      <c r="L805" s="5"/>
      <c r="M805" s="5"/>
      <c r="N805" s="5"/>
      <c r="O805" s="8" t="str">
        <f t="shared" si="101"/>
        <v>n/a</v>
      </c>
      <c r="Q805" s="5"/>
      <c r="R805" s="5"/>
      <c r="S805" s="5"/>
      <c r="U805" s="6"/>
      <c r="V805" s="9" t="str">
        <f t="shared" si="104"/>
        <v/>
      </c>
      <c r="W805" s="9" t="str">
        <f t="shared" si="105"/>
        <v/>
      </c>
      <c r="X805" s="10">
        <f>SUM(V$13:V805)/COUNTA(B$13:B805)</f>
        <v>0</v>
      </c>
      <c r="Z805" s="5"/>
      <c r="AA805" s="5"/>
      <c r="AC805" s="7"/>
      <c r="AE805" s="54" t="e">
        <f t="shared" si="106"/>
        <v>#N/A</v>
      </c>
      <c r="AF805" s="4" t="e">
        <f t="shared" si="102"/>
        <v>#N/A</v>
      </c>
    </row>
    <row r="806" spans="2:32">
      <c r="B806" s="5">
        <f t="shared" si="107"/>
        <v>794</v>
      </c>
      <c r="C806" s="5"/>
      <c r="E806" s="13"/>
      <c r="F806" s="5"/>
      <c r="G806" s="11" t="str">
        <f>IF(ISERROR(AVERAGE(F$13:F806)),"n/a",AVERAGE(F$13:F806))</f>
        <v>n/a</v>
      </c>
      <c r="H806" s="11" t="str">
        <f t="shared" si="103"/>
        <v>n/a</v>
      </c>
      <c r="J806" s="5"/>
      <c r="K806" s="5"/>
      <c r="L806" s="5"/>
      <c r="M806" s="5"/>
      <c r="N806" s="5"/>
      <c r="O806" s="8" t="str">
        <f t="shared" si="101"/>
        <v>n/a</v>
      </c>
      <c r="Q806" s="5"/>
      <c r="R806" s="5"/>
      <c r="S806" s="5"/>
      <c r="U806" s="6"/>
      <c r="V806" s="9" t="str">
        <f t="shared" si="104"/>
        <v/>
      </c>
      <c r="W806" s="9" t="str">
        <f t="shared" si="105"/>
        <v/>
      </c>
      <c r="X806" s="10">
        <f>SUM(V$13:V806)/COUNTA(B$13:B806)</f>
        <v>0</v>
      </c>
      <c r="Z806" s="5"/>
      <c r="AA806" s="5"/>
      <c r="AC806" s="7"/>
      <c r="AE806" s="54" t="e">
        <f t="shared" si="106"/>
        <v>#N/A</v>
      </c>
      <c r="AF806" s="4" t="e">
        <f t="shared" si="102"/>
        <v>#N/A</v>
      </c>
    </row>
    <row r="807" spans="2:32">
      <c r="B807" s="5">
        <f t="shared" si="107"/>
        <v>795</v>
      </c>
      <c r="C807" s="5"/>
      <c r="E807" s="13"/>
      <c r="F807" s="5"/>
      <c r="G807" s="11" t="str">
        <f>IF(ISERROR(AVERAGE(F$13:F807)),"n/a",AVERAGE(F$13:F807))</f>
        <v>n/a</v>
      </c>
      <c r="H807" s="11" t="str">
        <f t="shared" si="103"/>
        <v>n/a</v>
      </c>
      <c r="J807" s="5"/>
      <c r="K807" s="5"/>
      <c r="L807" s="5"/>
      <c r="M807" s="5"/>
      <c r="N807" s="5"/>
      <c r="O807" s="8" t="str">
        <f t="shared" si="101"/>
        <v>n/a</v>
      </c>
      <c r="Q807" s="5"/>
      <c r="R807" s="5"/>
      <c r="S807" s="5"/>
      <c r="U807" s="6"/>
      <c r="V807" s="9" t="str">
        <f t="shared" si="104"/>
        <v/>
      </c>
      <c r="W807" s="9" t="str">
        <f t="shared" si="105"/>
        <v/>
      </c>
      <c r="X807" s="10">
        <f>SUM(V$13:V807)/COUNTA(B$13:B807)</f>
        <v>0</v>
      </c>
      <c r="Z807" s="5"/>
      <c r="AA807" s="5"/>
      <c r="AC807" s="7"/>
      <c r="AE807" s="54" t="e">
        <f t="shared" si="106"/>
        <v>#N/A</v>
      </c>
      <c r="AF807" s="4" t="e">
        <f t="shared" si="102"/>
        <v>#N/A</v>
      </c>
    </row>
    <row r="808" spans="2:32">
      <c r="B808" s="5">
        <f t="shared" si="107"/>
        <v>796</v>
      </c>
      <c r="C808" s="5"/>
      <c r="E808" s="13"/>
      <c r="F808" s="5"/>
      <c r="G808" s="11" t="str">
        <f>IF(ISERROR(AVERAGE(F$13:F808)),"n/a",AVERAGE(F$13:F808))</f>
        <v>n/a</v>
      </c>
      <c r="H808" s="11" t="str">
        <f t="shared" si="103"/>
        <v>n/a</v>
      </c>
      <c r="J808" s="5"/>
      <c r="K808" s="5"/>
      <c r="L808" s="5"/>
      <c r="M808" s="5"/>
      <c r="N808" s="5"/>
      <c r="O808" s="8" t="str">
        <f t="shared" si="101"/>
        <v>n/a</v>
      </c>
      <c r="Q808" s="5"/>
      <c r="R808" s="5"/>
      <c r="S808" s="5"/>
      <c r="U808" s="6"/>
      <c r="V808" s="9" t="str">
        <f t="shared" si="104"/>
        <v/>
      </c>
      <c r="W808" s="9" t="str">
        <f t="shared" si="105"/>
        <v/>
      </c>
      <c r="X808" s="10">
        <f>SUM(V$13:V808)/COUNTA(B$13:B808)</f>
        <v>0</v>
      </c>
      <c r="Z808" s="5"/>
      <c r="AA808" s="5"/>
      <c r="AC808" s="7"/>
      <c r="AE808" s="54" t="e">
        <f t="shared" si="106"/>
        <v>#N/A</v>
      </c>
      <c r="AF808" s="4" t="e">
        <f t="shared" si="102"/>
        <v>#N/A</v>
      </c>
    </row>
    <row r="809" spans="2:32">
      <c r="B809" s="5">
        <f t="shared" si="107"/>
        <v>797</v>
      </c>
      <c r="C809" s="5"/>
      <c r="E809" s="13"/>
      <c r="F809" s="5"/>
      <c r="G809" s="11" t="str">
        <f>IF(ISERROR(AVERAGE(F$13:F809)),"n/a",AVERAGE(F$13:F809))</f>
        <v>n/a</v>
      </c>
      <c r="H809" s="11" t="str">
        <f t="shared" si="103"/>
        <v>n/a</v>
      </c>
      <c r="J809" s="5"/>
      <c r="K809" s="5"/>
      <c r="L809" s="5"/>
      <c r="M809" s="5"/>
      <c r="N809" s="5"/>
      <c r="O809" s="8" t="str">
        <f t="shared" si="101"/>
        <v>n/a</v>
      </c>
      <c r="Q809" s="5"/>
      <c r="R809" s="5"/>
      <c r="S809" s="5"/>
      <c r="U809" s="6"/>
      <c r="V809" s="9" t="str">
        <f t="shared" si="104"/>
        <v/>
      </c>
      <c r="W809" s="9" t="str">
        <f t="shared" si="105"/>
        <v/>
      </c>
      <c r="X809" s="10">
        <f>SUM(V$13:V809)/COUNTA(B$13:B809)</f>
        <v>0</v>
      </c>
      <c r="Z809" s="5"/>
      <c r="AA809" s="5"/>
      <c r="AC809" s="7"/>
      <c r="AE809" s="54" t="e">
        <f t="shared" si="106"/>
        <v>#N/A</v>
      </c>
      <c r="AF809" s="4" t="e">
        <f t="shared" si="102"/>
        <v>#N/A</v>
      </c>
    </row>
    <row r="810" spans="2:32">
      <c r="B810" s="5">
        <f t="shared" si="107"/>
        <v>798</v>
      </c>
      <c r="C810" s="5"/>
      <c r="E810" s="13"/>
      <c r="F810" s="5"/>
      <c r="G810" s="11" t="str">
        <f>IF(ISERROR(AVERAGE(F$13:F810)),"n/a",AVERAGE(F$13:F810))</f>
        <v>n/a</v>
      </c>
      <c r="H810" s="11" t="str">
        <f t="shared" si="103"/>
        <v>n/a</v>
      </c>
      <c r="J810" s="5"/>
      <c r="K810" s="5"/>
      <c r="L810" s="5"/>
      <c r="M810" s="5"/>
      <c r="N810" s="5"/>
      <c r="O810" s="8" t="str">
        <f t="shared" si="101"/>
        <v>n/a</v>
      </c>
      <c r="Q810" s="5"/>
      <c r="R810" s="5"/>
      <c r="S810" s="5"/>
      <c r="U810" s="6"/>
      <c r="V810" s="9" t="str">
        <f t="shared" si="104"/>
        <v/>
      </c>
      <c r="W810" s="9" t="str">
        <f t="shared" si="105"/>
        <v/>
      </c>
      <c r="X810" s="10">
        <f>SUM(V$13:V810)/COUNTA(B$13:B810)</f>
        <v>0</v>
      </c>
      <c r="Z810" s="5"/>
      <c r="AA810" s="5"/>
      <c r="AC810" s="7"/>
      <c r="AE810" s="54" t="e">
        <f t="shared" si="106"/>
        <v>#N/A</v>
      </c>
      <c r="AF810" s="4" t="e">
        <f t="shared" si="102"/>
        <v>#N/A</v>
      </c>
    </row>
    <row r="811" spans="2:32">
      <c r="B811" s="5">
        <f t="shared" si="107"/>
        <v>799</v>
      </c>
      <c r="C811" s="5"/>
      <c r="E811" s="13"/>
      <c r="F811" s="5"/>
      <c r="G811" s="11" t="str">
        <f>IF(ISERROR(AVERAGE(F$13:F811)),"n/a",AVERAGE(F$13:F811))</f>
        <v>n/a</v>
      </c>
      <c r="H811" s="11" t="str">
        <f t="shared" si="103"/>
        <v>n/a</v>
      </c>
      <c r="J811" s="5"/>
      <c r="K811" s="5"/>
      <c r="L811" s="5"/>
      <c r="M811" s="5"/>
      <c r="N811" s="5"/>
      <c r="O811" s="8" t="str">
        <f t="shared" si="101"/>
        <v>n/a</v>
      </c>
      <c r="Q811" s="5"/>
      <c r="R811" s="5"/>
      <c r="S811" s="5"/>
      <c r="U811" s="6"/>
      <c r="V811" s="9" t="str">
        <f t="shared" si="104"/>
        <v/>
      </c>
      <c r="W811" s="9" t="str">
        <f t="shared" si="105"/>
        <v/>
      </c>
      <c r="X811" s="10">
        <f>SUM(V$13:V811)/COUNTA(B$13:B811)</f>
        <v>0</v>
      </c>
      <c r="Z811" s="5"/>
      <c r="AA811" s="5"/>
      <c r="AC811" s="7"/>
      <c r="AE811" s="54" t="e">
        <f t="shared" si="106"/>
        <v>#N/A</v>
      </c>
      <c r="AF811" s="4" t="e">
        <f t="shared" si="102"/>
        <v>#N/A</v>
      </c>
    </row>
    <row r="812" spans="2:32">
      <c r="B812" s="5">
        <f t="shared" si="107"/>
        <v>800</v>
      </c>
      <c r="C812" s="5"/>
      <c r="E812" s="13"/>
      <c r="F812" s="5"/>
      <c r="G812" s="11" t="str">
        <f>IF(ISERROR(AVERAGE(F$13:F812)),"n/a",AVERAGE(F$13:F812))</f>
        <v>n/a</v>
      </c>
      <c r="H812" s="11" t="str">
        <f t="shared" si="103"/>
        <v>n/a</v>
      </c>
      <c r="J812" s="5"/>
      <c r="K812" s="5"/>
      <c r="L812" s="5"/>
      <c r="M812" s="5"/>
      <c r="N812" s="5"/>
      <c r="O812" s="8" t="str">
        <f t="shared" si="101"/>
        <v>n/a</v>
      </c>
      <c r="Q812" s="5"/>
      <c r="R812" s="5"/>
      <c r="S812" s="5"/>
      <c r="U812" s="6"/>
      <c r="V812" s="9" t="str">
        <f t="shared" si="104"/>
        <v/>
      </c>
      <c r="W812" s="9" t="str">
        <f t="shared" si="105"/>
        <v/>
      </c>
      <c r="X812" s="10">
        <f>SUM(V$13:V812)/COUNTA(B$13:B812)</f>
        <v>0</v>
      </c>
      <c r="Z812" s="5"/>
      <c r="AA812" s="5"/>
      <c r="AC812" s="7"/>
      <c r="AE812" s="54" t="e">
        <f t="shared" si="106"/>
        <v>#N/A</v>
      </c>
      <c r="AF812" s="4" t="e">
        <f t="shared" si="102"/>
        <v>#N/A</v>
      </c>
    </row>
    <row r="813" spans="2:32">
      <c r="B813" s="5">
        <f t="shared" si="107"/>
        <v>801</v>
      </c>
      <c r="C813" s="5"/>
      <c r="E813" s="13"/>
      <c r="F813" s="5"/>
      <c r="G813" s="11" t="str">
        <f>IF(ISERROR(AVERAGE(F$13:F813)),"n/a",AVERAGE(F$13:F813))</f>
        <v>n/a</v>
      </c>
      <c r="H813" s="11" t="str">
        <f t="shared" si="103"/>
        <v>n/a</v>
      </c>
      <c r="J813" s="5"/>
      <c r="K813" s="5"/>
      <c r="L813" s="5"/>
      <c r="M813" s="5"/>
      <c r="N813" s="5"/>
      <c r="O813" s="8" t="str">
        <f t="shared" si="101"/>
        <v>n/a</v>
      </c>
      <c r="Q813" s="5"/>
      <c r="R813" s="5"/>
      <c r="S813" s="5"/>
      <c r="U813" s="6"/>
      <c r="V813" s="9" t="str">
        <f t="shared" si="104"/>
        <v/>
      </c>
      <c r="W813" s="9" t="str">
        <f t="shared" si="105"/>
        <v/>
      </c>
      <c r="X813" s="10">
        <f>SUM(V$13:V813)/COUNTA(B$13:B813)</f>
        <v>0</v>
      </c>
      <c r="Z813" s="5"/>
      <c r="AA813" s="5"/>
      <c r="AC813" s="7"/>
      <c r="AE813" s="54" t="e">
        <f t="shared" si="106"/>
        <v>#N/A</v>
      </c>
      <c r="AF813" s="4" t="e">
        <f t="shared" si="102"/>
        <v>#N/A</v>
      </c>
    </row>
    <row r="814" spans="2:32">
      <c r="B814" s="5">
        <f t="shared" si="107"/>
        <v>802</v>
      </c>
      <c r="C814" s="5"/>
      <c r="E814" s="13"/>
      <c r="F814" s="5"/>
      <c r="G814" s="11" t="str">
        <f>IF(ISERROR(AVERAGE(F$13:F814)),"n/a",AVERAGE(F$13:F814))</f>
        <v>n/a</v>
      </c>
      <c r="H814" s="11" t="str">
        <f t="shared" si="103"/>
        <v>n/a</v>
      </c>
      <c r="J814" s="5"/>
      <c r="K814" s="5"/>
      <c r="L814" s="5"/>
      <c r="M814" s="5"/>
      <c r="N814" s="5"/>
      <c r="O814" s="8" t="str">
        <f t="shared" si="101"/>
        <v>n/a</v>
      </c>
      <c r="Q814" s="5"/>
      <c r="R814" s="5"/>
      <c r="S814" s="5"/>
      <c r="U814" s="6"/>
      <c r="V814" s="9" t="str">
        <f t="shared" si="104"/>
        <v/>
      </c>
      <c r="W814" s="9" t="str">
        <f t="shared" si="105"/>
        <v/>
      </c>
      <c r="X814" s="10">
        <f>SUM(V$13:V814)/COUNTA(B$13:B814)</f>
        <v>0</v>
      </c>
      <c r="Z814" s="5"/>
      <c r="AA814" s="5"/>
      <c r="AC814" s="7"/>
      <c r="AE814" s="54" t="e">
        <f t="shared" si="106"/>
        <v>#N/A</v>
      </c>
      <c r="AF814" s="4" t="e">
        <f t="shared" si="102"/>
        <v>#N/A</v>
      </c>
    </row>
    <row r="815" spans="2:32">
      <c r="B815" s="5">
        <f t="shared" si="107"/>
        <v>803</v>
      </c>
      <c r="C815" s="5"/>
      <c r="E815" s="13"/>
      <c r="F815" s="5"/>
      <c r="G815" s="11" t="str">
        <f>IF(ISERROR(AVERAGE(F$13:F815)),"n/a",AVERAGE(F$13:F815))</f>
        <v>n/a</v>
      </c>
      <c r="H815" s="11" t="str">
        <f t="shared" si="103"/>
        <v>n/a</v>
      </c>
      <c r="J815" s="5"/>
      <c r="K815" s="5"/>
      <c r="L815" s="5"/>
      <c r="M815" s="5"/>
      <c r="N815" s="5"/>
      <c r="O815" s="8" t="str">
        <f t="shared" si="101"/>
        <v>n/a</v>
      </c>
      <c r="Q815" s="5"/>
      <c r="R815" s="5"/>
      <c r="S815" s="5"/>
      <c r="U815" s="6"/>
      <c r="V815" s="9" t="str">
        <f t="shared" si="104"/>
        <v/>
      </c>
      <c r="W815" s="9" t="str">
        <f t="shared" si="105"/>
        <v/>
      </c>
      <c r="X815" s="10">
        <f>SUM(V$13:V815)/COUNTA(B$13:B815)</f>
        <v>0</v>
      </c>
      <c r="Z815" s="5"/>
      <c r="AA815" s="5"/>
      <c r="AC815" s="7"/>
      <c r="AE815" s="54" t="e">
        <f t="shared" si="106"/>
        <v>#N/A</v>
      </c>
      <c r="AF815" s="4" t="e">
        <f t="shared" si="102"/>
        <v>#N/A</v>
      </c>
    </row>
    <row r="816" spans="2:32">
      <c r="B816" s="5">
        <f t="shared" si="107"/>
        <v>804</v>
      </c>
      <c r="C816" s="5"/>
      <c r="E816" s="13"/>
      <c r="F816" s="5"/>
      <c r="G816" s="11" t="str">
        <f>IF(ISERROR(AVERAGE(F$13:F816)),"n/a",AVERAGE(F$13:F816))</f>
        <v>n/a</v>
      </c>
      <c r="H816" s="11" t="str">
        <f t="shared" si="103"/>
        <v>n/a</v>
      </c>
      <c r="J816" s="5"/>
      <c r="K816" s="5"/>
      <c r="L816" s="5"/>
      <c r="M816" s="5"/>
      <c r="N816" s="5"/>
      <c r="O816" s="8" t="str">
        <f t="shared" si="101"/>
        <v>n/a</v>
      </c>
      <c r="Q816" s="5"/>
      <c r="R816" s="5"/>
      <c r="S816" s="5"/>
      <c r="U816" s="6"/>
      <c r="V816" s="9" t="str">
        <f t="shared" si="104"/>
        <v/>
      </c>
      <c r="W816" s="9" t="str">
        <f t="shared" si="105"/>
        <v/>
      </c>
      <c r="X816" s="10">
        <f>SUM(V$13:V816)/COUNTA(B$13:B816)</f>
        <v>0</v>
      </c>
      <c r="Z816" s="5"/>
      <c r="AA816" s="5"/>
      <c r="AC816" s="7"/>
      <c r="AE816" s="54" t="e">
        <f t="shared" si="106"/>
        <v>#N/A</v>
      </c>
      <c r="AF816" s="4" t="e">
        <f t="shared" si="102"/>
        <v>#N/A</v>
      </c>
    </row>
    <row r="817" spans="2:32">
      <c r="B817" s="5">
        <f t="shared" si="107"/>
        <v>805</v>
      </c>
      <c r="C817" s="5"/>
      <c r="E817" s="13"/>
      <c r="F817" s="5"/>
      <c r="G817" s="11" t="str">
        <f>IF(ISERROR(AVERAGE(F$13:F817)),"n/a",AVERAGE(F$13:F817))</f>
        <v>n/a</v>
      </c>
      <c r="H817" s="11" t="str">
        <f t="shared" si="103"/>
        <v>n/a</v>
      </c>
      <c r="J817" s="5"/>
      <c r="K817" s="5"/>
      <c r="L817" s="5"/>
      <c r="M817" s="5"/>
      <c r="N817" s="5"/>
      <c r="O817" s="8" t="str">
        <f t="shared" si="101"/>
        <v>n/a</v>
      </c>
      <c r="Q817" s="5"/>
      <c r="R817" s="5"/>
      <c r="S817" s="5"/>
      <c r="U817" s="6"/>
      <c r="V817" s="9" t="str">
        <f t="shared" si="104"/>
        <v/>
      </c>
      <c r="W817" s="9" t="str">
        <f t="shared" si="105"/>
        <v/>
      </c>
      <c r="X817" s="10">
        <f>SUM(V$13:V817)/COUNTA(B$13:B817)</f>
        <v>0</v>
      </c>
      <c r="Z817" s="5"/>
      <c r="AA817" s="5"/>
      <c r="AC817" s="7"/>
      <c r="AE817" s="54" t="e">
        <f t="shared" si="106"/>
        <v>#N/A</v>
      </c>
      <c r="AF817" s="4" t="e">
        <f t="shared" si="102"/>
        <v>#N/A</v>
      </c>
    </row>
    <row r="818" spans="2:32">
      <c r="B818" s="5">
        <f t="shared" si="107"/>
        <v>806</v>
      </c>
      <c r="C818" s="5"/>
      <c r="E818" s="13"/>
      <c r="F818" s="5"/>
      <c r="G818" s="11" t="str">
        <f>IF(ISERROR(AVERAGE(F$13:F818)),"n/a",AVERAGE(F$13:F818))</f>
        <v>n/a</v>
      </c>
      <c r="H818" s="11" t="str">
        <f t="shared" si="103"/>
        <v>n/a</v>
      </c>
      <c r="J818" s="5"/>
      <c r="K818" s="5"/>
      <c r="L818" s="5"/>
      <c r="M818" s="5"/>
      <c r="N818" s="5"/>
      <c r="O818" s="8" t="str">
        <f t="shared" si="101"/>
        <v>n/a</v>
      </c>
      <c r="Q818" s="5"/>
      <c r="R818" s="5"/>
      <c r="S818" s="5"/>
      <c r="U818" s="6"/>
      <c r="V818" s="9" t="str">
        <f t="shared" si="104"/>
        <v/>
      </c>
      <c r="W818" s="9" t="str">
        <f t="shared" si="105"/>
        <v/>
      </c>
      <c r="X818" s="10">
        <f>SUM(V$13:V818)/COUNTA(B$13:B818)</f>
        <v>0</v>
      </c>
      <c r="Z818" s="5"/>
      <c r="AA818" s="5"/>
      <c r="AC818" s="7"/>
      <c r="AE818" s="54" t="e">
        <f t="shared" si="106"/>
        <v>#N/A</v>
      </c>
      <c r="AF818" s="4" t="e">
        <f t="shared" si="102"/>
        <v>#N/A</v>
      </c>
    </row>
    <row r="819" spans="2:32">
      <c r="B819" s="5">
        <f t="shared" si="107"/>
        <v>807</v>
      </c>
      <c r="C819" s="5"/>
      <c r="E819" s="13"/>
      <c r="F819" s="5"/>
      <c r="G819" s="11" t="str">
        <f>IF(ISERROR(AVERAGE(F$13:F819)),"n/a",AVERAGE(F$13:F819))</f>
        <v>n/a</v>
      </c>
      <c r="H819" s="11" t="str">
        <f t="shared" si="103"/>
        <v>n/a</v>
      </c>
      <c r="J819" s="5"/>
      <c r="K819" s="5"/>
      <c r="L819" s="5"/>
      <c r="M819" s="5"/>
      <c r="N819" s="5"/>
      <c r="O819" s="8" t="str">
        <f t="shared" si="101"/>
        <v>n/a</v>
      </c>
      <c r="Q819" s="5"/>
      <c r="R819" s="5"/>
      <c r="S819" s="5"/>
      <c r="U819" s="6"/>
      <c r="V819" s="9" t="str">
        <f t="shared" si="104"/>
        <v/>
      </c>
      <c r="W819" s="9" t="str">
        <f t="shared" si="105"/>
        <v/>
      </c>
      <c r="X819" s="10">
        <f>SUM(V$13:V819)/COUNTA(B$13:B819)</f>
        <v>0</v>
      </c>
      <c r="Z819" s="5"/>
      <c r="AA819" s="5"/>
      <c r="AC819" s="7"/>
      <c r="AE819" s="54" t="e">
        <f t="shared" si="106"/>
        <v>#N/A</v>
      </c>
      <c r="AF819" s="4" t="e">
        <f t="shared" si="102"/>
        <v>#N/A</v>
      </c>
    </row>
    <row r="820" spans="2:32">
      <c r="B820" s="5">
        <f t="shared" si="107"/>
        <v>808</v>
      </c>
      <c r="C820" s="5"/>
      <c r="E820" s="13"/>
      <c r="F820" s="5"/>
      <c r="G820" s="11" t="str">
        <f>IF(ISERROR(AVERAGE(F$13:F820)),"n/a",AVERAGE(F$13:F820))</f>
        <v>n/a</v>
      </c>
      <c r="H820" s="11" t="str">
        <f t="shared" si="103"/>
        <v>n/a</v>
      </c>
      <c r="J820" s="5"/>
      <c r="K820" s="5"/>
      <c r="L820" s="5"/>
      <c r="M820" s="5"/>
      <c r="N820" s="5"/>
      <c r="O820" s="8" t="str">
        <f t="shared" si="101"/>
        <v>n/a</v>
      </c>
      <c r="Q820" s="5"/>
      <c r="R820" s="5"/>
      <c r="S820" s="5"/>
      <c r="U820" s="6"/>
      <c r="V820" s="9" t="str">
        <f t="shared" si="104"/>
        <v/>
      </c>
      <c r="W820" s="9" t="str">
        <f t="shared" si="105"/>
        <v/>
      </c>
      <c r="X820" s="10">
        <f>SUM(V$13:V820)/COUNTA(B$13:B820)</f>
        <v>0</v>
      </c>
      <c r="Z820" s="5"/>
      <c r="AA820" s="5"/>
      <c r="AC820" s="7"/>
      <c r="AE820" s="54" t="e">
        <f t="shared" si="106"/>
        <v>#N/A</v>
      </c>
      <c r="AF820" s="4" t="e">
        <f t="shared" si="102"/>
        <v>#N/A</v>
      </c>
    </row>
    <row r="821" spans="2:32">
      <c r="B821" s="5">
        <f t="shared" si="107"/>
        <v>809</v>
      </c>
      <c r="C821" s="5"/>
      <c r="E821" s="13"/>
      <c r="F821" s="5"/>
      <c r="G821" s="11" t="str">
        <f>IF(ISERROR(AVERAGE(F$13:F821)),"n/a",AVERAGE(F$13:F821))</f>
        <v>n/a</v>
      </c>
      <c r="H821" s="11" t="str">
        <f t="shared" si="103"/>
        <v>n/a</v>
      </c>
      <c r="J821" s="5"/>
      <c r="K821" s="5"/>
      <c r="L821" s="5"/>
      <c r="M821" s="5"/>
      <c r="N821" s="5"/>
      <c r="O821" s="8" t="str">
        <f t="shared" si="101"/>
        <v>n/a</v>
      </c>
      <c r="Q821" s="5"/>
      <c r="R821" s="5"/>
      <c r="S821" s="5"/>
      <c r="U821" s="6"/>
      <c r="V821" s="9" t="str">
        <f t="shared" si="104"/>
        <v/>
      </c>
      <c r="W821" s="9" t="str">
        <f t="shared" si="105"/>
        <v/>
      </c>
      <c r="X821" s="10">
        <f>SUM(V$13:V821)/COUNTA(B$13:B821)</f>
        <v>0</v>
      </c>
      <c r="Z821" s="5"/>
      <c r="AA821" s="5"/>
      <c r="AC821" s="7"/>
      <c r="AE821" s="54" t="e">
        <f t="shared" si="106"/>
        <v>#N/A</v>
      </c>
      <c r="AF821" s="4" t="e">
        <f t="shared" si="102"/>
        <v>#N/A</v>
      </c>
    </row>
    <row r="822" spans="2:32">
      <c r="B822" s="5">
        <f t="shared" si="107"/>
        <v>810</v>
      </c>
      <c r="C822" s="5"/>
      <c r="E822" s="13"/>
      <c r="F822" s="5"/>
      <c r="G822" s="11" t="str">
        <f>IF(ISERROR(AVERAGE(F$13:F822)),"n/a",AVERAGE(F$13:F822))</f>
        <v>n/a</v>
      </c>
      <c r="H822" s="11" t="str">
        <f t="shared" si="103"/>
        <v>n/a</v>
      </c>
      <c r="J822" s="5"/>
      <c r="K822" s="5"/>
      <c r="L822" s="5"/>
      <c r="M822" s="5"/>
      <c r="N822" s="5"/>
      <c r="O822" s="8" t="str">
        <f t="shared" si="101"/>
        <v>n/a</v>
      </c>
      <c r="Q822" s="5"/>
      <c r="R822" s="5"/>
      <c r="S822" s="5"/>
      <c r="U822" s="6"/>
      <c r="V822" s="9" t="str">
        <f t="shared" si="104"/>
        <v/>
      </c>
      <c r="W822" s="9" t="str">
        <f t="shared" si="105"/>
        <v/>
      </c>
      <c r="X822" s="10">
        <f>SUM(V$13:V822)/COUNTA(B$13:B822)</f>
        <v>0</v>
      </c>
      <c r="Z822" s="5"/>
      <c r="AA822" s="5"/>
      <c r="AC822" s="7"/>
      <c r="AE822" s="54" t="e">
        <f t="shared" si="106"/>
        <v>#N/A</v>
      </c>
      <c r="AF822" s="4" t="e">
        <f t="shared" si="102"/>
        <v>#N/A</v>
      </c>
    </row>
    <row r="823" spans="2:32">
      <c r="B823" s="5">
        <f t="shared" si="107"/>
        <v>811</v>
      </c>
      <c r="C823" s="5"/>
      <c r="E823" s="13"/>
      <c r="F823" s="5"/>
      <c r="G823" s="11" t="str">
        <f>IF(ISERROR(AVERAGE(F$13:F823)),"n/a",AVERAGE(F$13:F823))</f>
        <v>n/a</v>
      </c>
      <c r="H823" s="11" t="str">
        <f t="shared" si="103"/>
        <v>n/a</v>
      </c>
      <c r="J823" s="5"/>
      <c r="K823" s="5"/>
      <c r="L823" s="5"/>
      <c r="M823" s="5"/>
      <c r="N823" s="5"/>
      <c r="O823" s="8" t="str">
        <f t="shared" si="101"/>
        <v>n/a</v>
      </c>
      <c r="Q823" s="5"/>
      <c r="R823" s="5"/>
      <c r="S823" s="5"/>
      <c r="U823" s="6"/>
      <c r="V823" s="9" t="str">
        <f t="shared" si="104"/>
        <v/>
      </c>
      <c r="W823" s="9" t="str">
        <f t="shared" si="105"/>
        <v/>
      </c>
      <c r="X823" s="10">
        <f>SUM(V$13:V823)/COUNTA(B$13:B823)</f>
        <v>0</v>
      </c>
      <c r="Z823" s="5"/>
      <c r="AA823" s="5"/>
      <c r="AC823" s="7"/>
      <c r="AE823" s="54" t="e">
        <f t="shared" si="106"/>
        <v>#N/A</v>
      </c>
      <c r="AF823" s="4" t="e">
        <f t="shared" si="102"/>
        <v>#N/A</v>
      </c>
    </row>
    <row r="824" spans="2:32">
      <c r="B824" s="5">
        <f t="shared" si="107"/>
        <v>812</v>
      </c>
      <c r="C824" s="5"/>
      <c r="E824" s="13"/>
      <c r="F824" s="5"/>
      <c r="G824" s="11" t="str">
        <f>IF(ISERROR(AVERAGE(F$13:F824)),"n/a",AVERAGE(F$13:F824))</f>
        <v>n/a</v>
      </c>
      <c r="H824" s="11" t="str">
        <f t="shared" si="103"/>
        <v>n/a</v>
      </c>
      <c r="J824" s="5"/>
      <c r="K824" s="5"/>
      <c r="L824" s="5"/>
      <c r="M824" s="5"/>
      <c r="N824" s="5"/>
      <c r="O824" s="8" t="str">
        <f t="shared" si="101"/>
        <v>n/a</v>
      </c>
      <c r="Q824" s="5"/>
      <c r="R824" s="5"/>
      <c r="S824" s="5"/>
      <c r="U824" s="6"/>
      <c r="V824" s="9" t="str">
        <f t="shared" si="104"/>
        <v/>
      </c>
      <c r="W824" s="9" t="str">
        <f t="shared" si="105"/>
        <v/>
      </c>
      <c r="X824" s="10">
        <f>SUM(V$13:V824)/COUNTA(B$13:B824)</f>
        <v>0</v>
      </c>
      <c r="Z824" s="5"/>
      <c r="AA824" s="5"/>
      <c r="AC824" s="7"/>
      <c r="AE824" s="54" t="e">
        <f t="shared" si="106"/>
        <v>#N/A</v>
      </c>
      <c r="AF824" s="4" t="e">
        <f t="shared" si="102"/>
        <v>#N/A</v>
      </c>
    </row>
    <row r="825" spans="2:32">
      <c r="B825" s="5">
        <f t="shared" si="107"/>
        <v>813</v>
      </c>
      <c r="C825" s="5"/>
      <c r="E825" s="13"/>
      <c r="F825" s="5"/>
      <c r="G825" s="11" t="str">
        <f>IF(ISERROR(AVERAGE(F$13:F825)),"n/a",AVERAGE(F$13:F825))</f>
        <v>n/a</v>
      </c>
      <c r="H825" s="11" t="str">
        <f t="shared" si="103"/>
        <v>n/a</v>
      </c>
      <c r="J825" s="5"/>
      <c r="K825" s="5"/>
      <c r="L825" s="5"/>
      <c r="M825" s="5"/>
      <c r="N825" s="5"/>
      <c r="O825" s="8" t="str">
        <f t="shared" si="101"/>
        <v>n/a</v>
      </c>
      <c r="Q825" s="5"/>
      <c r="R825" s="5"/>
      <c r="S825" s="5"/>
      <c r="U825" s="6"/>
      <c r="V825" s="9" t="str">
        <f t="shared" si="104"/>
        <v/>
      </c>
      <c r="W825" s="9" t="str">
        <f t="shared" si="105"/>
        <v/>
      </c>
      <c r="X825" s="10">
        <f>SUM(V$13:V825)/COUNTA(B$13:B825)</f>
        <v>0</v>
      </c>
      <c r="Z825" s="5"/>
      <c r="AA825" s="5"/>
      <c r="AC825" s="7"/>
      <c r="AE825" s="54" t="e">
        <f t="shared" si="106"/>
        <v>#N/A</v>
      </c>
      <c r="AF825" s="4" t="e">
        <f t="shared" si="102"/>
        <v>#N/A</v>
      </c>
    </row>
    <row r="826" spans="2:32">
      <c r="B826" s="5">
        <f t="shared" si="107"/>
        <v>814</v>
      </c>
      <c r="C826" s="5"/>
      <c r="E826" s="13"/>
      <c r="F826" s="5"/>
      <c r="G826" s="11" t="str">
        <f>IF(ISERROR(AVERAGE(F$13:F826)),"n/a",AVERAGE(F$13:F826))</f>
        <v>n/a</v>
      </c>
      <c r="H826" s="11" t="str">
        <f t="shared" si="103"/>
        <v>n/a</v>
      </c>
      <c r="J826" s="5"/>
      <c r="K826" s="5"/>
      <c r="L826" s="5"/>
      <c r="M826" s="5"/>
      <c r="N826" s="5"/>
      <c r="O826" s="8" t="str">
        <f t="shared" si="101"/>
        <v>n/a</v>
      </c>
      <c r="Q826" s="5"/>
      <c r="R826" s="5"/>
      <c r="S826" s="5"/>
      <c r="U826" s="6"/>
      <c r="V826" s="9" t="str">
        <f t="shared" si="104"/>
        <v/>
      </c>
      <c r="W826" s="9" t="str">
        <f t="shared" si="105"/>
        <v/>
      </c>
      <c r="X826" s="10">
        <f>SUM(V$13:V826)/COUNTA(B$13:B826)</f>
        <v>0</v>
      </c>
      <c r="Z826" s="5"/>
      <c r="AA826" s="5"/>
      <c r="AC826" s="7"/>
      <c r="AE826" s="54" t="e">
        <f t="shared" si="106"/>
        <v>#N/A</v>
      </c>
      <c r="AF826" s="4" t="e">
        <f t="shared" si="102"/>
        <v>#N/A</v>
      </c>
    </row>
    <row r="827" spans="2:32">
      <c r="B827" s="5">
        <f t="shared" si="107"/>
        <v>815</v>
      </c>
      <c r="C827" s="5"/>
      <c r="E827" s="13"/>
      <c r="F827" s="5"/>
      <c r="G827" s="11" t="str">
        <f>IF(ISERROR(AVERAGE(F$13:F827)),"n/a",AVERAGE(F$13:F827))</f>
        <v>n/a</v>
      </c>
      <c r="H827" s="11" t="str">
        <f t="shared" si="103"/>
        <v>n/a</v>
      </c>
      <c r="J827" s="5"/>
      <c r="K827" s="5"/>
      <c r="L827" s="5"/>
      <c r="M827" s="5"/>
      <c r="N827" s="5"/>
      <c r="O827" s="8" t="str">
        <f t="shared" si="101"/>
        <v>n/a</v>
      </c>
      <c r="Q827" s="5"/>
      <c r="R827" s="5"/>
      <c r="S827" s="5"/>
      <c r="U827" s="6"/>
      <c r="V827" s="9" t="str">
        <f t="shared" si="104"/>
        <v/>
      </c>
      <c r="W827" s="9" t="str">
        <f t="shared" si="105"/>
        <v/>
      </c>
      <c r="X827" s="10">
        <f>SUM(V$13:V827)/COUNTA(B$13:B827)</f>
        <v>0</v>
      </c>
      <c r="Z827" s="5"/>
      <c r="AA827" s="5"/>
      <c r="AC827" s="7"/>
      <c r="AE827" s="54" t="e">
        <f t="shared" si="106"/>
        <v>#N/A</v>
      </c>
      <c r="AF827" s="4" t="e">
        <f t="shared" si="102"/>
        <v>#N/A</v>
      </c>
    </row>
    <row r="828" spans="2:32">
      <c r="B828" s="5">
        <f t="shared" si="107"/>
        <v>816</v>
      </c>
      <c r="C828" s="5"/>
      <c r="E828" s="13"/>
      <c r="F828" s="5"/>
      <c r="G828" s="11" t="str">
        <f>IF(ISERROR(AVERAGE(F$13:F828)),"n/a",AVERAGE(F$13:F828))</f>
        <v>n/a</v>
      </c>
      <c r="H828" s="11" t="str">
        <f t="shared" si="103"/>
        <v>n/a</v>
      </c>
      <c r="J828" s="5"/>
      <c r="K828" s="5"/>
      <c r="L828" s="5"/>
      <c r="M828" s="5"/>
      <c r="N828" s="5"/>
      <c r="O828" s="8" t="str">
        <f t="shared" si="101"/>
        <v>n/a</v>
      </c>
      <c r="Q828" s="5"/>
      <c r="R828" s="5"/>
      <c r="S828" s="5"/>
      <c r="U828" s="6"/>
      <c r="V828" s="9" t="str">
        <f t="shared" si="104"/>
        <v/>
      </c>
      <c r="W828" s="9" t="str">
        <f t="shared" si="105"/>
        <v/>
      </c>
      <c r="X828" s="10">
        <f>SUM(V$13:V828)/COUNTA(B$13:B828)</f>
        <v>0</v>
      </c>
      <c r="Z828" s="5"/>
      <c r="AA828" s="5"/>
      <c r="AC828" s="7"/>
      <c r="AE828" s="54" t="e">
        <f t="shared" si="106"/>
        <v>#N/A</v>
      </c>
      <c r="AF828" s="4" t="e">
        <f t="shared" si="102"/>
        <v>#N/A</v>
      </c>
    </row>
    <row r="829" spans="2:32">
      <c r="B829" s="5">
        <f t="shared" si="107"/>
        <v>817</v>
      </c>
      <c r="C829" s="5"/>
      <c r="E829" s="13"/>
      <c r="F829" s="5"/>
      <c r="G829" s="11" t="str">
        <f>IF(ISERROR(AVERAGE(F$13:F829)),"n/a",AVERAGE(F$13:F829))</f>
        <v>n/a</v>
      </c>
      <c r="H829" s="11" t="str">
        <f t="shared" si="103"/>
        <v>n/a</v>
      </c>
      <c r="J829" s="5"/>
      <c r="K829" s="5"/>
      <c r="L829" s="5"/>
      <c r="M829" s="5"/>
      <c r="N829" s="5"/>
      <c r="O829" s="8" t="str">
        <f t="shared" si="101"/>
        <v>n/a</v>
      </c>
      <c r="Q829" s="5"/>
      <c r="R829" s="5"/>
      <c r="S829" s="5"/>
      <c r="U829" s="6"/>
      <c r="V829" s="9" t="str">
        <f t="shared" si="104"/>
        <v/>
      </c>
      <c r="W829" s="9" t="str">
        <f t="shared" si="105"/>
        <v/>
      </c>
      <c r="X829" s="10">
        <f>SUM(V$13:V829)/COUNTA(B$13:B829)</f>
        <v>0</v>
      </c>
      <c r="Z829" s="5"/>
      <c r="AA829" s="5"/>
      <c r="AC829" s="7"/>
      <c r="AE829" s="54" t="e">
        <f t="shared" si="106"/>
        <v>#N/A</v>
      </c>
      <c r="AF829" s="4" t="e">
        <f t="shared" si="102"/>
        <v>#N/A</v>
      </c>
    </row>
    <row r="830" spans="2:32">
      <c r="B830" s="5">
        <f t="shared" si="107"/>
        <v>818</v>
      </c>
      <c r="C830" s="5"/>
      <c r="E830" s="13"/>
      <c r="F830" s="5"/>
      <c r="G830" s="11" t="str">
        <f>IF(ISERROR(AVERAGE(F$13:F830)),"n/a",AVERAGE(F$13:F830))</f>
        <v>n/a</v>
      </c>
      <c r="H830" s="11" t="str">
        <f t="shared" si="103"/>
        <v>n/a</v>
      </c>
      <c r="J830" s="5"/>
      <c r="K830" s="5"/>
      <c r="L830" s="5"/>
      <c r="M830" s="5"/>
      <c r="N830" s="5"/>
      <c r="O830" s="8" t="str">
        <f t="shared" si="101"/>
        <v>n/a</v>
      </c>
      <c r="Q830" s="5"/>
      <c r="R830" s="5"/>
      <c r="S830" s="5"/>
      <c r="U830" s="6"/>
      <c r="V830" s="9" t="str">
        <f t="shared" si="104"/>
        <v/>
      </c>
      <c r="W830" s="9" t="str">
        <f t="shared" si="105"/>
        <v/>
      </c>
      <c r="X830" s="10">
        <f>SUM(V$13:V830)/COUNTA(B$13:B830)</f>
        <v>0</v>
      </c>
      <c r="Z830" s="5"/>
      <c r="AA830" s="5"/>
      <c r="AC830" s="7"/>
      <c r="AE830" s="54" t="e">
        <f t="shared" si="106"/>
        <v>#N/A</v>
      </c>
      <c r="AF830" s="4" t="e">
        <f t="shared" si="102"/>
        <v>#N/A</v>
      </c>
    </row>
    <row r="831" spans="2:32">
      <c r="B831" s="5">
        <f t="shared" si="107"/>
        <v>819</v>
      </c>
      <c r="C831" s="5"/>
      <c r="E831" s="13"/>
      <c r="F831" s="5"/>
      <c r="G831" s="11" t="str">
        <f>IF(ISERROR(AVERAGE(F$13:F831)),"n/a",AVERAGE(F$13:F831))</f>
        <v>n/a</v>
      </c>
      <c r="H831" s="11" t="str">
        <f t="shared" si="103"/>
        <v>n/a</v>
      </c>
      <c r="J831" s="5"/>
      <c r="K831" s="5"/>
      <c r="L831" s="5"/>
      <c r="M831" s="5"/>
      <c r="N831" s="5"/>
      <c r="O831" s="8" t="str">
        <f t="shared" si="101"/>
        <v>n/a</v>
      </c>
      <c r="Q831" s="5"/>
      <c r="R831" s="5"/>
      <c r="S831" s="5"/>
      <c r="U831" s="6"/>
      <c r="V831" s="9" t="str">
        <f t="shared" si="104"/>
        <v/>
      </c>
      <c r="W831" s="9" t="str">
        <f t="shared" si="105"/>
        <v/>
      </c>
      <c r="X831" s="10">
        <f>SUM(V$13:V831)/COUNTA(B$13:B831)</f>
        <v>0</v>
      </c>
      <c r="Z831" s="5"/>
      <c r="AA831" s="5"/>
      <c r="AC831" s="7"/>
      <c r="AE831" s="54" t="e">
        <f t="shared" si="106"/>
        <v>#N/A</v>
      </c>
      <c r="AF831" s="4" t="e">
        <f t="shared" si="102"/>
        <v>#N/A</v>
      </c>
    </row>
    <row r="832" spans="2:32">
      <c r="B832" s="5">
        <f t="shared" si="107"/>
        <v>820</v>
      </c>
      <c r="C832" s="5"/>
      <c r="E832" s="13"/>
      <c r="F832" s="5"/>
      <c r="G832" s="11" t="str">
        <f>IF(ISERROR(AVERAGE(F$13:F832)),"n/a",AVERAGE(F$13:F832))</f>
        <v>n/a</v>
      </c>
      <c r="H832" s="11" t="str">
        <f t="shared" si="103"/>
        <v>n/a</v>
      </c>
      <c r="J832" s="5"/>
      <c r="K832" s="5"/>
      <c r="L832" s="5"/>
      <c r="M832" s="5"/>
      <c r="N832" s="5"/>
      <c r="O832" s="8" t="str">
        <f t="shared" si="101"/>
        <v>n/a</v>
      </c>
      <c r="Q832" s="5"/>
      <c r="R832" s="5"/>
      <c r="S832" s="5"/>
      <c r="U832" s="6"/>
      <c r="V832" s="9" t="str">
        <f t="shared" si="104"/>
        <v/>
      </c>
      <c r="W832" s="9" t="str">
        <f t="shared" si="105"/>
        <v/>
      </c>
      <c r="X832" s="10">
        <f>SUM(V$13:V832)/COUNTA(B$13:B832)</f>
        <v>0</v>
      </c>
      <c r="Z832" s="5"/>
      <c r="AA832" s="5"/>
      <c r="AC832" s="7"/>
      <c r="AE832" s="54" t="e">
        <f t="shared" si="106"/>
        <v>#N/A</v>
      </c>
      <c r="AF832" s="4" t="e">
        <f t="shared" si="102"/>
        <v>#N/A</v>
      </c>
    </row>
    <row r="833" spans="2:32">
      <c r="B833" s="5">
        <f t="shared" si="107"/>
        <v>821</v>
      </c>
      <c r="C833" s="5"/>
      <c r="E833" s="13"/>
      <c r="F833" s="5"/>
      <c r="G833" s="11" t="str">
        <f>IF(ISERROR(AVERAGE(F$13:F833)),"n/a",AVERAGE(F$13:F833))</f>
        <v>n/a</v>
      </c>
      <c r="H833" s="11" t="str">
        <f t="shared" si="103"/>
        <v>n/a</v>
      </c>
      <c r="J833" s="5"/>
      <c r="K833" s="5"/>
      <c r="L833" s="5"/>
      <c r="M833" s="5"/>
      <c r="N833" s="5"/>
      <c r="O833" s="8" t="str">
        <f t="shared" si="101"/>
        <v>n/a</v>
      </c>
      <c r="Q833" s="5"/>
      <c r="R833" s="5"/>
      <c r="S833" s="5"/>
      <c r="U833" s="6"/>
      <c r="V833" s="9" t="str">
        <f t="shared" si="104"/>
        <v/>
      </c>
      <c r="W833" s="9" t="str">
        <f t="shared" si="105"/>
        <v/>
      </c>
      <c r="X833" s="10">
        <f>SUM(V$13:V833)/COUNTA(B$13:B833)</f>
        <v>0</v>
      </c>
      <c r="Z833" s="5"/>
      <c r="AA833" s="5"/>
      <c r="AC833" s="7"/>
      <c r="AE833" s="54" t="e">
        <f t="shared" si="106"/>
        <v>#N/A</v>
      </c>
      <c r="AF833" s="4" t="e">
        <f t="shared" si="102"/>
        <v>#N/A</v>
      </c>
    </row>
    <row r="834" spans="2:32">
      <c r="B834" s="5">
        <f t="shared" si="107"/>
        <v>822</v>
      </c>
      <c r="C834" s="5"/>
      <c r="E834" s="13"/>
      <c r="F834" s="5"/>
      <c r="G834" s="11" t="str">
        <f>IF(ISERROR(AVERAGE(F$13:F834)),"n/a",AVERAGE(F$13:F834))</f>
        <v>n/a</v>
      </c>
      <c r="H834" s="11" t="str">
        <f t="shared" si="103"/>
        <v>n/a</v>
      </c>
      <c r="J834" s="5"/>
      <c r="K834" s="5"/>
      <c r="L834" s="5"/>
      <c r="M834" s="5"/>
      <c r="N834" s="5"/>
      <c r="O834" s="8" t="str">
        <f t="shared" si="101"/>
        <v>n/a</v>
      </c>
      <c r="Q834" s="5"/>
      <c r="R834" s="5"/>
      <c r="S834" s="5"/>
      <c r="U834" s="6"/>
      <c r="V834" s="9" t="str">
        <f t="shared" si="104"/>
        <v/>
      </c>
      <c r="W834" s="9" t="str">
        <f t="shared" si="105"/>
        <v/>
      </c>
      <c r="X834" s="10">
        <f>SUM(V$13:V834)/COUNTA(B$13:B834)</f>
        <v>0</v>
      </c>
      <c r="Z834" s="5"/>
      <c r="AA834" s="5"/>
      <c r="AC834" s="7"/>
      <c r="AE834" s="54" t="e">
        <f t="shared" si="106"/>
        <v>#N/A</v>
      </c>
      <c r="AF834" s="4" t="e">
        <f t="shared" si="102"/>
        <v>#N/A</v>
      </c>
    </row>
    <row r="835" spans="2:32">
      <c r="B835" s="5">
        <f t="shared" si="107"/>
        <v>823</v>
      </c>
      <c r="C835" s="5"/>
      <c r="E835" s="13"/>
      <c r="F835" s="5"/>
      <c r="G835" s="11" t="str">
        <f>IF(ISERROR(AVERAGE(F$13:F835)),"n/a",AVERAGE(F$13:F835))</f>
        <v>n/a</v>
      </c>
      <c r="H835" s="11" t="str">
        <f t="shared" si="103"/>
        <v>n/a</v>
      </c>
      <c r="J835" s="5"/>
      <c r="K835" s="5"/>
      <c r="L835" s="5"/>
      <c r="M835" s="5"/>
      <c r="N835" s="5"/>
      <c r="O835" s="8" t="str">
        <f t="shared" si="101"/>
        <v>n/a</v>
      </c>
      <c r="Q835" s="5"/>
      <c r="R835" s="5"/>
      <c r="S835" s="5"/>
      <c r="U835" s="6"/>
      <c r="V835" s="9" t="str">
        <f t="shared" si="104"/>
        <v/>
      </c>
      <c r="W835" s="9" t="str">
        <f t="shared" si="105"/>
        <v/>
      </c>
      <c r="X835" s="10">
        <f>SUM(V$13:V835)/COUNTA(B$13:B835)</f>
        <v>0</v>
      </c>
      <c r="Z835" s="5"/>
      <c r="AA835" s="5"/>
      <c r="AC835" s="7"/>
      <c r="AE835" s="54" t="e">
        <f t="shared" si="106"/>
        <v>#N/A</v>
      </c>
      <c r="AF835" s="4" t="e">
        <f t="shared" si="102"/>
        <v>#N/A</v>
      </c>
    </row>
    <row r="836" spans="2:32">
      <c r="B836" s="5">
        <f t="shared" si="107"/>
        <v>824</v>
      </c>
      <c r="C836" s="5"/>
      <c r="E836" s="13"/>
      <c r="F836" s="5"/>
      <c r="G836" s="11" t="str">
        <f>IF(ISERROR(AVERAGE(F$13:F836)),"n/a",AVERAGE(F$13:F836))</f>
        <v>n/a</v>
      </c>
      <c r="H836" s="11" t="str">
        <f t="shared" si="103"/>
        <v>n/a</v>
      </c>
      <c r="J836" s="5"/>
      <c r="K836" s="5"/>
      <c r="L836" s="5"/>
      <c r="M836" s="5"/>
      <c r="N836" s="5"/>
      <c r="O836" s="8" t="str">
        <f t="shared" si="101"/>
        <v>n/a</v>
      </c>
      <c r="Q836" s="5"/>
      <c r="R836" s="5"/>
      <c r="S836" s="5"/>
      <c r="U836" s="6"/>
      <c r="V836" s="9" t="str">
        <f t="shared" si="104"/>
        <v/>
      </c>
      <c r="W836" s="9" t="str">
        <f t="shared" si="105"/>
        <v/>
      </c>
      <c r="X836" s="10">
        <f>SUM(V$13:V836)/COUNTA(B$13:B836)</f>
        <v>0</v>
      </c>
      <c r="Z836" s="5"/>
      <c r="AA836" s="5"/>
      <c r="AC836" s="7"/>
      <c r="AE836" s="54" t="e">
        <f t="shared" si="106"/>
        <v>#N/A</v>
      </c>
      <c r="AF836" s="4" t="e">
        <f t="shared" si="102"/>
        <v>#N/A</v>
      </c>
    </row>
    <row r="837" spans="2:32">
      <c r="B837" s="5">
        <f t="shared" si="107"/>
        <v>825</v>
      </c>
      <c r="C837" s="5"/>
      <c r="E837" s="13"/>
      <c r="F837" s="5"/>
      <c r="G837" s="11" t="str">
        <f>IF(ISERROR(AVERAGE(F$13:F837)),"n/a",AVERAGE(F$13:F837))</f>
        <v>n/a</v>
      </c>
      <c r="H837" s="11" t="str">
        <f t="shared" si="103"/>
        <v>n/a</v>
      </c>
      <c r="J837" s="5"/>
      <c r="K837" s="5"/>
      <c r="L837" s="5"/>
      <c r="M837" s="5"/>
      <c r="N837" s="5"/>
      <c r="O837" s="8" t="str">
        <f t="shared" si="101"/>
        <v>n/a</v>
      </c>
      <c r="Q837" s="5"/>
      <c r="R837" s="5"/>
      <c r="S837" s="5"/>
      <c r="U837" s="6"/>
      <c r="V837" s="9" t="str">
        <f t="shared" si="104"/>
        <v/>
      </c>
      <c r="W837" s="9" t="str">
        <f t="shared" si="105"/>
        <v/>
      </c>
      <c r="X837" s="10">
        <f>SUM(V$13:V837)/COUNTA(B$13:B837)</f>
        <v>0</v>
      </c>
      <c r="Z837" s="5"/>
      <c r="AA837" s="5"/>
      <c r="AC837" s="7"/>
      <c r="AE837" s="54" t="e">
        <f t="shared" si="106"/>
        <v>#N/A</v>
      </c>
      <c r="AF837" s="4" t="e">
        <f t="shared" si="102"/>
        <v>#N/A</v>
      </c>
    </row>
    <row r="838" spans="2:32">
      <c r="B838" s="5">
        <f t="shared" si="107"/>
        <v>826</v>
      </c>
      <c r="C838" s="5"/>
      <c r="E838" s="13"/>
      <c r="F838" s="5"/>
      <c r="G838" s="11" t="str">
        <f>IF(ISERROR(AVERAGE(F$13:F838)),"n/a",AVERAGE(F$13:F838))</f>
        <v>n/a</v>
      </c>
      <c r="H838" s="11" t="str">
        <f t="shared" si="103"/>
        <v>n/a</v>
      </c>
      <c r="J838" s="5"/>
      <c r="K838" s="5"/>
      <c r="L838" s="5"/>
      <c r="M838" s="5"/>
      <c r="N838" s="5"/>
      <c r="O838" s="8" t="str">
        <f t="shared" si="101"/>
        <v>n/a</v>
      </c>
      <c r="Q838" s="5"/>
      <c r="R838" s="5"/>
      <c r="S838" s="5"/>
      <c r="U838" s="6"/>
      <c r="V838" s="9" t="str">
        <f t="shared" si="104"/>
        <v/>
      </c>
      <c r="W838" s="9" t="str">
        <f t="shared" si="105"/>
        <v/>
      </c>
      <c r="X838" s="10">
        <f>SUM(V$13:V838)/COUNTA(B$13:B838)</f>
        <v>0</v>
      </c>
      <c r="Z838" s="5"/>
      <c r="AA838" s="5"/>
      <c r="AC838" s="7"/>
      <c r="AE838" s="54" t="e">
        <f t="shared" si="106"/>
        <v>#N/A</v>
      </c>
      <c r="AF838" s="4" t="e">
        <f t="shared" si="102"/>
        <v>#N/A</v>
      </c>
    </row>
    <row r="839" spans="2:32">
      <c r="B839" s="5">
        <f t="shared" si="107"/>
        <v>827</v>
      </c>
      <c r="C839" s="5"/>
      <c r="E839" s="13"/>
      <c r="F839" s="5"/>
      <c r="G839" s="11" t="str">
        <f>IF(ISERROR(AVERAGE(F$13:F839)),"n/a",AVERAGE(F$13:F839))</f>
        <v>n/a</v>
      </c>
      <c r="H839" s="11" t="str">
        <f t="shared" si="103"/>
        <v>n/a</v>
      </c>
      <c r="J839" s="5"/>
      <c r="K839" s="5"/>
      <c r="L839" s="5"/>
      <c r="M839" s="5"/>
      <c r="N839" s="5"/>
      <c r="O839" s="8" t="str">
        <f t="shared" si="101"/>
        <v>n/a</v>
      </c>
      <c r="Q839" s="5"/>
      <c r="R839" s="5"/>
      <c r="S839" s="5"/>
      <c r="U839" s="6"/>
      <c r="V839" s="9" t="str">
        <f t="shared" si="104"/>
        <v/>
      </c>
      <c r="W839" s="9" t="str">
        <f t="shared" si="105"/>
        <v/>
      </c>
      <c r="X839" s="10">
        <f>SUM(V$13:V839)/COUNTA(B$13:B839)</f>
        <v>0</v>
      </c>
      <c r="Z839" s="5"/>
      <c r="AA839" s="5"/>
      <c r="AC839" s="7"/>
      <c r="AE839" s="54" t="e">
        <f t="shared" si="106"/>
        <v>#N/A</v>
      </c>
      <c r="AF839" s="4" t="e">
        <f t="shared" si="102"/>
        <v>#N/A</v>
      </c>
    </row>
    <row r="840" spans="2:32">
      <c r="B840" s="5">
        <f t="shared" si="107"/>
        <v>828</v>
      </c>
      <c r="C840" s="5"/>
      <c r="E840" s="13"/>
      <c r="F840" s="5"/>
      <c r="G840" s="11" t="str">
        <f>IF(ISERROR(AVERAGE(F$13:F840)),"n/a",AVERAGE(F$13:F840))</f>
        <v>n/a</v>
      </c>
      <c r="H840" s="11" t="str">
        <f t="shared" si="103"/>
        <v>n/a</v>
      </c>
      <c r="J840" s="5"/>
      <c r="K840" s="5"/>
      <c r="L840" s="5"/>
      <c r="M840" s="5"/>
      <c r="N840" s="5"/>
      <c r="O840" s="8" t="str">
        <f t="shared" si="101"/>
        <v>n/a</v>
      </c>
      <c r="Q840" s="5"/>
      <c r="R840" s="5"/>
      <c r="S840" s="5"/>
      <c r="U840" s="6"/>
      <c r="V840" s="9" t="str">
        <f t="shared" si="104"/>
        <v/>
      </c>
      <c r="W840" s="9" t="str">
        <f t="shared" si="105"/>
        <v/>
      </c>
      <c r="X840" s="10">
        <f>SUM(V$13:V840)/COUNTA(B$13:B840)</f>
        <v>0</v>
      </c>
      <c r="Z840" s="5"/>
      <c r="AA840" s="5"/>
      <c r="AC840" s="7"/>
      <c r="AE840" s="54" t="e">
        <f t="shared" si="106"/>
        <v>#N/A</v>
      </c>
      <c r="AF840" s="4" t="e">
        <f t="shared" si="102"/>
        <v>#N/A</v>
      </c>
    </row>
    <row r="841" spans="2:32">
      <c r="B841" s="5">
        <f t="shared" si="107"/>
        <v>829</v>
      </c>
      <c r="C841" s="5"/>
      <c r="E841" s="13"/>
      <c r="F841" s="5"/>
      <c r="G841" s="11" t="str">
        <f>IF(ISERROR(AVERAGE(F$13:F841)),"n/a",AVERAGE(F$13:F841))</f>
        <v>n/a</v>
      </c>
      <c r="H841" s="11" t="str">
        <f t="shared" si="103"/>
        <v>n/a</v>
      </c>
      <c r="J841" s="5"/>
      <c r="K841" s="5"/>
      <c r="L841" s="5"/>
      <c r="M841" s="5"/>
      <c r="N841" s="5"/>
      <c r="O841" s="8" t="str">
        <f t="shared" si="101"/>
        <v>n/a</v>
      </c>
      <c r="Q841" s="5"/>
      <c r="R841" s="5"/>
      <c r="S841" s="5"/>
      <c r="U841" s="6"/>
      <c r="V841" s="9" t="str">
        <f t="shared" si="104"/>
        <v/>
      </c>
      <c r="W841" s="9" t="str">
        <f t="shared" si="105"/>
        <v/>
      </c>
      <c r="X841" s="10">
        <f>SUM(V$13:V841)/COUNTA(B$13:B841)</f>
        <v>0</v>
      </c>
      <c r="Z841" s="5"/>
      <c r="AA841" s="5"/>
      <c r="AC841" s="7"/>
      <c r="AE841" s="54" t="e">
        <f t="shared" si="106"/>
        <v>#N/A</v>
      </c>
      <c r="AF841" s="4" t="e">
        <f t="shared" si="102"/>
        <v>#N/A</v>
      </c>
    </row>
    <row r="842" spans="2:32">
      <c r="B842" s="5">
        <f t="shared" si="107"/>
        <v>830</v>
      </c>
      <c r="C842" s="5"/>
      <c r="E842" s="13"/>
      <c r="F842" s="5"/>
      <c r="G842" s="11" t="str">
        <f>IF(ISERROR(AVERAGE(F$13:F842)),"n/a",AVERAGE(F$13:F842))</f>
        <v>n/a</v>
      </c>
      <c r="H842" s="11" t="str">
        <f t="shared" si="103"/>
        <v>n/a</v>
      </c>
      <c r="J842" s="5"/>
      <c r="K842" s="5"/>
      <c r="L842" s="5"/>
      <c r="M842" s="5"/>
      <c r="N842" s="5"/>
      <c r="O842" s="8" t="str">
        <f t="shared" si="101"/>
        <v>n/a</v>
      </c>
      <c r="Q842" s="5"/>
      <c r="R842" s="5"/>
      <c r="S842" s="5"/>
      <c r="U842" s="6"/>
      <c r="V842" s="9" t="str">
        <f t="shared" si="104"/>
        <v/>
      </c>
      <c r="W842" s="9" t="str">
        <f t="shared" si="105"/>
        <v/>
      </c>
      <c r="X842" s="10">
        <f>SUM(V$13:V842)/COUNTA(B$13:B842)</f>
        <v>0</v>
      </c>
      <c r="Z842" s="5"/>
      <c r="AA842" s="5"/>
      <c r="AC842" s="7"/>
      <c r="AE842" s="54" t="e">
        <f t="shared" si="106"/>
        <v>#N/A</v>
      </c>
      <c r="AF842" s="4" t="e">
        <f t="shared" si="102"/>
        <v>#N/A</v>
      </c>
    </row>
    <row r="843" spans="2:32">
      <c r="B843" s="5">
        <f t="shared" si="107"/>
        <v>831</v>
      </c>
      <c r="C843" s="5"/>
      <c r="E843" s="13"/>
      <c r="F843" s="5"/>
      <c r="G843" s="11" t="str">
        <f>IF(ISERROR(AVERAGE(F$13:F843)),"n/a",AVERAGE(F$13:F843))</f>
        <v>n/a</v>
      </c>
      <c r="H843" s="11" t="str">
        <f t="shared" si="103"/>
        <v>n/a</v>
      </c>
      <c r="J843" s="5"/>
      <c r="K843" s="5"/>
      <c r="L843" s="5"/>
      <c r="M843" s="5"/>
      <c r="N843" s="5"/>
      <c r="O843" s="8" t="str">
        <f t="shared" si="101"/>
        <v>n/a</v>
      </c>
      <c r="Q843" s="5"/>
      <c r="R843" s="5"/>
      <c r="S843" s="5"/>
      <c r="U843" s="6"/>
      <c r="V843" s="9" t="str">
        <f t="shared" si="104"/>
        <v/>
      </c>
      <c r="W843" s="9" t="str">
        <f t="shared" si="105"/>
        <v/>
      </c>
      <c r="X843" s="10">
        <f>SUM(V$13:V843)/COUNTA(B$13:B843)</f>
        <v>0</v>
      </c>
      <c r="Z843" s="5"/>
      <c r="AA843" s="5"/>
      <c r="AC843" s="7"/>
      <c r="AE843" s="54" t="e">
        <f t="shared" si="106"/>
        <v>#N/A</v>
      </c>
      <c r="AF843" s="4" t="e">
        <f t="shared" si="102"/>
        <v>#N/A</v>
      </c>
    </row>
    <row r="844" spans="2:32">
      <c r="B844" s="5">
        <f t="shared" si="107"/>
        <v>832</v>
      </c>
      <c r="C844" s="5"/>
      <c r="E844" s="13"/>
      <c r="F844" s="5"/>
      <c r="G844" s="11" t="str">
        <f>IF(ISERROR(AVERAGE(F$13:F844)),"n/a",AVERAGE(F$13:F844))</f>
        <v>n/a</v>
      </c>
      <c r="H844" s="11" t="str">
        <f t="shared" si="103"/>
        <v>n/a</v>
      </c>
      <c r="J844" s="5"/>
      <c r="K844" s="5"/>
      <c r="L844" s="5"/>
      <c r="M844" s="5"/>
      <c r="N844" s="5"/>
      <c r="O844" s="8" t="str">
        <f t="shared" si="101"/>
        <v>n/a</v>
      </c>
      <c r="Q844" s="5"/>
      <c r="R844" s="5"/>
      <c r="S844" s="5"/>
      <c r="U844" s="6"/>
      <c r="V844" s="9" t="str">
        <f t="shared" si="104"/>
        <v/>
      </c>
      <c r="W844" s="9" t="str">
        <f t="shared" si="105"/>
        <v/>
      </c>
      <c r="X844" s="10">
        <f>SUM(V$13:V844)/COUNTA(B$13:B844)</f>
        <v>0</v>
      </c>
      <c r="Z844" s="5"/>
      <c r="AA844" s="5"/>
      <c r="AC844" s="7"/>
      <c r="AE844" s="54" t="e">
        <f t="shared" si="106"/>
        <v>#N/A</v>
      </c>
      <c r="AF844" s="4" t="e">
        <f t="shared" si="102"/>
        <v>#N/A</v>
      </c>
    </row>
    <row r="845" spans="2:32">
      <c r="B845" s="5">
        <f t="shared" si="107"/>
        <v>833</v>
      </c>
      <c r="C845" s="5"/>
      <c r="E845" s="13"/>
      <c r="F845" s="5"/>
      <c r="G845" s="11" t="str">
        <f>IF(ISERROR(AVERAGE(F$13:F845)),"n/a",AVERAGE(F$13:F845))</f>
        <v>n/a</v>
      </c>
      <c r="H845" s="11" t="str">
        <f t="shared" si="103"/>
        <v>n/a</v>
      </c>
      <c r="J845" s="5"/>
      <c r="K845" s="5"/>
      <c r="L845" s="5"/>
      <c r="M845" s="5"/>
      <c r="N845" s="5"/>
      <c r="O845" s="8" t="str">
        <f t="shared" ref="O845:O908" si="108">IF(J845=1,"A",IF(K845=1,"B",IF(L845=1,"C",IF(M845=1,"D",IF(N845=1,"E","n/a")))))</f>
        <v>n/a</v>
      </c>
      <c r="Q845" s="5"/>
      <c r="R845" s="5"/>
      <c r="S845" s="5"/>
      <c r="U845" s="6"/>
      <c r="V845" s="9" t="str">
        <f t="shared" si="104"/>
        <v/>
      </c>
      <c r="W845" s="9" t="str">
        <f t="shared" si="105"/>
        <v/>
      </c>
      <c r="X845" s="10">
        <f>SUM(V$13:V845)/COUNTA(B$13:B845)</f>
        <v>0</v>
      </c>
      <c r="Z845" s="5"/>
      <c r="AA845" s="5"/>
      <c r="AC845" s="7"/>
      <c r="AE845" s="54" t="e">
        <f t="shared" si="106"/>
        <v>#N/A</v>
      </c>
      <c r="AF845" s="4" t="e">
        <f t="shared" ref="AF845:AF908" si="109">HLOOKUP(C845,$K$6:$O$7,2,FALSE)</f>
        <v>#N/A</v>
      </c>
    </row>
    <row r="846" spans="2:32">
      <c r="B846" s="5">
        <f t="shared" si="107"/>
        <v>834</v>
      </c>
      <c r="C846" s="5"/>
      <c r="E846" s="13"/>
      <c r="F846" s="5"/>
      <c r="G846" s="11" t="str">
        <f>IF(ISERROR(AVERAGE(F$13:F846)),"n/a",AVERAGE(F$13:F846))</f>
        <v>n/a</v>
      </c>
      <c r="H846" s="11" t="str">
        <f t="shared" ref="H846:H909" si="110">G846</f>
        <v>n/a</v>
      </c>
      <c r="J846" s="5"/>
      <c r="K846" s="5"/>
      <c r="L846" s="5"/>
      <c r="M846" s="5"/>
      <c r="N846" s="5"/>
      <c r="O846" s="8" t="str">
        <f t="shared" si="108"/>
        <v>n/a</v>
      </c>
      <c r="Q846" s="5"/>
      <c r="R846" s="5"/>
      <c r="S846" s="5"/>
      <c r="U846" s="6"/>
      <c r="V846" s="9" t="str">
        <f t="shared" ref="V846:V909" si="111">IF(O846="n/a","",IF(O846=U846,1,""))</f>
        <v/>
      </c>
      <c r="W846" s="9" t="str">
        <f t="shared" ref="W846:W909" si="112">IF(O846="n/a","",IF(O846&lt;&gt;U846,1,""))</f>
        <v/>
      </c>
      <c r="X846" s="10">
        <f>SUM(V$13:V846)/COUNTA(B$13:B846)</f>
        <v>0</v>
      </c>
      <c r="Z846" s="5"/>
      <c r="AA846" s="5"/>
      <c r="AC846" s="7"/>
      <c r="AE846" s="54" t="e">
        <f t="shared" ref="AE846:AE909" si="113">+IF($F$4=0,0,IF(W846=1,1,IF(OR(R846*$F$8=1,S846*$F$9=1,F846&gt;=AF846),2,0)))</f>
        <v>#N/A</v>
      </c>
      <c r="AF846" s="4" t="e">
        <f t="shared" si="109"/>
        <v>#N/A</v>
      </c>
    </row>
    <row r="847" spans="2:32">
      <c r="B847" s="5">
        <f t="shared" si="107"/>
        <v>835</v>
      </c>
      <c r="C847" s="5"/>
      <c r="E847" s="13"/>
      <c r="F847" s="5"/>
      <c r="G847" s="11" t="str">
        <f>IF(ISERROR(AVERAGE(F$13:F847)),"n/a",AVERAGE(F$13:F847))</f>
        <v>n/a</v>
      </c>
      <c r="H847" s="11" t="str">
        <f t="shared" si="110"/>
        <v>n/a</v>
      </c>
      <c r="J847" s="5"/>
      <c r="K847" s="5"/>
      <c r="L847" s="5"/>
      <c r="M847" s="5"/>
      <c r="N847" s="5"/>
      <c r="O847" s="8" t="str">
        <f t="shared" si="108"/>
        <v>n/a</v>
      </c>
      <c r="Q847" s="5"/>
      <c r="R847" s="5"/>
      <c r="S847" s="5"/>
      <c r="U847" s="6"/>
      <c r="V847" s="9" t="str">
        <f t="shared" si="111"/>
        <v/>
      </c>
      <c r="W847" s="9" t="str">
        <f t="shared" si="112"/>
        <v/>
      </c>
      <c r="X847" s="10">
        <f>SUM(V$13:V847)/COUNTA(B$13:B847)</f>
        <v>0</v>
      </c>
      <c r="Z847" s="5"/>
      <c r="AA847" s="5"/>
      <c r="AC847" s="7"/>
      <c r="AE847" s="54" t="e">
        <f t="shared" si="113"/>
        <v>#N/A</v>
      </c>
      <c r="AF847" s="4" t="e">
        <f t="shared" si="109"/>
        <v>#N/A</v>
      </c>
    </row>
    <row r="848" spans="2:32">
      <c r="B848" s="5">
        <f t="shared" si="107"/>
        <v>836</v>
      </c>
      <c r="C848" s="5"/>
      <c r="E848" s="13"/>
      <c r="F848" s="5"/>
      <c r="G848" s="11" t="str">
        <f>IF(ISERROR(AVERAGE(F$13:F848)),"n/a",AVERAGE(F$13:F848))</f>
        <v>n/a</v>
      </c>
      <c r="H848" s="11" t="str">
        <f t="shared" si="110"/>
        <v>n/a</v>
      </c>
      <c r="J848" s="5"/>
      <c r="K848" s="5"/>
      <c r="L848" s="5"/>
      <c r="M848" s="5"/>
      <c r="N848" s="5"/>
      <c r="O848" s="8" t="str">
        <f t="shared" si="108"/>
        <v>n/a</v>
      </c>
      <c r="Q848" s="5"/>
      <c r="R848" s="5"/>
      <c r="S848" s="5"/>
      <c r="U848" s="6"/>
      <c r="V848" s="9" t="str">
        <f t="shared" si="111"/>
        <v/>
      </c>
      <c r="W848" s="9" t="str">
        <f t="shared" si="112"/>
        <v/>
      </c>
      <c r="X848" s="10">
        <f>SUM(V$13:V848)/COUNTA(B$13:B848)</f>
        <v>0</v>
      </c>
      <c r="Z848" s="5"/>
      <c r="AA848" s="5"/>
      <c r="AC848" s="7"/>
      <c r="AE848" s="54" t="e">
        <f t="shared" si="113"/>
        <v>#N/A</v>
      </c>
      <c r="AF848" s="4" t="e">
        <f t="shared" si="109"/>
        <v>#N/A</v>
      </c>
    </row>
    <row r="849" spans="2:32">
      <c r="B849" s="5">
        <f t="shared" si="107"/>
        <v>837</v>
      </c>
      <c r="C849" s="5"/>
      <c r="E849" s="13"/>
      <c r="F849" s="5"/>
      <c r="G849" s="11" t="str">
        <f>IF(ISERROR(AVERAGE(F$13:F849)),"n/a",AVERAGE(F$13:F849))</f>
        <v>n/a</v>
      </c>
      <c r="H849" s="11" t="str">
        <f t="shared" si="110"/>
        <v>n/a</v>
      </c>
      <c r="J849" s="5"/>
      <c r="K849" s="5"/>
      <c r="L849" s="5"/>
      <c r="M849" s="5"/>
      <c r="N849" s="5"/>
      <c r="O849" s="8" t="str">
        <f t="shared" si="108"/>
        <v>n/a</v>
      </c>
      <c r="Q849" s="5"/>
      <c r="R849" s="5"/>
      <c r="S849" s="5"/>
      <c r="U849" s="6"/>
      <c r="V849" s="9" t="str">
        <f t="shared" si="111"/>
        <v/>
      </c>
      <c r="W849" s="9" t="str">
        <f t="shared" si="112"/>
        <v/>
      </c>
      <c r="X849" s="10">
        <f>SUM(V$13:V849)/COUNTA(B$13:B849)</f>
        <v>0</v>
      </c>
      <c r="Z849" s="5"/>
      <c r="AA849" s="5"/>
      <c r="AC849" s="7"/>
      <c r="AE849" s="54" t="e">
        <f t="shared" si="113"/>
        <v>#N/A</v>
      </c>
      <c r="AF849" s="4" t="e">
        <f t="shared" si="109"/>
        <v>#N/A</v>
      </c>
    </row>
    <row r="850" spans="2:32">
      <c r="B850" s="5">
        <f t="shared" si="107"/>
        <v>838</v>
      </c>
      <c r="C850" s="5"/>
      <c r="E850" s="13"/>
      <c r="F850" s="5"/>
      <c r="G850" s="11" t="str">
        <f>IF(ISERROR(AVERAGE(F$13:F850)),"n/a",AVERAGE(F$13:F850))</f>
        <v>n/a</v>
      </c>
      <c r="H850" s="11" t="str">
        <f t="shared" si="110"/>
        <v>n/a</v>
      </c>
      <c r="J850" s="5"/>
      <c r="K850" s="5"/>
      <c r="L850" s="5"/>
      <c r="M850" s="5"/>
      <c r="N850" s="5"/>
      <c r="O850" s="8" t="str">
        <f t="shared" si="108"/>
        <v>n/a</v>
      </c>
      <c r="Q850" s="5"/>
      <c r="R850" s="5"/>
      <c r="S850" s="5"/>
      <c r="U850" s="6"/>
      <c r="V850" s="9" t="str">
        <f t="shared" si="111"/>
        <v/>
      </c>
      <c r="W850" s="9" t="str">
        <f t="shared" si="112"/>
        <v/>
      </c>
      <c r="X850" s="10">
        <f>SUM(V$13:V850)/COUNTA(B$13:B850)</f>
        <v>0</v>
      </c>
      <c r="Z850" s="5"/>
      <c r="AA850" s="5"/>
      <c r="AC850" s="7"/>
      <c r="AE850" s="54" t="e">
        <f t="shared" si="113"/>
        <v>#N/A</v>
      </c>
      <c r="AF850" s="4" t="e">
        <f t="shared" si="109"/>
        <v>#N/A</v>
      </c>
    </row>
    <row r="851" spans="2:32">
      <c r="B851" s="5">
        <f t="shared" ref="B851:B914" si="114">+B850+1</f>
        <v>839</v>
      </c>
      <c r="C851" s="5"/>
      <c r="E851" s="13"/>
      <c r="F851" s="5"/>
      <c r="G851" s="11" t="str">
        <f>IF(ISERROR(AVERAGE(F$13:F851)),"n/a",AVERAGE(F$13:F851))</f>
        <v>n/a</v>
      </c>
      <c r="H851" s="11" t="str">
        <f t="shared" si="110"/>
        <v>n/a</v>
      </c>
      <c r="J851" s="5"/>
      <c r="K851" s="5"/>
      <c r="L851" s="5"/>
      <c r="M851" s="5"/>
      <c r="N851" s="5"/>
      <c r="O851" s="8" t="str">
        <f t="shared" si="108"/>
        <v>n/a</v>
      </c>
      <c r="Q851" s="5"/>
      <c r="R851" s="5"/>
      <c r="S851" s="5"/>
      <c r="U851" s="6"/>
      <c r="V851" s="9" t="str">
        <f t="shared" si="111"/>
        <v/>
      </c>
      <c r="W851" s="9" t="str">
        <f t="shared" si="112"/>
        <v/>
      </c>
      <c r="X851" s="10">
        <f>SUM(V$13:V851)/COUNTA(B$13:B851)</f>
        <v>0</v>
      </c>
      <c r="Z851" s="5"/>
      <c r="AA851" s="5"/>
      <c r="AC851" s="7"/>
      <c r="AE851" s="54" t="e">
        <f t="shared" si="113"/>
        <v>#N/A</v>
      </c>
      <c r="AF851" s="4" t="e">
        <f t="shared" si="109"/>
        <v>#N/A</v>
      </c>
    </row>
    <row r="852" spans="2:32">
      <c r="B852" s="5">
        <f t="shared" si="114"/>
        <v>840</v>
      </c>
      <c r="C852" s="5"/>
      <c r="E852" s="13"/>
      <c r="F852" s="5"/>
      <c r="G852" s="11" t="str">
        <f>IF(ISERROR(AVERAGE(F$13:F852)),"n/a",AVERAGE(F$13:F852))</f>
        <v>n/a</v>
      </c>
      <c r="H852" s="11" t="str">
        <f t="shared" si="110"/>
        <v>n/a</v>
      </c>
      <c r="J852" s="5"/>
      <c r="K852" s="5"/>
      <c r="L852" s="5"/>
      <c r="M852" s="5"/>
      <c r="N852" s="5"/>
      <c r="O852" s="8" t="str">
        <f t="shared" si="108"/>
        <v>n/a</v>
      </c>
      <c r="Q852" s="5"/>
      <c r="R852" s="5"/>
      <c r="S852" s="5"/>
      <c r="U852" s="6"/>
      <c r="V852" s="9" t="str">
        <f t="shared" si="111"/>
        <v/>
      </c>
      <c r="W852" s="9" t="str">
        <f t="shared" si="112"/>
        <v/>
      </c>
      <c r="X852" s="10">
        <f>SUM(V$13:V852)/COUNTA(B$13:B852)</f>
        <v>0</v>
      </c>
      <c r="Z852" s="5"/>
      <c r="AA852" s="5"/>
      <c r="AC852" s="7"/>
      <c r="AE852" s="54" t="e">
        <f t="shared" si="113"/>
        <v>#N/A</v>
      </c>
      <c r="AF852" s="4" t="e">
        <f t="shared" si="109"/>
        <v>#N/A</v>
      </c>
    </row>
    <row r="853" spans="2:32">
      <c r="B853" s="5">
        <f t="shared" si="114"/>
        <v>841</v>
      </c>
      <c r="C853" s="5"/>
      <c r="E853" s="13"/>
      <c r="F853" s="5"/>
      <c r="G853" s="11" t="str">
        <f>IF(ISERROR(AVERAGE(F$13:F853)),"n/a",AVERAGE(F$13:F853))</f>
        <v>n/a</v>
      </c>
      <c r="H853" s="11" t="str">
        <f t="shared" si="110"/>
        <v>n/a</v>
      </c>
      <c r="J853" s="5"/>
      <c r="K853" s="5"/>
      <c r="L853" s="5"/>
      <c r="M853" s="5"/>
      <c r="N853" s="5"/>
      <c r="O853" s="8" t="str">
        <f t="shared" si="108"/>
        <v>n/a</v>
      </c>
      <c r="Q853" s="5"/>
      <c r="R853" s="5"/>
      <c r="S853" s="5"/>
      <c r="U853" s="6"/>
      <c r="V853" s="9" t="str">
        <f t="shared" si="111"/>
        <v/>
      </c>
      <c r="W853" s="9" t="str">
        <f t="shared" si="112"/>
        <v/>
      </c>
      <c r="X853" s="10">
        <f>SUM(V$13:V853)/COUNTA(B$13:B853)</f>
        <v>0</v>
      </c>
      <c r="Z853" s="5"/>
      <c r="AA853" s="5"/>
      <c r="AC853" s="7"/>
      <c r="AE853" s="54" t="e">
        <f t="shared" si="113"/>
        <v>#N/A</v>
      </c>
      <c r="AF853" s="4" t="e">
        <f t="shared" si="109"/>
        <v>#N/A</v>
      </c>
    </row>
    <row r="854" spans="2:32">
      <c r="B854" s="5">
        <f t="shared" si="114"/>
        <v>842</v>
      </c>
      <c r="C854" s="5"/>
      <c r="E854" s="13"/>
      <c r="F854" s="5"/>
      <c r="G854" s="11" t="str">
        <f>IF(ISERROR(AVERAGE(F$13:F854)),"n/a",AVERAGE(F$13:F854))</f>
        <v>n/a</v>
      </c>
      <c r="H854" s="11" t="str">
        <f t="shared" si="110"/>
        <v>n/a</v>
      </c>
      <c r="J854" s="5"/>
      <c r="K854" s="5"/>
      <c r="L854" s="5"/>
      <c r="M854" s="5"/>
      <c r="N854" s="5"/>
      <c r="O854" s="8" t="str">
        <f t="shared" si="108"/>
        <v>n/a</v>
      </c>
      <c r="Q854" s="5"/>
      <c r="R854" s="5"/>
      <c r="S854" s="5"/>
      <c r="U854" s="6"/>
      <c r="V854" s="9" t="str">
        <f t="shared" si="111"/>
        <v/>
      </c>
      <c r="W854" s="9" t="str">
        <f t="shared" si="112"/>
        <v/>
      </c>
      <c r="X854" s="10">
        <f>SUM(V$13:V854)/COUNTA(B$13:B854)</f>
        <v>0</v>
      </c>
      <c r="Z854" s="5"/>
      <c r="AA854" s="5"/>
      <c r="AC854" s="7"/>
      <c r="AE854" s="54" t="e">
        <f t="shared" si="113"/>
        <v>#N/A</v>
      </c>
      <c r="AF854" s="4" t="e">
        <f t="shared" si="109"/>
        <v>#N/A</v>
      </c>
    </row>
    <row r="855" spans="2:32">
      <c r="B855" s="5">
        <f t="shared" si="114"/>
        <v>843</v>
      </c>
      <c r="C855" s="5"/>
      <c r="E855" s="13"/>
      <c r="F855" s="5"/>
      <c r="G855" s="11" t="str">
        <f>IF(ISERROR(AVERAGE(F$13:F855)),"n/a",AVERAGE(F$13:F855))</f>
        <v>n/a</v>
      </c>
      <c r="H855" s="11" t="str">
        <f t="shared" si="110"/>
        <v>n/a</v>
      </c>
      <c r="J855" s="5"/>
      <c r="K855" s="5"/>
      <c r="L855" s="5"/>
      <c r="M855" s="5"/>
      <c r="N855" s="5"/>
      <c r="O855" s="8" t="str">
        <f t="shared" si="108"/>
        <v>n/a</v>
      </c>
      <c r="Q855" s="5"/>
      <c r="R855" s="5"/>
      <c r="S855" s="5"/>
      <c r="U855" s="6"/>
      <c r="V855" s="9" t="str">
        <f t="shared" si="111"/>
        <v/>
      </c>
      <c r="W855" s="9" t="str">
        <f t="shared" si="112"/>
        <v/>
      </c>
      <c r="X855" s="10">
        <f>SUM(V$13:V855)/COUNTA(B$13:B855)</f>
        <v>0</v>
      </c>
      <c r="Z855" s="5"/>
      <c r="AA855" s="5"/>
      <c r="AC855" s="7"/>
      <c r="AE855" s="54" t="e">
        <f t="shared" si="113"/>
        <v>#N/A</v>
      </c>
      <c r="AF855" s="4" t="e">
        <f t="shared" si="109"/>
        <v>#N/A</v>
      </c>
    </row>
    <row r="856" spans="2:32">
      <c r="B856" s="5">
        <f t="shared" si="114"/>
        <v>844</v>
      </c>
      <c r="C856" s="5"/>
      <c r="E856" s="13"/>
      <c r="F856" s="5"/>
      <c r="G856" s="11" t="str">
        <f>IF(ISERROR(AVERAGE(F$13:F856)),"n/a",AVERAGE(F$13:F856))</f>
        <v>n/a</v>
      </c>
      <c r="H856" s="11" t="str">
        <f t="shared" si="110"/>
        <v>n/a</v>
      </c>
      <c r="J856" s="5"/>
      <c r="K856" s="5"/>
      <c r="L856" s="5"/>
      <c r="M856" s="5"/>
      <c r="N856" s="5"/>
      <c r="O856" s="8" t="str">
        <f t="shared" si="108"/>
        <v>n/a</v>
      </c>
      <c r="Q856" s="5"/>
      <c r="R856" s="5"/>
      <c r="S856" s="5"/>
      <c r="U856" s="6"/>
      <c r="V856" s="9" t="str">
        <f t="shared" si="111"/>
        <v/>
      </c>
      <c r="W856" s="9" t="str">
        <f t="shared" si="112"/>
        <v/>
      </c>
      <c r="X856" s="10">
        <f>SUM(V$13:V856)/COUNTA(B$13:B856)</f>
        <v>0</v>
      </c>
      <c r="Z856" s="5"/>
      <c r="AA856" s="5"/>
      <c r="AC856" s="7"/>
      <c r="AE856" s="54" t="e">
        <f t="shared" si="113"/>
        <v>#N/A</v>
      </c>
      <c r="AF856" s="4" t="e">
        <f t="shared" si="109"/>
        <v>#N/A</v>
      </c>
    </row>
    <row r="857" spans="2:32">
      <c r="B857" s="5">
        <f t="shared" si="114"/>
        <v>845</v>
      </c>
      <c r="C857" s="5"/>
      <c r="E857" s="13"/>
      <c r="F857" s="5"/>
      <c r="G857" s="11" t="str">
        <f>IF(ISERROR(AVERAGE(F$13:F857)),"n/a",AVERAGE(F$13:F857))</f>
        <v>n/a</v>
      </c>
      <c r="H857" s="11" t="str">
        <f t="shared" si="110"/>
        <v>n/a</v>
      </c>
      <c r="J857" s="5"/>
      <c r="K857" s="5"/>
      <c r="L857" s="5"/>
      <c r="M857" s="5"/>
      <c r="N857" s="5"/>
      <c r="O857" s="8" t="str">
        <f t="shared" si="108"/>
        <v>n/a</v>
      </c>
      <c r="Q857" s="5"/>
      <c r="R857" s="5"/>
      <c r="S857" s="5"/>
      <c r="U857" s="6"/>
      <c r="V857" s="9" t="str">
        <f t="shared" si="111"/>
        <v/>
      </c>
      <c r="W857" s="9" t="str">
        <f t="shared" si="112"/>
        <v/>
      </c>
      <c r="X857" s="10">
        <f>SUM(V$13:V857)/COUNTA(B$13:B857)</f>
        <v>0</v>
      </c>
      <c r="Z857" s="5"/>
      <c r="AA857" s="5"/>
      <c r="AC857" s="7"/>
      <c r="AE857" s="54" t="e">
        <f t="shared" si="113"/>
        <v>#N/A</v>
      </c>
      <c r="AF857" s="4" t="e">
        <f t="shared" si="109"/>
        <v>#N/A</v>
      </c>
    </row>
    <row r="858" spans="2:32">
      <c r="B858" s="5">
        <f t="shared" si="114"/>
        <v>846</v>
      </c>
      <c r="C858" s="5"/>
      <c r="E858" s="13"/>
      <c r="F858" s="5"/>
      <c r="G858" s="11" t="str">
        <f>IF(ISERROR(AVERAGE(F$13:F858)),"n/a",AVERAGE(F$13:F858))</f>
        <v>n/a</v>
      </c>
      <c r="H858" s="11" t="str">
        <f t="shared" si="110"/>
        <v>n/a</v>
      </c>
      <c r="J858" s="5"/>
      <c r="K858" s="5"/>
      <c r="L858" s="5"/>
      <c r="M858" s="5"/>
      <c r="N858" s="5"/>
      <c r="O858" s="8" t="str">
        <f t="shared" si="108"/>
        <v>n/a</v>
      </c>
      <c r="Q858" s="5"/>
      <c r="R858" s="5"/>
      <c r="S858" s="5"/>
      <c r="U858" s="6"/>
      <c r="V858" s="9" t="str">
        <f t="shared" si="111"/>
        <v/>
      </c>
      <c r="W858" s="9" t="str">
        <f t="shared" si="112"/>
        <v/>
      </c>
      <c r="X858" s="10">
        <f>SUM(V$13:V858)/COUNTA(B$13:B858)</f>
        <v>0</v>
      </c>
      <c r="Z858" s="5"/>
      <c r="AA858" s="5"/>
      <c r="AC858" s="7"/>
      <c r="AE858" s="54" t="e">
        <f t="shared" si="113"/>
        <v>#N/A</v>
      </c>
      <c r="AF858" s="4" t="e">
        <f t="shared" si="109"/>
        <v>#N/A</v>
      </c>
    </row>
    <row r="859" spans="2:32">
      <c r="B859" s="5">
        <f t="shared" si="114"/>
        <v>847</v>
      </c>
      <c r="C859" s="5"/>
      <c r="E859" s="13"/>
      <c r="F859" s="5"/>
      <c r="G859" s="11" t="str">
        <f>IF(ISERROR(AVERAGE(F$13:F859)),"n/a",AVERAGE(F$13:F859))</f>
        <v>n/a</v>
      </c>
      <c r="H859" s="11" t="str">
        <f t="shared" si="110"/>
        <v>n/a</v>
      </c>
      <c r="J859" s="5"/>
      <c r="K859" s="5"/>
      <c r="L859" s="5"/>
      <c r="M859" s="5"/>
      <c r="N859" s="5"/>
      <c r="O859" s="8" t="str">
        <f t="shared" si="108"/>
        <v>n/a</v>
      </c>
      <c r="Q859" s="5"/>
      <c r="R859" s="5"/>
      <c r="S859" s="5"/>
      <c r="U859" s="6"/>
      <c r="V859" s="9" t="str">
        <f t="shared" si="111"/>
        <v/>
      </c>
      <c r="W859" s="9" t="str">
        <f t="shared" si="112"/>
        <v/>
      </c>
      <c r="X859" s="10">
        <f>SUM(V$13:V859)/COUNTA(B$13:B859)</f>
        <v>0</v>
      </c>
      <c r="Z859" s="5"/>
      <c r="AA859" s="5"/>
      <c r="AC859" s="7"/>
      <c r="AE859" s="54" t="e">
        <f t="shared" si="113"/>
        <v>#N/A</v>
      </c>
      <c r="AF859" s="4" t="e">
        <f t="shared" si="109"/>
        <v>#N/A</v>
      </c>
    </row>
    <row r="860" spans="2:32">
      <c r="B860" s="5">
        <f t="shared" si="114"/>
        <v>848</v>
      </c>
      <c r="C860" s="5"/>
      <c r="E860" s="13"/>
      <c r="F860" s="5"/>
      <c r="G860" s="11" t="str">
        <f>IF(ISERROR(AVERAGE(F$13:F860)),"n/a",AVERAGE(F$13:F860))</f>
        <v>n/a</v>
      </c>
      <c r="H860" s="11" t="str">
        <f t="shared" si="110"/>
        <v>n/a</v>
      </c>
      <c r="J860" s="5"/>
      <c r="K860" s="5"/>
      <c r="L860" s="5"/>
      <c r="M860" s="5"/>
      <c r="N860" s="5"/>
      <c r="O860" s="8" t="str">
        <f t="shared" si="108"/>
        <v>n/a</v>
      </c>
      <c r="Q860" s="5"/>
      <c r="R860" s="5"/>
      <c r="S860" s="5"/>
      <c r="U860" s="6"/>
      <c r="V860" s="9" t="str">
        <f t="shared" si="111"/>
        <v/>
      </c>
      <c r="W860" s="9" t="str">
        <f t="shared" si="112"/>
        <v/>
      </c>
      <c r="X860" s="10">
        <f>SUM(V$13:V860)/COUNTA(B$13:B860)</f>
        <v>0</v>
      </c>
      <c r="Z860" s="5"/>
      <c r="AA860" s="5"/>
      <c r="AC860" s="7"/>
      <c r="AE860" s="54" t="e">
        <f t="shared" si="113"/>
        <v>#N/A</v>
      </c>
      <c r="AF860" s="4" t="e">
        <f t="shared" si="109"/>
        <v>#N/A</v>
      </c>
    </row>
    <row r="861" spans="2:32">
      <c r="B861" s="5">
        <f t="shared" si="114"/>
        <v>849</v>
      </c>
      <c r="C861" s="5"/>
      <c r="E861" s="13"/>
      <c r="F861" s="5"/>
      <c r="G861" s="11" t="str">
        <f>IF(ISERROR(AVERAGE(F$13:F861)),"n/a",AVERAGE(F$13:F861))</f>
        <v>n/a</v>
      </c>
      <c r="H861" s="11" t="str">
        <f t="shared" si="110"/>
        <v>n/a</v>
      </c>
      <c r="J861" s="5"/>
      <c r="K861" s="5"/>
      <c r="L861" s="5"/>
      <c r="M861" s="5"/>
      <c r="N861" s="5"/>
      <c r="O861" s="8" t="str">
        <f t="shared" si="108"/>
        <v>n/a</v>
      </c>
      <c r="Q861" s="5"/>
      <c r="R861" s="5"/>
      <c r="S861" s="5"/>
      <c r="U861" s="6"/>
      <c r="V861" s="9" t="str">
        <f t="shared" si="111"/>
        <v/>
      </c>
      <c r="W861" s="9" t="str">
        <f t="shared" si="112"/>
        <v/>
      </c>
      <c r="X861" s="10">
        <f>SUM(V$13:V861)/COUNTA(B$13:B861)</f>
        <v>0</v>
      </c>
      <c r="Z861" s="5"/>
      <c r="AA861" s="5"/>
      <c r="AC861" s="7"/>
      <c r="AE861" s="54" t="e">
        <f t="shared" si="113"/>
        <v>#N/A</v>
      </c>
      <c r="AF861" s="4" t="e">
        <f t="shared" si="109"/>
        <v>#N/A</v>
      </c>
    </row>
    <row r="862" spans="2:32">
      <c r="B862" s="5">
        <f t="shared" si="114"/>
        <v>850</v>
      </c>
      <c r="C862" s="5"/>
      <c r="E862" s="13"/>
      <c r="F862" s="5"/>
      <c r="G862" s="11" t="str">
        <f>IF(ISERROR(AVERAGE(F$13:F862)),"n/a",AVERAGE(F$13:F862))</f>
        <v>n/a</v>
      </c>
      <c r="H862" s="11" t="str">
        <f t="shared" si="110"/>
        <v>n/a</v>
      </c>
      <c r="J862" s="5"/>
      <c r="K862" s="5"/>
      <c r="L862" s="5"/>
      <c r="M862" s="5"/>
      <c r="N862" s="5"/>
      <c r="O862" s="8" t="str">
        <f t="shared" si="108"/>
        <v>n/a</v>
      </c>
      <c r="Q862" s="5"/>
      <c r="R862" s="5"/>
      <c r="S862" s="5"/>
      <c r="U862" s="6"/>
      <c r="V862" s="9" t="str">
        <f t="shared" si="111"/>
        <v/>
      </c>
      <c r="W862" s="9" t="str">
        <f t="shared" si="112"/>
        <v/>
      </c>
      <c r="X862" s="10">
        <f>SUM(V$13:V862)/COUNTA(B$13:B862)</f>
        <v>0</v>
      </c>
      <c r="Z862" s="5"/>
      <c r="AA862" s="5"/>
      <c r="AC862" s="7"/>
      <c r="AE862" s="54" t="e">
        <f t="shared" si="113"/>
        <v>#N/A</v>
      </c>
      <c r="AF862" s="4" t="e">
        <f t="shared" si="109"/>
        <v>#N/A</v>
      </c>
    </row>
    <row r="863" spans="2:32">
      <c r="B863" s="5">
        <f t="shared" si="114"/>
        <v>851</v>
      </c>
      <c r="C863" s="5"/>
      <c r="E863" s="13"/>
      <c r="F863" s="5"/>
      <c r="G863" s="11" t="str">
        <f>IF(ISERROR(AVERAGE(F$13:F863)),"n/a",AVERAGE(F$13:F863))</f>
        <v>n/a</v>
      </c>
      <c r="H863" s="11" t="str">
        <f t="shared" si="110"/>
        <v>n/a</v>
      </c>
      <c r="J863" s="5"/>
      <c r="K863" s="5"/>
      <c r="L863" s="5"/>
      <c r="M863" s="5"/>
      <c r="N863" s="5"/>
      <c r="O863" s="8" t="str">
        <f t="shared" si="108"/>
        <v>n/a</v>
      </c>
      <c r="Q863" s="5"/>
      <c r="R863" s="5"/>
      <c r="S863" s="5"/>
      <c r="U863" s="6"/>
      <c r="V863" s="9" t="str">
        <f t="shared" si="111"/>
        <v/>
      </c>
      <c r="W863" s="9" t="str">
        <f t="shared" si="112"/>
        <v/>
      </c>
      <c r="X863" s="10">
        <f>SUM(V$13:V863)/COUNTA(B$13:B863)</f>
        <v>0</v>
      </c>
      <c r="Z863" s="5"/>
      <c r="AA863" s="5"/>
      <c r="AC863" s="7"/>
      <c r="AE863" s="54" t="e">
        <f t="shared" si="113"/>
        <v>#N/A</v>
      </c>
      <c r="AF863" s="4" t="e">
        <f t="shared" si="109"/>
        <v>#N/A</v>
      </c>
    </row>
    <row r="864" spans="2:32">
      <c r="B864" s="5">
        <f t="shared" si="114"/>
        <v>852</v>
      </c>
      <c r="C864" s="5"/>
      <c r="E864" s="13"/>
      <c r="F864" s="5"/>
      <c r="G864" s="11" t="str">
        <f>IF(ISERROR(AVERAGE(F$13:F864)),"n/a",AVERAGE(F$13:F864))</f>
        <v>n/a</v>
      </c>
      <c r="H864" s="11" t="str">
        <f t="shared" si="110"/>
        <v>n/a</v>
      </c>
      <c r="J864" s="5"/>
      <c r="K864" s="5"/>
      <c r="L864" s="5"/>
      <c r="M864" s="5"/>
      <c r="N864" s="5"/>
      <c r="O864" s="8" t="str">
        <f t="shared" si="108"/>
        <v>n/a</v>
      </c>
      <c r="Q864" s="5"/>
      <c r="R864" s="5"/>
      <c r="S864" s="5"/>
      <c r="U864" s="6"/>
      <c r="V864" s="9" t="str">
        <f t="shared" si="111"/>
        <v/>
      </c>
      <c r="W864" s="9" t="str">
        <f t="shared" si="112"/>
        <v/>
      </c>
      <c r="X864" s="10">
        <f>SUM(V$13:V864)/COUNTA(B$13:B864)</f>
        <v>0</v>
      </c>
      <c r="Z864" s="5"/>
      <c r="AA864" s="5"/>
      <c r="AC864" s="7"/>
      <c r="AE864" s="54" t="e">
        <f t="shared" si="113"/>
        <v>#N/A</v>
      </c>
      <c r="AF864" s="4" t="e">
        <f t="shared" si="109"/>
        <v>#N/A</v>
      </c>
    </row>
    <row r="865" spans="2:32">
      <c r="B865" s="5">
        <f t="shared" si="114"/>
        <v>853</v>
      </c>
      <c r="C865" s="5"/>
      <c r="E865" s="13"/>
      <c r="F865" s="5"/>
      <c r="G865" s="11" t="str">
        <f>IF(ISERROR(AVERAGE(F$13:F865)),"n/a",AVERAGE(F$13:F865))</f>
        <v>n/a</v>
      </c>
      <c r="H865" s="11" t="str">
        <f t="shared" si="110"/>
        <v>n/a</v>
      </c>
      <c r="J865" s="5"/>
      <c r="K865" s="5"/>
      <c r="L865" s="5"/>
      <c r="M865" s="5"/>
      <c r="N865" s="5"/>
      <c r="O865" s="8" t="str">
        <f t="shared" si="108"/>
        <v>n/a</v>
      </c>
      <c r="Q865" s="5"/>
      <c r="R865" s="5"/>
      <c r="S865" s="5"/>
      <c r="U865" s="6"/>
      <c r="V865" s="9" t="str">
        <f t="shared" si="111"/>
        <v/>
      </c>
      <c r="W865" s="9" t="str">
        <f t="shared" si="112"/>
        <v/>
      </c>
      <c r="X865" s="10">
        <f>SUM(V$13:V865)/COUNTA(B$13:B865)</f>
        <v>0</v>
      </c>
      <c r="Z865" s="5"/>
      <c r="AA865" s="5"/>
      <c r="AC865" s="7"/>
      <c r="AE865" s="54" t="e">
        <f t="shared" si="113"/>
        <v>#N/A</v>
      </c>
      <c r="AF865" s="4" t="e">
        <f t="shared" si="109"/>
        <v>#N/A</v>
      </c>
    </row>
    <row r="866" spans="2:32">
      <c r="B866" s="5">
        <f t="shared" si="114"/>
        <v>854</v>
      </c>
      <c r="C866" s="5"/>
      <c r="E866" s="13"/>
      <c r="F866" s="5"/>
      <c r="G866" s="11" t="str">
        <f>IF(ISERROR(AVERAGE(F$13:F866)),"n/a",AVERAGE(F$13:F866))</f>
        <v>n/a</v>
      </c>
      <c r="H866" s="11" t="str">
        <f t="shared" si="110"/>
        <v>n/a</v>
      </c>
      <c r="J866" s="5"/>
      <c r="K866" s="5"/>
      <c r="L866" s="5"/>
      <c r="M866" s="5"/>
      <c r="N866" s="5"/>
      <c r="O866" s="8" t="str">
        <f t="shared" si="108"/>
        <v>n/a</v>
      </c>
      <c r="Q866" s="5"/>
      <c r="R866" s="5"/>
      <c r="S866" s="5"/>
      <c r="U866" s="6"/>
      <c r="V866" s="9" t="str">
        <f t="shared" si="111"/>
        <v/>
      </c>
      <c r="W866" s="9" t="str">
        <f t="shared" si="112"/>
        <v/>
      </c>
      <c r="X866" s="10">
        <f>SUM(V$13:V866)/COUNTA(B$13:B866)</f>
        <v>0</v>
      </c>
      <c r="Z866" s="5"/>
      <c r="AA866" s="5"/>
      <c r="AC866" s="7"/>
      <c r="AE866" s="54" t="e">
        <f t="shared" si="113"/>
        <v>#N/A</v>
      </c>
      <c r="AF866" s="4" t="e">
        <f t="shared" si="109"/>
        <v>#N/A</v>
      </c>
    </row>
    <row r="867" spans="2:32">
      <c r="B867" s="5">
        <f t="shared" si="114"/>
        <v>855</v>
      </c>
      <c r="C867" s="5"/>
      <c r="E867" s="13"/>
      <c r="F867" s="5"/>
      <c r="G867" s="11" t="str">
        <f>IF(ISERROR(AVERAGE(F$13:F867)),"n/a",AVERAGE(F$13:F867))</f>
        <v>n/a</v>
      </c>
      <c r="H867" s="11" t="str">
        <f t="shared" si="110"/>
        <v>n/a</v>
      </c>
      <c r="J867" s="5"/>
      <c r="K867" s="5"/>
      <c r="L867" s="5"/>
      <c r="M867" s="5"/>
      <c r="N867" s="5"/>
      <c r="O867" s="8" t="str">
        <f t="shared" si="108"/>
        <v>n/a</v>
      </c>
      <c r="Q867" s="5"/>
      <c r="R867" s="5"/>
      <c r="S867" s="5"/>
      <c r="U867" s="6"/>
      <c r="V867" s="9" t="str">
        <f t="shared" si="111"/>
        <v/>
      </c>
      <c r="W867" s="9" t="str">
        <f t="shared" si="112"/>
        <v/>
      </c>
      <c r="X867" s="10">
        <f>SUM(V$13:V867)/COUNTA(B$13:B867)</f>
        <v>0</v>
      </c>
      <c r="Z867" s="5"/>
      <c r="AA867" s="5"/>
      <c r="AC867" s="7"/>
      <c r="AE867" s="54" t="e">
        <f t="shared" si="113"/>
        <v>#N/A</v>
      </c>
      <c r="AF867" s="4" t="e">
        <f t="shared" si="109"/>
        <v>#N/A</v>
      </c>
    </row>
    <row r="868" spans="2:32">
      <c r="B868" s="5">
        <f t="shared" si="114"/>
        <v>856</v>
      </c>
      <c r="C868" s="5"/>
      <c r="E868" s="13"/>
      <c r="F868" s="5"/>
      <c r="G868" s="11" t="str">
        <f>IF(ISERROR(AVERAGE(F$13:F868)),"n/a",AVERAGE(F$13:F868))</f>
        <v>n/a</v>
      </c>
      <c r="H868" s="11" t="str">
        <f t="shared" si="110"/>
        <v>n/a</v>
      </c>
      <c r="J868" s="5"/>
      <c r="K868" s="5"/>
      <c r="L868" s="5"/>
      <c r="M868" s="5"/>
      <c r="N868" s="5"/>
      <c r="O868" s="8" t="str">
        <f t="shared" si="108"/>
        <v>n/a</v>
      </c>
      <c r="Q868" s="5"/>
      <c r="R868" s="5"/>
      <c r="S868" s="5"/>
      <c r="U868" s="6"/>
      <c r="V868" s="9" t="str">
        <f t="shared" si="111"/>
        <v/>
      </c>
      <c r="W868" s="9" t="str">
        <f t="shared" si="112"/>
        <v/>
      </c>
      <c r="X868" s="10">
        <f>SUM(V$13:V868)/COUNTA(B$13:B868)</f>
        <v>0</v>
      </c>
      <c r="Z868" s="5"/>
      <c r="AA868" s="5"/>
      <c r="AC868" s="7"/>
      <c r="AE868" s="54" t="e">
        <f t="shared" si="113"/>
        <v>#N/A</v>
      </c>
      <c r="AF868" s="4" t="e">
        <f t="shared" si="109"/>
        <v>#N/A</v>
      </c>
    </row>
    <row r="869" spans="2:32">
      <c r="B869" s="5">
        <f t="shared" si="114"/>
        <v>857</v>
      </c>
      <c r="C869" s="5"/>
      <c r="E869" s="13"/>
      <c r="F869" s="5"/>
      <c r="G869" s="11" t="str">
        <f>IF(ISERROR(AVERAGE(F$13:F869)),"n/a",AVERAGE(F$13:F869))</f>
        <v>n/a</v>
      </c>
      <c r="H869" s="11" t="str">
        <f t="shared" si="110"/>
        <v>n/a</v>
      </c>
      <c r="J869" s="5"/>
      <c r="K869" s="5"/>
      <c r="L869" s="5"/>
      <c r="M869" s="5"/>
      <c r="N869" s="5"/>
      <c r="O869" s="8" t="str">
        <f t="shared" si="108"/>
        <v>n/a</v>
      </c>
      <c r="Q869" s="5"/>
      <c r="R869" s="5"/>
      <c r="S869" s="5"/>
      <c r="U869" s="6"/>
      <c r="V869" s="9" t="str">
        <f t="shared" si="111"/>
        <v/>
      </c>
      <c r="W869" s="9" t="str">
        <f t="shared" si="112"/>
        <v/>
      </c>
      <c r="X869" s="10">
        <f>SUM(V$13:V869)/COUNTA(B$13:B869)</f>
        <v>0</v>
      </c>
      <c r="Z869" s="5"/>
      <c r="AA869" s="5"/>
      <c r="AC869" s="7"/>
      <c r="AE869" s="54" t="e">
        <f t="shared" si="113"/>
        <v>#N/A</v>
      </c>
      <c r="AF869" s="4" t="e">
        <f t="shared" si="109"/>
        <v>#N/A</v>
      </c>
    </row>
    <row r="870" spans="2:32">
      <c r="B870" s="5">
        <f t="shared" si="114"/>
        <v>858</v>
      </c>
      <c r="C870" s="5"/>
      <c r="E870" s="13"/>
      <c r="F870" s="5"/>
      <c r="G870" s="11" t="str">
        <f>IF(ISERROR(AVERAGE(F$13:F870)),"n/a",AVERAGE(F$13:F870))</f>
        <v>n/a</v>
      </c>
      <c r="H870" s="11" t="str">
        <f t="shared" si="110"/>
        <v>n/a</v>
      </c>
      <c r="J870" s="5"/>
      <c r="K870" s="5"/>
      <c r="L870" s="5"/>
      <c r="M870" s="5"/>
      <c r="N870" s="5"/>
      <c r="O870" s="8" t="str">
        <f t="shared" si="108"/>
        <v>n/a</v>
      </c>
      <c r="Q870" s="5"/>
      <c r="R870" s="5"/>
      <c r="S870" s="5"/>
      <c r="U870" s="6"/>
      <c r="V870" s="9" t="str">
        <f t="shared" si="111"/>
        <v/>
      </c>
      <c r="W870" s="9" t="str">
        <f t="shared" si="112"/>
        <v/>
      </c>
      <c r="X870" s="10">
        <f>SUM(V$13:V870)/COUNTA(B$13:B870)</f>
        <v>0</v>
      </c>
      <c r="Z870" s="5"/>
      <c r="AA870" s="5"/>
      <c r="AC870" s="7"/>
      <c r="AE870" s="54" t="e">
        <f t="shared" si="113"/>
        <v>#N/A</v>
      </c>
      <c r="AF870" s="4" t="e">
        <f t="shared" si="109"/>
        <v>#N/A</v>
      </c>
    </row>
    <row r="871" spans="2:32">
      <c r="B871" s="5">
        <f t="shared" si="114"/>
        <v>859</v>
      </c>
      <c r="C871" s="5"/>
      <c r="E871" s="13"/>
      <c r="F871" s="5"/>
      <c r="G871" s="11" t="str">
        <f>IF(ISERROR(AVERAGE(F$13:F871)),"n/a",AVERAGE(F$13:F871))</f>
        <v>n/a</v>
      </c>
      <c r="H871" s="11" t="str">
        <f t="shared" si="110"/>
        <v>n/a</v>
      </c>
      <c r="J871" s="5"/>
      <c r="K871" s="5"/>
      <c r="L871" s="5"/>
      <c r="M871" s="5"/>
      <c r="N871" s="5"/>
      <c r="O871" s="8" t="str">
        <f t="shared" si="108"/>
        <v>n/a</v>
      </c>
      <c r="Q871" s="5"/>
      <c r="R871" s="5"/>
      <c r="S871" s="5"/>
      <c r="U871" s="6"/>
      <c r="V871" s="9" t="str">
        <f t="shared" si="111"/>
        <v/>
      </c>
      <c r="W871" s="9" t="str">
        <f t="shared" si="112"/>
        <v/>
      </c>
      <c r="X871" s="10">
        <f>SUM(V$13:V871)/COUNTA(B$13:B871)</f>
        <v>0</v>
      </c>
      <c r="Z871" s="5"/>
      <c r="AA871" s="5"/>
      <c r="AC871" s="7"/>
      <c r="AE871" s="54" t="e">
        <f t="shared" si="113"/>
        <v>#N/A</v>
      </c>
      <c r="AF871" s="4" t="e">
        <f t="shared" si="109"/>
        <v>#N/A</v>
      </c>
    </row>
    <row r="872" spans="2:32">
      <c r="B872" s="5">
        <f t="shared" si="114"/>
        <v>860</v>
      </c>
      <c r="C872" s="5"/>
      <c r="E872" s="13"/>
      <c r="F872" s="5"/>
      <c r="G872" s="11" t="str">
        <f>IF(ISERROR(AVERAGE(F$13:F872)),"n/a",AVERAGE(F$13:F872))</f>
        <v>n/a</v>
      </c>
      <c r="H872" s="11" t="str">
        <f t="shared" si="110"/>
        <v>n/a</v>
      </c>
      <c r="J872" s="5"/>
      <c r="K872" s="5"/>
      <c r="L872" s="5"/>
      <c r="M872" s="5"/>
      <c r="N872" s="5"/>
      <c r="O872" s="8" t="str">
        <f t="shared" si="108"/>
        <v>n/a</v>
      </c>
      <c r="Q872" s="5"/>
      <c r="R872" s="5"/>
      <c r="S872" s="5"/>
      <c r="U872" s="6"/>
      <c r="V872" s="9" t="str">
        <f t="shared" si="111"/>
        <v/>
      </c>
      <c r="W872" s="9" t="str">
        <f t="shared" si="112"/>
        <v/>
      </c>
      <c r="X872" s="10">
        <f>SUM(V$13:V872)/COUNTA(B$13:B872)</f>
        <v>0</v>
      </c>
      <c r="Z872" s="5"/>
      <c r="AA872" s="5"/>
      <c r="AC872" s="7"/>
      <c r="AE872" s="54" t="e">
        <f t="shared" si="113"/>
        <v>#N/A</v>
      </c>
      <c r="AF872" s="4" t="e">
        <f t="shared" si="109"/>
        <v>#N/A</v>
      </c>
    </row>
    <row r="873" spans="2:32">
      <c r="B873" s="5">
        <f t="shared" si="114"/>
        <v>861</v>
      </c>
      <c r="C873" s="5"/>
      <c r="E873" s="13"/>
      <c r="F873" s="5"/>
      <c r="G873" s="11" t="str">
        <f>IF(ISERROR(AVERAGE(F$13:F873)),"n/a",AVERAGE(F$13:F873))</f>
        <v>n/a</v>
      </c>
      <c r="H873" s="11" t="str">
        <f t="shared" si="110"/>
        <v>n/a</v>
      </c>
      <c r="J873" s="5"/>
      <c r="K873" s="5"/>
      <c r="L873" s="5"/>
      <c r="M873" s="5"/>
      <c r="N873" s="5"/>
      <c r="O873" s="8" t="str">
        <f t="shared" si="108"/>
        <v>n/a</v>
      </c>
      <c r="Q873" s="5"/>
      <c r="R873" s="5"/>
      <c r="S873" s="5"/>
      <c r="U873" s="6"/>
      <c r="V873" s="9" t="str">
        <f t="shared" si="111"/>
        <v/>
      </c>
      <c r="W873" s="9" t="str">
        <f t="shared" si="112"/>
        <v/>
      </c>
      <c r="X873" s="10">
        <f>SUM(V$13:V873)/COUNTA(B$13:B873)</f>
        <v>0</v>
      </c>
      <c r="Z873" s="5"/>
      <c r="AA873" s="5"/>
      <c r="AC873" s="7"/>
      <c r="AE873" s="54" t="e">
        <f t="shared" si="113"/>
        <v>#N/A</v>
      </c>
      <c r="AF873" s="4" t="e">
        <f t="shared" si="109"/>
        <v>#N/A</v>
      </c>
    </row>
    <row r="874" spans="2:32">
      <c r="B874" s="5">
        <f t="shared" si="114"/>
        <v>862</v>
      </c>
      <c r="C874" s="5"/>
      <c r="E874" s="13"/>
      <c r="F874" s="5"/>
      <c r="G874" s="11" t="str">
        <f>IF(ISERROR(AVERAGE(F$13:F874)),"n/a",AVERAGE(F$13:F874))</f>
        <v>n/a</v>
      </c>
      <c r="H874" s="11" t="str">
        <f t="shared" si="110"/>
        <v>n/a</v>
      </c>
      <c r="J874" s="5"/>
      <c r="K874" s="5"/>
      <c r="L874" s="5"/>
      <c r="M874" s="5"/>
      <c r="N874" s="5"/>
      <c r="O874" s="8" t="str">
        <f t="shared" si="108"/>
        <v>n/a</v>
      </c>
      <c r="Q874" s="5"/>
      <c r="R874" s="5"/>
      <c r="S874" s="5"/>
      <c r="U874" s="6"/>
      <c r="V874" s="9" t="str">
        <f t="shared" si="111"/>
        <v/>
      </c>
      <c r="W874" s="9" t="str">
        <f t="shared" si="112"/>
        <v/>
      </c>
      <c r="X874" s="10">
        <f>SUM(V$13:V874)/COUNTA(B$13:B874)</f>
        <v>0</v>
      </c>
      <c r="Z874" s="5"/>
      <c r="AA874" s="5"/>
      <c r="AC874" s="7"/>
      <c r="AE874" s="54" t="e">
        <f t="shared" si="113"/>
        <v>#N/A</v>
      </c>
      <c r="AF874" s="4" t="e">
        <f t="shared" si="109"/>
        <v>#N/A</v>
      </c>
    </row>
    <row r="875" spans="2:32">
      <c r="B875" s="5">
        <f t="shared" si="114"/>
        <v>863</v>
      </c>
      <c r="C875" s="5"/>
      <c r="E875" s="13"/>
      <c r="F875" s="5"/>
      <c r="G875" s="11" t="str">
        <f>IF(ISERROR(AVERAGE(F$13:F875)),"n/a",AVERAGE(F$13:F875))</f>
        <v>n/a</v>
      </c>
      <c r="H875" s="11" t="str">
        <f t="shared" si="110"/>
        <v>n/a</v>
      </c>
      <c r="J875" s="5"/>
      <c r="K875" s="5"/>
      <c r="L875" s="5"/>
      <c r="M875" s="5"/>
      <c r="N875" s="5"/>
      <c r="O875" s="8" t="str">
        <f t="shared" si="108"/>
        <v>n/a</v>
      </c>
      <c r="Q875" s="5"/>
      <c r="R875" s="5"/>
      <c r="S875" s="5"/>
      <c r="U875" s="6"/>
      <c r="V875" s="9" t="str">
        <f t="shared" si="111"/>
        <v/>
      </c>
      <c r="W875" s="9" t="str">
        <f t="shared" si="112"/>
        <v/>
      </c>
      <c r="X875" s="10">
        <f>SUM(V$13:V875)/COUNTA(B$13:B875)</f>
        <v>0</v>
      </c>
      <c r="Z875" s="5"/>
      <c r="AA875" s="5"/>
      <c r="AC875" s="7"/>
      <c r="AE875" s="54" t="e">
        <f t="shared" si="113"/>
        <v>#N/A</v>
      </c>
      <c r="AF875" s="4" t="e">
        <f t="shared" si="109"/>
        <v>#N/A</v>
      </c>
    </row>
    <row r="876" spans="2:32">
      <c r="B876" s="5">
        <f t="shared" si="114"/>
        <v>864</v>
      </c>
      <c r="C876" s="5"/>
      <c r="E876" s="13"/>
      <c r="F876" s="5"/>
      <c r="G876" s="11" t="str">
        <f>IF(ISERROR(AVERAGE(F$13:F876)),"n/a",AVERAGE(F$13:F876))</f>
        <v>n/a</v>
      </c>
      <c r="H876" s="11" t="str">
        <f t="shared" si="110"/>
        <v>n/a</v>
      </c>
      <c r="J876" s="5"/>
      <c r="K876" s="5"/>
      <c r="L876" s="5"/>
      <c r="M876" s="5"/>
      <c r="N876" s="5"/>
      <c r="O876" s="8" t="str">
        <f t="shared" si="108"/>
        <v>n/a</v>
      </c>
      <c r="Q876" s="5"/>
      <c r="R876" s="5"/>
      <c r="S876" s="5"/>
      <c r="U876" s="6"/>
      <c r="V876" s="9" t="str">
        <f t="shared" si="111"/>
        <v/>
      </c>
      <c r="W876" s="9" t="str">
        <f t="shared" si="112"/>
        <v/>
      </c>
      <c r="X876" s="10">
        <f>SUM(V$13:V876)/COUNTA(B$13:B876)</f>
        <v>0</v>
      </c>
      <c r="Z876" s="5"/>
      <c r="AA876" s="5"/>
      <c r="AC876" s="7"/>
      <c r="AE876" s="54" t="e">
        <f t="shared" si="113"/>
        <v>#N/A</v>
      </c>
      <c r="AF876" s="4" t="e">
        <f t="shared" si="109"/>
        <v>#N/A</v>
      </c>
    </row>
    <row r="877" spans="2:32">
      <c r="B877" s="5">
        <f t="shared" si="114"/>
        <v>865</v>
      </c>
      <c r="C877" s="5"/>
      <c r="E877" s="13"/>
      <c r="F877" s="5"/>
      <c r="G877" s="11" t="str">
        <f>IF(ISERROR(AVERAGE(F$13:F877)),"n/a",AVERAGE(F$13:F877))</f>
        <v>n/a</v>
      </c>
      <c r="H877" s="11" t="str">
        <f t="shared" si="110"/>
        <v>n/a</v>
      </c>
      <c r="J877" s="5"/>
      <c r="K877" s="5"/>
      <c r="L877" s="5"/>
      <c r="M877" s="5"/>
      <c r="N877" s="5"/>
      <c r="O877" s="8" t="str">
        <f t="shared" si="108"/>
        <v>n/a</v>
      </c>
      <c r="Q877" s="5"/>
      <c r="R877" s="5"/>
      <c r="S877" s="5"/>
      <c r="U877" s="6"/>
      <c r="V877" s="9" t="str">
        <f t="shared" si="111"/>
        <v/>
      </c>
      <c r="W877" s="9" t="str">
        <f t="shared" si="112"/>
        <v/>
      </c>
      <c r="X877" s="10">
        <f>SUM(V$13:V877)/COUNTA(B$13:B877)</f>
        <v>0</v>
      </c>
      <c r="Z877" s="5"/>
      <c r="AA877" s="5"/>
      <c r="AC877" s="7"/>
      <c r="AE877" s="54" t="e">
        <f t="shared" si="113"/>
        <v>#N/A</v>
      </c>
      <c r="AF877" s="4" t="e">
        <f t="shared" si="109"/>
        <v>#N/A</v>
      </c>
    </row>
    <row r="878" spans="2:32">
      <c r="B878" s="5">
        <f t="shared" si="114"/>
        <v>866</v>
      </c>
      <c r="C878" s="5"/>
      <c r="E878" s="13"/>
      <c r="F878" s="5"/>
      <c r="G878" s="11" t="str">
        <f>IF(ISERROR(AVERAGE(F$13:F878)),"n/a",AVERAGE(F$13:F878))</f>
        <v>n/a</v>
      </c>
      <c r="H878" s="11" t="str">
        <f t="shared" si="110"/>
        <v>n/a</v>
      </c>
      <c r="J878" s="5"/>
      <c r="K878" s="5"/>
      <c r="L878" s="5"/>
      <c r="M878" s="5"/>
      <c r="N878" s="5"/>
      <c r="O878" s="8" t="str">
        <f t="shared" si="108"/>
        <v>n/a</v>
      </c>
      <c r="Q878" s="5"/>
      <c r="R878" s="5"/>
      <c r="S878" s="5"/>
      <c r="U878" s="6"/>
      <c r="V878" s="9" t="str">
        <f t="shared" si="111"/>
        <v/>
      </c>
      <c r="W878" s="9" t="str">
        <f t="shared" si="112"/>
        <v/>
      </c>
      <c r="X878" s="10">
        <f>SUM(V$13:V878)/COUNTA(B$13:B878)</f>
        <v>0</v>
      </c>
      <c r="Z878" s="5"/>
      <c r="AA878" s="5"/>
      <c r="AC878" s="7"/>
      <c r="AE878" s="54" t="e">
        <f t="shared" si="113"/>
        <v>#N/A</v>
      </c>
      <c r="AF878" s="4" t="e">
        <f t="shared" si="109"/>
        <v>#N/A</v>
      </c>
    </row>
    <row r="879" spans="2:32">
      <c r="B879" s="5">
        <f t="shared" si="114"/>
        <v>867</v>
      </c>
      <c r="C879" s="5"/>
      <c r="E879" s="13"/>
      <c r="F879" s="5"/>
      <c r="G879" s="11" t="str">
        <f>IF(ISERROR(AVERAGE(F$13:F879)),"n/a",AVERAGE(F$13:F879))</f>
        <v>n/a</v>
      </c>
      <c r="H879" s="11" t="str">
        <f t="shared" si="110"/>
        <v>n/a</v>
      </c>
      <c r="J879" s="5"/>
      <c r="K879" s="5"/>
      <c r="L879" s="5"/>
      <c r="M879" s="5"/>
      <c r="N879" s="5"/>
      <c r="O879" s="8" t="str">
        <f t="shared" si="108"/>
        <v>n/a</v>
      </c>
      <c r="Q879" s="5"/>
      <c r="R879" s="5"/>
      <c r="S879" s="5"/>
      <c r="U879" s="6"/>
      <c r="V879" s="9" t="str">
        <f t="shared" si="111"/>
        <v/>
      </c>
      <c r="W879" s="9" t="str">
        <f t="shared" si="112"/>
        <v/>
      </c>
      <c r="X879" s="10">
        <f>SUM(V$13:V879)/COUNTA(B$13:B879)</f>
        <v>0</v>
      </c>
      <c r="Z879" s="5"/>
      <c r="AA879" s="5"/>
      <c r="AC879" s="7"/>
      <c r="AE879" s="54" t="e">
        <f t="shared" si="113"/>
        <v>#N/A</v>
      </c>
      <c r="AF879" s="4" t="e">
        <f t="shared" si="109"/>
        <v>#N/A</v>
      </c>
    </row>
    <row r="880" spans="2:32">
      <c r="B880" s="5">
        <f t="shared" si="114"/>
        <v>868</v>
      </c>
      <c r="C880" s="5"/>
      <c r="E880" s="13"/>
      <c r="F880" s="5"/>
      <c r="G880" s="11" t="str">
        <f>IF(ISERROR(AVERAGE(F$13:F880)),"n/a",AVERAGE(F$13:F880))</f>
        <v>n/a</v>
      </c>
      <c r="H880" s="11" t="str">
        <f t="shared" si="110"/>
        <v>n/a</v>
      </c>
      <c r="J880" s="5"/>
      <c r="K880" s="5"/>
      <c r="L880" s="5"/>
      <c r="M880" s="5"/>
      <c r="N880" s="5"/>
      <c r="O880" s="8" t="str">
        <f t="shared" si="108"/>
        <v>n/a</v>
      </c>
      <c r="Q880" s="5"/>
      <c r="R880" s="5"/>
      <c r="S880" s="5"/>
      <c r="U880" s="6"/>
      <c r="V880" s="9" t="str">
        <f t="shared" si="111"/>
        <v/>
      </c>
      <c r="W880" s="9" t="str">
        <f t="shared" si="112"/>
        <v/>
      </c>
      <c r="X880" s="10">
        <f>SUM(V$13:V880)/COUNTA(B$13:B880)</f>
        <v>0</v>
      </c>
      <c r="Z880" s="5"/>
      <c r="AA880" s="5"/>
      <c r="AC880" s="7"/>
      <c r="AE880" s="54" t="e">
        <f t="shared" si="113"/>
        <v>#N/A</v>
      </c>
      <c r="AF880" s="4" t="e">
        <f t="shared" si="109"/>
        <v>#N/A</v>
      </c>
    </row>
    <row r="881" spans="2:32">
      <c r="B881" s="5">
        <f t="shared" si="114"/>
        <v>869</v>
      </c>
      <c r="C881" s="5"/>
      <c r="E881" s="13"/>
      <c r="F881" s="5"/>
      <c r="G881" s="11" t="str">
        <f>IF(ISERROR(AVERAGE(F$13:F881)),"n/a",AVERAGE(F$13:F881))</f>
        <v>n/a</v>
      </c>
      <c r="H881" s="11" t="str">
        <f t="shared" si="110"/>
        <v>n/a</v>
      </c>
      <c r="J881" s="5"/>
      <c r="K881" s="5"/>
      <c r="L881" s="5"/>
      <c r="M881" s="5"/>
      <c r="N881" s="5"/>
      <c r="O881" s="8" t="str">
        <f t="shared" si="108"/>
        <v>n/a</v>
      </c>
      <c r="Q881" s="5"/>
      <c r="R881" s="5"/>
      <c r="S881" s="5"/>
      <c r="U881" s="6"/>
      <c r="V881" s="9" t="str">
        <f t="shared" si="111"/>
        <v/>
      </c>
      <c r="W881" s="9" t="str">
        <f t="shared" si="112"/>
        <v/>
      </c>
      <c r="X881" s="10">
        <f>SUM(V$13:V881)/COUNTA(B$13:B881)</f>
        <v>0</v>
      </c>
      <c r="Z881" s="5"/>
      <c r="AA881" s="5"/>
      <c r="AC881" s="7"/>
      <c r="AE881" s="54" t="e">
        <f t="shared" si="113"/>
        <v>#N/A</v>
      </c>
      <c r="AF881" s="4" t="e">
        <f t="shared" si="109"/>
        <v>#N/A</v>
      </c>
    </row>
    <row r="882" spans="2:32">
      <c r="B882" s="5">
        <f t="shared" si="114"/>
        <v>870</v>
      </c>
      <c r="C882" s="5"/>
      <c r="E882" s="13"/>
      <c r="F882" s="5"/>
      <c r="G882" s="11" t="str">
        <f>IF(ISERROR(AVERAGE(F$13:F882)),"n/a",AVERAGE(F$13:F882))</f>
        <v>n/a</v>
      </c>
      <c r="H882" s="11" t="str">
        <f t="shared" si="110"/>
        <v>n/a</v>
      </c>
      <c r="J882" s="5"/>
      <c r="K882" s="5"/>
      <c r="L882" s="5"/>
      <c r="M882" s="5"/>
      <c r="N882" s="5"/>
      <c r="O882" s="8" t="str">
        <f t="shared" si="108"/>
        <v>n/a</v>
      </c>
      <c r="Q882" s="5"/>
      <c r="R882" s="5"/>
      <c r="S882" s="5"/>
      <c r="U882" s="6"/>
      <c r="V882" s="9" t="str">
        <f t="shared" si="111"/>
        <v/>
      </c>
      <c r="W882" s="9" t="str">
        <f t="shared" si="112"/>
        <v/>
      </c>
      <c r="X882" s="10">
        <f>SUM(V$13:V882)/COUNTA(B$13:B882)</f>
        <v>0</v>
      </c>
      <c r="Z882" s="5"/>
      <c r="AA882" s="5"/>
      <c r="AC882" s="7"/>
      <c r="AE882" s="54" t="e">
        <f t="shared" si="113"/>
        <v>#N/A</v>
      </c>
      <c r="AF882" s="4" t="e">
        <f t="shared" si="109"/>
        <v>#N/A</v>
      </c>
    </row>
    <row r="883" spans="2:32">
      <c r="B883" s="5">
        <f t="shared" si="114"/>
        <v>871</v>
      </c>
      <c r="C883" s="5"/>
      <c r="E883" s="13"/>
      <c r="F883" s="5"/>
      <c r="G883" s="11" t="str">
        <f>IF(ISERROR(AVERAGE(F$13:F883)),"n/a",AVERAGE(F$13:F883))</f>
        <v>n/a</v>
      </c>
      <c r="H883" s="11" t="str">
        <f t="shared" si="110"/>
        <v>n/a</v>
      </c>
      <c r="J883" s="5"/>
      <c r="K883" s="5"/>
      <c r="L883" s="5"/>
      <c r="M883" s="5"/>
      <c r="N883" s="5"/>
      <c r="O883" s="8" t="str">
        <f t="shared" si="108"/>
        <v>n/a</v>
      </c>
      <c r="Q883" s="5"/>
      <c r="R883" s="5"/>
      <c r="S883" s="5"/>
      <c r="U883" s="6"/>
      <c r="V883" s="9" t="str">
        <f t="shared" si="111"/>
        <v/>
      </c>
      <c r="W883" s="9" t="str">
        <f t="shared" si="112"/>
        <v/>
      </c>
      <c r="X883" s="10">
        <f>SUM(V$13:V883)/COUNTA(B$13:B883)</f>
        <v>0</v>
      </c>
      <c r="Z883" s="5"/>
      <c r="AA883" s="5"/>
      <c r="AC883" s="7"/>
      <c r="AE883" s="54" t="e">
        <f t="shared" si="113"/>
        <v>#N/A</v>
      </c>
      <c r="AF883" s="4" t="e">
        <f t="shared" si="109"/>
        <v>#N/A</v>
      </c>
    </row>
    <row r="884" spans="2:32">
      <c r="B884" s="5">
        <f t="shared" si="114"/>
        <v>872</v>
      </c>
      <c r="C884" s="5"/>
      <c r="E884" s="13"/>
      <c r="F884" s="5"/>
      <c r="G884" s="11" t="str">
        <f>IF(ISERROR(AVERAGE(F$13:F884)),"n/a",AVERAGE(F$13:F884))</f>
        <v>n/a</v>
      </c>
      <c r="H884" s="11" t="str">
        <f t="shared" si="110"/>
        <v>n/a</v>
      </c>
      <c r="J884" s="5"/>
      <c r="K884" s="5"/>
      <c r="L884" s="5"/>
      <c r="M884" s="5"/>
      <c r="N884" s="5"/>
      <c r="O884" s="8" t="str">
        <f t="shared" si="108"/>
        <v>n/a</v>
      </c>
      <c r="Q884" s="5"/>
      <c r="R884" s="5"/>
      <c r="S884" s="5"/>
      <c r="U884" s="6"/>
      <c r="V884" s="9" t="str">
        <f t="shared" si="111"/>
        <v/>
      </c>
      <c r="W884" s="9" t="str">
        <f t="shared" si="112"/>
        <v/>
      </c>
      <c r="X884" s="10">
        <f>SUM(V$13:V884)/COUNTA(B$13:B884)</f>
        <v>0</v>
      </c>
      <c r="Z884" s="5"/>
      <c r="AA884" s="5"/>
      <c r="AC884" s="7"/>
      <c r="AE884" s="54" t="e">
        <f t="shared" si="113"/>
        <v>#N/A</v>
      </c>
      <c r="AF884" s="4" t="e">
        <f t="shared" si="109"/>
        <v>#N/A</v>
      </c>
    </row>
    <row r="885" spans="2:32">
      <c r="B885" s="5">
        <f t="shared" si="114"/>
        <v>873</v>
      </c>
      <c r="C885" s="5"/>
      <c r="E885" s="13"/>
      <c r="F885" s="5"/>
      <c r="G885" s="11" t="str">
        <f>IF(ISERROR(AVERAGE(F$13:F885)),"n/a",AVERAGE(F$13:F885))</f>
        <v>n/a</v>
      </c>
      <c r="H885" s="11" t="str">
        <f t="shared" si="110"/>
        <v>n/a</v>
      </c>
      <c r="J885" s="5"/>
      <c r="K885" s="5"/>
      <c r="L885" s="5"/>
      <c r="M885" s="5"/>
      <c r="N885" s="5"/>
      <c r="O885" s="8" t="str">
        <f t="shared" si="108"/>
        <v>n/a</v>
      </c>
      <c r="Q885" s="5"/>
      <c r="R885" s="5"/>
      <c r="S885" s="5"/>
      <c r="U885" s="6"/>
      <c r="V885" s="9" t="str">
        <f t="shared" si="111"/>
        <v/>
      </c>
      <c r="W885" s="9" t="str">
        <f t="shared" si="112"/>
        <v/>
      </c>
      <c r="X885" s="10">
        <f>SUM(V$13:V885)/COUNTA(B$13:B885)</f>
        <v>0</v>
      </c>
      <c r="Z885" s="5"/>
      <c r="AA885" s="5"/>
      <c r="AC885" s="7"/>
      <c r="AE885" s="54" t="e">
        <f t="shared" si="113"/>
        <v>#N/A</v>
      </c>
      <c r="AF885" s="4" t="e">
        <f t="shared" si="109"/>
        <v>#N/A</v>
      </c>
    </row>
    <row r="886" spans="2:32">
      <c r="B886" s="5">
        <f t="shared" si="114"/>
        <v>874</v>
      </c>
      <c r="C886" s="5"/>
      <c r="E886" s="13"/>
      <c r="F886" s="5"/>
      <c r="G886" s="11" t="str">
        <f>IF(ISERROR(AVERAGE(F$13:F886)),"n/a",AVERAGE(F$13:F886))</f>
        <v>n/a</v>
      </c>
      <c r="H886" s="11" t="str">
        <f t="shared" si="110"/>
        <v>n/a</v>
      </c>
      <c r="J886" s="5"/>
      <c r="K886" s="5"/>
      <c r="L886" s="5"/>
      <c r="M886" s="5"/>
      <c r="N886" s="5"/>
      <c r="O886" s="8" t="str">
        <f t="shared" si="108"/>
        <v>n/a</v>
      </c>
      <c r="Q886" s="5"/>
      <c r="R886" s="5"/>
      <c r="S886" s="5"/>
      <c r="U886" s="6"/>
      <c r="V886" s="9" t="str">
        <f t="shared" si="111"/>
        <v/>
      </c>
      <c r="W886" s="9" t="str">
        <f t="shared" si="112"/>
        <v/>
      </c>
      <c r="X886" s="10">
        <f>SUM(V$13:V886)/COUNTA(B$13:B886)</f>
        <v>0</v>
      </c>
      <c r="Z886" s="5"/>
      <c r="AA886" s="5"/>
      <c r="AC886" s="7"/>
      <c r="AE886" s="54" t="e">
        <f t="shared" si="113"/>
        <v>#N/A</v>
      </c>
      <c r="AF886" s="4" t="e">
        <f t="shared" si="109"/>
        <v>#N/A</v>
      </c>
    </row>
    <row r="887" spans="2:32">
      <c r="B887" s="5">
        <f t="shared" si="114"/>
        <v>875</v>
      </c>
      <c r="C887" s="5"/>
      <c r="E887" s="13"/>
      <c r="F887" s="5"/>
      <c r="G887" s="11" t="str">
        <f>IF(ISERROR(AVERAGE(F$13:F887)),"n/a",AVERAGE(F$13:F887))</f>
        <v>n/a</v>
      </c>
      <c r="H887" s="11" t="str">
        <f t="shared" si="110"/>
        <v>n/a</v>
      </c>
      <c r="J887" s="5"/>
      <c r="K887" s="5"/>
      <c r="L887" s="5"/>
      <c r="M887" s="5"/>
      <c r="N887" s="5"/>
      <c r="O887" s="8" t="str">
        <f t="shared" si="108"/>
        <v>n/a</v>
      </c>
      <c r="Q887" s="5"/>
      <c r="R887" s="5"/>
      <c r="S887" s="5"/>
      <c r="U887" s="6"/>
      <c r="V887" s="9" t="str">
        <f t="shared" si="111"/>
        <v/>
      </c>
      <c r="W887" s="9" t="str">
        <f t="shared" si="112"/>
        <v/>
      </c>
      <c r="X887" s="10">
        <f>SUM(V$13:V887)/COUNTA(B$13:B887)</f>
        <v>0</v>
      </c>
      <c r="Z887" s="5"/>
      <c r="AA887" s="5"/>
      <c r="AC887" s="7"/>
      <c r="AE887" s="54" t="e">
        <f t="shared" si="113"/>
        <v>#N/A</v>
      </c>
      <c r="AF887" s="4" t="e">
        <f t="shared" si="109"/>
        <v>#N/A</v>
      </c>
    </row>
    <row r="888" spans="2:32">
      <c r="B888" s="5">
        <f t="shared" si="114"/>
        <v>876</v>
      </c>
      <c r="C888" s="5"/>
      <c r="E888" s="13"/>
      <c r="F888" s="5"/>
      <c r="G888" s="11" t="str">
        <f>IF(ISERROR(AVERAGE(F$13:F888)),"n/a",AVERAGE(F$13:F888))</f>
        <v>n/a</v>
      </c>
      <c r="H888" s="11" t="str">
        <f t="shared" si="110"/>
        <v>n/a</v>
      </c>
      <c r="J888" s="5"/>
      <c r="K888" s="5"/>
      <c r="L888" s="5"/>
      <c r="M888" s="5"/>
      <c r="N888" s="5"/>
      <c r="O888" s="8" t="str">
        <f t="shared" si="108"/>
        <v>n/a</v>
      </c>
      <c r="Q888" s="5"/>
      <c r="R888" s="5"/>
      <c r="S888" s="5"/>
      <c r="U888" s="6"/>
      <c r="V888" s="9" t="str">
        <f t="shared" si="111"/>
        <v/>
      </c>
      <c r="W888" s="9" t="str">
        <f t="shared" si="112"/>
        <v/>
      </c>
      <c r="X888" s="10">
        <f>SUM(V$13:V888)/COUNTA(B$13:B888)</f>
        <v>0</v>
      </c>
      <c r="Z888" s="5"/>
      <c r="AA888" s="5"/>
      <c r="AC888" s="7"/>
      <c r="AE888" s="54" t="e">
        <f t="shared" si="113"/>
        <v>#N/A</v>
      </c>
      <c r="AF888" s="4" t="e">
        <f t="shared" si="109"/>
        <v>#N/A</v>
      </c>
    </row>
    <row r="889" spans="2:32">
      <c r="B889" s="5">
        <f t="shared" si="114"/>
        <v>877</v>
      </c>
      <c r="C889" s="5"/>
      <c r="E889" s="13"/>
      <c r="F889" s="5"/>
      <c r="G889" s="11" t="str">
        <f>IF(ISERROR(AVERAGE(F$13:F889)),"n/a",AVERAGE(F$13:F889))</f>
        <v>n/a</v>
      </c>
      <c r="H889" s="11" t="str">
        <f t="shared" si="110"/>
        <v>n/a</v>
      </c>
      <c r="J889" s="5"/>
      <c r="K889" s="5"/>
      <c r="L889" s="5"/>
      <c r="M889" s="5"/>
      <c r="N889" s="5"/>
      <c r="O889" s="8" t="str">
        <f t="shared" si="108"/>
        <v>n/a</v>
      </c>
      <c r="Q889" s="5"/>
      <c r="R889" s="5"/>
      <c r="S889" s="5"/>
      <c r="U889" s="6"/>
      <c r="V889" s="9" t="str">
        <f t="shared" si="111"/>
        <v/>
      </c>
      <c r="W889" s="9" t="str">
        <f t="shared" si="112"/>
        <v/>
      </c>
      <c r="X889" s="10">
        <f>SUM(V$13:V889)/COUNTA(B$13:B889)</f>
        <v>0</v>
      </c>
      <c r="Z889" s="5"/>
      <c r="AA889" s="5"/>
      <c r="AC889" s="7"/>
      <c r="AE889" s="54" t="e">
        <f t="shared" si="113"/>
        <v>#N/A</v>
      </c>
      <c r="AF889" s="4" t="e">
        <f t="shared" si="109"/>
        <v>#N/A</v>
      </c>
    </row>
    <row r="890" spans="2:32">
      <c r="B890" s="5">
        <f t="shared" si="114"/>
        <v>878</v>
      </c>
      <c r="C890" s="5"/>
      <c r="E890" s="13"/>
      <c r="F890" s="5"/>
      <c r="G890" s="11" t="str">
        <f>IF(ISERROR(AVERAGE(F$13:F890)),"n/a",AVERAGE(F$13:F890))</f>
        <v>n/a</v>
      </c>
      <c r="H890" s="11" t="str">
        <f t="shared" si="110"/>
        <v>n/a</v>
      </c>
      <c r="J890" s="5"/>
      <c r="K890" s="5"/>
      <c r="L890" s="5"/>
      <c r="M890" s="5"/>
      <c r="N890" s="5"/>
      <c r="O890" s="8" t="str">
        <f t="shared" si="108"/>
        <v>n/a</v>
      </c>
      <c r="Q890" s="5"/>
      <c r="R890" s="5"/>
      <c r="S890" s="5"/>
      <c r="U890" s="6"/>
      <c r="V890" s="9" t="str">
        <f t="shared" si="111"/>
        <v/>
      </c>
      <c r="W890" s="9" t="str">
        <f t="shared" si="112"/>
        <v/>
      </c>
      <c r="X890" s="10">
        <f>SUM(V$13:V890)/COUNTA(B$13:B890)</f>
        <v>0</v>
      </c>
      <c r="Z890" s="5"/>
      <c r="AA890" s="5"/>
      <c r="AC890" s="7"/>
      <c r="AE890" s="54" t="e">
        <f t="shared" si="113"/>
        <v>#N/A</v>
      </c>
      <c r="AF890" s="4" t="e">
        <f t="shared" si="109"/>
        <v>#N/A</v>
      </c>
    </row>
    <row r="891" spans="2:32">
      <c r="B891" s="5">
        <f t="shared" si="114"/>
        <v>879</v>
      </c>
      <c r="C891" s="5"/>
      <c r="E891" s="13"/>
      <c r="F891" s="5"/>
      <c r="G891" s="11" t="str">
        <f>IF(ISERROR(AVERAGE(F$13:F891)),"n/a",AVERAGE(F$13:F891))</f>
        <v>n/a</v>
      </c>
      <c r="H891" s="11" t="str">
        <f t="shared" si="110"/>
        <v>n/a</v>
      </c>
      <c r="J891" s="5"/>
      <c r="K891" s="5"/>
      <c r="L891" s="5"/>
      <c r="M891" s="5"/>
      <c r="N891" s="5"/>
      <c r="O891" s="8" t="str">
        <f t="shared" si="108"/>
        <v>n/a</v>
      </c>
      <c r="Q891" s="5"/>
      <c r="R891" s="5"/>
      <c r="S891" s="5"/>
      <c r="U891" s="6"/>
      <c r="V891" s="9" t="str">
        <f t="shared" si="111"/>
        <v/>
      </c>
      <c r="W891" s="9" t="str">
        <f t="shared" si="112"/>
        <v/>
      </c>
      <c r="X891" s="10">
        <f>SUM(V$13:V891)/COUNTA(B$13:B891)</f>
        <v>0</v>
      </c>
      <c r="Z891" s="5"/>
      <c r="AA891" s="5"/>
      <c r="AC891" s="7"/>
      <c r="AE891" s="54" t="e">
        <f t="shared" si="113"/>
        <v>#N/A</v>
      </c>
      <c r="AF891" s="4" t="e">
        <f t="shared" si="109"/>
        <v>#N/A</v>
      </c>
    </row>
    <row r="892" spans="2:32">
      <c r="B892" s="5">
        <f t="shared" si="114"/>
        <v>880</v>
      </c>
      <c r="C892" s="5"/>
      <c r="E892" s="13"/>
      <c r="F892" s="5"/>
      <c r="G892" s="11" t="str">
        <f>IF(ISERROR(AVERAGE(F$13:F892)),"n/a",AVERAGE(F$13:F892))</f>
        <v>n/a</v>
      </c>
      <c r="H892" s="11" t="str">
        <f t="shared" si="110"/>
        <v>n/a</v>
      </c>
      <c r="J892" s="5"/>
      <c r="K892" s="5"/>
      <c r="L892" s="5"/>
      <c r="M892" s="5"/>
      <c r="N892" s="5"/>
      <c r="O892" s="8" t="str">
        <f t="shared" si="108"/>
        <v>n/a</v>
      </c>
      <c r="Q892" s="5"/>
      <c r="R892" s="5"/>
      <c r="S892" s="5"/>
      <c r="U892" s="6"/>
      <c r="V892" s="9" t="str">
        <f t="shared" si="111"/>
        <v/>
      </c>
      <c r="W892" s="9" t="str">
        <f t="shared" si="112"/>
        <v/>
      </c>
      <c r="X892" s="10">
        <f>SUM(V$13:V892)/COUNTA(B$13:B892)</f>
        <v>0</v>
      </c>
      <c r="Z892" s="5"/>
      <c r="AA892" s="5"/>
      <c r="AC892" s="7"/>
      <c r="AE892" s="54" t="e">
        <f t="shared" si="113"/>
        <v>#N/A</v>
      </c>
      <c r="AF892" s="4" t="e">
        <f t="shared" si="109"/>
        <v>#N/A</v>
      </c>
    </row>
    <row r="893" spans="2:32">
      <c r="B893" s="5">
        <f t="shared" si="114"/>
        <v>881</v>
      </c>
      <c r="C893" s="5"/>
      <c r="E893" s="13"/>
      <c r="F893" s="5"/>
      <c r="G893" s="11" t="str">
        <f>IF(ISERROR(AVERAGE(F$13:F893)),"n/a",AVERAGE(F$13:F893))</f>
        <v>n/a</v>
      </c>
      <c r="H893" s="11" t="str">
        <f t="shared" si="110"/>
        <v>n/a</v>
      </c>
      <c r="J893" s="5"/>
      <c r="K893" s="5"/>
      <c r="L893" s="5"/>
      <c r="M893" s="5"/>
      <c r="N893" s="5"/>
      <c r="O893" s="8" t="str">
        <f t="shared" si="108"/>
        <v>n/a</v>
      </c>
      <c r="Q893" s="5"/>
      <c r="R893" s="5"/>
      <c r="S893" s="5"/>
      <c r="U893" s="6"/>
      <c r="V893" s="9" t="str">
        <f t="shared" si="111"/>
        <v/>
      </c>
      <c r="W893" s="9" t="str">
        <f t="shared" si="112"/>
        <v/>
      </c>
      <c r="X893" s="10">
        <f>SUM(V$13:V893)/COUNTA(B$13:B893)</f>
        <v>0</v>
      </c>
      <c r="Z893" s="5"/>
      <c r="AA893" s="5"/>
      <c r="AC893" s="7"/>
      <c r="AE893" s="54" t="e">
        <f t="shared" si="113"/>
        <v>#N/A</v>
      </c>
      <c r="AF893" s="4" t="e">
        <f t="shared" si="109"/>
        <v>#N/A</v>
      </c>
    </row>
    <row r="894" spans="2:32">
      <c r="B894" s="5">
        <f t="shared" si="114"/>
        <v>882</v>
      </c>
      <c r="C894" s="5"/>
      <c r="E894" s="13"/>
      <c r="F894" s="5"/>
      <c r="G894" s="11" t="str">
        <f>IF(ISERROR(AVERAGE(F$13:F894)),"n/a",AVERAGE(F$13:F894))</f>
        <v>n/a</v>
      </c>
      <c r="H894" s="11" t="str">
        <f t="shared" si="110"/>
        <v>n/a</v>
      </c>
      <c r="J894" s="5"/>
      <c r="K894" s="5"/>
      <c r="L894" s="5"/>
      <c r="M894" s="5"/>
      <c r="N894" s="5"/>
      <c r="O894" s="8" t="str">
        <f t="shared" si="108"/>
        <v>n/a</v>
      </c>
      <c r="Q894" s="5"/>
      <c r="R894" s="5"/>
      <c r="S894" s="5"/>
      <c r="U894" s="6"/>
      <c r="V894" s="9" t="str">
        <f t="shared" si="111"/>
        <v/>
      </c>
      <c r="W894" s="9" t="str">
        <f t="shared" si="112"/>
        <v/>
      </c>
      <c r="X894" s="10">
        <f>SUM(V$13:V894)/COUNTA(B$13:B894)</f>
        <v>0</v>
      </c>
      <c r="Z894" s="5"/>
      <c r="AA894" s="5"/>
      <c r="AC894" s="7"/>
      <c r="AE894" s="54" t="e">
        <f t="shared" si="113"/>
        <v>#N/A</v>
      </c>
      <c r="AF894" s="4" t="e">
        <f t="shared" si="109"/>
        <v>#N/A</v>
      </c>
    </row>
    <row r="895" spans="2:32">
      <c r="B895" s="5">
        <f t="shared" si="114"/>
        <v>883</v>
      </c>
      <c r="C895" s="5"/>
      <c r="E895" s="13"/>
      <c r="F895" s="5"/>
      <c r="G895" s="11" t="str">
        <f>IF(ISERROR(AVERAGE(F$13:F895)),"n/a",AVERAGE(F$13:F895))</f>
        <v>n/a</v>
      </c>
      <c r="H895" s="11" t="str">
        <f t="shared" si="110"/>
        <v>n/a</v>
      </c>
      <c r="J895" s="5"/>
      <c r="K895" s="5"/>
      <c r="L895" s="5"/>
      <c r="M895" s="5"/>
      <c r="N895" s="5"/>
      <c r="O895" s="8" t="str">
        <f t="shared" si="108"/>
        <v>n/a</v>
      </c>
      <c r="Q895" s="5"/>
      <c r="R895" s="5"/>
      <c r="S895" s="5"/>
      <c r="U895" s="6"/>
      <c r="V895" s="9" t="str">
        <f t="shared" si="111"/>
        <v/>
      </c>
      <c r="W895" s="9" t="str">
        <f t="shared" si="112"/>
        <v/>
      </c>
      <c r="X895" s="10">
        <f>SUM(V$13:V895)/COUNTA(B$13:B895)</f>
        <v>0</v>
      </c>
      <c r="Z895" s="5"/>
      <c r="AA895" s="5"/>
      <c r="AC895" s="7"/>
      <c r="AE895" s="54" t="e">
        <f t="shared" si="113"/>
        <v>#N/A</v>
      </c>
      <c r="AF895" s="4" t="e">
        <f t="shared" si="109"/>
        <v>#N/A</v>
      </c>
    </row>
    <row r="896" spans="2:32">
      <c r="B896" s="5">
        <f t="shared" si="114"/>
        <v>884</v>
      </c>
      <c r="C896" s="5"/>
      <c r="E896" s="13"/>
      <c r="F896" s="5"/>
      <c r="G896" s="11" t="str">
        <f>IF(ISERROR(AVERAGE(F$13:F896)),"n/a",AVERAGE(F$13:F896))</f>
        <v>n/a</v>
      </c>
      <c r="H896" s="11" t="str">
        <f t="shared" si="110"/>
        <v>n/a</v>
      </c>
      <c r="J896" s="5"/>
      <c r="K896" s="5"/>
      <c r="L896" s="5"/>
      <c r="M896" s="5"/>
      <c r="N896" s="5"/>
      <c r="O896" s="8" t="str">
        <f t="shared" si="108"/>
        <v>n/a</v>
      </c>
      <c r="Q896" s="5"/>
      <c r="R896" s="5"/>
      <c r="S896" s="5"/>
      <c r="U896" s="6"/>
      <c r="V896" s="9" t="str">
        <f t="shared" si="111"/>
        <v/>
      </c>
      <c r="W896" s="9" t="str">
        <f t="shared" si="112"/>
        <v/>
      </c>
      <c r="X896" s="10">
        <f>SUM(V$13:V896)/COUNTA(B$13:B896)</f>
        <v>0</v>
      </c>
      <c r="Z896" s="5"/>
      <c r="AA896" s="5"/>
      <c r="AC896" s="7"/>
      <c r="AE896" s="54" t="e">
        <f t="shared" si="113"/>
        <v>#N/A</v>
      </c>
      <c r="AF896" s="4" t="e">
        <f t="shared" si="109"/>
        <v>#N/A</v>
      </c>
    </row>
    <row r="897" spans="2:32">
      <c r="B897" s="5">
        <f t="shared" si="114"/>
        <v>885</v>
      </c>
      <c r="C897" s="5"/>
      <c r="E897" s="13"/>
      <c r="F897" s="5"/>
      <c r="G897" s="11" t="str">
        <f>IF(ISERROR(AVERAGE(F$13:F897)),"n/a",AVERAGE(F$13:F897))</f>
        <v>n/a</v>
      </c>
      <c r="H897" s="11" t="str">
        <f t="shared" si="110"/>
        <v>n/a</v>
      </c>
      <c r="J897" s="5"/>
      <c r="K897" s="5"/>
      <c r="L897" s="5"/>
      <c r="M897" s="5"/>
      <c r="N897" s="5"/>
      <c r="O897" s="8" t="str">
        <f t="shared" si="108"/>
        <v>n/a</v>
      </c>
      <c r="Q897" s="5"/>
      <c r="R897" s="5"/>
      <c r="S897" s="5"/>
      <c r="U897" s="6"/>
      <c r="V897" s="9" t="str">
        <f t="shared" si="111"/>
        <v/>
      </c>
      <c r="W897" s="9" t="str">
        <f t="shared" si="112"/>
        <v/>
      </c>
      <c r="X897" s="10">
        <f>SUM(V$13:V897)/COUNTA(B$13:B897)</f>
        <v>0</v>
      </c>
      <c r="Z897" s="5"/>
      <c r="AA897" s="5"/>
      <c r="AC897" s="7"/>
      <c r="AE897" s="54" t="e">
        <f t="shared" si="113"/>
        <v>#N/A</v>
      </c>
      <c r="AF897" s="4" t="e">
        <f t="shared" si="109"/>
        <v>#N/A</v>
      </c>
    </row>
    <row r="898" spans="2:32">
      <c r="B898" s="5">
        <f t="shared" si="114"/>
        <v>886</v>
      </c>
      <c r="C898" s="5"/>
      <c r="E898" s="13"/>
      <c r="F898" s="5"/>
      <c r="G898" s="11" t="str">
        <f>IF(ISERROR(AVERAGE(F$13:F898)),"n/a",AVERAGE(F$13:F898))</f>
        <v>n/a</v>
      </c>
      <c r="H898" s="11" t="str">
        <f t="shared" si="110"/>
        <v>n/a</v>
      </c>
      <c r="J898" s="5"/>
      <c r="K898" s="5"/>
      <c r="L898" s="5"/>
      <c r="M898" s="5"/>
      <c r="N898" s="5"/>
      <c r="O898" s="8" t="str">
        <f t="shared" si="108"/>
        <v>n/a</v>
      </c>
      <c r="Q898" s="5"/>
      <c r="R898" s="5"/>
      <c r="S898" s="5"/>
      <c r="U898" s="6"/>
      <c r="V898" s="9" t="str">
        <f t="shared" si="111"/>
        <v/>
      </c>
      <c r="W898" s="9" t="str">
        <f t="shared" si="112"/>
        <v/>
      </c>
      <c r="X898" s="10">
        <f>SUM(V$13:V898)/COUNTA(B$13:B898)</f>
        <v>0</v>
      </c>
      <c r="Z898" s="5"/>
      <c r="AA898" s="5"/>
      <c r="AC898" s="7"/>
      <c r="AE898" s="54" t="e">
        <f t="shared" si="113"/>
        <v>#N/A</v>
      </c>
      <c r="AF898" s="4" t="e">
        <f t="shared" si="109"/>
        <v>#N/A</v>
      </c>
    </row>
    <row r="899" spans="2:32">
      <c r="B899" s="5">
        <f t="shared" si="114"/>
        <v>887</v>
      </c>
      <c r="C899" s="5"/>
      <c r="E899" s="13"/>
      <c r="F899" s="5"/>
      <c r="G899" s="11" t="str">
        <f>IF(ISERROR(AVERAGE(F$13:F899)),"n/a",AVERAGE(F$13:F899))</f>
        <v>n/a</v>
      </c>
      <c r="H899" s="11" t="str">
        <f t="shared" si="110"/>
        <v>n/a</v>
      </c>
      <c r="J899" s="5"/>
      <c r="K899" s="5"/>
      <c r="L899" s="5"/>
      <c r="M899" s="5"/>
      <c r="N899" s="5"/>
      <c r="O899" s="8" t="str">
        <f t="shared" si="108"/>
        <v>n/a</v>
      </c>
      <c r="Q899" s="5"/>
      <c r="R899" s="5"/>
      <c r="S899" s="5"/>
      <c r="U899" s="6"/>
      <c r="V899" s="9" t="str">
        <f t="shared" si="111"/>
        <v/>
      </c>
      <c r="W899" s="9" t="str">
        <f t="shared" si="112"/>
        <v/>
      </c>
      <c r="X899" s="10">
        <f>SUM(V$13:V899)/COUNTA(B$13:B899)</f>
        <v>0</v>
      </c>
      <c r="Z899" s="5"/>
      <c r="AA899" s="5"/>
      <c r="AC899" s="7"/>
      <c r="AE899" s="54" t="e">
        <f t="shared" si="113"/>
        <v>#N/A</v>
      </c>
      <c r="AF899" s="4" t="e">
        <f t="shared" si="109"/>
        <v>#N/A</v>
      </c>
    </row>
    <row r="900" spans="2:32">
      <c r="B900" s="5">
        <f t="shared" si="114"/>
        <v>888</v>
      </c>
      <c r="C900" s="5"/>
      <c r="E900" s="13"/>
      <c r="F900" s="5"/>
      <c r="G900" s="11" t="str">
        <f>IF(ISERROR(AVERAGE(F$13:F900)),"n/a",AVERAGE(F$13:F900))</f>
        <v>n/a</v>
      </c>
      <c r="H900" s="11" t="str">
        <f t="shared" si="110"/>
        <v>n/a</v>
      </c>
      <c r="J900" s="5"/>
      <c r="K900" s="5"/>
      <c r="L900" s="5"/>
      <c r="M900" s="5"/>
      <c r="N900" s="5"/>
      <c r="O900" s="8" t="str">
        <f t="shared" si="108"/>
        <v>n/a</v>
      </c>
      <c r="Q900" s="5"/>
      <c r="R900" s="5"/>
      <c r="S900" s="5"/>
      <c r="U900" s="6"/>
      <c r="V900" s="9" t="str">
        <f t="shared" si="111"/>
        <v/>
      </c>
      <c r="W900" s="9" t="str">
        <f t="shared" si="112"/>
        <v/>
      </c>
      <c r="X900" s="10">
        <f>SUM(V$13:V900)/COUNTA(B$13:B900)</f>
        <v>0</v>
      </c>
      <c r="Z900" s="5"/>
      <c r="AA900" s="5"/>
      <c r="AC900" s="7"/>
      <c r="AE900" s="54" t="e">
        <f t="shared" si="113"/>
        <v>#N/A</v>
      </c>
      <c r="AF900" s="4" t="e">
        <f t="shared" si="109"/>
        <v>#N/A</v>
      </c>
    </row>
    <row r="901" spans="2:32">
      <c r="B901" s="5">
        <f t="shared" si="114"/>
        <v>889</v>
      </c>
      <c r="C901" s="5"/>
      <c r="E901" s="13"/>
      <c r="F901" s="5"/>
      <c r="G901" s="11" t="str">
        <f>IF(ISERROR(AVERAGE(F$13:F901)),"n/a",AVERAGE(F$13:F901))</f>
        <v>n/a</v>
      </c>
      <c r="H901" s="11" t="str">
        <f t="shared" si="110"/>
        <v>n/a</v>
      </c>
      <c r="J901" s="5"/>
      <c r="K901" s="5"/>
      <c r="L901" s="5"/>
      <c r="M901" s="5"/>
      <c r="N901" s="5"/>
      <c r="O901" s="8" t="str">
        <f t="shared" si="108"/>
        <v>n/a</v>
      </c>
      <c r="Q901" s="5"/>
      <c r="R901" s="5"/>
      <c r="S901" s="5"/>
      <c r="U901" s="6"/>
      <c r="V901" s="9" t="str">
        <f t="shared" si="111"/>
        <v/>
      </c>
      <c r="W901" s="9" t="str">
        <f t="shared" si="112"/>
        <v/>
      </c>
      <c r="X901" s="10">
        <f>SUM(V$13:V901)/COUNTA(B$13:B901)</f>
        <v>0</v>
      </c>
      <c r="Z901" s="5"/>
      <c r="AA901" s="5"/>
      <c r="AC901" s="7"/>
      <c r="AE901" s="54" t="e">
        <f t="shared" si="113"/>
        <v>#N/A</v>
      </c>
      <c r="AF901" s="4" t="e">
        <f t="shared" si="109"/>
        <v>#N/A</v>
      </c>
    </row>
    <row r="902" spans="2:32">
      <c r="B902" s="5">
        <f t="shared" si="114"/>
        <v>890</v>
      </c>
      <c r="C902" s="5"/>
      <c r="E902" s="13"/>
      <c r="F902" s="5"/>
      <c r="G902" s="11" t="str">
        <f>IF(ISERROR(AVERAGE(F$13:F902)),"n/a",AVERAGE(F$13:F902))</f>
        <v>n/a</v>
      </c>
      <c r="H902" s="11" t="str">
        <f t="shared" si="110"/>
        <v>n/a</v>
      </c>
      <c r="J902" s="5"/>
      <c r="K902" s="5"/>
      <c r="L902" s="5"/>
      <c r="M902" s="5"/>
      <c r="N902" s="5"/>
      <c r="O902" s="8" t="str">
        <f t="shared" si="108"/>
        <v>n/a</v>
      </c>
      <c r="Q902" s="5"/>
      <c r="R902" s="5"/>
      <c r="S902" s="5"/>
      <c r="U902" s="6"/>
      <c r="V902" s="9" t="str">
        <f t="shared" si="111"/>
        <v/>
      </c>
      <c r="W902" s="9" t="str">
        <f t="shared" si="112"/>
        <v/>
      </c>
      <c r="X902" s="10">
        <f>SUM(V$13:V902)/COUNTA(B$13:B902)</f>
        <v>0</v>
      </c>
      <c r="Z902" s="5"/>
      <c r="AA902" s="5"/>
      <c r="AC902" s="7"/>
      <c r="AE902" s="54" t="e">
        <f t="shared" si="113"/>
        <v>#N/A</v>
      </c>
      <c r="AF902" s="4" t="e">
        <f t="shared" si="109"/>
        <v>#N/A</v>
      </c>
    </row>
    <row r="903" spans="2:32">
      <c r="B903" s="5">
        <f t="shared" si="114"/>
        <v>891</v>
      </c>
      <c r="C903" s="5"/>
      <c r="E903" s="13"/>
      <c r="F903" s="5"/>
      <c r="G903" s="11" t="str">
        <f>IF(ISERROR(AVERAGE(F$13:F903)),"n/a",AVERAGE(F$13:F903))</f>
        <v>n/a</v>
      </c>
      <c r="H903" s="11" t="str">
        <f t="shared" si="110"/>
        <v>n/a</v>
      </c>
      <c r="J903" s="5"/>
      <c r="K903" s="5"/>
      <c r="L903" s="5"/>
      <c r="M903" s="5"/>
      <c r="N903" s="5"/>
      <c r="O903" s="8" t="str">
        <f t="shared" si="108"/>
        <v>n/a</v>
      </c>
      <c r="Q903" s="5"/>
      <c r="R903" s="5"/>
      <c r="S903" s="5"/>
      <c r="U903" s="6"/>
      <c r="V903" s="9" t="str">
        <f t="shared" si="111"/>
        <v/>
      </c>
      <c r="W903" s="9" t="str">
        <f t="shared" si="112"/>
        <v/>
      </c>
      <c r="X903" s="10">
        <f>SUM(V$13:V903)/COUNTA(B$13:B903)</f>
        <v>0</v>
      </c>
      <c r="Z903" s="5"/>
      <c r="AA903" s="5"/>
      <c r="AC903" s="7"/>
      <c r="AE903" s="54" t="e">
        <f t="shared" si="113"/>
        <v>#N/A</v>
      </c>
      <c r="AF903" s="4" t="e">
        <f t="shared" si="109"/>
        <v>#N/A</v>
      </c>
    </row>
    <row r="904" spans="2:32">
      <c r="B904" s="5">
        <f t="shared" si="114"/>
        <v>892</v>
      </c>
      <c r="C904" s="5"/>
      <c r="E904" s="13"/>
      <c r="F904" s="5"/>
      <c r="G904" s="11" t="str">
        <f>IF(ISERROR(AVERAGE(F$13:F904)),"n/a",AVERAGE(F$13:F904))</f>
        <v>n/a</v>
      </c>
      <c r="H904" s="11" t="str">
        <f t="shared" si="110"/>
        <v>n/a</v>
      </c>
      <c r="J904" s="5"/>
      <c r="K904" s="5"/>
      <c r="L904" s="5"/>
      <c r="M904" s="5"/>
      <c r="N904" s="5"/>
      <c r="O904" s="8" t="str">
        <f t="shared" si="108"/>
        <v>n/a</v>
      </c>
      <c r="Q904" s="5"/>
      <c r="R904" s="5"/>
      <c r="S904" s="5"/>
      <c r="U904" s="6"/>
      <c r="V904" s="9" t="str">
        <f t="shared" si="111"/>
        <v/>
      </c>
      <c r="W904" s="9" t="str">
        <f t="shared" si="112"/>
        <v/>
      </c>
      <c r="X904" s="10">
        <f>SUM(V$13:V904)/COUNTA(B$13:B904)</f>
        <v>0</v>
      </c>
      <c r="Z904" s="5"/>
      <c r="AA904" s="5"/>
      <c r="AC904" s="7"/>
      <c r="AE904" s="54" t="e">
        <f t="shared" si="113"/>
        <v>#N/A</v>
      </c>
      <c r="AF904" s="4" t="e">
        <f t="shared" si="109"/>
        <v>#N/A</v>
      </c>
    </row>
    <row r="905" spans="2:32">
      <c r="B905" s="5">
        <f t="shared" si="114"/>
        <v>893</v>
      </c>
      <c r="C905" s="5"/>
      <c r="E905" s="13"/>
      <c r="F905" s="5"/>
      <c r="G905" s="11" t="str">
        <f>IF(ISERROR(AVERAGE(F$13:F905)),"n/a",AVERAGE(F$13:F905))</f>
        <v>n/a</v>
      </c>
      <c r="H905" s="11" t="str">
        <f t="shared" si="110"/>
        <v>n/a</v>
      </c>
      <c r="J905" s="5"/>
      <c r="K905" s="5"/>
      <c r="L905" s="5"/>
      <c r="M905" s="5"/>
      <c r="N905" s="5"/>
      <c r="O905" s="8" t="str">
        <f t="shared" si="108"/>
        <v>n/a</v>
      </c>
      <c r="Q905" s="5"/>
      <c r="R905" s="5"/>
      <c r="S905" s="5"/>
      <c r="U905" s="6"/>
      <c r="V905" s="9" t="str">
        <f t="shared" si="111"/>
        <v/>
      </c>
      <c r="W905" s="9" t="str">
        <f t="shared" si="112"/>
        <v/>
      </c>
      <c r="X905" s="10">
        <f>SUM(V$13:V905)/COUNTA(B$13:B905)</f>
        <v>0</v>
      </c>
      <c r="Z905" s="5"/>
      <c r="AA905" s="5"/>
      <c r="AC905" s="7"/>
      <c r="AE905" s="54" t="e">
        <f t="shared" si="113"/>
        <v>#N/A</v>
      </c>
      <c r="AF905" s="4" t="e">
        <f t="shared" si="109"/>
        <v>#N/A</v>
      </c>
    </row>
    <row r="906" spans="2:32">
      <c r="B906" s="5">
        <f t="shared" si="114"/>
        <v>894</v>
      </c>
      <c r="C906" s="5"/>
      <c r="E906" s="13"/>
      <c r="F906" s="5"/>
      <c r="G906" s="11" t="str">
        <f>IF(ISERROR(AVERAGE(F$13:F906)),"n/a",AVERAGE(F$13:F906))</f>
        <v>n/a</v>
      </c>
      <c r="H906" s="11" t="str">
        <f t="shared" si="110"/>
        <v>n/a</v>
      </c>
      <c r="J906" s="5"/>
      <c r="K906" s="5"/>
      <c r="L906" s="5"/>
      <c r="M906" s="5"/>
      <c r="N906" s="5"/>
      <c r="O906" s="8" t="str">
        <f t="shared" si="108"/>
        <v>n/a</v>
      </c>
      <c r="Q906" s="5"/>
      <c r="R906" s="5"/>
      <c r="S906" s="5"/>
      <c r="U906" s="6"/>
      <c r="V906" s="9" t="str">
        <f t="shared" si="111"/>
        <v/>
      </c>
      <c r="W906" s="9" t="str">
        <f t="shared" si="112"/>
        <v/>
      </c>
      <c r="X906" s="10">
        <f>SUM(V$13:V906)/COUNTA(B$13:B906)</f>
        <v>0</v>
      </c>
      <c r="Z906" s="5"/>
      <c r="AA906" s="5"/>
      <c r="AC906" s="7"/>
      <c r="AE906" s="54" t="e">
        <f t="shared" si="113"/>
        <v>#N/A</v>
      </c>
      <c r="AF906" s="4" t="e">
        <f t="shared" si="109"/>
        <v>#N/A</v>
      </c>
    </row>
    <row r="907" spans="2:32">
      <c r="B907" s="5">
        <f t="shared" si="114"/>
        <v>895</v>
      </c>
      <c r="C907" s="5"/>
      <c r="E907" s="13"/>
      <c r="F907" s="5"/>
      <c r="G907" s="11" t="str">
        <f>IF(ISERROR(AVERAGE(F$13:F907)),"n/a",AVERAGE(F$13:F907))</f>
        <v>n/a</v>
      </c>
      <c r="H907" s="11" t="str">
        <f t="shared" si="110"/>
        <v>n/a</v>
      </c>
      <c r="J907" s="5"/>
      <c r="K907" s="5"/>
      <c r="L907" s="5"/>
      <c r="M907" s="5"/>
      <c r="N907" s="5"/>
      <c r="O907" s="8" t="str">
        <f t="shared" si="108"/>
        <v>n/a</v>
      </c>
      <c r="Q907" s="5"/>
      <c r="R907" s="5"/>
      <c r="S907" s="5"/>
      <c r="U907" s="6"/>
      <c r="V907" s="9" t="str">
        <f t="shared" si="111"/>
        <v/>
      </c>
      <c r="W907" s="9" t="str">
        <f t="shared" si="112"/>
        <v/>
      </c>
      <c r="X907" s="10">
        <f>SUM(V$13:V907)/COUNTA(B$13:B907)</f>
        <v>0</v>
      </c>
      <c r="Z907" s="5"/>
      <c r="AA907" s="5"/>
      <c r="AC907" s="7"/>
      <c r="AE907" s="54" t="e">
        <f t="shared" si="113"/>
        <v>#N/A</v>
      </c>
      <c r="AF907" s="4" t="e">
        <f t="shared" si="109"/>
        <v>#N/A</v>
      </c>
    </row>
    <row r="908" spans="2:32">
      <c r="B908" s="5">
        <f t="shared" si="114"/>
        <v>896</v>
      </c>
      <c r="C908" s="5"/>
      <c r="E908" s="13"/>
      <c r="F908" s="5"/>
      <c r="G908" s="11" t="str">
        <f>IF(ISERROR(AVERAGE(F$13:F908)),"n/a",AVERAGE(F$13:F908))</f>
        <v>n/a</v>
      </c>
      <c r="H908" s="11" t="str">
        <f t="shared" si="110"/>
        <v>n/a</v>
      </c>
      <c r="J908" s="5"/>
      <c r="K908" s="5"/>
      <c r="L908" s="5"/>
      <c r="M908" s="5"/>
      <c r="N908" s="5"/>
      <c r="O908" s="8" t="str">
        <f t="shared" si="108"/>
        <v>n/a</v>
      </c>
      <c r="Q908" s="5"/>
      <c r="R908" s="5"/>
      <c r="S908" s="5"/>
      <c r="U908" s="6"/>
      <c r="V908" s="9" t="str">
        <f t="shared" si="111"/>
        <v/>
      </c>
      <c r="W908" s="9" t="str">
        <f t="shared" si="112"/>
        <v/>
      </c>
      <c r="X908" s="10">
        <f>SUM(V$13:V908)/COUNTA(B$13:B908)</f>
        <v>0</v>
      </c>
      <c r="Z908" s="5"/>
      <c r="AA908" s="5"/>
      <c r="AC908" s="7"/>
      <c r="AE908" s="54" t="e">
        <f t="shared" si="113"/>
        <v>#N/A</v>
      </c>
      <c r="AF908" s="4" t="e">
        <f t="shared" si="109"/>
        <v>#N/A</v>
      </c>
    </row>
    <row r="909" spans="2:32">
      <c r="B909" s="5">
        <f t="shared" si="114"/>
        <v>897</v>
      </c>
      <c r="C909" s="5"/>
      <c r="E909" s="13"/>
      <c r="F909" s="5"/>
      <c r="G909" s="11" t="str">
        <f>IF(ISERROR(AVERAGE(F$13:F909)),"n/a",AVERAGE(F$13:F909))</f>
        <v>n/a</v>
      </c>
      <c r="H909" s="11" t="str">
        <f t="shared" si="110"/>
        <v>n/a</v>
      </c>
      <c r="J909" s="5"/>
      <c r="K909" s="5"/>
      <c r="L909" s="5"/>
      <c r="M909" s="5"/>
      <c r="N909" s="5"/>
      <c r="O909" s="8" t="str">
        <f t="shared" ref="O909:O972" si="115">IF(J909=1,"A",IF(K909=1,"B",IF(L909=1,"C",IF(M909=1,"D",IF(N909=1,"E","n/a")))))</f>
        <v>n/a</v>
      </c>
      <c r="Q909" s="5"/>
      <c r="R909" s="5"/>
      <c r="S909" s="5"/>
      <c r="U909" s="6"/>
      <c r="V909" s="9" t="str">
        <f t="shared" si="111"/>
        <v/>
      </c>
      <c r="W909" s="9" t="str">
        <f t="shared" si="112"/>
        <v/>
      </c>
      <c r="X909" s="10">
        <f>SUM(V$13:V909)/COUNTA(B$13:B909)</f>
        <v>0</v>
      </c>
      <c r="Z909" s="5"/>
      <c r="AA909" s="5"/>
      <c r="AC909" s="7"/>
      <c r="AE909" s="54" t="e">
        <f t="shared" si="113"/>
        <v>#N/A</v>
      </c>
      <c r="AF909" s="4" t="e">
        <f t="shared" ref="AF909:AF972" si="116">HLOOKUP(C909,$K$6:$O$7,2,FALSE)</f>
        <v>#N/A</v>
      </c>
    </row>
    <row r="910" spans="2:32">
      <c r="B910" s="5">
        <f t="shared" si="114"/>
        <v>898</v>
      </c>
      <c r="C910" s="5"/>
      <c r="E910" s="13"/>
      <c r="F910" s="5"/>
      <c r="G910" s="11" t="str">
        <f>IF(ISERROR(AVERAGE(F$13:F910)),"n/a",AVERAGE(F$13:F910))</f>
        <v>n/a</v>
      </c>
      <c r="H910" s="11" t="str">
        <f t="shared" ref="H910:H973" si="117">G910</f>
        <v>n/a</v>
      </c>
      <c r="J910" s="5"/>
      <c r="K910" s="5"/>
      <c r="L910" s="5"/>
      <c r="M910" s="5"/>
      <c r="N910" s="5"/>
      <c r="O910" s="8" t="str">
        <f t="shared" si="115"/>
        <v>n/a</v>
      </c>
      <c r="Q910" s="5"/>
      <c r="R910" s="5"/>
      <c r="S910" s="5"/>
      <c r="U910" s="6"/>
      <c r="V910" s="9" t="str">
        <f t="shared" ref="V910:V973" si="118">IF(O910="n/a","",IF(O910=U910,1,""))</f>
        <v/>
      </c>
      <c r="W910" s="9" t="str">
        <f t="shared" ref="W910:W973" si="119">IF(O910="n/a","",IF(O910&lt;&gt;U910,1,""))</f>
        <v/>
      </c>
      <c r="X910" s="10">
        <f>SUM(V$13:V910)/COUNTA(B$13:B910)</f>
        <v>0</v>
      </c>
      <c r="Z910" s="5"/>
      <c r="AA910" s="5"/>
      <c r="AC910" s="7"/>
      <c r="AE910" s="54" t="e">
        <f t="shared" ref="AE910:AE973" si="120">+IF($F$4=0,0,IF(W910=1,1,IF(OR(R910*$F$8=1,S910*$F$9=1,F910&gt;=AF910),2,0)))</f>
        <v>#N/A</v>
      </c>
      <c r="AF910" s="4" t="e">
        <f t="shared" si="116"/>
        <v>#N/A</v>
      </c>
    </row>
    <row r="911" spans="2:32">
      <c r="B911" s="5">
        <f t="shared" si="114"/>
        <v>899</v>
      </c>
      <c r="C911" s="5"/>
      <c r="E911" s="13"/>
      <c r="F911" s="5"/>
      <c r="G911" s="11" t="str">
        <f>IF(ISERROR(AVERAGE(F$13:F911)),"n/a",AVERAGE(F$13:F911))</f>
        <v>n/a</v>
      </c>
      <c r="H911" s="11" t="str">
        <f t="shared" si="117"/>
        <v>n/a</v>
      </c>
      <c r="J911" s="5"/>
      <c r="K911" s="5"/>
      <c r="L911" s="5"/>
      <c r="M911" s="5"/>
      <c r="N911" s="5"/>
      <c r="O911" s="8" t="str">
        <f t="shared" si="115"/>
        <v>n/a</v>
      </c>
      <c r="Q911" s="5"/>
      <c r="R911" s="5"/>
      <c r="S911" s="5"/>
      <c r="U911" s="6"/>
      <c r="V911" s="9" t="str">
        <f t="shared" si="118"/>
        <v/>
      </c>
      <c r="W911" s="9" t="str">
        <f t="shared" si="119"/>
        <v/>
      </c>
      <c r="X911" s="10">
        <f>SUM(V$13:V911)/COUNTA(B$13:B911)</f>
        <v>0</v>
      </c>
      <c r="Z911" s="5"/>
      <c r="AA911" s="5"/>
      <c r="AC911" s="7"/>
      <c r="AE911" s="54" t="e">
        <f t="shared" si="120"/>
        <v>#N/A</v>
      </c>
      <c r="AF911" s="4" t="e">
        <f t="shared" si="116"/>
        <v>#N/A</v>
      </c>
    </row>
    <row r="912" spans="2:32">
      <c r="B912" s="5">
        <f t="shared" si="114"/>
        <v>900</v>
      </c>
      <c r="C912" s="5"/>
      <c r="E912" s="13"/>
      <c r="F912" s="5"/>
      <c r="G912" s="11" t="str">
        <f>IF(ISERROR(AVERAGE(F$13:F912)),"n/a",AVERAGE(F$13:F912))</f>
        <v>n/a</v>
      </c>
      <c r="H912" s="11" t="str">
        <f t="shared" si="117"/>
        <v>n/a</v>
      </c>
      <c r="J912" s="5"/>
      <c r="K912" s="5"/>
      <c r="L912" s="5"/>
      <c r="M912" s="5"/>
      <c r="N912" s="5"/>
      <c r="O912" s="8" t="str">
        <f t="shared" si="115"/>
        <v>n/a</v>
      </c>
      <c r="Q912" s="5"/>
      <c r="R912" s="5"/>
      <c r="S912" s="5"/>
      <c r="U912" s="6"/>
      <c r="V912" s="9" t="str">
        <f t="shared" si="118"/>
        <v/>
      </c>
      <c r="W912" s="9" t="str">
        <f t="shared" si="119"/>
        <v/>
      </c>
      <c r="X912" s="10">
        <f>SUM(V$13:V912)/COUNTA(B$13:B912)</f>
        <v>0</v>
      </c>
      <c r="Z912" s="5"/>
      <c r="AA912" s="5"/>
      <c r="AC912" s="7"/>
      <c r="AE912" s="54" t="e">
        <f t="shared" si="120"/>
        <v>#N/A</v>
      </c>
      <c r="AF912" s="4" t="e">
        <f t="shared" si="116"/>
        <v>#N/A</v>
      </c>
    </row>
    <row r="913" spans="2:32">
      <c r="B913" s="5">
        <f t="shared" si="114"/>
        <v>901</v>
      </c>
      <c r="C913" s="5"/>
      <c r="E913" s="13"/>
      <c r="F913" s="5"/>
      <c r="G913" s="11" t="str">
        <f>IF(ISERROR(AVERAGE(F$13:F913)),"n/a",AVERAGE(F$13:F913))</f>
        <v>n/a</v>
      </c>
      <c r="H913" s="11" t="str">
        <f t="shared" si="117"/>
        <v>n/a</v>
      </c>
      <c r="J913" s="5"/>
      <c r="K913" s="5"/>
      <c r="L913" s="5"/>
      <c r="M913" s="5"/>
      <c r="N913" s="5"/>
      <c r="O913" s="8" t="str">
        <f t="shared" si="115"/>
        <v>n/a</v>
      </c>
      <c r="Q913" s="5"/>
      <c r="R913" s="5"/>
      <c r="S913" s="5"/>
      <c r="U913" s="6"/>
      <c r="V913" s="9" t="str">
        <f t="shared" si="118"/>
        <v/>
      </c>
      <c r="W913" s="9" t="str">
        <f t="shared" si="119"/>
        <v/>
      </c>
      <c r="X913" s="10">
        <f>SUM(V$13:V913)/COUNTA(B$13:B913)</f>
        <v>0</v>
      </c>
      <c r="Z913" s="5"/>
      <c r="AA913" s="5"/>
      <c r="AC913" s="7"/>
      <c r="AE913" s="54" t="e">
        <f t="shared" si="120"/>
        <v>#N/A</v>
      </c>
      <c r="AF913" s="4" t="e">
        <f t="shared" si="116"/>
        <v>#N/A</v>
      </c>
    </row>
    <row r="914" spans="2:32">
      <c r="B914" s="5">
        <f t="shared" si="114"/>
        <v>902</v>
      </c>
      <c r="C914" s="5"/>
      <c r="E914" s="13"/>
      <c r="F914" s="5"/>
      <c r="G914" s="11" t="str">
        <f>IF(ISERROR(AVERAGE(F$13:F914)),"n/a",AVERAGE(F$13:F914))</f>
        <v>n/a</v>
      </c>
      <c r="H914" s="11" t="str">
        <f t="shared" si="117"/>
        <v>n/a</v>
      </c>
      <c r="J914" s="5"/>
      <c r="K914" s="5"/>
      <c r="L914" s="5"/>
      <c r="M914" s="5"/>
      <c r="N914" s="5"/>
      <c r="O914" s="8" t="str">
        <f t="shared" si="115"/>
        <v>n/a</v>
      </c>
      <c r="Q914" s="5"/>
      <c r="R914" s="5"/>
      <c r="S914" s="5"/>
      <c r="U914" s="6"/>
      <c r="V914" s="9" t="str">
        <f t="shared" si="118"/>
        <v/>
      </c>
      <c r="W914" s="9" t="str">
        <f t="shared" si="119"/>
        <v/>
      </c>
      <c r="X914" s="10">
        <f>SUM(V$13:V914)/COUNTA(B$13:B914)</f>
        <v>0</v>
      </c>
      <c r="Z914" s="5"/>
      <c r="AA914" s="5"/>
      <c r="AC914" s="7"/>
      <c r="AE914" s="54" t="e">
        <f t="shared" si="120"/>
        <v>#N/A</v>
      </c>
      <c r="AF914" s="4" t="e">
        <f t="shared" si="116"/>
        <v>#N/A</v>
      </c>
    </row>
    <row r="915" spans="2:32">
      <c r="B915" s="5">
        <f t="shared" ref="B915:B978" si="121">+B914+1</f>
        <v>903</v>
      </c>
      <c r="C915" s="5"/>
      <c r="E915" s="13"/>
      <c r="F915" s="5"/>
      <c r="G915" s="11" t="str">
        <f>IF(ISERROR(AVERAGE(F$13:F915)),"n/a",AVERAGE(F$13:F915))</f>
        <v>n/a</v>
      </c>
      <c r="H915" s="11" t="str">
        <f t="shared" si="117"/>
        <v>n/a</v>
      </c>
      <c r="J915" s="5"/>
      <c r="K915" s="5"/>
      <c r="L915" s="5"/>
      <c r="M915" s="5"/>
      <c r="N915" s="5"/>
      <c r="O915" s="8" t="str">
        <f t="shared" si="115"/>
        <v>n/a</v>
      </c>
      <c r="Q915" s="5"/>
      <c r="R915" s="5"/>
      <c r="S915" s="5"/>
      <c r="U915" s="6"/>
      <c r="V915" s="9" t="str">
        <f t="shared" si="118"/>
        <v/>
      </c>
      <c r="W915" s="9" t="str">
        <f t="shared" si="119"/>
        <v/>
      </c>
      <c r="X915" s="10">
        <f>SUM(V$13:V915)/COUNTA(B$13:B915)</f>
        <v>0</v>
      </c>
      <c r="Z915" s="5"/>
      <c r="AA915" s="5"/>
      <c r="AC915" s="7"/>
      <c r="AE915" s="54" t="e">
        <f t="shared" si="120"/>
        <v>#N/A</v>
      </c>
      <c r="AF915" s="4" t="e">
        <f t="shared" si="116"/>
        <v>#N/A</v>
      </c>
    </row>
    <row r="916" spans="2:32">
      <c r="B916" s="5">
        <f t="shared" si="121"/>
        <v>904</v>
      </c>
      <c r="C916" s="5"/>
      <c r="E916" s="13"/>
      <c r="F916" s="5"/>
      <c r="G916" s="11" t="str">
        <f>IF(ISERROR(AVERAGE(F$13:F916)),"n/a",AVERAGE(F$13:F916))</f>
        <v>n/a</v>
      </c>
      <c r="H916" s="11" t="str">
        <f t="shared" si="117"/>
        <v>n/a</v>
      </c>
      <c r="J916" s="5"/>
      <c r="K916" s="5"/>
      <c r="L916" s="5"/>
      <c r="M916" s="5"/>
      <c r="N916" s="5"/>
      <c r="O916" s="8" t="str">
        <f t="shared" si="115"/>
        <v>n/a</v>
      </c>
      <c r="Q916" s="5"/>
      <c r="R916" s="5"/>
      <c r="S916" s="5"/>
      <c r="U916" s="6"/>
      <c r="V916" s="9" t="str">
        <f t="shared" si="118"/>
        <v/>
      </c>
      <c r="W916" s="9" t="str">
        <f t="shared" si="119"/>
        <v/>
      </c>
      <c r="X916" s="10">
        <f>SUM(V$13:V916)/COUNTA(B$13:B916)</f>
        <v>0</v>
      </c>
      <c r="Z916" s="5"/>
      <c r="AA916" s="5"/>
      <c r="AC916" s="7"/>
      <c r="AE916" s="54" t="e">
        <f t="shared" si="120"/>
        <v>#N/A</v>
      </c>
      <c r="AF916" s="4" t="e">
        <f t="shared" si="116"/>
        <v>#N/A</v>
      </c>
    </row>
    <row r="917" spans="2:32">
      <c r="B917" s="5">
        <f t="shared" si="121"/>
        <v>905</v>
      </c>
      <c r="C917" s="5"/>
      <c r="E917" s="13"/>
      <c r="F917" s="5"/>
      <c r="G917" s="11" t="str">
        <f>IF(ISERROR(AVERAGE(F$13:F917)),"n/a",AVERAGE(F$13:F917))</f>
        <v>n/a</v>
      </c>
      <c r="H917" s="11" t="str">
        <f t="shared" si="117"/>
        <v>n/a</v>
      </c>
      <c r="J917" s="5"/>
      <c r="K917" s="5"/>
      <c r="L917" s="5"/>
      <c r="M917" s="5"/>
      <c r="N917" s="5"/>
      <c r="O917" s="8" t="str">
        <f t="shared" si="115"/>
        <v>n/a</v>
      </c>
      <c r="Q917" s="5"/>
      <c r="R917" s="5"/>
      <c r="S917" s="5"/>
      <c r="U917" s="6"/>
      <c r="V917" s="9" t="str">
        <f t="shared" si="118"/>
        <v/>
      </c>
      <c r="W917" s="9" t="str">
        <f t="shared" si="119"/>
        <v/>
      </c>
      <c r="X917" s="10">
        <f>SUM(V$13:V917)/COUNTA(B$13:B917)</f>
        <v>0</v>
      </c>
      <c r="Z917" s="5"/>
      <c r="AA917" s="5"/>
      <c r="AC917" s="7"/>
      <c r="AE917" s="54" t="e">
        <f t="shared" si="120"/>
        <v>#N/A</v>
      </c>
      <c r="AF917" s="4" t="e">
        <f t="shared" si="116"/>
        <v>#N/A</v>
      </c>
    </row>
    <row r="918" spans="2:32">
      <c r="B918" s="5">
        <f t="shared" si="121"/>
        <v>906</v>
      </c>
      <c r="C918" s="5"/>
      <c r="E918" s="13"/>
      <c r="F918" s="5"/>
      <c r="G918" s="11" t="str">
        <f>IF(ISERROR(AVERAGE(F$13:F918)),"n/a",AVERAGE(F$13:F918))</f>
        <v>n/a</v>
      </c>
      <c r="H918" s="11" t="str">
        <f t="shared" si="117"/>
        <v>n/a</v>
      </c>
      <c r="J918" s="5"/>
      <c r="K918" s="5"/>
      <c r="L918" s="5"/>
      <c r="M918" s="5"/>
      <c r="N918" s="5"/>
      <c r="O918" s="8" t="str">
        <f t="shared" si="115"/>
        <v>n/a</v>
      </c>
      <c r="Q918" s="5"/>
      <c r="R918" s="5"/>
      <c r="S918" s="5"/>
      <c r="U918" s="6"/>
      <c r="V918" s="9" t="str">
        <f t="shared" si="118"/>
        <v/>
      </c>
      <c r="W918" s="9" t="str">
        <f t="shared" si="119"/>
        <v/>
      </c>
      <c r="X918" s="10">
        <f>SUM(V$13:V918)/COUNTA(B$13:B918)</f>
        <v>0</v>
      </c>
      <c r="Z918" s="5"/>
      <c r="AA918" s="5"/>
      <c r="AC918" s="7"/>
      <c r="AE918" s="54" t="e">
        <f t="shared" si="120"/>
        <v>#N/A</v>
      </c>
      <c r="AF918" s="4" t="e">
        <f t="shared" si="116"/>
        <v>#N/A</v>
      </c>
    </row>
    <row r="919" spans="2:32">
      <c r="B919" s="5">
        <f t="shared" si="121"/>
        <v>907</v>
      </c>
      <c r="C919" s="5"/>
      <c r="E919" s="13"/>
      <c r="F919" s="5"/>
      <c r="G919" s="11" t="str">
        <f>IF(ISERROR(AVERAGE(F$13:F919)),"n/a",AVERAGE(F$13:F919))</f>
        <v>n/a</v>
      </c>
      <c r="H919" s="11" t="str">
        <f t="shared" si="117"/>
        <v>n/a</v>
      </c>
      <c r="J919" s="5"/>
      <c r="K919" s="5"/>
      <c r="L919" s="5"/>
      <c r="M919" s="5"/>
      <c r="N919" s="5"/>
      <c r="O919" s="8" t="str">
        <f t="shared" si="115"/>
        <v>n/a</v>
      </c>
      <c r="Q919" s="5"/>
      <c r="R919" s="5"/>
      <c r="S919" s="5"/>
      <c r="U919" s="6"/>
      <c r="V919" s="9" t="str">
        <f t="shared" si="118"/>
        <v/>
      </c>
      <c r="W919" s="9" t="str">
        <f t="shared" si="119"/>
        <v/>
      </c>
      <c r="X919" s="10">
        <f>SUM(V$13:V919)/COUNTA(B$13:B919)</f>
        <v>0</v>
      </c>
      <c r="Z919" s="5"/>
      <c r="AA919" s="5"/>
      <c r="AC919" s="7"/>
      <c r="AE919" s="54" t="e">
        <f t="shared" si="120"/>
        <v>#N/A</v>
      </c>
      <c r="AF919" s="4" t="e">
        <f t="shared" si="116"/>
        <v>#N/A</v>
      </c>
    </row>
    <row r="920" spans="2:32">
      <c r="B920" s="5">
        <f t="shared" si="121"/>
        <v>908</v>
      </c>
      <c r="C920" s="5"/>
      <c r="E920" s="13"/>
      <c r="F920" s="5"/>
      <c r="G920" s="11" t="str">
        <f>IF(ISERROR(AVERAGE(F$13:F920)),"n/a",AVERAGE(F$13:F920))</f>
        <v>n/a</v>
      </c>
      <c r="H920" s="11" t="str">
        <f t="shared" si="117"/>
        <v>n/a</v>
      </c>
      <c r="J920" s="5"/>
      <c r="K920" s="5"/>
      <c r="L920" s="5"/>
      <c r="M920" s="5"/>
      <c r="N920" s="5"/>
      <c r="O920" s="8" t="str">
        <f t="shared" si="115"/>
        <v>n/a</v>
      </c>
      <c r="Q920" s="5"/>
      <c r="R920" s="5"/>
      <c r="S920" s="5"/>
      <c r="U920" s="6"/>
      <c r="V920" s="9" t="str">
        <f t="shared" si="118"/>
        <v/>
      </c>
      <c r="W920" s="9" t="str">
        <f t="shared" si="119"/>
        <v/>
      </c>
      <c r="X920" s="10">
        <f>SUM(V$13:V920)/COUNTA(B$13:B920)</f>
        <v>0</v>
      </c>
      <c r="Z920" s="5"/>
      <c r="AA920" s="5"/>
      <c r="AC920" s="7"/>
      <c r="AE920" s="54" t="e">
        <f t="shared" si="120"/>
        <v>#N/A</v>
      </c>
      <c r="AF920" s="4" t="e">
        <f t="shared" si="116"/>
        <v>#N/A</v>
      </c>
    </row>
    <row r="921" spans="2:32">
      <c r="B921" s="5">
        <f t="shared" si="121"/>
        <v>909</v>
      </c>
      <c r="C921" s="5"/>
      <c r="E921" s="13"/>
      <c r="F921" s="5"/>
      <c r="G921" s="11" t="str">
        <f>IF(ISERROR(AVERAGE(F$13:F921)),"n/a",AVERAGE(F$13:F921))</f>
        <v>n/a</v>
      </c>
      <c r="H921" s="11" t="str">
        <f t="shared" si="117"/>
        <v>n/a</v>
      </c>
      <c r="J921" s="5"/>
      <c r="K921" s="5"/>
      <c r="L921" s="5"/>
      <c r="M921" s="5"/>
      <c r="N921" s="5"/>
      <c r="O921" s="8" t="str">
        <f t="shared" si="115"/>
        <v>n/a</v>
      </c>
      <c r="Q921" s="5"/>
      <c r="R921" s="5"/>
      <c r="S921" s="5"/>
      <c r="U921" s="6"/>
      <c r="V921" s="9" t="str">
        <f t="shared" si="118"/>
        <v/>
      </c>
      <c r="W921" s="9" t="str">
        <f t="shared" si="119"/>
        <v/>
      </c>
      <c r="X921" s="10">
        <f>SUM(V$13:V921)/COUNTA(B$13:B921)</f>
        <v>0</v>
      </c>
      <c r="Z921" s="5"/>
      <c r="AA921" s="5"/>
      <c r="AC921" s="7"/>
      <c r="AE921" s="54" t="e">
        <f t="shared" si="120"/>
        <v>#N/A</v>
      </c>
      <c r="AF921" s="4" t="e">
        <f t="shared" si="116"/>
        <v>#N/A</v>
      </c>
    </row>
    <row r="922" spans="2:32">
      <c r="B922" s="5">
        <f t="shared" si="121"/>
        <v>910</v>
      </c>
      <c r="C922" s="5"/>
      <c r="E922" s="13"/>
      <c r="F922" s="5"/>
      <c r="G922" s="11" t="str">
        <f>IF(ISERROR(AVERAGE(F$13:F922)),"n/a",AVERAGE(F$13:F922))</f>
        <v>n/a</v>
      </c>
      <c r="H922" s="11" t="str">
        <f t="shared" si="117"/>
        <v>n/a</v>
      </c>
      <c r="J922" s="5"/>
      <c r="K922" s="5"/>
      <c r="L922" s="5"/>
      <c r="M922" s="5"/>
      <c r="N922" s="5"/>
      <c r="O922" s="8" t="str">
        <f t="shared" si="115"/>
        <v>n/a</v>
      </c>
      <c r="Q922" s="5"/>
      <c r="R922" s="5"/>
      <c r="S922" s="5"/>
      <c r="U922" s="6"/>
      <c r="V922" s="9" t="str">
        <f t="shared" si="118"/>
        <v/>
      </c>
      <c r="W922" s="9" t="str">
        <f t="shared" si="119"/>
        <v/>
      </c>
      <c r="X922" s="10">
        <f>SUM(V$13:V922)/COUNTA(B$13:B922)</f>
        <v>0</v>
      </c>
      <c r="Z922" s="5"/>
      <c r="AA922" s="5"/>
      <c r="AC922" s="7"/>
      <c r="AE922" s="54" t="e">
        <f t="shared" si="120"/>
        <v>#N/A</v>
      </c>
      <c r="AF922" s="4" t="e">
        <f t="shared" si="116"/>
        <v>#N/A</v>
      </c>
    </row>
    <row r="923" spans="2:32">
      <c r="B923" s="5">
        <f t="shared" si="121"/>
        <v>911</v>
      </c>
      <c r="C923" s="5"/>
      <c r="E923" s="13"/>
      <c r="F923" s="5"/>
      <c r="G923" s="11" t="str">
        <f>IF(ISERROR(AVERAGE(F$13:F923)),"n/a",AVERAGE(F$13:F923))</f>
        <v>n/a</v>
      </c>
      <c r="H923" s="11" t="str">
        <f t="shared" si="117"/>
        <v>n/a</v>
      </c>
      <c r="J923" s="5"/>
      <c r="K923" s="5"/>
      <c r="L923" s="5"/>
      <c r="M923" s="5"/>
      <c r="N923" s="5"/>
      <c r="O923" s="8" t="str">
        <f t="shared" si="115"/>
        <v>n/a</v>
      </c>
      <c r="Q923" s="5"/>
      <c r="R923" s="5"/>
      <c r="S923" s="5"/>
      <c r="U923" s="6"/>
      <c r="V923" s="9" t="str">
        <f t="shared" si="118"/>
        <v/>
      </c>
      <c r="W923" s="9" t="str">
        <f t="shared" si="119"/>
        <v/>
      </c>
      <c r="X923" s="10">
        <f>SUM(V$13:V923)/COUNTA(B$13:B923)</f>
        <v>0</v>
      </c>
      <c r="Z923" s="5"/>
      <c r="AA923" s="5"/>
      <c r="AC923" s="7"/>
      <c r="AE923" s="54" t="e">
        <f t="shared" si="120"/>
        <v>#N/A</v>
      </c>
      <c r="AF923" s="4" t="e">
        <f t="shared" si="116"/>
        <v>#N/A</v>
      </c>
    </row>
    <row r="924" spans="2:32">
      <c r="B924" s="5">
        <f t="shared" si="121"/>
        <v>912</v>
      </c>
      <c r="C924" s="5"/>
      <c r="E924" s="13"/>
      <c r="F924" s="5"/>
      <c r="G924" s="11" t="str">
        <f>IF(ISERROR(AVERAGE(F$13:F924)),"n/a",AVERAGE(F$13:F924))</f>
        <v>n/a</v>
      </c>
      <c r="H924" s="11" t="str">
        <f t="shared" si="117"/>
        <v>n/a</v>
      </c>
      <c r="J924" s="5"/>
      <c r="K924" s="5"/>
      <c r="L924" s="5"/>
      <c r="M924" s="5"/>
      <c r="N924" s="5"/>
      <c r="O924" s="8" t="str">
        <f t="shared" si="115"/>
        <v>n/a</v>
      </c>
      <c r="Q924" s="5"/>
      <c r="R924" s="5"/>
      <c r="S924" s="5"/>
      <c r="U924" s="6"/>
      <c r="V924" s="9" t="str">
        <f t="shared" si="118"/>
        <v/>
      </c>
      <c r="W924" s="9" t="str">
        <f t="shared" si="119"/>
        <v/>
      </c>
      <c r="X924" s="10">
        <f>SUM(V$13:V924)/COUNTA(B$13:B924)</f>
        <v>0</v>
      </c>
      <c r="Z924" s="5"/>
      <c r="AA924" s="5"/>
      <c r="AC924" s="7"/>
      <c r="AE924" s="54" t="e">
        <f t="shared" si="120"/>
        <v>#N/A</v>
      </c>
      <c r="AF924" s="4" t="e">
        <f t="shared" si="116"/>
        <v>#N/A</v>
      </c>
    </row>
    <row r="925" spans="2:32">
      <c r="B925" s="5">
        <f t="shared" si="121"/>
        <v>913</v>
      </c>
      <c r="C925" s="5"/>
      <c r="E925" s="13"/>
      <c r="F925" s="5"/>
      <c r="G925" s="11" t="str">
        <f>IF(ISERROR(AVERAGE(F$13:F925)),"n/a",AVERAGE(F$13:F925))</f>
        <v>n/a</v>
      </c>
      <c r="H925" s="11" t="str">
        <f t="shared" si="117"/>
        <v>n/a</v>
      </c>
      <c r="J925" s="5"/>
      <c r="K925" s="5"/>
      <c r="L925" s="5"/>
      <c r="M925" s="5"/>
      <c r="N925" s="5"/>
      <c r="O925" s="8" t="str">
        <f t="shared" si="115"/>
        <v>n/a</v>
      </c>
      <c r="Q925" s="5"/>
      <c r="R925" s="5"/>
      <c r="S925" s="5"/>
      <c r="U925" s="6"/>
      <c r="V925" s="9" t="str">
        <f t="shared" si="118"/>
        <v/>
      </c>
      <c r="W925" s="9" t="str">
        <f t="shared" si="119"/>
        <v/>
      </c>
      <c r="X925" s="10">
        <f>SUM(V$13:V925)/COUNTA(B$13:B925)</f>
        <v>0</v>
      </c>
      <c r="Z925" s="5"/>
      <c r="AA925" s="5"/>
      <c r="AC925" s="7"/>
      <c r="AE925" s="54" t="e">
        <f t="shared" si="120"/>
        <v>#N/A</v>
      </c>
      <c r="AF925" s="4" t="e">
        <f t="shared" si="116"/>
        <v>#N/A</v>
      </c>
    </row>
    <row r="926" spans="2:32">
      <c r="B926" s="5">
        <f t="shared" si="121"/>
        <v>914</v>
      </c>
      <c r="C926" s="5"/>
      <c r="E926" s="13"/>
      <c r="F926" s="5"/>
      <c r="G926" s="11" t="str">
        <f>IF(ISERROR(AVERAGE(F$13:F926)),"n/a",AVERAGE(F$13:F926))</f>
        <v>n/a</v>
      </c>
      <c r="H926" s="11" t="str">
        <f t="shared" si="117"/>
        <v>n/a</v>
      </c>
      <c r="J926" s="5"/>
      <c r="K926" s="5"/>
      <c r="L926" s="5"/>
      <c r="M926" s="5"/>
      <c r="N926" s="5"/>
      <c r="O926" s="8" t="str">
        <f t="shared" si="115"/>
        <v>n/a</v>
      </c>
      <c r="Q926" s="5"/>
      <c r="R926" s="5"/>
      <c r="S926" s="5"/>
      <c r="U926" s="6"/>
      <c r="V926" s="9" t="str">
        <f t="shared" si="118"/>
        <v/>
      </c>
      <c r="W926" s="9" t="str">
        <f t="shared" si="119"/>
        <v/>
      </c>
      <c r="X926" s="10">
        <f>SUM(V$13:V926)/COUNTA(B$13:B926)</f>
        <v>0</v>
      </c>
      <c r="Z926" s="5"/>
      <c r="AA926" s="5"/>
      <c r="AC926" s="7"/>
      <c r="AE926" s="54" t="e">
        <f t="shared" si="120"/>
        <v>#N/A</v>
      </c>
      <c r="AF926" s="4" t="e">
        <f t="shared" si="116"/>
        <v>#N/A</v>
      </c>
    </row>
    <row r="927" spans="2:32">
      <c r="B927" s="5">
        <f t="shared" si="121"/>
        <v>915</v>
      </c>
      <c r="C927" s="5"/>
      <c r="E927" s="13"/>
      <c r="F927" s="5"/>
      <c r="G927" s="11" t="str">
        <f>IF(ISERROR(AVERAGE(F$13:F927)),"n/a",AVERAGE(F$13:F927))</f>
        <v>n/a</v>
      </c>
      <c r="H927" s="11" t="str">
        <f t="shared" si="117"/>
        <v>n/a</v>
      </c>
      <c r="J927" s="5"/>
      <c r="K927" s="5"/>
      <c r="L927" s="5"/>
      <c r="M927" s="5"/>
      <c r="N927" s="5"/>
      <c r="O927" s="8" t="str">
        <f t="shared" si="115"/>
        <v>n/a</v>
      </c>
      <c r="Q927" s="5"/>
      <c r="R927" s="5"/>
      <c r="S927" s="5"/>
      <c r="U927" s="6"/>
      <c r="V927" s="9" t="str">
        <f t="shared" si="118"/>
        <v/>
      </c>
      <c r="W927" s="9" t="str">
        <f t="shared" si="119"/>
        <v/>
      </c>
      <c r="X927" s="10">
        <f>SUM(V$13:V927)/COUNTA(B$13:B927)</f>
        <v>0</v>
      </c>
      <c r="Z927" s="5"/>
      <c r="AA927" s="5"/>
      <c r="AC927" s="7"/>
      <c r="AE927" s="54" t="e">
        <f t="shared" si="120"/>
        <v>#N/A</v>
      </c>
      <c r="AF927" s="4" t="e">
        <f t="shared" si="116"/>
        <v>#N/A</v>
      </c>
    </row>
    <row r="928" spans="2:32">
      <c r="B928" s="5">
        <f t="shared" si="121"/>
        <v>916</v>
      </c>
      <c r="C928" s="5"/>
      <c r="E928" s="13"/>
      <c r="F928" s="5"/>
      <c r="G928" s="11" t="str">
        <f>IF(ISERROR(AVERAGE(F$13:F928)),"n/a",AVERAGE(F$13:F928))</f>
        <v>n/a</v>
      </c>
      <c r="H928" s="11" t="str">
        <f t="shared" si="117"/>
        <v>n/a</v>
      </c>
      <c r="J928" s="5"/>
      <c r="K928" s="5"/>
      <c r="L928" s="5"/>
      <c r="M928" s="5"/>
      <c r="N928" s="5"/>
      <c r="O928" s="8" t="str">
        <f t="shared" si="115"/>
        <v>n/a</v>
      </c>
      <c r="Q928" s="5"/>
      <c r="R928" s="5"/>
      <c r="S928" s="5"/>
      <c r="U928" s="6"/>
      <c r="V928" s="9" t="str">
        <f t="shared" si="118"/>
        <v/>
      </c>
      <c r="W928" s="9" t="str">
        <f t="shared" si="119"/>
        <v/>
      </c>
      <c r="X928" s="10">
        <f>SUM(V$13:V928)/COUNTA(B$13:B928)</f>
        <v>0</v>
      </c>
      <c r="Z928" s="5"/>
      <c r="AA928" s="5"/>
      <c r="AC928" s="7"/>
      <c r="AE928" s="54" t="e">
        <f t="shared" si="120"/>
        <v>#N/A</v>
      </c>
      <c r="AF928" s="4" t="e">
        <f t="shared" si="116"/>
        <v>#N/A</v>
      </c>
    </row>
    <row r="929" spans="2:32">
      <c r="B929" s="5">
        <f t="shared" si="121"/>
        <v>917</v>
      </c>
      <c r="C929" s="5"/>
      <c r="E929" s="13"/>
      <c r="F929" s="5"/>
      <c r="G929" s="11" t="str">
        <f>IF(ISERROR(AVERAGE(F$13:F929)),"n/a",AVERAGE(F$13:F929))</f>
        <v>n/a</v>
      </c>
      <c r="H929" s="11" t="str">
        <f t="shared" si="117"/>
        <v>n/a</v>
      </c>
      <c r="J929" s="5"/>
      <c r="K929" s="5"/>
      <c r="L929" s="5"/>
      <c r="M929" s="5"/>
      <c r="N929" s="5"/>
      <c r="O929" s="8" t="str">
        <f t="shared" si="115"/>
        <v>n/a</v>
      </c>
      <c r="Q929" s="5"/>
      <c r="R929" s="5"/>
      <c r="S929" s="5"/>
      <c r="U929" s="6"/>
      <c r="V929" s="9" t="str">
        <f t="shared" si="118"/>
        <v/>
      </c>
      <c r="W929" s="9" t="str">
        <f t="shared" si="119"/>
        <v/>
      </c>
      <c r="X929" s="10">
        <f>SUM(V$13:V929)/COUNTA(B$13:B929)</f>
        <v>0</v>
      </c>
      <c r="Z929" s="5"/>
      <c r="AA929" s="5"/>
      <c r="AC929" s="7"/>
      <c r="AE929" s="54" t="e">
        <f t="shared" si="120"/>
        <v>#N/A</v>
      </c>
      <c r="AF929" s="4" t="e">
        <f t="shared" si="116"/>
        <v>#N/A</v>
      </c>
    </row>
    <row r="930" spans="2:32">
      <c r="B930" s="5">
        <f t="shared" si="121"/>
        <v>918</v>
      </c>
      <c r="C930" s="5"/>
      <c r="E930" s="13"/>
      <c r="F930" s="5"/>
      <c r="G930" s="11" t="str">
        <f>IF(ISERROR(AVERAGE(F$13:F930)),"n/a",AVERAGE(F$13:F930))</f>
        <v>n/a</v>
      </c>
      <c r="H930" s="11" t="str">
        <f t="shared" si="117"/>
        <v>n/a</v>
      </c>
      <c r="J930" s="5"/>
      <c r="K930" s="5"/>
      <c r="L930" s="5"/>
      <c r="M930" s="5"/>
      <c r="N930" s="5"/>
      <c r="O930" s="8" t="str">
        <f t="shared" si="115"/>
        <v>n/a</v>
      </c>
      <c r="Q930" s="5"/>
      <c r="R930" s="5"/>
      <c r="S930" s="5"/>
      <c r="U930" s="6"/>
      <c r="V930" s="9" t="str">
        <f t="shared" si="118"/>
        <v/>
      </c>
      <c r="W930" s="9" t="str">
        <f t="shared" si="119"/>
        <v/>
      </c>
      <c r="X930" s="10">
        <f>SUM(V$13:V930)/COUNTA(B$13:B930)</f>
        <v>0</v>
      </c>
      <c r="Z930" s="5"/>
      <c r="AA930" s="5"/>
      <c r="AC930" s="7"/>
      <c r="AE930" s="54" t="e">
        <f t="shared" si="120"/>
        <v>#N/A</v>
      </c>
      <c r="AF930" s="4" t="e">
        <f t="shared" si="116"/>
        <v>#N/A</v>
      </c>
    </row>
    <row r="931" spans="2:32">
      <c r="B931" s="5">
        <f t="shared" si="121"/>
        <v>919</v>
      </c>
      <c r="C931" s="5"/>
      <c r="E931" s="13"/>
      <c r="F931" s="5"/>
      <c r="G931" s="11" t="str">
        <f>IF(ISERROR(AVERAGE(F$13:F931)),"n/a",AVERAGE(F$13:F931))</f>
        <v>n/a</v>
      </c>
      <c r="H931" s="11" t="str">
        <f t="shared" si="117"/>
        <v>n/a</v>
      </c>
      <c r="J931" s="5"/>
      <c r="K931" s="5"/>
      <c r="L931" s="5"/>
      <c r="M931" s="5"/>
      <c r="N931" s="5"/>
      <c r="O931" s="8" t="str">
        <f t="shared" si="115"/>
        <v>n/a</v>
      </c>
      <c r="Q931" s="5"/>
      <c r="R931" s="5"/>
      <c r="S931" s="5"/>
      <c r="U931" s="6"/>
      <c r="V931" s="9" t="str">
        <f t="shared" si="118"/>
        <v/>
      </c>
      <c r="W931" s="9" t="str">
        <f t="shared" si="119"/>
        <v/>
      </c>
      <c r="X931" s="10">
        <f>SUM(V$13:V931)/COUNTA(B$13:B931)</f>
        <v>0</v>
      </c>
      <c r="Z931" s="5"/>
      <c r="AA931" s="5"/>
      <c r="AC931" s="7"/>
      <c r="AE931" s="54" t="e">
        <f t="shared" si="120"/>
        <v>#N/A</v>
      </c>
      <c r="AF931" s="4" t="e">
        <f t="shared" si="116"/>
        <v>#N/A</v>
      </c>
    </row>
    <row r="932" spans="2:32">
      <c r="B932" s="5">
        <f t="shared" si="121"/>
        <v>920</v>
      </c>
      <c r="C932" s="5"/>
      <c r="E932" s="13"/>
      <c r="F932" s="5"/>
      <c r="G932" s="11" t="str">
        <f>IF(ISERROR(AVERAGE(F$13:F932)),"n/a",AVERAGE(F$13:F932))</f>
        <v>n/a</v>
      </c>
      <c r="H932" s="11" t="str">
        <f t="shared" si="117"/>
        <v>n/a</v>
      </c>
      <c r="J932" s="5"/>
      <c r="K932" s="5"/>
      <c r="L932" s="5"/>
      <c r="M932" s="5"/>
      <c r="N932" s="5"/>
      <c r="O932" s="8" t="str">
        <f t="shared" si="115"/>
        <v>n/a</v>
      </c>
      <c r="Q932" s="5"/>
      <c r="R932" s="5"/>
      <c r="S932" s="5"/>
      <c r="U932" s="6"/>
      <c r="V932" s="9" t="str">
        <f t="shared" si="118"/>
        <v/>
      </c>
      <c r="W932" s="9" t="str">
        <f t="shared" si="119"/>
        <v/>
      </c>
      <c r="X932" s="10">
        <f>SUM(V$13:V932)/COUNTA(B$13:B932)</f>
        <v>0</v>
      </c>
      <c r="Z932" s="5"/>
      <c r="AA932" s="5"/>
      <c r="AC932" s="7"/>
      <c r="AE932" s="54" t="e">
        <f t="shared" si="120"/>
        <v>#N/A</v>
      </c>
      <c r="AF932" s="4" t="e">
        <f t="shared" si="116"/>
        <v>#N/A</v>
      </c>
    </row>
    <row r="933" spans="2:32">
      <c r="B933" s="5">
        <f t="shared" si="121"/>
        <v>921</v>
      </c>
      <c r="C933" s="5"/>
      <c r="E933" s="13"/>
      <c r="F933" s="5"/>
      <c r="G933" s="11" t="str">
        <f>IF(ISERROR(AVERAGE(F$13:F933)),"n/a",AVERAGE(F$13:F933))</f>
        <v>n/a</v>
      </c>
      <c r="H933" s="11" t="str">
        <f t="shared" si="117"/>
        <v>n/a</v>
      </c>
      <c r="J933" s="5"/>
      <c r="K933" s="5"/>
      <c r="L933" s="5"/>
      <c r="M933" s="5"/>
      <c r="N933" s="5"/>
      <c r="O933" s="8" t="str">
        <f t="shared" si="115"/>
        <v>n/a</v>
      </c>
      <c r="Q933" s="5"/>
      <c r="R933" s="5"/>
      <c r="S933" s="5"/>
      <c r="U933" s="6"/>
      <c r="V933" s="9" t="str">
        <f t="shared" si="118"/>
        <v/>
      </c>
      <c r="W933" s="9" t="str">
        <f t="shared" si="119"/>
        <v/>
      </c>
      <c r="X933" s="10">
        <f>SUM(V$13:V933)/COUNTA(B$13:B933)</f>
        <v>0</v>
      </c>
      <c r="Z933" s="5"/>
      <c r="AA933" s="5"/>
      <c r="AC933" s="7"/>
      <c r="AE933" s="54" t="e">
        <f t="shared" si="120"/>
        <v>#N/A</v>
      </c>
      <c r="AF933" s="4" t="e">
        <f t="shared" si="116"/>
        <v>#N/A</v>
      </c>
    </row>
    <row r="934" spans="2:32">
      <c r="B934" s="5">
        <f t="shared" si="121"/>
        <v>922</v>
      </c>
      <c r="C934" s="5"/>
      <c r="E934" s="13"/>
      <c r="F934" s="5"/>
      <c r="G934" s="11" t="str">
        <f>IF(ISERROR(AVERAGE(F$13:F934)),"n/a",AVERAGE(F$13:F934))</f>
        <v>n/a</v>
      </c>
      <c r="H934" s="11" t="str">
        <f t="shared" si="117"/>
        <v>n/a</v>
      </c>
      <c r="J934" s="5"/>
      <c r="K934" s="5"/>
      <c r="L934" s="5"/>
      <c r="M934" s="5"/>
      <c r="N934" s="5"/>
      <c r="O934" s="8" t="str">
        <f t="shared" si="115"/>
        <v>n/a</v>
      </c>
      <c r="Q934" s="5"/>
      <c r="R934" s="5"/>
      <c r="S934" s="5"/>
      <c r="U934" s="6"/>
      <c r="V934" s="9" t="str">
        <f t="shared" si="118"/>
        <v/>
      </c>
      <c r="W934" s="9" t="str">
        <f t="shared" si="119"/>
        <v/>
      </c>
      <c r="X934" s="10">
        <f>SUM(V$13:V934)/COUNTA(B$13:B934)</f>
        <v>0</v>
      </c>
      <c r="Z934" s="5"/>
      <c r="AA934" s="5"/>
      <c r="AC934" s="7"/>
      <c r="AE934" s="54" t="e">
        <f t="shared" si="120"/>
        <v>#N/A</v>
      </c>
      <c r="AF934" s="4" t="e">
        <f t="shared" si="116"/>
        <v>#N/A</v>
      </c>
    </row>
    <row r="935" spans="2:32">
      <c r="B935" s="5">
        <f t="shared" si="121"/>
        <v>923</v>
      </c>
      <c r="C935" s="5"/>
      <c r="E935" s="13"/>
      <c r="F935" s="5"/>
      <c r="G935" s="11" t="str">
        <f>IF(ISERROR(AVERAGE(F$13:F935)),"n/a",AVERAGE(F$13:F935))</f>
        <v>n/a</v>
      </c>
      <c r="H935" s="11" t="str">
        <f t="shared" si="117"/>
        <v>n/a</v>
      </c>
      <c r="J935" s="5"/>
      <c r="K935" s="5"/>
      <c r="L935" s="5"/>
      <c r="M935" s="5"/>
      <c r="N935" s="5"/>
      <c r="O935" s="8" t="str">
        <f t="shared" si="115"/>
        <v>n/a</v>
      </c>
      <c r="Q935" s="5"/>
      <c r="R935" s="5"/>
      <c r="S935" s="5"/>
      <c r="U935" s="6"/>
      <c r="V935" s="9" t="str">
        <f t="shared" si="118"/>
        <v/>
      </c>
      <c r="W935" s="9" t="str">
        <f t="shared" si="119"/>
        <v/>
      </c>
      <c r="X935" s="10">
        <f>SUM(V$13:V935)/COUNTA(B$13:B935)</f>
        <v>0</v>
      </c>
      <c r="Z935" s="5"/>
      <c r="AA935" s="5"/>
      <c r="AC935" s="7"/>
      <c r="AE935" s="54" t="e">
        <f t="shared" si="120"/>
        <v>#N/A</v>
      </c>
      <c r="AF935" s="4" t="e">
        <f t="shared" si="116"/>
        <v>#N/A</v>
      </c>
    </row>
    <row r="936" spans="2:32">
      <c r="B936" s="5">
        <f t="shared" si="121"/>
        <v>924</v>
      </c>
      <c r="C936" s="5"/>
      <c r="E936" s="13"/>
      <c r="F936" s="5"/>
      <c r="G936" s="11" t="str">
        <f>IF(ISERROR(AVERAGE(F$13:F936)),"n/a",AVERAGE(F$13:F936))</f>
        <v>n/a</v>
      </c>
      <c r="H936" s="11" t="str">
        <f t="shared" si="117"/>
        <v>n/a</v>
      </c>
      <c r="J936" s="5"/>
      <c r="K936" s="5"/>
      <c r="L936" s="5"/>
      <c r="M936" s="5"/>
      <c r="N936" s="5"/>
      <c r="O936" s="8" t="str">
        <f t="shared" si="115"/>
        <v>n/a</v>
      </c>
      <c r="Q936" s="5"/>
      <c r="R936" s="5"/>
      <c r="S936" s="5"/>
      <c r="U936" s="6"/>
      <c r="V936" s="9" t="str">
        <f t="shared" si="118"/>
        <v/>
      </c>
      <c r="W936" s="9" t="str">
        <f t="shared" si="119"/>
        <v/>
      </c>
      <c r="X936" s="10">
        <f>SUM(V$13:V936)/COUNTA(B$13:B936)</f>
        <v>0</v>
      </c>
      <c r="Z936" s="5"/>
      <c r="AA936" s="5"/>
      <c r="AC936" s="7"/>
      <c r="AE936" s="54" t="e">
        <f t="shared" si="120"/>
        <v>#N/A</v>
      </c>
      <c r="AF936" s="4" t="e">
        <f t="shared" si="116"/>
        <v>#N/A</v>
      </c>
    </row>
    <row r="937" spans="2:32">
      <c r="B937" s="5">
        <f t="shared" si="121"/>
        <v>925</v>
      </c>
      <c r="C937" s="5"/>
      <c r="E937" s="13"/>
      <c r="F937" s="5"/>
      <c r="G937" s="11" t="str">
        <f>IF(ISERROR(AVERAGE(F$13:F937)),"n/a",AVERAGE(F$13:F937))</f>
        <v>n/a</v>
      </c>
      <c r="H937" s="11" t="str">
        <f t="shared" si="117"/>
        <v>n/a</v>
      </c>
      <c r="J937" s="5"/>
      <c r="K937" s="5"/>
      <c r="L937" s="5"/>
      <c r="M937" s="5"/>
      <c r="N937" s="5"/>
      <c r="O937" s="8" t="str">
        <f t="shared" si="115"/>
        <v>n/a</v>
      </c>
      <c r="Q937" s="5"/>
      <c r="R937" s="5"/>
      <c r="S937" s="5"/>
      <c r="U937" s="6"/>
      <c r="V937" s="9" t="str">
        <f t="shared" si="118"/>
        <v/>
      </c>
      <c r="W937" s="9" t="str">
        <f t="shared" si="119"/>
        <v/>
      </c>
      <c r="X937" s="10">
        <f>SUM(V$13:V937)/COUNTA(B$13:B937)</f>
        <v>0</v>
      </c>
      <c r="Z937" s="5"/>
      <c r="AA937" s="5"/>
      <c r="AC937" s="7"/>
      <c r="AE937" s="54" t="e">
        <f t="shared" si="120"/>
        <v>#N/A</v>
      </c>
      <c r="AF937" s="4" t="e">
        <f t="shared" si="116"/>
        <v>#N/A</v>
      </c>
    </row>
    <row r="938" spans="2:32">
      <c r="B938" s="5">
        <f t="shared" si="121"/>
        <v>926</v>
      </c>
      <c r="C938" s="5"/>
      <c r="E938" s="13"/>
      <c r="F938" s="5"/>
      <c r="G938" s="11" t="str">
        <f>IF(ISERROR(AVERAGE(F$13:F938)),"n/a",AVERAGE(F$13:F938))</f>
        <v>n/a</v>
      </c>
      <c r="H938" s="11" t="str">
        <f t="shared" si="117"/>
        <v>n/a</v>
      </c>
      <c r="J938" s="5"/>
      <c r="K938" s="5"/>
      <c r="L938" s="5"/>
      <c r="M938" s="5"/>
      <c r="N938" s="5"/>
      <c r="O938" s="8" t="str">
        <f t="shared" si="115"/>
        <v>n/a</v>
      </c>
      <c r="Q938" s="5"/>
      <c r="R938" s="5"/>
      <c r="S938" s="5"/>
      <c r="U938" s="6"/>
      <c r="V938" s="9" t="str">
        <f t="shared" si="118"/>
        <v/>
      </c>
      <c r="W938" s="9" t="str">
        <f t="shared" si="119"/>
        <v/>
      </c>
      <c r="X938" s="10">
        <f>SUM(V$13:V938)/COUNTA(B$13:B938)</f>
        <v>0</v>
      </c>
      <c r="Z938" s="5"/>
      <c r="AA938" s="5"/>
      <c r="AC938" s="7"/>
      <c r="AE938" s="54" t="e">
        <f t="shared" si="120"/>
        <v>#N/A</v>
      </c>
      <c r="AF938" s="4" t="e">
        <f t="shared" si="116"/>
        <v>#N/A</v>
      </c>
    </row>
    <row r="939" spans="2:32">
      <c r="B939" s="5">
        <f t="shared" si="121"/>
        <v>927</v>
      </c>
      <c r="C939" s="5"/>
      <c r="E939" s="13"/>
      <c r="F939" s="5"/>
      <c r="G939" s="11" t="str">
        <f>IF(ISERROR(AVERAGE(F$13:F939)),"n/a",AVERAGE(F$13:F939))</f>
        <v>n/a</v>
      </c>
      <c r="H939" s="11" t="str">
        <f t="shared" si="117"/>
        <v>n/a</v>
      </c>
      <c r="J939" s="5"/>
      <c r="K939" s="5"/>
      <c r="L939" s="5"/>
      <c r="M939" s="5"/>
      <c r="N939" s="5"/>
      <c r="O939" s="8" t="str">
        <f t="shared" si="115"/>
        <v>n/a</v>
      </c>
      <c r="Q939" s="5"/>
      <c r="R939" s="5"/>
      <c r="S939" s="5"/>
      <c r="U939" s="6"/>
      <c r="V939" s="9" t="str">
        <f t="shared" si="118"/>
        <v/>
      </c>
      <c r="W939" s="9" t="str">
        <f t="shared" si="119"/>
        <v/>
      </c>
      <c r="X939" s="10">
        <f>SUM(V$13:V939)/COUNTA(B$13:B939)</f>
        <v>0</v>
      </c>
      <c r="Z939" s="5"/>
      <c r="AA939" s="5"/>
      <c r="AC939" s="7"/>
      <c r="AE939" s="54" t="e">
        <f t="shared" si="120"/>
        <v>#N/A</v>
      </c>
      <c r="AF939" s="4" t="e">
        <f t="shared" si="116"/>
        <v>#N/A</v>
      </c>
    </row>
    <row r="940" spans="2:32">
      <c r="B940" s="5">
        <f t="shared" si="121"/>
        <v>928</v>
      </c>
      <c r="C940" s="5"/>
      <c r="E940" s="13"/>
      <c r="F940" s="5"/>
      <c r="G940" s="11" t="str">
        <f>IF(ISERROR(AVERAGE(F$13:F940)),"n/a",AVERAGE(F$13:F940))</f>
        <v>n/a</v>
      </c>
      <c r="H940" s="11" t="str">
        <f t="shared" si="117"/>
        <v>n/a</v>
      </c>
      <c r="J940" s="5"/>
      <c r="K940" s="5"/>
      <c r="L940" s="5"/>
      <c r="M940" s="5"/>
      <c r="N940" s="5"/>
      <c r="O940" s="8" t="str">
        <f t="shared" si="115"/>
        <v>n/a</v>
      </c>
      <c r="Q940" s="5"/>
      <c r="R940" s="5"/>
      <c r="S940" s="5"/>
      <c r="U940" s="6"/>
      <c r="V940" s="9" t="str">
        <f t="shared" si="118"/>
        <v/>
      </c>
      <c r="W940" s="9" t="str">
        <f t="shared" si="119"/>
        <v/>
      </c>
      <c r="X940" s="10">
        <f>SUM(V$13:V940)/COUNTA(B$13:B940)</f>
        <v>0</v>
      </c>
      <c r="Z940" s="5"/>
      <c r="AA940" s="5"/>
      <c r="AC940" s="7"/>
      <c r="AE940" s="54" t="e">
        <f t="shared" si="120"/>
        <v>#N/A</v>
      </c>
      <c r="AF940" s="4" t="e">
        <f t="shared" si="116"/>
        <v>#N/A</v>
      </c>
    </row>
    <row r="941" spans="2:32">
      <c r="B941" s="5">
        <f t="shared" si="121"/>
        <v>929</v>
      </c>
      <c r="C941" s="5"/>
      <c r="E941" s="13"/>
      <c r="F941" s="5"/>
      <c r="G941" s="11" t="str">
        <f>IF(ISERROR(AVERAGE(F$13:F941)),"n/a",AVERAGE(F$13:F941))</f>
        <v>n/a</v>
      </c>
      <c r="H941" s="11" t="str">
        <f t="shared" si="117"/>
        <v>n/a</v>
      </c>
      <c r="J941" s="5"/>
      <c r="K941" s="5"/>
      <c r="L941" s="5"/>
      <c r="M941" s="5"/>
      <c r="N941" s="5"/>
      <c r="O941" s="8" t="str">
        <f t="shared" si="115"/>
        <v>n/a</v>
      </c>
      <c r="Q941" s="5"/>
      <c r="R941" s="5"/>
      <c r="S941" s="5"/>
      <c r="U941" s="6"/>
      <c r="V941" s="9" t="str">
        <f t="shared" si="118"/>
        <v/>
      </c>
      <c r="W941" s="9" t="str">
        <f t="shared" si="119"/>
        <v/>
      </c>
      <c r="X941" s="10">
        <f>SUM(V$13:V941)/COUNTA(B$13:B941)</f>
        <v>0</v>
      </c>
      <c r="Z941" s="5"/>
      <c r="AA941" s="5"/>
      <c r="AC941" s="7"/>
      <c r="AE941" s="54" t="e">
        <f t="shared" si="120"/>
        <v>#N/A</v>
      </c>
      <c r="AF941" s="4" t="e">
        <f t="shared" si="116"/>
        <v>#N/A</v>
      </c>
    </row>
    <row r="942" spans="2:32">
      <c r="B942" s="5">
        <f t="shared" si="121"/>
        <v>930</v>
      </c>
      <c r="C942" s="5"/>
      <c r="E942" s="13"/>
      <c r="F942" s="5"/>
      <c r="G942" s="11" t="str">
        <f>IF(ISERROR(AVERAGE(F$13:F942)),"n/a",AVERAGE(F$13:F942))</f>
        <v>n/a</v>
      </c>
      <c r="H942" s="11" t="str">
        <f t="shared" si="117"/>
        <v>n/a</v>
      </c>
      <c r="J942" s="5"/>
      <c r="K942" s="5"/>
      <c r="L942" s="5"/>
      <c r="M942" s="5"/>
      <c r="N942" s="5"/>
      <c r="O942" s="8" t="str">
        <f t="shared" si="115"/>
        <v>n/a</v>
      </c>
      <c r="Q942" s="5"/>
      <c r="R942" s="5"/>
      <c r="S942" s="5"/>
      <c r="U942" s="6"/>
      <c r="V942" s="9" t="str">
        <f t="shared" si="118"/>
        <v/>
      </c>
      <c r="W942" s="9" t="str">
        <f t="shared" si="119"/>
        <v/>
      </c>
      <c r="X942" s="10">
        <f>SUM(V$13:V942)/COUNTA(B$13:B942)</f>
        <v>0</v>
      </c>
      <c r="Z942" s="5"/>
      <c r="AA942" s="5"/>
      <c r="AC942" s="7"/>
      <c r="AE942" s="54" t="e">
        <f t="shared" si="120"/>
        <v>#N/A</v>
      </c>
      <c r="AF942" s="4" t="e">
        <f t="shared" si="116"/>
        <v>#N/A</v>
      </c>
    </row>
    <row r="943" spans="2:32">
      <c r="B943" s="5">
        <f t="shared" si="121"/>
        <v>931</v>
      </c>
      <c r="C943" s="5"/>
      <c r="E943" s="13"/>
      <c r="F943" s="5"/>
      <c r="G943" s="11" t="str">
        <f>IF(ISERROR(AVERAGE(F$13:F943)),"n/a",AVERAGE(F$13:F943))</f>
        <v>n/a</v>
      </c>
      <c r="H943" s="11" t="str">
        <f t="shared" si="117"/>
        <v>n/a</v>
      </c>
      <c r="J943" s="5"/>
      <c r="K943" s="5"/>
      <c r="L943" s="5"/>
      <c r="M943" s="5"/>
      <c r="N943" s="5"/>
      <c r="O943" s="8" t="str">
        <f t="shared" si="115"/>
        <v>n/a</v>
      </c>
      <c r="Q943" s="5"/>
      <c r="R943" s="5"/>
      <c r="S943" s="5"/>
      <c r="U943" s="6"/>
      <c r="V943" s="9" t="str">
        <f t="shared" si="118"/>
        <v/>
      </c>
      <c r="W943" s="9" t="str">
        <f t="shared" si="119"/>
        <v/>
      </c>
      <c r="X943" s="10">
        <f>SUM(V$13:V943)/COUNTA(B$13:B943)</f>
        <v>0</v>
      </c>
      <c r="Z943" s="5"/>
      <c r="AA943" s="5"/>
      <c r="AC943" s="7"/>
      <c r="AE943" s="54" t="e">
        <f t="shared" si="120"/>
        <v>#N/A</v>
      </c>
      <c r="AF943" s="4" t="e">
        <f t="shared" si="116"/>
        <v>#N/A</v>
      </c>
    </row>
    <row r="944" spans="2:32">
      <c r="B944" s="5">
        <f t="shared" si="121"/>
        <v>932</v>
      </c>
      <c r="C944" s="5"/>
      <c r="E944" s="13"/>
      <c r="F944" s="5"/>
      <c r="G944" s="11" t="str">
        <f>IF(ISERROR(AVERAGE(F$13:F944)),"n/a",AVERAGE(F$13:F944))</f>
        <v>n/a</v>
      </c>
      <c r="H944" s="11" t="str">
        <f t="shared" si="117"/>
        <v>n/a</v>
      </c>
      <c r="J944" s="5"/>
      <c r="K944" s="5"/>
      <c r="L944" s="5"/>
      <c r="M944" s="5"/>
      <c r="N944" s="5"/>
      <c r="O944" s="8" t="str">
        <f t="shared" si="115"/>
        <v>n/a</v>
      </c>
      <c r="Q944" s="5"/>
      <c r="R944" s="5"/>
      <c r="S944" s="5"/>
      <c r="U944" s="6"/>
      <c r="V944" s="9" t="str">
        <f t="shared" si="118"/>
        <v/>
      </c>
      <c r="W944" s="9" t="str">
        <f t="shared" si="119"/>
        <v/>
      </c>
      <c r="X944" s="10">
        <f>SUM(V$13:V944)/COUNTA(B$13:B944)</f>
        <v>0</v>
      </c>
      <c r="Z944" s="5"/>
      <c r="AA944" s="5"/>
      <c r="AC944" s="7"/>
      <c r="AE944" s="54" t="e">
        <f t="shared" si="120"/>
        <v>#N/A</v>
      </c>
      <c r="AF944" s="4" t="e">
        <f t="shared" si="116"/>
        <v>#N/A</v>
      </c>
    </row>
    <row r="945" spans="2:32">
      <c r="B945" s="5">
        <f t="shared" si="121"/>
        <v>933</v>
      </c>
      <c r="C945" s="5"/>
      <c r="E945" s="13"/>
      <c r="F945" s="5"/>
      <c r="G945" s="11" t="str">
        <f>IF(ISERROR(AVERAGE(F$13:F945)),"n/a",AVERAGE(F$13:F945))</f>
        <v>n/a</v>
      </c>
      <c r="H945" s="11" t="str">
        <f t="shared" si="117"/>
        <v>n/a</v>
      </c>
      <c r="J945" s="5"/>
      <c r="K945" s="5"/>
      <c r="L945" s="5"/>
      <c r="M945" s="5"/>
      <c r="N945" s="5"/>
      <c r="O945" s="8" t="str">
        <f t="shared" si="115"/>
        <v>n/a</v>
      </c>
      <c r="Q945" s="5"/>
      <c r="R945" s="5"/>
      <c r="S945" s="5"/>
      <c r="U945" s="6"/>
      <c r="V945" s="9" t="str">
        <f t="shared" si="118"/>
        <v/>
      </c>
      <c r="W945" s="9" t="str">
        <f t="shared" si="119"/>
        <v/>
      </c>
      <c r="X945" s="10">
        <f>SUM(V$13:V945)/COUNTA(B$13:B945)</f>
        <v>0</v>
      </c>
      <c r="Z945" s="5"/>
      <c r="AA945" s="5"/>
      <c r="AC945" s="7"/>
      <c r="AE945" s="54" t="e">
        <f t="shared" si="120"/>
        <v>#N/A</v>
      </c>
      <c r="AF945" s="4" t="e">
        <f t="shared" si="116"/>
        <v>#N/A</v>
      </c>
    </row>
    <row r="946" spans="2:32">
      <c r="B946" s="5">
        <f t="shared" si="121"/>
        <v>934</v>
      </c>
      <c r="C946" s="5"/>
      <c r="E946" s="13"/>
      <c r="F946" s="5"/>
      <c r="G946" s="11" t="str">
        <f>IF(ISERROR(AVERAGE(F$13:F946)),"n/a",AVERAGE(F$13:F946))</f>
        <v>n/a</v>
      </c>
      <c r="H946" s="11" t="str">
        <f t="shared" si="117"/>
        <v>n/a</v>
      </c>
      <c r="J946" s="5"/>
      <c r="K946" s="5"/>
      <c r="L946" s="5"/>
      <c r="M946" s="5"/>
      <c r="N946" s="5"/>
      <c r="O946" s="8" t="str">
        <f t="shared" si="115"/>
        <v>n/a</v>
      </c>
      <c r="Q946" s="5"/>
      <c r="R946" s="5"/>
      <c r="S946" s="5"/>
      <c r="U946" s="6"/>
      <c r="V946" s="9" t="str">
        <f t="shared" si="118"/>
        <v/>
      </c>
      <c r="W946" s="9" t="str">
        <f t="shared" si="119"/>
        <v/>
      </c>
      <c r="X946" s="10">
        <f>SUM(V$13:V946)/COUNTA(B$13:B946)</f>
        <v>0</v>
      </c>
      <c r="Z946" s="5"/>
      <c r="AA946" s="5"/>
      <c r="AC946" s="7"/>
      <c r="AE946" s="54" t="e">
        <f t="shared" si="120"/>
        <v>#N/A</v>
      </c>
      <c r="AF946" s="4" t="e">
        <f t="shared" si="116"/>
        <v>#N/A</v>
      </c>
    </row>
    <row r="947" spans="2:32">
      <c r="B947" s="5">
        <f t="shared" si="121"/>
        <v>935</v>
      </c>
      <c r="C947" s="5"/>
      <c r="E947" s="13"/>
      <c r="F947" s="5"/>
      <c r="G947" s="11" t="str">
        <f>IF(ISERROR(AVERAGE(F$13:F947)),"n/a",AVERAGE(F$13:F947))</f>
        <v>n/a</v>
      </c>
      <c r="H947" s="11" t="str">
        <f t="shared" si="117"/>
        <v>n/a</v>
      </c>
      <c r="J947" s="5"/>
      <c r="K947" s="5"/>
      <c r="L947" s="5"/>
      <c r="M947" s="5"/>
      <c r="N947" s="5"/>
      <c r="O947" s="8" t="str">
        <f t="shared" si="115"/>
        <v>n/a</v>
      </c>
      <c r="Q947" s="5"/>
      <c r="R947" s="5"/>
      <c r="S947" s="5"/>
      <c r="U947" s="6"/>
      <c r="V947" s="9" t="str">
        <f t="shared" si="118"/>
        <v/>
      </c>
      <c r="W947" s="9" t="str">
        <f t="shared" si="119"/>
        <v/>
      </c>
      <c r="X947" s="10">
        <f>SUM(V$13:V947)/COUNTA(B$13:B947)</f>
        <v>0</v>
      </c>
      <c r="Z947" s="5"/>
      <c r="AA947" s="5"/>
      <c r="AC947" s="7"/>
      <c r="AE947" s="54" t="e">
        <f t="shared" si="120"/>
        <v>#N/A</v>
      </c>
      <c r="AF947" s="4" t="e">
        <f t="shared" si="116"/>
        <v>#N/A</v>
      </c>
    </row>
    <row r="948" spans="2:32">
      <c r="B948" s="5">
        <f t="shared" si="121"/>
        <v>936</v>
      </c>
      <c r="C948" s="5"/>
      <c r="E948" s="13"/>
      <c r="F948" s="5"/>
      <c r="G948" s="11" t="str">
        <f>IF(ISERROR(AVERAGE(F$13:F948)),"n/a",AVERAGE(F$13:F948))</f>
        <v>n/a</v>
      </c>
      <c r="H948" s="11" t="str">
        <f t="shared" si="117"/>
        <v>n/a</v>
      </c>
      <c r="J948" s="5"/>
      <c r="K948" s="5"/>
      <c r="L948" s="5"/>
      <c r="M948" s="5"/>
      <c r="N948" s="5"/>
      <c r="O948" s="8" t="str">
        <f t="shared" si="115"/>
        <v>n/a</v>
      </c>
      <c r="Q948" s="5"/>
      <c r="R948" s="5"/>
      <c r="S948" s="5"/>
      <c r="U948" s="6"/>
      <c r="V948" s="9" t="str">
        <f t="shared" si="118"/>
        <v/>
      </c>
      <c r="W948" s="9" t="str">
        <f t="shared" si="119"/>
        <v/>
      </c>
      <c r="X948" s="10">
        <f>SUM(V$13:V948)/COUNTA(B$13:B948)</f>
        <v>0</v>
      </c>
      <c r="Z948" s="5"/>
      <c r="AA948" s="5"/>
      <c r="AC948" s="7"/>
      <c r="AE948" s="54" t="e">
        <f t="shared" si="120"/>
        <v>#N/A</v>
      </c>
      <c r="AF948" s="4" t="e">
        <f t="shared" si="116"/>
        <v>#N/A</v>
      </c>
    </row>
    <row r="949" spans="2:32">
      <c r="B949" s="5">
        <f t="shared" si="121"/>
        <v>937</v>
      </c>
      <c r="C949" s="5"/>
      <c r="E949" s="13"/>
      <c r="F949" s="5"/>
      <c r="G949" s="11" t="str">
        <f>IF(ISERROR(AVERAGE(F$13:F949)),"n/a",AVERAGE(F$13:F949))</f>
        <v>n/a</v>
      </c>
      <c r="H949" s="11" t="str">
        <f t="shared" si="117"/>
        <v>n/a</v>
      </c>
      <c r="J949" s="5"/>
      <c r="K949" s="5"/>
      <c r="L949" s="5"/>
      <c r="M949" s="5"/>
      <c r="N949" s="5"/>
      <c r="O949" s="8" t="str">
        <f t="shared" si="115"/>
        <v>n/a</v>
      </c>
      <c r="Q949" s="5"/>
      <c r="R949" s="5"/>
      <c r="S949" s="5"/>
      <c r="U949" s="6"/>
      <c r="V949" s="9" t="str">
        <f t="shared" si="118"/>
        <v/>
      </c>
      <c r="W949" s="9" t="str">
        <f t="shared" si="119"/>
        <v/>
      </c>
      <c r="X949" s="10">
        <f>SUM(V$13:V949)/COUNTA(B$13:B949)</f>
        <v>0</v>
      </c>
      <c r="Z949" s="5"/>
      <c r="AA949" s="5"/>
      <c r="AC949" s="7"/>
      <c r="AE949" s="54" t="e">
        <f t="shared" si="120"/>
        <v>#N/A</v>
      </c>
      <c r="AF949" s="4" t="e">
        <f t="shared" si="116"/>
        <v>#N/A</v>
      </c>
    </row>
    <row r="950" spans="2:32">
      <c r="B950" s="5">
        <f t="shared" si="121"/>
        <v>938</v>
      </c>
      <c r="C950" s="5"/>
      <c r="E950" s="13"/>
      <c r="F950" s="5"/>
      <c r="G950" s="11" t="str">
        <f>IF(ISERROR(AVERAGE(F$13:F950)),"n/a",AVERAGE(F$13:F950))</f>
        <v>n/a</v>
      </c>
      <c r="H950" s="11" t="str">
        <f t="shared" si="117"/>
        <v>n/a</v>
      </c>
      <c r="J950" s="5"/>
      <c r="K950" s="5"/>
      <c r="L950" s="5"/>
      <c r="M950" s="5"/>
      <c r="N950" s="5"/>
      <c r="O950" s="8" t="str">
        <f t="shared" si="115"/>
        <v>n/a</v>
      </c>
      <c r="Q950" s="5"/>
      <c r="R950" s="5"/>
      <c r="S950" s="5"/>
      <c r="U950" s="6"/>
      <c r="V950" s="9" t="str">
        <f t="shared" si="118"/>
        <v/>
      </c>
      <c r="W950" s="9" t="str">
        <f t="shared" si="119"/>
        <v/>
      </c>
      <c r="X950" s="10">
        <f>SUM(V$13:V950)/COUNTA(B$13:B950)</f>
        <v>0</v>
      </c>
      <c r="Z950" s="5"/>
      <c r="AA950" s="5"/>
      <c r="AC950" s="7"/>
      <c r="AE950" s="54" t="e">
        <f t="shared" si="120"/>
        <v>#N/A</v>
      </c>
      <c r="AF950" s="4" t="e">
        <f t="shared" si="116"/>
        <v>#N/A</v>
      </c>
    </row>
    <row r="951" spans="2:32">
      <c r="B951" s="5">
        <f t="shared" si="121"/>
        <v>939</v>
      </c>
      <c r="C951" s="5"/>
      <c r="E951" s="13"/>
      <c r="F951" s="5"/>
      <c r="G951" s="11" t="str">
        <f>IF(ISERROR(AVERAGE(F$13:F951)),"n/a",AVERAGE(F$13:F951))</f>
        <v>n/a</v>
      </c>
      <c r="H951" s="11" t="str">
        <f t="shared" si="117"/>
        <v>n/a</v>
      </c>
      <c r="J951" s="5"/>
      <c r="K951" s="5"/>
      <c r="L951" s="5"/>
      <c r="M951" s="5"/>
      <c r="N951" s="5"/>
      <c r="O951" s="8" t="str">
        <f t="shared" si="115"/>
        <v>n/a</v>
      </c>
      <c r="Q951" s="5"/>
      <c r="R951" s="5"/>
      <c r="S951" s="5"/>
      <c r="U951" s="6"/>
      <c r="V951" s="9" t="str">
        <f t="shared" si="118"/>
        <v/>
      </c>
      <c r="W951" s="9" t="str">
        <f t="shared" si="119"/>
        <v/>
      </c>
      <c r="X951" s="10">
        <f>SUM(V$13:V951)/COUNTA(B$13:B951)</f>
        <v>0</v>
      </c>
      <c r="Z951" s="5"/>
      <c r="AA951" s="5"/>
      <c r="AC951" s="7"/>
      <c r="AE951" s="54" t="e">
        <f t="shared" si="120"/>
        <v>#N/A</v>
      </c>
      <c r="AF951" s="4" t="e">
        <f t="shared" si="116"/>
        <v>#N/A</v>
      </c>
    </row>
    <row r="952" spans="2:32">
      <c r="B952" s="5">
        <f t="shared" si="121"/>
        <v>940</v>
      </c>
      <c r="C952" s="5"/>
      <c r="E952" s="13"/>
      <c r="F952" s="5"/>
      <c r="G952" s="11" t="str">
        <f>IF(ISERROR(AVERAGE(F$13:F952)),"n/a",AVERAGE(F$13:F952))</f>
        <v>n/a</v>
      </c>
      <c r="H952" s="11" t="str">
        <f t="shared" si="117"/>
        <v>n/a</v>
      </c>
      <c r="J952" s="5"/>
      <c r="K952" s="5"/>
      <c r="L952" s="5"/>
      <c r="M952" s="5"/>
      <c r="N952" s="5"/>
      <c r="O952" s="8" t="str">
        <f t="shared" si="115"/>
        <v>n/a</v>
      </c>
      <c r="Q952" s="5"/>
      <c r="R952" s="5"/>
      <c r="S952" s="5"/>
      <c r="U952" s="6"/>
      <c r="V952" s="9" t="str">
        <f t="shared" si="118"/>
        <v/>
      </c>
      <c r="W952" s="9" t="str">
        <f t="shared" si="119"/>
        <v/>
      </c>
      <c r="X952" s="10">
        <f>SUM(V$13:V952)/COUNTA(B$13:B952)</f>
        <v>0</v>
      </c>
      <c r="Z952" s="5"/>
      <c r="AA952" s="5"/>
      <c r="AC952" s="7"/>
      <c r="AE952" s="54" t="e">
        <f t="shared" si="120"/>
        <v>#N/A</v>
      </c>
      <c r="AF952" s="4" t="e">
        <f t="shared" si="116"/>
        <v>#N/A</v>
      </c>
    </row>
    <row r="953" spans="2:32">
      <c r="B953" s="5">
        <f t="shared" si="121"/>
        <v>941</v>
      </c>
      <c r="C953" s="5"/>
      <c r="E953" s="13"/>
      <c r="F953" s="5"/>
      <c r="G953" s="11" t="str">
        <f>IF(ISERROR(AVERAGE(F$13:F953)),"n/a",AVERAGE(F$13:F953))</f>
        <v>n/a</v>
      </c>
      <c r="H953" s="11" t="str">
        <f t="shared" si="117"/>
        <v>n/a</v>
      </c>
      <c r="J953" s="5"/>
      <c r="K953" s="5"/>
      <c r="L953" s="5"/>
      <c r="M953" s="5"/>
      <c r="N953" s="5"/>
      <c r="O953" s="8" t="str">
        <f t="shared" si="115"/>
        <v>n/a</v>
      </c>
      <c r="Q953" s="5"/>
      <c r="R953" s="5"/>
      <c r="S953" s="5"/>
      <c r="U953" s="6"/>
      <c r="V953" s="9" t="str">
        <f t="shared" si="118"/>
        <v/>
      </c>
      <c r="W953" s="9" t="str">
        <f t="shared" si="119"/>
        <v/>
      </c>
      <c r="X953" s="10">
        <f>SUM(V$13:V953)/COUNTA(B$13:B953)</f>
        <v>0</v>
      </c>
      <c r="Z953" s="5"/>
      <c r="AA953" s="5"/>
      <c r="AC953" s="7"/>
      <c r="AE953" s="54" t="e">
        <f t="shared" si="120"/>
        <v>#N/A</v>
      </c>
      <c r="AF953" s="4" t="e">
        <f t="shared" si="116"/>
        <v>#N/A</v>
      </c>
    </row>
    <row r="954" spans="2:32">
      <c r="B954" s="5">
        <f t="shared" si="121"/>
        <v>942</v>
      </c>
      <c r="C954" s="5"/>
      <c r="E954" s="13"/>
      <c r="F954" s="5"/>
      <c r="G954" s="11" t="str">
        <f>IF(ISERROR(AVERAGE(F$13:F954)),"n/a",AVERAGE(F$13:F954))</f>
        <v>n/a</v>
      </c>
      <c r="H954" s="11" t="str">
        <f t="shared" si="117"/>
        <v>n/a</v>
      </c>
      <c r="J954" s="5"/>
      <c r="K954" s="5"/>
      <c r="L954" s="5"/>
      <c r="M954" s="5"/>
      <c r="N954" s="5"/>
      <c r="O954" s="8" t="str">
        <f t="shared" si="115"/>
        <v>n/a</v>
      </c>
      <c r="Q954" s="5"/>
      <c r="R954" s="5"/>
      <c r="S954" s="5"/>
      <c r="U954" s="6"/>
      <c r="V954" s="9" t="str">
        <f t="shared" si="118"/>
        <v/>
      </c>
      <c r="W954" s="9" t="str">
        <f t="shared" si="119"/>
        <v/>
      </c>
      <c r="X954" s="10">
        <f>SUM(V$13:V954)/COUNTA(B$13:B954)</f>
        <v>0</v>
      </c>
      <c r="Z954" s="5"/>
      <c r="AA954" s="5"/>
      <c r="AC954" s="7"/>
      <c r="AE954" s="54" t="e">
        <f t="shared" si="120"/>
        <v>#N/A</v>
      </c>
      <c r="AF954" s="4" t="e">
        <f t="shared" si="116"/>
        <v>#N/A</v>
      </c>
    </row>
    <row r="955" spans="2:32">
      <c r="B955" s="5">
        <f t="shared" si="121"/>
        <v>943</v>
      </c>
      <c r="C955" s="5"/>
      <c r="E955" s="13"/>
      <c r="F955" s="5"/>
      <c r="G955" s="11" t="str">
        <f>IF(ISERROR(AVERAGE(F$13:F955)),"n/a",AVERAGE(F$13:F955))</f>
        <v>n/a</v>
      </c>
      <c r="H955" s="11" t="str">
        <f t="shared" si="117"/>
        <v>n/a</v>
      </c>
      <c r="J955" s="5"/>
      <c r="K955" s="5"/>
      <c r="L955" s="5"/>
      <c r="M955" s="5"/>
      <c r="N955" s="5"/>
      <c r="O955" s="8" t="str">
        <f t="shared" si="115"/>
        <v>n/a</v>
      </c>
      <c r="Q955" s="5"/>
      <c r="R955" s="5"/>
      <c r="S955" s="5"/>
      <c r="U955" s="6"/>
      <c r="V955" s="9" t="str">
        <f t="shared" si="118"/>
        <v/>
      </c>
      <c r="W955" s="9" t="str">
        <f t="shared" si="119"/>
        <v/>
      </c>
      <c r="X955" s="10">
        <f>SUM(V$13:V955)/COUNTA(B$13:B955)</f>
        <v>0</v>
      </c>
      <c r="Z955" s="5"/>
      <c r="AA955" s="5"/>
      <c r="AC955" s="7"/>
      <c r="AE955" s="54" t="e">
        <f t="shared" si="120"/>
        <v>#N/A</v>
      </c>
      <c r="AF955" s="4" t="e">
        <f t="shared" si="116"/>
        <v>#N/A</v>
      </c>
    </row>
    <row r="956" spans="2:32">
      <c r="B956" s="5">
        <f t="shared" si="121"/>
        <v>944</v>
      </c>
      <c r="C956" s="5"/>
      <c r="E956" s="13"/>
      <c r="F956" s="5"/>
      <c r="G956" s="11" t="str">
        <f>IF(ISERROR(AVERAGE(F$13:F956)),"n/a",AVERAGE(F$13:F956))</f>
        <v>n/a</v>
      </c>
      <c r="H956" s="11" t="str">
        <f t="shared" si="117"/>
        <v>n/a</v>
      </c>
      <c r="J956" s="5"/>
      <c r="K956" s="5"/>
      <c r="L956" s="5"/>
      <c r="M956" s="5"/>
      <c r="N956" s="5"/>
      <c r="O956" s="8" t="str">
        <f t="shared" si="115"/>
        <v>n/a</v>
      </c>
      <c r="Q956" s="5"/>
      <c r="R956" s="5"/>
      <c r="S956" s="5"/>
      <c r="U956" s="6"/>
      <c r="V956" s="9" t="str">
        <f t="shared" si="118"/>
        <v/>
      </c>
      <c r="W956" s="9" t="str">
        <f t="shared" si="119"/>
        <v/>
      </c>
      <c r="X956" s="10">
        <f>SUM(V$13:V956)/COUNTA(B$13:B956)</f>
        <v>0</v>
      </c>
      <c r="Z956" s="5"/>
      <c r="AA956" s="5"/>
      <c r="AC956" s="7"/>
      <c r="AE956" s="54" t="e">
        <f t="shared" si="120"/>
        <v>#N/A</v>
      </c>
      <c r="AF956" s="4" t="e">
        <f t="shared" si="116"/>
        <v>#N/A</v>
      </c>
    </row>
    <row r="957" spans="2:32">
      <c r="B957" s="5">
        <f t="shared" si="121"/>
        <v>945</v>
      </c>
      <c r="C957" s="5"/>
      <c r="E957" s="13"/>
      <c r="F957" s="5"/>
      <c r="G957" s="11" t="str">
        <f>IF(ISERROR(AVERAGE(F$13:F957)),"n/a",AVERAGE(F$13:F957))</f>
        <v>n/a</v>
      </c>
      <c r="H957" s="11" t="str">
        <f t="shared" si="117"/>
        <v>n/a</v>
      </c>
      <c r="J957" s="5"/>
      <c r="K957" s="5"/>
      <c r="L957" s="5"/>
      <c r="M957" s="5"/>
      <c r="N957" s="5"/>
      <c r="O957" s="8" t="str">
        <f t="shared" si="115"/>
        <v>n/a</v>
      </c>
      <c r="Q957" s="5"/>
      <c r="R957" s="5"/>
      <c r="S957" s="5"/>
      <c r="U957" s="6"/>
      <c r="V957" s="9" t="str">
        <f t="shared" si="118"/>
        <v/>
      </c>
      <c r="W957" s="9" t="str">
        <f t="shared" si="119"/>
        <v/>
      </c>
      <c r="X957" s="10">
        <f>SUM(V$13:V957)/COUNTA(B$13:B957)</f>
        <v>0</v>
      </c>
      <c r="Z957" s="5"/>
      <c r="AA957" s="5"/>
      <c r="AC957" s="7"/>
      <c r="AE957" s="54" t="e">
        <f t="shared" si="120"/>
        <v>#N/A</v>
      </c>
      <c r="AF957" s="4" t="e">
        <f t="shared" si="116"/>
        <v>#N/A</v>
      </c>
    </row>
    <row r="958" spans="2:32">
      <c r="B958" s="5">
        <f t="shared" si="121"/>
        <v>946</v>
      </c>
      <c r="C958" s="5"/>
      <c r="E958" s="13"/>
      <c r="F958" s="5"/>
      <c r="G958" s="11" t="str">
        <f>IF(ISERROR(AVERAGE(F$13:F958)),"n/a",AVERAGE(F$13:F958))</f>
        <v>n/a</v>
      </c>
      <c r="H958" s="11" t="str">
        <f t="shared" si="117"/>
        <v>n/a</v>
      </c>
      <c r="J958" s="5"/>
      <c r="K958" s="5"/>
      <c r="L958" s="5"/>
      <c r="M958" s="5"/>
      <c r="N958" s="5"/>
      <c r="O958" s="8" t="str">
        <f t="shared" si="115"/>
        <v>n/a</v>
      </c>
      <c r="Q958" s="5"/>
      <c r="R958" s="5"/>
      <c r="S958" s="5"/>
      <c r="U958" s="6"/>
      <c r="V958" s="9" t="str">
        <f t="shared" si="118"/>
        <v/>
      </c>
      <c r="W958" s="9" t="str">
        <f t="shared" si="119"/>
        <v/>
      </c>
      <c r="X958" s="10">
        <f>SUM(V$13:V958)/COUNTA(B$13:B958)</f>
        <v>0</v>
      </c>
      <c r="Z958" s="5"/>
      <c r="AA958" s="5"/>
      <c r="AC958" s="7"/>
      <c r="AE958" s="54" t="e">
        <f t="shared" si="120"/>
        <v>#N/A</v>
      </c>
      <c r="AF958" s="4" t="e">
        <f t="shared" si="116"/>
        <v>#N/A</v>
      </c>
    </row>
    <row r="959" spans="2:32">
      <c r="B959" s="5">
        <f t="shared" si="121"/>
        <v>947</v>
      </c>
      <c r="C959" s="5"/>
      <c r="E959" s="13"/>
      <c r="F959" s="5"/>
      <c r="G959" s="11" t="str">
        <f>IF(ISERROR(AVERAGE(F$13:F959)),"n/a",AVERAGE(F$13:F959))</f>
        <v>n/a</v>
      </c>
      <c r="H959" s="11" t="str">
        <f t="shared" si="117"/>
        <v>n/a</v>
      </c>
      <c r="J959" s="5"/>
      <c r="K959" s="5"/>
      <c r="L959" s="5"/>
      <c r="M959" s="5"/>
      <c r="N959" s="5"/>
      <c r="O959" s="8" t="str">
        <f t="shared" si="115"/>
        <v>n/a</v>
      </c>
      <c r="Q959" s="5"/>
      <c r="R959" s="5"/>
      <c r="S959" s="5"/>
      <c r="U959" s="6"/>
      <c r="V959" s="9" t="str">
        <f t="shared" si="118"/>
        <v/>
      </c>
      <c r="W959" s="9" t="str">
        <f t="shared" si="119"/>
        <v/>
      </c>
      <c r="X959" s="10">
        <f>SUM(V$13:V959)/COUNTA(B$13:B959)</f>
        <v>0</v>
      </c>
      <c r="Z959" s="5"/>
      <c r="AA959" s="5"/>
      <c r="AC959" s="7"/>
      <c r="AE959" s="54" t="e">
        <f t="shared" si="120"/>
        <v>#N/A</v>
      </c>
      <c r="AF959" s="4" t="e">
        <f t="shared" si="116"/>
        <v>#N/A</v>
      </c>
    </row>
    <row r="960" spans="2:32">
      <c r="B960" s="5">
        <f t="shared" si="121"/>
        <v>948</v>
      </c>
      <c r="C960" s="5"/>
      <c r="E960" s="13"/>
      <c r="F960" s="5"/>
      <c r="G960" s="11" t="str">
        <f>IF(ISERROR(AVERAGE(F$13:F960)),"n/a",AVERAGE(F$13:F960))</f>
        <v>n/a</v>
      </c>
      <c r="H960" s="11" t="str">
        <f t="shared" si="117"/>
        <v>n/a</v>
      </c>
      <c r="J960" s="5"/>
      <c r="K960" s="5"/>
      <c r="L960" s="5"/>
      <c r="M960" s="5"/>
      <c r="N960" s="5"/>
      <c r="O960" s="8" t="str">
        <f t="shared" si="115"/>
        <v>n/a</v>
      </c>
      <c r="Q960" s="5"/>
      <c r="R960" s="5"/>
      <c r="S960" s="5"/>
      <c r="U960" s="6"/>
      <c r="V960" s="9" t="str">
        <f t="shared" si="118"/>
        <v/>
      </c>
      <c r="W960" s="9" t="str">
        <f t="shared" si="119"/>
        <v/>
      </c>
      <c r="X960" s="10">
        <f>SUM(V$13:V960)/COUNTA(B$13:B960)</f>
        <v>0</v>
      </c>
      <c r="Z960" s="5"/>
      <c r="AA960" s="5"/>
      <c r="AC960" s="7"/>
      <c r="AE960" s="54" t="e">
        <f t="shared" si="120"/>
        <v>#N/A</v>
      </c>
      <c r="AF960" s="4" t="e">
        <f t="shared" si="116"/>
        <v>#N/A</v>
      </c>
    </row>
    <row r="961" spans="2:32">
      <c r="B961" s="5">
        <f t="shared" si="121"/>
        <v>949</v>
      </c>
      <c r="C961" s="5"/>
      <c r="E961" s="13"/>
      <c r="F961" s="5"/>
      <c r="G961" s="11" t="str">
        <f>IF(ISERROR(AVERAGE(F$13:F961)),"n/a",AVERAGE(F$13:F961))</f>
        <v>n/a</v>
      </c>
      <c r="H961" s="11" t="str">
        <f t="shared" si="117"/>
        <v>n/a</v>
      </c>
      <c r="J961" s="5"/>
      <c r="K961" s="5"/>
      <c r="L961" s="5"/>
      <c r="M961" s="5"/>
      <c r="N961" s="5"/>
      <c r="O961" s="8" t="str">
        <f t="shared" si="115"/>
        <v>n/a</v>
      </c>
      <c r="Q961" s="5"/>
      <c r="R961" s="5"/>
      <c r="S961" s="5"/>
      <c r="U961" s="6"/>
      <c r="V961" s="9" t="str">
        <f t="shared" si="118"/>
        <v/>
      </c>
      <c r="W961" s="9" t="str">
        <f t="shared" si="119"/>
        <v/>
      </c>
      <c r="X961" s="10">
        <f>SUM(V$13:V961)/COUNTA(B$13:B961)</f>
        <v>0</v>
      </c>
      <c r="Z961" s="5"/>
      <c r="AA961" s="5"/>
      <c r="AC961" s="7"/>
      <c r="AE961" s="54" t="e">
        <f t="shared" si="120"/>
        <v>#N/A</v>
      </c>
      <c r="AF961" s="4" t="e">
        <f t="shared" si="116"/>
        <v>#N/A</v>
      </c>
    </row>
    <row r="962" spans="2:32">
      <c r="B962" s="5">
        <f t="shared" si="121"/>
        <v>950</v>
      </c>
      <c r="C962" s="5"/>
      <c r="E962" s="13"/>
      <c r="F962" s="5"/>
      <c r="G962" s="11" t="str">
        <f>IF(ISERROR(AVERAGE(F$13:F962)),"n/a",AVERAGE(F$13:F962))</f>
        <v>n/a</v>
      </c>
      <c r="H962" s="11" t="str">
        <f t="shared" si="117"/>
        <v>n/a</v>
      </c>
      <c r="J962" s="5"/>
      <c r="K962" s="5"/>
      <c r="L962" s="5"/>
      <c r="M962" s="5"/>
      <c r="N962" s="5"/>
      <c r="O962" s="8" t="str">
        <f t="shared" si="115"/>
        <v>n/a</v>
      </c>
      <c r="Q962" s="5"/>
      <c r="R962" s="5"/>
      <c r="S962" s="5"/>
      <c r="U962" s="6"/>
      <c r="V962" s="9" t="str">
        <f t="shared" si="118"/>
        <v/>
      </c>
      <c r="W962" s="9" t="str">
        <f t="shared" si="119"/>
        <v/>
      </c>
      <c r="X962" s="10">
        <f>SUM(V$13:V962)/COUNTA(B$13:B962)</f>
        <v>0</v>
      </c>
      <c r="Z962" s="5"/>
      <c r="AA962" s="5"/>
      <c r="AC962" s="7"/>
      <c r="AE962" s="54" t="e">
        <f t="shared" si="120"/>
        <v>#N/A</v>
      </c>
      <c r="AF962" s="4" t="e">
        <f t="shared" si="116"/>
        <v>#N/A</v>
      </c>
    </row>
    <row r="963" spans="2:32">
      <c r="B963" s="5">
        <f t="shared" si="121"/>
        <v>951</v>
      </c>
      <c r="C963" s="5"/>
      <c r="E963" s="13"/>
      <c r="F963" s="5"/>
      <c r="G963" s="11" t="str">
        <f>IF(ISERROR(AVERAGE(F$13:F963)),"n/a",AVERAGE(F$13:F963))</f>
        <v>n/a</v>
      </c>
      <c r="H963" s="11" t="str">
        <f t="shared" si="117"/>
        <v>n/a</v>
      </c>
      <c r="J963" s="5"/>
      <c r="K963" s="5"/>
      <c r="L963" s="5"/>
      <c r="M963" s="5"/>
      <c r="N963" s="5"/>
      <c r="O963" s="8" t="str">
        <f t="shared" si="115"/>
        <v>n/a</v>
      </c>
      <c r="Q963" s="5"/>
      <c r="R963" s="5"/>
      <c r="S963" s="5"/>
      <c r="U963" s="6"/>
      <c r="V963" s="9" t="str">
        <f t="shared" si="118"/>
        <v/>
      </c>
      <c r="W963" s="9" t="str">
        <f t="shared" si="119"/>
        <v/>
      </c>
      <c r="X963" s="10">
        <f>SUM(V$13:V963)/COUNTA(B$13:B963)</f>
        <v>0</v>
      </c>
      <c r="Z963" s="5"/>
      <c r="AA963" s="5"/>
      <c r="AC963" s="7"/>
      <c r="AE963" s="54" t="e">
        <f t="shared" si="120"/>
        <v>#N/A</v>
      </c>
      <c r="AF963" s="4" t="e">
        <f t="shared" si="116"/>
        <v>#N/A</v>
      </c>
    </row>
    <row r="964" spans="2:32">
      <c r="B964" s="5">
        <f t="shared" si="121"/>
        <v>952</v>
      </c>
      <c r="C964" s="5"/>
      <c r="E964" s="13"/>
      <c r="F964" s="5"/>
      <c r="G964" s="11" t="str">
        <f>IF(ISERROR(AVERAGE(F$13:F964)),"n/a",AVERAGE(F$13:F964))</f>
        <v>n/a</v>
      </c>
      <c r="H964" s="11" t="str">
        <f t="shared" si="117"/>
        <v>n/a</v>
      </c>
      <c r="J964" s="5"/>
      <c r="K964" s="5"/>
      <c r="L964" s="5"/>
      <c r="M964" s="5"/>
      <c r="N964" s="5"/>
      <c r="O964" s="8" t="str">
        <f t="shared" si="115"/>
        <v>n/a</v>
      </c>
      <c r="Q964" s="5"/>
      <c r="R964" s="5"/>
      <c r="S964" s="5"/>
      <c r="U964" s="6"/>
      <c r="V964" s="9" t="str">
        <f t="shared" si="118"/>
        <v/>
      </c>
      <c r="W964" s="9" t="str">
        <f t="shared" si="119"/>
        <v/>
      </c>
      <c r="X964" s="10">
        <f>SUM(V$13:V964)/COUNTA(B$13:B964)</f>
        <v>0</v>
      </c>
      <c r="Z964" s="5"/>
      <c r="AA964" s="5"/>
      <c r="AC964" s="7"/>
      <c r="AE964" s="54" t="e">
        <f t="shared" si="120"/>
        <v>#N/A</v>
      </c>
      <c r="AF964" s="4" t="e">
        <f t="shared" si="116"/>
        <v>#N/A</v>
      </c>
    </row>
    <row r="965" spans="2:32">
      <c r="B965" s="5">
        <f t="shared" si="121"/>
        <v>953</v>
      </c>
      <c r="C965" s="5"/>
      <c r="E965" s="13"/>
      <c r="F965" s="5"/>
      <c r="G965" s="11" t="str">
        <f>IF(ISERROR(AVERAGE(F$13:F965)),"n/a",AVERAGE(F$13:F965))</f>
        <v>n/a</v>
      </c>
      <c r="H965" s="11" t="str">
        <f t="shared" si="117"/>
        <v>n/a</v>
      </c>
      <c r="J965" s="5"/>
      <c r="K965" s="5"/>
      <c r="L965" s="5"/>
      <c r="M965" s="5"/>
      <c r="N965" s="5"/>
      <c r="O965" s="8" t="str">
        <f t="shared" si="115"/>
        <v>n/a</v>
      </c>
      <c r="Q965" s="5"/>
      <c r="R965" s="5"/>
      <c r="S965" s="5"/>
      <c r="U965" s="6"/>
      <c r="V965" s="9" t="str">
        <f t="shared" si="118"/>
        <v/>
      </c>
      <c r="W965" s="9" t="str">
        <f t="shared" si="119"/>
        <v/>
      </c>
      <c r="X965" s="10">
        <f>SUM(V$13:V965)/COUNTA(B$13:B965)</f>
        <v>0</v>
      </c>
      <c r="Z965" s="5"/>
      <c r="AA965" s="5"/>
      <c r="AC965" s="7"/>
      <c r="AE965" s="54" t="e">
        <f t="shared" si="120"/>
        <v>#N/A</v>
      </c>
      <c r="AF965" s="4" t="e">
        <f t="shared" si="116"/>
        <v>#N/A</v>
      </c>
    </row>
    <row r="966" spans="2:32">
      <c r="B966" s="5">
        <f t="shared" si="121"/>
        <v>954</v>
      </c>
      <c r="C966" s="5"/>
      <c r="E966" s="13"/>
      <c r="F966" s="5"/>
      <c r="G966" s="11" t="str">
        <f>IF(ISERROR(AVERAGE(F$13:F966)),"n/a",AVERAGE(F$13:F966))</f>
        <v>n/a</v>
      </c>
      <c r="H966" s="11" t="str">
        <f t="shared" si="117"/>
        <v>n/a</v>
      </c>
      <c r="J966" s="5"/>
      <c r="K966" s="5"/>
      <c r="L966" s="5"/>
      <c r="M966" s="5"/>
      <c r="N966" s="5"/>
      <c r="O966" s="8" t="str">
        <f t="shared" si="115"/>
        <v>n/a</v>
      </c>
      <c r="Q966" s="5"/>
      <c r="R966" s="5"/>
      <c r="S966" s="5"/>
      <c r="U966" s="6"/>
      <c r="V966" s="9" t="str">
        <f t="shared" si="118"/>
        <v/>
      </c>
      <c r="W966" s="9" t="str">
        <f t="shared" si="119"/>
        <v/>
      </c>
      <c r="X966" s="10">
        <f>SUM(V$13:V966)/COUNTA(B$13:B966)</f>
        <v>0</v>
      </c>
      <c r="Z966" s="5"/>
      <c r="AA966" s="5"/>
      <c r="AC966" s="7"/>
      <c r="AE966" s="54" t="e">
        <f t="shared" si="120"/>
        <v>#N/A</v>
      </c>
      <c r="AF966" s="4" t="e">
        <f t="shared" si="116"/>
        <v>#N/A</v>
      </c>
    </row>
    <row r="967" spans="2:32">
      <c r="B967" s="5">
        <f t="shared" si="121"/>
        <v>955</v>
      </c>
      <c r="C967" s="5"/>
      <c r="E967" s="13"/>
      <c r="F967" s="5"/>
      <c r="G967" s="11" t="str">
        <f>IF(ISERROR(AVERAGE(F$13:F967)),"n/a",AVERAGE(F$13:F967))</f>
        <v>n/a</v>
      </c>
      <c r="H967" s="11" t="str">
        <f t="shared" si="117"/>
        <v>n/a</v>
      </c>
      <c r="J967" s="5"/>
      <c r="K967" s="5"/>
      <c r="L967" s="5"/>
      <c r="M967" s="5"/>
      <c r="N967" s="5"/>
      <c r="O967" s="8" t="str">
        <f t="shared" si="115"/>
        <v>n/a</v>
      </c>
      <c r="Q967" s="5"/>
      <c r="R967" s="5"/>
      <c r="S967" s="5"/>
      <c r="U967" s="6"/>
      <c r="V967" s="9" t="str">
        <f t="shared" si="118"/>
        <v/>
      </c>
      <c r="W967" s="9" t="str">
        <f t="shared" si="119"/>
        <v/>
      </c>
      <c r="X967" s="10">
        <f>SUM(V$13:V967)/COUNTA(B$13:B967)</f>
        <v>0</v>
      </c>
      <c r="Z967" s="5"/>
      <c r="AA967" s="5"/>
      <c r="AC967" s="7"/>
      <c r="AE967" s="54" t="e">
        <f t="shared" si="120"/>
        <v>#N/A</v>
      </c>
      <c r="AF967" s="4" t="e">
        <f t="shared" si="116"/>
        <v>#N/A</v>
      </c>
    </row>
    <row r="968" spans="2:32">
      <c r="B968" s="5">
        <f t="shared" si="121"/>
        <v>956</v>
      </c>
      <c r="C968" s="5"/>
      <c r="E968" s="13"/>
      <c r="F968" s="5"/>
      <c r="G968" s="11" t="str">
        <f>IF(ISERROR(AVERAGE(F$13:F968)),"n/a",AVERAGE(F$13:F968))</f>
        <v>n/a</v>
      </c>
      <c r="H968" s="11" t="str">
        <f t="shared" si="117"/>
        <v>n/a</v>
      </c>
      <c r="J968" s="5"/>
      <c r="K968" s="5"/>
      <c r="L968" s="5"/>
      <c r="M968" s="5"/>
      <c r="N968" s="5"/>
      <c r="O968" s="8" t="str">
        <f t="shared" si="115"/>
        <v>n/a</v>
      </c>
      <c r="Q968" s="5"/>
      <c r="R968" s="5"/>
      <c r="S968" s="5"/>
      <c r="U968" s="6"/>
      <c r="V968" s="9" t="str">
        <f t="shared" si="118"/>
        <v/>
      </c>
      <c r="W968" s="9" t="str">
        <f t="shared" si="119"/>
        <v/>
      </c>
      <c r="X968" s="10">
        <f>SUM(V$13:V968)/COUNTA(B$13:B968)</f>
        <v>0</v>
      </c>
      <c r="Z968" s="5"/>
      <c r="AA968" s="5"/>
      <c r="AC968" s="7"/>
      <c r="AE968" s="54" t="e">
        <f t="shared" si="120"/>
        <v>#N/A</v>
      </c>
      <c r="AF968" s="4" t="e">
        <f t="shared" si="116"/>
        <v>#N/A</v>
      </c>
    </row>
    <row r="969" spans="2:32">
      <c r="B969" s="5">
        <f t="shared" si="121"/>
        <v>957</v>
      </c>
      <c r="C969" s="5"/>
      <c r="E969" s="13"/>
      <c r="F969" s="5"/>
      <c r="G969" s="11" t="str">
        <f>IF(ISERROR(AVERAGE(F$13:F969)),"n/a",AVERAGE(F$13:F969))</f>
        <v>n/a</v>
      </c>
      <c r="H969" s="11" t="str">
        <f t="shared" si="117"/>
        <v>n/a</v>
      </c>
      <c r="J969" s="5"/>
      <c r="K969" s="5"/>
      <c r="L969" s="5"/>
      <c r="M969" s="5"/>
      <c r="N969" s="5"/>
      <c r="O969" s="8" t="str">
        <f t="shared" si="115"/>
        <v>n/a</v>
      </c>
      <c r="Q969" s="5"/>
      <c r="R969" s="5"/>
      <c r="S969" s="5"/>
      <c r="U969" s="6"/>
      <c r="V969" s="9" t="str">
        <f t="shared" si="118"/>
        <v/>
      </c>
      <c r="W969" s="9" t="str">
        <f t="shared" si="119"/>
        <v/>
      </c>
      <c r="X969" s="10">
        <f>SUM(V$13:V969)/COUNTA(B$13:B969)</f>
        <v>0</v>
      </c>
      <c r="Z969" s="5"/>
      <c r="AA969" s="5"/>
      <c r="AC969" s="7"/>
      <c r="AE969" s="54" t="e">
        <f t="shared" si="120"/>
        <v>#N/A</v>
      </c>
      <c r="AF969" s="4" t="e">
        <f t="shared" si="116"/>
        <v>#N/A</v>
      </c>
    </row>
    <row r="970" spans="2:32">
      <c r="B970" s="5">
        <f t="shared" si="121"/>
        <v>958</v>
      </c>
      <c r="C970" s="5"/>
      <c r="E970" s="13"/>
      <c r="F970" s="5"/>
      <c r="G970" s="11" t="str">
        <f>IF(ISERROR(AVERAGE(F$13:F970)),"n/a",AVERAGE(F$13:F970))</f>
        <v>n/a</v>
      </c>
      <c r="H970" s="11" t="str">
        <f t="shared" si="117"/>
        <v>n/a</v>
      </c>
      <c r="J970" s="5"/>
      <c r="K970" s="5"/>
      <c r="L970" s="5"/>
      <c r="M970" s="5"/>
      <c r="N970" s="5"/>
      <c r="O970" s="8" t="str">
        <f t="shared" si="115"/>
        <v>n/a</v>
      </c>
      <c r="Q970" s="5"/>
      <c r="R970" s="5"/>
      <c r="S970" s="5"/>
      <c r="U970" s="6"/>
      <c r="V970" s="9" t="str">
        <f t="shared" si="118"/>
        <v/>
      </c>
      <c r="W970" s="9" t="str">
        <f t="shared" si="119"/>
        <v/>
      </c>
      <c r="X970" s="10">
        <f>SUM(V$13:V970)/COUNTA(B$13:B970)</f>
        <v>0</v>
      </c>
      <c r="Z970" s="5"/>
      <c r="AA970" s="5"/>
      <c r="AC970" s="7"/>
      <c r="AE970" s="54" t="e">
        <f t="shared" si="120"/>
        <v>#N/A</v>
      </c>
      <c r="AF970" s="4" t="e">
        <f t="shared" si="116"/>
        <v>#N/A</v>
      </c>
    </row>
    <row r="971" spans="2:32">
      <c r="B971" s="5">
        <f t="shared" si="121"/>
        <v>959</v>
      </c>
      <c r="C971" s="5"/>
      <c r="E971" s="13"/>
      <c r="F971" s="5"/>
      <c r="G971" s="11" t="str">
        <f>IF(ISERROR(AVERAGE(F$13:F971)),"n/a",AVERAGE(F$13:F971))</f>
        <v>n/a</v>
      </c>
      <c r="H971" s="11" t="str">
        <f t="shared" si="117"/>
        <v>n/a</v>
      </c>
      <c r="J971" s="5"/>
      <c r="K971" s="5"/>
      <c r="L971" s="5"/>
      <c r="M971" s="5"/>
      <c r="N971" s="5"/>
      <c r="O971" s="8" t="str">
        <f t="shared" si="115"/>
        <v>n/a</v>
      </c>
      <c r="Q971" s="5"/>
      <c r="R971" s="5"/>
      <c r="S971" s="5"/>
      <c r="U971" s="6"/>
      <c r="V971" s="9" t="str">
        <f t="shared" si="118"/>
        <v/>
      </c>
      <c r="W971" s="9" t="str">
        <f t="shared" si="119"/>
        <v/>
      </c>
      <c r="X971" s="10">
        <f>SUM(V$13:V971)/COUNTA(B$13:B971)</f>
        <v>0</v>
      </c>
      <c r="Z971" s="5"/>
      <c r="AA971" s="5"/>
      <c r="AC971" s="7"/>
      <c r="AE971" s="54" t="e">
        <f t="shared" si="120"/>
        <v>#N/A</v>
      </c>
      <c r="AF971" s="4" t="e">
        <f t="shared" si="116"/>
        <v>#N/A</v>
      </c>
    </row>
    <row r="972" spans="2:32">
      <c r="B972" s="5">
        <f t="shared" si="121"/>
        <v>960</v>
      </c>
      <c r="C972" s="5"/>
      <c r="E972" s="13"/>
      <c r="F972" s="5"/>
      <c r="G972" s="11" t="str">
        <f>IF(ISERROR(AVERAGE(F$13:F972)),"n/a",AVERAGE(F$13:F972))</f>
        <v>n/a</v>
      </c>
      <c r="H972" s="11" t="str">
        <f t="shared" si="117"/>
        <v>n/a</v>
      </c>
      <c r="J972" s="5"/>
      <c r="K972" s="5"/>
      <c r="L972" s="5"/>
      <c r="M972" s="5"/>
      <c r="N972" s="5"/>
      <c r="O972" s="8" t="str">
        <f t="shared" si="115"/>
        <v>n/a</v>
      </c>
      <c r="Q972" s="5"/>
      <c r="R972" s="5"/>
      <c r="S972" s="5"/>
      <c r="U972" s="6"/>
      <c r="V972" s="9" t="str">
        <f t="shared" si="118"/>
        <v/>
      </c>
      <c r="W972" s="9" t="str">
        <f t="shared" si="119"/>
        <v/>
      </c>
      <c r="X972" s="10">
        <f>SUM(V$13:V972)/COUNTA(B$13:B972)</f>
        <v>0</v>
      </c>
      <c r="Z972" s="5"/>
      <c r="AA972" s="5"/>
      <c r="AC972" s="7"/>
      <c r="AE972" s="54" t="e">
        <f t="shared" si="120"/>
        <v>#N/A</v>
      </c>
      <c r="AF972" s="4" t="e">
        <f t="shared" si="116"/>
        <v>#N/A</v>
      </c>
    </row>
    <row r="973" spans="2:32">
      <c r="B973" s="5">
        <f t="shared" si="121"/>
        <v>961</v>
      </c>
      <c r="C973" s="5"/>
      <c r="E973" s="13"/>
      <c r="F973" s="5"/>
      <c r="G973" s="11" t="str">
        <f>IF(ISERROR(AVERAGE(F$13:F973)),"n/a",AVERAGE(F$13:F973))</f>
        <v>n/a</v>
      </c>
      <c r="H973" s="11" t="str">
        <f t="shared" si="117"/>
        <v>n/a</v>
      </c>
      <c r="J973" s="5"/>
      <c r="K973" s="5"/>
      <c r="L973" s="5"/>
      <c r="M973" s="5"/>
      <c r="N973" s="5"/>
      <c r="O973" s="8" t="str">
        <f t="shared" ref="O973:O1008" si="122">IF(J973=1,"A",IF(K973=1,"B",IF(L973=1,"C",IF(M973=1,"D",IF(N973=1,"E","n/a")))))</f>
        <v>n/a</v>
      </c>
      <c r="Q973" s="5"/>
      <c r="R973" s="5"/>
      <c r="S973" s="5"/>
      <c r="U973" s="6"/>
      <c r="V973" s="9" t="str">
        <f t="shared" si="118"/>
        <v/>
      </c>
      <c r="W973" s="9" t="str">
        <f t="shared" si="119"/>
        <v/>
      </c>
      <c r="X973" s="10">
        <f>SUM(V$13:V973)/COUNTA(B$13:B973)</f>
        <v>0</v>
      </c>
      <c r="Z973" s="5"/>
      <c r="AA973" s="5"/>
      <c r="AC973" s="7"/>
      <c r="AE973" s="54" t="e">
        <f t="shared" si="120"/>
        <v>#N/A</v>
      </c>
      <c r="AF973" s="4" t="e">
        <f t="shared" ref="AF973:AF1012" si="123">HLOOKUP(C973,$K$6:$O$7,2,FALSE)</f>
        <v>#N/A</v>
      </c>
    </row>
    <row r="974" spans="2:32">
      <c r="B974" s="5">
        <f t="shared" si="121"/>
        <v>962</v>
      </c>
      <c r="C974" s="5"/>
      <c r="E974" s="13"/>
      <c r="F974" s="5"/>
      <c r="G974" s="11" t="str">
        <f>IF(ISERROR(AVERAGE(F$13:F974)),"n/a",AVERAGE(F$13:F974))</f>
        <v>n/a</v>
      </c>
      <c r="H974" s="11" t="str">
        <f t="shared" ref="H974:H1012" si="124">G974</f>
        <v>n/a</v>
      </c>
      <c r="J974" s="5"/>
      <c r="K974" s="5"/>
      <c r="L974" s="5"/>
      <c r="M974" s="5"/>
      <c r="N974" s="5"/>
      <c r="O974" s="8" t="str">
        <f t="shared" si="122"/>
        <v>n/a</v>
      </c>
      <c r="Q974" s="5"/>
      <c r="R974" s="5"/>
      <c r="S974" s="5"/>
      <c r="U974" s="6"/>
      <c r="V974" s="9" t="str">
        <f t="shared" ref="V974:V1012" si="125">IF(O974="n/a","",IF(O974=U974,1,""))</f>
        <v/>
      </c>
      <c r="W974" s="9" t="str">
        <f t="shared" ref="W974:W1012" si="126">IF(O974="n/a","",IF(O974&lt;&gt;U974,1,""))</f>
        <v/>
      </c>
      <c r="X974" s="10">
        <f>SUM(V$13:V974)/COUNTA(B$13:B974)</f>
        <v>0</v>
      </c>
      <c r="Z974" s="5"/>
      <c r="AA974" s="5"/>
      <c r="AC974" s="7"/>
      <c r="AE974" s="54" t="e">
        <f t="shared" ref="AE974:AE1012" si="127">+IF($F$4=0,0,IF(W974=1,1,IF(OR(R974*$F$8=1,S974*$F$9=1,F974&gt;=AF974),2,0)))</f>
        <v>#N/A</v>
      </c>
      <c r="AF974" s="4" t="e">
        <f t="shared" si="123"/>
        <v>#N/A</v>
      </c>
    </row>
    <row r="975" spans="2:32">
      <c r="B975" s="5">
        <f t="shared" si="121"/>
        <v>963</v>
      </c>
      <c r="C975" s="5"/>
      <c r="E975" s="13"/>
      <c r="F975" s="5"/>
      <c r="G975" s="11" t="str">
        <f>IF(ISERROR(AVERAGE(F$13:F975)),"n/a",AVERAGE(F$13:F975))</f>
        <v>n/a</v>
      </c>
      <c r="H975" s="11" t="str">
        <f t="shared" si="124"/>
        <v>n/a</v>
      </c>
      <c r="J975" s="5"/>
      <c r="K975" s="5"/>
      <c r="L975" s="5"/>
      <c r="M975" s="5"/>
      <c r="N975" s="5"/>
      <c r="O975" s="8" t="str">
        <f t="shared" si="122"/>
        <v>n/a</v>
      </c>
      <c r="Q975" s="5"/>
      <c r="R975" s="5"/>
      <c r="S975" s="5"/>
      <c r="U975" s="6"/>
      <c r="V975" s="9" t="str">
        <f t="shared" si="125"/>
        <v/>
      </c>
      <c r="W975" s="9" t="str">
        <f t="shared" si="126"/>
        <v/>
      </c>
      <c r="X975" s="10">
        <f>SUM(V$13:V975)/COUNTA(B$13:B975)</f>
        <v>0</v>
      </c>
      <c r="Z975" s="5"/>
      <c r="AA975" s="5"/>
      <c r="AC975" s="7"/>
      <c r="AE975" s="54" t="e">
        <f t="shared" si="127"/>
        <v>#N/A</v>
      </c>
      <c r="AF975" s="4" t="e">
        <f t="shared" si="123"/>
        <v>#N/A</v>
      </c>
    </row>
    <row r="976" spans="2:32">
      <c r="B976" s="5">
        <f t="shared" si="121"/>
        <v>964</v>
      </c>
      <c r="C976" s="5"/>
      <c r="E976" s="13"/>
      <c r="F976" s="5"/>
      <c r="G976" s="11" t="str">
        <f>IF(ISERROR(AVERAGE(F$13:F976)),"n/a",AVERAGE(F$13:F976))</f>
        <v>n/a</v>
      </c>
      <c r="H976" s="11" t="str">
        <f t="shared" si="124"/>
        <v>n/a</v>
      </c>
      <c r="J976" s="5"/>
      <c r="K976" s="5"/>
      <c r="L976" s="5"/>
      <c r="M976" s="5"/>
      <c r="N976" s="5"/>
      <c r="O976" s="8" t="str">
        <f t="shared" si="122"/>
        <v>n/a</v>
      </c>
      <c r="Q976" s="5"/>
      <c r="R976" s="5"/>
      <c r="S976" s="5"/>
      <c r="U976" s="6"/>
      <c r="V976" s="9" t="str">
        <f t="shared" si="125"/>
        <v/>
      </c>
      <c r="W976" s="9" t="str">
        <f t="shared" si="126"/>
        <v/>
      </c>
      <c r="X976" s="10">
        <f>SUM(V$13:V976)/COUNTA(B$13:B976)</f>
        <v>0</v>
      </c>
      <c r="Z976" s="5"/>
      <c r="AA976" s="5"/>
      <c r="AC976" s="7"/>
      <c r="AE976" s="54" t="e">
        <f t="shared" si="127"/>
        <v>#N/A</v>
      </c>
      <c r="AF976" s="4" t="e">
        <f t="shared" si="123"/>
        <v>#N/A</v>
      </c>
    </row>
    <row r="977" spans="2:32">
      <c r="B977" s="5">
        <f t="shared" si="121"/>
        <v>965</v>
      </c>
      <c r="C977" s="5"/>
      <c r="E977" s="13"/>
      <c r="F977" s="5"/>
      <c r="G977" s="11" t="str">
        <f>IF(ISERROR(AVERAGE(F$13:F977)),"n/a",AVERAGE(F$13:F977))</f>
        <v>n/a</v>
      </c>
      <c r="H977" s="11" t="str">
        <f t="shared" si="124"/>
        <v>n/a</v>
      </c>
      <c r="J977" s="5"/>
      <c r="K977" s="5"/>
      <c r="L977" s="5"/>
      <c r="M977" s="5"/>
      <c r="N977" s="5"/>
      <c r="O977" s="8" t="str">
        <f t="shared" si="122"/>
        <v>n/a</v>
      </c>
      <c r="Q977" s="5"/>
      <c r="R977" s="5"/>
      <c r="S977" s="5"/>
      <c r="U977" s="6"/>
      <c r="V977" s="9" t="str">
        <f t="shared" si="125"/>
        <v/>
      </c>
      <c r="W977" s="9" t="str">
        <f t="shared" si="126"/>
        <v/>
      </c>
      <c r="X977" s="10">
        <f>SUM(V$13:V977)/COUNTA(B$13:B977)</f>
        <v>0</v>
      </c>
      <c r="Z977" s="5"/>
      <c r="AA977" s="5"/>
      <c r="AC977" s="7"/>
      <c r="AE977" s="54" t="e">
        <f t="shared" si="127"/>
        <v>#N/A</v>
      </c>
      <c r="AF977" s="4" t="e">
        <f t="shared" si="123"/>
        <v>#N/A</v>
      </c>
    </row>
    <row r="978" spans="2:32">
      <c r="B978" s="5">
        <f t="shared" si="121"/>
        <v>966</v>
      </c>
      <c r="C978" s="5"/>
      <c r="E978" s="13"/>
      <c r="F978" s="5"/>
      <c r="G978" s="11" t="str">
        <f>IF(ISERROR(AVERAGE(F$13:F978)),"n/a",AVERAGE(F$13:F978))</f>
        <v>n/a</v>
      </c>
      <c r="H978" s="11" t="str">
        <f t="shared" si="124"/>
        <v>n/a</v>
      </c>
      <c r="J978" s="5"/>
      <c r="K978" s="5"/>
      <c r="L978" s="5"/>
      <c r="M978" s="5"/>
      <c r="N978" s="5"/>
      <c r="O978" s="8" t="str">
        <f t="shared" si="122"/>
        <v>n/a</v>
      </c>
      <c r="Q978" s="5"/>
      <c r="R978" s="5"/>
      <c r="S978" s="5"/>
      <c r="U978" s="6"/>
      <c r="V978" s="9" t="str">
        <f t="shared" si="125"/>
        <v/>
      </c>
      <c r="W978" s="9" t="str">
        <f t="shared" si="126"/>
        <v/>
      </c>
      <c r="X978" s="10">
        <f>SUM(V$13:V978)/COUNTA(B$13:B978)</f>
        <v>0</v>
      </c>
      <c r="Z978" s="5"/>
      <c r="AA978" s="5"/>
      <c r="AC978" s="7"/>
      <c r="AE978" s="54" t="e">
        <f t="shared" si="127"/>
        <v>#N/A</v>
      </c>
      <c r="AF978" s="4" t="e">
        <f t="shared" si="123"/>
        <v>#N/A</v>
      </c>
    </row>
    <row r="979" spans="2:32">
      <c r="B979" s="5">
        <f t="shared" ref="B979:B1012" si="128">+B978+1</f>
        <v>967</v>
      </c>
      <c r="C979" s="5"/>
      <c r="E979" s="13"/>
      <c r="F979" s="5"/>
      <c r="G979" s="11" t="str">
        <f>IF(ISERROR(AVERAGE(F$13:F979)),"n/a",AVERAGE(F$13:F979))</f>
        <v>n/a</v>
      </c>
      <c r="H979" s="11" t="str">
        <f t="shared" si="124"/>
        <v>n/a</v>
      </c>
      <c r="J979" s="5"/>
      <c r="K979" s="5"/>
      <c r="L979" s="5"/>
      <c r="M979" s="5"/>
      <c r="N979" s="5"/>
      <c r="O979" s="8" t="str">
        <f t="shared" si="122"/>
        <v>n/a</v>
      </c>
      <c r="Q979" s="5"/>
      <c r="R979" s="5"/>
      <c r="S979" s="5"/>
      <c r="U979" s="6"/>
      <c r="V979" s="9" t="str">
        <f t="shared" si="125"/>
        <v/>
      </c>
      <c r="W979" s="9" t="str">
        <f t="shared" si="126"/>
        <v/>
      </c>
      <c r="X979" s="10">
        <f>SUM(V$13:V979)/COUNTA(B$13:B979)</f>
        <v>0</v>
      </c>
      <c r="Z979" s="5"/>
      <c r="AA979" s="5"/>
      <c r="AC979" s="7"/>
      <c r="AE979" s="54" t="e">
        <f t="shared" si="127"/>
        <v>#N/A</v>
      </c>
      <c r="AF979" s="4" t="e">
        <f t="shared" si="123"/>
        <v>#N/A</v>
      </c>
    </row>
    <row r="980" spans="2:32">
      <c r="B980" s="5">
        <f t="shared" si="128"/>
        <v>968</v>
      </c>
      <c r="C980" s="5"/>
      <c r="E980" s="13"/>
      <c r="F980" s="5"/>
      <c r="G980" s="11" t="str">
        <f>IF(ISERROR(AVERAGE(F$13:F980)),"n/a",AVERAGE(F$13:F980))</f>
        <v>n/a</v>
      </c>
      <c r="H980" s="11" t="str">
        <f t="shared" si="124"/>
        <v>n/a</v>
      </c>
      <c r="J980" s="5"/>
      <c r="K980" s="5"/>
      <c r="L980" s="5"/>
      <c r="M980" s="5"/>
      <c r="N980" s="5"/>
      <c r="O980" s="8" t="str">
        <f t="shared" si="122"/>
        <v>n/a</v>
      </c>
      <c r="Q980" s="5"/>
      <c r="R980" s="5"/>
      <c r="S980" s="5"/>
      <c r="U980" s="6"/>
      <c r="V980" s="9" t="str">
        <f t="shared" si="125"/>
        <v/>
      </c>
      <c r="W980" s="9" t="str">
        <f t="shared" si="126"/>
        <v/>
      </c>
      <c r="X980" s="10">
        <f>SUM(V$13:V980)/COUNTA(B$13:B980)</f>
        <v>0</v>
      </c>
      <c r="Z980" s="5"/>
      <c r="AA980" s="5"/>
      <c r="AC980" s="7"/>
      <c r="AE980" s="54" t="e">
        <f t="shared" si="127"/>
        <v>#N/A</v>
      </c>
      <c r="AF980" s="4" t="e">
        <f t="shared" si="123"/>
        <v>#N/A</v>
      </c>
    </row>
    <row r="981" spans="2:32">
      <c r="B981" s="5">
        <f t="shared" si="128"/>
        <v>969</v>
      </c>
      <c r="C981" s="5"/>
      <c r="E981" s="13"/>
      <c r="F981" s="5"/>
      <c r="G981" s="11" t="str">
        <f>IF(ISERROR(AVERAGE(F$13:F981)),"n/a",AVERAGE(F$13:F981))</f>
        <v>n/a</v>
      </c>
      <c r="H981" s="11" t="str">
        <f t="shared" si="124"/>
        <v>n/a</v>
      </c>
      <c r="J981" s="5"/>
      <c r="K981" s="5"/>
      <c r="L981" s="5"/>
      <c r="M981" s="5"/>
      <c r="N981" s="5"/>
      <c r="O981" s="8" t="str">
        <f t="shared" si="122"/>
        <v>n/a</v>
      </c>
      <c r="Q981" s="5"/>
      <c r="R981" s="5"/>
      <c r="S981" s="5"/>
      <c r="U981" s="6"/>
      <c r="V981" s="9" t="str">
        <f t="shared" si="125"/>
        <v/>
      </c>
      <c r="W981" s="9" t="str">
        <f t="shared" si="126"/>
        <v/>
      </c>
      <c r="X981" s="10">
        <f>SUM(V$13:V981)/COUNTA(B$13:B981)</f>
        <v>0</v>
      </c>
      <c r="Z981" s="5"/>
      <c r="AA981" s="5"/>
      <c r="AC981" s="7"/>
      <c r="AE981" s="54" t="e">
        <f t="shared" si="127"/>
        <v>#N/A</v>
      </c>
      <c r="AF981" s="4" t="e">
        <f t="shared" si="123"/>
        <v>#N/A</v>
      </c>
    </row>
    <row r="982" spans="2:32">
      <c r="B982" s="5">
        <f t="shared" si="128"/>
        <v>970</v>
      </c>
      <c r="C982" s="5"/>
      <c r="E982" s="13"/>
      <c r="F982" s="5"/>
      <c r="G982" s="11" t="str">
        <f>IF(ISERROR(AVERAGE(F$13:F982)),"n/a",AVERAGE(F$13:F982))</f>
        <v>n/a</v>
      </c>
      <c r="H982" s="11" t="str">
        <f t="shared" si="124"/>
        <v>n/a</v>
      </c>
      <c r="J982" s="5"/>
      <c r="K982" s="5"/>
      <c r="L982" s="5"/>
      <c r="M982" s="5"/>
      <c r="N982" s="5"/>
      <c r="O982" s="8" t="str">
        <f t="shared" si="122"/>
        <v>n/a</v>
      </c>
      <c r="Q982" s="5"/>
      <c r="R982" s="5"/>
      <c r="S982" s="5"/>
      <c r="U982" s="6"/>
      <c r="V982" s="9" t="str">
        <f t="shared" si="125"/>
        <v/>
      </c>
      <c r="W982" s="9" t="str">
        <f t="shared" si="126"/>
        <v/>
      </c>
      <c r="X982" s="10">
        <f>SUM(V$13:V982)/COUNTA(B$13:B982)</f>
        <v>0</v>
      </c>
      <c r="Z982" s="5"/>
      <c r="AA982" s="5"/>
      <c r="AC982" s="7"/>
      <c r="AE982" s="54" t="e">
        <f t="shared" si="127"/>
        <v>#N/A</v>
      </c>
      <c r="AF982" s="4" t="e">
        <f t="shared" si="123"/>
        <v>#N/A</v>
      </c>
    </row>
    <row r="983" spans="2:32">
      <c r="B983" s="5">
        <f t="shared" si="128"/>
        <v>971</v>
      </c>
      <c r="C983" s="5"/>
      <c r="E983" s="13"/>
      <c r="F983" s="5"/>
      <c r="G983" s="11" t="str">
        <f>IF(ISERROR(AVERAGE(F$13:F983)),"n/a",AVERAGE(F$13:F983))</f>
        <v>n/a</v>
      </c>
      <c r="H983" s="11" t="str">
        <f t="shared" si="124"/>
        <v>n/a</v>
      </c>
      <c r="J983" s="5"/>
      <c r="K983" s="5"/>
      <c r="L983" s="5"/>
      <c r="M983" s="5"/>
      <c r="N983" s="5"/>
      <c r="O983" s="8" t="str">
        <f t="shared" si="122"/>
        <v>n/a</v>
      </c>
      <c r="Q983" s="5"/>
      <c r="R983" s="5"/>
      <c r="S983" s="5"/>
      <c r="U983" s="6"/>
      <c r="V983" s="9" t="str">
        <f t="shared" si="125"/>
        <v/>
      </c>
      <c r="W983" s="9" t="str">
        <f t="shared" si="126"/>
        <v/>
      </c>
      <c r="X983" s="10">
        <f>SUM(V$13:V983)/COUNTA(B$13:B983)</f>
        <v>0</v>
      </c>
      <c r="Z983" s="5"/>
      <c r="AA983" s="5"/>
      <c r="AC983" s="7"/>
      <c r="AE983" s="54" t="e">
        <f t="shared" si="127"/>
        <v>#N/A</v>
      </c>
      <c r="AF983" s="4" t="e">
        <f t="shared" si="123"/>
        <v>#N/A</v>
      </c>
    </row>
    <row r="984" spans="2:32">
      <c r="B984" s="5">
        <f t="shared" si="128"/>
        <v>972</v>
      </c>
      <c r="C984" s="5"/>
      <c r="E984" s="13"/>
      <c r="F984" s="5"/>
      <c r="G984" s="11" t="str">
        <f>IF(ISERROR(AVERAGE(F$13:F984)),"n/a",AVERAGE(F$13:F984))</f>
        <v>n/a</v>
      </c>
      <c r="H984" s="11" t="str">
        <f t="shared" si="124"/>
        <v>n/a</v>
      </c>
      <c r="J984" s="5"/>
      <c r="K984" s="5"/>
      <c r="L984" s="5"/>
      <c r="M984" s="5"/>
      <c r="N984" s="5"/>
      <c r="O984" s="8" t="str">
        <f t="shared" si="122"/>
        <v>n/a</v>
      </c>
      <c r="Q984" s="5"/>
      <c r="R984" s="5"/>
      <c r="S984" s="5"/>
      <c r="U984" s="6"/>
      <c r="V984" s="9" t="str">
        <f t="shared" si="125"/>
        <v/>
      </c>
      <c r="W984" s="9" t="str">
        <f t="shared" si="126"/>
        <v/>
      </c>
      <c r="X984" s="10">
        <f>SUM(V$13:V984)/COUNTA(B$13:B984)</f>
        <v>0</v>
      </c>
      <c r="Z984" s="5"/>
      <c r="AA984" s="5"/>
      <c r="AC984" s="7"/>
      <c r="AE984" s="54" t="e">
        <f t="shared" si="127"/>
        <v>#N/A</v>
      </c>
      <c r="AF984" s="4" t="e">
        <f t="shared" si="123"/>
        <v>#N/A</v>
      </c>
    </row>
    <row r="985" spans="2:32">
      <c r="B985" s="5">
        <f t="shared" si="128"/>
        <v>973</v>
      </c>
      <c r="C985" s="5"/>
      <c r="E985" s="13"/>
      <c r="F985" s="5"/>
      <c r="G985" s="11" t="str">
        <f>IF(ISERROR(AVERAGE(F$13:F985)),"n/a",AVERAGE(F$13:F985))</f>
        <v>n/a</v>
      </c>
      <c r="H985" s="11" t="str">
        <f t="shared" si="124"/>
        <v>n/a</v>
      </c>
      <c r="J985" s="5"/>
      <c r="K985" s="5"/>
      <c r="L985" s="5"/>
      <c r="M985" s="5"/>
      <c r="N985" s="5"/>
      <c r="O985" s="8" t="str">
        <f t="shared" si="122"/>
        <v>n/a</v>
      </c>
      <c r="Q985" s="5"/>
      <c r="R985" s="5"/>
      <c r="S985" s="5"/>
      <c r="U985" s="6"/>
      <c r="V985" s="9" t="str">
        <f t="shared" si="125"/>
        <v/>
      </c>
      <c r="W985" s="9" t="str">
        <f t="shared" si="126"/>
        <v/>
      </c>
      <c r="X985" s="10">
        <f>SUM(V$13:V985)/COUNTA(B$13:B985)</f>
        <v>0</v>
      </c>
      <c r="Z985" s="5"/>
      <c r="AA985" s="5"/>
      <c r="AC985" s="7"/>
      <c r="AE985" s="54" t="e">
        <f t="shared" si="127"/>
        <v>#N/A</v>
      </c>
      <c r="AF985" s="4" t="e">
        <f t="shared" si="123"/>
        <v>#N/A</v>
      </c>
    </row>
    <row r="986" spans="2:32">
      <c r="B986" s="5">
        <f t="shared" si="128"/>
        <v>974</v>
      </c>
      <c r="C986" s="5"/>
      <c r="E986" s="13"/>
      <c r="F986" s="5"/>
      <c r="G986" s="11" t="str">
        <f>IF(ISERROR(AVERAGE(F$13:F986)),"n/a",AVERAGE(F$13:F986))</f>
        <v>n/a</v>
      </c>
      <c r="H986" s="11" t="str">
        <f t="shared" si="124"/>
        <v>n/a</v>
      </c>
      <c r="J986" s="5"/>
      <c r="K986" s="5"/>
      <c r="L986" s="5"/>
      <c r="M986" s="5"/>
      <c r="N986" s="5"/>
      <c r="O986" s="8" t="str">
        <f t="shared" si="122"/>
        <v>n/a</v>
      </c>
      <c r="Q986" s="5"/>
      <c r="R986" s="5"/>
      <c r="S986" s="5"/>
      <c r="U986" s="6"/>
      <c r="V986" s="9" t="str">
        <f t="shared" si="125"/>
        <v/>
      </c>
      <c r="W986" s="9" t="str">
        <f t="shared" si="126"/>
        <v/>
      </c>
      <c r="X986" s="10">
        <f>SUM(V$13:V986)/COUNTA(B$13:B986)</f>
        <v>0</v>
      </c>
      <c r="Z986" s="5"/>
      <c r="AA986" s="5"/>
      <c r="AC986" s="7"/>
      <c r="AE986" s="54" t="e">
        <f t="shared" si="127"/>
        <v>#N/A</v>
      </c>
      <c r="AF986" s="4" t="e">
        <f t="shared" si="123"/>
        <v>#N/A</v>
      </c>
    </row>
    <row r="987" spans="2:32">
      <c r="B987" s="5">
        <f t="shared" si="128"/>
        <v>975</v>
      </c>
      <c r="C987" s="5"/>
      <c r="E987" s="13"/>
      <c r="F987" s="5"/>
      <c r="G987" s="11" t="str">
        <f>IF(ISERROR(AVERAGE(F$13:F987)),"n/a",AVERAGE(F$13:F987))</f>
        <v>n/a</v>
      </c>
      <c r="H987" s="11" t="str">
        <f t="shared" si="124"/>
        <v>n/a</v>
      </c>
      <c r="J987" s="5"/>
      <c r="K987" s="5"/>
      <c r="L987" s="5"/>
      <c r="M987" s="5"/>
      <c r="N987" s="5"/>
      <c r="O987" s="8" t="str">
        <f t="shared" si="122"/>
        <v>n/a</v>
      </c>
      <c r="Q987" s="5"/>
      <c r="R987" s="5"/>
      <c r="S987" s="5"/>
      <c r="U987" s="6"/>
      <c r="V987" s="9" t="str">
        <f t="shared" si="125"/>
        <v/>
      </c>
      <c r="W987" s="9" t="str">
        <f t="shared" si="126"/>
        <v/>
      </c>
      <c r="X987" s="10">
        <f>SUM(V$13:V987)/COUNTA(B$13:B987)</f>
        <v>0</v>
      </c>
      <c r="Z987" s="5"/>
      <c r="AA987" s="5"/>
      <c r="AC987" s="7"/>
      <c r="AE987" s="54" t="e">
        <f t="shared" si="127"/>
        <v>#N/A</v>
      </c>
      <c r="AF987" s="4" t="e">
        <f t="shared" si="123"/>
        <v>#N/A</v>
      </c>
    </row>
    <row r="988" spans="2:32">
      <c r="B988" s="5">
        <f t="shared" si="128"/>
        <v>976</v>
      </c>
      <c r="C988" s="5"/>
      <c r="E988" s="13"/>
      <c r="F988" s="5"/>
      <c r="G988" s="11" t="str">
        <f>IF(ISERROR(AVERAGE(F$13:F988)),"n/a",AVERAGE(F$13:F988))</f>
        <v>n/a</v>
      </c>
      <c r="H988" s="11" t="str">
        <f t="shared" si="124"/>
        <v>n/a</v>
      </c>
      <c r="J988" s="5"/>
      <c r="K988" s="5"/>
      <c r="L988" s="5"/>
      <c r="M988" s="5"/>
      <c r="N988" s="5"/>
      <c r="O988" s="8" t="str">
        <f t="shared" si="122"/>
        <v>n/a</v>
      </c>
      <c r="Q988" s="5"/>
      <c r="R988" s="5"/>
      <c r="S988" s="5"/>
      <c r="U988" s="6"/>
      <c r="V988" s="9" t="str">
        <f t="shared" si="125"/>
        <v/>
      </c>
      <c r="W988" s="9" t="str">
        <f t="shared" si="126"/>
        <v/>
      </c>
      <c r="X988" s="10">
        <f>SUM(V$13:V988)/COUNTA(B$13:B988)</f>
        <v>0</v>
      </c>
      <c r="Z988" s="5"/>
      <c r="AA988" s="5"/>
      <c r="AC988" s="7"/>
      <c r="AE988" s="54" t="e">
        <f t="shared" si="127"/>
        <v>#N/A</v>
      </c>
      <c r="AF988" s="4" t="e">
        <f t="shared" si="123"/>
        <v>#N/A</v>
      </c>
    </row>
    <row r="989" spans="2:32">
      <c r="B989" s="5">
        <f t="shared" si="128"/>
        <v>977</v>
      </c>
      <c r="C989" s="5"/>
      <c r="E989" s="13"/>
      <c r="F989" s="5"/>
      <c r="G989" s="11" t="str">
        <f>IF(ISERROR(AVERAGE(F$13:F989)),"n/a",AVERAGE(F$13:F989))</f>
        <v>n/a</v>
      </c>
      <c r="H989" s="11" t="str">
        <f t="shared" si="124"/>
        <v>n/a</v>
      </c>
      <c r="J989" s="5"/>
      <c r="K989" s="5"/>
      <c r="L989" s="5"/>
      <c r="M989" s="5"/>
      <c r="N989" s="5"/>
      <c r="O989" s="8" t="str">
        <f t="shared" si="122"/>
        <v>n/a</v>
      </c>
      <c r="Q989" s="5"/>
      <c r="R989" s="5"/>
      <c r="S989" s="5"/>
      <c r="U989" s="6"/>
      <c r="V989" s="9" t="str">
        <f t="shared" si="125"/>
        <v/>
      </c>
      <c r="W989" s="9" t="str">
        <f t="shared" si="126"/>
        <v/>
      </c>
      <c r="X989" s="10">
        <f>SUM(V$13:V989)/COUNTA(B$13:B989)</f>
        <v>0</v>
      </c>
      <c r="Z989" s="5"/>
      <c r="AA989" s="5"/>
      <c r="AC989" s="7"/>
      <c r="AE989" s="54" t="e">
        <f t="shared" si="127"/>
        <v>#N/A</v>
      </c>
      <c r="AF989" s="4" t="e">
        <f t="shared" si="123"/>
        <v>#N/A</v>
      </c>
    </row>
    <row r="990" spans="2:32">
      <c r="B990" s="5">
        <f t="shared" si="128"/>
        <v>978</v>
      </c>
      <c r="C990" s="5"/>
      <c r="E990" s="13"/>
      <c r="F990" s="5"/>
      <c r="G990" s="11" t="str">
        <f>IF(ISERROR(AVERAGE(F$13:F990)),"n/a",AVERAGE(F$13:F990))</f>
        <v>n/a</v>
      </c>
      <c r="H990" s="11" t="str">
        <f t="shared" si="124"/>
        <v>n/a</v>
      </c>
      <c r="J990" s="5"/>
      <c r="K990" s="5"/>
      <c r="L990" s="5"/>
      <c r="M990" s="5"/>
      <c r="N990" s="5"/>
      <c r="O990" s="8" t="str">
        <f t="shared" si="122"/>
        <v>n/a</v>
      </c>
      <c r="Q990" s="5"/>
      <c r="R990" s="5"/>
      <c r="S990" s="5"/>
      <c r="U990" s="6"/>
      <c r="V990" s="9" t="str">
        <f t="shared" si="125"/>
        <v/>
      </c>
      <c r="W990" s="9" t="str">
        <f t="shared" si="126"/>
        <v/>
      </c>
      <c r="X990" s="10">
        <f>SUM(V$13:V990)/COUNTA(B$13:B990)</f>
        <v>0</v>
      </c>
      <c r="Z990" s="5"/>
      <c r="AA990" s="5"/>
      <c r="AC990" s="7"/>
      <c r="AE990" s="54" t="e">
        <f t="shared" si="127"/>
        <v>#N/A</v>
      </c>
      <c r="AF990" s="4" t="e">
        <f t="shared" si="123"/>
        <v>#N/A</v>
      </c>
    </row>
    <row r="991" spans="2:32">
      <c r="B991" s="5">
        <f t="shared" si="128"/>
        <v>979</v>
      </c>
      <c r="C991" s="5"/>
      <c r="E991" s="13"/>
      <c r="F991" s="5"/>
      <c r="G991" s="11" t="str">
        <f>IF(ISERROR(AVERAGE(F$13:F991)),"n/a",AVERAGE(F$13:F991))</f>
        <v>n/a</v>
      </c>
      <c r="H991" s="11" t="str">
        <f t="shared" si="124"/>
        <v>n/a</v>
      </c>
      <c r="J991" s="5"/>
      <c r="K991" s="5"/>
      <c r="L991" s="5"/>
      <c r="M991" s="5"/>
      <c r="N991" s="5"/>
      <c r="O991" s="8" t="str">
        <f t="shared" si="122"/>
        <v>n/a</v>
      </c>
      <c r="Q991" s="5"/>
      <c r="R991" s="5"/>
      <c r="S991" s="5"/>
      <c r="U991" s="6"/>
      <c r="V991" s="9" t="str">
        <f t="shared" si="125"/>
        <v/>
      </c>
      <c r="W991" s="9" t="str">
        <f t="shared" si="126"/>
        <v/>
      </c>
      <c r="X991" s="10">
        <f>SUM(V$13:V991)/COUNTA(B$13:B991)</f>
        <v>0</v>
      </c>
      <c r="Z991" s="5"/>
      <c r="AA991" s="5"/>
      <c r="AC991" s="7"/>
      <c r="AE991" s="54" t="e">
        <f t="shared" si="127"/>
        <v>#N/A</v>
      </c>
      <c r="AF991" s="4" t="e">
        <f t="shared" si="123"/>
        <v>#N/A</v>
      </c>
    </row>
    <row r="992" spans="2:32">
      <c r="B992" s="5">
        <f t="shared" si="128"/>
        <v>980</v>
      </c>
      <c r="C992" s="5"/>
      <c r="E992" s="13"/>
      <c r="F992" s="5"/>
      <c r="G992" s="11" t="str">
        <f>IF(ISERROR(AVERAGE(F$13:F992)),"n/a",AVERAGE(F$13:F992))</f>
        <v>n/a</v>
      </c>
      <c r="H992" s="11" t="str">
        <f t="shared" si="124"/>
        <v>n/a</v>
      </c>
      <c r="J992" s="5"/>
      <c r="K992" s="5"/>
      <c r="L992" s="5"/>
      <c r="M992" s="5"/>
      <c r="N992" s="5"/>
      <c r="O992" s="8" t="str">
        <f t="shared" si="122"/>
        <v>n/a</v>
      </c>
      <c r="Q992" s="5"/>
      <c r="R992" s="5"/>
      <c r="S992" s="5"/>
      <c r="U992" s="6"/>
      <c r="V992" s="9" t="str">
        <f t="shared" si="125"/>
        <v/>
      </c>
      <c r="W992" s="9" t="str">
        <f t="shared" si="126"/>
        <v/>
      </c>
      <c r="X992" s="10">
        <f>SUM(V$13:V992)/COUNTA(B$13:B992)</f>
        <v>0</v>
      </c>
      <c r="Z992" s="5"/>
      <c r="AA992" s="5"/>
      <c r="AC992" s="7"/>
      <c r="AE992" s="54" t="e">
        <f t="shared" si="127"/>
        <v>#N/A</v>
      </c>
      <c r="AF992" s="4" t="e">
        <f t="shared" si="123"/>
        <v>#N/A</v>
      </c>
    </row>
    <row r="993" spans="2:32">
      <c r="B993" s="5">
        <f t="shared" si="128"/>
        <v>981</v>
      </c>
      <c r="C993" s="5"/>
      <c r="E993" s="13"/>
      <c r="F993" s="5"/>
      <c r="G993" s="11" t="str">
        <f>IF(ISERROR(AVERAGE(F$13:F993)),"n/a",AVERAGE(F$13:F993))</f>
        <v>n/a</v>
      </c>
      <c r="H993" s="11" t="str">
        <f t="shared" si="124"/>
        <v>n/a</v>
      </c>
      <c r="J993" s="5"/>
      <c r="K993" s="5"/>
      <c r="L993" s="5"/>
      <c r="M993" s="5"/>
      <c r="N993" s="5"/>
      <c r="O993" s="8" t="str">
        <f t="shared" si="122"/>
        <v>n/a</v>
      </c>
      <c r="Q993" s="5"/>
      <c r="R993" s="5"/>
      <c r="S993" s="5"/>
      <c r="U993" s="6"/>
      <c r="V993" s="9" t="str">
        <f t="shared" si="125"/>
        <v/>
      </c>
      <c r="W993" s="9" t="str">
        <f t="shared" si="126"/>
        <v/>
      </c>
      <c r="X993" s="10">
        <f>SUM(V$13:V993)/COUNTA(B$13:B993)</f>
        <v>0</v>
      </c>
      <c r="Z993" s="5"/>
      <c r="AA993" s="5"/>
      <c r="AC993" s="7"/>
      <c r="AE993" s="54" t="e">
        <f t="shared" si="127"/>
        <v>#N/A</v>
      </c>
      <c r="AF993" s="4" t="e">
        <f t="shared" si="123"/>
        <v>#N/A</v>
      </c>
    </row>
    <row r="994" spans="2:32">
      <c r="B994" s="5">
        <f t="shared" si="128"/>
        <v>982</v>
      </c>
      <c r="C994" s="5"/>
      <c r="E994" s="13"/>
      <c r="F994" s="5"/>
      <c r="G994" s="11" t="str">
        <f>IF(ISERROR(AVERAGE(F$13:F994)),"n/a",AVERAGE(F$13:F994))</f>
        <v>n/a</v>
      </c>
      <c r="H994" s="11" t="str">
        <f t="shared" si="124"/>
        <v>n/a</v>
      </c>
      <c r="J994" s="5"/>
      <c r="K994" s="5"/>
      <c r="L994" s="5"/>
      <c r="M994" s="5"/>
      <c r="N994" s="5"/>
      <c r="O994" s="8" t="str">
        <f t="shared" si="122"/>
        <v>n/a</v>
      </c>
      <c r="Q994" s="5"/>
      <c r="R994" s="5"/>
      <c r="S994" s="5"/>
      <c r="U994" s="6"/>
      <c r="V994" s="9" t="str">
        <f t="shared" si="125"/>
        <v/>
      </c>
      <c r="W994" s="9" t="str">
        <f t="shared" si="126"/>
        <v/>
      </c>
      <c r="X994" s="10">
        <f>SUM(V$13:V994)/COUNTA(B$13:B994)</f>
        <v>0</v>
      </c>
      <c r="Z994" s="5"/>
      <c r="AA994" s="5"/>
      <c r="AC994" s="7"/>
      <c r="AE994" s="54" t="e">
        <f t="shared" si="127"/>
        <v>#N/A</v>
      </c>
      <c r="AF994" s="4" t="e">
        <f t="shared" si="123"/>
        <v>#N/A</v>
      </c>
    </row>
    <row r="995" spans="2:32">
      <c r="B995" s="5">
        <f t="shared" si="128"/>
        <v>983</v>
      </c>
      <c r="C995" s="5"/>
      <c r="E995" s="13"/>
      <c r="F995" s="5"/>
      <c r="G995" s="11" t="str">
        <f>IF(ISERROR(AVERAGE(F$13:F995)),"n/a",AVERAGE(F$13:F995))</f>
        <v>n/a</v>
      </c>
      <c r="H995" s="11" t="str">
        <f t="shared" si="124"/>
        <v>n/a</v>
      </c>
      <c r="J995" s="5"/>
      <c r="K995" s="5"/>
      <c r="L995" s="5"/>
      <c r="M995" s="5"/>
      <c r="N995" s="5"/>
      <c r="O995" s="8" t="str">
        <f t="shared" si="122"/>
        <v>n/a</v>
      </c>
      <c r="Q995" s="5"/>
      <c r="R995" s="5"/>
      <c r="S995" s="5"/>
      <c r="U995" s="6"/>
      <c r="V995" s="9" t="str">
        <f t="shared" si="125"/>
        <v/>
      </c>
      <c r="W995" s="9" t="str">
        <f t="shared" si="126"/>
        <v/>
      </c>
      <c r="X995" s="10">
        <f>SUM(V$13:V995)/COUNTA(B$13:B995)</f>
        <v>0</v>
      </c>
      <c r="Z995" s="5"/>
      <c r="AA995" s="5"/>
      <c r="AC995" s="7"/>
      <c r="AE995" s="54" t="e">
        <f t="shared" si="127"/>
        <v>#N/A</v>
      </c>
      <c r="AF995" s="4" t="e">
        <f t="shared" si="123"/>
        <v>#N/A</v>
      </c>
    </row>
    <row r="996" spans="2:32">
      <c r="B996" s="5">
        <f t="shared" si="128"/>
        <v>984</v>
      </c>
      <c r="C996" s="5"/>
      <c r="E996" s="13"/>
      <c r="F996" s="5"/>
      <c r="G996" s="11" t="str">
        <f>IF(ISERROR(AVERAGE(F$13:F996)),"n/a",AVERAGE(F$13:F996))</f>
        <v>n/a</v>
      </c>
      <c r="H996" s="11" t="str">
        <f t="shared" si="124"/>
        <v>n/a</v>
      </c>
      <c r="J996" s="5"/>
      <c r="K996" s="5"/>
      <c r="L996" s="5"/>
      <c r="M996" s="5"/>
      <c r="N996" s="5"/>
      <c r="O996" s="8" t="str">
        <f t="shared" si="122"/>
        <v>n/a</v>
      </c>
      <c r="Q996" s="5"/>
      <c r="R996" s="5"/>
      <c r="S996" s="5"/>
      <c r="U996" s="6"/>
      <c r="V996" s="9" t="str">
        <f t="shared" si="125"/>
        <v/>
      </c>
      <c r="W996" s="9" t="str">
        <f t="shared" si="126"/>
        <v/>
      </c>
      <c r="X996" s="10">
        <f>SUM(V$13:V996)/COUNTA(B$13:B996)</f>
        <v>0</v>
      </c>
      <c r="Z996" s="5"/>
      <c r="AA996" s="5"/>
      <c r="AC996" s="7"/>
      <c r="AE996" s="54" t="e">
        <f t="shared" si="127"/>
        <v>#N/A</v>
      </c>
      <c r="AF996" s="4" t="e">
        <f t="shared" si="123"/>
        <v>#N/A</v>
      </c>
    </row>
    <row r="997" spans="2:32">
      <c r="B997" s="5">
        <f t="shared" si="128"/>
        <v>985</v>
      </c>
      <c r="C997" s="5"/>
      <c r="E997" s="13"/>
      <c r="F997" s="5"/>
      <c r="G997" s="11" t="str">
        <f>IF(ISERROR(AVERAGE(F$13:F997)),"n/a",AVERAGE(F$13:F997))</f>
        <v>n/a</v>
      </c>
      <c r="H997" s="11" t="str">
        <f t="shared" si="124"/>
        <v>n/a</v>
      </c>
      <c r="J997" s="5"/>
      <c r="K997" s="5"/>
      <c r="L997" s="5"/>
      <c r="M997" s="5"/>
      <c r="N997" s="5"/>
      <c r="O997" s="8" t="str">
        <f t="shared" si="122"/>
        <v>n/a</v>
      </c>
      <c r="Q997" s="5"/>
      <c r="R997" s="5"/>
      <c r="S997" s="5"/>
      <c r="U997" s="6"/>
      <c r="V997" s="9" t="str">
        <f t="shared" si="125"/>
        <v/>
      </c>
      <c r="W997" s="9" t="str">
        <f t="shared" si="126"/>
        <v/>
      </c>
      <c r="X997" s="10">
        <f>SUM(V$13:V997)/COUNTA(B$13:B997)</f>
        <v>0</v>
      </c>
      <c r="Z997" s="5"/>
      <c r="AA997" s="5"/>
      <c r="AC997" s="7"/>
      <c r="AE997" s="54" t="e">
        <f t="shared" si="127"/>
        <v>#N/A</v>
      </c>
      <c r="AF997" s="4" t="e">
        <f t="shared" si="123"/>
        <v>#N/A</v>
      </c>
    </row>
    <row r="998" spans="2:32">
      <c r="B998" s="5">
        <f t="shared" si="128"/>
        <v>986</v>
      </c>
      <c r="C998" s="5"/>
      <c r="E998" s="13"/>
      <c r="F998" s="5"/>
      <c r="G998" s="11" t="str">
        <f>IF(ISERROR(AVERAGE(F$13:F998)),"n/a",AVERAGE(F$13:F998))</f>
        <v>n/a</v>
      </c>
      <c r="H998" s="11" t="str">
        <f t="shared" si="124"/>
        <v>n/a</v>
      </c>
      <c r="J998" s="5"/>
      <c r="K998" s="5"/>
      <c r="L998" s="5"/>
      <c r="M998" s="5"/>
      <c r="N998" s="5"/>
      <c r="O998" s="8" t="str">
        <f t="shared" si="122"/>
        <v>n/a</v>
      </c>
      <c r="Q998" s="5"/>
      <c r="R998" s="5"/>
      <c r="S998" s="5"/>
      <c r="U998" s="6"/>
      <c r="V998" s="9" t="str">
        <f t="shared" si="125"/>
        <v/>
      </c>
      <c r="W998" s="9" t="str">
        <f t="shared" si="126"/>
        <v/>
      </c>
      <c r="X998" s="10">
        <f>SUM(V$13:V998)/COUNTA(B$13:B998)</f>
        <v>0</v>
      </c>
      <c r="Z998" s="5"/>
      <c r="AA998" s="5"/>
      <c r="AC998" s="7"/>
      <c r="AE998" s="54" t="e">
        <f t="shared" si="127"/>
        <v>#N/A</v>
      </c>
      <c r="AF998" s="4" t="e">
        <f t="shared" si="123"/>
        <v>#N/A</v>
      </c>
    </row>
    <row r="999" spans="2:32">
      <c r="B999" s="5">
        <f t="shared" si="128"/>
        <v>987</v>
      </c>
      <c r="C999" s="5"/>
      <c r="E999" s="13"/>
      <c r="F999" s="5"/>
      <c r="G999" s="11" t="str">
        <f>IF(ISERROR(AVERAGE(F$13:F999)),"n/a",AVERAGE(F$13:F999))</f>
        <v>n/a</v>
      </c>
      <c r="H999" s="11" t="str">
        <f t="shared" si="124"/>
        <v>n/a</v>
      </c>
      <c r="J999" s="5"/>
      <c r="K999" s="5"/>
      <c r="L999" s="5"/>
      <c r="M999" s="5"/>
      <c r="N999" s="5"/>
      <c r="O999" s="8" t="str">
        <f t="shared" si="122"/>
        <v>n/a</v>
      </c>
      <c r="Q999" s="5"/>
      <c r="R999" s="5"/>
      <c r="S999" s="5"/>
      <c r="U999" s="6"/>
      <c r="V999" s="9" t="str">
        <f t="shared" si="125"/>
        <v/>
      </c>
      <c r="W999" s="9" t="str">
        <f t="shared" si="126"/>
        <v/>
      </c>
      <c r="X999" s="10">
        <f>SUM(V$13:V999)/COUNTA(B$13:B999)</f>
        <v>0</v>
      </c>
      <c r="Z999" s="5"/>
      <c r="AA999" s="5"/>
      <c r="AC999" s="7"/>
      <c r="AE999" s="54" t="e">
        <f t="shared" si="127"/>
        <v>#N/A</v>
      </c>
      <c r="AF999" s="4" t="e">
        <f t="shared" si="123"/>
        <v>#N/A</v>
      </c>
    </row>
    <row r="1000" spans="2:32">
      <c r="B1000" s="5">
        <f t="shared" si="128"/>
        <v>988</v>
      </c>
      <c r="C1000" s="5"/>
      <c r="E1000" s="13"/>
      <c r="F1000" s="5"/>
      <c r="G1000" s="11" t="str">
        <f>IF(ISERROR(AVERAGE(F$13:F1000)),"n/a",AVERAGE(F$13:F1000))</f>
        <v>n/a</v>
      </c>
      <c r="H1000" s="11" t="str">
        <f t="shared" si="124"/>
        <v>n/a</v>
      </c>
      <c r="J1000" s="5"/>
      <c r="K1000" s="5"/>
      <c r="L1000" s="5"/>
      <c r="M1000" s="5"/>
      <c r="N1000" s="5"/>
      <c r="O1000" s="8" t="str">
        <f t="shared" si="122"/>
        <v>n/a</v>
      </c>
      <c r="Q1000" s="5"/>
      <c r="R1000" s="5"/>
      <c r="S1000" s="5"/>
      <c r="U1000" s="6"/>
      <c r="V1000" s="9" t="str">
        <f t="shared" si="125"/>
        <v/>
      </c>
      <c r="W1000" s="9" t="str">
        <f t="shared" si="126"/>
        <v/>
      </c>
      <c r="X1000" s="10">
        <f>SUM(V$13:V1000)/COUNTA(B$13:B1000)</f>
        <v>0</v>
      </c>
      <c r="Z1000" s="5"/>
      <c r="AA1000" s="5"/>
      <c r="AC1000" s="7"/>
      <c r="AE1000" s="54" t="e">
        <f t="shared" si="127"/>
        <v>#N/A</v>
      </c>
      <c r="AF1000" s="4" t="e">
        <f t="shared" si="123"/>
        <v>#N/A</v>
      </c>
    </row>
    <row r="1001" spans="2:32">
      <c r="B1001" s="5">
        <f t="shared" si="128"/>
        <v>989</v>
      </c>
      <c r="C1001" s="5"/>
      <c r="E1001" s="13"/>
      <c r="F1001" s="5"/>
      <c r="G1001" s="11" t="str">
        <f>IF(ISERROR(AVERAGE(F$13:F1001)),"n/a",AVERAGE(F$13:F1001))</f>
        <v>n/a</v>
      </c>
      <c r="H1001" s="11" t="str">
        <f t="shared" si="124"/>
        <v>n/a</v>
      </c>
      <c r="J1001" s="5"/>
      <c r="K1001" s="5"/>
      <c r="L1001" s="5"/>
      <c r="M1001" s="5"/>
      <c r="N1001" s="5"/>
      <c r="O1001" s="8" t="str">
        <f t="shared" si="122"/>
        <v>n/a</v>
      </c>
      <c r="Q1001" s="5"/>
      <c r="R1001" s="5"/>
      <c r="S1001" s="5"/>
      <c r="U1001" s="6"/>
      <c r="V1001" s="9" t="str">
        <f t="shared" si="125"/>
        <v/>
      </c>
      <c r="W1001" s="9" t="str">
        <f t="shared" si="126"/>
        <v/>
      </c>
      <c r="X1001" s="10">
        <f>SUM(V$13:V1001)/COUNTA(B$13:B1001)</f>
        <v>0</v>
      </c>
      <c r="Z1001" s="5"/>
      <c r="AA1001" s="5"/>
      <c r="AC1001" s="7"/>
      <c r="AE1001" s="54" t="e">
        <f t="shared" si="127"/>
        <v>#N/A</v>
      </c>
      <c r="AF1001" s="4" t="e">
        <f t="shared" si="123"/>
        <v>#N/A</v>
      </c>
    </row>
    <row r="1002" spans="2:32">
      <c r="B1002" s="5">
        <f t="shared" si="128"/>
        <v>990</v>
      </c>
      <c r="C1002" s="5"/>
      <c r="E1002" s="13"/>
      <c r="F1002" s="5"/>
      <c r="G1002" s="11" t="str">
        <f>IF(ISERROR(AVERAGE(F$13:F1002)),"n/a",AVERAGE(F$13:F1002))</f>
        <v>n/a</v>
      </c>
      <c r="H1002" s="11" t="str">
        <f t="shared" si="124"/>
        <v>n/a</v>
      </c>
      <c r="J1002" s="5"/>
      <c r="K1002" s="5"/>
      <c r="L1002" s="5"/>
      <c r="M1002" s="5"/>
      <c r="N1002" s="5"/>
      <c r="O1002" s="8" t="str">
        <f t="shared" si="122"/>
        <v>n/a</v>
      </c>
      <c r="Q1002" s="5"/>
      <c r="R1002" s="5"/>
      <c r="S1002" s="5"/>
      <c r="U1002" s="6"/>
      <c r="V1002" s="9" t="str">
        <f t="shared" si="125"/>
        <v/>
      </c>
      <c r="W1002" s="9" t="str">
        <f t="shared" si="126"/>
        <v/>
      </c>
      <c r="X1002" s="10">
        <f>SUM(V$13:V1002)/COUNTA(B$13:B1002)</f>
        <v>0</v>
      </c>
      <c r="Z1002" s="5"/>
      <c r="AA1002" s="5"/>
      <c r="AC1002" s="7"/>
      <c r="AE1002" s="54" t="e">
        <f t="shared" si="127"/>
        <v>#N/A</v>
      </c>
      <c r="AF1002" s="4" t="e">
        <f t="shared" si="123"/>
        <v>#N/A</v>
      </c>
    </row>
    <row r="1003" spans="2:32">
      <c r="B1003" s="5">
        <f t="shared" si="128"/>
        <v>991</v>
      </c>
      <c r="C1003" s="5"/>
      <c r="E1003" s="13"/>
      <c r="F1003" s="5"/>
      <c r="G1003" s="11" t="str">
        <f>IF(ISERROR(AVERAGE(F$13:F1003)),"n/a",AVERAGE(F$13:F1003))</f>
        <v>n/a</v>
      </c>
      <c r="H1003" s="11" t="str">
        <f t="shared" si="124"/>
        <v>n/a</v>
      </c>
      <c r="J1003" s="5"/>
      <c r="K1003" s="5"/>
      <c r="L1003" s="5"/>
      <c r="M1003" s="5"/>
      <c r="N1003" s="5"/>
      <c r="O1003" s="8" t="str">
        <f t="shared" si="122"/>
        <v>n/a</v>
      </c>
      <c r="Q1003" s="5"/>
      <c r="R1003" s="5"/>
      <c r="S1003" s="5"/>
      <c r="U1003" s="6"/>
      <c r="V1003" s="9" t="str">
        <f t="shared" si="125"/>
        <v/>
      </c>
      <c r="W1003" s="9" t="str">
        <f t="shared" si="126"/>
        <v/>
      </c>
      <c r="X1003" s="10">
        <f>SUM(V$13:V1003)/COUNTA(B$13:B1003)</f>
        <v>0</v>
      </c>
      <c r="Z1003" s="5"/>
      <c r="AA1003" s="5"/>
      <c r="AC1003" s="7"/>
      <c r="AE1003" s="54" t="e">
        <f t="shared" si="127"/>
        <v>#N/A</v>
      </c>
      <c r="AF1003" s="4" t="e">
        <f t="shared" si="123"/>
        <v>#N/A</v>
      </c>
    </row>
    <row r="1004" spans="2:32">
      <c r="B1004" s="5">
        <f t="shared" si="128"/>
        <v>992</v>
      </c>
      <c r="C1004" s="5"/>
      <c r="E1004" s="13"/>
      <c r="F1004" s="5"/>
      <c r="G1004" s="11" t="str">
        <f>IF(ISERROR(AVERAGE(F$13:F1004)),"n/a",AVERAGE(F$13:F1004))</f>
        <v>n/a</v>
      </c>
      <c r="H1004" s="11" t="str">
        <f t="shared" si="124"/>
        <v>n/a</v>
      </c>
      <c r="J1004" s="5"/>
      <c r="K1004" s="5"/>
      <c r="L1004" s="5"/>
      <c r="M1004" s="5"/>
      <c r="N1004" s="5"/>
      <c r="O1004" s="8" t="str">
        <f t="shared" si="122"/>
        <v>n/a</v>
      </c>
      <c r="Q1004" s="5"/>
      <c r="R1004" s="5"/>
      <c r="S1004" s="5"/>
      <c r="U1004" s="6"/>
      <c r="V1004" s="9" t="str">
        <f t="shared" si="125"/>
        <v/>
      </c>
      <c r="W1004" s="9" t="str">
        <f t="shared" si="126"/>
        <v/>
      </c>
      <c r="X1004" s="10">
        <f>SUM(V$13:V1004)/COUNTA(B$13:B1004)</f>
        <v>0</v>
      </c>
      <c r="Z1004" s="5"/>
      <c r="AA1004" s="5"/>
      <c r="AC1004" s="7"/>
      <c r="AE1004" s="54" t="e">
        <f t="shared" si="127"/>
        <v>#N/A</v>
      </c>
      <c r="AF1004" s="4" t="e">
        <f t="shared" si="123"/>
        <v>#N/A</v>
      </c>
    </row>
    <row r="1005" spans="2:32">
      <c r="B1005" s="5">
        <f t="shared" si="128"/>
        <v>993</v>
      </c>
      <c r="C1005" s="5"/>
      <c r="E1005" s="13"/>
      <c r="F1005" s="5"/>
      <c r="G1005" s="11" t="str">
        <f>IF(ISERROR(AVERAGE(F$13:F1005)),"n/a",AVERAGE(F$13:F1005))</f>
        <v>n/a</v>
      </c>
      <c r="H1005" s="11" t="str">
        <f t="shared" si="124"/>
        <v>n/a</v>
      </c>
      <c r="J1005" s="5"/>
      <c r="K1005" s="5"/>
      <c r="L1005" s="5"/>
      <c r="M1005" s="5"/>
      <c r="N1005" s="5"/>
      <c r="O1005" s="8" t="str">
        <f t="shared" si="122"/>
        <v>n/a</v>
      </c>
      <c r="Q1005" s="5"/>
      <c r="R1005" s="5"/>
      <c r="S1005" s="5"/>
      <c r="U1005" s="6"/>
      <c r="V1005" s="9" t="str">
        <f t="shared" si="125"/>
        <v/>
      </c>
      <c r="W1005" s="9" t="str">
        <f t="shared" si="126"/>
        <v/>
      </c>
      <c r="X1005" s="10">
        <f>SUM(V$13:V1005)/COUNTA(B$13:B1005)</f>
        <v>0</v>
      </c>
      <c r="Z1005" s="5"/>
      <c r="AA1005" s="5"/>
      <c r="AC1005" s="7"/>
      <c r="AE1005" s="54" t="e">
        <f t="shared" si="127"/>
        <v>#N/A</v>
      </c>
      <c r="AF1005" s="4" t="e">
        <f t="shared" si="123"/>
        <v>#N/A</v>
      </c>
    </row>
    <row r="1006" spans="2:32">
      <c r="B1006" s="5">
        <f t="shared" si="128"/>
        <v>994</v>
      </c>
      <c r="C1006" s="5"/>
      <c r="E1006" s="13"/>
      <c r="F1006" s="5"/>
      <c r="G1006" s="11" t="str">
        <f>IF(ISERROR(AVERAGE(F$13:F1006)),"n/a",AVERAGE(F$13:F1006))</f>
        <v>n/a</v>
      </c>
      <c r="H1006" s="11" t="str">
        <f t="shared" si="124"/>
        <v>n/a</v>
      </c>
      <c r="J1006" s="5"/>
      <c r="K1006" s="5"/>
      <c r="L1006" s="5"/>
      <c r="M1006" s="5"/>
      <c r="N1006" s="5"/>
      <c r="O1006" s="8" t="str">
        <f t="shared" si="122"/>
        <v>n/a</v>
      </c>
      <c r="Q1006" s="5"/>
      <c r="R1006" s="5"/>
      <c r="S1006" s="5"/>
      <c r="U1006" s="6"/>
      <c r="V1006" s="9" t="str">
        <f t="shared" si="125"/>
        <v/>
      </c>
      <c r="W1006" s="9" t="str">
        <f t="shared" si="126"/>
        <v/>
      </c>
      <c r="X1006" s="10">
        <f>SUM(V$13:V1006)/COUNTA(B$13:B1006)</f>
        <v>0</v>
      </c>
      <c r="Z1006" s="5"/>
      <c r="AA1006" s="5"/>
      <c r="AC1006" s="7"/>
      <c r="AE1006" s="54" t="e">
        <f t="shared" si="127"/>
        <v>#N/A</v>
      </c>
      <c r="AF1006" s="4" t="e">
        <f t="shared" si="123"/>
        <v>#N/A</v>
      </c>
    </row>
    <row r="1007" spans="2:32">
      <c r="B1007" s="5">
        <f t="shared" si="128"/>
        <v>995</v>
      </c>
      <c r="C1007" s="5"/>
      <c r="E1007" s="13"/>
      <c r="F1007" s="5"/>
      <c r="G1007" s="11" t="str">
        <f>IF(ISERROR(AVERAGE(F$13:F1007)),"n/a",AVERAGE(F$13:F1007))</f>
        <v>n/a</v>
      </c>
      <c r="H1007" s="11" t="str">
        <f t="shared" si="124"/>
        <v>n/a</v>
      </c>
      <c r="J1007" s="5"/>
      <c r="K1007" s="5"/>
      <c r="L1007" s="5"/>
      <c r="M1007" s="5"/>
      <c r="N1007" s="5"/>
      <c r="O1007" s="8" t="str">
        <f t="shared" si="122"/>
        <v>n/a</v>
      </c>
      <c r="Q1007" s="5"/>
      <c r="R1007" s="5"/>
      <c r="S1007" s="5"/>
      <c r="U1007" s="6"/>
      <c r="V1007" s="9" t="str">
        <f t="shared" si="125"/>
        <v/>
      </c>
      <c r="W1007" s="9" t="str">
        <f t="shared" si="126"/>
        <v/>
      </c>
      <c r="X1007" s="10">
        <f>SUM(V$13:V1007)/COUNTA(B$13:B1007)</f>
        <v>0</v>
      </c>
      <c r="Z1007" s="5"/>
      <c r="AA1007" s="5"/>
      <c r="AC1007" s="7"/>
      <c r="AE1007" s="54" t="e">
        <f t="shared" si="127"/>
        <v>#N/A</v>
      </c>
      <c r="AF1007" s="4" t="e">
        <f t="shared" si="123"/>
        <v>#N/A</v>
      </c>
    </row>
    <row r="1008" spans="2:32">
      <c r="B1008" s="5">
        <f t="shared" si="128"/>
        <v>996</v>
      </c>
      <c r="C1008" s="5"/>
      <c r="E1008" s="13"/>
      <c r="F1008" s="5"/>
      <c r="G1008" s="11" t="str">
        <f>IF(ISERROR(AVERAGE(F$13:F1008)),"n/a",AVERAGE(F$13:F1008))</f>
        <v>n/a</v>
      </c>
      <c r="H1008" s="11" t="str">
        <f t="shared" si="124"/>
        <v>n/a</v>
      </c>
      <c r="J1008" s="5"/>
      <c r="K1008" s="5"/>
      <c r="L1008" s="5"/>
      <c r="M1008" s="5"/>
      <c r="N1008" s="5"/>
      <c r="O1008" s="8" t="str">
        <f t="shared" si="122"/>
        <v>n/a</v>
      </c>
      <c r="Q1008" s="5"/>
      <c r="R1008" s="5"/>
      <c r="S1008" s="5"/>
      <c r="U1008" s="6"/>
      <c r="V1008" s="9" t="str">
        <f t="shared" si="125"/>
        <v/>
      </c>
      <c r="W1008" s="9" t="str">
        <f t="shared" si="126"/>
        <v/>
      </c>
      <c r="X1008" s="10">
        <f>SUM(V$13:V1008)/COUNTA(B$13:B1008)</f>
        <v>0</v>
      </c>
      <c r="Z1008" s="5"/>
      <c r="AA1008" s="5"/>
      <c r="AC1008" s="7"/>
      <c r="AE1008" s="54" t="e">
        <f t="shared" si="127"/>
        <v>#N/A</v>
      </c>
      <c r="AF1008" s="4" t="e">
        <f t="shared" si="123"/>
        <v>#N/A</v>
      </c>
    </row>
    <row r="1009" spans="2:32">
      <c r="B1009" s="5">
        <f t="shared" si="128"/>
        <v>997</v>
      </c>
      <c r="C1009" s="5"/>
      <c r="E1009" s="13"/>
      <c r="F1009" s="5"/>
      <c r="G1009" s="11" t="str">
        <f>IF(ISERROR(AVERAGE(F$13:F1009)),"n/a",AVERAGE(F$13:F1009))</f>
        <v>n/a</v>
      </c>
      <c r="H1009" s="11" t="str">
        <f t="shared" si="124"/>
        <v>n/a</v>
      </c>
      <c r="J1009" s="5"/>
      <c r="K1009" s="5"/>
      <c r="L1009" s="5"/>
      <c r="M1009" s="5"/>
      <c r="N1009" s="5"/>
      <c r="O1009" s="8" t="str">
        <f>IF(J1009=1,"A",IF(K1009=1,"B",IF(L1009=1,"C",IF(M1009=1,"D",IF(N1009=1,"E","n/a")))))</f>
        <v>n/a</v>
      </c>
      <c r="Q1009" s="5"/>
      <c r="R1009" s="5"/>
      <c r="S1009" s="5"/>
      <c r="U1009" s="6"/>
      <c r="V1009" s="9" t="str">
        <f t="shared" si="125"/>
        <v/>
      </c>
      <c r="W1009" s="9" t="str">
        <f t="shared" si="126"/>
        <v/>
      </c>
      <c r="X1009" s="10">
        <f>SUM(V$13:V1009)/COUNTA(B$13:B1009)</f>
        <v>0</v>
      </c>
      <c r="Z1009" s="5"/>
      <c r="AA1009" s="5"/>
      <c r="AC1009" s="7"/>
      <c r="AE1009" s="54" t="e">
        <f t="shared" si="127"/>
        <v>#N/A</v>
      </c>
      <c r="AF1009" s="4" t="e">
        <f t="shared" si="123"/>
        <v>#N/A</v>
      </c>
    </row>
    <row r="1010" spans="2:32">
      <c r="B1010" s="5">
        <f t="shared" si="128"/>
        <v>998</v>
      </c>
      <c r="C1010" s="5"/>
      <c r="E1010" s="13"/>
      <c r="F1010" s="5"/>
      <c r="G1010" s="11" t="str">
        <f>IF(ISERROR(AVERAGE(F$13:F1010)),"n/a",AVERAGE(F$13:F1010))</f>
        <v>n/a</v>
      </c>
      <c r="H1010" s="11" t="str">
        <f t="shared" si="124"/>
        <v>n/a</v>
      </c>
      <c r="J1010" s="5"/>
      <c r="K1010" s="5"/>
      <c r="L1010" s="5"/>
      <c r="M1010" s="5"/>
      <c r="N1010" s="5"/>
      <c r="O1010" s="8" t="str">
        <f>IF(J1010=1,"A",IF(K1010=1,"B",IF(L1010=1,"C",IF(M1010=1,"D",IF(N1010=1,"E","n/a")))))</f>
        <v>n/a</v>
      </c>
      <c r="Q1010" s="5"/>
      <c r="R1010" s="5"/>
      <c r="S1010" s="5"/>
      <c r="U1010" s="6"/>
      <c r="V1010" s="9" t="str">
        <f t="shared" si="125"/>
        <v/>
      </c>
      <c r="W1010" s="9" t="str">
        <f t="shared" si="126"/>
        <v/>
      </c>
      <c r="X1010" s="10">
        <f>SUM(V$13:V1010)/COUNTA(B$13:B1010)</f>
        <v>0</v>
      </c>
      <c r="Z1010" s="5"/>
      <c r="AA1010" s="5"/>
      <c r="AC1010" s="7"/>
      <c r="AE1010" s="54" t="e">
        <f t="shared" si="127"/>
        <v>#N/A</v>
      </c>
      <c r="AF1010" s="4" t="e">
        <f t="shared" si="123"/>
        <v>#N/A</v>
      </c>
    </row>
    <row r="1011" spans="2:32">
      <c r="B1011" s="5">
        <f t="shared" si="128"/>
        <v>999</v>
      </c>
      <c r="C1011" s="5"/>
      <c r="E1011" s="13"/>
      <c r="F1011" s="5"/>
      <c r="G1011" s="11" t="str">
        <f>IF(ISERROR(AVERAGE(F$13:F1011)),"n/a",AVERAGE(F$13:F1011))</f>
        <v>n/a</v>
      </c>
      <c r="H1011" s="11" t="str">
        <f t="shared" si="124"/>
        <v>n/a</v>
      </c>
      <c r="J1011" s="5"/>
      <c r="K1011" s="5"/>
      <c r="L1011" s="5"/>
      <c r="M1011" s="5"/>
      <c r="N1011" s="5"/>
      <c r="O1011" s="8" t="str">
        <f>IF(J1011=1,"A",IF(K1011=1,"B",IF(L1011=1,"C",IF(M1011=1,"D",IF(N1011=1,"E","n/a")))))</f>
        <v>n/a</v>
      </c>
      <c r="Q1011" s="5"/>
      <c r="R1011" s="5"/>
      <c r="S1011" s="5"/>
      <c r="U1011" s="6"/>
      <c r="V1011" s="9" t="str">
        <f t="shared" si="125"/>
        <v/>
      </c>
      <c r="W1011" s="9" t="str">
        <f t="shared" si="126"/>
        <v/>
      </c>
      <c r="X1011" s="10">
        <f>SUM(V$13:V1011)/COUNTA(B$13:B1011)</f>
        <v>0</v>
      </c>
      <c r="Z1011" s="5"/>
      <c r="AA1011" s="5"/>
      <c r="AC1011" s="7"/>
      <c r="AE1011" s="54" t="e">
        <f t="shared" si="127"/>
        <v>#N/A</v>
      </c>
      <c r="AF1011" s="4" t="e">
        <f t="shared" si="123"/>
        <v>#N/A</v>
      </c>
    </row>
    <row r="1012" spans="2:32">
      <c r="B1012" s="5">
        <f t="shared" si="128"/>
        <v>1000</v>
      </c>
      <c r="C1012" s="5"/>
      <c r="E1012" s="13"/>
      <c r="F1012" s="5"/>
      <c r="G1012" s="11" t="str">
        <f>IF(ISERROR(AVERAGE(F$13:F1012)),"n/a",AVERAGE(F$13:F1012))</f>
        <v>n/a</v>
      </c>
      <c r="H1012" s="11" t="str">
        <f t="shared" si="124"/>
        <v>n/a</v>
      </c>
      <c r="J1012" s="5"/>
      <c r="K1012" s="5"/>
      <c r="L1012" s="5"/>
      <c r="M1012" s="5"/>
      <c r="N1012" s="5"/>
      <c r="O1012" s="8" t="str">
        <f>IF(J1012=1,"A",IF(K1012=1,"B",IF(L1012=1,"C",IF(M1012=1,"D",IF(N1012=1,"E","n/a")))))</f>
        <v>n/a</v>
      </c>
      <c r="Q1012" s="5"/>
      <c r="R1012" s="5"/>
      <c r="S1012" s="5"/>
      <c r="U1012" s="6"/>
      <c r="V1012" s="9" t="str">
        <f t="shared" si="125"/>
        <v/>
      </c>
      <c r="W1012" s="9" t="str">
        <f t="shared" si="126"/>
        <v/>
      </c>
      <c r="X1012" s="10">
        <f>SUM(V$13:V1012)/COUNTA(B$13:B1012)</f>
        <v>0</v>
      </c>
      <c r="Z1012" s="5"/>
      <c r="AA1012" s="5"/>
      <c r="AC1012" s="7"/>
      <c r="AE1012" s="54" t="e">
        <f t="shared" si="127"/>
        <v>#N/A</v>
      </c>
      <c r="AF1012" s="4" t="e">
        <f t="shared" si="123"/>
        <v>#N/A</v>
      </c>
    </row>
    <row r="1013" spans="2:32">
      <c r="E1013"/>
    </row>
    <row r="1014" spans="2:32" hidden="1" outlineLevel="1">
      <c r="B1014" s="1" t="s">
        <v>41</v>
      </c>
    </row>
    <row r="1015" spans="2:32" hidden="1" outlineLevel="1">
      <c r="B1015" s="2" t="s">
        <v>33</v>
      </c>
      <c r="C1015" s="4">
        <f>COUNTA(C13:$C$1012)</f>
        <v>0</v>
      </c>
      <c r="E1015" s="49" t="e">
        <f>F1015/60</f>
        <v>#VALUE!</v>
      </c>
      <c r="F1015" s="49" t="str">
        <f>IF(ISERROR(AVERAGE($F$13:$F$1012)),"n/a",AVERAGE($F$13:$F$1012))</f>
        <v>n/a</v>
      </c>
      <c r="Q1015" s="4">
        <f>SUM(Q13:Q1012)</f>
        <v>0</v>
      </c>
      <c r="R1015" s="4">
        <f>SUM(R13:R1012)</f>
        <v>0</v>
      </c>
      <c r="S1015" s="4">
        <f>SUM(S13:S1012)</f>
        <v>0</v>
      </c>
      <c r="V1015" s="4">
        <f>SUM(V13:V1012)</f>
        <v>0</v>
      </c>
      <c r="W1015" s="4">
        <f>SUM(W13:W1012)</f>
        <v>0</v>
      </c>
      <c r="Z1015" s="4">
        <f>SUM(Z13:Z1012)</f>
        <v>0</v>
      </c>
      <c r="AA1015" s="4">
        <f>SUM(AA13:AA1012)</f>
        <v>0</v>
      </c>
    </row>
    <row r="1016" spans="2:32" hidden="1" outlineLevel="1">
      <c r="F1016" s="50"/>
    </row>
    <row r="1017" spans="2:32" hidden="1" outlineLevel="1">
      <c r="B1017" s="2" t="s">
        <v>42</v>
      </c>
      <c r="C1017" s="4">
        <f>COUNTIF($C$13:$C$1012,$B1017)</f>
        <v>0</v>
      </c>
      <c r="E1017" s="49" t="e">
        <f>IF(F1017/60=0,"n/a",F1017/60)</f>
        <v>#VALUE!</v>
      </c>
      <c r="F1017" s="49" t="str">
        <f>IF(ISERROR(SUMIF($C$13:$C$1012,$B1017,$F$13:$F$1012)/C1017),"n/a",SUMIF($C$13:$C$1012,$B1017,$F$13:$F$1012)/C1017)</f>
        <v>n/a</v>
      </c>
      <c r="J1017" s="26" t="e">
        <f>C1017/$C$1015</f>
        <v>#DIV/0!</v>
      </c>
      <c r="K1017" s="26" t="e">
        <f>C1018/$C$1015</f>
        <v>#DIV/0!</v>
      </c>
      <c r="L1017" s="26" t="e">
        <f>C1019/$C$1015</f>
        <v>#DIV/0!</v>
      </c>
      <c r="M1017" s="26" t="e">
        <f>C1020/$C$1015</f>
        <v>#DIV/0!</v>
      </c>
      <c r="N1017" s="26" t="e">
        <f>C1021/$C$1015</f>
        <v>#DIV/0!</v>
      </c>
      <c r="Q1017" s="4">
        <f t="shared" ref="Q1017:S1021" si="129">SUMIF($C$13:$C$1012,$B1017,Q$13:Q$1012)</f>
        <v>0</v>
      </c>
      <c r="R1017" s="4">
        <f t="shared" si="129"/>
        <v>0</v>
      </c>
      <c r="S1017" s="4">
        <f t="shared" si="129"/>
        <v>0</v>
      </c>
      <c r="V1017" s="4">
        <f t="shared" ref="V1017:W1021" si="130">SUMIF($C$13:$C$1012,$B1017,V$13:V$1012)</f>
        <v>0</v>
      </c>
      <c r="W1017" s="4">
        <f t="shared" si="130"/>
        <v>0</v>
      </c>
      <c r="Z1017" s="4">
        <f t="shared" ref="Z1017:AA1021" si="131">SUMIF($C$13:$C$1012,$B1017,Z$13:Z$1012)</f>
        <v>0</v>
      </c>
      <c r="AA1017" s="4">
        <f t="shared" si="131"/>
        <v>0</v>
      </c>
    </row>
    <row r="1018" spans="2:32" hidden="1" outlineLevel="1">
      <c r="B1018" s="2" t="s">
        <v>43</v>
      </c>
      <c r="C1018" s="4">
        <f>COUNTIF($C$13:$C$1012,$B1018)</f>
        <v>0</v>
      </c>
      <c r="E1018" s="49" t="e">
        <f>IF(F1018/60=0,"n/a",F1018/60)</f>
        <v>#VALUE!</v>
      </c>
      <c r="F1018" s="49" t="str">
        <f>IF(ISERROR(SUMIF($C$13:$C$1012,$B1018,$F$13:$F$1012)/C1018),"n/a",SUMIF($C$13:$C$1012,$B1018,$F$13:$F$1012)/C1018)</f>
        <v>n/a</v>
      </c>
      <c r="Q1018" s="4">
        <f t="shared" si="129"/>
        <v>0</v>
      </c>
      <c r="R1018" s="4">
        <f t="shared" si="129"/>
        <v>0</v>
      </c>
      <c r="S1018" s="4">
        <f t="shared" si="129"/>
        <v>0</v>
      </c>
      <c r="V1018" s="4">
        <f t="shared" si="130"/>
        <v>0</v>
      </c>
      <c r="W1018" s="4">
        <f t="shared" si="130"/>
        <v>0</v>
      </c>
      <c r="Z1018" s="4">
        <f t="shared" si="131"/>
        <v>0</v>
      </c>
      <c r="AA1018" s="4">
        <f t="shared" si="131"/>
        <v>0</v>
      </c>
    </row>
    <row r="1019" spans="2:32" hidden="1" outlineLevel="1">
      <c r="B1019" s="2" t="s">
        <v>46</v>
      </c>
      <c r="C1019" s="4">
        <f>COUNTIF($C$13:$C$1012,$B1019)</f>
        <v>0</v>
      </c>
      <c r="E1019" s="49" t="e">
        <f>IF(F1019/60=0,"n/a",F1019/60)</f>
        <v>#VALUE!</v>
      </c>
      <c r="F1019" s="49" t="str">
        <f>IF(ISERROR(SUMIF($C$13:$C$1012,$B1019,$F$13:$F$1012)/C1019),"n/a",SUMIF($C$13:$C$1012,$B1019,$F$13:$F$1012)/C1019)</f>
        <v>n/a</v>
      </c>
      <c r="Q1019" s="4">
        <f t="shared" si="129"/>
        <v>0</v>
      </c>
      <c r="R1019" s="4">
        <f t="shared" si="129"/>
        <v>0</v>
      </c>
      <c r="S1019" s="4">
        <f t="shared" si="129"/>
        <v>0</v>
      </c>
      <c r="V1019" s="4">
        <f t="shared" si="130"/>
        <v>0</v>
      </c>
      <c r="W1019" s="4">
        <f t="shared" si="130"/>
        <v>0</v>
      </c>
      <c r="Z1019" s="4">
        <f t="shared" si="131"/>
        <v>0</v>
      </c>
      <c r="AA1019" s="4">
        <f t="shared" si="131"/>
        <v>0</v>
      </c>
    </row>
    <row r="1020" spans="2:32" hidden="1" outlineLevel="1">
      <c r="B1020" s="2" t="s">
        <v>44</v>
      </c>
      <c r="C1020" s="4">
        <f>COUNTIF($C$13:$C$1012,$B1020)</f>
        <v>0</v>
      </c>
      <c r="E1020" s="49" t="e">
        <f>IF(F1020/60=0,"n/a",F1020/60)</f>
        <v>#VALUE!</v>
      </c>
      <c r="F1020" s="49" t="str">
        <f>IF(ISERROR(SUMIF($C$13:$C$1012,$B1020,$F$13:$F$1012)/C1020),"n/a",SUMIF($C$13:$C$1012,$B1020,$F$13:$F$1012)/C1020)</f>
        <v>n/a</v>
      </c>
      <c r="Q1020" s="4">
        <f t="shared" si="129"/>
        <v>0</v>
      </c>
      <c r="R1020" s="4">
        <f t="shared" si="129"/>
        <v>0</v>
      </c>
      <c r="S1020" s="4">
        <f t="shared" si="129"/>
        <v>0</v>
      </c>
      <c r="V1020" s="4">
        <f t="shared" si="130"/>
        <v>0</v>
      </c>
      <c r="W1020" s="4">
        <f t="shared" si="130"/>
        <v>0</v>
      </c>
      <c r="Z1020" s="4">
        <f t="shared" si="131"/>
        <v>0</v>
      </c>
      <c r="AA1020" s="4">
        <f t="shared" si="131"/>
        <v>0</v>
      </c>
    </row>
    <row r="1021" spans="2:32" hidden="1" outlineLevel="1">
      <c r="B1021" s="2" t="s">
        <v>45</v>
      </c>
      <c r="C1021" s="4">
        <f>COUNTIF($C$13:$C$1012,$B1021)</f>
        <v>0</v>
      </c>
      <c r="E1021" s="49" t="e">
        <f>IF(F1021/60=0,"n/a",F1021/60)</f>
        <v>#VALUE!</v>
      </c>
      <c r="F1021" s="49" t="str">
        <f>IF(ISERROR(SUMIF($C$13:$C$1012,$B1021,$F$13:$F$1012)/C1021),"n/a",SUMIF($C$13:$C$1012,$B1021,$F$13:$F$1012)/C1021)</f>
        <v>n/a</v>
      </c>
      <c r="Q1021" s="4">
        <f t="shared" si="129"/>
        <v>0</v>
      </c>
      <c r="R1021" s="4">
        <f t="shared" si="129"/>
        <v>0</v>
      </c>
      <c r="S1021" s="4">
        <f t="shared" si="129"/>
        <v>0</v>
      </c>
      <c r="V1021" s="4">
        <f t="shared" si="130"/>
        <v>0</v>
      </c>
      <c r="W1021" s="4">
        <f t="shared" si="130"/>
        <v>0</v>
      </c>
      <c r="Z1021" s="4">
        <f t="shared" si="131"/>
        <v>0</v>
      </c>
      <c r="AA1021" s="4">
        <f t="shared" si="131"/>
        <v>0</v>
      </c>
    </row>
    <row r="1022" spans="2:32" hidden="1" outlineLevel="1">
      <c r="E1022" s="3" t="s">
        <v>49</v>
      </c>
      <c r="F1022" s="3" t="s">
        <v>50</v>
      </c>
    </row>
    <row r="1023" spans="2:32" hidden="1" outlineLevel="1">
      <c r="B1023" s="2" t="s">
        <v>33</v>
      </c>
      <c r="E1023" s="4" t="e">
        <f>LEFT(E1015,1)</f>
        <v>#VALUE!</v>
      </c>
      <c r="F1023" s="49" t="e">
        <f>(E1015-E1023)*60</f>
        <v>#VALUE!</v>
      </c>
    </row>
    <row r="1024" spans="2:32" hidden="1" outlineLevel="1">
      <c r="E1024" s="4"/>
      <c r="F1024" s="49"/>
    </row>
    <row r="1025" spans="2:6" hidden="1" outlineLevel="1">
      <c r="B1025" s="2" t="s">
        <v>42</v>
      </c>
      <c r="E1025" s="4" t="e">
        <f>LEFT(E1017,1)</f>
        <v>#VALUE!</v>
      </c>
      <c r="F1025" s="49" t="e">
        <f>(E1017-E1025)*60</f>
        <v>#VALUE!</v>
      </c>
    </row>
    <row r="1026" spans="2:6" hidden="1" outlineLevel="1">
      <c r="B1026" s="2" t="s">
        <v>43</v>
      </c>
      <c r="E1026" s="4" t="e">
        <f>LEFT(E1018,1)</f>
        <v>#VALUE!</v>
      </c>
      <c r="F1026" s="49" t="e">
        <f>(E1018-E1026)*60</f>
        <v>#VALUE!</v>
      </c>
    </row>
    <row r="1027" spans="2:6" hidden="1" outlineLevel="1">
      <c r="B1027" s="2" t="s">
        <v>46</v>
      </c>
      <c r="E1027" s="4" t="e">
        <f>LEFT(E1019,1)</f>
        <v>#VALUE!</v>
      </c>
      <c r="F1027" s="49" t="e">
        <f>(E1019-E1027)*60</f>
        <v>#VALUE!</v>
      </c>
    </row>
    <row r="1028" spans="2:6" hidden="1" outlineLevel="1">
      <c r="B1028" s="2" t="s">
        <v>44</v>
      </c>
      <c r="E1028" s="4" t="e">
        <f>LEFT(E1020,1)</f>
        <v>#VALUE!</v>
      </c>
      <c r="F1028" s="49" t="e">
        <f>(E1020-E1028)*60</f>
        <v>#VALUE!</v>
      </c>
    </row>
    <row r="1029" spans="2:6" hidden="1" outlineLevel="1">
      <c r="B1029" s="2" t="s">
        <v>45</v>
      </c>
      <c r="E1029" s="4" t="e">
        <f>LEFT(E1021,1)</f>
        <v>#VALUE!</v>
      </c>
      <c r="F1029" s="49" t="e">
        <f>(E1021-E1029)*60</f>
        <v>#VALUE!</v>
      </c>
    </row>
    <row r="1030" spans="2:6" hidden="1" outlineLevel="1"/>
    <row r="1031" spans="2:6" hidden="1" outlineLevel="1">
      <c r="B1031" s="58" t="s">
        <v>59</v>
      </c>
    </row>
    <row r="1032" spans="2:6" hidden="1" outlineLevel="1">
      <c r="B1032" s="51" t="s">
        <v>33</v>
      </c>
      <c r="E1032" s="59" t="e">
        <f>IF(F1032/60=0,"n/a",F1032/60)</f>
        <v>#VALUE!</v>
      </c>
      <c r="F1032" s="59" t="e">
        <f>IF(F1015=0,"n/a",F1015-$J$7)</f>
        <v>#VALUE!</v>
      </c>
    </row>
    <row r="1033" spans="2:6" hidden="1" outlineLevel="1">
      <c r="B1033" s="51"/>
    </row>
    <row r="1034" spans="2:6" hidden="1" outlineLevel="1">
      <c r="B1034" s="2" t="s">
        <v>42</v>
      </c>
      <c r="E1034" s="49" t="e">
        <f>IF(F1034/60=0,"n/a",F1034/60)</f>
        <v>#VALUE!</v>
      </c>
      <c r="F1034" s="49" t="e">
        <f>IF(F1017=0,"n/a",F1017-$K$7)</f>
        <v>#VALUE!</v>
      </c>
    </row>
    <row r="1035" spans="2:6" hidden="1" outlineLevel="1">
      <c r="B1035" s="2" t="s">
        <v>43</v>
      </c>
      <c r="E1035" s="49" t="e">
        <f>IF(F1035/60=0,"n/a",F1035/60)</f>
        <v>#VALUE!</v>
      </c>
      <c r="F1035" s="49" t="e">
        <f>IF(F1018=0,"n/a",F1018-$L$7)</f>
        <v>#VALUE!</v>
      </c>
    </row>
    <row r="1036" spans="2:6" hidden="1" outlineLevel="1">
      <c r="B1036" s="2" t="s">
        <v>46</v>
      </c>
      <c r="E1036" s="49" t="e">
        <f>IF(F1036/60=0,"n/a",F1036/60)</f>
        <v>#VALUE!</v>
      </c>
      <c r="F1036" s="49" t="e">
        <f>IF(F1019=0,"n/a",F1019-$M$7)</f>
        <v>#VALUE!</v>
      </c>
    </row>
    <row r="1037" spans="2:6" hidden="1" outlineLevel="1">
      <c r="B1037" s="2" t="s">
        <v>44</v>
      </c>
      <c r="E1037" s="49" t="e">
        <f>IF(F1037/60=0,"n/a",F1037/60)</f>
        <v>#VALUE!</v>
      </c>
      <c r="F1037" s="49" t="e">
        <f>IF(F1020=0,"n/a",F1020-$N$7)</f>
        <v>#VALUE!</v>
      </c>
    </row>
    <row r="1038" spans="2:6" hidden="1" outlineLevel="1">
      <c r="B1038" s="2" t="s">
        <v>45</v>
      </c>
      <c r="E1038" s="49" t="e">
        <f>IF(F1038/60=0,"n/a",F1038/60)</f>
        <v>#VALUE!</v>
      </c>
      <c r="F1038" s="49" t="e">
        <f>IF(F1021=0,"n/a",F1021-$O$7)</f>
        <v>#VALUE!</v>
      </c>
    </row>
    <row r="1039" spans="2:6" hidden="1" outlineLevel="1">
      <c r="E1039" s="3" t="s">
        <v>49</v>
      </c>
      <c r="F1039" s="3" t="s">
        <v>50</v>
      </c>
    </row>
    <row r="1040" spans="2:6" hidden="1" outlineLevel="1">
      <c r="B1040" s="51" t="s">
        <v>33</v>
      </c>
      <c r="E1040" s="4" t="e">
        <f>LEFT(ABS(E1032),1)</f>
        <v>#VALUE!</v>
      </c>
      <c r="F1040" s="49" t="e">
        <f>(ABS(E1032)-E1040)*60</f>
        <v>#VALUE!</v>
      </c>
    </row>
    <row r="1041" spans="2:6" hidden="1" outlineLevel="1">
      <c r="B1041" s="51"/>
      <c r="E1041" s="4"/>
      <c r="F1041" s="49"/>
    </row>
    <row r="1042" spans="2:6" hidden="1" outlineLevel="1">
      <c r="B1042" s="2" t="s">
        <v>42</v>
      </c>
      <c r="E1042" s="4" t="e">
        <f>LEFT(ABS(E1034),1)</f>
        <v>#VALUE!</v>
      </c>
      <c r="F1042" s="49" t="e">
        <f>(ABS(E1034)-E1042)*60</f>
        <v>#VALUE!</v>
      </c>
    </row>
    <row r="1043" spans="2:6" hidden="1" outlineLevel="1">
      <c r="B1043" s="2" t="s">
        <v>43</v>
      </c>
      <c r="E1043" s="4" t="e">
        <f>LEFT(ABS(E1035),1)</f>
        <v>#VALUE!</v>
      </c>
      <c r="F1043" s="49" t="e">
        <f>(ABS(E1035)-E1043)*60</f>
        <v>#VALUE!</v>
      </c>
    </row>
    <row r="1044" spans="2:6" hidden="1" outlineLevel="1">
      <c r="B1044" s="2" t="s">
        <v>46</v>
      </c>
      <c r="E1044" s="4" t="e">
        <f>LEFT(ABS(E1036),1)</f>
        <v>#VALUE!</v>
      </c>
      <c r="F1044" s="49" t="e">
        <f>(ABS(E1036)-E1044)*60</f>
        <v>#VALUE!</v>
      </c>
    </row>
    <row r="1045" spans="2:6" hidden="1" outlineLevel="1">
      <c r="B1045" s="2" t="s">
        <v>44</v>
      </c>
      <c r="E1045" s="4" t="e">
        <f>LEFT(ABS(E1037),1)</f>
        <v>#VALUE!</v>
      </c>
      <c r="F1045" s="49" t="e">
        <f>(ABS(E1037)-E1045)*60</f>
        <v>#VALUE!</v>
      </c>
    </row>
    <row r="1046" spans="2:6" hidden="1" outlineLevel="1">
      <c r="B1046" s="2" t="s">
        <v>45</v>
      </c>
      <c r="E1046" s="4" t="e">
        <f>LEFT(ABS(E1038),1)</f>
        <v>#VALUE!</v>
      </c>
      <c r="F1046" s="49" t="e">
        <f>(ABS(E1038)-E1046)*60</f>
        <v>#VALUE!</v>
      </c>
    </row>
    <row r="1047" spans="2:6" collapsed="1"/>
  </sheetData>
  <conditionalFormatting sqref="E13:H1012 C13:C1012 J13:O1012 Q13:S1012 Z13:AA1012 AC13:AC1012 U13:X1012">
    <cfRule type="expression" dxfId="4" priority="4" stopIfTrue="1">
      <formula>$AE13=1</formula>
    </cfRule>
    <cfRule type="expression" dxfId="3" priority="5" stopIfTrue="1">
      <formula>$AE13=2</formula>
    </cfRule>
  </conditionalFormatting>
  <conditionalFormatting sqref="B13:B1012">
    <cfRule type="expression" dxfId="2" priority="2" stopIfTrue="1">
      <formula>$AE13=1</formula>
    </cfRule>
    <cfRule type="expression" dxfId="1" priority="3" stopIfTrue="1">
      <formula>$AE13=2</formula>
    </cfRule>
  </conditionalFormatting>
  <conditionalFormatting sqref="BC18:BD18 BC22:BD22 BC25:BD25 BC28:BD28 BC31:BD31 BC34:BD35">
    <cfRule type="expression" dxfId="0" priority="1" stopIfTrue="1">
      <formula>$BF18="+"</formula>
    </cfRule>
  </conditionalFormatting>
  <dataValidations count="4">
    <dataValidation type="whole" allowBlank="1" showInputMessage="1" showErrorMessage="1" sqref="Z13:AA1012 Q13:S1012 J13:N1012">
      <formula1>1</formula1>
      <formula2>1</formula2>
    </dataValidation>
    <dataValidation type="list" allowBlank="1" showInputMessage="1" showErrorMessage="1" sqref="U13:U1012">
      <formula1>"A,B,C,D,E"</formula1>
    </dataValidation>
    <dataValidation type="list" allowBlank="1" showInputMessage="1" showErrorMessage="1" sqref="C13:C1012">
      <formula1>"PS, DS, RC, CR, SC"</formula1>
    </dataValidation>
    <dataValidation type="whole" allowBlank="1" showInputMessage="1" showErrorMessage="1" sqref="F8:F9 F4">
      <formula1>0</formula1>
      <formula2>1</formula2>
    </dataValidation>
  </dataValidations>
  <pageMargins left="0.5" right="0.5" top="0.5" bottom="0.5" header="0.5" footer="0.5"/>
  <pageSetup scale="72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Source_Input (1)</vt:lpstr>
      <vt:lpstr>Source_Input (2)</vt:lpstr>
      <vt:lpstr>Source_Input (3)</vt:lpstr>
      <vt:lpstr>Source_Input (4)</vt:lpstr>
      <vt:lpstr>Source_Input (5)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Jaramillo</dc:creator>
  <cp:lastModifiedBy>Matthew Jaramillo</cp:lastModifiedBy>
  <cp:lastPrinted>2009-11-17T20:00:31Z</cp:lastPrinted>
  <dcterms:created xsi:type="dcterms:W3CDTF">2009-10-24T20:35:23Z</dcterms:created>
  <dcterms:modified xsi:type="dcterms:W3CDTF">2009-11-17T20:13:09Z</dcterms:modified>
</cp:coreProperties>
</file>